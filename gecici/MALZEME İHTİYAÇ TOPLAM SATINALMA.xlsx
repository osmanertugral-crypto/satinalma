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hidePivotFieldList="1"/>
  <mc:AlternateContent xmlns:mc="http://schemas.openxmlformats.org/markup-compatibility/2006">
    <mc:Choice Requires="x15">
      <x15ac:absPath xmlns:x15ac="http://schemas.microsoft.com/office/spreadsheetml/2010/11/ac" url="C:\Vs Code Proje\Satınalma\gecici\"/>
    </mc:Choice>
  </mc:AlternateContent>
  <xr:revisionPtr revIDLastSave="0" documentId="13_ncr:1_{FB390655-7C51-4404-9A67-4F01C6F37063}" xr6:coauthVersionLast="47" xr6:coauthVersionMax="47" xr10:uidLastSave="{00000000-0000-0000-0000-000000000000}"/>
  <bookViews>
    <workbookView xWindow="-120" yWindow="-120" windowWidth="29040" windowHeight="15720" tabRatio="784" activeTab="3" xr2:uid="{00000000-000D-0000-FFFF-FFFF00000000}"/>
  </bookViews>
  <sheets>
    <sheet name="ÖRNEK PİVOT" sheetId="10" r:id="rId1"/>
    <sheet name="ÜRETİM İHTİYAÇ RAPORU" sheetId="6" r:id="rId2"/>
    <sheet name="PROJE MALİYET" sheetId="5" r:id="rId3"/>
    <sheet name="SATINALMA" sheetId="4" r:id="rId4"/>
    <sheet name="Sayfa1" sheetId="11" r:id="rId5"/>
  </sheets>
  <definedNames>
    <definedName name="_xlnm._FilterDatabase" localSheetId="3" hidden="1">SATINALMA!$A$11:$L$663</definedName>
    <definedName name="DışVeri_3" localSheetId="1" hidden="1">'ÜRETİM İHTİYAÇ RAPORU'!$A$1:$Q$5983</definedName>
    <definedName name="Dilimleyici_ALTSTOKGRUPKODU">#N/A</definedName>
    <definedName name="Dilimleyici_SON_SATINALMA_CARİ_ÜNVANI">#N/A</definedName>
    <definedName name="ÜRETİM">#REF!</definedName>
    <definedName name="_xlnm.Print_Area" localSheetId="3">SATINALMA!$A$11:$I$76</definedName>
  </definedNames>
  <calcPr calcId="191029"/>
  <pivotCaches>
    <pivotCache cacheId="3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K5002" i="6"/>
  <c r="K5003" i="6"/>
  <c r="K5004" i="6"/>
  <c r="K5005" i="6"/>
  <c r="K5006" i="6"/>
  <c r="K5007" i="6"/>
  <c r="K5008" i="6"/>
  <c r="K5009" i="6"/>
  <c r="K5010" i="6"/>
  <c r="K5011" i="6"/>
  <c r="K5012" i="6"/>
  <c r="K5013" i="6"/>
  <c r="K5014" i="6"/>
  <c r="K5015" i="6"/>
  <c r="K5016" i="6"/>
  <c r="K5017" i="6"/>
  <c r="K5018" i="6"/>
  <c r="K5019" i="6"/>
  <c r="K5020" i="6"/>
  <c r="K5021" i="6"/>
  <c r="K5022" i="6"/>
  <c r="K5023" i="6"/>
  <c r="K5024" i="6"/>
  <c r="K5025" i="6"/>
  <c r="K5026" i="6"/>
  <c r="K5027" i="6"/>
  <c r="K5028" i="6"/>
  <c r="K5029" i="6"/>
  <c r="K5030" i="6"/>
  <c r="K5031" i="6"/>
  <c r="K5032" i="6"/>
  <c r="K5033" i="6"/>
  <c r="K5034" i="6"/>
  <c r="K5035" i="6"/>
  <c r="K5036" i="6"/>
  <c r="K5037" i="6"/>
  <c r="K5038" i="6"/>
  <c r="K5039" i="6"/>
  <c r="K5040" i="6"/>
  <c r="K5041" i="6"/>
  <c r="K5042" i="6"/>
  <c r="K5043" i="6"/>
  <c r="K5044" i="6"/>
  <c r="K5045" i="6"/>
  <c r="K5046" i="6"/>
  <c r="K5047" i="6"/>
  <c r="K5048" i="6"/>
  <c r="K5049" i="6"/>
  <c r="K5050" i="6"/>
  <c r="K5051" i="6"/>
  <c r="K5052" i="6"/>
  <c r="K5053" i="6"/>
  <c r="K5054" i="6"/>
  <c r="K5055" i="6"/>
  <c r="K5056" i="6"/>
  <c r="K5057" i="6"/>
  <c r="K5058" i="6"/>
  <c r="K5059" i="6"/>
  <c r="K5060" i="6"/>
  <c r="K5061" i="6"/>
  <c r="K5062" i="6"/>
  <c r="K5063" i="6"/>
  <c r="K5064" i="6"/>
  <c r="K5065" i="6"/>
  <c r="K5066" i="6"/>
  <c r="K5067" i="6"/>
  <c r="K5068" i="6"/>
  <c r="K5069" i="6"/>
  <c r="K5070" i="6"/>
  <c r="K5071" i="6"/>
  <c r="K5072" i="6"/>
  <c r="K5073" i="6"/>
  <c r="K5074" i="6"/>
  <c r="K5075" i="6"/>
  <c r="K5076" i="6"/>
  <c r="K5077" i="6"/>
  <c r="K5078" i="6"/>
  <c r="K5079" i="6"/>
  <c r="K5080" i="6"/>
  <c r="K5081" i="6"/>
  <c r="K5082" i="6"/>
  <c r="K5083" i="6"/>
  <c r="K5084" i="6"/>
  <c r="K5085" i="6"/>
  <c r="K5086" i="6"/>
  <c r="K5087" i="6"/>
  <c r="K5088" i="6"/>
  <c r="K5089" i="6"/>
  <c r="K5090" i="6"/>
  <c r="K5091" i="6"/>
  <c r="K5092" i="6"/>
  <c r="K5093" i="6"/>
  <c r="K5094" i="6"/>
  <c r="K5095" i="6"/>
  <c r="K5096" i="6"/>
  <c r="K5097" i="6"/>
  <c r="K5098" i="6"/>
  <c r="K5099" i="6"/>
  <c r="K5100" i="6"/>
  <c r="K5101" i="6"/>
  <c r="K5102" i="6"/>
  <c r="K5103" i="6"/>
  <c r="K5104" i="6"/>
  <c r="K5105" i="6"/>
  <c r="K5106" i="6"/>
  <c r="K5107" i="6"/>
  <c r="K5108" i="6"/>
  <c r="K5109" i="6"/>
  <c r="K5110" i="6"/>
  <c r="K5111" i="6"/>
  <c r="K5112" i="6"/>
  <c r="K5113" i="6"/>
  <c r="K5114" i="6"/>
  <c r="K5115" i="6"/>
  <c r="K5116" i="6"/>
  <c r="K5117" i="6"/>
  <c r="K5118" i="6"/>
  <c r="K5119" i="6"/>
  <c r="K5120" i="6"/>
  <c r="K5121" i="6"/>
  <c r="K5122" i="6"/>
  <c r="K5123" i="6"/>
  <c r="K5124" i="6"/>
  <c r="K5125" i="6"/>
  <c r="K5126" i="6"/>
  <c r="K5127" i="6"/>
  <c r="K5128" i="6"/>
  <c r="K5129" i="6"/>
  <c r="K5130" i="6"/>
  <c r="K5131" i="6"/>
  <c r="K5132" i="6"/>
  <c r="K5133" i="6"/>
  <c r="K5134" i="6"/>
  <c r="K5135" i="6"/>
  <c r="K5136" i="6"/>
  <c r="K5137" i="6"/>
  <c r="K5138" i="6"/>
  <c r="K5139" i="6"/>
  <c r="K5140" i="6"/>
  <c r="K5141" i="6"/>
  <c r="K5142" i="6"/>
  <c r="K5143" i="6"/>
  <c r="K5144" i="6"/>
  <c r="K5145" i="6"/>
  <c r="K5146" i="6"/>
  <c r="K5147" i="6"/>
  <c r="K5148" i="6"/>
  <c r="K5149" i="6"/>
  <c r="K5150" i="6"/>
  <c r="K5151" i="6"/>
  <c r="K5152" i="6"/>
  <c r="K5153" i="6"/>
  <c r="K5154" i="6"/>
  <c r="K5155" i="6"/>
  <c r="K5156" i="6"/>
  <c r="K5157" i="6"/>
  <c r="K5158" i="6"/>
  <c r="K5159" i="6"/>
  <c r="K5160" i="6"/>
  <c r="K5161" i="6"/>
  <c r="K5162" i="6"/>
  <c r="K5163" i="6"/>
  <c r="K5164" i="6"/>
  <c r="K5165" i="6"/>
  <c r="K5166" i="6"/>
  <c r="K5167" i="6"/>
  <c r="K5168" i="6"/>
  <c r="K5169" i="6"/>
  <c r="K5170" i="6"/>
  <c r="K5171" i="6"/>
  <c r="K5172" i="6"/>
  <c r="K5173" i="6"/>
  <c r="K5174" i="6"/>
  <c r="K5175" i="6"/>
  <c r="K5176" i="6"/>
  <c r="K5177" i="6"/>
  <c r="K5178" i="6"/>
  <c r="K5179" i="6"/>
  <c r="K5180" i="6"/>
  <c r="K5181" i="6"/>
  <c r="K5182" i="6"/>
  <c r="K5183" i="6"/>
  <c r="K5184" i="6"/>
  <c r="K5185" i="6"/>
  <c r="K5186" i="6"/>
  <c r="K5187" i="6"/>
  <c r="K5188" i="6"/>
  <c r="K5189" i="6"/>
  <c r="K5190" i="6"/>
  <c r="K5191" i="6"/>
  <c r="K5192" i="6"/>
  <c r="K5193" i="6"/>
  <c r="K5194" i="6"/>
  <c r="K5195" i="6"/>
  <c r="K5196" i="6"/>
  <c r="K5197" i="6"/>
  <c r="K5198" i="6"/>
  <c r="K5199" i="6"/>
  <c r="K5200" i="6"/>
  <c r="K5201" i="6"/>
  <c r="K5202" i="6"/>
  <c r="K5203" i="6"/>
  <c r="K5204" i="6"/>
  <c r="K5205" i="6"/>
  <c r="K5206" i="6"/>
  <c r="K5207" i="6"/>
  <c r="K5208" i="6"/>
  <c r="K5209" i="6"/>
  <c r="K5210" i="6"/>
  <c r="K5211" i="6"/>
  <c r="K5212" i="6"/>
  <c r="K5213" i="6"/>
  <c r="K5214" i="6"/>
  <c r="K5215" i="6"/>
  <c r="K5216" i="6"/>
  <c r="K5217" i="6"/>
  <c r="K5218" i="6"/>
  <c r="K5219" i="6"/>
  <c r="K5220" i="6"/>
  <c r="K5221" i="6"/>
  <c r="K5222" i="6"/>
  <c r="K5223" i="6"/>
  <c r="K5224" i="6"/>
  <c r="K5225" i="6"/>
  <c r="K5226" i="6"/>
  <c r="K5227" i="6"/>
  <c r="K5228" i="6"/>
  <c r="K5229" i="6"/>
  <c r="K5230" i="6"/>
  <c r="K5231" i="6"/>
  <c r="K5232" i="6"/>
  <c r="K5233" i="6"/>
  <c r="K5234" i="6"/>
  <c r="K5235" i="6"/>
  <c r="K5236" i="6"/>
  <c r="K5237" i="6"/>
  <c r="K5238" i="6"/>
  <c r="K5239" i="6"/>
  <c r="K5240" i="6"/>
  <c r="K5241" i="6"/>
  <c r="K5242" i="6"/>
  <c r="K5243" i="6"/>
  <c r="K5244" i="6"/>
  <c r="K5245" i="6"/>
  <c r="K5246" i="6"/>
  <c r="K5247" i="6"/>
  <c r="K5248" i="6"/>
  <c r="K5249" i="6"/>
  <c r="K5250" i="6"/>
  <c r="K5251" i="6"/>
  <c r="K5252" i="6"/>
  <c r="K5253" i="6"/>
  <c r="K5254" i="6"/>
  <c r="K5255" i="6"/>
  <c r="K5256" i="6"/>
  <c r="K5257" i="6"/>
  <c r="K5258" i="6"/>
  <c r="K5259" i="6"/>
  <c r="K5260" i="6"/>
  <c r="K5261" i="6"/>
  <c r="K5262" i="6"/>
  <c r="K5263" i="6"/>
  <c r="K5264" i="6"/>
  <c r="K5265" i="6"/>
  <c r="K5266" i="6"/>
  <c r="K5267" i="6"/>
  <c r="K5268" i="6"/>
  <c r="K5269" i="6"/>
  <c r="K5270" i="6"/>
  <c r="K5271" i="6"/>
  <c r="K5272" i="6"/>
  <c r="K5273" i="6"/>
  <c r="K5274" i="6"/>
  <c r="K5275" i="6"/>
  <c r="K5276" i="6"/>
  <c r="K5277" i="6"/>
  <c r="K5278" i="6"/>
  <c r="K5279" i="6"/>
  <c r="K5280" i="6"/>
  <c r="K5281" i="6"/>
  <c r="K5282" i="6"/>
  <c r="K5283" i="6"/>
  <c r="K5284" i="6"/>
  <c r="K5285" i="6"/>
  <c r="K5286" i="6"/>
  <c r="K5287" i="6"/>
  <c r="K5288" i="6"/>
  <c r="K5289" i="6"/>
  <c r="K5290" i="6"/>
  <c r="K5291" i="6"/>
  <c r="K5292" i="6"/>
  <c r="K5293" i="6"/>
  <c r="K5294" i="6"/>
  <c r="K5295" i="6"/>
  <c r="K5296" i="6"/>
  <c r="K5297" i="6"/>
  <c r="K5298" i="6"/>
  <c r="K5299" i="6"/>
  <c r="K5300" i="6"/>
  <c r="K5301" i="6"/>
  <c r="K5302" i="6"/>
  <c r="K5303" i="6"/>
  <c r="K5304" i="6"/>
  <c r="K5305" i="6"/>
  <c r="K5306" i="6"/>
  <c r="K5307" i="6"/>
  <c r="K5308" i="6"/>
  <c r="K5309" i="6"/>
  <c r="K5310" i="6"/>
  <c r="K5311" i="6"/>
  <c r="K5312" i="6"/>
  <c r="K5313" i="6"/>
  <c r="K5314" i="6"/>
  <c r="K5315" i="6"/>
  <c r="K5316" i="6"/>
  <c r="K5317" i="6"/>
  <c r="K5318" i="6"/>
  <c r="K5319" i="6"/>
  <c r="K5320" i="6"/>
  <c r="K5321" i="6"/>
  <c r="K5322" i="6"/>
  <c r="K5323" i="6"/>
  <c r="K5324" i="6"/>
  <c r="K5325" i="6"/>
  <c r="K5326" i="6"/>
  <c r="K5327" i="6"/>
  <c r="K5328" i="6"/>
  <c r="K5329" i="6"/>
  <c r="K5330" i="6"/>
  <c r="K5331" i="6"/>
  <c r="K5332" i="6"/>
  <c r="K5333" i="6"/>
  <c r="K5334" i="6"/>
  <c r="K5335" i="6"/>
  <c r="K5336" i="6"/>
  <c r="K5337" i="6"/>
  <c r="K5338" i="6"/>
  <c r="K5339" i="6"/>
  <c r="K5340" i="6"/>
  <c r="K5341" i="6"/>
  <c r="K5342" i="6"/>
  <c r="K5343" i="6"/>
  <c r="K5344" i="6"/>
  <c r="K5345" i="6"/>
  <c r="K5346" i="6"/>
  <c r="K5347" i="6"/>
  <c r="K5348" i="6"/>
  <c r="K5349" i="6"/>
  <c r="K5350" i="6"/>
  <c r="K5351" i="6"/>
  <c r="K5352" i="6"/>
  <c r="K5353" i="6"/>
  <c r="K5354" i="6"/>
  <c r="K5355" i="6"/>
  <c r="K5356" i="6"/>
  <c r="K5357" i="6"/>
  <c r="K5358" i="6"/>
  <c r="K5359" i="6"/>
  <c r="K5360" i="6"/>
  <c r="K5361" i="6"/>
  <c r="K5362" i="6"/>
  <c r="K5363" i="6"/>
  <c r="K5364" i="6"/>
  <c r="K5365" i="6"/>
  <c r="K5366" i="6"/>
  <c r="K5367" i="6"/>
  <c r="K5368" i="6"/>
  <c r="K5369" i="6"/>
  <c r="K5370" i="6"/>
  <c r="K5371" i="6"/>
  <c r="K5372" i="6"/>
  <c r="K5373" i="6"/>
  <c r="K5374" i="6"/>
  <c r="K5375" i="6"/>
  <c r="K5376" i="6"/>
  <c r="K5377" i="6"/>
  <c r="K5378" i="6"/>
  <c r="K5379" i="6"/>
  <c r="K5380" i="6"/>
  <c r="K5381" i="6"/>
  <c r="K5382" i="6"/>
  <c r="K5383" i="6"/>
  <c r="K5384" i="6"/>
  <c r="K5385" i="6"/>
  <c r="K5386" i="6"/>
  <c r="K5387" i="6"/>
  <c r="K5388" i="6"/>
  <c r="K5389" i="6"/>
  <c r="K5390" i="6"/>
  <c r="K5391" i="6"/>
  <c r="K5392" i="6"/>
  <c r="K5393" i="6"/>
  <c r="K5394" i="6"/>
  <c r="K5395" i="6"/>
  <c r="K5396" i="6"/>
  <c r="K5397" i="6"/>
  <c r="K5398" i="6"/>
  <c r="K5399" i="6"/>
  <c r="K5400" i="6"/>
  <c r="K5401" i="6"/>
  <c r="M5401" i="6" s="1"/>
  <c r="K5402" i="6"/>
  <c r="K5403" i="6"/>
  <c r="K5404" i="6"/>
  <c r="K5405" i="6"/>
  <c r="K5406" i="6"/>
  <c r="K5407" i="6"/>
  <c r="K5408" i="6"/>
  <c r="K5409" i="6"/>
  <c r="K5410" i="6"/>
  <c r="K5411" i="6"/>
  <c r="K5412" i="6"/>
  <c r="K5413" i="6"/>
  <c r="K5414" i="6"/>
  <c r="K5415" i="6"/>
  <c r="K5416" i="6"/>
  <c r="K5417" i="6"/>
  <c r="K5418" i="6"/>
  <c r="K5419" i="6"/>
  <c r="K5420" i="6"/>
  <c r="K5421" i="6"/>
  <c r="M5421" i="6" s="1"/>
  <c r="K5422" i="6"/>
  <c r="K5423" i="6"/>
  <c r="K5424" i="6"/>
  <c r="K5425" i="6"/>
  <c r="K5426" i="6"/>
  <c r="K5427" i="6"/>
  <c r="K5428" i="6"/>
  <c r="K5429" i="6"/>
  <c r="K5430" i="6"/>
  <c r="K5431" i="6"/>
  <c r="K5432" i="6"/>
  <c r="K5433" i="6"/>
  <c r="K5434" i="6"/>
  <c r="K5435" i="6"/>
  <c r="K5436" i="6"/>
  <c r="K5437" i="6"/>
  <c r="K5438" i="6"/>
  <c r="K5439" i="6"/>
  <c r="K5440" i="6"/>
  <c r="K5441" i="6"/>
  <c r="M5441" i="6" s="1"/>
  <c r="K5442" i="6"/>
  <c r="K5443" i="6"/>
  <c r="K5444" i="6"/>
  <c r="K5445" i="6"/>
  <c r="K5446" i="6"/>
  <c r="K5447" i="6"/>
  <c r="K5448" i="6"/>
  <c r="K5449" i="6"/>
  <c r="K5450" i="6"/>
  <c r="K5451" i="6"/>
  <c r="K5452" i="6"/>
  <c r="K5453" i="6"/>
  <c r="K5454" i="6"/>
  <c r="K5455" i="6"/>
  <c r="K5456" i="6"/>
  <c r="K5457" i="6"/>
  <c r="K5458" i="6"/>
  <c r="K5459" i="6"/>
  <c r="K5460" i="6"/>
  <c r="K5461" i="6"/>
  <c r="M5461" i="6" s="1"/>
  <c r="K5462" i="6"/>
  <c r="K5463" i="6"/>
  <c r="K5464" i="6"/>
  <c r="K5465" i="6"/>
  <c r="K5466" i="6"/>
  <c r="K5467" i="6"/>
  <c r="K5468" i="6"/>
  <c r="K5469" i="6"/>
  <c r="K5470" i="6"/>
  <c r="K5471" i="6"/>
  <c r="K5472" i="6"/>
  <c r="K5473" i="6"/>
  <c r="K5474" i="6"/>
  <c r="K5475" i="6"/>
  <c r="K5476" i="6"/>
  <c r="K5477" i="6"/>
  <c r="K5478" i="6"/>
  <c r="K5479" i="6"/>
  <c r="K5480" i="6"/>
  <c r="K5481" i="6"/>
  <c r="M5481" i="6" s="1"/>
  <c r="K5482" i="6"/>
  <c r="K5483" i="6"/>
  <c r="K5484" i="6"/>
  <c r="K5485" i="6"/>
  <c r="K5486" i="6"/>
  <c r="K5487" i="6"/>
  <c r="K5488" i="6"/>
  <c r="K5489" i="6"/>
  <c r="K5490" i="6"/>
  <c r="K5491" i="6"/>
  <c r="K5492" i="6"/>
  <c r="K5493" i="6"/>
  <c r="K5494" i="6"/>
  <c r="K5495" i="6"/>
  <c r="K5496" i="6"/>
  <c r="K5497" i="6"/>
  <c r="K5498" i="6"/>
  <c r="K5499" i="6"/>
  <c r="K5500" i="6"/>
  <c r="M5500" i="6" s="1"/>
  <c r="K5501" i="6"/>
  <c r="M5501" i="6" s="1"/>
  <c r="K5502" i="6"/>
  <c r="K5503" i="6"/>
  <c r="K5504" i="6"/>
  <c r="K5505" i="6"/>
  <c r="K5506" i="6"/>
  <c r="K5507" i="6"/>
  <c r="K5508" i="6"/>
  <c r="K5509" i="6"/>
  <c r="K5510" i="6"/>
  <c r="K5511" i="6"/>
  <c r="K5512" i="6"/>
  <c r="K5513" i="6"/>
  <c r="M5513" i="6" s="1"/>
  <c r="K5514" i="6"/>
  <c r="K5515" i="6"/>
  <c r="K5516" i="6"/>
  <c r="M5516" i="6" s="1"/>
  <c r="K5517" i="6"/>
  <c r="K5518" i="6"/>
  <c r="K5519" i="6"/>
  <c r="K5520" i="6"/>
  <c r="M5520" i="6" s="1"/>
  <c r="K5521" i="6"/>
  <c r="M5521" i="6" s="1"/>
  <c r="K5522" i="6"/>
  <c r="K5523" i="6"/>
  <c r="K5524" i="6"/>
  <c r="K5525" i="6"/>
  <c r="K5526" i="6"/>
  <c r="K5527" i="6"/>
  <c r="K5528" i="6"/>
  <c r="K5529" i="6"/>
  <c r="K5530" i="6"/>
  <c r="K5531" i="6"/>
  <c r="K5532" i="6"/>
  <c r="K5533" i="6"/>
  <c r="M5533" i="6" s="1"/>
  <c r="K5534" i="6"/>
  <c r="K5535" i="6"/>
  <c r="K5536" i="6"/>
  <c r="M5536" i="6" s="1"/>
  <c r="K5537" i="6"/>
  <c r="K5538" i="6"/>
  <c r="K5539" i="6"/>
  <c r="K5540" i="6"/>
  <c r="M5540" i="6" s="1"/>
  <c r="K5541" i="6"/>
  <c r="M5541" i="6" s="1"/>
  <c r="K5542" i="6"/>
  <c r="K5543" i="6"/>
  <c r="K5544" i="6"/>
  <c r="K5545" i="6"/>
  <c r="K5546" i="6"/>
  <c r="K5547" i="6"/>
  <c r="K5548" i="6"/>
  <c r="K5549" i="6"/>
  <c r="K5550" i="6"/>
  <c r="K5551" i="6"/>
  <c r="K5552" i="6"/>
  <c r="K5553" i="6"/>
  <c r="M5553" i="6" s="1"/>
  <c r="K5554" i="6"/>
  <c r="M5554" i="6" s="1"/>
  <c r="K5555" i="6"/>
  <c r="K5556" i="6"/>
  <c r="K5557" i="6"/>
  <c r="K5558" i="6"/>
  <c r="K5559" i="6"/>
  <c r="K5560" i="6"/>
  <c r="M5560" i="6" s="1"/>
  <c r="K5561" i="6"/>
  <c r="M5561" i="6" s="1"/>
  <c r="K5562" i="6"/>
  <c r="K5563" i="6"/>
  <c r="K5564" i="6"/>
  <c r="M5564" i="6" s="1"/>
  <c r="K5565" i="6"/>
  <c r="M5565" i="6" s="1"/>
  <c r="K5566" i="6"/>
  <c r="K5567" i="6"/>
  <c r="K5568" i="6"/>
  <c r="K5569" i="6"/>
  <c r="K5570" i="6"/>
  <c r="M5570" i="6" s="1"/>
  <c r="K5571" i="6"/>
  <c r="K5572" i="6"/>
  <c r="K5573" i="6"/>
  <c r="M5573" i="6" s="1"/>
  <c r="K5574" i="6"/>
  <c r="K5575" i="6"/>
  <c r="K5576" i="6"/>
  <c r="K5577" i="6"/>
  <c r="K5578" i="6"/>
  <c r="K5579" i="6"/>
  <c r="K5580" i="6"/>
  <c r="M5580" i="6" s="1"/>
  <c r="K5581" i="6"/>
  <c r="M5581" i="6" s="1"/>
  <c r="K5582" i="6"/>
  <c r="K5583" i="6"/>
  <c r="K5584" i="6"/>
  <c r="K5585" i="6"/>
  <c r="M5585" i="6" s="1"/>
  <c r="K5586" i="6"/>
  <c r="K5587" i="6"/>
  <c r="K5588" i="6"/>
  <c r="K5589" i="6"/>
  <c r="K5590" i="6"/>
  <c r="M5590" i="6" s="1"/>
  <c r="K5591" i="6"/>
  <c r="K5592" i="6"/>
  <c r="K5593" i="6"/>
  <c r="M5593" i="6" s="1"/>
  <c r="K5594" i="6"/>
  <c r="M5594" i="6" s="1"/>
  <c r="K5595" i="6"/>
  <c r="K5596" i="6"/>
  <c r="M5596" i="6" s="1"/>
  <c r="K5597" i="6"/>
  <c r="K5598" i="6"/>
  <c r="K5599" i="6"/>
  <c r="K5600" i="6"/>
  <c r="M5600" i="6" s="1"/>
  <c r="K5601" i="6"/>
  <c r="M5601" i="6" s="1"/>
  <c r="K5602" i="6"/>
  <c r="K5603" i="6"/>
  <c r="K5604" i="6"/>
  <c r="K5605" i="6"/>
  <c r="M5605" i="6" s="1"/>
  <c r="K5606" i="6"/>
  <c r="K5607" i="6"/>
  <c r="K5608" i="6"/>
  <c r="K5609" i="6"/>
  <c r="K5610" i="6"/>
  <c r="M5610" i="6" s="1"/>
  <c r="K5611" i="6"/>
  <c r="K5612" i="6"/>
  <c r="K5613" i="6"/>
  <c r="M5613" i="6" s="1"/>
  <c r="K5614" i="6"/>
  <c r="M5614" i="6" s="1"/>
  <c r="K5615" i="6"/>
  <c r="K5616" i="6"/>
  <c r="M5616" i="6" s="1"/>
  <c r="K5617" i="6"/>
  <c r="K5618" i="6"/>
  <c r="K5619" i="6"/>
  <c r="K5620" i="6"/>
  <c r="M5620" i="6" s="1"/>
  <c r="K5621" i="6"/>
  <c r="M5621" i="6" s="1"/>
  <c r="K5622" i="6"/>
  <c r="K5623" i="6"/>
  <c r="K5624" i="6"/>
  <c r="K5625" i="6"/>
  <c r="M5625" i="6" s="1"/>
  <c r="K5626" i="6"/>
  <c r="K5627" i="6"/>
  <c r="K5628" i="6"/>
  <c r="K5629" i="6"/>
  <c r="K5630" i="6"/>
  <c r="M5630" i="6" s="1"/>
  <c r="K5631" i="6"/>
  <c r="K5632" i="6"/>
  <c r="K5633" i="6"/>
  <c r="M5633" i="6" s="1"/>
  <c r="K5634" i="6"/>
  <c r="M5634" i="6" s="1"/>
  <c r="K5635" i="6"/>
  <c r="K5636" i="6"/>
  <c r="K5637" i="6"/>
  <c r="K5638" i="6"/>
  <c r="K5639" i="6"/>
  <c r="K5640" i="6"/>
  <c r="M5640" i="6" s="1"/>
  <c r="K5641" i="6"/>
  <c r="M5641" i="6" s="1"/>
  <c r="K5642" i="6"/>
  <c r="K5643" i="6"/>
  <c r="K5644" i="6"/>
  <c r="M5644" i="6" s="1"/>
  <c r="K5645" i="6"/>
  <c r="K5646" i="6"/>
  <c r="K5647" i="6"/>
  <c r="K5648" i="6"/>
  <c r="K5649" i="6"/>
  <c r="K5650" i="6"/>
  <c r="M5650" i="6" s="1"/>
  <c r="K5651" i="6"/>
  <c r="K5652" i="6"/>
  <c r="K5653" i="6"/>
  <c r="M5653" i="6" s="1"/>
  <c r="K5654" i="6"/>
  <c r="M5654" i="6" s="1"/>
  <c r="K5655" i="6"/>
  <c r="K5656" i="6"/>
  <c r="K5657" i="6"/>
  <c r="K5658" i="6"/>
  <c r="K5659" i="6"/>
  <c r="K5660" i="6"/>
  <c r="M5660" i="6" s="1"/>
  <c r="K5661" i="6"/>
  <c r="M5661" i="6" s="1"/>
  <c r="K5662" i="6"/>
  <c r="K5663" i="6"/>
  <c r="K5664" i="6"/>
  <c r="K5665" i="6"/>
  <c r="M5665" i="6" s="1"/>
  <c r="K5666" i="6"/>
  <c r="K5667" i="6"/>
  <c r="K5668" i="6"/>
  <c r="K5669" i="6"/>
  <c r="K5670" i="6"/>
  <c r="M5670" i="6" s="1"/>
  <c r="K5671" i="6"/>
  <c r="K5672" i="6"/>
  <c r="K5673" i="6"/>
  <c r="M5673" i="6" s="1"/>
  <c r="K5674" i="6"/>
  <c r="M5674" i="6" s="1"/>
  <c r="K5675" i="6"/>
  <c r="K5676" i="6"/>
  <c r="M5676" i="6" s="1"/>
  <c r="K5677" i="6"/>
  <c r="K5678" i="6"/>
  <c r="K5679" i="6"/>
  <c r="K5680" i="6"/>
  <c r="M5680" i="6" s="1"/>
  <c r="K5681" i="6"/>
  <c r="M5681" i="6" s="1"/>
  <c r="K5682" i="6"/>
  <c r="K5683" i="6"/>
  <c r="K5684" i="6"/>
  <c r="K5685" i="6"/>
  <c r="M5685" i="6" s="1"/>
  <c r="K5686" i="6"/>
  <c r="K5687" i="6"/>
  <c r="K5688" i="6"/>
  <c r="K5689" i="6"/>
  <c r="K5690" i="6"/>
  <c r="M5690" i="6" s="1"/>
  <c r="K5691" i="6"/>
  <c r="K5692" i="6"/>
  <c r="K5693" i="6"/>
  <c r="M5693" i="6" s="1"/>
  <c r="K5694" i="6"/>
  <c r="M5694" i="6" s="1"/>
  <c r="K5695" i="6"/>
  <c r="K5696" i="6"/>
  <c r="M5696" i="6" s="1"/>
  <c r="K5697" i="6"/>
  <c r="K5698" i="6"/>
  <c r="K5699" i="6"/>
  <c r="K5700" i="6"/>
  <c r="M5700" i="6" s="1"/>
  <c r="K5701" i="6"/>
  <c r="M5701" i="6" s="1"/>
  <c r="K5702" i="6"/>
  <c r="K5703" i="6"/>
  <c r="K5704" i="6"/>
  <c r="K5705" i="6"/>
  <c r="M5705" i="6" s="1"/>
  <c r="K5706" i="6"/>
  <c r="K5707" i="6"/>
  <c r="K5708" i="6"/>
  <c r="K5709" i="6"/>
  <c r="K5710" i="6"/>
  <c r="M5710" i="6" s="1"/>
  <c r="K5711" i="6"/>
  <c r="K5712" i="6"/>
  <c r="M5712" i="6" s="1"/>
  <c r="K5713" i="6"/>
  <c r="M5713" i="6" s="1"/>
  <c r="K5714" i="6"/>
  <c r="M5714" i="6" s="1"/>
  <c r="K5715" i="6"/>
  <c r="K5716" i="6"/>
  <c r="K5717" i="6"/>
  <c r="K5718" i="6"/>
  <c r="K5719" i="6"/>
  <c r="K5720" i="6"/>
  <c r="M5720" i="6" s="1"/>
  <c r="K5721" i="6"/>
  <c r="M5721" i="6" s="1"/>
  <c r="K5722" i="6"/>
  <c r="K5723" i="6"/>
  <c r="K5724" i="6"/>
  <c r="M5724" i="6" s="1"/>
  <c r="K5725" i="6"/>
  <c r="M5725" i="6" s="1"/>
  <c r="K5726" i="6"/>
  <c r="K5727" i="6"/>
  <c r="K5728" i="6"/>
  <c r="K5729" i="6"/>
  <c r="K5730" i="6"/>
  <c r="M5730" i="6" s="1"/>
  <c r="K5731" i="6"/>
  <c r="K5732" i="6"/>
  <c r="K5733" i="6"/>
  <c r="M5733" i="6" s="1"/>
  <c r="K5734" i="6"/>
  <c r="M5734" i="6" s="1"/>
  <c r="K5735" i="6"/>
  <c r="K5736" i="6"/>
  <c r="K5737" i="6"/>
  <c r="K5738" i="6"/>
  <c r="K5739" i="6"/>
  <c r="K5740" i="6"/>
  <c r="M5740" i="6" s="1"/>
  <c r="K5741" i="6"/>
  <c r="M5741" i="6" s="1"/>
  <c r="K5742" i="6"/>
  <c r="K5743" i="6"/>
  <c r="K5744" i="6"/>
  <c r="K5745" i="6"/>
  <c r="M5745" i="6" s="1"/>
  <c r="K5746" i="6"/>
  <c r="K5747" i="6"/>
  <c r="K5748" i="6"/>
  <c r="K5749" i="6"/>
  <c r="K5750" i="6"/>
  <c r="M5750" i="6" s="1"/>
  <c r="K5751" i="6"/>
  <c r="K5752" i="6"/>
  <c r="K5753" i="6"/>
  <c r="M5753" i="6" s="1"/>
  <c r="K5754" i="6"/>
  <c r="M5754" i="6" s="1"/>
  <c r="K5755" i="6"/>
  <c r="K5756" i="6"/>
  <c r="M5756" i="6" s="1"/>
  <c r="K5757" i="6"/>
  <c r="K5758" i="6"/>
  <c r="K5759" i="6"/>
  <c r="K5760" i="6"/>
  <c r="M5760" i="6" s="1"/>
  <c r="K5761" i="6"/>
  <c r="M5761" i="6" s="1"/>
  <c r="K5762" i="6"/>
  <c r="K5763" i="6"/>
  <c r="K5764" i="6"/>
  <c r="K5765" i="6"/>
  <c r="M5765" i="6" s="1"/>
  <c r="K5766" i="6"/>
  <c r="K5767" i="6"/>
  <c r="K5768" i="6"/>
  <c r="K5769" i="6"/>
  <c r="K5770" i="6"/>
  <c r="M5770" i="6" s="1"/>
  <c r="K5771" i="6"/>
  <c r="K5772" i="6"/>
  <c r="M5772" i="6" s="1"/>
  <c r="K5773" i="6"/>
  <c r="M5773" i="6" s="1"/>
  <c r="K5774" i="6"/>
  <c r="M5774" i="6" s="1"/>
  <c r="K5775" i="6"/>
  <c r="K5776" i="6"/>
  <c r="M5776" i="6" s="1"/>
  <c r="K5777" i="6"/>
  <c r="K5778" i="6"/>
  <c r="K5779" i="6"/>
  <c r="K5780" i="6"/>
  <c r="M5780" i="6" s="1"/>
  <c r="K5781" i="6"/>
  <c r="M5781" i="6" s="1"/>
  <c r="K5782" i="6"/>
  <c r="K5783" i="6"/>
  <c r="K5784" i="6"/>
  <c r="K5785" i="6"/>
  <c r="M5785" i="6" s="1"/>
  <c r="K5786" i="6"/>
  <c r="K5787" i="6"/>
  <c r="K5788" i="6"/>
  <c r="K5789" i="6"/>
  <c r="K5790" i="6"/>
  <c r="M5790" i="6" s="1"/>
  <c r="K5791" i="6"/>
  <c r="K5792" i="6"/>
  <c r="M5792" i="6" s="1"/>
  <c r="K5793" i="6"/>
  <c r="M5793" i="6" s="1"/>
  <c r="K5794" i="6"/>
  <c r="M5794" i="6" s="1"/>
  <c r="K5795" i="6"/>
  <c r="K5796" i="6"/>
  <c r="K5797" i="6"/>
  <c r="K5798" i="6"/>
  <c r="K5799" i="6"/>
  <c r="K5800" i="6"/>
  <c r="M5800" i="6" s="1"/>
  <c r="K5801" i="6"/>
  <c r="M5801" i="6" s="1"/>
  <c r="K5802" i="6"/>
  <c r="K5803" i="6"/>
  <c r="K5804" i="6"/>
  <c r="M5804" i="6" s="1"/>
  <c r="K5805" i="6"/>
  <c r="M5805" i="6" s="1"/>
  <c r="K5806" i="6"/>
  <c r="K5807" i="6"/>
  <c r="K5808" i="6"/>
  <c r="K5809" i="6"/>
  <c r="K5810" i="6"/>
  <c r="M5810" i="6" s="1"/>
  <c r="K5811" i="6"/>
  <c r="K5812" i="6"/>
  <c r="M5812" i="6" s="1"/>
  <c r="K5813" i="6"/>
  <c r="M5813" i="6" s="1"/>
  <c r="K5814" i="6"/>
  <c r="M5814" i="6" s="1"/>
  <c r="K5815" i="6"/>
  <c r="K5816" i="6"/>
  <c r="K5817" i="6"/>
  <c r="K5818" i="6"/>
  <c r="K5819" i="6"/>
  <c r="K5820" i="6"/>
  <c r="M5820" i="6" s="1"/>
  <c r="K5821" i="6"/>
  <c r="M5821" i="6" s="1"/>
  <c r="K5822" i="6"/>
  <c r="K5823" i="6"/>
  <c r="K5824" i="6"/>
  <c r="K5825" i="6"/>
  <c r="M5825" i="6" s="1"/>
  <c r="K5826" i="6"/>
  <c r="K5827" i="6"/>
  <c r="K5828" i="6"/>
  <c r="M5828" i="6" s="1"/>
  <c r="K5829" i="6"/>
  <c r="K5830" i="6"/>
  <c r="M5830" i="6" s="1"/>
  <c r="K5831" i="6"/>
  <c r="K5832" i="6"/>
  <c r="K5833" i="6"/>
  <c r="M5833" i="6" s="1"/>
  <c r="K5834" i="6"/>
  <c r="M5834" i="6" s="1"/>
  <c r="K5835" i="6"/>
  <c r="K5836" i="6"/>
  <c r="M5836" i="6" s="1"/>
  <c r="K5837" i="6"/>
  <c r="K5838" i="6"/>
  <c r="K5839" i="6"/>
  <c r="K5840" i="6"/>
  <c r="M5840" i="6" s="1"/>
  <c r="K5841" i="6"/>
  <c r="M5841" i="6" s="1"/>
  <c r="K5842" i="6"/>
  <c r="K5843" i="6"/>
  <c r="K5844" i="6"/>
  <c r="K5845" i="6"/>
  <c r="M5845" i="6" s="1"/>
  <c r="K5846" i="6"/>
  <c r="K5847" i="6"/>
  <c r="K5848" i="6"/>
  <c r="K5849" i="6"/>
  <c r="K5850" i="6"/>
  <c r="M5850" i="6" s="1"/>
  <c r="K5851" i="6"/>
  <c r="K5852" i="6"/>
  <c r="M5852" i="6" s="1"/>
  <c r="K5853" i="6"/>
  <c r="M5853" i="6" s="1"/>
  <c r="K5854" i="6"/>
  <c r="M5854" i="6" s="1"/>
  <c r="K5855" i="6"/>
  <c r="K5856" i="6"/>
  <c r="M5856" i="6" s="1"/>
  <c r="K5857" i="6"/>
  <c r="K5858" i="6"/>
  <c r="K5859" i="6"/>
  <c r="K5860" i="6"/>
  <c r="M5860" i="6" s="1"/>
  <c r="K5861" i="6"/>
  <c r="M5861" i="6" s="1"/>
  <c r="K5862" i="6"/>
  <c r="K5863" i="6"/>
  <c r="K5864" i="6"/>
  <c r="K5865" i="6"/>
  <c r="M5865" i="6" s="1"/>
  <c r="K5866" i="6"/>
  <c r="K5867" i="6"/>
  <c r="K5868" i="6"/>
  <c r="K5869" i="6"/>
  <c r="K5870" i="6"/>
  <c r="M5870" i="6" s="1"/>
  <c r="K5871" i="6"/>
  <c r="K5872" i="6"/>
  <c r="M5872" i="6" s="1"/>
  <c r="K5873" i="6"/>
  <c r="M5873" i="6" s="1"/>
  <c r="K5874" i="6"/>
  <c r="M5874" i="6" s="1"/>
  <c r="K5875" i="6"/>
  <c r="K5876" i="6"/>
  <c r="K5877" i="6"/>
  <c r="K5878" i="6"/>
  <c r="M5878" i="6" s="1"/>
  <c r="K5879" i="6"/>
  <c r="K5880" i="6"/>
  <c r="M5880" i="6" s="1"/>
  <c r="K5881" i="6"/>
  <c r="M5881" i="6" s="1"/>
  <c r="K5882" i="6"/>
  <c r="K5883" i="6"/>
  <c r="M5883" i="6" s="1"/>
  <c r="K5884" i="6"/>
  <c r="M5884" i="6" s="1"/>
  <c r="K5885" i="6"/>
  <c r="M5885" i="6" s="1"/>
  <c r="K5886" i="6"/>
  <c r="K5887" i="6"/>
  <c r="K5888" i="6"/>
  <c r="M5888" i="6" s="1"/>
  <c r="K5889" i="6"/>
  <c r="K5890" i="6"/>
  <c r="M5890" i="6" s="1"/>
  <c r="K5891" i="6"/>
  <c r="K5892" i="6"/>
  <c r="M5892" i="6" s="1"/>
  <c r="K5893" i="6"/>
  <c r="M5893" i="6" s="1"/>
  <c r="K5894" i="6"/>
  <c r="M5894" i="6" s="1"/>
  <c r="K5895" i="6"/>
  <c r="K5896" i="6"/>
  <c r="M5896" i="6" s="1"/>
  <c r="K5897" i="6"/>
  <c r="M5897" i="6" s="1"/>
  <c r="K5898" i="6"/>
  <c r="K5899" i="6"/>
  <c r="K5900" i="6"/>
  <c r="M5900" i="6" s="1"/>
  <c r="K5901" i="6"/>
  <c r="M5901" i="6" s="1"/>
  <c r="K5902" i="6"/>
  <c r="K5903" i="6"/>
  <c r="K5904" i="6"/>
  <c r="K5905" i="6"/>
  <c r="M5905" i="6" s="1"/>
  <c r="K5906" i="6"/>
  <c r="M5906" i="6" s="1"/>
  <c r="K5907" i="6"/>
  <c r="K5908" i="6"/>
  <c r="K5909" i="6"/>
  <c r="M5909" i="6" s="1"/>
  <c r="K5910" i="6"/>
  <c r="M5910" i="6" s="1"/>
  <c r="K5911" i="6"/>
  <c r="K5912" i="6"/>
  <c r="M5912" i="6" s="1"/>
  <c r="K5913" i="6"/>
  <c r="M5913" i="6" s="1"/>
  <c r="K5914" i="6"/>
  <c r="M5914" i="6" s="1"/>
  <c r="K5915" i="6"/>
  <c r="K5916" i="6"/>
  <c r="M5916" i="6" s="1"/>
  <c r="K5917" i="6"/>
  <c r="M5917" i="6" s="1"/>
  <c r="K5918" i="6"/>
  <c r="M5918" i="6" s="1"/>
  <c r="K5919" i="6"/>
  <c r="K5920" i="6"/>
  <c r="M5920" i="6" s="1"/>
  <c r="K5921" i="6"/>
  <c r="M5921" i="6" s="1"/>
  <c r="K5922" i="6"/>
  <c r="K5923" i="6"/>
  <c r="K5924" i="6"/>
  <c r="M5924" i="6" s="1"/>
  <c r="K5925" i="6"/>
  <c r="M5925" i="6" s="1"/>
  <c r="K5926" i="6"/>
  <c r="K5927" i="6"/>
  <c r="K5928" i="6"/>
  <c r="M5928" i="6" s="1"/>
  <c r="K5929" i="6"/>
  <c r="K5930" i="6"/>
  <c r="M5930" i="6" s="1"/>
  <c r="K5931" i="6"/>
  <c r="K5932" i="6"/>
  <c r="K5933" i="6"/>
  <c r="M5933" i="6" s="1"/>
  <c r="K5934" i="6"/>
  <c r="M5934" i="6" s="1"/>
  <c r="K5935" i="6"/>
  <c r="K5936" i="6"/>
  <c r="M5936" i="6" s="1"/>
  <c r="K5937" i="6"/>
  <c r="M5937" i="6" s="1"/>
  <c r="K5938" i="6"/>
  <c r="K5939" i="6"/>
  <c r="K5940" i="6"/>
  <c r="M5940" i="6" s="1"/>
  <c r="K5941" i="6"/>
  <c r="M5941" i="6" s="1"/>
  <c r="K5942" i="6"/>
  <c r="K5943" i="6"/>
  <c r="K5944" i="6"/>
  <c r="M5944" i="6" s="1"/>
  <c r="K5945" i="6"/>
  <c r="M5945" i="6" s="1"/>
  <c r="K5946" i="6"/>
  <c r="M5946" i="6" s="1"/>
  <c r="K5947" i="6"/>
  <c r="K5948" i="6"/>
  <c r="M5948" i="6" s="1"/>
  <c r="K5949" i="6"/>
  <c r="K5950" i="6"/>
  <c r="M5950" i="6" s="1"/>
  <c r="K5951" i="6"/>
  <c r="M5951" i="6" s="1"/>
  <c r="K5952" i="6"/>
  <c r="K5953" i="6"/>
  <c r="M5953" i="6" s="1"/>
  <c r="K5954" i="6"/>
  <c r="M5954" i="6" s="1"/>
  <c r="K5955" i="6"/>
  <c r="K5956" i="6"/>
  <c r="M5956" i="6" s="1"/>
  <c r="K5957" i="6"/>
  <c r="M5957" i="6" s="1"/>
  <c r="K5958" i="6"/>
  <c r="M5958" i="6" s="1"/>
  <c r="K5959" i="6"/>
  <c r="K5960" i="6"/>
  <c r="M5960" i="6" s="1"/>
  <c r="K5961" i="6"/>
  <c r="M5961" i="6" s="1"/>
  <c r="K5962" i="6"/>
  <c r="K5963" i="6"/>
  <c r="K5964" i="6"/>
  <c r="M5964" i="6" s="1"/>
  <c r="K5965" i="6"/>
  <c r="M5965" i="6" s="1"/>
  <c r="K5966" i="6"/>
  <c r="M5966" i="6" s="1"/>
  <c r="K5967" i="6"/>
  <c r="K5968" i="6"/>
  <c r="M5968" i="6" s="1"/>
  <c r="K5969" i="6"/>
  <c r="M5969" i="6" s="1"/>
  <c r="K5970" i="6"/>
  <c r="M5970" i="6" s="1"/>
  <c r="K5971" i="6"/>
  <c r="K5972" i="6"/>
  <c r="K5973" i="6"/>
  <c r="M5973" i="6" s="1"/>
  <c r="K5974" i="6"/>
  <c r="M5974" i="6" s="1"/>
  <c r="K5975" i="6"/>
  <c r="K5976" i="6"/>
  <c r="M5976" i="6" s="1"/>
  <c r="K5977" i="6"/>
  <c r="M5977" i="6" s="1"/>
  <c r="K5978" i="6"/>
  <c r="K5979" i="6"/>
  <c r="K5980" i="6"/>
  <c r="M5980" i="6" s="1"/>
  <c r="K5981" i="6"/>
  <c r="M5981" i="6" s="1"/>
  <c r="K5982" i="6"/>
  <c r="K5983" i="6"/>
  <c r="M5983" i="6" s="1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2" i="6"/>
  <c r="M5503" i="6"/>
  <c r="M5504" i="6"/>
  <c r="M5505" i="6"/>
  <c r="M5506" i="6"/>
  <c r="M5507" i="6"/>
  <c r="M5508" i="6"/>
  <c r="M5509" i="6"/>
  <c r="M5510" i="6"/>
  <c r="M5511" i="6"/>
  <c r="M5512" i="6"/>
  <c r="M5514" i="6"/>
  <c r="M5515" i="6"/>
  <c r="M5517" i="6"/>
  <c r="M5518" i="6"/>
  <c r="M5519" i="6"/>
  <c r="M5522" i="6"/>
  <c r="M5523" i="6"/>
  <c r="M5524" i="6"/>
  <c r="M5525" i="6"/>
  <c r="M5526" i="6"/>
  <c r="M5527" i="6"/>
  <c r="M5528" i="6"/>
  <c r="M5529" i="6"/>
  <c r="M5530" i="6"/>
  <c r="M5531" i="6"/>
  <c r="M5532" i="6"/>
  <c r="M5534" i="6"/>
  <c r="M5535" i="6"/>
  <c r="M5537" i="6"/>
  <c r="M5538" i="6"/>
  <c r="M5539" i="6"/>
  <c r="M5542" i="6"/>
  <c r="M5543" i="6"/>
  <c r="M5544" i="6"/>
  <c r="M5545" i="6"/>
  <c r="M5546" i="6"/>
  <c r="M5547" i="6"/>
  <c r="M5548" i="6"/>
  <c r="M5549" i="6"/>
  <c r="M5550" i="6"/>
  <c r="M5551" i="6"/>
  <c r="M5552" i="6"/>
  <c r="M5555" i="6"/>
  <c r="M5556" i="6"/>
  <c r="M5557" i="6"/>
  <c r="M5558" i="6"/>
  <c r="M5559" i="6"/>
  <c r="M5562" i="6"/>
  <c r="M5563" i="6"/>
  <c r="M5566" i="6"/>
  <c r="M5567" i="6"/>
  <c r="M5568" i="6"/>
  <c r="M5569" i="6"/>
  <c r="M5571" i="6"/>
  <c r="M5572" i="6"/>
  <c r="M5574" i="6"/>
  <c r="M5575" i="6"/>
  <c r="M5576" i="6"/>
  <c r="M5577" i="6"/>
  <c r="M5578" i="6"/>
  <c r="M5579" i="6"/>
  <c r="M5582" i="6"/>
  <c r="M5583" i="6"/>
  <c r="M5584" i="6"/>
  <c r="M5586" i="6"/>
  <c r="M5587" i="6"/>
  <c r="M5588" i="6"/>
  <c r="M5589" i="6"/>
  <c r="M5591" i="6"/>
  <c r="M5592" i="6"/>
  <c r="M5595" i="6"/>
  <c r="M5597" i="6"/>
  <c r="M5598" i="6"/>
  <c r="M5599" i="6"/>
  <c r="M5602" i="6"/>
  <c r="M5603" i="6"/>
  <c r="M5604" i="6"/>
  <c r="M5606" i="6"/>
  <c r="M5607" i="6"/>
  <c r="M5608" i="6"/>
  <c r="M5609" i="6"/>
  <c r="M5611" i="6"/>
  <c r="M5612" i="6"/>
  <c r="M5615" i="6"/>
  <c r="M5617" i="6"/>
  <c r="M5618" i="6"/>
  <c r="M5619" i="6"/>
  <c r="M5622" i="6"/>
  <c r="M5623" i="6"/>
  <c r="M5624" i="6"/>
  <c r="M5626" i="6"/>
  <c r="M5627" i="6"/>
  <c r="M5628" i="6"/>
  <c r="M5629" i="6"/>
  <c r="M5631" i="6"/>
  <c r="M5632" i="6"/>
  <c r="M5635" i="6"/>
  <c r="M5636" i="6"/>
  <c r="M5637" i="6"/>
  <c r="M5638" i="6"/>
  <c r="M5639" i="6"/>
  <c r="M5642" i="6"/>
  <c r="M5643" i="6"/>
  <c r="M5645" i="6"/>
  <c r="M5646" i="6"/>
  <c r="M5647" i="6"/>
  <c r="M5648" i="6"/>
  <c r="M5649" i="6"/>
  <c r="M5651" i="6"/>
  <c r="M5652" i="6"/>
  <c r="M5655" i="6"/>
  <c r="M5656" i="6"/>
  <c r="M5657" i="6"/>
  <c r="M5658" i="6"/>
  <c r="M5659" i="6"/>
  <c r="M5662" i="6"/>
  <c r="M5663" i="6"/>
  <c r="M5664" i="6"/>
  <c r="M5666" i="6"/>
  <c r="M5667" i="6"/>
  <c r="M5668" i="6"/>
  <c r="M5669" i="6"/>
  <c r="M5671" i="6"/>
  <c r="M5672" i="6"/>
  <c r="M5675" i="6"/>
  <c r="M5677" i="6"/>
  <c r="M5678" i="6"/>
  <c r="M5679" i="6"/>
  <c r="M5682" i="6"/>
  <c r="M5683" i="6"/>
  <c r="M5684" i="6"/>
  <c r="M5686" i="6"/>
  <c r="M5687" i="6"/>
  <c r="M5688" i="6"/>
  <c r="M5689" i="6"/>
  <c r="M5691" i="6"/>
  <c r="M5692" i="6"/>
  <c r="M5695" i="6"/>
  <c r="M5697" i="6"/>
  <c r="M5698" i="6"/>
  <c r="M5699" i="6"/>
  <c r="M5702" i="6"/>
  <c r="M5703" i="6"/>
  <c r="M5704" i="6"/>
  <c r="M5706" i="6"/>
  <c r="M5707" i="6"/>
  <c r="M5708" i="6"/>
  <c r="M5709" i="6"/>
  <c r="M5711" i="6"/>
  <c r="M5715" i="6"/>
  <c r="M5716" i="6"/>
  <c r="M5717" i="6"/>
  <c r="M5718" i="6"/>
  <c r="M5719" i="6"/>
  <c r="M5722" i="6"/>
  <c r="M5723" i="6"/>
  <c r="M5726" i="6"/>
  <c r="M5727" i="6"/>
  <c r="M5728" i="6"/>
  <c r="M5729" i="6"/>
  <c r="M5731" i="6"/>
  <c r="M5732" i="6"/>
  <c r="M5735" i="6"/>
  <c r="M5736" i="6"/>
  <c r="M5737" i="6"/>
  <c r="M5738" i="6"/>
  <c r="M5739" i="6"/>
  <c r="M5742" i="6"/>
  <c r="M5743" i="6"/>
  <c r="M5744" i="6"/>
  <c r="M5746" i="6"/>
  <c r="M5747" i="6"/>
  <c r="M5748" i="6"/>
  <c r="M5749" i="6"/>
  <c r="M5751" i="6"/>
  <c r="M5752" i="6"/>
  <c r="M5755" i="6"/>
  <c r="M5757" i="6"/>
  <c r="M5758" i="6"/>
  <c r="M5759" i="6"/>
  <c r="M5762" i="6"/>
  <c r="M5763" i="6"/>
  <c r="M5764" i="6"/>
  <c r="M5766" i="6"/>
  <c r="M5767" i="6"/>
  <c r="M5768" i="6"/>
  <c r="M5769" i="6"/>
  <c r="M5771" i="6"/>
  <c r="M5775" i="6"/>
  <c r="M5777" i="6"/>
  <c r="M5778" i="6"/>
  <c r="M5779" i="6"/>
  <c r="M5782" i="6"/>
  <c r="M5783" i="6"/>
  <c r="M5784" i="6"/>
  <c r="M5786" i="6"/>
  <c r="M5787" i="6"/>
  <c r="M5788" i="6"/>
  <c r="M5789" i="6"/>
  <c r="M5791" i="6"/>
  <c r="M5795" i="6"/>
  <c r="M5796" i="6"/>
  <c r="M5797" i="6"/>
  <c r="M5798" i="6"/>
  <c r="M5799" i="6"/>
  <c r="M5802" i="6"/>
  <c r="M5803" i="6"/>
  <c r="M5806" i="6"/>
  <c r="M5807" i="6"/>
  <c r="M5808" i="6"/>
  <c r="M5809" i="6"/>
  <c r="M5811" i="6"/>
  <c r="M5815" i="6"/>
  <c r="M5816" i="6"/>
  <c r="M5817" i="6"/>
  <c r="M5818" i="6"/>
  <c r="M5819" i="6"/>
  <c r="M5822" i="6"/>
  <c r="M5823" i="6"/>
  <c r="M5824" i="6"/>
  <c r="M5826" i="6"/>
  <c r="M5827" i="6"/>
  <c r="M5829" i="6"/>
  <c r="M5831" i="6"/>
  <c r="M5832" i="6"/>
  <c r="M5835" i="6"/>
  <c r="M5837" i="6"/>
  <c r="M5838" i="6"/>
  <c r="M5839" i="6"/>
  <c r="M5842" i="6"/>
  <c r="M5843" i="6"/>
  <c r="M5844" i="6"/>
  <c r="M5846" i="6"/>
  <c r="M5847" i="6"/>
  <c r="M5848" i="6"/>
  <c r="M5849" i="6"/>
  <c r="M5851" i="6"/>
  <c r="M5855" i="6"/>
  <c r="M5857" i="6"/>
  <c r="M5858" i="6"/>
  <c r="M5859" i="6"/>
  <c r="M5862" i="6"/>
  <c r="M5863" i="6"/>
  <c r="M5864" i="6"/>
  <c r="M5866" i="6"/>
  <c r="M5867" i="6"/>
  <c r="M5868" i="6"/>
  <c r="M5869" i="6"/>
  <c r="M5871" i="6"/>
  <c r="M5875" i="6"/>
  <c r="M5876" i="6"/>
  <c r="M5877" i="6"/>
  <c r="M5879" i="6"/>
  <c r="M5882" i="6"/>
  <c r="M5886" i="6"/>
  <c r="M5887" i="6"/>
  <c r="M5889" i="6"/>
  <c r="M5891" i="6"/>
  <c r="M5895" i="6"/>
  <c r="M5898" i="6"/>
  <c r="M5899" i="6"/>
  <c r="M5902" i="6"/>
  <c r="M5903" i="6"/>
  <c r="M5904" i="6"/>
  <c r="M5907" i="6"/>
  <c r="M5908" i="6"/>
  <c r="M5911" i="6"/>
  <c r="M5915" i="6"/>
  <c r="M5919" i="6"/>
  <c r="M5922" i="6"/>
  <c r="M5923" i="6"/>
  <c r="M5926" i="6"/>
  <c r="M5927" i="6"/>
  <c r="M5929" i="6"/>
  <c r="M5931" i="6"/>
  <c r="M5932" i="6"/>
  <c r="M5935" i="6"/>
  <c r="M5938" i="6"/>
  <c r="M5939" i="6"/>
  <c r="M5942" i="6"/>
  <c r="M5943" i="6"/>
  <c r="M5947" i="6"/>
  <c r="M5949" i="6"/>
  <c r="M5952" i="6"/>
  <c r="M5955" i="6"/>
  <c r="M5959" i="6"/>
  <c r="M5962" i="6"/>
  <c r="M5963" i="6"/>
  <c r="M5967" i="6"/>
  <c r="M5971" i="6"/>
  <c r="M5972" i="6"/>
  <c r="M5975" i="6"/>
  <c r="M5978" i="6"/>
  <c r="M5979" i="6"/>
  <c r="M5982" i="6"/>
  <c r="L13" i="4" l="1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12" i="4"/>
  <c r="K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Ugur Aydin</author>
  </authors>
  <commentList>
    <comment ref="L11" authorId="0" shapeId="0" xr:uid="{9125555A-DF62-4420-80E3-F57B6790C894}">
      <text>
        <r>
          <rPr>
            <sz val="9"/>
            <color indexed="81"/>
            <rFont val="Tahoma"/>
            <family val="2"/>
            <charset val="162"/>
          </rPr>
          <t xml:space="preserve">ÜMİT BEY'İN DİKKATİNE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59072A-ADFC-4BD2-A5DE-3FF2C84330BD}" keepAlive="1" name="Sorgu - DST_123_ÜRETİM_İHTİYAÇ_RAPORU_BURAK_YENI1309" description="Çalışma kitabındaki 'DST_123_ÜRETİM_İHTİYAÇ_RAPORU_BURAK_YENI1309' sorgusuna yönelik bağlantı." type="5" refreshedVersion="8" background="1" saveData="1">
    <dbPr connection="Provider=Microsoft.Mashup.OleDb.1;Data Source=$Workbook$;Location=DST_123_ÜRETİM_İHTİYAÇ_RAPORU_BURAK_YENI1309;Extended Properties=&quot;&quot;" command="SELECT * FROM [DST_123_ÜRETİM_İHTİYAÇ_RAPORU_BURAK_YENI1309]"/>
  </connection>
</connections>
</file>

<file path=xl/sharedStrings.xml><?xml version="1.0" encoding="utf-8"?>
<sst xmlns="http://schemas.openxmlformats.org/spreadsheetml/2006/main" count="49862" uniqueCount="1233">
  <si>
    <t>ELTS0099H013</t>
  </si>
  <si>
    <t>AYDINLATMA DOKUNMATİK GRİ - BEYAZ IŞIK</t>
  </si>
  <si>
    <t>ELSF0099H006</t>
  </si>
  <si>
    <t>DSXX0099H020</t>
  </si>
  <si>
    <t>KUMAŞ PELUŞ GRİ</t>
  </si>
  <si>
    <t>ELSF0099H034</t>
  </si>
  <si>
    <t>KABLO TELLİ 16MM SİYAH</t>
  </si>
  <si>
    <t>ELTS0099H045</t>
  </si>
  <si>
    <t>MPPT ŞARJ 20A</t>
  </si>
  <si>
    <t>ELSF0099H085</t>
  </si>
  <si>
    <t>SOLAR MONTAJ KÖŞE BRAKET</t>
  </si>
  <si>
    <t>ELTS0099H060</t>
  </si>
  <si>
    <t>USB 12V 2Lİ SİYAH</t>
  </si>
  <si>
    <t>ELSF0099H093</t>
  </si>
  <si>
    <t xml:space="preserve">KABLO 3X1,5 </t>
  </si>
  <si>
    <t>ELTS0099H022</t>
  </si>
  <si>
    <t>EBERSPAECHER DİJİTAL SAAT HYD HS3</t>
  </si>
  <si>
    <t>ELTS0099H026</t>
  </si>
  <si>
    <t>GAZ SENSÖRÜ</t>
  </si>
  <si>
    <t>ELSF0099H026</t>
  </si>
  <si>
    <t>KABLO KORUMA KAPAK GÜNEŞ PANELİ SİYAH</t>
  </si>
  <si>
    <t>ELSF0099H033</t>
  </si>
  <si>
    <t>KABLO TELLİ 16MM KIRMIZI</t>
  </si>
  <si>
    <t>ELSF0099H054</t>
  </si>
  <si>
    <t>HRXX0099H095</t>
  </si>
  <si>
    <t>KİLİT ŞİFRELİ ASMA</t>
  </si>
  <si>
    <t>HRXX0099H120</t>
  </si>
  <si>
    <t>TUTAMAK ARKA</t>
  </si>
  <si>
    <t>HRXX0099H127</t>
  </si>
  <si>
    <t>VİDA KÖŞE BAĞLANTI PLASTİK ŞEFFAF</t>
  </si>
  <si>
    <t>HRXX0099H161</t>
  </si>
  <si>
    <t>VİDALI KROŞE BEYAZ EK02</t>
  </si>
  <si>
    <t>DSXX28DNH035</t>
  </si>
  <si>
    <t>SÜNGER 1.40x2.40 28 DNS 8LİK</t>
  </si>
  <si>
    <t>ELTS0099H036</t>
  </si>
  <si>
    <t>KONNEKTÖR GÜNEŞ PANEL</t>
  </si>
  <si>
    <t>ELTS0099H042</t>
  </si>
  <si>
    <t>LEDLİ ÇEVRE AYDINLATMA SİYAH 10CM</t>
  </si>
  <si>
    <t>ELSF0099H086</t>
  </si>
  <si>
    <t>SPOT 12V 25MM METAL</t>
  </si>
  <si>
    <t>HRXX0099H099</t>
  </si>
  <si>
    <t>MENTEŞE LALE MAKAS</t>
  </si>
  <si>
    <t>HRXX0099H130</t>
  </si>
  <si>
    <t>VİDA SUNTA 3,5X13</t>
  </si>
  <si>
    <t>HRXX0099H165</t>
  </si>
  <si>
    <t>KELEPÇE  PASLANMAZ 12X22</t>
  </si>
  <si>
    <t>HRXX0099H181</t>
  </si>
  <si>
    <t xml:space="preserve">SPANZET 35MM </t>
  </si>
  <si>
    <t>HRXX0099H183</t>
  </si>
  <si>
    <t>SPANZET MINI</t>
  </si>
  <si>
    <t>ELTS0099H023</t>
  </si>
  <si>
    <t>EBERSPAECHER KIT</t>
  </si>
  <si>
    <t>ELTS0099H024</t>
  </si>
  <si>
    <t>EBERSPAECHER KOMPLE ISITICI D2L 12V</t>
  </si>
  <si>
    <t>ELTS0099H025</t>
  </si>
  <si>
    <t>EGSOZT UCU PAZLANMAZ ÇIKIŞI</t>
  </si>
  <si>
    <t>ELSF0099H022</t>
  </si>
  <si>
    <t>KABLO KANAL 40X16</t>
  </si>
  <si>
    <t>ELTS0099H030</t>
  </si>
  <si>
    <t>KAÇAK AKIM ROLESİ 25 AMPER</t>
  </si>
  <si>
    <t>ELSF0099H083</t>
  </si>
  <si>
    <t>SİGORTA 16 AH 220 W</t>
  </si>
  <si>
    <t>HRXX0099H158</t>
  </si>
  <si>
    <t>KABLO KANAL 12X12</t>
  </si>
  <si>
    <t>HRXX0099H173</t>
  </si>
  <si>
    <t xml:space="preserve">SİFON LAVABO KÖRÜKLÜ PLASTİK </t>
  </si>
  <si>
    <t>HRXX0099H212</t>
  </si>
  <si>
    <t>1/2 DIŞ DİŞLİ SARI HORTUM UCU</t>
  </si>
  <si>
    <t>KRXX0099H108</t>
  </si>
  <si>
    <t>KMIZ0099H001</t>
  </si>
  <si>
    <t xml:space="preserve">ELYAF E MAT 300 CAM </t>
  </si>
  <si>
    <t>KMPY0099H011</t>
  </si>
  <si>
    <t>KMIZ0099H013</t>
  </si>
  <si>
    <t>MKTS0099H009</t>
  </si>
  <si>
    <t>THERME SU ISITICI (220 V) 5LT</t>
  </si>
  <si>
    <t>MKSF0099H026</t>
  </si>
  <si>
    <t>HORTUM UCU 1 PARMAK SİYAH</t>
  </si>
  <si>
    <t>MKSF0099H033</t>
  </si>
  <si>
    <t>POLİETİLEN BURÇ BÜYÜK</t>
  </si>
  <si>
    <t>MKSF0099H039</t>
  </si>
  <si>
    <t>SARI DİRSEK KUYRUKLU 1 PARMAK</t>
  </si>
  <si>
    <t>MBAP0099H009</t>
  </si>
  <si>
    <t>KONTRA KAVAK 4 MM-170X220</t>
  </si>
  <si>
    <t>MBAP1001H018</t>
  </si>
  <si>
    <t>LAMİNANT RULO 1001 ANTRASİT</t>
  </si>
  <si>
    <t>KRXX0099H001</t>
  </si>
  <si>
    <t>BALTA KÜREK MONTAJ SETİ</t>
  </si>
  <si>
    <t>KMIZ0099H029</t>
  </si>
  <si>
    <t>YAPIŞTIRICI HIZLI XXX GR</t>
  </si>
  <si>
    <t>MKSF0099H020</t>
  </si>
  <si>
    <t xml:space="preserve">HORTUM  TELLİ ŞEFAF 16 MM </t>
  </si>
  <si>
    <t>MKTS0099H032</t>
  </si>
  <si>
    <t>MUSLUK  SOĞUK-SICAK ÇİFT GÖZ</t>
  </si>
  <si>
    <t>MKSF0099H043</t>
  </si>
  <si>
    <t>SARI KUYRUKLU DİRSEK 1/2</t>
  </si>
  <si>
    <t>KRXX0099H039</t>
  </si>
  <si>
    <t>KUM PALETİ SİYAH</t>
  </si>
  <si>
    <t>KRXX0099H041</t>
  </si>
  <si>
    <t>KUM-BALTA X7</t>
  </si>
  <si>
    <t>KRXX0099H114</t>
  </si>
  <si>
    <t>KMIZ0099H002</t>
  </si>
  <si>
    <t xml:space="preserve">ELYAF E MAT 450 CAM </t>
  </si>
  <si>
    <t>KMPY0099H010</t>
  </si>
  <si>
    <t>POLYESTER ÇELİK MACUN</t>
  </si>
  <si>
    <t>KMIZ0099H012</t>
  </si>
  <si>
    <t>MKSF0099H034</t>
  </si>
  <si>
    <t>POLİETİLEN BURÇ KÜÇÜK</t>
  </si>
  <si>
    <t>MKTS0099H039</t>
  </si>
  <si>
    <t>SİNTİNE POMPASI 750 BASINC</t>
  </si>
  <si>
    <t>MBAP0099H006</t>
  </si>
  <si>
    <t>KONTRA KAVAK 12 MM-170X220</t>
  </si>
  <si>
    <t>KRXX0099H042</t>
  </si>
  <si>
    <t>KUM-KÜREK</t>
  </si>
  <si>
    <t>KRXX0099H059</t>
  </si>
  <si>
    <t>TENTE ALBİNA 2.2 SİYAH</t>
  </si>
  <si>
    <t>KMPY0099H006</t>
  </si>
  <si>
    <t>MEK PEROKSİT-DONDURUCU M50</t>
  </si>
  <si>
    <t>KMPY0099H008</t>
  </si>
  <si>
    <t>POLYESTER</t>
  </si>
  <si>
    <t>MKSF0099H027</t>
  </si>
  <si>
    <t>HORTUM UCU 1/2  PARMAK SİYAH</t>
  </si>
  <si>
    <t>KMIZ0099H028</t>
  </si>
  <si>
    <t>DSXX0099H047</t>
  </si>
  <si>
    <t>KUMAŞ PELUŞ KREM</t>
  </si>
  <si>
    <t>ELSF0099H106</t>
  </si>
  <si>
    <t>KMBY0099H053</t>
  </si>
  <si>
    <t>POLİÜRETAN MDİ</t>
  </si>
  <si>
    <t>MBAP0099H042</t>
  </si>
  <si>
    <t>PVC BANT MEŞE 22MM TORTANA</t>
  </si>
  <si>
    <t>KMBY0099H052</t>
  </si>
  <si>
    <t>POLİÜRETAN HAMMADDE 1030</t>
  </si>
  <si>
    <t>HRXX0099H336</t>
  </si>
  <si>
    <t>VİDA PASLANMAZ 4,2X25</t>
  </si>
  <si>
    <t>PABUÇ SKP 16-6</t>
  </si>
  <si>
    <t>ELSF0099H137</t>
  </si>
  <si>
    <t>DSXX0099H064</t>
  </si>
  <si>
    <t>KUMAŞ ELYAF 120 GR</t>
  </si>
  <si>
    <t>PABUÇ SKP 6-6</t>
  </si>
  <si>
    <t>ELSF0099H131</t>
  </si>
  <si>
    <t>SOLAR MONTAJ ORTA BRAKET</t>
  </si>
  <si>
    <t>DSXX0099H060</t>
  </si>
  <si>
    <t>SÜNGER 1.40x2.40 28 DNS 5LİK</t>
  </si>
  <si>
    <t>DSXX0099H062</t>
  </si>
  <si>
    <t>CIRT YUVARLAK</t>
  </si>
  <si>
    <t>ELTS0099H086</t>
  </si>
  <si>
    <t>PABUÇ SKP 16-8</t>
  </si>
  <si>
    <t>MBAP0099H010</t>
  </si>
  <si>
    <t>KONTRA KAVAK 8 MM-170X220</t>
  </si>
  <si>
    <t>ELTS0099H070</t>
  </si>
  <si>
    <t>SOLAR PANEL 205W</t>
  </si>
  <si>
    <t>DSXX0099H061</t>
  </si>
  <si>
    <t>SÜNGER 1.40x2.40 28 DNS 3LÜK</t>
  </si>
  <si>
    <t>HRXX0099H385</t>
  </si>
  <si>
    <t>KABLO BAĞI CİRT 3.60X200</t>
  </si>
  <si>
    <t>HRXX0099H421</t>
  </si>
  <si>
    <t>PUSH BUTON BL06-160-CH KROM PARLAK</t>
  </si>
  <si>
    <t>ELSF0099H149</t>
  </si>
  <si>
    <t>KABLO 1X1,5 BEYAZ</t>
  </si>
  <si>
    <t>MKTS0099H080</t>
  </si>
  <si>
    <t>ARA NİPEL 10-1/2 MM</t>
  </si>
  <si>
    <t>MKTS0099H079</t>
  </si>
  <si>
    <t>BAKIR BORU 10MM</t>
  </si>
  <si>
    <t>ELTS0099H095</t>
  </si>
  <si>
    <t>İNVERTÖR 1000W TAM SİNÜS</t>
  </si>
  <si>
    <t>PROJE_KODU</t>
  </si>
  <si>
    <t>KARAVAN_ADI</t>
  </si>
  <si>
    <t>ALT_KOD_TÜR</t>
  </si>
  <si>
    <t>ALT_KOD</t>
  </si>
  <si>
    <t>ALT_ADI</t>
  </si>
  <si>
    <t>MIKTAR</t>
  </si>
  <si>
    <t>BIRIM</t>
  </si>
  <si>
    <t>ELDE_KALAN</t>
  </si>
  <si>
    <t>AÇIK_SATINALMA_SİPARİŞLERİ</t>
  </si>
  <si>
    <t>BIRIM_FIYATLAR</t>
  </si>
  <si>
    <t>TUTAR</t>
  </si>
  <si>
    <t>ALTSTOKGRUPKODU</t>
  </si>
  <si>
    <t>Hammadde</t>
  </si>
  <si>
    <t>ADET</t>
  </si>
  <si>
    <t>KARAVAN EKİPMAN</t>
  </si>
  <si>
    <t>MEKANİK</t>
  </si>
  <si>
    <t>METRE</t>
  </si>
  <si>
    <t>HIRDAVAT</t>
  </si>
  <si>
    <t>MOBİLYA</t>
  </si>
  <si>
    <t>M2</t>
  </si>
  <si>
    <t>KİMYASAL</t>
  </si>
  <si>
    <t>DÖŞEME</t>
  </si>
  <si>
    <t>KG</t>
  </si>
  <si>
    <t>M3</t>
  </si>
  <si>
    <t>SATINALMA</t>
  </si>
  <si>
    <t>TOPLAM</t>
  </si>
  <si>
    <t>Birim Fiyat</t>
  </si>
  <si>
    <t>Toplam Maliyet</t>
  </si>
  <si>
    <t>Toplam İhtiyaç</t>
  </si>
  <si>
    <t>Açık Siparişler</t>
  </si>
  <si>
    <t>Depo Stok</t>
  </si>
  <si>
    <t>Toplam Satınalma</t>
  </si>
  <si>
    <t>Satır Etiketleri</t>
  </si>
  <si>
    <t>Genel Toplam</t>
  </si>
  <si>
    <t>Ticarimal</t>
  </si>
  <si>
    <t>KRXX0099H086</t>
  </si>
  <si>
    <t>BUZDOLABI İNDEL B-CRUİSE 42 LT</t>
  </si>
  <si>
    <t>PROJELERE_ÇIKIŞLAR_YENI</t>
  </si>
  <si>
    <t>ELTS0099H001</t>
  </si>
  <si>
    <t>ELSF0099H071</t>
  </si>
  <si>
    <t>MAKARON 16 MM </t>
  </si>
  <si>
    <t>HRXX0099H001</t>
  </si>
  <si>
    <t>BANT BEZ TÜYLÜ</t>
  </si>
  <si>
    <t>HRXX0099H019</t>
  </si>
  <si>
    <t>HRXX0099H020</t>
  </si>
  <si>
    <t>HRXX0099H144</t>
  </si>
  <si>
    <t>ELSF0099H132</t>
  </si>
  <si>
    <t>KRXX0099H249</t>
  </si>
  <si>
    <t>PLASTIK KONTROL KAPAGI-IC CAP 165MM</t>
  </si>
  <si>
    <t>ÜRETİM DEPO</t>
  </si>
  <si>
    <t>SON SATINALMA CARİ ÜNVANI</t>
  </si>
  <si>
    <t>FERMİL MOBİL SİSTEMLERİ A.Ş.</t>
  </si>
  <si>
    <t>AÇSA OTOMOTİV BİLGİSAYAR VE TEKSTİL SANAYİ VE TİC. LTD. ŞTİ.</t>
  </si>
  <si>
    <t>MS YILDIZ TEKNİK YAPI HIRDAVAT İNŞAAT MAKİNE SANAYİ VE TİC. LTD. ŞTİ.</t>
  </si>
  <si>
    <t>ECK MARİNE ELEKTRİK SAN. VE TİC. LTD. ŞTİ</t>
  </si>
  <si>
    <t>ELSF0099H183</t>
  </si>
  <si>
    <t>BICAK SİGORTA 30 A</t>
  </si>
  <si>
    <t>OTO SÜNER OTOMOTİV İNŞ. TURİZM PAZ. SAN. VE TİC. LTD. ŞTİ.</t>
  </si>
  <si>
    <t>ELEKTRİK</t>
  </si>
  <si>
    <t>ÇADIR</t>
  </si>
  <si>
    <t>TÜM ORMAN ÜRÜNLERİ MOBİLYA SANAYİ VE TİC. LTD. ŞTİ.</t>
  </si>
  <si>
    <t>GÜLKAN DÖŞEME MALZEMELERİ LİMİTED ŞİRKETİ</t>
  </si>
  <si>
    <t>LED DOLAP İÇİ AYDINLATMA BEYAZ</t>
  </si>
  <si>
    <t>MİMAKS AKSESUAR MOBİLYA SANAYİ VE TİCARET LTD.ŞTİ.</t>
  </si>
  <si>
    <t>ELECTRO ZİRVE ENERJİ BİLİŞİM SANAYİ VE DIŞ TİCARET LİMİTED ŞİRKETİ</t>
  </si>
  <si>
    <t>UTKU ELEKTRİK SAN. VE TİC. LTD. ŞTİ.</t>
  </si>
  <si>
    <t>ELSF0099H007</t>
  </si>
  <si>
    <t>BICAK SİGORTA 10 A</t>
  </si>
  <si>
    <t>ELSF0099H008</t>
  </si>
  <si>
    <t>BICAK SİGORTA 15 A</t>
  </si>
  <si>
    <t>ELSF0099H009</t>
  </si>
  <si>
    <t>BICAK SİGORTA 20 A</t>
  </si>
  <si>
    <t>MAVİLİM ELEKTRONİK GÜV.TEKNOLO.BİLG.SİST.TAAHHÜT SAN.TİC.LTD.ŞTİ.</t>
  </si>
  <si>
    <t>KORONA ENDÜSTRİYEL ELEKTRİK MÜHENDİSLİK SANAYİ VE TİCARET A.Ş.</t>
  </si>
  <si>
    <t>ELSF0099H078</t>
  </si>
  <si>
    <t>ELSF0099H081</t>
  </si>
  <si>
    <t>HRXX0099H013</t>
  </si>
  <si>
    <t>BEZ HURDA</t>
  </si>
  <si>
    <t>ENSAN ENDÜSTRİ MALZEMELERİ NAKLİYAT TİCARET VE SAN. LTD. ŞTİ.</t>
  </si>
  <si>
    <t>HRXX0099H021</t>
  </si>
  <si>
    <t>FIRÇA AHŞAP SAPLI 3 NUMARA</t>
  </si>
  <si>
    <t>HRXX0099H097</t>
  </si>
  <si>
    <t xml:space="preserve">MENFEZ ALİMİNYUM 30X7 </t>
  </si>
  <si>
    <t>ÜNVER ÇELİK HALAT HIR DENİZ MAL SAN VE TİC LTD ŞTİ</t>
  </si>
  <si>
    <t>GEBZE KARTAL CAM AKSESUAR İNŞ.SAN. VE TİC.LTD.ŞTİ.</t>
  </si>
  <si>
    <t>AVC ARAZİ TAŞITI AKSESUARLARI OTO VE KAMP LTD. ŞTİ.</t>
  </si>
  <si>
    <t>KAUÇUK TAKOZ CİVATALI 9CM</t>
  </si>
  <si>
    <t>SİKA MASTİK SOSİS SİYAH SOTAŞ</t>
  </si>
  <si>
    <t>SOTAŞ KİMYEVİ MADDELER SAN. TİC. A.Ş.</t>
  </si>
  <si>
    <t>GÜLTEKİN PRES DÖKÜM SU ARMATÖRLERİ METAL KAPLAMA SANAYİ VE TİC. LTD. ŞTİ.</t>
  </si>
  <si>
    <t>NEXON POLIMER KIMYA SANAYI VE TICARET A.Ş.</t>
  </si>
  <si>
    <t>EGE DUVAR VE ZEMİN KAPLAMA SİSTEMLERİ SAN.TİC.LTD.ŞTİ</t>
  </si>
  <si>
    <t>STAR ALÜMİNYUM PAZARLAMA SANAYİ VE TİCARET ANONİM ŞİRKETİ</t>
  </si>
  <si>
    <t>ELSF0099H119</t>
  </si>
  <si>
    <t>KMIZ0099H037</t>
  </si>
  <si>
    <t>SİLİKON ÇİVİ TÜP</t>
  </si>
  <si>
    <t>KARADENİZ YAPIŞTIRICILAR VE ENDÜSTRİYEL ÜRÜN. SAN. TİC. LTD.ŞTİ.</t>
  </si>
  <si>
    <t>DSXX0099H048</t>
  </si>
  <si>
    <t>SPREY S1 YAPIŞTIRICI 15LT</t>
  </si>
  <si>
    <t>MARMARA MALZEMECİLİK MOBİLYA SAN. VE TİC. A.Ş</t>
  </si>
  <si>
    <t>AGUS KARAVAN TİC. LTD. ŞTİ.</t>
  </si>
  <si>
    <t>ELTS0099H096</t>
  </si>
  <si>
    <t>KRXX0099H218</t>
  </si>
  <si>
    <t>REİCH DIŞ DUŞ JAKLI SİYAH</t>
  </si>
  <si>
    <t>HRXX0099H521</t>
  </si>
  <si>
    <t>ÇITÇIT METAL PASLANMAZ</t>
  </si>
  <si>
    <t>KRXX0099H232</t>
  </si>
  <si>
    <t>ELTS0099H101</t>
  </si>
  <si>
    <t>BIÇAK SİGORTA KUTUSU 4LÜ</t>
  </si>
  <si>
    <t>MKTS0099H097</t>
  </si>
  <si>
    <t>MKTS0099H098</t>
  </si>
  <si>
    <t>MKTS0099H118</t>
  </si>
  <si>
    <t>SU DOLUM AĞZI BERHİMİ SİYAH</t>
  </si>
  <si>
    <t>KAMPERSAN OTOMOTİV KARAVAN EKİPMANLARI SANAYİ TİCARET ANONİM ŞİRKETİ</t>
  </si>
  <si>
    <t>MKTS0099H119</t>
  </si>
  <si>
    <t>MKTS0099H120</t>
  </si>
  <si>
    <t>MKTS0099H121</t>
  </si>
  <si>
    <t>MKTS0099H122</t>
  </si>
  <si>
    <t>ELDİVEN MUAYENE PUDRALI</t>
  </si>
  <si>
    <t>ELDİVEN NİTRİL</t>
  </si>
  <si>
    <t>HRXX0099H084</t>
  </si>
  <si>
    <t>DEGOBAJ UCU T118A</t>
  </si>
  <si>
    <t xml:space="preserve">VİDA SUNTA 5X25 </t>
  </si>
  <si>
    <t>KMPY0099H001</t>
  </si>
  <si>
    <t>AEROSİL</t>
  </si>
  <si>
    <t>POLYESTER TEMİZLEYİCİ ASETON</t>
  </si>
  <si>
    <t>SİKA MASTİK SOSİS BEYAZ SOTAŞ</t>
  </si>
  <si>
    <t>HAYRİOĞLU POLYESTER İNŞAAT YAPI ÜRÜNLERİ SANAYİ VE TİC. LTD. ŞTİ.</t>
  </si>
  <si>
    <t>HRXX0099H338</t>
  </si>
  <si>
    <t>DÜZ DEMİR BAĞLANTI</t>
  </si>
  <si>
    <t>İzoleli Kablo Yüksüğü 1,5MM</t>
  </si>
  <si>
    <t>HRXX0099H345</t>
  </si>
  <si>
    <t>ELSF0099H024</t>
  </si>
  <si>
    <t>KABLO KANALI 25X16</t>
  </si>
  <si>
    <t>AKRİDA TEKSTİL SAN. İÇ VE DIŞ TİC. LTD.ŞTİ.</t>
  </si>
  <si>
    <t>ÜRETİM_DEPO</t>
  </si>
  <si>
    <t>PROJELERE_ÇIKIŞLAR</t>
  </si>
  <si>
    <t>KMIZ0099H054</t>
  </si>
  <si>
    <t>SİKA MASTİK SOSİS NP1</t>
  </si>
  <si>
    <t>(Tümü)</t>
  </si>
  <si>
    <t>Toplam MIKTAR</t>
  </si>
  <si>
    <t>FİŞ ERKEK 1X16 TOPRAKLI DÜZ</t>
  </si>
  <si>
    <t>TEKLİ ÇERÇEVE SİYAH</t>
  </si>
  <si>
    <t>TOPRAKLI PRİZ Ç.K. KAPAKLI SIYAH</t>
  </si>
  <si>
    <t>MKSF0099H032</t>
  </si>
  <si>
    <t>MENFEZ KROM YUVARLAK 35X43</t>
  </si>
  <si>
    <t>TOPRAKLI PRİZ MEKANIZMA Ç.B.</t>
  </si>
  <si>
    <t>FİŞ DİŞİ 3X16 KAPAKLI</t>
  </si>
  <si>
    <t>TUTKAL DENİZ MAGNETO 500GR</t>
  </si>
  <si>
    <t>MKSF0099H021</t>
  </si>
  <si>
    <t xml:space="preserve">HORTUM  TELLİ ŞEFAF 25 MM </t>
  </si>
  <si>
    <t>TUZLA HORTUM SANAYİ TİCARET A.Ş.</t>
  </si>
  <si>
    <t>GLADiATOR AYAK SAĞ ARKA NO.3 TRİM</t>
  </si>
  <si>
    <t>GLADiATOR AYAK SAĞ ÖN NO.4 TRİM</t>
  </si>
  <si>
    <t>GLADiATOR AYAK SOL ARKA NO.1 TRİM</t>
  </si>
  <si>
    <t>GLADiATOR AYAK SOL ÖN NO.2 TRİM</t>
  </si>
  <si>
    <t>MBAP0099H018</t>
  </si>
  <si>
    <t>KERESTE DEK LADİN</t>
  </si>
  <si>
    <t>HRXX0099H033</t>
  </si>
  <si>
    <t>RULO PARMAK 10MM YEDEK İÇ</t>
  </si>
  <si>
    <t>LEHİM TELİ 1,2 MM</t>
  </si>
  <si>
    <t>MKTS0099H054</t>
  </si>
  <si>
    <t>POLİETİLEN TABAKA 8MM</t>
  </si>
  <si>
    <t>BURÇMETAL PLASTİK ÇELİK A.Ş.</t>
  </si>
  <si>
    <t>HRXX0099H213</t>
  </si>
  <si>
    <t>LOCTİTE 243 CONTA YAPIŞTIRICI 50 ML</t>
  </si>
  <si>
    <t>HRXX0099H011</t>
  </si>
  <si>
    <t>BANT TEFLON</t>
  </si>
  <si>
    <t>HRXX0099H299</t>
  </si>
  <si>
    <t>KLİNGRİT CONTA 1/2</t>
  </si>
  <si>
    <t>HRXX0099H121</t>
  </si>
  <si>
    <t>VAKUMLU DUŞ BAŞLIĞI TUTUCUSU</t>
  </si>
  <si>
    <t>MKTS0099H123</t>
  </si>
  <si>
    <t>MKTS0099H124</t>
  </si>
  <si>
    <t>PİLESAN ALÜMİNYUM YAPI MALZEMELERİ İNŞAAT SANAYİ VE DIŞ TİCARET LİMİTED ŞİRKETİ</t>
  </si>
  <si>
    <t>KMIZ0099H059</t>
  </si>
  <si>
    <t>ÖRGÜ KEÇE ELYAF 600/225</t>
  </si>
  <si>
    <t>HRXX0099H028</t>
  </si>
  <si>
    <t>MASKE TOZ</t>
  </si>
  <si>
    <t>KMIZ0099H058</t>
  </si>
  <si>
    <t>SİKAFLEX 100 AKTİVATÖR 1000ML</t>
  </si>
  <si>
    <t>HRXX0099H067</t>
  </si>
  <si>
    <t>FIRÇA PRİMER</t>
  </si>
  <si>
    <t>SÜLEYMAN ÜÇDAL   [ GÜÇLAS KAUÇUK ]</t>
  </si>
  <si>
    <t>KMIZ0099H057</t>
  </si>
  <si>
    <t>SİKAFLEX 206 PRİMER 1000ML</t>
  </si>
  <si>
    <t>KMIZ0099H015</t>
  </si>
  <si>
    <t>SİLİKON AYNA</t>
  </si>
  <si>
    <t>HRXX0099H133</t>
  </si>
  <si>
    <t>VİDA SUNTA 3,5X25</t>
  </si>
  <si>
    <t>HRXX0099H217</t>
  </si>
  <si>
    <t>CİVATA PASLANMAZ  M10X60</t>
  </si>
  <si>
    <t>HRXX0099H197</t>
  </si>
  <si>
    <t>PUL ŞAŞE GALVANİZ M10</t>
  </si>
  <si>
    <t>HRXX0099H175</t>
  </si>
  <si>
    <t>SOMUN PASLANMAZ FİBERLİ M8</t>
  </si>
  <si>
    <t>HRXX0099H138</t>
  </si>
  <si>
    <t>VİDA SUNTA 3X13</t>
  </si>
  <si>
    <t>MKSF0099H025</t>
  </si>
  <si>
    <t>HORTUM OKSİJEN MAVİ 10MM</t>
  </si>
  <si>
    <t>MKSF0099H024</t>
  </si>
  <si>
    <t>HORTUM OKSİJEN KIRMIZI 10MM</t>
  </si>
  <si>
    <t>HRXX0099H143</t>
  </si>
  <si>
    <t>VİDA SUNTA 5X20</t>
  </si>
  <si>
    <t>HRXX0099H320</t>
  </si>
  <si>
    <t>KELEPÇE PASLANMAZ 10X16</t>
  </si>
  <si>
    <t>İBRAHİM YAMAÇ   [ YAMAÇ OTOMOTİV ]</t>
  </si>
  <si>
    <t>HRXX0099H166</t>
  </si>
  <si>
    <t>KELEPÇE  PASLANMAZ 22X36</t>
  </si>
  <si>
    <t>MKSF0099H037</t>
  </si>
  <si>
    <t>SARI HORTUM  TE 10 MM</t>
  </si>
  <si>
    <t>HRXX0099H203</t>
  </si>
  <si>
    <t>SARI HORTUM REKORU 10MM 3/8 DIŞ DİŞLİ</t>
  </si>
  <si>
    <t>MKSF0099H035</t>
  </si>
  <si>
    <t>SARI 1/2 DEPO KOVANI</t>
  </si>
  <si>
    <t>MKSF0099H038</t>
  </si>
  <si>
    <t>SARI DİRSEK 1/2</t>
  </si>
  <si>
    <t>MKSF0099H001</t>
  </si>
  <si>
    <t>BORU CELİK GAZ 8MM</t>
  </si>
  <si>
    <t>MKSF0099H056</t>
  </si>
  <si>
    <t>SARI REKOR 12 MM 1/2</t>
  </si>
  <si>
    <t>HRXX0099H224</t>
  </si>
  <si>
    <t>L DEMİR ÇEKTİRME</t>
  </si>
  <si>
    <t>MBAP6004H064</t>
  </si>
  <si>
    <t>HRXX0099H137</t>
  </si>
  <si>
    <t>VİDA SUNTA 3,5X50</t>
  </si>
  <si>
    <t>MKSF0099H006</t>
  </si>
  <si>
    <t>CİVATA PASLANMAZ M8X50</t>
  </si>
  <si>
    <t>MBAP0099H019</t>
  </si>
  <si>
    <t>KONTRA FALCATA 12 MM 122X250</t>
  </si>
  <si>
    <t>BOĞAZİÇİ BAKIM KORUMA KİMYASALLARI VE DIŞ TİC. LTD. ŞTİ.</t>
  </si>
  <si>
    <t>KMIZ0099H016</t>
  </si>
  <si>
    <t>SİLİKON DOLAP TOPLAMA KİTİ</t>
  </si>
  <si>
    <t>HRXX0099H132</t>
  </si>
  <si>
    <t>VİDA SUNTA 3,5X20</t>
  </si>
  <si>
    <t>KMIZ0099H008</t>
  </si>
  <si>
    <t>MACUN ANTRASİT</t>
  </si>
  <si>
    <t>ELSF0099H141</t>
  </si>
  <si>
    <t>AKÜ KUTUP BAŞI KORUMA KILIFI SİYAH</t>
  </si>
  <si>
    <t>ELSF0099H069</t>
  </si>
  <si>
    <t>AKÜ KUTUP BAŞI KORUMA KILIFI KIRMIZI</t>
  </si>
  <si>
    <t>ELSF0099H088</t>
  </si>
  <si>
    <t>WAGO 2LÜ</t>
  </si>
  <si>
    <t>ELSF0099H090</t>
  </si>
  <si>
    <t>WAGO 5 LÜ</t>
  </si>
  <si>
    <t>ELSF0099H175</t>
  </si>
  <si>
    <t>SF2D KABLO UCU DİŞİ TERMİNAL + KILIF</t>
  </si>
  <si>
    <t>HRXX0099H526</t>
  </si>
  <si>
    <t>LEHİM PASTASI</t>
  </si>
  <si>
    <t>GR</t>
  </si>
  <si>
    <t>ELSF0099H074</t>
  </si>
  <si>
    <t>ELSF0099H129</t>
  </si>
  <si>
    <t>MAKARON 25,4 MM</t>
  </si>
  <si>
    <t>HRXX0099H134</t>
  </si>
  <si>
    <t>VİDA SUNTA 3,5X35</t>
  </si>
  <si>
    <t>HRXX0099H103</t>
  </si>
  <si>
    <t>CHARGER 25A (110V-230V)</t>
  </si>
  <si>
    <t>DSXX0099H055</t>
  </si>
  <si>
    <t>STEP 201 KREM</t>
  </si>
  <si>
    <t>AVİSTA GLOBAL TEKSTİL İNŞAAT TURİZM SANAYİ VE TİCARET A.Ş.</t>
  </si>
  <si>
    <t>BARA VİDALI 6LI 150 A</t>
  </si>
  <si>
    <t>ELSF0099H146</t>
  </si>
  <si>
    <t>SİGORTA MEGAVAL 100A 3 AYAKLI</t>
  </si>
  <si>
    <t>ELTS0099H100</t>
  </si>
  <si>
    <t>SOLAR PANEL DEVRE KESİCİ BUTON</t>
  </si>
  <si>
    <t>DMR TABELA SİSTEMLERİ SERİGRAFİ MATBAA REKLAM SAN. TİC. LTD. ŞTİ.</t>
  </si>
  <si>
    <t>MKTS0099H128</t>
  </si>
  <si>
    <t>GLADİATOR XL AYAK GÖVDE BAĞLANTISI SOL ARKA NO.1</t>
  </si>
  <si>
    <t>MKTS0099H129</t>
  </si>
  <si>
    <t>GLADİATOR XL AYAK GÖVDE BAĞLANTISI SOL ÖN NO.2</t>
  </si>
  <si>
    <t>MKTS0099H130</t>
  </si>
  <si>
    <t>GLADİATOR XL AYAK GÖVDE BAĞLANTISI SAĞ ARKA NO.3</t>
  </si>
  <si>
    <t>MKTS0099H131</t>
  </si>
  <si>
    <t>GLADİATOR XL AYAK GÖVDE BAĞLANTISI SAĞ ÖN NO.4</t>
  </si>
  <si>
    <t>MKTS0099H133</t>
  </si>
  <si>
    <t>GLADiATOR XL AYAK SOL ARKA NO.1 TRİM</t>
  </si>
  <si>
    <t>MKTS0099H134</t>
  </si>
  <si>
    <t>GLADiATOR XL AYAK SOL ÖN NO.2 TRİM</t>
  </si>
  <si>
    <t>MKTS0099H135</t>
  </si>
  <si>
    <t>GLADiATOR XL AYAK SAĞ ARKA NO.3 TRİM</t>
  </si>
  <si>
    <t>MKTS0099H136</t>
  </si>
  <si>
    <t>GLADiATOR XL AYAK SAĞ ÖN NO.4 TRİM</t>
  </si>
  <si>
    <t>HRXX0099H555</t>
  </si>
  <si>
    <t>HRXX0099H556</t>
  </si>
  <si>
    <t>RAY 35 LİK TELESKOBİK FRENLİ</t>
  </si>
  <si>
    <t>ELTS0099H068</t>
  </si>
  <si>
    <t>CHARGER GÜÇ (POWER) BESLEME KABLOSU</t>
  </si>
  <si>
    <t>MKTS0099H146</t>
  </si>
  <si>
    <t>MKTS0099H147</t>
  </si>
  <si>
    <t>SU BASINÇ DÜŞÜRÜCÜ VALF PİSTONLU 1/2</t>
  </si>
  <si>
    <t>ÇALIŞKANLAR İNŞAAT TURİZM SAN.VE TİC.LTD.ŞTİ</t>
  </si>
  <si>
    <t>HRXX0099H081</t>
  </si>
  <si>
    <t>ÇITCIT PİRİNÇ METAL 7MM</t>
  </si>
  <si>
    <t>HRXX0099H189</t>
  </si>
  <si>
    <t>VİDA PASLANMAZ MERCİMEK BAŞLI 4,2X25</t>
  </si>
  <si>
    <t>KMIZ0099H024</t>
  </si>
  <si>
    <t xml:space="preserve">SİLİKON SICAK </t>
  </si>
  <si>
    <t>HRXX0099H241</t>
  </si>
  <si>
    <t>SIVA SÜNGERİ</t>
  </si>
  <si>
    <t>KMPY0099H015</t>
  </si>
  <si>
    <t>KALIP AYIRICI PROVAKS</t>
  </si>
  <si>
    <t>MKSF0099H063</t>
  </si>
  <si>
    <t>KELEPÇE GAZ DEVRESİ P KLİPS</t>
  </si>
  <si>
    <t>HRXX0099H386</t>
  </si>
  <si>
    <t>KABLO BAĞI CİRT 3.60X300</t>
  </si>
  <si>
    <t>KMPY0099H019</t>
  </si>
  <si>
    <t>MKSF0099H081</t>
  </si>
  <si>
    <t>ARA NİPEL 8-10 MM GAZ DEVRESİ</t>
  </si>
  <si>
    <t>HRXX0099H483</t>
  </si>
  <si>
    <t>CİVATA M10X90 8,8 GALVANİZ</t>
  </si>
  <si>
    <t>HRXX0099H484</t>
  </si>
  <si>
    <t>SOMUN FİBERLİ M10 GALVANİZ</t>
  </si>
  <si>
    <t>HRXX0099H490</t>
  </si>
  <si>
    <t>CAM ALTLIK SES STOPERİ</t>
  </si>
  <si>
    <t>HRXX0099H491</t>
  </si>
  <si>
    <t>HRXX0099H551</t>
  </si>
  <si>
    <t>PUL 4,3X12X1 PASLANMAZ</t>
  </si>
  <si>
    <t>HRXX0099H564</t>
  </si>
  <si>
    <t>CİVATA PASLANMAZ M10X50 ALTIGEN BAŞ</t>
  </si>
  <si>
    <t>TM2 BİLİŞİM OTOMOTİV TİCARET LİMİTED ŞİRKETİ</t>
  </si>
  <si>
    <t>3D-BASKI</t>
  </si>
  <si>
    <t>3DBK0099H004</t>
  </si>
  <si>
    <t>MERDİVEN AYAK</t>
  </si>
  <si>
    <t>3DBK0099H005</t>
  </si>
  <si>
    <t>MERDİVEN DESTEK</t>
  </si>
  <si>
    <t>3DBK0099H006</t>
  </si>
  <si>
    <t>THULE KAPAK</t>
  </si>
  <si>
    <t>OMNİS KOMPOZİT SANAYİ VE TİCARET LİMİTED ŞİRKETİ</t>
  </si>
  <si>
    <t>DSXX0099H004</t>
  </si>
  <si>
    <t>İPLİK KAYTAN</t>
  </si>
  <si>
    <t>DSXX0099H106</t>
  </si>
  <si>
    <t>SOFTSHELL MEMBRANLI KUMAS</t>
  </si>
  <si>
    <t>MT</t>
  </si>
  <si>
    <t>ECTURB100002</t>
  </si>
  <si>
    <t>URBAN BADGER BENZİN BİDONU</t>
  </si>
  <si>
    <t>ECTURB100003</t>
  </si>
  <si>
    <t>URBAN BADGER BENZİN BİDONU ANAHTAR</t>
  </si>
  <si>
    <t>ELSF0099H140</t>
  </si>
  <si>
    <t>KABLO SPRAL BORU YARIKLI PG25</t>
  </si>
  <si>
    <t>ELSF0099H188</t>
  </si>
  <si>
    <t>DİYOT 1N4007</t>
  </si>
  <si>
    <t>İNFOTEK ELEKTRONİK SANAYİ VE TİCARET ANONİM ŞİRKETİ</t>
  </si>
  <si>
    <t>ELSF0099H189</t>
  </si>
  <si>
    <t>SİGORTA KUTUSU 6 LI SİYAH KAPAKLI</t>
  </si>
  <si>
    <t>VENTA ENERJİ LİMİTED ŞİRKETİ</t>
  </si>
  <si>
    <t>ELTS0099H129</t>
  </si>
  <si>
    <t>TRANSFER SWİTCH 63A</t>
  </si>
  <si>
    <t>ELTS0099H131</t>
  </si>
  <si>
    <t>PABUÇ SKP 16-10</t>
  </si>
  <si>
    <t>ELTS0099H132</t>
  </si>
  <si>
    <t>VERONA ESNEK OKUMA LAMBASI-SIYAH</t>
  </si>
  <si>
    <t>HRXX0099H009</t>
  </si>
  <si>
    <t>BANT MASKELEME MAVİ 25 MM</t>
  </si>
  <si>
    <t>HRXX0099H010</t>
  </si>
  <si>
    <t>BANT MASKELEME MAVİ 50 MM</t>
  </si>
  <si>
    <t>HRXX0099H029</t>
  </si>
  <si>
    <t>MAŞRAPA ÖLÇEKLİ</t>
  </si>
  <si>
    <t>HRXX0099H054</t>
  </si>
  <si>
    <t>ZIMPARA ORBİTAL 320</t>
  </si>
  <si>
    <t>HRXX0099H055</t>
  </si>
  <si>
    <t>ZIMPARA ORBİTAL 40</t>
  </si>
  <si>
    <t>HRXX0099H059</t>
  </si>
  <si>
    <t>ZIMPARA ORBİTAL 80</t>
  </si>
  <si>
    <t>HRXX0099H070</t>
  </si>
  <si>
    <t>ALÜMİNYUM KÖŞE PROFİL KROM 1X1</t>
  </si>
  <si>
    <t>HRXX0099H142</t>
  </si>
  <si>
    <t>VİDA SUNTA 4X70</t>
  </si>
  <si>
    <t>HRXX0099H149</t>
  </si>
  <si>
    <t>ZIMBA TELİ 80/14</t>
  </si>
  <si>
    <t>HRXX0099H153</t>
  </si>
  <si>
    <t>FERMUAR SİYAH</t>
  </si>
  <si>
    <t>HRXX0099H177</t>
  </si>
  <si>
    <t>SOMUN PASLANMAZ KÖR M8</t>
  </si>
  <si>
    <t>HRXX0099H184</t>
  </si>
  <si>
    <t>VİDA PASLANMAZ HAVŞA 3,9X16</t>
  </si>
  <si>
    <t>HRXX0099H301</t>
  </si>
  <si>
    <t>PUL ŞASE 3/8</t>
  </si>
  <si>
    <t>HRXX0099H312</t>
  </si>
  <si>
    <t>PERÇİN 4X15</t>
  </si>
  <si>
    <t>HRXX0099H330</t>
  </si>
  <si>
    <t>TAPA ANTRASİT 14 MM</t>
  </si>
  <si>
    <t>HRXX0099H342</t>
  </si>
  <si>
    <t>VİDA SUNTA 5X40</t>
  </si>
  <si>
    <t>HRXX0099H373</t>
  </si>
  <si>
    <t>PUSH BUTON BL03-GB AY FÜME</t>
  </si>
  <si>
    <t>HRXX0099H396</t>
  </si>
  <si>
    <t>ZIMPARA ORBİTAL 180</t>
  </si>
  <si>
    <t>HRXX0099H410</t>
  </si>
  <si>
    <t>POST RULO- 10luk POLYESTER YEDEK</t>
  </si>
  <si>
    <t>HRXX0099H417</t>
  </si>
  <si>
    <t>ZIMBA TELİ EF15 5000Lİ</t>
  </si>
  <si>
    <t>HRXX0099H418</t>
  </si>
  <si>
    <t>VİDA SUNTA 5x60</t>
  </si>
  <si>
    <t>HRXX0099H424</t>
  </si>
  <si>
    <t>GÖZLÜK ŞEFFAF</t>
  </si>
  <si>
    <t>HRXX0099H428</t>
  </si>
  <si>
    <t>BANT MASKELEME DAYSON 48 MM</t>
  </si>
  <si>
    <t>HRXX0099H429</t>
  </si>
  <si>
    <t>BANT MASKELEME DAYSON 24 MM</t>
  </si>
  <si>
    <t>HRXX0099H457</t>
  </si>
  <si>
    <t>VİDA YHB 3,9x38</t>
  </si>
  <si>
    <t>FIBER DISK ZIMPARA 40LIK</t>
  </si>
  <si>
    <t>HRXX0099H523</t>
  </si>
  <si>
    <t>KAPI ALTI SÜNGER</t>
  </si>
  <si>
    <t>HRXX0099H558</t>
  </si>
  <si>
    <t>SAC VİDASI 4,2X16 YSB</t>
  </si>
  <si>
    <t>HRXX0099H566</t>
  </si>
  <si>
    <t>VİDA PASLANMAZ 4,8X25 YHB</t>
  </si>
  <si>
    <t>HRXX0099H604</t>
  </si>
  <si>
    <t>PENCERE FİTİLİ BEYAZ</t>
  </si>
  <si>
    <t>KMIZ0099H006</t>
  </si>
  <si>
    <t xml:space="preserve">KÖPÜK SPREY POLİURETAN  </t>
  </si>
  <si>
    <t>KMIZ0099H072</t>
  </si>
  <si>
    <t>KODIPLAST BUTIL 570ML</t>
  </si>
  <si>
    <t>KMPY0099H013</t>
  </si>
  <si>
    <t>KALIP AYIRICI SIVI PVA</t>
  </si>
  <si>
    <t>SOLVENT MONTAJ TEMİZLEME 1  NUMARA</t>
  </si>
  <si>
    <t>KMPY0099H023</t>
  </si>
  <si>
    <t>POLİYA POLİJEL F 209 Z GRİ</t>
  </si>
  <si>
    <t>KMPY9016H026</t>
  </si>
  <si>
    <t>POLİYA POLİJEL F 215 BEYAZ (RAL-9016)</t>
  </si>
  <si>
    <t>KENAN SÖNMEZ ( ALBİNA TENTE )</t>
  </si>
  <si>
    <t>MERDİVEN 3+1 BASAMAKLI ALÜMİNYUM</t>
  </si>
  <si>
    <t>KRXX0099H130</t>
  </si>
  <si>
    <t>ARAÇ BİLGİ ETİKETİ - STANDART</t>
  </si>
  <si>
    <t>OCTOOPİ 7İNC</t>
  </si>
  <si>
    <t>OCTOOPİ TEKNOLOJİ A.Ş.</t>
  </si>
  <si>
    <t>KRXX0099H315</t>
  </si>
  <si>
    <t>ATIK SU TAHLİYESİ JAKLI</t>
  </si>
  <si>
    <t>TAMSAN BAĞLANTI ELEMANLARI YEDEK PARÇA VE MAKİNE EKİPMANLARI TURİZM İNŞAAT SANAYİ VE TİCARET ANONİM ŞİRKETİ</t>
  </si>
  <si>
    <t>KRXX0099H329</t>
  </si>
  <si>
    <t>AYAK İÇ BAĞLANTI-ARA GÖVDE</t>
  </si>
  <si>
    <t>KRXX0099H333</t>
  </si>
  <si>
    <t>TÜP TAŞIYICI DIŞ YENİT TİP KÜÇÜK</t>
  </si>
  <si>
    <t>KRXX0099H348</t>
  </si>
  <si>
    <t>HAREKETLI SPANZET BAGLANTI</t>
  </si>
  <si>
    <t>KRXX0099H349</t>
  </si>
  <si>
    <t>HAREKETLI SPANZET BAGLANTI APARATI</t>
  </si>
  <si>
    <t>KRXX0099H350</t>
  </si>
  <si>
    <t>HAREKETLI SPANZET DESTEK SACI</t>
  </si>
  <si>
    <t>KRXX0099H351</t>
  </si>
  <si>
    <t>HAREKETLI SPANZET BAGLANTI IC TRIM</t>
  </si>
  <si>
    <t>KRXX0099H352</t>
  </si>
  <si>
    <t>HAREKETLI SPANZET BAGLANTI APARATI IC TRIM</t>
  </si>
  <si>
    <t>KRXX0099H355</t>
  </si>
  <si>
    <t>TENTE ALBINA IC TRIM</t>
  </si>
  <si>
    <t>MBAP0099H007</t>
  </si>
  <si>
    <t>KONTRA KAVAK 15 MM-170X220</t>
  </si>
  <si>
    <t>MBAP4236H027</t>
  </si>
  <si>
    <t>LAMİNANT RULO 3204 YENİ MEŞE</t>
  </si>
  <si>
    <t>ASD LAMİNAT 6004 MET\ METALİK 1300x3050x0,5</t>
  </si>
  <si>
    <t>MBSF0099H006</t>
  </si>
  <si>
    <t>PVC YAPIŞTIRICI</t>
  </si>
  <si>
    <t>MKSF0099H047</t>
  </si>
  <si>
    <t xml:space="preserve">TAPA KÖR PLASTİK 1 PARMAK </t>
  </si>
  <si>
    <t>MKSF0099H080</t>
  </si>
  <si>
    <t>METAL PLASTİK SAN.TİC.LTD.ŞTİ.</t>
  </si>
  <si>
    <t>GLADİATOR AYAK GÖVDE BAĞLANTISI NO.4 SAĞ ÖN</t>
  </si>
  <si>
    <t>GLADİATOR AYAK GÖVDE BAĞLANTISI NO.3 SAĞ ARKA</t>
  </si>
  <si>
    <t xml:space="preserve">GLADİATOR AYAK GÖVDE BAĞLANTISI NO.2 SOL ÖN </t>
  </si>
  <si>
    <t xml:space="preserve">GLADİATOR AYAK GÖVDE BAĞLANTISI NO.1 SOL ARKA </t>
  </si>
  <si>
    <t>GLADIATOR AYAK BLUEMAC ON</t>
  </si>
  <si>
    <t>BLUEMAC MAKİNE KALIP İMALAT ELEKTRİK DANIŞMANLIK SAN VE TİC LTD ŞTİ</t>
  </si>
  <si>
    <t>MKTS0099H172</t>
  </si>
  <si>
    <t>GLADIATOR AYAK BLUEMAC ARKA</t>
  </si>
  <si>
    <t>YILDIZ ORMAN ÜRÜNLERİ İNŞAAT TURİZM NAKLİYAT VE DIŞ TİC. SAN. LTD. ŞTİ.</t>
  </si>
  <si>
    <t xml:space="preserve">HAFELE FRENLİ CH300 DOLAP MENTEŞESİ </t>
  </si>
  <si>
    <t>HRXX0099H631</t>
  </si>
  <si>
    <t>SUNTA VIDA HAVSA BASLI 3,5 x 15 MM</t>
  </si>
  <si>
    <t>MAPAŞ HIRDAVATÇILIK İTHALAT PAZARLAMA A.Ş.</t>
  </si>
  <si>
    <t>MAKARON 3.2 MM SİYAH</t>
  </si>
  <si>
    <t>EREN ERTEĞİ €</t>
  </si>
  <si>
    <t>BİRTEK ELEKTRİK TEDARİK İNŞAAT TURİZM SANAYİ VE TİC. LTD.ŞTİ</t>
  </si>
  <si>
    <t>KBS MAĞAZA MOBİLYALARI TASARIM VE ÜRETİM A.Ş.</t>
  </si>
  <si>
    <t>DSXX0099H110</t>
  </si>
  <si>
    <t>CRAFT EVRAK CANTASI</t>
  </si>
  <si>
    <t>ÜMİT KOÇER</t>
  </si>
  <si>
    <t>DOSEME</t>
  </si>
  <si>
    <t>MEKANIK</t>
  </si>
  <si>
    <t>KRXX0099H391</t>
  </si>
  <si>
    <t>KARAVAN CAM 300X500 EINSTEIN</t>
  </si>
  <si>
    <t>KARAVAN CAM 300X700 EINSTEIN</t>
  </si>
  <si>
    <t>MKTS0099H187</t>
  </si>
  <si>
    <t>HIDROFOR 7,5LT 2,1 BAR SUGA</t>
  </si>
  <si>
    <t>EVACOOL SOĞUTMA ELEKTRONİK PLASTİK İNŞAAT SANAYİ VE TİCARET LİMİTED ŞİRKETİ</t>
  </si>
  <si>
    <t>ÜLKER BOYA SANAYİ VE TİCARET LTD. ŞTİ.</t>
  </si>
  <si>
    <t>KMBY5004H013</t>
  </si>
  <si>
    <t>RAPTOR LİNER TİNTABLE SERTLEŞTİRİCİ</t>
  </si>
  <si>
    <t>HRXX0099H219</t>
  </si>
  <si>
    <t>ŞASE PULU PASLANMAZ M10</t>
  </si>
  <si>
    <t>KMPY0099H005</t>
  </si>
  <si>
    <t>MACUN MODEL</t>
  </si>
  <si>
    <t>ELSF0099H185</t>
  </si>
  <si>
    <t>BICAK SİGORTA 5A MTA</t>
  </si>
  <si>
    <t>MOBILYA</t>
  </si>
  <si>
    <t>HRXX0099H170</t>
  </si>
  <si>
    <t>KESME TAŞI 115 CAP 1.0 KALINLIK</t>
  </si>
  <si>
    <t>KMIZ0099H052</t>
  </si>
  <si>
    <t>KENAR BANT TUTKALI</t>
  </si>
  <si>
    <t>KMBY5004H011</t>
  </si>
  <si>
    <t>RAPTOR LİNER TİNTABLE(RAL 9005)</t>
  </si>
  <si>
    <t>MAKARON 6,4 MM SİYAH</t>
  </si>
  <si>
    <t>ELTS0099H069</t>
  </si>
  <si>
    <t>AKÜ LİTYUM 200 AH</t>
  </si>
  <si>
    <t>MAPA MOBİLYA VE AKSESUAR PAZARLAMA A.Ş.</t>
  </si>
  <si>
    <t>KRXX0099H056</t>
  </si>
  <si>
    <t>SİNEKLİK 610X1795</t>
  </si>
  <si>
    <t>KRXX0099H111</t>
  </si>
  <si>
    <t>KARAVAN KAPISI 60X181</t>
  </si>
  <si>
    <t>BALSAN DİNLENCE VE METAL ÜRÜNLER SANAYİ VE TİCARET LİMİTED ŞİRKETİ</t>
  </si>
  <si>
    <t>HRXX0099H102</t>
  </si>
  <si>
    <t>MENTEŞE TAS FRENSİZ SÜPER DEVE</t>
  </si>
  <si>
    <t>HRXX0099H445</t>
  </si>
  <si>
    <t>ALÜMİNYUM KÖŞE PROFİL 2 AYAK</t>
  </si>
  <si>
    <t>KARAVAN</t>
  </si>
  <si>
    <t>HRXX0099H202</t>
  </si>
  <si>
    <t>VİDA KAPAK 15MM SİYAH</t>
  </si>
  <si>
    <t>HRXX0099H474</t>
  </si>
  <si>
    <t>AYNA GLADİATOR XL 625X610</t>
  </si>
  <si>
    <t>KRXX0099H141</t>
  </si>
  <si>
    <t>ALBİNA TENTE ÇITASI SİYAH</t>
  </si>
  <si>
    <t>KRXX0099H147</t>
  </si>
  <si>
    <t>ALBİNA TENTE ÇEVİRME KOLU BEYAZ</t>
  </si>
  <si>
    <t>KRXX0099H178</t>
  </si>
  <si>
    <t>CASTAGNARİ OCRİTECH YARI-OVAL MAT BEYAZ LAVABO</t>
  </si>
  <si>
    <t>CASTAGNARI SRL.</t>
  </si>
  <si>
    <t>KRXX0099H405</t>
  </si>
  <si>
    <t>SERVIS KAPISI 3 SIYAH SANJO</t>
  </si>
  <si>
    <t>JIANGSU SANJO INTELLIGENT</t>
  </si>
  <si>
    <t>MBAP0099H017</t>
  </si>
  <si>
    <t>LAMİNANT PLAKA HIGH GLASS 3103 PARLAK</t>
  </si>
  <si>
    <t>MBSF0099H005</t>
  </si>
  <si>
    <t>AKORDİYON MENTEŞE 70MM</t>
  </si>
  <si>
    <t>KELEŞOĞLU İNŞ.İHT.MAL.GIDA PETR.MAD.TUR.SAN VE TİC.LTD.ŞTİ.</t>
  </si>
  <si>
    <t>MKTS0099H030</t>
  </si>
  <si>
    <t>BATARYA ÇEKİÇ FREEDOM-REVİVA BANYO</t>
  </si>
  <si>
    <t>ELSF0099H184</t>
  </si>
  <si>
    <t>SİGORTA MEGAVAL 125A 3 AYAKLI</t>
  </si>
  <si>
    <t>ELSF0099H202</t>
  </si>
  <si>
    <t>TEK  GİRİŞLİ YÜKSÜK 10 MM KAHVERENGİ</t>
  </si>
  <si>
    <t>ELSF0099H203</t>
  </si>
  <si>
    <t>TEK GİRİŞLİ YÜKSÜK 6 MM YEŞİL</t>
  </si>
  <si>
    <t>HRXX0099H145</t>
  </si>
  <si>
    <t>VİDA SUNTA 5X30</t>
  </si>
  <si>
    <t>ACY STORE MEFRUŞAT İÇ VE DIŞ TİCARET LİMİTED ŞİRKETİ</t>
  </si>
  <si>
    <t>ELSF0099H023</t>
  </si>
  <si>
    <t>KABLO KANALI 16X16</t>
  </si>
  <si>
    <t>KRXX0099H211</t>
  </si>
  <si>
    <t>HEKİ 50X70 HAVALANDIRMALI BEYAZ DOMETİC</t>
  </si>
  <si>
    <t>ELTESAN MOBİL TEKNOLOJİLERİ SİSTEMLERİ SAN. VE TİC. A.Ş.</t>
  </si>
  <si>
    <t>CHONGQING LIDONG TECHNOLOGY CO LTD</t>
  </si>
  <si>
    <t>ELTS0099H150</t>
  </si>
  <si>
    <t>EBERSPAECHER KAPAKLI DISLI DUZ MENFEZ SET</t>
  </si>
  <si>
    <t>ELSF0099H197</t>
  </si>
  <si>
    <t>MAKARON 3.2 MM KIRMIZI</t>
  </si>
  <si>
    <t>KRXX0099H400</t>
  </si>
  <si>
    <t>OCTOOPİ  HARNESS  GLADIATOR XL</t>
  </si>
  <si>
    <t>HRXX0099H056</t>
  </si>
  <si>
    <t>ZIMPARA ORBİTAL 400</t>
  </si>
  <si>
    <t>HRXX0099H222</t>
  </si>
  <si>
    <t>PASLANMAZ PUL M8</t>
  </si>
  <si>
    <t>MKSF0099H022</t>
  </si>
  <si>
    <t>HORTUM BAĞLANTI TURUNCU T ŞEKLİ  1PARMAK</t>
  </si>
  <si>
    <t>MKTS0099H034</t>
  </si>
  <si>
    <t xml:space="preserve">ÇİFT GÖZ OCAK KOMBİNASYONLU </t>
  </si>
  <si>
    <t>MBAP0099H049</t>
  </si>
  <si>
    <t>PVC BANT MEŞE 40MM TORTANA</t>
  </si>
  <si>
    <t>ELSF0099H186</t>
  </si>
  <si>
    <t>BICAK SİGORTA 25A MTA</t>
  </si>
  <si>
    <t>KMBY5004H009</t>
  </si>
  <si>
    <t>RAPTOR LİNER TİNTABLE(RAL 7016)</t>
  </si>
  <si>
    <t>KRXX0099H417</t>
  </si>
  <si>
    <t>ORGANIZATOR PANO 36x56  SIYAH</t>
  </si>
  <si>
    <t>KRXX0099H418</t>
  </si>
  <si>
    <t>ORGANİZATOR PANO 3LU KUTU SET BEYAZ</t>
  </si>
  <si>
    <t>KRXX0099H420</t>
  </si>
  <si>
    <t>ORGANİZATOR PANO KALEMLIK KUTU SIYAH</t>
  </si>
  <si>
    <t>KRXX0099H421</t>
  </si>
  <si>
    <t>ORGANİZATOR PANO  TUTTURUCU BEYAZ</t>
  </si>
  <si>
    <t>YUSUF ELYASA ÖZTÜRK MARİNE</t>
  </si>
  <si>
    <t>DSXX0099H029</t>
  </si>
  <si>
    <t>KUMAŞ SUNİ DERİ İNCE SİYAH</t>
  </si>
  <si>
    <t>AŞANTEKS TEKSTİL SANAYİ VE TİCARET A.Ş.</t>
  </si>
  <si>
    <t>HRXX0099H098</t>
  </si>
  <si>
    <t>MENTEŞE 7X4.5 CM KROM</t>
  </si>
  <si>
    <t>HRXX0099H176</t>
  </si>
  <si>
    <t>SOMUN PASLANMAZ KELEBEK M8</t>
  </si>
  <si>
    <t>HRXX0099H258</t>
  </si>
  <si>
    <t>VİDA MERCİMEK BAŞLI PASLANMAZ M4X25</t>
  </si>
  <si>
    <t>KRXX0099H061</t>
  </si>
  <si>
    <t>TENTE ALBİNA 2.4 SİYAH</t>
  </si>
  <si>
    <t>KRXX0099H087</t>
  </si>
  <si>
    <t>BUZDOLABI İNDEL B-CRUİSE 90 LT</t>
  </si>
  <si>
    <t>KRXX0099H132</t>
  </si>
  <si>
    <t>KUM-BALTA X10</t>
  </si>
  <si>
    <t>KRXX0099H202</t>
  </si>
  <si>
    <t>TELESKOPİK MASA AYAK RANGER90 REVİVA</t>
  </si>
  <si>
    <t/>
  </si>
  <si>
    <t>HİDROÇÖZÜM HİDROLİK PNÖMATİK SANAYİ TİCARET LİMİTED ŞİRKETİ</t>
  </si>
  <si>
    <t>KURUOĞLU KERESTECİLİK VE DIŞ TİC. A.Ş.</t>
  </si>
  <si>
    <t>ELTS0099H158</t>
  </si>
  <si>
    <t>AKÜ ŞALTERİ DEVRE KESİCİ 12V-24V 275A</t>
  </si>
  <si>
    <t>ADAM ONLINE OTO YEDEK PARÇA TİCARET LİMİTED ŞİRKETİ</t>
  </si>
  <si>
    <t>ELSF0099H178</t>
  </si>
  <si>
    <t>FİŞ KILIFI RENKLİ 6.3</t>
  </si>
  <si>
    <t>ELSF0099H180</t>
  </si>
  <si>
    <t>STANDART DİŞİ FİŞ</t>
  </si>
  <si>
    <t>ELSF0099H181</t>
  </si>
  <si>
    <t>UZUN ERKEK FİŞ</t>
  </si>
  <si>
    <t>KRXX0099H332</t>
  </si>
  <si>
    <t>KUM PALETİ ASKI HAZIRLIĞI YENİ TİP</t>
  </si>
  <si>
    <t>MBAP0099H070</t>
  </si>
  <si>
    <t>MINEFLO ZEMIN KAPLAMA MEDIUM GREY CEMENT</t>
  </si>
  <si>
    <t>KRXX0099H024</t>
  </si>
  <si>
    <t>HEKİ FANLI 28X28 BEYAZ</t>
  </si>
  <si>
    <t>ELTS0099H161</t>
  </si>
  <si>
    <t>KRXX0099H287</t>
  </si>
  <si>
    <t>OCTOOPİ ŞAMANDIRA 25 CM</t>
  </si>
  <si>
    <t>MKTS0099H205</t>
  </si>
  <si>
    <t>GLADİATOR-GXLD TEMİZ SU TANKI 55LT BEYAZ YENI</t>
  </si>
  <si>
    <t>MKTS0099H206</t>
  </si>
  <si>
    <t>GLADİATOR-GXLD PİS SU TANKI 21LT SİYAH YENI</t>
  </si>
  <si>
    <t>CAMPERMEN KAMP VE SPOR MALZEMELERI SANAYİ TİCARET LİMİTED ŞİRKETİ</t>
  </si>
  <si>
    <t>ELSF0099H136</t>
  </si>
  <si>
    <t xml:space="preserve">KABLO 3X2,5 </t>
  </si>
  <si>
    <t>ELTS0099H046</t>
  </si>
  <si>
    <t>MPPT ŞARJ 30A</t>
  </si>
  <si>
    <t>ELTS0099H064</t>
  </si>
  <si>
    <t>ÇAKIR TEKNİK ELEKTRİK İNŞAAT SANAYİ TİCARET LİMİTED ŞİRKETİ</t>
  </si>
  <si>
    <t>ELTS0099H160</t>
  </si>
  <si>
    <t>GYSC0099T001</t>
  </si>
  <si>
    <t>GIPSY SHOWER CABIN ANTRASİT</t>
  </si>
  <si>
    <t>ARZU GÜRANÇ  ( GİPSY KAMP )</t>
  </si>
  <si>
    <t>HRXX0099H050</t>
  </si>
  <si>
    <t>ZIMPARA ORBİTAL 120</t>
  </si>
  <si>
    <t>HRXX0099H053</t>
  </si>
  <si>
    <t>ZIMPARA ORBİTAL 220</t>
  </si>
  <si>
    <t>HRXX0099H058</t>
  </si>
  <si>
    <t>ZIMPARA ORBİTAL 600</t>
  </si>
  <si>
    <t>HRXX0099H654</t>
  </si>
  <si>
    <t>HRXX0099H656</t>
  </si>
  <si>
    <t>AYNA GLADİATOR GSM 390x690</t>
  </si>
  <si>
    <t>KRXX0099H045</t>
  </si>
  <si>
    <t>MASA AYAK UZUN KROM</t>
  </si>
  <si>
    <t>KRXX0099H047</t>
  </si>
  <si>
    <t>MASA KATLANIR AYAK</t>
  </si>
  <si>
    <t>MKSF0099H004</t>
  </si>
  <si>
    <t>CİVATA PASLANMAZ M8X40</t>
  </si>
  <si>
    <t>MKSF0099H009</t>
  </si>
  <si>
    <t>CİVATA PASLANMAZ M8X65</t>
  </si>
  <si>
    <t>MKTS0099H012</t>
  </si>
  <si>
    <t>DEDANTÖR AYGAZ</t>
  </si>
  <si>
    <t>MKTS0099H085</t>
  </si>
  <si>
    <t>MİNİ TÜP 2KG RXL,FRE,GLA</t>
  </si>
  <si>
    <t>MKTS0099H086</t>
  </si>
  <si>
    <t>MİNİ TÜP ALTLIK RXL,FRE,GLA</t>
  </si>
  <si>
    <t>HRXX0099H595</t>
  </si>
  <si>
    <t>BALDACCİ BAS ÇEK KİLİT KROM - PARLAK</t>
  </si>
  <si>
    <t>GNC HİDROLİK PNÖMATİK OTOMASYON SİSTEMLERİ SANAYİ VE TİCARET LİMİTED ŞİRKETİ</t>
  </si>
  <si>
    <t xml:space="preserve">SİYAH DIŞ MENFEZ </t>
  </si>
  <si>
    <t>MKSF0099H003</t>
  </si>
  <si>
    <t>CİVATA PASLANMAZ M8X70</t>
  </si>
  <si>
    <t>ÖZİPEK KAUÇUK VE LASTİK MALZEME SANAYİ TİC. LTD. ŞTİ.</t>
  </si>
  <si>
    <t>YILPAR AYDINLATMA ELEKTRİK LTD. ŞTİ.</t>
  </si>
  <si>
    <t>ARA NIPEL CIFT YUKSUKLU M8</t>
  </si>
  <si>
    <t>FLEX LED GUN ISIGI</t>
  </si>
  <si>
    <t>FATMA USANIR</t>
  </si>
  <si>
    <t>DSXX0099H044</t>
  </si>
  <si>
    <t>YATAK KUMAŞI BEYAZ</t>
  </si>
  <si>
    <t>FERZAN MENSUCAT SANAYİ VE TİCARET LİMİTED ŞİRKETİ</t>
  </si>
  <si>
    <t>DSXX0099H050</t>
  </si>
  <si>
    <t>CIRT İLMİK</t>
  </si>
  <si>
    <t>YUSUF YAVUZ</t>
  </si>
  <si>
    <t>DSXX0099H073</t>
  </si>
  <si>
    <t>İPLİK BEYAZ</t>
  </si>
  <si>
    <t>ELSF0099H127</t>
  </si>
  <si>
    <t>MAKARON 4,8 MM</t>
  </si>
  <si>
    <t>HRXX0099H406</t>
  </si>
  <si>
    <t>FERMUAR KREM</t>
  </si>
  <si>
    <t>KRXX0099H431</t>
  </si>
  <si>
    <t>ORGANIZATOR PANO 56x56  SIYAH</t>
  </si>
  <si>
    <t>KRXX0099H436</t>
  </si>
  <si>
    <t>HOTOMOBİL PASLANMAZ PLAKALIK</t>
  </si>
  <si>
    <t>MBAP0099H003</t>
  </si>
  <si>
    <t>MİNEFLO ZEMİN KAPLAMA FORBO WOOD 13412</t>
  </si>
  <si>
    <t>ELTS0099H152</t>
  </si>
  <si>
    <t>PIL KALEM AAA</t>
  </si>
  <si>
    <t>HRXX0099H227</t>
  </si>
  <si>
    <t>METAL MATKAP UCU 3MM</t>
  </si>
  <si>
    <t>HRXX0099H303</t>
  </si>
  <si>
    <t>ŞASE PULU PASLANMAZ M8</t>
  </si>
  <si>
    <t>HRXX0099H560</t>
  </si>
  <si>
    <t>RAY TELESKOPİK 30 LUK FRENLİ</t>
  </si>
  <si>
    <t>HRXX0099H644</t>
  </si>
  <si>
    <t>AYNA GLADİATOR SH 300x420</t>
  </si>
  <si>
    <t>HRXX0099H657</t>
  </si>
  <si>
    <t>CİVATA PASLANMAZ FLANŞLI M10X30</t>
  </si>
  <si>
    <t>PLATİN CİVATA BAĞLANTI ELEMANLARI HIRDAVAT ALUMİNYUM SANAYİ VE TİCARET LTD. ŞTİ.</t>
  </si>
  <si>
    <t>HRXX0099H658</t>
  </si>
  <si>
    <t>SOMUN PASLANMAZ FLANŞLI M10</t>
  </si>
  <si>
    <t>KRXX0099H392</t>
  </si>
  <si>
    <t>KARAVAN CAM 450X500 EINSTEIN</t>
  </si>
  <si>
    <t>KRXX0099H394</t>
  </si>
  <si>
    <t>MKSF0099H005</t>
  </si>
  <si>
    <t>CİVATA PASLANMAZ M8X45</t>
  </si>
  <si>
    <t>MKSF0099H015</t>
  </si>
  <si>
    <t>CİVATA PASLANMAZ M10X80</t>
  </si>
  <si>
    <t>MKTS0099H174</t>
  </si>
  <si>
    <t xml:space="preserve">ELEKTRIKLI GLADIATOR AYAK </t>
  </si>
  <si>
    <t>ZHONGSHAN ROTON INTE</t>
  </si>
  <si>
    <t>MKTS0099H175</t>
  </si>
  <si>
    <t>ELEKTRIKLI AYAK KONTROL SISTEMI</t>
  </si>
  <si>
    <t>MKTS0099H182</t>
  </si>
  <si>
    <t>ELEKTRİKLİ AYAK GÖVDE ARA BAĞLANTI ÖN</t>
  </si>
  <si>
    <t>MKTS0099H189</t>
  </si>
  <si>
    <t>ELEKTRİKLİ AYAK GÖVDE ARA BAĞLANTI ARKA</t>
  </si>
  <si>
    <t>ELTS0099H163</t>
  </si>
  <si>
    <t>KARAVAN DIŞ 220V ERKEK GİRİŞ SİYAH BEMIS</t>
  </si>
  <si>
    <t>OPA ELEKTRİK İNŞAAT DIŞ TİCARET LİMİTED ŞİRKETİ</t>
  </si>
  <si>
    <t>KROM ENDÜSTRİ ÜRÜNLERİ ANONİM ŞİRKETİ</t>
  </si>
  <si>
    <t>MBAP0099H035</t>
  </si>
  <si>
    <t>PVC BANT ANTRASİT 2878GB-ROMA MARKA GENİŞ</t>
  </si>
  <si>
    <t>MBAP0099H075</t>
  </si>
  <si>
    <t>PVC BANT 22X0,80 ANTRASİT PARLAK</t>
  </si>
  <si>
    <t>HRXX0099H135</t>
  </si>
  <si>
    <t xml:space="preserve">VİDA SUNTA 3,5X40 </t>
  </si>
  <si>
    <t>HRXX0099H174</t>
  </si>
  <si>
    <t>SOMUN  M8</t>
  </si>
  <si>
    <t>HRXX0099H590</t>
  </si>
  <si>
    <t>HORTUM KALORİFER 16MM LONG TİPİ</t>
  </si>
  <si>
    <t>KMIZ0099H036</t>
  </si>
  <si>
    <t>MACUN MEŞE</t>
  </si>
  <si>
    <t>KMBY0099H045</t>
  </si>
  <si>
    <t>VERNİK AHŞAP KORUYUCU</t>
  </si>
  <si>
    <t>LEGNO ENTEGRE AĞAÇ SANAYİ VE TİCARET LİMİTED ŞİRKETİ</t>
  </si>
  <si>
    <t>KMBY0099H059</t>
  </si>
  <si>
    <t>RÖTÜŞ KALEM MEŞE</t>
  </si>
  <si>
    <t>SABRİ KELEŞ</t>
  </si>
  <si>
    <t>HRXX0099H266</t>
  </si>
  <si>
    <t>CİVATA PASLANMAZ M8X100</t>
  </si>
  <si>
    <t>HRXX0099H589</t>
  </si>
  <si>
    <t>DUVAR ASKILIK MAT KROM</t>
  </si>
  <si>
    <t>HRXX0099H172</t>
  </si>
  <si>
    <t>SİFON 90 DERECE</t>
  </si>
  <si>
    <t>MEG KARAVAN VE KAMPİNG İŞLETMECİLİĞİ SANAYİ VE TİCARET LİMİTED ŞİRKETİ</t>
  </si>
  <si>
    <t>HRXX0099H147</t>
  </si>
  <si>
    <t>VİDA SUNTA 5X70</t>
  </si>
  <si>
    <t>HRXX0099H131</t>
  </si>
  <si>
    <t>VİDA SUNTA 3,5X16</t>
  </si>
  <si>
    <t>ELSF0099H032</t>
  </si>
  <si>
    <t>KABLO TELLİ 10MM SİYAH</t>
  </si>
  <si>
    <t>ELSF0099H031</t>
  </si>
  <si>
    <t>KABLO TELLİ 10MM KIRMIZI</t>
  </si>
  <si>
    <t>KRXX0099H048</t>
  </si>
  <si>
    <t>MERDİVEN UZUN ARKA</t>
  </si>
  <si>
    <t>ELTS0099H127</t>
  </si>
  <si>
    <t>İNVERTÖR 3000W TAM SİNÜS</t>
  </si>
  <si>
    <t>DSXXRM10H027</t>
  </si>
  <si>
    <t>KUMAŞ ROMA 10 YEŞİLİMSİ</t>
  </si>
  <si>
    <t>ELSF0099H105</t>
  </si>
  <si>
    <t>KABLO SPRAL YARIKLI PG7</t>
  </si>
  <si>
    <t>ELSF0099H038</t>
  </si>
  <si>
    <t>KABLO TELLİ 1X1 MAVİ</t>
  </si>
  <si>
    <t>HRXX0099H328</t>
  </si>
  <si>
    <t>TAPA MEŞE NEBRASKA PC2122 14 MM</t>
  </si>
  <si>
    <t>KRXX0099H128</t>
  </si>
  <si>
    <t>ORGANİZATÖR FİLE</t>
  </si>
  <si>
    <t>WEBSELCO GRUP DİJİTAL İLETİŞİM KARAVAN TEKNE YAT MALZEMELERİ LİMİTED ŞİRKETİ</t>
  </si>
  <si>
    <t>MBAP1091H020</t>
  </si>
  <si>
    <t>LAMİNANT RULO 1091 HAKİ</t>
  </si>
  <si>
    <t>ELTS0099H048</t>
  </si>
  <si>
    <t>OKUMA LAMBASI SİYAH</t>
  </si>
  <si>
    <t>HRXX0099H547</t>
  </si>
  <si>
    <t xml:space="preserve">HORTUM ŞEFFAF 4X8 MM </t>
  </si>
  <si>
    <t>UBAU0099H013</t>
  </si>
  <si>
    <t>URBAN BADGER DAMLA STİCKER</t>
  </si>
  <si>
    <t>DES ETİKET SANAYİ VE TİCARET LİMİTED ŞİRKETİ</t>
  </si>
  <si>
    <t>ELTS0099H057</t>
  </si>
  <si>
    <t>SOLAR PANEL ESNEK 110W</t>
  </si>
  <si>
    <t>KMIZ0099H045</t>
  </si>
  <si>
    <t>SİLİKONİZE AKRİLİK MASTİK ALTINMEŞE</t>
  </si>
  <si>
    <t>HRXX0099H305</t>
  </si>
  <si>
    <t>VİDA SUNTA 5X100</t>
  </si>
  <si>
    <t>ELTS0099H052</t>
  </si>
  <si>
    <t>DC-DC 20A CHARGER TEK YÖN</t>
  </si>
  <si>
    <t>KRXX0099H257</t>
  </si>
  <si>
    <t>TUVALET PORTATİF 165</t>
  </si>
  <si>
    <t>HRXX0099H512</t>
  </si>
  <si>
    <t>SOMUN KÖR PASLANMAZ M6 ÇADIR</t>
  </si>
  <si>
    <t>MKTS0099H125</t>
  </si>
  <si>
    <t>GLADİATOR AYAK GÖVDE BAĞLANTI YAZISI</t>
  </si>
  <si>
    <t>KRXX0099H294</t>
  </si>
  <si>
    <t xml:space="preserve">HYDRONIC S3 </t>
  </si>
  <si>
    <t>ELTS0099H105</t>
  </si>
  <si>
    <t>İNVERTÖR 2000W TAM SİNÜS</t>
  </si>
  <si>
    <t>HRXX0099H104</t>
  </si>
  <si>
    <t>MENTEŞE YAPRAK OVAL 6.5CM KROM</t>
  </si>
  <si>
    <t>KRXX0099H234</t>
  </si>
  <si>
    <t>TELESKOBİK MERDİVEN TEK AYAKLI 2,60M</t>
  </si>
  <si>
    <t>HRXX0099H105</t>
  </si>
  <si>
    <t>MENTEŞE YAPRAK OVAL 9.5CM KROM</t>
  </si>
  <si>
    <t>MKTS0099H035</t>
  </si>
  <si>
    <t>OCAK VE EVYE TEK GÖZLÜ KOMBİNASYONLU (SOL OCAK SAĞ</t>
  </si>
  <si>
    <t>HRXX0099H565</t>
  </si>
  <si>
    <t>STREÇ ŞEFFAF 17 MİKRON</t>
  </si>
  <si>
    <t>AYİNE KALİTE KONTROL ORGANİZASYON VE TİCARET LİMİTED ŞİRKETİ</t>
  </si>
  <si>
    <t>MBAP1001H063</t>
  </si>
  <si>
    <t>KOMPAKT LAMINAT ANTRASİT 3,05X1,30 06MM</t>
  </si>
  <si>
    <t>MKSF0099H105</t>
  </si>
  <si>
    <t xml:space="preserve">SICAK SU HORTUMU SİYAH KAUÇUK 19 MM </t>
  </si>
  <si>
    <t>HRXX0099H471</t>
  </si>
  <si>
    <t>CIRT ZIMPARA DELİKLİ 60</t>
  </si>
  <si>
    <t>MBAP0099H071</t>
  </si>
  <si>
    <t>KAVAK MARIN KONTRPLAK CIZGILI ALMAN MESE 6MM</t>
  </si>
  <si>
    <t>İZMİRYILDIZ ORMAN ÜRÜNLERİ İNŞ.TAAH.MAK.VE SAN.VE TİC.LTD.ŞTİ</t>
  </si>
  <si>
    <t>HRXX0099H004</t>
  </si>
  <si>
    <t>BANT İZOLE</t>
  </si>
  <si>
    <t>KRXX0099H404</t>
  </si>
  <si>
    <t>360 DERECE MASA AYAK GXL DODGE RAM EDİTİON PALOMA</t>
  </si>
  <si>
    <t>SARAY DENİZ MALZEMELERİ VE YATÇILIK SANAYİ VE TİCARET LİMİTED ŞİRKETİ</t>
  </si>
  <si>
    <t>KMMK0099H001</t>
  </si>
  <si>
    <t>ANTİFİRİZ S3</t>
  </si>
  <si>
    <t>KMIZ0099H070</t>
  </si>
  <si>
    <t>METYX XL800 MULTİAXİAL CAM ELYAF</t>
  </si>
  <si>
    <t>UBAU0099H043</t>
  </si>
  <si>
    <t>URBAN BADGER ARAÇ ÜSTÜ ÇADIR GÖVDE PÜTÜRLÜ</t>
  </si>
  <si>
    <t>MKSF0099H023</t>
  </si>
  <si>
    <t>HORTUM GAZ 10MM</t>
  </si>
  <si>
    <t>HRXX0099H185</t>
  </si>
  <si>
    <t>VİDA PASLANMAZ HAVŞA 3,5X25</t>
  </si>
  <si>
    <t>KRXX0099H014</t>
  </si>
  <si>
    <t>DUŞ PERDESİ</t>
  </si>
  <si>
    <t>MKTS0099H006</t>
  </si>
  <si>
    <t>BATARYA GLADİATOR BANYO</t>
  </si>
  <si>
    <t>HRXX0099H113</t>
  </si>
  <si>
    <t>STORE KAPI SALYANGOZ YUVASI</t>
  </si>
  <si>
    <t>HRXX0099H296</t>
  </si>
  <si>
    <t>STOR U PROFİLİ KAP. KROM</t>
  </si>
  <si>
    <t>HRXX0099H112</t>
  </si>
  <si>
    <t>STORE KAPI KROM 1735x 750mm</t>
  </si>
  <si>
    <t>ÜNMAR İÇ VE DIŞ TİCARET SAN. LTD. ŞTİ.</t>
  </si>
  <si>
    <t>HRXX0099H614</t>
  </si>
  <si>
    <t>MOBİLYA TEZGAH AYAĞI AYARLANABİLİR 13x19CM</t>
  </si>
  <si>
    <t>HÜMA E-TİCARET OTOMOTİV SANAYİ VE TİCARET LİMİTED ŞİRKETİ</t>
  </si>
  <si>
    <t>HRXX0099H359</t>
  </si>
  <si>
    <t>STOR ÖN YÜZ PROFİLİ</t>
  </si>
  <si>
    <t>HRXX0099H603</t>
  </si>
  <si>
    <t>RAY TELESKOBİK BİLYALI 53MMX50CM KİLİTLİ</t>
  </si>
  <si>
    <t>STARWOOD YAPI MARKETLERİ-YAPI MALZEMELERİ SANAYİ VE TİCARET ANONİM ŞİRKETİ</t>
  </si>
  <si>
    <t>HRXX0099H579</t>
  </si>
  <si>
    <t>AYNA GLADİATOR 720x560 GS</t>
  </si>
  <si>
    <t>HRXX0099H645</t>
  </si>
  <si>
    <t xml:space="preserve">RAY 50 LIK TELESKOPIK FRENSIZ </t>
  </si>
  <si>
    <t>KRXX0099H356</t>
  </si>
  <si>
    <t>ORYANTAL RAY - DUS PERDESI RAYI</t>
  </si>
  <si>
    <t>ÖZGÜR KIZILTOPRAK ORT.</t>
  </si>
  <si>
    <t>ZE TEKNİK METAL BOYA SANAYİ VE TİCARET ANONİM ŞİRKETİ</t>
  </si>
  <si>
    <t>HRXX0099H255</t>
  </si>
  <si>
    <t>PUL 9X4.5</t>
  </si>
  <si>
    <t>HRXX0099H259</t>
  </si>
  <si>
    <t xml:space="preserve">SOMUN FİBERLİ M3 </t>
  </si>
  <si>
    <t>HRXX0099H311</t>
  </si>
  <si>
    <t>CİVATA PASLANMAZ  M8X20</t>
  </si>
  <si>
    <t>MURATHAN PUL CIVATA SAN.LTD.ŞTİ.</t>
  </si>
  <si>
    <t>KMIZ0099H027</t>
  </si>
  <si>
    <t xml:space="preserve">STRAFOR KÖPÜK 2 CM </t>
  </si>
  <si>
    <t>MKTS0099H142</t>
  </si>
  <si>
    <t>GLADiATOR GÖVDE MASA AYAĞI SABİT KOL SOL</t>
  </si>
  <si>
    <t>ÖZÇELİK TORNA MAKİNA GEMİ ALMY DEMİR ÇELİK İNŞ SAN TİC LTD ŞTİ</t>
  </si>
  <si>
    <t>MKSF0099H109</t>
  </si>
  <si>
    <t>GLADIATOR GAZ HORTUM  ÇAKTIRMA 60 CM</t>
  </si>
  <si>
    <t>MKTS0099H139</t>
  </si>
  <si>
    <t>GLADiATOR GÖVDE MASA AYAĞI OYNAR KOL SAĞ</t>
  </si>
  <si>
    <t>MKTS0099H138</t>
  </si>
  <si>
    <t>GLADiATOR GÖVDE MASA AYAĞI SABİT KOL SAĞ</t>
  </si>
  <si>
    <t>MKTS0099H140</t>
  </si>
  <si>
    <t>GLADiATOR GÖVDE MASA AYAĞI TAŞIYICI KOL SAĞ</t>
  </si>
  <si>
    <t>MKTS0099H141</t>
  </si>
  <si>
    <t>GLADiATOR GÖVDE MASA AYAĞI OYNAR KOL SOL</t>
  </si>
  <si>
    <t>MKTS0099H143</t>
  </si>
  <si>
    <t>GLADiATOR GÖVDE MASA AYAĞI TAŞIYICI KOL SOL</t>
  </si>
  <si>
    <t>HRXX0099H215</t>
  </si>
  <si>
    <t>GÖMME KULP</t>
  </si>
  <si>
    <t>HRXX0099H223</t>
  </si>
  <si>
    <t>3X20 VİDA</t>
  </si>
  <si>
    <t>KRXX0099H336</t>
  </si>
  <si>
    <t>TUVALET KASETLİ C 200-CS (SIRTLI)</t>
  </si>
  <si>
    <t>DAİMER MERDİVEN İSKELE HIRDAVAT SANAYİ VE TİCARET LİMİTED ŞİRKETİ</t>
  </si>
  <si>
    <t>CW ENERJİ MÜHENDİSLİK TİCARET VE SANAYİ ANONİM ŞİRKETİ</t>
  </si>
  <si>
    <t>Laurent MONTAGNER</t>
  </si>
  <si>
    <t>Matteo Giolo</t>
  </si>
  <si>
    <t>GS0532</t>
  </si>
  <si>
    <t>Stefan Zaugg</t>
  </si>
  <si>
    <t>GS0533</t>
  </si>
  <si>
    <t>GSM0534</t>
  </si>
  <si>
    <t>Volkan Batkan</t>
  </si>
  <si>
    <t>KRXX0099H399</t>
  </si>
  <si>
    <t>OCTOOPİ  HARNESS  GLADIATOR</t>
  </si>
  <si>
    <t>GXLE0149</t>
  </si>
  <si>
    <t>ELSF0099H125</t>
  </si>
  <si>
    <t>MAKARON 2 MM</t>
  </si>
  <si>
    <t xml:space="preserve">HÜSEYİN YILDIZ </t>
  </si>
  <si>
    <t>ELSF0099H196</t>
  </si>
  <si>
    <t>KABLO SPRAL BORU YARIKLI PG7</t>
  </si>
  <si>
    <t>HRXX0099H204</t>
  </si>
  <si>
    <t>VİDA SUNTA 3,5X18</t>
  </si>
  <si>
    <t>KMBY0099H058</t>
  </si>
  <si>
    <t>RÖTÜŞ KALEM ANTRASİT</t>
  </si>
  <si>
    <t>BAYRAM YILMAZ - BAHÇIVAN İNŞAAT HIRDAVAT VE MAKİNE</t>
  </si>
  <si>
    <t>KRXX0099H393</t>
  </si>
  <si>
    <t>KARAVAN CAM 500X900 EINSTEIN</t>
  </si>
  <si>
    <t>KRXX0099H446</t>
  </si>
  <si>
    <t>ARAÇ BİLGİ ETİKETLERİ-İNGİLİZCE</t>
  </si>
  <si>
    <t>MKTS0099H207</t>
  </si>
  <si>
    <t>FROST CONTROL-TAMSAN</t>
  </si>
  <si>
    <t>MKTS0099H209</t>
  </si>
  <si>
    <t>GXLE TEMİZ SU TANKI 90LT BEYAZ YENI 48X75X27</t>
  </si>
  <si>
    <t>MKTS0099H226</t>
  </si>
  <si>
    <t>TAMSAN FROST KONTROL ERKEK VİDALI HORTUM NİPELİ</t>
  </si>
  <si>
    <t>KRXX0099H449</t>
  </si>
  <si>
    <t>PLASTIK KONTROL KAPAGI-DIŞ ÇAP 150 MM BEYAZ</t>
  </si>
  <si>
    <t>GERÇEK SATINALMA</t>
  </si>
  <si>
    <t>ELTS0099H058</t>
  </si>
  <si>
    <t>SOLAR PANEL ESNEK 170w</t>
  </si>
  <si>
    <t>TAUSS KİMYA SANAYİ VE TİCARET LİMİTED ŞİRKETİ</t>
  </si>
  <si>
    <t>ELTS0099H166</t>
  </si>
  <si>
    <t>ASKERİ TİP KONNEKTÖR 80 A 3 PİN</t>
  </si>
  <si>
    <t>SARAL ELEKTRİK (BİLGİN AKMAN)</t>
  </si>
  <si>
    <t>KRXX0099H451</t>
  </si>
  <si>
    <t>KLIMA DOMETIC TAVAN TIP</t>
  </si>
  <si>
    <t>GL0154</t>
  </si>
  <si>
    <t>Stina Alm</t>
  </si>
  <si>
    <t>GXLE0152</t>
  </si>
  <si>
    <t>GL0153</t>
  </si>
  <si>
    <t>GSE0151</t>
  </si>
  <si>
    <t>GS0535</t>
  </si>
  <si>
    <t>GSH0150</t>
  </si>
  <si>
    <t>Murat Taşdemir</t>
  </si>
  <si>
    <t>DSXXRM01H023</t>
  </si>
  <si>
    <t>KUMAŞ ROMA 01 GRİMSİ</t>
  </si>
  <si>
    <t>ERİM BURKUCU   [ ERM TECHNOLOGİES ]</t>
  </si>
  <si>
    <t>KMIZ0099H011</t>
  </si>
  <si>
    <t xml:space="preserve">PRİMER </t>
  </si>
  <si>
    <t>MBAP1098H021</t>
  </si>
  <si>
    <t>LAMİNANT RULO 1098 MANDALİN</t>
  </si>
  <si>
    <t>KMBY0099H057</t>
  </si>
  <si>
    <t>RÖTÜŞ KALEM CEVİZ</t>
  </si>
  <si>
    <t>HRXX0099H329</t>
  </si>
  <si>
    <t>TAPA CEVİZ 14 MM</t>
  </si>
  <si>
    <t>MBAP0099H040</t>
  </si>
  <si>
    <t>PVC BANT CEVİZ 22MM ANTİK DARK</t>
  </si>
  <si>
    <t>MBAP1039H067</t>
  </si>
  <si>
    <t>ASD LAMİNAT 1039 PRL\KREM 1300x3050x0,7</t>
  </si>
  <si>
    <t>MBAP6008H065</t>
  </si>
  <si>
    <t>ASD LAMİNAT 6008 MET\BAKIR 1300x3050x0,7</t>
  </si>
  <si>
    <t>MBAP0099H041</t>
  </si>
  <si>
    <t>PVC BANT CEVİZ 40MM ANTİK DARK</t>
  </si>
  <si>
    <t>KMPY0657H025</t>
  </si>
  <si>
    <t>JELKOT POLİYA POLİJEL 215 43 SİYAH</t>
  </si>
  <si>
    <t>KRXX0099H187</t>
  </si>
  <si>
    <t>GLADİATOR XL UZUN ARKA MERDİVENİ</t>
  </si>
  <si>
    <t>MBAP3080H069</t>
  </si>
  <si>
    <t>ASD LAMİNAT 3080 BTE/FUJİ 1300x100000Rx0,6</t>
  </si>
  <si>
    <t>DSXX0099H104</t>
  </si>
  <si>
    <t>KUMAŞ SUNİ DERİ KAHVERENGİ</t>
  </si>
  <si>
    <t>HRXX0099H592</t>
  </si>
  <si>
    <t>FİBER DİSK ZIMPARA 80LİK</t>
  </si>
  <si>
    <t>ELTS0099H124</t>
  </si>
  <si>
    <t>SOLAR PANEL ESNEK 175w</t>
  </si>
  <si>
    <t>KRXX0099H322</t>
  </si>
  <si>
    <t>TENTE DOMETİC 2.60M ANTRASİT</t>
  </si>
  <si>
    <t>İMA KIRTASİYE PAZARLAMA TİCARET A.Ş.</t>
  </si>
  <si>
    <t>HRXX0099H591</t>
  </si>
  <si>
    <t>FİBER DİSK ZIMPARA 60LIK</t>
  </si>
  <si>
    <t>MKTS0099H184</t>
  </si>
  <si>
    <t>GLADİATÖR TENTE BRAKETİ XL</t>
  </si>
  <si>
    <t>KRXX0099H448</t>
  </si>
  <si>
    <t>ARAÇ BİLGİ ETİKETLERİ-TÜRKÇE</t>
  </si>
  <si>
    <t>GSM0541</t>
  </si>
  <si>
    <t>GXL0156</t>
  </si>
  <si>
    <t>GSM0537</t>
  </si>
  <si>
    <t>Jan Urbanek</t>
  </si>
  <si>
    <t>GSM0536</t>
  </si>
  <si>
    <t>GSM0540</t>
  </si>
  <si>
    <t>GL0155</t>
  </si>
  <si>
    <t>GSM0539</t>
  </si>
  <si>
    <t>GSM0538</t>
  </si>
  <si>
    <t>AHMET SAYIN</t>
  </si>
  <si>
    <t>ŞANLIOĞLU ORMAN ÜRÜNLERİ VE İNŞAAT MALZEMELERİ SAN.TİC.LTD.ŞTİ</t>
  </si>
  <si>
    <t>TECHNOMAC MAKİNE SANAYİ VE TİCARET LİMİTED ŞİRKETİ</t>
  </si>
  <si>
    <t>HRXX0099H003</t>
  </si>
  <si>
    <t>BANT ÇİFT TARAFLI 25x38 mm</t>
  </si>
  <si>
    <t>ELSF0099H200</t>
  </si>
  <si>
    <t>ÇİFT GİRİŞLİ YÜKSÜK 6 MM YEŞİL</t>
  </si>
  <si>
    <t>HRXX0099H466</t>
  </si>
  <si>
    <t>VİDA MERCİMEK BAŞLI 3,5X16</t>
  </si>
  <si>
    <t>HRXX0099H615</t>
  </si>
  <si>
    <t>VİDA PASLANMAZ MERCİMEK BAŞLI M2.9X22 SİYAH</t>
  </si>
  <si>
    <t>ELSF0099H213</t>
  </si>
  <si>
    <t>ÇİFT GİRİŞLİ YÜKSÜK 6 MM SİYAH</t>
  </si>
  <si>
    <t>ELSF0099H210</t>
  </si>
  <si>
    <t>ÇİFT GİRİŞLİ YÜKSÜK 1 MM KIRMIZI</t>
  </si>
  <si>
    <t>ELSF0099H209</t>
  </si>
  <si>
    <t>TEK GİRİŞLİ YÜKSÜK 1 MM KIRMIZI</t>
  </si>
  <si>
    <t>ELSF0099H211</t>
  </si>
  <si>
    <t>ÇİFT GİRİŞLİ YÜKSÜK 1 MM SARI</t>
  </si>
  <si>
    <t>ELSF0099H208</t>
  </si>
  <si>
    <t>ÇİFT GİRİŞLİ YÜKSÜK 2,5 MM GRİ</t>
  </si>
  <si>
    <t>KMBY5004H008</t>
  </si>
  <si>
    <t>RAPTOR LİNER TİNTABLE(RAL 1001)</t>
  </si>
  <si>
    <t>KRXX0099H291</t>
  </si>
  <si>
    <t>TAHARET MUSLUĞU PİRİNÇ</t>
  </si>
  <si>
    <t>ELSF0099H207</t>
  </si>
  <si>
    <t>TEK GİRİŞLİ YÜKSÜK 4 MM TURUNCU</t>
  </si>
  <si>
    <t>ELSF0099H212</t>
  </si>
  <si>
    <t>TEK GİRİŞLİ YÜKSÜK 2,5 MM GRİ</t>
  </si>
  <si>
    <t>RV073</t>
  </si>
  <si>
    <t>Hayriye Güven</t>
  </si>
  <si>
    <t>MKTS0099H053</t>
  </si>
  <si>
    <t>REVİVA PİS SU TANKI SİYAH 65 LT</t>
  </si>
  <si>
    <t>BARIŞ GÜNGÖR   [ EFE MÜHENDİSLİK ]</t>
  </si>
  <si>
    <t>MKTS0099H010</t>
  </si>
  <si>
    <t>BOILER TRUMA GAZLI SU ISITMA BG 10 10LT</t>
  </si>
  <si>
    <t>TERMOSA MOBİL SİSTEMLERİ ANONİM ŞİRKETİ</t>
  </si>
  <si>
    <t>KMPY0099H004</t>
  </si>
  <si>
    <t xml:space="preserve">JELKOT ŞEFFAF </t>
  </si>
  <si>
    <t>KRXX0099H169</t>
  </si>
  <si>
    <t>TENTE THULE 4MT SİYAH</t>
  </si>
  <si>
    <t>KMBY0099H040</t>
  </si>
  <si>
    <t>TİNER SELÜLOZİK - BOYA</t>
  </si>
  <si>
    <t>ADIGÜZEL BOYA OTOMOTİV SERVİS HİZMETLERİ SANAYİ VE TİC. LTD. ŞTİ.</t>
  </si>
  <si>
    <t>Emre Kain</t>
  </si>
  <si>
    <t>2K KAMP KARAVAN MARKET SANAYİ TİCARET LİMİTED ŞİRKETİ</t>
  </si>
  <si>
    <t>GSM0542</t>
  </si>
  <si>
    <t>Soner Kayıkçı</t>
  </si>
  <si>
    <t>MKSF0099H086</t>
  </si>
  <si>
    <t>CİVATA PASLANMAZ M8X70 SEKMANLI</t>
  </si>
  <si>
    <t>KMPY9016H003</t>
  </si>
  <si>
    <t>JELKOT 9016 BEYAZ</t>
  </si>
  <si>
    <t>MKTS0099H019</t>
  </si>
  <si>
    <t xml:space="preserve">REVİVA TEMİZ SU TANKI 150LT TEKER ÜSTÜ </t>
  </si>
  <si>
    <t>ELTS0099H134</t>
  </si>
  <si>
    <t>ÇAKMAKLIK 12V</t>
  </si>
  <si>
    <t>HASAN TOKTOK</t>
  </si>
  <si>
    <t>KMBY0099H063</t>
  </si>
  <si>
    <t>PİGMENT RAL 9005 SİYAH</t>
  </si>
  <si>
    <t>KRXX0099H452</t>
  </si>
  <si>
    <t>BUZDOLABI İNDEL B-CRUİSE 140 LT</t>
  </si>
  <si>
    <t>ATLS0099H002</t>
  </si>
  <si>
    <t>TAVAN ÇITASI SIYAH</t>
  </si>
  <si>
    <t>EHİLTEK KALIP TASARIM OTOMOTİV SANAYİ VE TİCARET LİMİTED ŞİRKETİ</t>
  </si>
  <si>
    <t>KMBY9005H009</t>
  </si>
  <si>
    <t>BOYA AKRİLİK TENEKE 9005 MAT SİYAH</t>
  </si>
  <si>
    <t>ELTS0099H006</t>
  </si>
  <si>
    <t>AKÜ 150 AH</t>
  </si>
  <si>
    <t>ELTS0099H154</t>
  </si>
  <si>
    <t>MPPT ŞARJ 40A</t>
  </si>
  <si>
    <t>DÜKKANÖNÜ E-TİCARET SANAYİ VE TİCARET LİMİTED ŞİRKETİ</t>
  </si>
  <si>
    <t>(boş)</t>
  </si>
  <si>
    <t>KROM ENDÜSTRİ ÜRÜNLERİ ANONİM ŞİRKETİ2</t>
  </si>
  <si>
    <t>MİMAKS AKSESUAR</t>
  </si>
  <si>
    <t>MENTEŞE TAS FRENSİZ YARIM DEVE-MİNİ</t>
  </si>
  <si>
    <t>MAKE SÜNGER VE DÖŞEME MALZEMELERİ MOBİLYA MEDİKAL ÜRÜNLERİ TİCARET ANONİM ŞİRKETİ</t>
  </si>
  <si>
    <t>KRXX0099H029</t>
  </si>
  <si>
    <t>KARAVAN CAM 300X700 BERHIMI</t>
  </si>
  <si>
    <t>KRXX0099H027</t>
  </si>
  <si>
    <t>KARAVAN CAM 300X500 BERHIMI</t>
  </si>
  <si>
    <t>MKTS0099H033</t>
  </si>
  <si>
    <t>MUSLUK  SOĞUK-SICAK TEK GÖZ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</si>
</sst>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₺&quot;* #,##0.00_-;\-&quot;₺&quot;* #,##0.00_-;_-&quot;₺&quot;* &quot;-&quot;??_-;_-@_-"/>
    <numFmt numFmtId="164" formatCode="_-[$₺-41F]* #,##0.00_-;\-[$₺-41F]* #,##0.00_-;_-[$₺-41F]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  <charset val="16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" fillId="0" borderId="0"/>
  </cellStyleXfs>
  <cellXfs count="28">
    <xf numFmtId="0" fontId="0" fillId="0" borderId="0" xfId="0"/>
    <xf numFmtId="0" fontId="0" fillId="0" borderId="0" xfId="0" pivotButton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0" xfId="1" applyNumberFormat="1" applyFont="1" applyAlignment="1">
      <alignment vertical="center"/>
    </xf>
    <xf numFmtId="2" fontId="0" fillId="0" borderId="0" xfId="0" applyNumberFormat="1"/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0" fontId="0" fillId="3" borderId="0" xfId="0" applyFill="1"/>
    <xf numFmtId="2" fontId="0" fillId="3" borderId="0" xfId="0" applyNumberFormat="1" applyFill="1"/>
    <xf numFmtId="0" fontId="0" fillId="0" borderId="0" xfId="0" pivotButton="1" applyAlignment="1">
      <alignment horizontal="center" vertical="center"/>
    </xf>
    <xf numFmtId="0" fontId="0" fillId="2" borderId="0" xfId="0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1" fontId="0" fillId="5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1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2" borderId="0" xfId="0" applyNumberFormat="1" applyFill="1"/>
    <xf numFmtId="0" fontId="0" fillId="3" borderId="0" xfId="0" applyNumberFormat="1" applyFill="1"/>
  </cellXfs>
  <cellStyles count="3">
    <cellStyle name="Normal" xfId="0" builtinId="0"/>
    <cellStyle name="Normal 2" xfId="2" xr:uid="{893F4F63-B20C-49E1-AD0C-AEA4053E22E2}"/>
    <cellStyle name="ParaBirimi" xfId="1" builtinId="4"/>
  </cellStyles>
  <dxfs count="1871"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5" formatCode="&quot;₺&quot;#,##0.0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" formatCode="0"/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numFmt numFmtId="1" formatCode="0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5" formatCode="&quot;₺&quot;#,##0.0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1056571</xdr:colOff>
      <xdr:row>6</xdr:row>
      <xdr:rowOff>60435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ON SATINALMA CARİ ÜNVANI">
              <a:extLst>
                <a:ext uri="{FF2B5EF4-FFF2-40B4-BE49-F238E27FC236}">
                  <a16:creationId xmlns:a16="http://schemas.microsoft.com/office/drawing/2014/main" id="{57F8E776-EE90-9C68-FB99-D2A059BAA4D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N SATINALMA CARİ ÜNVAN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17280000" cy="115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6</xdr:row>
      <xdr:rowOff>83820</xdr:rowOff>
    </xdr:from>
    <xdr:to>
      <xdr:col>6</xdr:col>
      <xdr:colOff>1056571</xdr:colOff>
      <xdr:row>9</xdr:row>
      <xdr:rowOff>152895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LTSTOKGRUPKODU">
              <a:extLst>
                <a:ext uri="{FF2B5EF4-FFF2-40B4-BE49-F238E27FC236}">
                  <a16:creationId xmlns:a16="http://schemas.microsoft.com/office/drawing/2014/main" id="{886EFFBB-CED2-DCB5-1EAB-3AF4642DFF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LTSTOKGRUPKOD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169670"/>
              <a:ext cx="17280000" cy="61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tr-TR" sz="1100"/>
                <a:t>Bu şekil bir dilimleyiciyi gösterir. Dilimleyiciler Excel 2010 ve sonraki sürümlerde desteklenir.
Şekil daha önceki bir Excel sürümünde değiştirildiyse veya çalışma kitabı Excel 2003 veya önceki sürümünde kaydedildiyse, dilimleyici kullanılamaz.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man Ertugral" refreshedDate="46125.60107488426" createdVersion="8" refreshedVersion="8" minRefreshableVersion="3" recordCount="5982" xr:uid="{FF356FC9-4CC3-4D7C-8607-E25232C6FE52}">
  <cacheSource type="worksheet">
    <worksheetSource name="DST_123_ÜRETİM_İHTİYAÇ_RAPORU_BURAK_YENI1309"/>
  </cacheSource>
  <cacheFields count="17">
    <cacheField name="PROJE_KODU" numFmtId="0">
      <sharedItems count="369">
        <s v="GSM0541"/>
        <s v="GXLE0152"/>
        <s v="GSM0539"/>
        <s v="GSM0536"/>
        <s v="GSM0537"/>
        <s v="GXL0156"/>
        <s v="GS0533"/>
        <s v="GL0154"/>
        <s v="GSM0538"/>
        <s v="GS0532"/>
        <s v="GSH0150"/>
        <s v="GSM0540"/>
        <s v="GS0535"/>
        <s v="GSM0534"/>
        <s v="GL0155"/>
        <s v="RV073"/>
        <s v="GSE0151"/>
        <s v="GSM0542"/>
        <s v="GL0153"/>
        <s v="GXLE0149"/>
        <s v="GS0529" u="1"/>
        <s v="GSM0524" u="1"/>
        <s v="GS0530" u="1"/>
        <s v="GSM0531" u="1"/>
        <s v="GL0148" u="1"/>
        <s v="GS0527" u="1"/>
        <s v="GS0528" u="1"/>
        <s v="GS0526" u="1"/>
        <s v="GS0522" u="1"/>
        <s v="GSH0144" u="1"/>
        <s v="GSM0520" u="1"/>
        <s v="GSM0523" u="1"/>
        <s v="GSM0525" u="1"/>
        <s v="ATLAS006" u="1"/>
        <s v="GSE0145" u="1"/>
        <s v="GSE0147" u="1"/>
        <s v="GSH0146" u="1"/>
        <s v="GSM0521" u="1"/>
        <s v="GSM0516" u="1"/>
        <s v="GSM0519" u="1"/>
        <s v="GXLE0141" u="1"/>
        <s v="GSE0142" u="1"/>
        <s v="GSE0143" u="1"/>
        <s v="GSM0508" u="1"/>
        <s v="GL0139" u="1"/>
        <s v="GS0506" u="1"/>
        <s v="GSM0505" u="1"/>
        <s v="GSM0509" u="1"/>
        <s v="GSM0515" u="1"/>
        <s v="GSM0517" u="1"/>
        <s v="ATLAS005" u="1"/>
        <s v="GSM0518" u="1"/>
        <s v="GS0514" u="1"/>
        <s v="GS0510" u="1"/>
        <s v="GS0512" u="1"/>
        <s v="GS0513" u="1"/>
        <s v="GSE0140" u="1"/>
        <s v="GSM0511" u="1"/>
        <s v="d" u="1"/>
        <s v="GL0136" u="1"/>
        <s v="GS0504" u="1"/>
        <s v="GSM0502" u="1"/>
        <s v="GXL0138" u="1"/>
        <s v="GL0135" u="1"/>
        <s v="GSE0134" u="1"/>
        <s v="GSM0507" u="1"/>
        <s v="GXLE0137" u="1"/>
        <s v="ATLAS003" u="1"/>
        <s v="ATLAS004" u="1"/>
        <s v="GL0133" u="1"/>
        <s v="GS0500" u="1"/>
        <s v="GS0501" u="1"/>
        <s v="GS0503" u="1"/>
        <s v="GSM0498" u="1"/>
        <s v="ATLAS002" u="1"/>
        <s v="GS0497" u="1"/>
        <s v="GS0499" u="1"/>
        <s v="GS0491" u="1"/>
        <s v="GSM0492" u="1"/>
        <s v="GS0489" u="1"/>
        <s v="GS0493" u="1"/>
        <s v="GS0494" u="1"/>
        <s v="GS0496" u="1"/>
        <s v="GS0495" u="1"/>
        <s v="GS0481" u="1"/>
        <s v="CYBERG02" u="1"/>
        <s v="GS0484" u="1"/>
        <s v="GS0486" u="1"/>
        <s v="GSE0131" u="1"/>
        <s v="GS0480" u="1"/>
        <s v="GSE0130" u="1"/>
        <s v="GS0487" u="1"/>
        <s v="GS0483" u="1"/>
        <s v="GS0490" u="1"/>
        <s v="GSH0132" u="1"/>
        <s v="GS0485" u="1"/>
        <s v="G0133" u="1"/>
        <s v="GSM0482" u="1"/>
        <s v="GXL0129" u="1"/>
        <s v="GS0463" u="1"/>
        <s v="GS0479" u="1"/>
        <s v="GS0488" u="1"/>
        <s v="GSE0122" u="1"/>
        <s v="GSE0127" u="1"/>
        <s v="GSH0125" u="1"/>
        <s v="GL0126" u="1"/>
        <s v="GXL0121" u="1"/>
        <s v="GL0119" u="1"/>
        <s v="GL0120" u="1"/>
        <s v="GXLE063" u="1"/>
        <s v="GSE0103" u="1"/>
        <s v="GL0104" u="1"/>
        <s v="GXLE0107" u="1"/>
        <s v="GS0467" u="1"/>
        <s v="GS0460" u="1"/>
        <s v="GS0477" u="1"/>
        <s v="GL0124" u="1"/>
        <s v="GXL0123" u="1"/>
        <s v="GS0464" u="1"/>
        <s v="GXL0118" u="1"/>
        <s v="GXLE0110" u="1"/>
        <s v="GXLE0112" u="1"/>
        <s v="GL0108" u="1"/>
        <s v="GS0468" u="1"/>
        <s v="GXLE0115" u="1"/>
        <s v="GSH0109" u="1"/>
        <s v="GS0478" u="1"/>
        <s v="GL0117" u="1"/>
        <s v="GXL0111" u="1"/>
        <s v="GS0456" u="1"/>
        <s v="GS0473" u="1"/>
        <s v="GS0469" u="1"/>
        <s v="GS0470" u="1"/>
        <s v="GS0472" u="1"/>
        <s v="GS0471" u="1"/>
        <s v="GS0461" u="1"/>
        <s v="GSH0116" u="1"/>
        <s v="GS0475" u="1"/>
        <s v="GS0476" u="1"/>
        <s v="GXL089" u="1"/>
        <s v="GS0458" u="1"/>
        <s v="GSE094" u="1"/>
        <s v="GL095" u="1"/>
        <s v="GS0453" u="1"/>
        <s v="GS0454" u="1"/>
        <s v="GXL0114" u="1"/>
        <s v="GXLE097" u="1"/>
        <s v="GXLE0102" u="1"/>
        <s v="GSE096" u="1"/>
        <s v="GXL0106" u="1"/>
        <s v="GS0462" u="1"/>
        <s v="GSE100" u="1"/>
        <s v="GS0465" u="1"/>
        <s v="GXL0105" u="1"/>
        <s v="GS0466" u="1"/>
        <s v="GS0474" u="1"/>
        <s v="GSE092" u="1"/>
        <s v="GXL098" u="1"/>
        <s v="GSE101" u="1"/>
        <s v="GXLE091" u="1"/>
        <s v="GL0113" u="1"/>
        <s v="GSE099" u="1"/>
        <s v="GL093" u="1"/>
        <s v="GS0457" u="1"/>
        <s v="GSH084" u="1"/>
        <s v="GS0459" u="1"/>
        <s v="GS0452" u="1"/>
        <s v="URB073" u="1"/>
        <s v="GS0455" u="1"/>
        <s v="GS0450" u="1"/>
        <s v="G0431" u="1"/>
        <s v="G0432" u="1"/>
        <s v="GL074" u="1"/>
        <s v="GL078" u="1"/>
        <s v="GM0424" u="1"/>
        <s v="GS0436" u="1"/>
        <s v="GS0437" u="1"/>
        <s v="GS0438" u="1"/>
        <s v="GS0439" u="1"/>
        <s v="GS0440" u="1"/>
        <s v="GS0441" u="1"/>
        <s v="GS0442" u="1"/>
        <s v="GS0443" u="1"/>
        <s v="GS0444" u="1"/>
        <s v="GS0445" u="1"/>
        <s v="GS0446" u="1"/>
        <s v="GS0447" u="1"/>
        <s v="GS0448" u="1"/>
        <s v="GSE083" u="1"/>
        <s v="GSE085" u="1"/>
        <s v="GSE087" u="1"/>
        <s v="GSH090" u="1"/>
        <s v="GXL080" u="1"/>
        <s v="GXL081" u="1"/>
        <s v="GXLD067" u="1"/>
        <s v="GXLE072" u="1"/>
        <s v="GXLE076" u="1"/>
        <s v="GXLE077" u="1"/>
        <s v="GXLS060" u="1"/>
        <s v="GXLS061" u="1"/>
        <s v="GXLS062" u="1"/>
        <s v="GXLS068" u="1"/>
        <s v="GXLS069" u="1"/>
        <s v="GXLS070" u="1"/>
        <s v="GXLS071" u="1"/>
        <s v="GXLS073" u="1"/>
        <s v="GS0449" u="1"/>
        <s v="GSE086" u="1"/>
        <s v="RV070" u="1"/>
        <s v="URB053" u="1"/>
        <s v="URB054" u="1"/>
        <s v="GXLD039" u="1"/>
        <s v="GXLD038" u="1"/>
        <s v="GXLE036" u="1"/>
        <s v="G0369" u="1"/>
        <s v="G0370" u="1"/>
        <s v="G0376" u="1"/>
        <s v="G0360" u="1"/>
        <s v="G0361" u="1"/>
        <s v="G0371" u="1"/>
        <s v="G0375" u="1"/>
        <s v="G0373" u="1"/>
        <s v="G0374" u="1"/>
        <s v="G0372" u="1"/>
        <s v="GXLS040" u="1"/>
        <s v="G0359" u="1"/>
        <s v="GXLS035" u="1"/>
        <s v="F025" u="1"/>
        <s v="URB031" u="1"/>
        <s v="G0356" u="1"/>
        <s v="URB036" u="1"/>
        <s v="G0357" u="1"/>
        <s v="G0358" u="1"/>
        <s v="GXLE034" u="1"/>
        <s v="GXLE032" u="1"/>
        <s v="GXLD033" u="1"/>
        <s v="RXL068" u="1"/>
        <s v="RV052" u="1"/>
        <s v="RV055" u="1"/>
        <s v="URB033" u="1"/>
        <s v="URB034" u="1"/>
        <s v="URB035" u="1"/>
        <s v="G0302" u="1"/>
        <s v="G0304" u="1"/>
        <s v="G0305" u="1"/>
        <s v="G0310" u="1"/>
        <s v="RV053" u="1"/>
        <s v="G0349" u="1"/>
        <s v="G0351" u="1"/>
        <s v="G0352" u="1"/>
        <s v="G0354" u="1"/>
        <s v="G0355" u="1"/>
        <s v="G0363" u="1"/>
        <s v="URB043" u="1"/>
        <s v="G0362" u="1"/>
        <s v="GXLE031" u="1"/>
        <s v="G0364" u="1"/>
        <s v="G0365" u="1"/>
        <s v="G0366" u="1"/>
        <s v="G0367" u="1"/>
        <s v="G0368" u="1"/>
        <s v="URB044" u="1"/>
        <s v="URB045" u="1"/>
        <s v="URB046" u="1"/>
        <s v="URB047" u="1"/>
        <s v="G0311" u="1"/>
        <s v="G0350" u="1"/>
        <s v="G0353" u="1"/>
        <s v="G0347" u="1"/>
        <s v="RV050" u="1"/>
        <s v="GXLE029" u="1"/>
        <s v="G0342" u="1"/>
        <s v="G0343" u="1"/>
        <s v="G0344" u="1"/>
        <s v="G0345" u="1"/>
        <s v="G0346" u="1"/>
        <s v="F029" u="1"/>
        <s v="GXLE030" u="1"/>
        <s v="GXLS023" u="1"/>
        <s v="RV054" u="1"/>
        <s v="URB041" u="1"/>
        <s v="URB042" u="1"/>
        <s v="URB037" u="1"/>
        <s v="URB038" u="1"/>
        <s v="URB039" u="1"/>
        <s v="URB040" u="1"/>
        <s v="URB030" u="1"/>
        <s v="URB032" u="1"/>
        <s v="G0297" u="1"/>
        <s v="G0332" u="1"/>
        <s v="G0333" u="1"/>
        <s v="G0334" u="1"/>
        <s v="G0335" u="1"/>
        <s v="G0348" u="1"/>
        <s v="G0336" u="1"/>
        <s v="G0337" u="1"/>
        <s v="G0338" u="1"/>
        <s v="G0339" u="1"/>
        <s v="G0341" u="1"/>
        <s v="GXLE017" u="1"/>
        <s v="GXLS028" u="1"/>
        <s v="GXLE027" u="1"/>
        <s v="GXL025" u="1"/>
        <s v="GXL020" u="1"/>
        <s v="GXL017" u="1"/>
        <s v="G0323" u="1"/>
        <s v="G0324" u="1"/>
        <s v="G0325" u="1"/>
        <s v="G0327" u="1"/>
        <s v="G0340" u="1"/>
        <s v="GXL023" u="1"/>
        <s v="G0329" u="1"/>
        <s v="G0330" u="1"/>
        <s v="G0328" u="1"/>
        <s v="G0312" u="1"/>
        <s v="G0331" u="1"/>
        <s v="URB024" u="1"/>
        <s v="URB026" u="1"/>
        <s v="URB027" u="1"/>
        <s v="URB029" u="1"/>
        <s v="URB025" u="1"/>
        <s v="G0294" u="1"/>
        <s v="GXL008" u="1"/>
        <s v="GXL009" u="1"/>
        <s v="GXL018" u="1"/>
        <s v="GXL019" u="1"/>
        <s v="G0319" u="1"/>
        <s v="G0320" u="1"/>
        <s v="GXL026" u="1"/>
        <s v="G0317" u="1"/>
        <s v="G0321" u="1"/>
        <s v="G0322" u="1"/>
        <s v="G0326" u="1"/>
        <s v="G0313" u="1"/>
        <s v="F026" u="1"/>
        <s v="F027" u="1"/>
        <s v="URB003" u="1"/>
        <s v="URB004" u="1"/>
        <s v="URB005" u="1"/>
        <s v="URB006" u="1"/>
        <s v="URB007" u="1"/>
        <s v="URB008" u="1"/>
        <s v="URB021" u="1"/>
        <s v="URB022" u="1"/>
        <s v="URB023" u="1"/>
        <s v="URB015" u="1"/>
        <s v="URB016" u="1"/>
        <s v="URB017" u="1"/>
        <s v="URB018" u="1"/>
        <s v="URB019" u="1"/>
        <s v="URB020" u="1"/>
        <s v="URB009" u="1"/>
        <s v="URB010" u="1"/>
        <s v="URB011" u="1"/>
        <s v="URB012" u="1"/>
        <s v="URB013" u="1"/>
        <s v="URB014" u="1"/>
        <s v="URB028" u="1"/>
        <s v="GXL024" u="1"/>
        <s v="G0301" u="1"/>
        <s v="GXL022" u="1"/>
        <s v="RV046" u="1"/>
        <s v="RV048" u="1"/>
        <s v="RV049" u="1"/>
        <s v="RV062" u="1"/>
        <s v="RV059" u="1"/>
        <s v="F028" u="1"/>
        <s v="RV051" u="1"/>
        <s v="RV060" u="1"/>
      </sharedItems>
    </cacheField>
    <cacheField name="KARAVAN_ADI" numFmtId="0">
      <sharedItems/>
    </cacheField>
    <cacheField name="ALT_KOD_TÜR" numFmtId="0">
      <sharedItems count="4">
        <s v="Ticarimal"/>
        <s v="Hammadde"/>
        <s v="Yarımamül" u="1"/>
        <s v="Mamül" u="1"/>
      </sharedItems>
    </cacheField>
    <cacheField name="ALT_KOD" numFmtId="0">
      <sharedItems count="1435">
        <s v="ECTURB100002"/>
        <s v="HRXX0099H134"/>
        <s v="HRXX0099H177"/>
        <s v="HRXX0099H227"/>
        <s v="KRXX0099H024"/>
        <s v="HRXX0099H170"/>
        <s v="HRXX0099H130"/>
        <s v="HRXX0099H165"/>
        <s v="HRXX0099H183"/>
        <s v="HRXX0099H219"/>
        <s v="HRXX0099H224"/>
        <s v="HRXX0099H197"/>
        <s v="HRXX0099H161"/>
        <s v="HRXX0099H591"/>
        <s v="HRXX0099H145"/>
        <s v="KRXX0099H108"/>
        <s v="KMPY0099H001"/>
        <s v="KMIZ0099H001"/>
        <s v="MKTS0099H009"/>
        <s v="HRXX0099H127"/>
        <s v="HRXX0099H184"/>
        <s v="KRXX0099H047"/>
        <s v="KRXX0099H056"/>
        <s v="KMIZ0099H027"/>
        <s v="KMPY0099H011"/>
        <s v="KMIZ0099H013"/>
        <s v="MKSF0099H006"/>
        <s v="MKSF0099H001"/>
        <s v="HRXX0099H143"/>
        <s v="HRXX0099H203"/>
        <s v="3DBK0099H006"/>
        <s v="3DBK0099H004"/>
        <s v="HRXX0099H149"/>
        <s v="HRXX0099H166"/>
        <s v="HRXX0099H181"/>
        <s v="HRXX0099H222"/>
        <s v="KMIZ0099H015"/>
        <s v="KMIZ0099H029"/>
        <s v="HRXX0099H132"/>
        <s v="HRXX0099H147"/>
        <s v="HRXX0099H131"/>
        <s v="HRXX0099H223"/>
        <s v="KRXX0099H086"/>
        <s v="KRXX0099H001"/>
        <s v="MKSF0099H003"/>
        <s v="MKSF0099H024"/>
        <s v="KMIZ0099H011"/>
        <s v="3DBK0099H005"/>
        <s v="ECTURB100003"/>
        <s v="HRXX0099H121"/>
        <s v="HRXX0099H135"/>
        <s v="KRXX0099H041"/>
        <s v="KMIZ0099H002"/>
        <s v="KMPY0099H010"/>
        <s v="DSXX0099H020"/>
        <s v="HRXX0099H301"/>
        <s v="HRXX0099H592"/>
        <s v="MKSF0099H086"/>
        <s v="KMIZ0099H016"/>
        <s v="MKSF0099H020"/>
        <s v="MKTS0099H032"/>
        <s v="ELSF0099H031"/>
        <s v="ELSF0099H032"/>
        <s v="ELTS0099H127"/>
        <s v="HRXX0099H604"/>
        <s v="HRXX0099H144"/>
        <s v="KRXX0099H039"/>
        <s v="MKSF0099H025"/>
        <s v="HRXX0099H176"/>
        <s v="HRXX0099H215"/>
        <s v="MKSF0099H009"/>
        <s v="ELSF0099H119"/>
        <s v="HRXX0099H328"/>
        <s v="KMBY0099H045"/>
        <s v="HRXX0099H299"/>
        <s v="HRXX0099H189"/>
        <s v="KRXX0099H059"/>
        <s v="KMPY0099H005"/>
        <s v="KMPY0099H006"/>
        <s v="HRXX0099H138"/>
        <s v="HRXX0099H212"/>
        <s v="KRXX0099H042"/>
        <s v="KRXX0099H111"/>
        <s v="DSXX0099H004"/>
        <s v="ELSF0099H008"/>
        <s v="ELTS0099H022"/>
        <s v="MKSF0099H021"/>
        <s v="MKSF0099H032"/>
        <s v="DSXX28DNH035"/>
        <s v="ELTS0099H036"/>
        <s v="KRXX0099H087"/>
        <s v="KMPY0099H013"/>
        <s v="HRXX0099H133"/>
        <s v="MKSF0099H005"/>
        <s v="MKSF0099H022"/>
        <s v="MKSF0099H063"/>
        <s v="DSXX0099H048"/>
        <s v="ELTS0099H026"/>
        <s v="ELSF0099H033"/>
        <s v="MKTS0099H054"/>
        <s v="DSXX0099H061"/>
        <s v="KMPY0099H019"/>
        <s v="MKSF0099H004"/>
        <s v="KMBY9005H009"/>
        <s v="MKTS0099H019"/>
        <s v="HRXX0099H320"/>
        <s v="KMBY0099H059"/>
        <s v="KRXX0099H130"/>
        <s v="HRXX0099H359"/>
        <s v="KMPY0099H015"/>
        <s v="ELTS0099H070"/>
        <s v="DSXXRM01H023"/>
        <s v="KMBY0099H040"/>
        <s v="MKSF0099H015"/>
        <s v="ELSF0099H026"/>
        <s v="HRXX0099H311"/>
        <s v="ELSF0099H127"/>
        <s v="KMIZ0099H036"/>
        <s v="HRXX0099H342"/>
        <s v="HRXX0099H266"/>
        <s v="HRXX0099H137"/>
        <s v="KRXX0099H114"/>
        <s v="KMPY9016H003"/>
        <s v="KMIZ0099H012"/>
        <s v="ELSF0099H009"/>
        <s v="KRXX0099H322"/>
        <s v="HRXX0099H312"/>
        <s v="KMIZ0099H037"/>
        <s v="ELTS0099H069"/>
        <s v="HRXX0099H158"/>
        <s v="HRXX0099H153"/>
        <s v="HRXX0099H217"/>
        <s v="MKTS0099H010"/>
        <s v="DSXX0099H029"/>
        <s v="DSXX0099H047"/>
        <s v="MKTS0099H030"/>
        <s v="HRXX0099H185"/>
        <s v="HRXX0099H595"/>
        <s v="HRXX0099H175"/>
        <s v="HRXX0099H590"/>
        <s v="HRXX0099H174"/>
        <s v="ELSF0099H131"/>
        <s v="HRXX0099H172"/>
        <s v="HRXX0099H213"/>
        <s v="KRXX0099H045"/>
        <s v="KMIZ0099H024"/>
        <s v="MKSF0099H027"/>
        <s v="ELSF0099H038"/>
        <s v="HRXX0099H303"/>
        <s v="MKTS0099H006"/>
        <s v="ELTS0099H013"/>
        <s v="ELSF0099H007"/>
        <s v="ELTS0099H025"/>
        <s v="HRXX0099H142"/>
        <s v="KRXX0099H061"/>
        <s v="HRXX0099H173"/>
        <s v="KMIZ0099H008"/>
        <s v="DSXXRM10H027"/>
        <s v="DSXX0099H055"/>
        <s v="HRXX0099H589"/>
        <s v="MKSF0099H034"/>
        <s v="MKSF0099H038"/>
        <s v="MKTS0099H079"/>
        <s v="ELSF0099H034"/>
        <s v="ELSF0099H175"/>
        <s v="MKTS0099H035"/>
        <s v="MKSF0099H056"/>
        <s v="HRXX0099H296"/>
        <s v="MBAP0099H040"/>
        <s v="KMPY0099H008"/>
        <s v="ELTS0099H024"/>
        <s v="HRXX0099H445"/>
        <s v="KMIZ0099H006"/>
        <s v="ELTS0099H001"/>
        <s v="ELSF0099H006"/>
        <s v="ELTS0099H124"/>
        <s v="MKTS0099H039"/>
        <s v="MBAP0099H017"/>
        <s v="HRXX0099H258"/>
        <s v="MKTS0099H012"/>
        <s v="MBAP0099H042"/>
        <s v="KMBY0099H052"/>
        <s v="HRXX0099H330"/>
        <s v="ELTS0099H060"/>
        <s v="ELTS0099H045"/>
        <s v="ELSF0099H085"/>
        <s v="MBAP0099H006"/>
        <s v="KMIZ0099H028"/>
        <s v="HRXX0099H474"/>
        <s v="KRXX0099H187"/>
        <s v="MKSF0099H026"/>
        <s v="MKSF0099H023"/>
        <s v="MBAP0099H041"/>
        <s v="KMPY0099H004"/>
        <s v="ELSF0099H022"/>
        <s v="MBAP0099H009"/>
        <s v="ELSF0099H074"/>
        <s v="ELSF0099H081"/>
        <s v="ELSF0099H149"/>
        <s v="HRXX0099H483"/>
        <s v="HRXX0099H490"/>
        <s v="HRXX0099H009"/>
        <s v="ELSF0099H088"/>
        <s v="HRXX0099H001"/>
        <s v="ELSF0099H125"/>
        <s v="HRXX0099H329"/>
        <s v="MKTS0099H034"/>
        <s v="MKSF0099H033"/>
        <s v="MKSF0099H039"/>
        <s v="MBAP1001H018"/>
        <s v="HRXX0099H338"/>
        <s v="MBAP0099H007"/>
        <s v="HRXX0099H241"/>
        <s v="HRXX0099H029"/>
        <s v="HRXX0099H011"/>
        <s v="HRXX0099H054"/>
        <s v="HRXX0099H059"/>
        <s v="ELTS0099H064"/>
        <s v="MKSF0099H043"/>
        <s v="MBAP0099H003"/>
        <s v="HRXX0099H259"/>
        <s v="ELSF0099H054"/>
        <s v="ELTS0099H023"/>
        <s v="KMBY0099H058"/>
        <s v="HRXX0099H336"/>
        <s v="KRXX0099H128"/>
        <s v="KMBY0099H053"/>
        <s v="HRXX0099H020"/>
        <s v="ELTS0099H030"/>
        <s v="KRXX0099H029"/>
        <s v="ELSF0099H129"/>
        <s v="KRXX0099H132"/>
        <s v="MKSF0099H035"/>
        <s v="KRXX0099H178"/>
        <s v="HRXX0099H396"/>
        <s v="HRXX0099H417"/>
        <s v="HRXX0099H429"/>
        <s v="HRXX0099H373"/>
        <s v="KRXX0099H027"/>
        <s v="DSXX0099H050"/>
        <s v="MKSF0099H037"/>
        <s v="ELSF0099H106"/>
        <s v="ELSF0099H137"/>
        <s v="HRXX0099H019"/>
        <s v="MKSF0099H047"/>
        <s v="MKTS0099H080"/>
        <s v="HRXX0099H255"/>
        <s v="DSXX0099H064"/>
        <s v="HRXX0099H305"/>
        <s v="KMBY0099H057"/>
        <s v="ELSF0099H071"/>
        <s v="HRXX0099H010"/>
        <s v="HRXX0099H204"/>
        <s v="HRXX0099H084"/>
        <s v="MBAP0099H049"/>
        <s v="ELTS0099H058"/>
        <s v="HRXX0099H067"/>
        <s v="HRXX0099H028"/>
        <s v="HRXX0099H003"/>
        <s v="MBAP0099H035"/>
        <s v="HRXX0099H202"/>
        <s v="ELTS0099H042"/>
        <s v="MBSF0099H005"/>
        <s v="ELTS0099H006"/>
        <s v="HRXX0099H098"/>
        <s v="ELTS0099H101"/>
        <s v="HRXX0099H466"/>
        <s v="ELTS0099H048"/>
        <s v="MBAP1091H020"/>
        <s v="HRXX0099H013"/>
        <s v="HRXX0099H556"/>
        <s v="ELSF0099H183"/>
        <s v="KRXX0099H249"/>
        <s v="MKTS0099H135"/>
        <s v="HRXX0099H050"/>
        <s v="DSXX0099H106"/>
        <s v="ELSF0099H086"/>
        <s v="MKTS0099H033"/>
        <s v="ELTS0099H100"/>
        <s v="MKSF0099H081"/>
        <s v="KRXX0099H356"/>
        <s v="HRXX0099H004"/>
        <s v="HRXX0099H120"/>
        <s v="HRXX0099H070"/>
        <s v="ELSF0099H069"/>
        <s v="HRXX0099H102"/>
        <s v="HRXX0099H457"/>
        <s v="MKTS0099H147"/>
        <s v="KRXX0099H141"/>
        <s v="MKTS0099H146"/>
        <s v="MKTS0099H134"/>
        <s v="MKTS0099H136"/>
        <s v="HRXX0099H081"/>
        <s v="ELSF0099H132"/>
        <s v="ELTS0099H046"/>
        <s v="ELTS0099H057"/>
        <s v="HRXX0099H033"/>
        <s v="HRXX0099H512"/>
        <s v="HRXX0099H424"/>
        <s v="HRXX0099H526"/>
        <s v="KMBY5004H013"/>
        <s v="HRXX0099H095"/>
        <s v="KRXX0099H232"/>
        <s v="HRXX0099H523"/>
        <s v="HRXX0099H097"/>
        <s v="MKTS0099H133"/>
        <s v="KMIZ0099H072"/>
        <s v="MBAP4236H027"/>
        <s v="MKTS0099H085"/>
        <s v="HRXX0099H113"/>
        <s v="DSXX0099H062"/>
        <s v="HRXX0099H406"/>
        <s v="HRXX0099H103"/>
        <s v="MBAP1001H063"/>
        <s v="HRXX0099H564"/>
        <s v="ELTS0099H068"/>
        <s v="HRXX0099H104"/>
        <s v="KRXX0099H234"/>
        <s v="HRXX0099H410"/>
        <s v="MKTS0099H118"/>
        <s v="HRXX0099H053"/>
        <s v="KMIZ0099H045"/>
        <s v="ELSF0099H140"/>
        <s v="HRXX0099H099"/>
        <s v="ELSF0099H105"/>
        <s v="ELTS0099H052"/>
        <s v="HRXX0099H560"/>
        <s v="KRXX0099H257"/>
        <s v="ELTS0099H105"/>
        <s v="MKTS0099H187"/>
        <s v="MBAP6008H065"/>
        <s v="KRXX0099H332"/>
        <s v="HRXX0099H631"/>
        <s v="KRXX0099H391"/>
        <s v="ELSF0099H209"/>
        <s v="KRXX0099H421"/>
        <s v="KRXX0099H348"/>
        <s v="ELTS0099H150"/>
        <s v="ELTS0099H152"/>
        <s v="ELSF0099H210"/>
        <s v="KRXX0099H349"/>
        <s v="KMIZ0099H052"/>
        <s v="KRXX0099H294"/>
        <s v="KMPY0657H025"/>
        <s v="ELSF0099H211"/>
        <s v="MBAP0099H070"/>
        <s v="KRXX0099H333"/>
        <s v="MBAP0099H075"/>
        <s v="ELSF0099H208"/>
        <s v="HRXX0099H421"/>
        <s v="HRXX0099H345"/>
        <s v="MKTS0099H131"/>
        <s v="ELTS0099H096"/>
        <s v="KRXX0099H202"/>
        <s v="ELSF0099H202"/>
        <s v="HRXX0099H385"/>
        <s v="ELSF0099H136"/>
        <s v="KRXX0099H355"/>
        <s v="KMBY5004H009"/>
        <s v="ELSF0099H197"/>
        <s v="ELSF0099H200"/>
        <s v="ELSF0099H196"/>
        <s v="KRXX0099H420"/>
        <s v="KRXX0099H147"/>
        <s v="MKTS0099H124"/>
        <s v="KRXX0099H315"/>
        <s v="HRXX0099H654"/>
        <s v="KRXX0099H418"/>
        <s v="ELSF0099H213"/>
        <s v="ELSF0099H185"/>
        <s v="MKTS0099H205"/>
        <s v="ELTS0099H161"/>
        <s v="KRXX0099H336"/>
        <s v="MKTS0099H098"/>
        <s v="ELSF0099H189"/>
        <s v="HRXX0099H615"/>
        <s v="HRXX0099H547"/>
        <s v="MKTS0099H172"/>
        <s v="ELSF0099H178"/>
        <s v="DSXX0099H060"/>
        <s v="HRXX0099H491"/>
        <s v="MBAP6004H064"/>
        <s v="MBAP3080H069"/>
        <s v="MBAP0099H010"/>
        <s v="DSXX0099H073"/>
        <s v="MKTS0099H125"/>
        <s v="MBAP0099H018"/>
        <s v="HRXX0099H418"/>
        <s v="KRXX0099H446"/>
        <s v="MKTS0099H143"/>
        <s v="KRXX0099H351"/>
        <s v="KRXX0099H399"/>
        <s v="HRXX0099H484"/>
        <s v="GYSC0099T001"/>
        <s v="ELTS0099H095"/>
        <s v="KRXX0099H329"/>
        <s v="HRXX0099H386"/>
        <s v="HRXX0099H428"/>
        <s v="ELSF0099H093"/>
        <s v="MBSF0099H006"/>
        <s v="HRXX0099H558"/>
        <s v="ELTS0099H086"/>
        <s v="HRXX0099H566"/>
        <s v="MKTS0099H097"/>
        <s v="KRXX0099H287"/>
        <s v="MKTS0099H123"/>
        <s v="ELSF0099H024"/>
        <s v="HRXX0099H021"/>
        <s v="ELSF0099H180"/>
        <s v="HRXX0099H521"/>
        <s v="HRXX0099H112"/>
        <s v="ELSF0099H083"/>
        <s v="ELSF0099H090"/>
        <s v="UBAU0099H013"/>
        <s v="MKTS0099H120"/>
        <s v="MKTS0099H121"/>
        <s v="DSXX0099H110"/>
        <s v="DSXX0099H044"/>
        <s v="MKTS0099H189"/>
        <s v="KRXX0099H436"/>
        <s v="HRXX0099H555"/>
        <s v="MKSF0099H080"/>
        <s v="MBAP0099H019"/>
        <s v="ELTS0099H160"/>
        <s v="KMIZ0099H054"/>
        <s v="KRXX0099H448"/>
        <s v="KMIZ0099H059"/>
        <s v="ELTS0099H129"/>
        <s v="HRXX0099H551"/>
        <s v="KRXX0099H211"/>
        <s v="ELSF0099H078"/>
        <s v="MKSF0099H109"/>
        <s v="HRXX0099H471"/>
        <s v="MKTS0099H174"/>
        <s v="ELSF0099H023"/>
        <s v="HRXX0099H055"/>
        <s v="ELSF0099H141"/>
        <s v="DSXX0099H104"/>
        <s v="ELSF0099H184"/>
        <s v="KRXX0099H218"/>
        <s v="ELSF0099H181"/>
        <s v="KRXX0099H169"/>
        <s v="MKTS0099H119"/>
        <s v="MKTS0099H122"/>
        <s v="MKTS0099H129"/>
        <s v="KRXX0099H405"/>
        <s v="KRXX0099H449"/>
        <s v="MKTS0099H207"/>
        <s v="KMPY0099H023"/>
        <s v="ELSF0099H203"/>
        <s v="HRXX0099H056"/>
        <s v="HRXX0099H058"/>
        <s v="KMIZ0099H057"/>
        <s v="KMIZ0099H058"/>
        <s v="MBAP0099H071"/>
        <s v="HRXX0099H105"/>
        <s v="MKTS0099H128"/>
        <s v="ELSF0099H188"/>
        <s v="KMIZ0099H070"/>
        <s v="ELTS0099H131"/>
        <s v="KMMK0099H001"/>
        <s v="ELSF0099H186"/>
        <s v="ELTS0099H132"/>
        <s v="HRXX0099H565"/>
        <s v="MKTS0099H130"/>
        <s v="ELSF0099H207"/>
        <s v="ELTS0099H163"/>
        <s v="KRXX0099H400"/>
        <s v="MKSF0099H105"/>
        <s v="KRXX0099H451"/>
        <s v="MKTS0099H226"/>
        <s v="KRXX0099H417"/>
        <s v="ELTS0099H158"/>
        <s v="KRXX0099H394"/>
        <s v="KRXX0099H392"/>
        <s v="HRXX0099H656"/>
        <s v="KMPY9016H026"/>
        <s v="ELTS0099H134"/>
        <s v="MKTS0099H184"/>
        <s v="ELSF0099H212"/>
        <s v="KMBY5004H008"/>
        <s v="MKTS0099H142"/>
        <s v="MKTS0099H182"/>
        <s v="KRXX0099H431"/>
        <s v="MKTS0099H086"/>
        <s v="HRXX0099H657"/>
        <s v="MBAP1039H067"/>
        <s v="KRXX0099H404"/>
        <s v="HRXX0099H658"/>
        <s v="MKTS0099H206"/>
        <s v="HRXX0099H644"/>
        <s v="MKTS0099H175"/>
        <s v="ELTS0099H166"/>
        <s v="ELTS0099H154"/>
        <s v="UBAU0099H043"/>
        <s v="KRXX0099H350"/>
        <s v="KRXX0099H352"/>
        <s v="KMBY5004H011"/>
        <s v="HRXX0099H645"/>
        <s v="MKTS0099H139"/>
        <s v="HRXX0099H603"/>
        <s v="KMBY0099H063"/>
        <s v="KRXX0099H393"/>
        <s v="MKTS0099H138"/>
        <s v="MKTS0099H140"/>
        <s v="MKTS0099H209"/>
        <s v="HRXX0099H614"/>
        <s v="ELSF0099H146"/>
        <s v="MKTS0099H141"/>
        <s v="MKTS0099H053"/>
        <s v="MBAP1098H021"/>
        <s v="ATLS0099H002"/>
        <s v="KRXX0099H452"/>
        <s v="HRXX0099H579"/>
        <s v="KRXX0099H014"/>
        <s v="KRXX0099H048"/>
        <s v="KRXX0099H291"/>
        <s v="KRXX0099H371" u="1"/>
        <s v="HRXX0099H543" u="1"/>
        <s v="GLGH0099Y001" u="1"/>
        <s v="MKTS0099H031" u="1"/>
        <s v="NMN441" u="1"/>
        <s v="HRXX0099H214" u="1"/>
        <s v="HRXX0099H163" u="1"/>
        <s v="HRXX0099H186" u="1"/>
        <s v="MKTS0099H158" u="1"/>
        <s v="KRXX0099H074" u="1"/>
        <s v="KRXX0099H305" u="1"/>
        <s v="HRXX0099H162" u="1"/>
        <s v="MKSF0099H040" u="1"/>
        <s v="HRXX0099H156" u="1"/>
        <s v="ELTS0099H126" u="1"/>
        <s v="MBSF0099H007" u="1"/>
        <s v="KRXX0099H107" u="1"/>
        <s v="HRXX0099H576" u="1"/>
        <s v="HRXX0099H146" u="1"/>
        <s v="HRXX0099H179" u="1"/>
        <s v="KMPY0099H009" u="1"/>
        <s v="KRXX0099H302" u="1"/>
        <s v="ELTS0099H012" u="1"/>
        <s v="HRXX0099H139" u="1"/>
        <s v="KRXX0099H053" u="1"/>
        <s v="KRXX0099H034" u="1"/>
        <s v="KRXX0099H301" u="1"/>
        <s v="HRXX0099H190" u="1"/>
        <s v="ELSF0099H042" u="1"/>
        <s v="MKSF0099H014" u="1"/>
        <s v="MKTS0099H028" u="1"/>
        <s v="KMPY0099H012" u="1"/>
        <s v="KRXX0099H090" u="1"/>
        <s v="ELSF0099H044" u="1"/>
        <s v="MKSF0099H002" u="1"/>
        <s v="MKSF0099H028" u="1"/>
        <s v="KMIZ0099H034" u="1"/>
        <s v="MBAP0099H038" u="1"/>
        <s v="MKSF0099H068" u="1"/>
        <s v="ELSF0099H117" u="1"/>
        <s v="HRXX0099H478" u="1"/>
        <s v="ELTS0099H041" u="1"/>
        <s v="ELTS0099H040" u="1"/>
        <s v="HRXX0099H310" u="1"/>
        <s v="ELTS0099H085" u="1"/>
        <s v="MKSF0099H050" u="1"/>
        <s v="KRXX0099H135" u="1"/>
        <s v="MKTS0099H022" u="1"/>
        <s v="ELSF0099H052" u="1"/>
        <s v="ELSF0099H104" u="1"/>
        <s v="ELSF0099H037" u="1"/>
        <s v="ELSF0099H053" u="1"/>
        <s v="ELSF0099H045" u="1"/>
        <s v="MKSF0099H083" u="1"/>
        <s v="ELSF0099H118" u="1"/>
        <s v="ELSF0099H039" u="1"/>
        <s v="MKTS0099H027" u="1"/>
        <s v="ELSF0099H040" u="1"/>
        <s v="ELSF0099H021" u="1"/>
        <s v="ELSF0099H041" u="1"/>
        <s v="MBAP0099H045" u="1"/>
        <s v="KRXX0099H120" u="1"/>
        <s v="KRXX0099H116" u="1"/>
        <s v="HRXX0099H370" u="1"/>
        <s v="HRXX0099H101" u="1"/>
        <s v="MBAP0099H011" u="1"/>
        <s v="MKSF0099H046" u="1"/>
        <s v="HRXX0099H307" u="1"/>
        <s v="HRXX0099H630" u="1"/>
        <s v="HRXX0099H290" u="1"/>
        <s v="MKTS0099H083" u="1"/>
        <s v="HRXX0099H110" u="1"/>
        <s v="UBAU0099H040" u="1"/>
        <s v="ELSF0099H036" u="1"/>
        <s v="MKTS0099H082" u="1"/>
        <s v="ELTS0099H087" u="1"/>
        <s v="KRXX0099H254" u="1"/>
        <s v="KRXX0099H256" u="1"/>
        <s v="KRXX0099H265" u="1"/>
        <s v="MBAP0099H020" u="1"/>
        <s v="KRXX0099H270" u="1"/>
        <s v="ELTS0099H119" u="1"/>
        <s v="KRXX0099H293" u="1"/>
        <s v="DSXX0099H102" u="1"/>
        <s v="MKTS0099H201" u="1"/>
        <s v="HRXX0099H393" u="1"/>
        <s v="MKTS0099H202" u="1"/>
        <s v="HRXX0099H005" u="1"/>
        <s v="HRXX0099H073" u="1"/>
        <s v="ELSF0099H182" u="1"/>
        <s v="HRXX0099H531" u="1"/>
        <s v="MKTS0099H117" u="1"/>
        <s v="KRXX0099H408" u="1"/>
        <s v="HRXX0099H006" u="1"/>
        <s v="KRXX0099H247" u="1"/>
        <s v="HRXX0099H518" u="1"/>
        <s v="MBAP3080H072" u="1"/>
        <s v="HRXX0099H371" u="1"/>
        <s v="MBSF0099H004" u="1"/>
        <s v="KRXX0099H409" u="1"/>
        <s v="HRXX0099H583" u="1"/>
        <s v="KRXX0099H273" u="1"/>
        <s v="MKSF0099H111" u="1"/>
        <s v="MKTS0099H060" u="1"/>
        <s v="KMPY0099H018" u="1"/>
        <s v="ELTS0099H130" u="1"/>
        <s v="KDMK0099Y001" u="1"/>
        <s v="KRXX0099H284" u="1"/>
        <s v="MKTS0099H180" u="1"/>
        <s v="NMN456" u="1"/>
        <s v="KRXX0099H140" u="1"/>
        <s v="MKTS0099H178" u="1"/>
        <s v="KRXX0099H383" u="1"/>
        <s v="MKTS0099H068" u="1"/>
        <s v="ELSF0099H138" u="1"/>
        <s v="KMIZ0099H061" u="1"/>
        <s v="MBAP0099H065" u="1"/>
        <s v="MKSF0099H108" u="1"/>
        <s v="KRXX0099H309" u="1"/>
        <s v="MKTS0099H113" u="1"/>
        <s v="ELTS0099H084" u="1"/>
        <s v="DSXX0099H100" u="1"/>
        <s v="KRXX0099H240" u="1"/>
        <s v="MBAP0099H067" u="1"/>
        <s v="KMBY5004H010" u="1"/>
        <s v="ELSF0099H204" u="1"/>
        <s v="HRXX0099H578" u="1"/>
        <s v="KMIZ0099H062" u="1"/>
        <s v="DSXX0099H101" u="1"/>
        <s v="MKXX0099H002" u="1"/>
        <s v="MKTS0099H179" u="1"/>
        <s v="MBAP0099H053" u="1"/>
        <s v="KRXX0099H407" u="1"/>
        <s v="MKTS0099H170" u="1"/>
        <s v="KRXX0099H292" u="1"/>
        <s v="MBAP3080H070" u="1"/>
        <s v="KRXX0099H286" u="1"/>
        <s v="ELTS0099H133" u="1"/>
        <s v="ATLS0099H010" u="1"/>
        <s v="KRXX0099H410" u="1"/>
        <s v="MKSF0099H110" u="1"/>
        <s v="MKSF0099H112" u="1"/>
        <s v="MKSF0099H041" u="1"/>
        <s v="KRXX0099H368" u="1"/>
        <s v="KRXX0099H412" u="1"/>
        <s v="KRXX0099H406" u="1"/>
        <s v="KRXX0099H411" u="1"/>
        <s v="ELTS0099H067" u="1"/>
        <s v="HRXX0099H610" u="1"/>
        <s v="HRXX0099H525" u="1"/>
        <s v="3DBK0099H012" u="1"/>
        <s v="ATLS0099H007" u="1"/>
        <s v="ATLS0099H009" u="1"/>
        <s v="ATLS0099H015" u="1"/>
        <s v="ATLS0099H029" u="1"/>
        <s v="DSXX0099H001" u="1"/>
        <s v="DSXX0099H043" u="1"/>
        <s v="ELTS0099H035" u="1"/>
        <s v="HRXX0099H031" u="1"/>
        <s v="HRXX0099H049" u="1"/>
        <s v="HRXX0099H052" u="1"/>
        <s v="HRXX0099H060" u="1"/>
        <s v="HRXX0099H062" u="1"/>
        <s v="HRXX0099H065" u="1"/>
        <s v="HRXX0099H178" u="1"/>
        <s v="HRXX0099H237" u="1"/>
        <s v="HRXX0099H394" u="1"/>
        <s v="HRXX0099H443" u="1"/>
        <s v="HRXX0099H444" u="1"/>
        <s v="HRXX0099H448" u="1"/>
        <s v="HRXX0099H586" u="1"/>
        <s v="KMBY0099H070" u="1"/>
        <s v="KMBY0099H092" u="1"/>
        <s v="KMBY5004H016" u="1"/>
        <s v="KRXX0099H026" u="1"/>
        <s v="KRXX0099H076" u="1"/>
        <s v="KRXX0099H263" u="1"/>
        <s v="KRXX0099H283" u="1"/>
        <s v="KRXX0099H419" u="1"/>
        <s v="KRXX0099H422" u="1"/>
        <s v="MBAP0099H044" u="1"/>
        <s v="MKTS0099H200" u="1"/>
        <s v="PRC019" u="1"/>
        <s v="PRC020" u="1"/>
        <s v="UBAU0099H009" u="1"/>
        <s v="MKTS0099H185" u="1"/>
        <s v="ELTS0099H137" u="1"/>
        <s v="ELTS0099H138" u="1"/>
        <s v="HRXX0099H352" u="1"/>
        <s v="KRXX0099H038" u="1"/>
        <s v="KRXX0099H073" u="1"/>
        <s v="KRXX0099H093" u="1"/>
        <s v="KRXX0099H117" u="1"/>
        <s v="KRXX0099H118" u="1"/>
        <s v="KRXX0099H369" u="1"/>
        <s v="KRXX0099H146" u="1"/>
        <s v="ELTS0099H147" u="1"/>
        <s v="HRXX0099H392" u="1"/>
        <s v="HRXX0099H629" u="1"/>
        <s v="UBAU0099H042" u="1"/>
        <s v="DSXX0099H079" u="1"/>
        <s v="DSXXRM13H044" u="1"/>
        <s v="ELSF0099H013" u="1"/>
        <s v="ELSF0099H015" u="1"/>
        <s v="ELSF0099H017" u="1"/>
        <s v="ELSF0099H027" u="1"/>
        <s v="ELSF0099H028" u="1"/>
        <s v="ELSF0099H029" u="1"/>
        <s v="ELSF0099H113" u="1"/>
        <s v="ELSF0099H172" u="1"/>
        <s v="ELSF0099H173" u="1"/>
        <s v="ELSF0099H174" u="1"/>
        <s v="HRXX0099H188" u="1"/>
        <s v="HRXX0099H326" u="1"/>
        <s v="HRXX0099H542" u="1"/>
        <s v="HRXX0099H582" u="1"/>
        <s v="KMIZ0099H051" u="1"/>
        <s v="KRXX0099H268" u="1"/>
        <s v="KRXX0099H427" u="1"/>
        <s v="KRXX0099H429" u="1"/>
        <s v="MBSF0099H010" u="1"/>
        <s v="UBAU0099H022" u="1"/>
        <s v="ELSF0099H014" u="1"/>
        <s v="ELTS0099H039" u="1"/>
        <s v="DSXX0099H068" u="1"/>
        <s v="ABSR0099H005" u="1"/>
        <s v="ABSR0099H006" u="1"/>
        <s v="HRXX0099H187" u="1"/>
        <s v="HRXX0099H327" u="1"/>
        <s v="ELSF0099H019" u="1"/>
        <s v="ELTS0099H071" u="1"/>
        <s v="HRXX0099H380" u="1"/>
        <s v="ELSF0099H112" u="1"/>
        <s v="ELSF0099H016" u="1"/>
        <s v="HRXX0099H257" u="1"/>
        <s v="MBAP1076H019" u="1"/>
        <s v="HRXX0099H015" u="1"/>
        <s v="KRXX0099H401" u="1"/>
        <s v="KRXX0099H389" u="1"/>
        <s v="KMIZ0099H071" u="1"/>
        <s v="KRXX0099H430" u="1"/>
        <s v="HRXX0099H540" u="1"/>
        <s v="MKSF0099H008" u="1"/>
        <s v="ATLS0099H004" u="1"/>
        <s v="ATLS0099H008" u="1"/>
        <s v="ATLS0099H011" u="1"/>
        <s v="ATLS0099H012" u="1"/>
        <s v="ATLS0099H013" u="1"/>
        <s v="ATLS0099H016" u="1"/>
        <s v="ATLS0099H018" u="1"/>
        <s v="DSXXRM02H024" u="1"/>
        <s v="ECTURB100001" u="1"/>
        <s v="ELTS0099H002" u="1"/>
        <s v="HRXX0099H074" u="1"/>
        <s v="HRXX0099H076" u="1"/>
        <s v="HRXX0099H210" u="1"/>
        <s v="HRXX0099H218" u="1"/>
        <s v="HRXX0099H539" u="1"/>
        <s v="HRXX0099H659" u="1"/>
        <s v="KMBY7016H001" u="1"/>
        <s v="KMIZ0099H042" u="1"/>
        <s v="KMIZ0099H075" u="1"/>
        <s v="KRXX0099H297" u="1"/>
        <s v="KRXX0099H432" u="1"/>
        <s v="KRXX0099H435" u="1"/>
        <s v="MBAP0099H008" u="1"/>
        <s v="MBSF0099H009" u="1"/>
        <s v="MKSF0099H036" u="1"/>
        <s v="MKTS0099H014" u="1"/>
        <s v="MKTS0099H016" u="1"/>
        <s v="MKTS0099H203" u="1"/>
        <s v="MKTS0099H204" u="1"/>
        <s v="NMN491" u="1"/>
        <s v="ORCAMP046-Y" u="1"/>
        <s v="PRS2022005" u="1"/>
        <s v="DSXXRM04H025" u="1"/>
        <s v="ELSF0099H051" u="1"/>
        <s v="HRXX0099H419" u="1"/>
        <s v="HRXX0099H624" u="1"/>
        <s v="HRXX0099H625" u="1"/>
        <s v="KRXX0099H031" u="1"/>
        <s v="DSXX0099H007" u="1"/>
        <s v="ELTS0099H063" u="1"/>
        <s v="MKTS0099H017" u="1"/>
        <s v="ATLS0099H017" u="1"/>
        <s v="ATLS0099H019" u="1"/>
        <s v="ELTS0099H159" u="1"/>
        <s v="HRXX0099H354" u="1"/>
        <s v="HRXX0099H609" u="1"/>
        <s v="ORCAMP111-KI" u="1"/>
        <s v="KRXX0099H151" u="1"/>
        <s v="KRXX0099H359" u="1"/>
        <s v="KRXX0099H361" u="1"/>
        <s v="KRXX0099H206" u="1"/>
        <s v="ELTS0099H139" u="1"/>
        <s v="KRXX0099H363" u="1"/>
        <s v="KRXX0099H281" u="1"/>
        <s v="KMBY6013H006" u="1"/>
        <s v="3DBK0099H011" u="1"/>
        <s v="KRXX0099H084" u="1"/>
        <s v="MKSF0099H010" u="1"/>
        <s v="ELTS0099H050" u="1"/>
        <s v="ELSF0099H096" u="1"/>
        <s v="HRXX0099H051" u="1"/>
        <s v="HRXX0099H057" u="1"/>
        <s v="KRXX0099H098" u="1"/>
        <s v="KMPY0099H007" u="1"/>
        <s v="KMIZ0099H009" u="1"/>
        <s v="ELTS0099H062" u="1"/>
        <s v="HRXX0099H377" u="1"/>
        <s v="HRXX0099H379" u="1"/>
        <s v="KMBY0099H064" u="1"/>
        <s v="KRXX0099H233" u="1"/>
        <s v="NMN223" u="1"/>
        <s v="ABSR0099H011" u="1"/>
        <s v="KMPY0099H022" u="1"/>
        <s v="KRXX0099H344" u="1"/>
        <s v="KRXX0099H372" u="1"/>
        <s v="KRXX0099H384" u="1"/>
        <s v="KRXX0099H366" u="1"/>
        <s v="KRXX0099H385" u="1"/>
        <s v="ELTS0099H003" u="1"/>
        <s v="ABSR0099H002" u="1"/>
        <s v="ELTS0099H051" u="1"/>
        <s v="ELXX0099H001" u="1"/>
        <s v="HRXX0099H637" u="1"/>
        <s v="MKTS0099H177" u="1"/>
        <s v="ELTS0099H144" u="1"/>
        <s v="ELXX0099H002" u="1"/>
        <s v="KRXX0099H180" u="1"/>
        <s v="KRXX0099H142" u="1"/>
        <s v="KRXX0099H373" u="1"/>
        <s v="NMN440" u="1"/>
        <s v="ELSF0099H075" u="1"/>
        <s v="ELSF0099H193" u="1"/>
        <s v="ELSF0099H194" u="1"/>
        <s v="ELSF0099H205" u="1"/>
        <s v="ELTS0099H145" u="1"/>
        <s v="ELTS0099H146" u="1"/>
        <s v="HRXX0099H500" u="1"/>
        <s v="KRXX0099H079" u="1"/>
        <s v="KRXX0099H382" u="1"/>
        <s v="NMN449" u="1"/>
        <s v="ELTS0099H072" u="1"/>
        <s v="KRXX0099H353" u="1"/>
        <s v="ELTS0099H148" u="1"/>
        <s v="HRXX0099H064" u="1"/>
        <s v="HRXX0099H207" u="1"/>
        <s v="KMBY0099H060" u="1"/>
        <s v="KMIZ0099H004" u="1"/>
        <s v="KRXX0099H054" u="1"/>
        <s v="MBAP0099H032" u="1"/>
        <s v="KMBY5004H012" u="1"/>
        <s v="KRXX0099H282" u="1"/>
        <s v="3DBK0099H001" u="1"/>
        <s v="3DBK0099H002" u="1"/>
        <s v="3DBK0099H007" u="1"/>
        <s v="3DBK0099H013" u="1"/>
        <s v="3DBK0099H015" u="1"/>
        <s v="ABSR0099H003" u="1"/>
        <s v="ELSF0099H084" u="1"/>
        <s v="ELTS0099H047" u="1"/>
        <s v="ELTS0099H104" u="1"/>
        <s v="ELTS0099H108" u="1"/>
        <s v="GBZK0099Y002" u="1"/>
        <s v="GLCM0099Y001" u="1"/>
        <s v="GLCM0099Y002" u="1"/>
        <s v="GLDA0099Y001" u="1"/>
        <s v="GLKI0099Y001" u="1"/>
        <s v="GLXL0099Y003" u="1"/>
        <s v="GLYA0099Y001" u="1"/>
        <s v="HRXX0099H580" u="1"/>
        <s v="KMBY9016H002" u="1"/>
        <s v="KRXX0099H091" u="1"/>
        <s v="KRXX0099H319" u="1"/>
        <s v="MKSF0099H089" u="1"/>
        <s v="MKTS0099H042" u="1"/>
        <s v="MKTS0099H049" u="1"/>
        <s v="MKTS0099H153" u="1"/>
        <s v="MKTS0099H159" u="1"/>
        <s v="SESM0110Y002" u="1"/>
        <s v="UBCD0099Y001" u="1"/>
        <s v="XLDK0099Y002" u="1"/>
        <s v="XLKD0099Y001" u="1"/>
        <s v="XLMB0099Y005" u="1"/>
        <s v="XLMT0099Y002" u="1"/>
        <s v="XLPT0099Y002" u="1"/>
        <s v="XLSF0099Y003" u="1"/>
        <s v="XLTT0099Y002" u="1"/>
        <s v="XLYT0099Y001" u="1"/>
        <s v="KMIZ0099H031" u="1"/>
        <s v="HRXX0099H082" u="1"/>
        <s v="UBAU0099H023" u="1"/>
        <s v="HRXX0099H037" u="1"/>
        <s v="HRXX0099H032" u="1"/>
        <s v="KMBY0099H037" u="1"/>
        <s v="KMBY0099H050" u="1"/>
        <s v="KMBY0099H051" u="1"/>
        <s v="HRXX0099H129" u="1"/>
        <s v="HRXX0099H002" u="1"/>
        <s v="HRXX0099H493" u="1"/>
        <s v="MKSF0099H061" u="1"/>
        <s v="MKSF0099H012" u="1"/>
        <s v="ARGE0099H109" u="1"/>
        <s v="ARGE0099H111" u="1"/>
        <s v="ARGE0099H112" u="1"/>
        <s v="ARGE0099H114" u="1"/>
        <s v="ARGE0099H110" u="1"/>
        <s v="202X1253" u="1"/>
        <s v="KMBY0099H041" u="1"/>
        <s v="HRXX0099H337" u="1"/>
        <s v="HRXX0099H460" u="1"/>
        <s v="ELTS0099H103" u="1"/>
        <s v="KRXX0099H239" u="1"/>
        <s v="KRXX0099H342" u="1"/>
        <s v="ARGE0099H113" u="1"/>
        <s v="KRXX0099H354" u="1"/>
        <s v="153-KMBY9005H009" u="1"/>
        <s v="ELSF0099H201" u="1"/>
        <s v="ELTS0099H123" u="1"/>
        <s v="KRXX0099H377" u="1"/>
        <s v="KRXX0099H378" u="1"/>
        <s v="KRXX0099H379" u="1"/>
        <s v="NMN362" u="1"/>
        <s v="DSXX0099H063" u="1"/>
        <s v="HRXX0099H045" u="1"/>
        <s v="ELSF0099H065" u="1"/>
        <s v="HRXX0099H431" u="1"/>
        <s v="ECTURB100004" u="1"/>
        <s v="XLTT0099Y001" u="1"/>
        <s v="GLXL0099Y004" u="1"/>
        <s v="XLPT0099Y001" u="1"/>
        <s v="SESM0205Y001" u="1"/>
        <s v="ELSF0099H066" u="1"/>
        <s v="XLDK0099Y001" u="1"/>
        <s v="XLMB0099Y002" u="1"/>
        <s v="KMIZ0099H066" u="1"/>
        <s v="XLSF0099Y001" u="1"/>
        <s v="ELSF0099H108" u="1"/>
        <s v="153-GLGH0099Y001" u="1"/>
        <s v="HRXX0099H411" u="1"/>
        <s v="153-ELTS0099H100" u="1"/>
        <s v="HRXX0099H168" u="1"/>
        <s v="153-ELSF0099H146" u="1"/>
        <s v="KRXX0099H008" u="1"/>
        <s v="KRXX0099H390" u="1"/>
        <s v="UBAU0099H036" u="1"/>
        <s v="ELTS0099H073" u="1"/>
        <s v="HRXX0099H465" u="1"/>
        <s v="GLPT0099Y001" u="1"/>
        <s v="MKTS0099H015" u="1"/>
        <s v="UBAU0099H037" u="1"/>
        <s v="GLTT0099Y001" u="1"/>
        <s v="MKTS0099H154" u="1"/>
        <s v="3DPT0099Y014" u="1"/>
        <s v="153-KMIZ0099H062" u="1"/>
        <s v="HRXX0099H182" u="1"/>
        <s v="UBAU0099H033" u="1"/>
        <s v="3DPT0099Y013" u="1"/>
        <s v="UBAU0099H034" u="1"/>
        <s v="HRXX0099H623" u="1"/>
        <s v="UBAU0099H035" u="1"/>
        <s v="MKTS0099H173" u="1"/>
        <s v="KMBY1001H004" u="1"/>
        <s v="DSXX0099H099" u="1"/>
        <s v="UBAU0099H011" u="1"/>
        <s v="DSXX0099H069" u="1"/>
        <s v="DSXXRM05H026" u="1"/>
        <s v="UBAU0099H007" u="1"/>
        <s v="NMN138" u="1"/>
        <s v="KMPY5011H024" u="1"/>
        <s v="KMBY5011H088" u="1"/>
        <s v="NMN335" u="1"/>
        <s v="ARGE0099H088" u="1"/>
        <s v="HRXX0099H108" u="1"/>
        <s v="KMBY0099H055" u="1"/>
        <s v="KMBY0099H054" u="1"/>
        <s v="KMBY0099H066" u="1"/>
        <s v="DSXX0099H070" u="1"/>
        <s v="ECTURB100043" u="1"/>
        <s v="ELSF0099H003" u="1"/>
        <s v="ELSF0099H005" u="1"/>
        <s v="ELSF0099H133" u="1"/>
        <s v="ELSF0099H135" u="1"/>
        <s v="ELTS0099H034" u="1"/>
        <s v="ELTS0099H107" u="1"/>
        <s v="ELTS0099H120" u="1"/>
        <s v="ELTS0099H121" u="1"/>
        <s v="ELTS0099H122" u="1"/>
        <s v="GBZK0099Y001" u="1"/>
        <s v="GLAP0099Y001" u="1"/>
        <s v="GLAT0099Y001" u="1"/>
        <s v="GLBK0099Y003" u="1"/>
        <s v="GLBK0099Y004" u="1"/>
        <s v="GLBO0099Y001" u="1"/>
        <s v="GLBZ0099Y001" u="1"/>
        <s v="GLBZ0099Y002" u="1"/>
        <s v="GLBZ0099Y003" u="1"/>
        <s v="GLDK0099Y001" u="1"/>
        <s v="GLDP0099Y001" u="1"/>
        <s v="GLEA0099Y001" u="1"/>
        <s v="GLKD0099Y001" u="1"/>
        <s v="GLKL0099Y001" u="1"/>
        <s v="GLKM0099Y001" u="1"/>
        <s v="GLKS1001Y001" u="1"/>
        <s v="GLKS1001Y002" u="1"/>
        <s v="GLKS1091Y001" u="1"/>
        <s v="GLMB0099Y001" u="1"/>
        <s v="GLMB0099Y002" u="1"/>
        <s v="GLMB0099Y003" u="1"/>
        <s v="GLMB0099Y004" u="1"/>
        <s v="GLMB0099Y005" u="1"/>
        <s v="GLMB0099Y006" u="1"/>
        <s v="GLMT0099Y001" u="1"/>
        <s v="GLMT0099Y002" u="1"/>
        <s v="GLMT0099Y003" u="1"/>
        <s v="GLSF0099Y001" u="1"/>
        <s v="GLSF0099Y002" u="1"/>
        <s v="GLTM0099Y001" u="1"/>
        <s v="GLXL0099Y005" u="1"/>
        <s v="GLXL0099Y009" u="1"/>
        <s v="GLYT0099Y001" u="1"/>
        <s v="GLYT0099Y002" u="1"/>
        <s v="HRXX0099H501" u="1"/>
        <s v="HRXX0099H502" u="1"/>
        <s v="HRXX0099H573" u="1"/>
        <s v="HRXX0099H574" u="1"/>
        <s v="KMBY9016H010" u="1"/>
        <s v="KMIZ0099H030" u="1"/>
        <s v="KRXX0099H015" u="1"/>
        <s v="KRXX0099H066" u="1"/>
        <s v="KRXX0099H083" u="1"/>
        <s v="KRXX0099H127" u="1"/>
        <s v="KRXX0099H209" u="1"/>
        <s v="KRXX0099H219" u="1"/>
        <s v="KRXX0099H228" u="1"/>
        <s v="KRXX0099H235" u="1"/>
        <s v="KRXX0099H236" u="1"/>
        <s v="KRXX0099H248" u="1"/>
        <s v="KRXX0099H264" u="1"/>
        <s v="KRXX0099H269" u="1"/>
        <s v="KRXX0099H275" u="1"/>
        <s v="KRXX0099H277" u="1"/>
        <s v="KRXX0099H278" u="1"/>
        <s v="KRXX0099H288" u="1"/>
        <s v="KRXX0099H299" u="1"/>
        <s v="KRXX0099H306" u="1"/>
        <s v="KRXX0099H307" u="1"/>
        <s v="KRXX0099H308" u="1"/>
        <s v="KRXX0099H316" u="1"/>
        <s v="KRXX0099H343" u="1"/>
        <s v="MKTS0099H062" u="1"/>
        <s v="MKTS0099H152" u="1"/>
        <s v="MKTS0099H161" u="1"/>
        <s v="MKTS0099H162" u="1"/>
        <s v="RVMB0099Y003" u="1"/>
        <s v="RVSF0099Y001" u="1"/>
        <s v="SESM0170Y003" u="1"/>
        <s v="UBAU0099Y005" u="1"/>
        <s v="XLDK0099Y003" u="1"/>
        <s v="XLMB0099Y001" u="1"/>
        <s v="XLMB0099Y003" u="1"/>
        <s v="XLMB0099Y006" u="1"/>
        <s v="XLMB0099Y007" u="1"/>
        <s v="XLMB0099Y009" u="1"/>
        <s v="XLMB0099Y010" u="1"/>
        <s v="XLMT0099Y001" u="1"/>
        <s v="XLMT0099Y003" u="1"/>
        <s v="XLPT0099Y003" u="1"/>
        <s v="XLSF0099Y002" u="1"/>
        <s v="XLTT0099Y003" u="1"/>
        <s v="HRXX0099H115" u="1"/>
        <s v="KMIZ0099H033" u="1"/>
        <s v="KMPY0657H022" u="1"/>
        <s v="GLXL0099Y008" u="1"/>
        <s v="DSXX0099H031" u="1"/>
        <s v="ELTS0099H014" u="1"/>
        <s v="ELTS0099H015" u="1"/>
        <s v="ELTS0099H019" u="1"/>
        <s v="ELTS0099H020" u="1"/>
        <s v="ELTS0099H031" u="1"/>
        <s v="ELTS0099H033" u="1"/>
        <s v="ELSF0099H061" u="1"/>
        <s v="ELTS0099H049" u="1"/>
        <s v="ELSF0099H082" u="1"/>
        <s v="HRXX0099H106" u="1"/>
        <s v="HRXX0099H107" u="1"/>
        <s v="HRXX0099H111" u="1"/>
        <s v="HRXX0099H171" u="1"/>
        <s v="HRXX0099H192" u="1"/>
        <s v="KRXX0099H020" u="1"/>
        <s v="KRXX0099H032" u="1"/>
        <s v="KRXX0099H055" u="1"/>
        <s v="KRXX0099H057" u="1"/>
        <s v="KRXX0099H064" u="1"/>
        <s v="KRXX0099H068" u="1"/>
        <s v="KRXX0099H070" u="1"/>
        <s v="KRXX0099H071" u="1"/>
        <s v="KRXX0099H082" u="1"/>
        <s v="KRXX0099H085" u="1"/>
        <s v="KRXX0099H096" u="1"/>
        <s v="KRXX0099H101" u="1"/>
        <s v="KRXX0099H109" u="1"/>
        <s v="KMIZ0099H022" u="1"/>
        <s v="MKTS0099H001" u="1"/>
        <s v="MKTS0099H002" u="1"/>
        <s v="MKTS0099H004" u="1"/>
        <s v="MKTS0099H020" u="1"/>
        <s v="MKTS0099H021" u="1"/>
        <s v="MKTS0099H029" u="1"/>
        <s v="MKTS0099H037" u="1"/>
        <s v="MBAP4236H026" u="1"/>
        <s v="DSXX0099H041" u="1"/>
        <s v="MBAP0099H039" u="1"/>
        <s v="KRXX0099H123" u="1"/>
        <s v="HRXX0099H339" u="1"/>
        <s v="MKTS0099H056" u="1"/>
        <s v="HRXX0099H372" u="1"/>
        <s v="ELTS0099H075" u="1"/>
        <s v="ELSF0099H144" u="1"/>
        <s v="MBAP0099H055" u="1"/>
        <s v="GLBK0099Y002" u="1"/>
        <s v="FRTT0099Y001" u="1"/>
        <s v="FRPT0099Y001" u="1"/>
        <s v="RVTT0099Y001" u="1"/>
        <s v="RVPT0099Y001" u="1"/>
        <s v="DSXX0099H065" u="1"/>
        <s v="UBAU0099H012" u="1"/>
        <s v="UBAU0099H029" u="1"/>
        <s v="KMBY0099H076" u="1"/>
        <s v="KRXX0099H186" u="1"/>
        <s v="KRXX0099H191" u="1"/>
        <s v="DSXX0099H096" u="1"/>
        <s v="RNKD0099Y001" u="1"/>
        <s v="KRXX0099H210" u="1"/>
        <s v="DSXX0099H097" u="1"/>
        <s v="MKTS0099H087" u="1"/>
        <s v="MKTS0099H090" u="1"/>
        <s v="FRGD0099Y001" u="1"/>
        <s v="UBAU0099H002" u="1"/>
        <s v="MKTS0099H092" u="1"/>
        <s v="MKTS0099H093" u="1"/>
        <s v="MKTS0099H094" u="1"/>
        <s v="MKTS0099H095" u="1"/>
        <s v="MKTS0099H096" u="1"/>
        <s v="MKTS0099H099" u="1"/>
        <s v="MKTS0099H100" u="1"/>
        <s v="MKTS0099H101" u="1"/>
        <s v="MKTS0099H102" u="1"/>
        <s v="MKTS0099H109" u="1"/>
        <s v="MKTS0099H110" u="1"/>
        <s v="MKTS0099H111" u="1"/>
        <s v="MKTS0099H112" u="1"/>
        <s v="HRXX0099H541" u="1"/>
        <s v="UBAU0099H021" u="1"/>
        <s v="UBAU0099H010" u="1"/>
        <s v="UBAU0099Y001" u="1"/>
        <s v="UBAU0099Y002" u="1"/>
        <s v="UBAU0099Y004" u="1"/>
        <s v="KRXX0099H253" u="1"/>
        <s v="KRXX0099H181" u="1"/>
        <s v="MKTS0099H127" u="1"/>
        <s v="MKTS0099H132" u="1"/>
        <s v="KRXX0099H259" u="1"/>
        <s v="URB031" u="1"/>
        <s v="KRXX0099H267" u="1"/>
        <s v="ARGE0099H012" u="1"/>
        <s v="GLZK0099Y001" u="1"/>
        <s v="MKTS0099H041" u="1"/>
        <s v="XLMB0099Y004" u="1"/>
        <s v="MKTS0099H144" u="1"/>
        <s v="ARGE0099H043" u="1"/>
        <s v="ARGE0099H044" u="1"/>
        <s v="ARGE0099H045" u="1"/>
        <s v="ARGE0099H046" u="1"/>
        <s v="ARGE0099H049" u="1"/>
        <s v="URB047" u="1"/>
        <s v="KRXX0099H276" u="1"/>
        <s v="MKTS0099H145" u="1"/>
        <s v="RVMB0099Y001" u="1"/>
        <s v="KRXX0099H289" u="1"/>
        <s v="KRXX0099H290" u="1"/>
        <s v="GLSI0099Y001" u="1"/>
        <s v="ELSF0099H058" u="1"/>
        <s v="ELSF0099H062" u="1"/>
        <s v="ELSF0099H063" u="1"/>
        <s v="ELSF0099H064" u="1"/>
        <s v="ELSF0099H101" u="1"/>
        <s v="HRXX0099H025" u="1"/>
        <s v="KMPY0099H002" u="1"/>
        <s v="MKTS0099H013" u="1"/>
        <s v="MKTS0099H018" u="1"/>
        <s v="MBAP3152H025" u="1"/>
        <s v="MBSF0099H001" u="1"/>
        <s v="MKTS0099H069" u="1"/>
        <s v="UBAU0099H001" u="1"/>
        <s v="UBAU0099H027" u="1"/>
        <s v="MKTS0099H126" u="1"/>
        <s v="KMPY1021H004" u="1"/>
        <s v="KMPY5011H005" u="1"/>
        <s v="GLAC1001Y001" u="1"/>
        <s v="GLAM1001Y001" u="1"/>
        <s v="GLBA1001Y001" u="1"/>
        <s v="GLBD1001Y001" u="1"/>
        <s v="GLBK1001Y001" u="1"/>
        <s v="GLBL1001Y001" u="1"/>
        <s v="GLBN3152Y001" u="1"/>
        <s v="GLBU1001Y001" u="1"/>
        <s v="GLCT1001Y001" u="1"/>
        <s v="GLDK3152Y001" u="1"/>
        <s v="GLDO1001Y001" u="1"/>
        <s v="GLKA1001Y001" u="1"/>
        <s v="GLKK1001Y001" u="1"/>
        <s v="GLKK1001Y003" u="1"/>
        <s v="GLKO1001Y001" u="1"/>
        <s v="GLLK1001Y001" u="1"/>
        <s v="GLMA3197Y001" u="1"/>
        <s v="GLMC1001Y001" u="1"/>
        <s v="GLMD1001Y001" u="1"/>
        <s v="GLMK3152Y001" u="1"/>
        <s v="GLMR1001Y001" u="1"/>
        <s v="GLMT3197Y001" u="1"/>
        <s v="GLMU1001Y001" u="1"/>
        <s v="GLSC3103Y001" u="1"/>
        <s v="GLSP0099Y003" u="1"/>
        <s v="GLWK1001Y001" u="1"/>
        <s v="HRXX0099H238" u="1"/>
        <s v="KRXX0099H104" u="1"/>
        <s v="KRXX0099H113" u="1"/>
        <s v="MBAP0099H001" u="1"/>
        <s v="MKSF0099H019" u="1"/>
        <s v="MKTS0099H005" u="1"/>
        <s v="MKTS0099H041-HATALI" u="1"/>
        <s v="BZAD1001Y001" u="1"/>
        <s v="BZAD1001Y003" u="1"/>
        <s v="BZAK3152Y001" u="1"/>
        <s v="BZBK3152Y001" u="1"/>
        <s v="BZBT3152Y001" u="1"/>
        <s v="BZBY1001Y001" u="1"/>
        <s v="BZBY1001Y003" u="1"/>
        <s v="BZCT1001Y001" u="1"/>
        <s v="BZGD1001Y001" u="1"/>
        <s v="BZKA1001Y001" u="1"/>
        <s v="BZKD1001Y001" u="1"/>
        <s v="BZKK1001Y001" u="1"/>
        <s v="BZKO1001Y001" u="1"/>
        <s v="BZSK1001Y001" u="1"/>
        <s v="KMBY5004H005" u="1"/>
        <s v="KRXX0099H153" u="1"/>
        <s v="MKTS0099H026" u="1"/>
        <s v="KRXX0099H043" u="1"/>
        <s v="ELSF0099H055" u="1"/>
        <s v="GLDB1001Y001" u="1"/>
        <s v="GLKL1001Y001" u="1"/>
        <s v="KRXX0099H077" u="1"/>
        <s v="MKTS0099H065" u="1"/>
        <s v="URB045" u="1"/>
        <s v="BZAD1091Y001" u="1"/>
        <s v="BZAD1091Y002" u="1"/>
        <s v="BZBY1091Y001" u="1"/>
        <s v="BZBY1091Y002" u="1"/>
        <s v="BZCT1091Y001" u="1"/>
        <s v="BZGD1091Y001" u="1"/>
        <s v="BZKA1091Y001" u="1"/>
        <s v="BZKD1091Y001" u="1"/>
        <s v="BZKK1091Y001" u="1"/>
        <s v="BZKO1091Y001" u="1"/>
        <s v="BZSK1091Y001" u="1"/>
        <s v="GLAC1091Y001" u="1"/>
        <s v="GLAM1091Y001" u="1"/>
        <s v="GLDK1091Y001" u="1"/>
        <s v="GLDO1091Y001" u="1"/>
        <s v="GLKA1091Y001" u="1"/>
        <s v="GLKK1091Y001" u="1"/>
        <s v="GLKO1091Y001" u="1"/>
        <s v="GLMC1091Y001" u="1"/>
        <s v="GLMD1091Y001" u="1"/>
        <s v="GLMR1091Y001" u="1"/>
        <s v="GLMU1091Y001" u="1"/>
        <s v="URB043" u="1"/>
        <s v="KRXX0099H072" u="1"/>
        <s v="KRXX0099H040" u="1"/>
        <s v="URB046" u="1"/>
        <s v="UBAU0099Y003" u="1"/>
        <s v="UBAU0099H008" u="1"/>
        <s v="UBAU0099H031" u="1"/>
        <s v="UBAU0099H026" u="1"/>
        <s v="UBAU0099H003" u="1"/>
        <s v="UBAU0099H005" u="1"/>
        <s v="UBAU0099H015" u="1"/>
        <s v="HRXX0099H389" u="1"/>
        <s v="MBAP0099H056" u="1"/>
        <s v="MBAP3103H023" u="1"/>
        <s v="MBAP0099H050" u="1"/>
        <s v="HRXX0099H157" u="1"/>
        <s v="HRXX0099H034" u="1"/>
        <s v="HRXX0099H096" u="1"/>
        <s v="ELTS0099H007" u="1"/>
        <s v="GLBD1091Y001" u="1"/>
        <s v="GLKL1091Y001" u="1"/>
        <s v="GLWK1091Y001" u="1"/>
        <s v="GLDB1091Y001" u="1"/>
        <s v="GLBA1091Y001" u="1"/>
        <s v="GLBU1091Y001" u="1"/>
        <s v="GLBN1091Y001" u="1"/>
        <s v="GLMA3197Y002" u="1"/>
        <s v="GLBL1091Y001" u="1"/>
        <s v="GLLK1091Y001" u="1"/>
        <s v="GLKK1091Y002" u="1"/>
        <s v="GLBK1091Y001" u="1"/>
        <s v="GLCT1091Y001" u="1"/>
        <s v="KRXX0099H237" u="1"/>
        <s v="KRXX0099H255" u="1"/>
        <s v="GLSP0099Y004" u="1"/>
        <s v="KRXX0099H250" u="1"/>
        <s v="ELTS0099H044" u="1"/>
        <s v="KRXX0099H004" u="1"/>
        <s v="KRXX0099H044" u="1"/>
        <s v="KRXX0099H129" u="1"/>
        <s v="MBAP0099H057" u="1"/>
        <s v="GLXL0099Y001" u="1"/>
        <s v="KRXX0099H183" u="1"/>
        <s v="URB034" u="1"/>
        <s v="URB035" u="1"/>
        <s v="URB036" u="1"/>
        <s v="URB037" u="1"/>
        <s v="URB038" u="1"/>
        <s v="URB039" u="1"/>
        <s v="URB040" u="1"/>
        <s v="URB041" u="1"/>
        <s v="URB042" u="1"/>
        <s v="DSXX0099H040" u="1"/>
        <s v="KRXX0099H143" u="1"/>
        <s v="KRXX0099H144" u="1"/>
        <s v="KRXX0099H184" u="1"/>
        <s v="KRXX0099H196" u="1"/>
        <s v="GLXL0099Y002" u="1"/>
        <s v="URB030" u="1"/>
        <s v="URB032" u="1"/>
        <s v="DSXX0099H038" u="1"/>
        <s v="HRXX0099H048" u="1"/>
        <s v="GLKM0099H001" u="1"/>
        <s v="MBAP0099H004" u="1"/>
        <s v="GLBK0099Y001" u="1"/>
        <s v="KMBY6013H087" u="1"/>
        <s v="KMBY6013H030" u="1"/>
        <s v="ELSF0099H012" u="1"/>
        <s v="HRXX0099H047" u="1"/>
        <s v="KRXX0099H025" u="1"/>
        <s v="ELSF0099H102" u="1"/>
        <s v="ELSF0099H001" u="1"/>
        <s v="ELSF0099H002" u="1"/>
        <s v="ELTS0099H027" u="1"/>
        <s v="ELSF0099H079" u="1"/>
        <s v="HRXX0099H114" u="1"/>
        <s v="KRXX0099H018" u="1"/>
        <s v="GLMK1098Y001" u="1"/>
        <s v="GLMD1001Y002" u="1"/>
        <s v="GLBD1001Y002" u="1"/>
        <s v="GLMR1001Y002" u="1"/>
        <s v="GLAM1001Y002" u="1"/>
        <s v="GLAC1001Y002" u="1"/>
        <s v="GLBL1001Y002" u="1"/>
        <s v="GLLK1001Y002" u="1"/>
        <s v="GLKK1001Y002" u="1"/>
        <s v="GLKK1001Y004" u="1"/>
        <s v="GLKA1001Y002" u="1"/>
        <s v="GLKO1001Y002" u="1"/>
        <s v="GLDO1001Y002" u="1"/>
        <s v="GLMU1001Y002" u="1"/>
        <s v="GLDK1098Y001" u="1"/>
        <s v="GLMC1001Y002" u="1"/>
        <s v="GLBA1001Y002" u="1"/>
        <s v="GLBU1001Y002" u="1"/>
        <s v="GLBN1001Y001" u="1"/>
        <s v="BZSK1001Y002" u="1"/>
        <s v="BZBY1001Y002" u="1"/>
        <s v="BZBY1001Y004" u="1"/>
        <s v="BZAD1001Y002" u="1"/>
        <s v="BZKA1001Y002" u="1"/>
        <s v="BZKD1001Y002" u="1"/>
        <s v="BZKO1001Y002" u="1"/>
        <s v="BZGD1001Y002" u="1"/>
        <s v="BZAD1001Y004" u="1"/>
        <s v="BZKK1001Y002" u="1"/>
        <s v="BZAK1098Y001" u="1"/>
        <s v="BZBT3197Y001" u="1"/>
        <s v="BZBK1098Y001" u="1"/>
        <s v="KRXX0099H203" u="1"/>
        <s v="KMBY1021H075" u="1"/>
        <s v="KMBY7012H031" u="1"/>
        <s v="KMBY0099H086" u="1"/>
        <s v="UBAU0099H004" u="1"/>
        <s v="DSXX1528H030" u="1"/>
        <s v="KRXX0099H036" u="1"/>
        <s v="KRXX0099H058" u="1"/>
        <s v="UBAU0099H030" u="1"/>
        <s v="UBCD0099M001-ESKİ" u="1"/>
        <s v="UBAU0099H006" u="1"/>
        <s v="UBAU0099H014" u="1"/>
        <s v="UBAU0099H018" u="1"/>
        <s v="UBAU0099H019" u="1"/>
        <s v="UBAU0099H020" u="1"/>
        <s v="KRXX0099H182" u="1"/>
        <s v="ELTS0099H028" u="1"/>
        <s v="NMN205" u="1"/>
        <s v="UBAU0099H016" u="1"/>
        <s v="UBAU0099H017" u="1"/>
        <s v="UBCD0099M001" u="1"/>
        <s v="KMIZ0099H020" u="1"/>
        <s v="KMIZ0099H021" u="1"/>
        <s v="MKSF0099H016" u="1"/>
        <s v="HRXX0099H520" u="1"/>
        <s v="KRXX0099H126" u="1"/>
        <s v="KRXX0099H208" u="1"/>
        <s v="NMN254" u="1"/>
        <s v="MBAP7104H068" u="1"/>
        <s v="NMN244" u="1"/>
      </sharedItems>
    </cacheField>
    <cacheField name="ALT_ADI" numFmtId="0">
      <sharedItems count="1529">
        <s v="URBAN BADGER BENZİN BİDONU"/>
        <s v="VİDA SUNTA 3,5X35"/>
        <s v="SOMUN PASLANMAZ KÖR M8"/>
        <s v="METAL MATKAP UCU 3MM"/>
        <s v="HEKİ FANLI 28X28 BEYAZ"/>
        <s v="KESME TAŞI 115 CAP 1.0 KALINLIK"/>
        <s v="VİDA SUNTA 3,5X13"/>
        <s v="KELEPÇE  PASLANMAZ 12X22"/>
        <s v="SPANZET MINI"/>
        <s v="ŞASE PULU PASLANMAZ M10"/>
        <s v="L DEMİR ÇEKTİRME"/>
        <s v="PUL ŞAŞE GALVANİZ M10"/>
        <s v="VİDALI KROŞE BEYAZ EK02"/>
        <s v="FİBER DİSK ZIMPARA 60LIK"/>
        <s v="VİDA SUNTA 5X30"/>
        <s v="MERDİVEN 3+1 BASAMAKLI ALÜMİNYUM"/>
        <s v="AEROSİL"/>
        <s v="ELYAF E MAT 300 CAM "/>
        <s v="THERME SU ISITICI (220 V) 5LT"/>
        <s v="VİDA KÖŞE BAĞLANTI PLASTİK ŞEFFAF"/>
        <s v="VİDA PASLANMAZ HAVŞA 3,9X16"/>
        <s v="MASA KATLANIR AYAK"/>
        <s v="SİNEKLİK 610X1795"/>
        <s v="STRAFOR KÖPÜK 2 CM "/>
        <s v="POLYESTER TEMİZLEYİCİ ASETON"/>
        <s v="SİKA MASTİK SOSİS SİYAH SOTAŞ"/>
        <s v="CİVATA PASLANMAZ M8X50"/>
        <s v="BORU CELİK GAZ 8MM"/>
        <s v="VİDA SUNTA 5X20"/>
        <s v="SARI HORTUM REKORU 10MM 3/8 DIŞ DİŞLİ"/>
        <s v="THULE KAPAK"/>
        <s v="MERDİVEN AYAK"/>
        <s v="ZIMBA TELİ 80/14"/>
        <s v="KELEPÇE  PASLANMAZ 22X36"/>
        <s v="SPANZET 35MM "/>
        <s v="PASLANMAZ PUL M8"/>
        <s v="SİLİKON AYNA"/>
        <s v="YAPIŞTIRICI HIZLI XXX GR"/>
        <s v="VİDA SUNTA 3,5X20"/>
        <s v="VİDA SUNTA 5X70"/>
        <s v="VİDA SUNTA 3,5X16"/>
        <s v="3X20 VİDA"/>
        <s v="BUZDOLABI İNDEL B-CRUİSE 42 LT"/>
        <s v="BALTA KÜREK MONTAJ SETİ"/>
        <s v="CİVATA PASLANMAZ M8X70"/>
        <s v="HORTUM OKSİJEN KIRMIZI 10MM"/>
        <s v="PRİMER "/>
        <s v="MERDİVEN DESTEK"/>
        <s v="URBAN BADGER BENZİN BİDONU ANAHTAR"/>
        <s v="VAKUMLU DUŞ BAŞLIĞI TUTUCUSU"/>
        <s v="VİDA SUNTA 3,5X40 "/>
        <s v="KUM-BALTA X7"/>
        <s v="ELYAF E MAT 450 CAM "/>
        <s v="POLYESTER ÇELİK MACUN"/>
        <s v="KUMAŞ PELUŞ GRİ"/>
        <s v="PUL ŞASE 3/8"/>
        <s v="FİBER DİSK ZIMPARA 80LİK"/>
        <s v="CİVATA PASLANMAZ M8X70 SEKMANLI"/>
        <s v="SİLİKON DOLAP TOPLAMA KİTİ"/>
        <s v="HORTUM  TELLİ ŞEFAF 16 MM "/>
        <s v="MUSLUK  SOĞUK-SICAK ÇİFT GÖZ"/>
        <s v="KABLO TELLİ 10MM KIRMIZI"/>
        <s v="KABLO TELLİ 10MM SİYAH"/>
        <s v="İNVERTÖR 3000W TAM SİNÜS"/>
        <s v="PENCERE FİTİLİ BEYAZ"/>
        <s v="VİDA SUNTA 5X25 "/>
        <s v="KUM PALETİ SİYAH"/>
        <s v="HORTUM OKSİJEN MAVİ 10MM"/>
        <s v="SOMUN PASLANMAZ KELEBEK M8"/>
        <s v="GÖMME KULP"/>
        <s v="CİVATA PASLANMAZ M8X65"/>
        <s v="TOPRAKLI PRİZ MEKANIZMA Ç.B."/>
        <s v="TAPA MEŞE NEBRASKA PC2122 14 MM"/>
        <s v="VERNİK AHŞAP KORUYUCU"/>
        <s v="KLİNGRİT CONTA 1/2"/>
        <s v="VİDA PASLANMAZ MERCİMEK BAŞLI 4,2X25"/>
        <s v="TENTE ALBİNA 2.2 SİYAH"/>
        <s v="MACUN MODEL"/>
        <s v="MEK PEROKSİT-DONDURUCU M50"/>
        <s v="VİDA SUNTA 3X13"/>
        <s v="1/2 DIŞ DİŞLİ SARI HORTUM UCU"/>
        <s v="KUM-KÜREK"/>
        <s v="KARAVAN KAPISI 60X181"/>
        <s v="İPLİK KAYTAN"/>
        <s v="BICAK SİGORTA 15 A"/>
        <s v="EBERSPAECHER DİJİTAL SAAT HYD HS3"/>
        <s v="HORTUM  TELLİ ŞEFAF 25 MM "/>
        <s v="MENFEZ KROM YUVARLAK 35X43"/>
        <s v="SÜNGER 1.40x2.40 28 DNS 8LİK"/>
        <s v="KONNEKTÖR GÜNEŞ PANEL"/>
        <s v="BUZDOLABI İNDEL B-CRUİSE 90 LT"/>
        <s v="KALIP AYIRICI SIVI PVA"/>
        <s v="VİDA SUNTA 3,5X25"/>
        <s v="CİVATA PASLANMAZ M8X45"/>
        <s v="HORTUM BAĞLANTI TURUNCU T ŞEKLİ  1PARMAK"/>
        <s v="KELEPÇE GAZ DEVRESİ P KLİPS"/>
        <s v="SPREY S1 YAPIŞTIRICI 15LT"/>
        <s v="GAZ SENSÖRÜ"/>
        <s v="KABLO TELLİ 16MM KIRMIZI"/>
        <s v="POLİETİLEN TABAKA 8MM"/>
        <s v="SÜNGER 1.40x2.40 28 DNS 3LÜK"/>
        <s v="SOLVENT MONTAJ TEMİZLEME 1  NUMARA"/>
        <s v="CİVATA PASLANMAZ M8X40"/>
        <s v="BOYA AKRİLİK TENEKE 9005 MAT SİYAH"/>
        <s v="REVİVA TEMİZ SU TANKI 150LT TEKER ÜSTÜ "/>
        <s v="KELEPÇE PASLANMAZ 10X16"/>
        <s v="RÖTÜŞ KALEM MEŞE"/>
        <s v="ARAÇ BİLGİ ETİKETİ - STANDART"/>
        <s v="STOR ÖN YÜZ PROFİLİ"/>
        <s v="KALIP AYIRICI PROVAKS"/>
        <s v="SOLAR PANEL 205W"/>
        <s v="KUMAŞ ROMA 01 GRİMSİ"/>
        <s v="TİNER SELÜLOZİK - BOYA"/>
        <s v="CİVATA PASLANMAZ M10X80"/>
        <s v="KABLO KORUMA KAPAK GÜNEŞ PANELİ SİYAH"/>
        <s v="CİVATA PASLANMAZ  M8X20"/>
        <s v="MAKARON 4,8 MM"/>
        <s v="MACUN MEŞE"/>
        <s v="VİDA SUNTA 5X40"/>
        <s v="CİVATA PASLANMAZ M8X100"/>
        <s v="VİDA SUNTA 3,5X50"/>
        <s v="KAUÇUK TAKOZ CİVATALI 9CM"/>
        <s v="JELKOT 9016 BEYAZ"/>
        <s v="SİKA MASTİK SOSİS BEYAZ SOTAŞ"/>
        <s v="BICAK SİGORTA 20 A"/>
        <s v="TENTE DOMETİC 2.60M ANTRASİT"/>
        <s v="PERÇİN 4X15"/>
        <s v="SİLİKON ÇİVİ TÜP"/>
        <s v="AKÜ LİTYUM 200 AH"/>
        <s v="KABLO KANAL 12X12"/>
        <s v="FERMUAR SİYAH"/>
        <s v="CİVATA PASLANMAZ  M10X60"/>
        <s v="BOILER TRUMA GAZLI SU ISITMA BG 10 10LT"/>
        <s v="KUMAŞ SUNİ DERİ İNCE SİYAH"/>
        <s v="KUMAŞ PELUŞ KREM"/>
        <s v="BATARYA ÇEKİÇ FREEDOM-REVİVA BANYO"/>
        <s v="VİDA PASLANMAZ HAVŞA 3,5X25"/>
        <s v="BALDACCİ BAS ÇEK KİLİT KROM - PARLAK"/>
        <s v="SOMUN PASLANMAZ FİBERLİ M8"/>
        <s v="HORTUM KALORİFER 16MM LONG TİPİ"/>
        <s v="SOMUN  M8"/>
        <s v="SOLAR MONTAJ ORTA BRAKET"/>
        <s v="SİFON 90 DERECE"/>
        <s v="LOCTİTE 243 CONTA YAPIŞTIRICI 50 ML"/>
        <s v="MASA AYAK UZUN KROM"/>
        <s v="SİLİKON SICAK "/>
        <s v="HORTUM UCU 1/2  PARMAK SİYAH"/>
        <s v="KABLO TELLİ 1X1 MAVİ"/>
        <s v="ŞASE PULU PASLANMAZ M8"/>
        <s v="BATARYA GLADİATOR BANYO"/>
        <s v="AYDINLATMA DOKUNMATİK GRİ - BEYAZ IŞIK"/>
        <s v="BICAK SİGORTA 10 A"/>
        <s v="EGSOZT UCU PAZLANMAZ ÇIKIŞI"/>
        <s v="VİDA SUNTA 4X70"/>
        <s v="TENTE ALBİNA 2.4 SİYAH"/>
        <s v="SİFON LAVABO KÖRÜKLÜ PLASTİK "/>
        <s v="MACUN ANTRASİT"/>
        <s v="KUMAŞ ROMA 10 YEŞİLİMSİ"/>
        <s v="STEP 201 KREM"/>
        <s v="DUVAR ASKILIK MAT KROM"/>
        <s v="POLİETİLEN BURÇ KÜÇÜK"/>
        <s v="SARI DİRSEK 1/2"/>
        <s v="BAKIR BORU 10MM"/>
        <s v="KABLO TELLİ 16MM SİYAH"/>
        <s v="SF2D KABLO UCU DİŞİ TERMİNAL + KILIF"/>
        <s v="OCAK VE EVYE TEK GÖZLÜ KOMBİNASYONLU (SOL OCAK SAĞ"/>
        <s v="SARI REKOR 12 MM 1/2"/>
        <s v="STOR U PROFİLİ KAP. KROM"/>
        <s v="PVC BANT CEVİZ 22MM ANTİK DARK"/>
        <s v="POLYESTER"/>
        <s v="EBERSPAECHER KOMPLE ISITICI D2L 12V"/>
        <s v="ALÜMİNYUM KÖŞE PROFİL 2 AYAK"/>
        <s v="KÖPÜK SPREY POLİURETAN  "/>
        <s v="LED DOLAP İÇİ AYDINLATMA BEYAZ"/>
        <s v="BARA VİDALI 6LI 150 A"/>
        <s v="SOLAR PANEL ESNEK 175w"/>
        <s v="SİNTİNE POMPASI 750 BASINC"/>
        <s v="LAMİNANT PLAKA HIGH GLASS 3103 PARLAK"/>
        <s v="VİDA MERCİMEK BAŞLI PASLANMAZ M4X25"/>
        <s v="DEDANTÖR AYGAZ"/>
        <s v="PVC BANT MEŞE 22MM TORTANA"/>
        <s v="POLİÜRETAN HAMMADDE 1030"/>
        <s v="TAPA ANTRASİT 14 MM"/>
        <s v="USB 12V 2Lİ SİYAH"/>
        <s v="MPPT ŞARJ 20A"/>
        <s v="SOLAR MONTAJ KÖŞE BRAKET"/>
        <s v="KONTRA KAVAK 12 MM-170X220"/>
        <s v="TUTKAL DENİZ MAGNETO 500GR"/>
        <s v="AYNA GLADİATOR XL 625X610"/>
        <s v="GLADİATOR XL UZUN ARKA MERDİVENİ"/>
        <s v="HORTUM UCU 1 PARMAK SİYAH"/>
        <s v="HORTUM GAZ 10MM"/>
        <s v="PVC BANT CEVİZ 40MM ANTİK DARK"/>
        <s v="JELKOT ŞEFFAF "/>
        <s v="KABLO KANAL 40X16"/>
        <s v="KONTRA KAVAK 4 MM-170X220"/>
        <s v="MAKARON 6,4 MM SİYAH"/>
        <s v="TOPRAKLI PRİZ Ç.K. KAPAKLI SIYAH"/>
        <s v="KABLO 1X1,5 BEYAZ"/>
        <s v="CİVATA M10X90 8,8 GALVANİZ"/>
        <s v="CAM ALTLIK SES STOPERİ"/>
        <s v="BANT MASKELEME MAVİ 25 MM"/>
        <s v="WAGO 2LÜ"/>
        <s v="BANT BEZ TÜYLÜ"/>
        <s v="MAKARON 2 MM"/>
        <s v="TAPA CEVİZ 14 MM"/>
        <s v="ÇİFT GÖZ OCAK KOMBİNASYONLU "/>
        <s v="POLİETİLEN BURÇ BÜYÜK"/>
        <s v="SARI DİRSEK KUYRUKLU 1 PARMAK"/>
        <s v="LAMİNANT RULO 1001 ANTRASİT"/>
        <s v="DÜZ DEMİR BAĞLANTI"/>
        <s v="KONTRA KAVAK 15 MM-170X220"/>
        <s v="SIVA SÜNGERİ"/>
        <s v="MAŞRAPA ÖLÇEKLİ"/>
        <s v="BANT TEFLON"/>
        <s v="ZIMPARA ORBİTAL 320"/>
        <s v="ZIMPARA ORBİTAL 80"/>
        <s v="FLEX LED GUN ISIGI"/>
        <s v="SARI KUYRUKLU DİRSEK 1/2"/>
        <s v="MİNEFLO ZEMİN KAPLAMA FORBO WOOD 13412"/>
        <s v="SOMUN FİBERLİ M3 "/>
        <s v="FİŞ ERKEK 1X16 TOPRAKLI DÜZ"/>
        <s v="EBERSPAECHER KIT"/>
        <s v="RÖTÜŞ KALEM ANTRASİT"/>
        <s v="VİDA PASLANMAZ 4,2X25"/>
        <s v="ORGANİZATÖR FİLE"/>
        <s v="POLİÜRETAN MDİ"/>
        <s v="ELDİVEN NİTRİL"/>
        <s v="KAÇAK AKIM ROLESİ 25 AMPER"/>
        <s v="KARAVAN CAM 300X700 BERHIMI"/>
        <s v="MAKARON 25,4 MM"/>
        <s v="KUM-BALTA X10"/>
        <s v="SARI 1/2 DEPO KOVANI"/>
        <s v="CASTAGNARİ OCRİTECH YARI-OVAL MAT BEYAZ LAVABO"/>
        <s v="ZIMPARA ORBİTAL 180"/>
        <s v="ZIMBA TELİ EF15 5000Lİ"/>
        <s v="BANT MASKELEME DAYSON 24 MM"/>
        <s v="PUSH BUTON BL03-GB AY FÜME"/>
        <s v="KARAVAN CAM 300X500 BERHIMI"/>
        <s v="CIRT İLMİK"/>
        <s v="SARI HORTUM  TE 10 MM"/>
        <s v="MAKARON 3.2 MM SİYAH"/>
        <s v="FİŞ DİŞİ 3X16 KAPAKLI"/>
        <s v="ELDİVEN MUAYENE PUDRALI"/>
        <s v="TAPA KÖR PLASTİK 1 PARMAK "/>
        <s v="ARA NİPEL 10-1/2 MM"/>
        <s v="PUL 9X4.5"/>
        <s v="KUMAŞ ELYAF 120 GR"/>
        <s v="VİDA SUNTA 5X100"/>
        <s v="RÖTÜŞ KALEM CEVİZ"/>
        <s v="MAKARON 16 MM "/>
        <s v="BANT MASKELEME MAVİ 50 MM"/>
        <s v="VİDA SUNTA 3,5X18"/>
        <s v="DEGOBAJ UCU T118A"/>
        <s v="PVC BANT MEŞE 40MM TORTANA"/>
        <s v="SOLAR PANEL ESNEK 170w"/>
        <s v="FIRÇA PRİMER"/>
        <s v="MASKE TOZ"/>
        <s v="BANT ÇİFT TARAFLI 25x38 mm"/>
        <s v="PVC BANT ANTRASİT 2878GB-ROMA MARKA GENİŞ"/>
        <s v="VİDA KAPAK 15MM SİYAH"/>
        <s v="LEDLİ ÇEVRE AYDINLATMA SİYAH 10CM"/>
        <s v="AKORDİYON MENTEŞE 70MM"/>
        <s v="AKÜ 150 AH"/>
        <s v="MENTEŞE 7X4.5 CM KROM"/>
        <s v="BIÇAK SİGORTA KUTUSU 4LÜ"/>
        <s v="VİDA MERCİMEK BAŞLI 3,5X16"/>
        <s v="OKUMA LAMBASI SİYAH"/>
        <s v="LAMİNANT RULO 1091 HAKİ"/>
        <s v="BEZ HURDA"/>
        <s v="RAY 35 LİK TELESKOBİK FRENLİ"/>
        <s v="BICAK SİGORTA 30 A"/>
        <s v="PLASTIK KONTROL KAPAGI-IC CAP 165MM"/>
        <s v="GLADiATOR XL AYAK SAĞ ARKA NO.3 TRİM"/>
        <s v="ZIMPARA ORBİTAL 120"/>
        <s v="SOFTSHELL MEMBRANLI KUMAS"/>
        <s v="SPOT 12V 25MM METAL"/>
        <s v="MUSLUK  SOĞUK-SICAK TEK GÖZ"/>
        <s v="SOLAR PANEL DEVRE KESİCİ BUTON"/>
        <s v="ARA NİPEL 8-10 MM GAZ DEVRESİ"/>
        <s v="ORYANTAL RAY - DUS PERDESI RAYI"/>
        <s v="BANT İZOLE"/>
        <s v="TUTAMAK ARKA"/>
        <s v="ALÜMİNYUM KÖŞE PROFİL KROM 1X1"/>
        <s v="AKÜ KUTUP BAŞI KORUMA KILIFI KIRMIZI"/>
        <s v="MENTEŞE TAS FRENSİZ SÜPER DEVE"/>
        <s v="VİDA YHB 3,9x38"/>
        <s v="SU BASINÇ DÜŞÜRÜCÜ VALF PİSTONLU 1/2"/>
        <s v="ALBİNA TENTE ÇITASI SİYAH"/>
        <s v="GLADIATOR AYAK BLUEMAC ON"/>
        <s v="GLADiATOR XL AYAK SOL ÖN NO.2 TRİM"/>
        <s v="GLADiATOR XL AYAK SAĞ ÖN NO.4 TRİM"/>
        <s v="ÇITCIT PİRİNÇ METAL 7MM"/>
        <s v="İzoleli Kablo Yüksüğü 1,5MM"/>
        <s v="MPPT ŞARJ 30A"/>
        <s v="SOLAR PANEL ESNEK 110W"/>
        <s v="RULO PARMAK 10MM YEDEK İÇ"/>
        <s v="SOMUN KÖR PASLANMAZ M6 ÇADIR"/>
        <s v="GÖZLÜK ŞEFFAF"/>
        <s v="LEHİM PASTASI"/>
        <s v="RAPTOR LİNER TİNTABLE SERTLEŞTİRİCİ"/>
        <s v="KİLİT ŞİFRELİ ASMA"/>
        <s v="OCTOOPİ 7İNC"/>
        <s v="KAPI ALTI SÜNGER"/>
        <s v="MENFEZ ALİMİNYUM 30X7 "/>
        <s v="GLADiATOR XL AYAK SOL ARKA NO.1 TRİM"/>
        <s v="KODIPLAST BUTIL 570ML"/>
        <s v="LAMİNANT RULO 3204 YENİ MEŞE"/>
        <s v="MİNİ TÜP 2KG RXL,FRE,GLA"/>
        <s v="STORE KAPI SALYANGOZ YUVASI"/>
        <s v="CIRT YUVARLAK"/>
        <s v="FERMUAR KREM"/>
        <s v="MENTEŞE TAS FRENSİZ YARIM DEVE-MİNİ"/>
        <s v="KOMPAKT LAMINAT ANTRASİT 3,05X1,30 06MM"/>
        <s v="CİVATA PASLANMAZ M10X50 ALTIGEN BAŞ"/>
        <s v="CHARGER GÜÇ (POWER) BESLEME KABLOSU"/>
        <s v="MENTEŞE YAPRAK OVAL 6.5CM KROM"/>
        <s v="TELESKOBİK MERDİVEN TEK AYAKLI 2,60M"/>
        <s v="POST RULO- 10luk POLYESTER YEDEK"/>
        <s v="SU DOLUM AĞZI BERHİMİ SİYAH"/>
        <s v="ZIMPARA ORBİTAL 220"/>
        <s v="SİLİKONİZE AKRİLİK MASTİK ALTINMEŞE"/>
        <s v="KABLO SPRAL BORU YARIKLI PG25"/>
        <s v="MENTEŞE LALE MAKAS"/>
        <s v="KABLO SPRAL YARIKLI PG7"/>
        <s v="DC-DC 20A CHARGER TEK YÖN"/>
        <s v="RAY TELESKOPİK 30 LUK FRENLİ"/>
        <s v="TUVALET PORTATİF 165"/>
        <s v="İNVERTÖR 2000W TAM SİNÜS"/>
        <s v="HIDROFOR 7,5LT 2,1 BAR SUGA"/>
        <s v="ASD LAMİNAT 6008 MET\BAKIR 1300x3050x0,7"/>
        <s v="KUM PALETİ ASKI HAZIRLIĞI YENİ TİP"/>
        <s v="SUNTA VIDA HAVSA BASLI 3,5 x 15 MM"/>
        <s v="KARAVAN CAM 300X500 EINSTEIN"/>
        <s v="TEK GİRİŞLİ YÜKSÜK 1 MM KIRMIZI"/>
        <s v="ORGANİZATOR PANO  TUTTURUCU BEYAZ"/>
        <s v="HAREKETLI SPANZET BAGLANTI"/>
        <s v="EBERSPAECHER KAPAKLI DISLI DUZ MENFEZ SET"/>
        <s v="PIL KALEM AAA"/>
        <s v="ÇİFT GİRİŞLİ YÜKSÜK 1 MM KIRMIZI"/>
        <s v="HAREKETLI SPANZET BAGLANTI APARATI"/>
        <s v="KENAR BANT TUTKALI"/>
        <s v="HYDRONIC S3 "/>
        <s v="JELKOT POLİYA POLİJEL 215 43 SİYAH"/>
        <s v="ÇİFT GİRİŞLİ YÜKSÜK 1 MM SARI"/>
        <s v="MINEFLO ZEMIN KAPLAMA MEDIUM GREY CEMENT"/>
        <s v="TÜP TAŞIYICI DIŞ YENİT TİP KÜÇÜK"/>
        <s v="PVC BANT 22X0,80 ANTRASİT PARLAK"/>
        <s v="ÇİFT GİRİŞLİ YÜKSÜK 2,5 MM GRİ"/>
        <s v="PUSH BUTON BL06-160-CH KROM PARLAK"/>
        <s v="LEHİM TELİ 1,2 MM"/>
        <s v="GLADİATOR XL AYAK GÖVDE BAĞLANTISI SAĞ ÖN NO.4"/>
        <s v="CHARGER 25A (110V-230V)"/>
        <s v="TELESKOPİK MASA AYAK RANGER90 REVİVA"/>
        <s v="TEK  GİRİŞLİ YÜKSÜK 10 MM KAHVERENGİ"/>
        <s v="KABLO BAĞI CİRT 3.60X200"/>
        <s v="KABLO 3X2,5 "/>
        <s v="TENTE ALBINA IC TRIM"/>
        <s v="RAPTOR LİNER TİNTABLE(RAL 7016)"/>
        <s v="MAKARON 3.2 MM KIRMIZI"/>
        <s v="ÇİFT GİRİŞLİ YÜKSÜK 6 MM YEŞİL"/>
        <s v="KABLO SPRAL BORU YARIKLI PG7"/>
        <s v="ORGANİZATOR PANO KALEMLIK KUTU SIYAH"/>
        <s v="ALBİNA TENTE ÇEVİRME KOLU BEYAZ"/>
        <s v="GLADİATOR AYAK GÖVDE BAĞLANTISI NO.1 SOL ARKA "/>
        <s v="ATIK SU TAHLİYESİ JAKLI"/>
        <s v="SİYAH DIŞ MENFEZ "/>
        <s v="ORGANİZATOR PANO 3LU KUTU SET BEYAZ"/>
        <s v="ÇİFT GİRİŞLİ YÜKSÜK 6 MM SİYAH"/>
        <s v="BICAK SİGORTA 5A MTA"/>
        <s v="GLADİATOR-GXLD TEMİZ SU TANKI 55LT BEYAZ YENI"/>
        <s v="PABUÇ SKP 16-6"/>
        <s v="TUVALET KASETLİ C 200-CS (SIRTLI)"/>
        <s v="GLADİATOR AYAK GÖVDE BAĞLANTISI NO.3 SAĞ ARKA"/>
        <s v="SİGORTA KUTUSU 6 LI SİYAH KAPAKLI"/>
        <s v="VİDA PASLANMAZ MERCİMEK BAŞLI M2.9X22 SİYAH"/>
        <s v="HORTUM ŞEFFAF 4X8 MM "/>
        <s v="GLADIATOR AYAK BLUEMAC ARKA"/>
        <s v="FİŞ KILIFI RENKLİ 6.3"/>
        <s v="SÜNGER 1.40x2.40 28 DNS 5LİK"/>
        <s v="FIBER DISK ZIMPARA 40LIK"/>
        <s v="ASD LAMİNAT 6004 MET\ METALİK 1300x3050x0,5"/>
        <s v="ASD LAMİNAT 3080 BTE/FUJİ 1300x100000Rx0,6"/>
        <s v="KONTRA KAVAK 8 MM-170X220"/>
        <s v="İPLİK BEYAZ"/>
        <s v="GLADİATOR AYAK GÖVDE BAĞLANTI YAZISI"/>
        <s v="KERESTE DEK LADİN"/>
        <s v="VİDA SUNTA 5x60"/>
        <s v="ARAÇ BİLGİ ETİKETLERİ-İNGİLİZCE"/>
        <s v="GLADiATOR GÖVDE MASA AYAĞI TAŞIYICI KOL SOL"/>
        <s v="HAREKETLI SPANZET BAGLANTI IC TRIM"/>
        <s v="OCTOOPİ  HARNESS  GLADIATOR"/>
        <s v="SOMUN FİBERLİ M10 GALVANİZ"/>
        <s v="GIPSY SHOWER CABIN ANTRASİT"/>
        <s v="İNVERTÖR 1000W TAM SİNÜS"/>
        <s v="AYAK İÇ BAĞLANTI-ARA GÖVDE"/>
        <s v="KABLO BAĞI CİRT 3.60X300"/>
        <s v="BANT MASKELEME DAYSON 48 MM"/>
        <s v="KABLO 3X1,5 "/>
        <s v="PVC YAPIŞTIRICI"/>
        <s v="SAC VİDASI 4,2X16 YSB"/>
        <s v="PABUÇ SKP 16-8"/>
        <s v="VİDA PASLANMAZ 4,8X25 YHB"/>
        <s v="GLADİATOR AYAK GÖVDE BAĞLANTISI NO.4 SAĞ ÖN"/>
        <s v="OCTOOPİ ŞAMANDIRA 25 CM"/>
        <s v="GLADİATOR AYAK GÖVDE BAĞLANTISI NO.2 SOL ÖN "/>
        <s v="KABLO KANALI 25X16"/>
        <s v="FIRÇA AHŞAP SAPLI 3 NUMARA"/>
        <s v="STANDART DİŞİ FİŞ"/>
        <s v="ÇITÇIT METAL PASLANMAZ"/>
        <s v="STORE KAPI KROM 1735x 750mm"/>
        <s v="SİGORTA 16 AH 220 W"/>
        <s v="WAGO 5 LÜ"/>
        <s v="URBAN BADGER DAMLA STİCKER"/>
        <s v="GLADiATOR AYAK SAĞ ÖN NO.4 TRİM"/>
        <s v="GLADiATOR AYAK SOL ARKA NO.1 TRİM"/>
        <s v="CRAFT EVRAK CANTASI"/>
        <s v="YATAK KUMAŞI BEYAZ"/>
        <s v="ELEKTRİKLİ AYAK GÖVDE ARA BAĞLANTI ARKA"/>
        <s v="HOTOMOBİL PASLANMAZ PLAKALIK"/>
        <s v="HAFELE FRENLİ CH300 DOLAP MENTEŞESİ "/>
        <s v="ARA NIPEL CIFT YUKSUKLU M8"/>
        <s v="KONTRA FALCATA 12 MM 122X250"/>
        <s v="PABUÇ SKP 6-6"/>
        <s v="SİKA MASTİK SOSİS NP1"/>
        <s v="ARAÇ BİLGİ ETİKETLERİ-TÜRKÇE"/>
        <s v="ÖRGÜ KEÇE ELYAF 600/225"/>
        <s v="TRANSFER SWİTCH 63A"/>
        <s v="PUL 4,3X12X1 PASLANMAZ"/>
        <s v="HEKİ 50X70 HAVALANDIRMALI BEYAZ DOMETİC"/>
        <s v="TEKLİ ÇERÇEVE SİYAH"/>
        <s v="GLADIATOR GAZ HORTUM  ÇAKTIRMA 60 CM"/>
        <s v="CIRT ZIMPARA DELİKLİ 60"/>
        <s v="ELEKTRIKLI GLADIATOR AYAK "/>
        <s v="KABLO KANALI 16X16"/>
        <s v="ZIMPARA ORBİTAL 40"/>
        <s v="AKÜ KUTUP BAŞI KORUMA KILIFI SİYAH"/>
        <s v="KUMAŞ SUNİ DERİ KAHVERENGİ"/>
        <s v="SİGORTA MEGAVAL 125A 3 AYAKLI"/>
        <s v="REİCH DIŞ DUŞ JAKLI SİYAH"/>
        <s v="UZUN ERKEK FİŞ"/>
        <s v="TENTE THULE 4MT SİYAH"/>
        <s v="GLADiATOR AYAK SAĞ ARKA NO.3 TRİM"/>
        <s v="GLADiATOR AYAK SOL ÖN NO.2 TRİM"/>
        <s v="GLADİATOR XL AYAK GÖVDE BAĞLANTISI SOL ÖN NO.2"/>
        <s v="SERVIS KAPISI 3 SIYAH SANJO"/>
        <s v="PLASTIK KONTROL KAPAGI-DIŞ ÇAP 150 MM BEYAZ"/>
        <s v="FROST CONTROL-TAMSAN"/>
        <s v="POLİYA POLİJEL F 209 Z GRİ"/>
        <s v="TEK GİRİŞLİ YÜKSÜK 6 MM YEŞİL"/>
        <s v="ZIMPARA ORBİTAL 400"/>
        <s v="ZIMPARA ORBİTAL 600"/>
        <s v="SİKAFLEX 206 PRİMER 1000ML"/>
        <s v="SİKAFLEX 100 AKTİVATÖR 1000ML"/>
        <s v="KAVAK MARIN KONTRPLAK CIZGILI ALMAN MESE 6MM"/>
        <s v="MENTEŞE YAPRAK OVAL 9.5CM KROM"/>
        <s v="GLADİATOR XL AYAK GÖVDE BAĞLANTISI SOL ARKA NO.1"/>
        <s v="DİYOT 1N4007"/>
        <s v="METYX XL800 MULTİAXİAL CAM ELYAF"/>
        <s v="PABUÇ SKP 16-10"/>
        <s v="ANTİFİRİZ S3"/>
        <s v="BICAK SİGORTA 25A MTA"/>
        <s v="VERONA ESNEK OKUMA LAMBASI-SIYAH"/>
        <s v="STREÇ ŞEFFAF 17 MİKRON"/>
        <s v="GLADİATOR XL AYAK GÖVDE BAĞLANTISI SAĞ ARKA NO.3"/>
        <s v="TEK GİRİŞLİ YÜKSÜK 4 MM TURUNCU"/>
        <s v="KARAVAN DIŞ 220V ERKEK GİRİŞ SİYAH BEMIS"/>
        <s v="OCTOOPİ  HARNESS  GLADIATOR XL"/>
        <s v="SICAK SU HORTUMU SİYAH KAUÇUK 19 MM "/>
        <s v="KLIMA DOMETIC TAVAN TIP"/>
        <s v="TAMSAN FROST KONTROL ERKEK VİDALI HORTUM NİPELİ"/>
        <s v="ORGANIZATOR PANO 36x56  SIYAH"/>
        <s v="AKÜ ŞALTERİ DEVRE KESİCİ 12V-24V 275A"/>
        <s v="KARAVAN CAM 300X700 EINSTEIN"/>
        <s v="KARAVAN CAM 450X500 EINSTEIN"/>
        <s v="AYNA GLADİATOR GSM 390x690"/>
        <s v="POLİYA POLİJEL F 215 BEYAZ (RAL-9016)"/>
        <s v="ÇAKMAKLIK 12V"/>
        <s v="GLADİATÖR TENTE BRAKETİ XL"/>
        <s v="TEK GİRİŞLİ YÜKSÜK 2,5 MM GRİ"/>
        <s v="RAPTOR LİNER TİNTABLE(RAL 1001)"/>
        <s v="GLADiATOR GÖVDE MASA AYAĞI SABİT KOL SOL"/>
        <s v="ELEKTRİKLİ AYAK GÖVDE ARA BAĞLANTI ÖN"/>
        <s v="ORGANIZATOR PANO 56x56  SIYAH"/>
        <s v="MİNİ TÜP ALTLIK RXL,FRE,GLA"/>
        <s v="CİVATA PASLANMAZ FLANŞLI M10X30"/>
        <s v="ASD LAMİNAT 1039 PRL\KREM 1300x3050x0,7"/>
        <s v="360 DERECE MASA AYAK GXL DODGE RAM EDİTİON PALOMA"/>
        <s v="SOMUN PASLANMAZ FLANŞLI M10"/>
        <s v="GLADİATOR-GXLD PİS SU TANKI 21LT SİYAH YENI"/>
        <s v="AYNA GLADİATOR SH 300x420"/>
        <s v="ELEKTRIKLI AYAK KONTROL SISTEMI"/>
        <s v="ASKERİ TİP KONNEKTÖR 80 A 3 PİN"/>
        <s v="MPPT ŞARJ 40A"/>
        <s v="URBAN BADGER ARAÇ ÜSTÜ ÇADIR GÖVDE PÜTÜRLÜ"/>
        <s v="HAREKETLI SPANZET DESTEK SACI"/>
        <s v="HAREKETLI SPANZET BAGLANTI APARATI IC TRIM"/>
        <s v="RAPTOR LİNER TİNTABLE(RAL 9005)"/>
        <s v="RAY 50 LIK TELESKOPIK FRENSIZ "/>
        <s v="GLADiATOR GÖVDE MASA AYAĞI OYNAR KOL SAĞ"/>
        <s v="RAY TELESKOBİK BİLYALI 53MMX50CM KİLİTLİ"/>
        <s v="PİGMENT RAL 9005 SİYAH"/>
        <s v="KARAVAN CAM 500X900 EINSTEIN"/>
        <s v="GLADiATOR GÖVDE MASA AYAĞI SABİT KOL SAĞ"/>
        <s v="GLADiATOR GÖVDE MASA AYAĞI TAŞIYICI KOL SAĞ"/>
        <s v="GXLE TEMİZ SU TANKI 90LT BEYAZ YENI 48X75X27"/>
        <s v="MOBİLYA TEZGAH AYAĞI AYARLANABİLİR 13x19CM"/>
        <s v="SİGORTA MEGAVAL 100A 3 AYAKLI"/>
        <s v="GLADiATOR GÖVDE MASA AYAĞI OYNAR KOL SOL"/>
        <s v="REVİVA PİS SU TANKI SİYAH 65 LT"/>
        <s v="LAMİNANT RULO 1098 MANDALİN"/>
        <s v="TAVAN ÇITASI SIYAH"/>
        <s v="BUZDOLABI İNDEL B-CRUİSE 140 LT"/>
        <s v="AYNA GLADİATOR 720x560 GS"/>
        <s v="DUŞ PERDESİ"/>
        <s v="MERDİVEN UZUN ARKA"/>
        <s v="TAHARET MUSLUĞU PİRİNÇ"/>
        <s v="1700,5X580 HARTAL KAPI SİNEKLİK " u="1"/>
        <s v="MENTEŞE TAS FRENSİZ YARIM DEVE" u="1"/>
        <s v="VİDA 3,5X40 MERCİMEK BAŞLI SİYAH" u="1"/>
        <s v="HORTUM GAZ 10MM REKORLU" u="1"/>
        <s v="FROST CONTROL" u="1"/>
        <s v="HİDROFOR 7,5LT 2,1 BAR SUGA" u="1"/>
        <s v="MATKAP UCU 2,5 MM" u="1"/>
        <s v="İZOLASYON KAUÇUK 18 MM" u="1"/>
        <s v="VİDA PASLANMAZ HAVŞA 3,9X25" u="1"/>
        <s v="GAZ REGÜLATÖRÜ MONOCONTROL CS SET" u="1"/>
        <s v="TUVALET KASETLİ C 223-S" u="1"/>
        <s v="YANDAN RAYLI MUTFAK DOLAP ALTI ŞİŞELİK 20 LİK" u="1"/>
        <s v="İZOLASYON KAUÇUK 9 MM" u="1"/>
        <s v="SARI HORTUM REKORU 10MM 1/2 İÇ DISLI" u="1"/>
        <s v="KABLO BAĞI CİRT 3.60X150" u="1"/>
        <s v="WESTACC PSA KABİN ARA LAMBASI " u="1"/>
        <s v="WÜRTH BEYAZ AHSAP TUTKALI" u="1"/>
        <s v="KOLTUK MEKANİZMASI DÖNER" u="1"/>
        <s v="MIKNATISLI KÜÇÜK BAS-AÇ" u="1"/>
        <s v="VİDA SUNTA 5X35" u="1"/>
        <s v="SOMUN PASLANMAZ M10 FİBERLİ" u="1"/>
        <s v="POLYESTER  İNCELTİCİ STREN" u="1"/>
        <s v="HAFELE DRESS LINE ELBISE ASKI RAYI 350MM" u="1"/>
        <s v="AKÜ LİTYUM 100 AH" u="1"/>
        <s v="VİDA SUNTA 3X25" u="1"/>
        <s v="SERVİS KAPISI 3 BEYAZ" u="1"/>
        <s v="KARAVAN CAM 500X900 BERHIMI" u="1"/>
        <s v="HAFELE CITY 2 ÇÖP KUTUSU P.ÇELIK 40CM 11LT" u="1"/>
        <s v="VİDA TRAPEZ 5,5x32 MM" u="1"/>
        <s v="KABLO TELLİ 1X1 TURUNUCU" u="1"/>
        <s v="CİVATA PASLANMAZ M10X70" u="1"/>
        <s v="DUCATO REVIVA KOLTUK SASESI" u="1"/>
        <s v="WAX POLYESTER SV6" u="1"/>
        <s v="BUZDOLABI THETFORD 152 LT" u="1"/>
        <s v="KABLO TELLİ 6MM KIRMIZI" u="1"/>
        <s v="CİVATA  PASLANMAZ M8X25" u="1"/>
        <s v="HORTUM VANA KÜRESEL 1/2 METAL MAVİ" u="1"/>
        <s v="TUTKAL KONTAK PRES İÇİN" u="1"/>
        <s v="PVC BANT OPAK 0,8mm" u="1"/>
        <s v="BORU OPTİFLEX 42/13 MM" u="1"/>
        <s v="LİGHT DÜĞME SİYAH" u="1"/>
        <s v="SAC VİDASI 4,2X16 RYSB" u="1"/>
        <s v="LEDLİ ÇEVRE AYDINLATMA GRİ 10 CM" u="1"/>
        <s v="LEDLİ ÇEVRE AYDINLATMA BEYAZ 70CM" u="1"/>
        <s v="VİDA YHB 3,9X16" u="1"/>
        <s v="PSA GRUBU-KİRLİ SU DEPOSU-BAĞLANTI AYAĞI" u="1"/>
        <s v="SÜNGER İKİLİ KOLTUK TAKIM" u="1"/>
        <s v="DUŞ TAVASI-ELEKTRİKLİ SU ATIK TAHLİYESİ" u="1"/>
        <s v="KABLO YASSI 2X1,5MM SİYAH" u="1"/>
        <s v="KABLO SPRAL YARIKLI PG21" u="1"/>
        <s v="KABLO TELLİ 1X1 KIRMIZI" u="1"/>
        <s v="KABLO YASSI 2X2,5MM SİYAH" u="1"/>
        <s v="KABLO TELLİ 6MM SİYAH" u="1"/>
        <s v="ARA NIPEL DIRSEK 8 MM CIFT YUKSUK" u="1"/>
        <s v="LİGHT MEKANIZMA  Ç.B." u="1"/>
        <s v="KABLO TELLİ 1X1 MOR" u="1"/>
        <s v="KOLTUK  PSA TEKLİ" u="1"/>
        <s v="KABLO TELLİ 1X1 SARI" u="1"/>
        <s v="KABLO ANTİGRON 4X0,75 " u="1"/>
        <s v="KABLO TELLİ 1X1 SİYAH" u="1"/>
        <s v="MİNEFLO ZEMİN KAPLAMA ANTRASİT FORBO ETERNAL" u="1"/>
        <s v="SİNEKLİK DOMETİC FLY TEC FT200" u="1"/>
        <s v="THULE TENTE ÇATI BRAKETİ" u="1"/>
        <s v="BL11-PC KAPI KOLU MAT" u="1"/>
        <s v="MENTEŞE TAS FRENSİZ DÜZ " u="1"/>
        <s v="KONTRA KAVAK ESNEK 4 MM-122X244 SUYUNA" u="1"/>
        <s v="TAPA  KÖR PLASTİK 1/2 " u="1"/>
        <s v="VİDA SUNTA 3,5X30" u="1"/>
        <s v="CIVATA PASLANMAZ M8X130" u="1"/>
        <s v="WD 40 YAĞ SÖKÜCÜ 400 ML" u="1"/>
        <s v="MAXİ TÜP ALTLIK REVİVA" u="1"/>
        <s v="RAY TELESKOPİK 40 LIK BAS-AÇ" u="1"/>
        <s v="YUVARLAK NOKTA IŞIKLI ON-OFF ANAHTAR 12V" u="1"/>
        <s v="KABLO TELLİ 1X1 KAHVERENGİ" u="1"/>
        <s v="MAXİ TÜP 12KG GAZ REVİVA" u="1"/>
        <s v="KARAVAN CAM 500x300 DİK BUZLU" u="1"/>
        <s v="POP-UP SCA214 DUCATO" u="1"/>
        <s v="REVİVA İKİLİ KOLTUK BAŞLIĞI" u="1"/>
        <s v="KONTRA FALCATA 8 MM 122X250" u="1"/>
        <s v="PASLANMAZ KOLTUK KAFALIK" u="1"/>
        <s v="AKÜ 110 AH" u="1"/>
        <s v="TAHARET MUSLUĞU AÇ-KAPA" u="1"/>
        <s v="KUMAŞ RİVA 340 BAKALAVA" u="1"/>
        <s v="LAVABO LAVANDA " u="1"/>
        <s v="VALF MANIFOLD (VK 2-8)" u="1"/>
        <s v="MUSLUK LAVANDA " u="1"/>
        <s v="BANT KAĞIT 25MM" u="1"/>
        <s v="ALÜMİNYUM KÖŞE PROFİL SİYAH 2X2" u="1"/>
        <s v="SİGORTA KUTUSU MEGAVAL" u="1"/>
        <s v="ALÇIPAN VİDASI 3,5X35" u="1"/>
        <s v="SU DOLUM AĞZI BERHİMİ BEYAZ" u="1"/>
        <s v="04519HGF19 POMPA JAKI DİŞİ" u="1"/>
        <s v="BANT KAĞIT 50" u="1"/>
        <s v="AKRİLİK LAVABOLU TEZGAH CRAFTER CAN 1336" u="1"/>
        <s v="MIKNATIS STOR KAPI SABİTLEME" u="1"/>
        <s v="PVC BANT 22X080 HG WENGE SKALA 3080 PARLAK" u="1"/>
        <s v="PUSH BUTTON MİNİ BL02N-WC YUVARLAK KROM PARLAK" u="1"/>
        <s v="PVC EĞRİ KENAR BONCUK TUTKAL" u="1"/>
        <s v="076UTK26S TOZ KAPAĞI" u="1"/>
        <s v="KAPI STOPERİ" u="1"/>
        <s v="REVİVA DUCATO KUŞ TÜYÜ YAYLI YATAK DOUBLE COMFORT" u="1"/>
        <s v="SARI NİPEL 1 1/2" u="1"/>
        <s v="REVİVA TEMİZ SU TANKI BEYAZ HOTOMOBİL" u="1"/>
        <s v="SOLVENT MOBİLYA TUTKAL TEMİZLEME 3 NUMARA" u="1"/>
        <s v="AKÜ ŞALTERİ DEVRE KESİCİ 12V-24V 300A" u="1"/>
        <s v="KOLTUK POLYESTER KAPAMA" u="1"/>
        <s v="OCTOOPİ ŞAMANDIRA 50 CM" u="1"/>
        <s v="PSA GRUBU-DUŞ TAVASI-BAĞLANTI AYAK 03" u="1"/>
        <s v="DUVAR DUŞ SETİ" u="1"/>
        <s v="TENTE FİAMMA 2.60 SİYAH" u="1"/>
        <s v="PSA GRUBU-DUŞ TAVASI-BAĞLANTI AYAK 01" u="1"/>
        <s v="ELEKTRIKLI BASAMAK LEDLI 400MM" u="1"/>
        <s v="BATARYA FREEDOM-REVİVA MUTFAK" u="1"/>
        <s v="KABLO SPRAL BORU YARIKLI PG12" u="1"/>
        <s v="SİKAFLEX 252 BEYAZ KARTUŞ 300ML" u="1"/>
        <s v="PVC BANT 40X08 7104 WENGE 3080 MAT" u="1"/>
        <s v="SARI REKOR 1 1/2 40 mm" u="1"/>
        <s v="DÖNER BANYO MEKANİZMASI" u="1"/>
        <s v="KEMER EMNİYET 3 NOKTA KREM" u="1"/>
        <s v="MİNİ ROLE 12V DİYOTLU 40A" u="1"/>
        <s v="KUMAŞ KREM STEP 20" u="1"/>
        <s v="ÇİFT GÖZLÜ CAN OCAK 1336" u="1"/>
        <s v="MİNEFLO ZEMİN KAPLAMA FORBO SARLON PREMIO" u="1"/>
        <s v="RAPTOR LİNER TİNTABLE(RAL 6013)" u="1"/>
        <s v="MONITOR KAMERA AHD KABLOSUZ KAMERA SETI" u="1"/>
        <s v="CİVATA IMBUS M6x40 SİYAH" u="1"/>
        <s v="KARTUŞ DEK-6252034 DEKASYL MS-2 SİYAH" u="1"/>
        <s v="KUMAŞ RİVA 340" u="1"/>
        <s v="HIDROFOR 12V 10 LITRE 2.1 BAR" u="1"/>
        <s v="PSA GRUBU-DUŞ TAVASI-BAĞLANTI AYAK 02" u="1"/>
        <s v="KONTRA KAVAK 14 MM-170X220" u="1"/>
        <s v="04519DU26 POMPA JAKI ERKEK" u="1"/>
        <s v="REVİVA FORD SOL KÖŞE ÇEKMECE RAF SİPERLİK" u="1"/>
        <s v="FLEXİ KLOZET BAĞLANTI HORTUMU DİŞİ 3,8X3,8 70CM" u="1"/>
        <s v="ASD LAMİNAT 3080 PARLAK/FUJİ 1300x100000Rx0,6" u="1"/>
        <s v="OCTOOPİ ŞAMANDIRA 20 CM" u="1"/>
        <s v="DC-DC 40A CHARGER TEK YÖN" u="1"/>
        <s v="TAVAN ÇITASI GUMUS" u="1"/>
        <s v="POMPA JAKI CONTA" u="1"/>
        <s v="SARI DİRSEK 1 1/2" u="1"/>
        <s v="SARI MANŞON 1 1/2" u="1"/>
        <s v="SARI HORTUM REKORU 10MM 3/8 İÇ DİŞLİ" u="1"/>
        <s v="U-FRİGO 12 V TAVAN KLİMASI" u="1"/>
        <s v="F45 S MOTOR KIT COMPACT" u="1"/>
        <s v="MACERATÖR POMPA JOHNSON TA3P10-19 12V" u="1"/>
        <s v="HLOK19S­20 MACERATÖR POMPA HORTUM" u="1"/>
        <s v="AKÜ LİTYUM 150 AH" u="1"/>
        <s v="AYARLANABİLİR KAŞIKLIK 35,5-31cmX52-35,5cm" u="1"/>
        <s v="VİMAR AMERİKAN TİP PRİZ" u="1"/>
        <s v="ÇADIR MAKAS KAPAĞI" u="1"/>
        <s v="25X125 A4 İNOX SÜRGÜ " u="1"/>
        <s v="SİYAH PLASTİK TUTAMAK" u="1"/>
        <s v="PASLANMAZ MİL ÇAP 5" u="1"/>
        <s v="YUMA 50 MM ŞİFRELİ ASMA KİLİT" u="1"/>
        <s v="BASKILI ASTAR TELA" u="1"/>
        <s v="ATLAS ÇADIR KUMAŞI " u="1"/>
        <s v="KARAVAN DIŞ 220V ERKEK GİRİŞ SİYAH ABL" u="1"/>
        <s v="PASTA SÜNGERİ" u="1"/>
        <s v="ZIMPARA ORBİTAL 1000" u="1"/>
        <s v="ZIMPARA ORBİTAL 1500" u="1"/>
        <s v="ZIMPARA ORBİTAL 800" u="1"/>
        <s v="ZIMPARA SU 2000" u="1"/>
        <s v="ZIMPARA SU 1500" u="1"/>
        <s v="SOMUN PASLANMAZ M10 " u="1"/>
        <s v="ÖRTÜ HIŞIR" u="1"/>
        <s v="POST RULO- 10luk POLYESTER" u="1"/>
        <s v="ZIMPARA SU 1000" u="1"/>
        <s v="ZIMPARA SU 2500" u="1"/>
        <s v="MENTEŞE 5X5 SİYAH" u="1"/>
        <s v="ORBİTAL ZIMPARA 3000" u="1"/>
        <s v="PASTA SARI SÜNGER" u="1"/>
        <s v="3M 9374 KALIN  PASTA 1 LT" u="1"/>
        <s v="RAPTOR LINER TINTABLE (KİT)  MAT SİYAH(RAL9005)" u="1"/>
        <s v="KAPI MOHİKAN" u="1"/>
        <s v="TUVALET PORTATİF 565 E-ELEKTRİKLİ" u="1"/>
        <s v="GLA-GLA XL &quot;HOTOMOBİL&quot; KABARTMA LOGO 60CM" u="1"/>
        <s v="GAZ HAVALANDIRMA ÇAP 75MM" u="1"/>
        <s v="ORGANİZATOR PANO ANAHTARLIK BEYAZ" u="1"/>
        <s v="ORGANİZATOR PANO  LASTIK BEYAZ" u="1"/>
        <s v="MİNEFLO ZEMİN KAPLAMA NOVA AKUSTİK" u="1"/>
        <s v="GÖVDE BAĞLANTI YÜK KANCASI" u="1"/>
        <s v="EBERSPACHER EGZOZ  SUSTURUCU" u="1"/>
        <s v="EBERSPACHER EGZOZ KELEPÇESİ 26-28 MM" u="1"/>
        <s v="ÇADIR YAPRAK MENTEŞE SİYAH HAFELE 102X76X3" u="1"/>
        <s v="EUROPE 13 PIN TRAILER PLUG (SOKET)" u="1"/>
        <s v="EUROPE 13 PIN TRAILER CONNECTOR(FIS)" u="1"/>
        <s v="DEMİR LAMA 5MM" u="1"/>
        <s v="KUM PALETİ ASKI HAZIRLIĞI" u="1"/>
        <s v="TUVALET KASETLİ C 223-CS (SIRTLI)" u="1"/>
        <s v="KLİMA AVENTA COMPACT PLUS" u="1"/>
        <s v="KARAVAN KAPISI HARTAL MODEL1 1754X580mm" u="1"/>
        <s v="KARAVAN KAPISI HARTAL MODEL2 1718X550mm" u="1"/>
        <s v="1754X580 HARTAL KAPI SİNEKLİK " u="1"/>
        <s v="ALBİNA TENTE ÇITASI BEYAZ" u="1"/>
        <s v="FLEX LED" u="1"/>
        <s v="SOMUN PASLANMAZ KÖR M10" u="1"/>
        <s v="HARTAL KAPI FİTİLİ SİYAH" u="1"/>
        <s v="URBAN BADGER ARAÇ ÜSTÜ ÇADIR GÖVDE" u="1"/>
        <s v="SİYAH TELA 70GR" u="1"/>
        <s v="KUMAŞ ROMA 13 MAVİMSİ" u="1"/>
        <s v="İZOLELİ KABLO YÜKSÜĞÜ 1MM SİYAH" u="1"/>
        <s v="İzoleli Kablo Yüksüğü 2,5 MM SİYAH" u="1"/>
        <s v="İZOLELİ KABLO YÜKSÜĞÜ 6 MM SİYAH" u="1"/>
        <s v="KABLO SPRAL BORU YARIKLI PG11" u="1"/>
        <s v="KABLO SPRAL BORU YARIKLI PG13,5" u="1"/>
        <s v="KABLO SPRAL BORU YARIKLI PG19" u="1"/>
        <s v="KABLO SPRAL BORU YARIKLI 10 LUK PG9 " u="1"/>
        <s v="KABLO SPİRAL BORU YARIKLI PG5" u="1"/>
        <s v="KABLO SPİRAL BORU YARIKLI PG16" u="1"/>
        <s v="KABLO SPİRAL BORU YARIKLI PG29" u="1"/>
        <s v="VİDA PASLANMAZ MERCİMEK 3,5X25" u="1"/>
        <s v="TAPA BEYAZ 14 MM" u="1"/>
        <s v="VİDA 3,5X35 MERCİMEK BAŞLI SİYAH" u="1"/>
        <s v="3M PETEKLİ REFLEKTİF BANT 50MMX5M BEYAZ" u="1"/>
        <s v="SİLİKONİZE AKRİLİK MASTİK GRİ" u="1"/>
        <s v="GLA-GLA XL &quot;HOTOMOBİL&quot; KABARTMA LOGO 30CM" u="1"/>
        <s v="PROTEBIL WRP BEYAZ AHSAP TUTKALI" u="1"/>
        <s v="MAKARON 10MM " u="1"/>
        <s v="İzoleli Kablo Yüksüğü 2,5 MM KIRMIZI" u="1"/>
        <s v="LED ŞERİT GÜN IŞIĞI" u="1"/>
        <s v="SUNİ DERİ DUCATİ 316 TABA" u="1"/>
        <s v="USA 7 PİN TRAİLER PLUG" u="1"/>
        <s v="USA 7 PİN MALE TRAİLER CONNECTOR SOCKET" u="1"/>
        <s v="VİDA PASLANMAZ MERCİMEK 3,5X19" u="1"/>
        <s v="TAPA SİYAH 14 MM" u="1"/>
        <s v="KABLO 3X25 MM TTR SİYAH Pvc Enerji Kablosu" u="1"/>
        <s v="L DEMİR EBERSPACHER" u="1"/>
        <s v="VİDA PASLANMAZ 3.9X13" u="1"/>
        <s v="KABLO SPRAL BORU YARIKLI PG18" u="1"/>
        <s v="İzoleli Kablo Yüksüğü 6 MM KIRMIZI" u="1"/>
        <s v="VİDA HAVŞA BAŞLI  M4X25" u="1"/>
        <s v="LAMİNANT RULO PARKE DESEN 3197" u="1"/>
        <s v="BOYA TULUMU BEYAZ (TK)" u="1"/>
        <s v="HEKİ FANLI 28X28 BEYAZ EINSTEIN" u="1"/>
        <s v="BALDACCI BAS CEK KILIT SIYAH" u="1"/>
        <s v="METYX Q625 MULTİAXİAL CAM ELYAF" u="1"/>
        <s v="BALDACCI BAS CEK KILIT BEYAZ" u="1"/>
        <s v="L DEMİR 50X50" u="1"/>
        <s v="CİVATA PASLANMAZ M8X60" u="1"/>
        <s v="ŞARJLI OTOMATİK DAMACANA SU POMPASI" u="1"/>
        <s v="HALKA KÖPRÜ NO 1-20553" u="1"/>
        <s v="GERGI KILITI M8427" u="1"/>
        <s v="TAVAN ÇITASI SIYAH ARA ATKI" u="1"/>
        <s v="KANCALI BAGAJ LASTIGI 100CM" u="1"/>
        <s v="LASTİK PENCERE FİTİLİ" u="1"/>
        <s v="SİYAH PANO DOLAP KİLİDİ" u="1"/>
        <s v="KUMAŞ ROMA 02" u="1"/>
        <s v="URBAN BADGER TELESKOPIK MERDIVEN 3.2M" u="1"/>
        <s v="LED KANALI KROM 2.5X1" u="1"/>
        <s v="ALÜMİNYUM KÖŞE PROFİL SİYAH 2X4" u="1"/>
        <s v="ÇEKTİRME PLASTİK BEYAZ" u="1"/>
        <s v="VİDA 3X50 MERCİMEK BAŞLI" u="1"/>
        <s v="UFAK PUL PASLANMAZ M10" u="1"/>
        <s v="CİVATA M6X120 ALTIGEN BAŞLI" u="1"/>
        <s v="POP PERÇİN 4,8X25" u="1"/>
        <s v="BOYA AKRİLİK  TENEKE 7016 KOYU GRİ" u="1"/>
        <s v="SİLİKON ANTRASİT" u="1"/>
        <s v="PE KÖPÜK 1000x2000x30" u="1"/>
        <s v="360 DERECE MASA AYAK GXL DODGE RAM EDİTİON" u="1"/>
        <s v="TAM AÇILIM 120 CM MAFSALLI AMORTİSÖR" u="1"/>
        <s v="EVACOOL 12 V TAVAN KLİMASI" u="1"/>
        <s v="KONTRA KAVAK 5 MM-170X220 " u="1"/>
        <s v="PROTEBİL WRP BEYAZ AHŞAP TUTKALI" u="1"/>
        <s v="SARI 1/2 DIŞ DİŞLİ REKOR 10 MM" u="1"/>
        <s v="GLADİATOR-GXLD PİS SU TANKI 18LT SİYAH 16X56X25" u="1"/>
        <s v="GLADİATOR-GXLD TEMİZ SU TANKI 47LT BEYAZ 40X56X25" u="1"/>
        <s v="SU BİDONU BEYAZ 20 LT" u="1"/>
        <s v="SU BİDONU GRİ 20 LT" u="1"/>
        <s v="AKU SLIM 150 LIFEP04" u="1"/>
        <s v="ORCAMP MİNİ ÇANTALI KAMP OCAĞI" u="1"/>
        <s v="CERRAHİ ELDİVEN" u="1"/>
        <s v="KUMAŞ ROMA 04 AÇIK KAHVE" u="1"/>
        <s v="KABLO YASSI 2X0,75 MM SİYAH" u="1"/>
        <s v="MENFEZ PLASTİK 12x12" u="1"/>
        <s v="RAY TELESKOBİK BİLYALI 53MMX45CM KİLİTLİ" u="1"/>
        <s v="RAY 45 LIK TELESKOPIK FRENSIZ " u="1"/>
        <s v="KARAVAN CAM 450X500 BERHIMI" u="1"/>
        <s v="ARA NİPEL 8 MM GAZ DEVRESİ" u="1"/>
        <s v="KUMAŞ ALCANTARA GRİ" u="1"/>
        <s v="KARAVAN DIŞ 220V ERKEK GİRİŞ SİYAH" u="1"/>
        <s v="KAÇAK AKIM ROLESİ 40 AMPER" u="1"/>
        <s v="RONİN-GXLE TEMİZ SU TANKI 77LT BEYAZ 48X75X21" u="1"/>
        <s v="PLASTİK SİYAH KUYRUKLU MENTEŞE" u="1"/>
        <s v="PİSTON 400 NEWTON" u="1"/>
        <s v="MENTEŞE 70x45 SİYAH" u="1"/>
        <s v="PUL GALVANİZ M10" u="1"/>
        <s v="İKİLİ SİYAH DIŞ MENFEZ " u="1"/>
        <s v="Tekli Portatif Ocak Köşeli" u="1"/>
        <s v="AYNA GLADİATOR 360x380" u="1"/>
        <s v="TAHARET MUSLUĞU AÇ-KAPA UZATMA 1/2 2CM" u="1"/>
        <s v="KLIMA SUGA 12V" u="1"/>
        <s v="KLİMA MAXXAİR 2,4KW 103X66X26" u="1"/>
        <s v="AYNA GLADİATOR GSM" u="1"/>
        <s v="INVERTOR 1500W TAM SINUS" u="1"/>
        <s v="BERHIMI BRAKET OZEL URETIM" u="1"/>
        <s v="TENTE BERHİMİ 2,5M SİYAH" u="1"/>
        <s v="BOYA AKRİLİK TENEKE 6013 HAKİ" u="1"/>
        <s v="ÇADIR MENTEŞE KAPAĞI" u="1"/>
        <s v="BUZDOLABI BERHİMİ 85 LT " u="1"/>
        <s v="CİVATA PASLANMAZ M8X80" u="1"/>
        <s v="AYNA GLADİATOR 720x560 USA" u="1"/>
        <s v="PARK LAMBASI KIRMIZI" u="1"/>
        <s v="SF2D DISI TERMINAL FIS KILIFI" u="1"/>
        <s v="ZIMPARA ORBİTAL 1200" u="1"/>
        <s v="ZIMPARA ORBİTAL 60" u="1"/>
        <s v="TV ASKISI VE HAZIRLIĞI METAL SİYAH" u="1"/>
        <s v="PARAFİN ÇÖZELTİCİ" u="1"/>
        <s v="MACUN BEYAZ" u="1"/>
        <s v="SİGORTA 30AH 220W" u="1"/>
        <s v="VİDA PASLANMAZ 3X8" u="1"/>
        <s v="VİDA PASLANMAZ 4X20" u="1"/>
        <s v="BOYA AKRILIK TENEKE 9016 MAT BEYAZ" u="1"/>
        <s v="OCTOOPİ 4,3İNC" u="1"/>
        <s v="KÖDİPLAST BUTİL 570ML" u="1"/>
        <s v="USA KABLO UCU DİŞİ FİŞ" u="1"/>
        <s v="POLİKOR POLİFİBRO MİKRO FİBER MACUN 500GR" u="1"/>
        <s v="ARAÇ BİLGİ ETİKETİ - USA" u="1"/>
        <s v="KARAVAN CAM 300X700 SUGA" u="1"/>
        <s v="ELEKTRIKLI ISITICI 1500W 110V" u="1"/>
        <s v="KARAVAN CAM 450X1100 SUGA" u="1"/>
        <s v="ELEKTRIKLI OCAK 1200W 110V" u="1"/>
        <s v="AKÜ 100 AH" u="1"/>
        <s v="USA 125V PASLANMAZ ÇELİK GÜÇ GİRİŞİ 30A" u="1"/>
        <s v="PARK LAMBASI SARI" u="1"/>
        <s v="LED ARAC USTU 12V 150W 78CM" u="1"/>
        <s v="VİMAR AMERİKAN TİP 3 LÜ ANAHTAR VE PRİZ SETİ" u="1"/>
        <s v="ÇAP 90X75 MM KROM MAVLİ LEDLİ BARDAK TUTUCU" u="1"/>
        <s v="INVERTÖR 3000W 110V" u="1"/>
        <s v="DIS PRIZ SIVA USTU 110V 20A" u="1"/>
        <s v="TELEVIZYON ANDROID 24INC AKILLI TV" u="1"/>
        <s v="ALBİNA TENTE ÇEVİRME KOLU SİYAH" u="1"/>
        <s v="KARAVAN CAM 450X900 SUGA" u="1"/>
        <s v="WERD ELEKTRİKLİ SU ISITICI BOİLER 12 V" u="1"/>
        <s v="MAKARON 9,5 MM KIRMIZI" u="1"/>
        <s v="KABLO NYAF 25 MM KIRMIZI" u="1"/>
        <s v="KABLO NYAF 25 MM SİYAH" u="1"/>
        <s v="MAKARON 10  MM SİYAH" u="1"/>
        <s v="EUROPE 13 PIN TRAILER PLUG" u="1"/>
        <s v="EUROPE 13 PIN TRAILER CONNECTOR" u="1"/>
        <s v="PABUÇ SKP 25-6" u="1"/>
        <s v="PABUÇ SKP 25-8" u="1"/>
        <s v="TELESKOBİK RAY 40 LIK FRENSİZ" u="1"/>
        <s v="ANDROID BOX" u="1"/>
        <s v="TELEVİZYON 20 ''" u="1"/>
        <s v="GLADİATÖR TENTE BRAKETİ" u="1"/>
        <s v="SOLAR PANEL 155W" u="1"/>
        <s v="KARAVAN DIŞ 220V ERKEK GİRİŞ SİYAH WESTACC" u="1"/>
        <s v="DC-DC 30A CHARGER TEK YÖN" u="1"/>
        <s v="ZIMPARA SU 1200" u="1"/>
        <s v="VİDA SUNTA 4X60" u="1"/>
        <s v="PASTA OTO" u="1"/>
        <s v="KORTEL-ELYAF TÜLÜ" u="1"/>
        <s v="SERVİS KAPISI 3 SİYAH" u="1"/>
        <s v="PVC BANT 22X0,80 ANTRASİT 5024 ROMA MARKA 22X0,80" u="1"/>
        <s v="RAPTOR LİNER TİNTABLE(RAL 9016)" u="1"/>
        <s v="KARAVAN TUVALET TAHARET MUSLUĞU" u="1"/>
        <s v="DUŞLUK 40X60 BOĞAZ" u="1"/>
        <s v="DUŞLUK KARE ÇERÇEVE" u="1"/>
        <s v="OKUMA LAMBA TUTUCU" u="1"/>
        <s v="BARA KAPAĞI" u="1"/>
        <s v="GİDER KAPAĞI" u="1"/>
        <s v="USA 30A 110V KARAVAN ŞARJI İÇİN ERKEK UÇ" u="1"/>
        <s v="SİGORTA KUTUSU 3/4 KAPAKLI" u="1"/>
        <s v="OKUMA LAMBASI 12V DOMETİC" u="1"/>
        <s v="OTOMAT B1X32A" u="1"/>
        <s v="İNVERTÖR 2000W 110V" u="1"/>
        <s v="GXL SHORT  BANYO ZEMİNİ KOMPAKT" u="1"/>
        <s v="SİNEKLİKLİ GÜNEŞLİKLİ  MUTFAK CAM OPSİYON SARFI" u="1"/>
        <s v="SİNEKLİKLİ GÜNEŞLİKLİ  YATAK ÖN CAM OPSİYON SARFI" u="1"/>
        <s v="DIŞ AYDINLATMA PAKETİ OPSİYON SARFI" u="1"/>
        <s v="KABİN ISITMA SİSTEMİ OPSİYON SARFI" u="1"/>
        <s v="GLADİATOR XL EXTENDED GÖVDE STANDART BEYAZ" u="1"/>
        <s v="GLA - GXL YÜKLEME AYAĞI OPSİYON SARFI" u="1"/>
        <s v="AYNA GLADİATOR XL 480x540 USA" u="1"/>
        <s v="BOYA AKRİLİK SPREY 9016 MAT BEYAZ" u="1"/>
        <s v="KARAVAN CAM 300X700" u="1"/>
        <s v="KARAVAN CAM 500X900" u="1"/>
        <s v="THETFORD 90 LT BUZDOLABI  T-2090-C" u="1"/>
        <s v="OCTOOPİ HABERLEŞME KABLOSU 8M" u="1"/>
        <s v="TAPA PURJÖR" u="1"/>
        <s v="TÜP TAŞIYICI DIŞ" u="1"/>
        <s v="HİDRAFOR 1.9" u="1"/>
        <s v="GXLE PİS SU TANKI 75LT SİYAH 48X75X21" u="1"/>
        <s v="GLADIATOR AYAK VK10-SH-X" u="1"/>
        <s v="SOLAR ENERJİ SİSTEMİ 110W OPSİYON SARFI" u="1"/>
        <s v="URBAN BADGER ARAÇ ÜSTÜ ÇADIR SARFI" u="1"/>
        <s v="GLAİDİATOR XL EXTENDED DIŞ KORUYUCU MAT KAPLAMA" u="1"/>
        <s v="GLADİATOR XL KABLO DEMETİ" u="1"/>
        <s v="GLADİATOR XL EXTENDED MOBİLYA TAKIMI DELUXE" u="1"/>
        <s v="GLADİATOR XL MİNDER TAKIMI DELUXE" u="1"/>
        <s v="GLADİATOR XL EXTENDED PİS SU TANKI YARI MAMÜL" u="1"/>
        <s v="GLADİATOR XL EXTENDED SARF" u="1"/>
        <s v="GLADİATOR XL EXTENDED TEMİZ SU TANKI YARI MAMÜL" u="1"/>
        <s v="GLADİATOR XL YATAK" u="1"/>
        <s v="SİKAFLEX 291İ SİYAH KARTUŞ" u="1"/>
        <s v="ÇİVİ TABANCA 15 MM" u="1"/>
        <s v="IMBUS CIVATA HAVSA BAS M6X16 SİYAH ÇADIR" u="1"/>
        <s v="SÜZGEÇ KAĞIT " u="1"/>
        <s v="POST RULO- 20LİK POLYESTER" u="1"/>
        <s v="SERTLEŞTİRİCİ AKRİLİK SON KAT HIZLI" u="1"/>
        <s v="POLYUERA HAMMADDE PR-820" u="1"/>
        <s v="POLYUERA ISO" u="1"/>
        <s v="VİDA PAZLANMAZ 4X25 " u="1"/>
        <s v="BANT CAM SABİTLEME" u="1"/>
        <s v="MENTEŞE-PİSTON 80LIK" u="1"/>
        <s v="MAŞON 8MM GAZ DEVRESİ" u="1"/>
        <s v="CİVATA PASLANMAZ  M 10X50  " u="1"/>
        <s v="MİNEFLO ZEMİN KAPLAMA ANTRASİT FROBO ETERNAL" u="1"/>
        <s v="MAKARON 6,4 MM " u="1"/>
        <s v="RAPTOR LINER TINTABLE (KİT) MAT BEYAZ(RAL9016)" u="1"/>
        <s v="RAPTOR LINER TINTABLE (KİT)  GRİ RAL(RAL7016)" u="1"/>
        <s v="RAPTOR 2K BEDLINER SPREY MAT SIYAH(RAL 9005)–400ML" u="1"/>
        <s v="RAPTOR LINER TINTABLE (KİT)  HAKİ(RAL6013)" u="1"/>
        <s v="KOMBİNE ANAHTAR" u="1"/>
        <s v="KARAVAN CAM 450X500" u="1"/>
        <s v="TİNER SELÜLOZİK - SÜPER" u="1"/>
        <s v="VİDA PASLANMAZ 3,5X15" u="1"/>
        <s v="RAY 30 LUK TELESKOBİK FRENSİZ" u="1"/>
        <s v="KAÇAK AKIM RÖLESİ 1X40 30MA" u="1"/>
        <s v="KARAVAN KAPISI 58X181" u="1"/>
        <s v="KARAVAN CAM 300X500 JARUP" u="1"/>
        <s v="RAPTOR LINER TINTABLE (KİT)  ÇÖL RAL(RAL1001)" u="1"/>
        <s v="TENTE DOMETİC 3M ANTRASİT" u="1"/>
        <s v="ÇİFT GİRİŞLİ YÜKSÜK 10 MM KAHVERENGİ" u="1"/>
        <s v="İNVERTÖR 1000W 110V" u="1"/>
        <s v="KARAVAN CAM 300X700 JARUP" u="1"/>
        <s v="KARAVAN CAM 500X900 JARUP" u="1"/>
        <s v="KARAVAN CAM 300X500" u="1"/>
        <s v="KARAVAN CAM 450X500 JARUP" u="1"/>
        <s v="KARTUŞ DEK-6250112 DEKASEAL 8936  ANTRASİT" u="1"/>
        <s v="ZIMPARA KUM 40" u="1"/>
        <s v="KONNEKTÖR TAKIMI SU GECİRMEZ OVAL 2 PİN" u="1"/>
        <s v="VİDA SUNTA 4x50" u="1"/>
        <s v="URBAN BADGER KUM PALETİ SİYAH" u="1"/>
        <s v="GLADİATOR XL SHORT TEMİZ SU TANKI YARI MAMÜL" u="1"/>
        <s v="GLADİATOR XL SHORT GÖVDE STANDART BEYAZ" u="1"/>
        <s v="GLADİATOR XL SHORT PİS SU TANKI YARI MAMÜL" u="1"/>
        <s v="SOLAR ENERJİ SİSTEMİ 205W OPSİYON SARFI" u="1"/>
        <s v="KONNEKTÖR TAKIMI SU GECİRMEZ OVAL 3 PİN" u="1"/>
        <s v="GLAİDİATOR XL SHORT DIŞ KORUYUCU MAT KAPLAMA" u="1"/>
        <s v="GLADİATOR XL SHORT MOBİLYA TAKIMI DELUXE" u="1"/>
        <s v="GLADİATOR XL SHORT SARF" u="1"/>
        <s v="KONNEKTÖR TAKIMI 1K001E SOKET 1 PİN" u="1"/>
        <s v="VİDALI KROŞE BEYAZ EK06" u="1"/>
        <s v="KELEPCE PASLANAMAZ 10-16" u="1"/>
        <s v="BIÇAK SİGORTA 3 AYAKLI" u="1"/>
        <s v="ÇİN HEKİ 28X28 SİYAH" u="1"/>
        <s v="USA 125V PASLANMAZ CELIK GUC GIRISI 50A" u="1"/>
        <s v="ÇADIR M8X10 CM SAPLAMA FORD" u="1"/>
        <s v="SOLAR PANEL KONNEKTOR Y TİPİ 2Lİ" u="1"/>
        <s v="VİDA PASLANMAZ 4X16 MERCİMEK BAŞLI" u="1"/>
        <s v="GLADİATOR PİS SU TANKI YARI MAMÜL" u="1"/>
        <s v="RONİN-GXLS PİS SU TANKI 50LT SİYAH 48X48X22" u="1"/>
        <s v="ÇADIR M8X7 CM SAPLAMA" u="1"/>
        <s v="GLADİATOR TEMİZ SU TANKI YARI MAMÜL" u="1"/>
        <s v="GXLS TEMİZ SU TANKI 50LT BEYAZ 48X48X22" u="1"/>
        <s v="3D BASKI ÇADIR MAKAS KAPAĞI" u="1"/>
        <s v="SPANZET KAYIŞI" u="1"/>
        <s v="ÇADIR BAĞLANTI BRAKETİ" u="1"/>
        <s v="3D BASKI ÇADIR MENTEŞE KAPAĞI" u="1"/>
        <s v="ÇADIR T SOMUN (KAYAR SOMUN)" u="1"/>
        <s v="VıDA PASLANMAz HAVSA BAS M3X20" u="1"/>
        <s v="ÇADIR M8 KÖŞE FLANŞLI SOMUN" u="1"/>
        <s v="CIFT GOZ OCAK KOMBINASYONLU IZGARALI" u="1"/>
        <s v="BOYA AKRİLİK TENEKE 1001 ÇÖL" u="1"/>
        <s v="KEÇE YATAK ZEUGMA V-143" u="1"/>
        <s v="ALUMINYUM ÇADIR RAYI" u="1"/>
        <s v="SUNİ DERİ DUCATİ 901 SİYAH" u="1"/>
        <s v="KUMAŞ ROMA 05 SARIMSI" u="1"/>
        <s v="URBAN BADGER ARAÇ ÜSTÜ ÇADIR KOLİ" u="1"/>
        <s v="HARTAL KARAVAN KAPISI MODEL 2 SAĞ(1718X550)" u="1"/>
        <s v="USA 125V PASLANMAZ ÇELİK GÜÇ GİRİŞİ" u="1"/>
        <s v="KÜÇÜK KÜREK KELEPÇESİ-SR1635" u="1"/>
        <s v="MAKARON 3.2" u="1"/>
        <s v="USA 110V PASLANMAZ ÇELİK GÜÇ GİRİŞİ" u="1"/>
        <s v="HAFELE CH300 DOLAP MENTEŞESİ" u="1"/>
        <s v="POLİYA POLİJEL F 215 LACİVERT (RAL-5011)" u="1"/>
        <s v="BOYA AKRİLİK TENEKE 5011 LACİVERT" u="1"/>
        <s v="KARTUŞ DEK-6252434 DEKASYL MS-5 SİYAH" u="1"/>
        <s v="POLİYA POLİJEL 215 (LACİVERT RAL-5011)" u="1"/>
        <s v="RAY 35 LİK" u="1"/>
        <s v="RÖTÜŞ KALEM SİYAH" u="1"/>
        <s v="RÖTÜŞ KALEM BEYAZ" u="1"/>
        <s v="SERTLEŞTİRİCİ AKRİLİK SON KAT" u="1"/>
        <s v="KUMAŞ SUNİ DERİ İNCE KREM" u="1"/>
        <s v="URBAN BADGER KUM PALETİ TURUNCU" u="1"/>
        <s v="ANAHTAR DÜĞME SİYAH" u="1"/>
        <s v="KOMÜTATOR VAVİEN DÜĞME SİYAH" u="1"/>
        <s v="KOMÜTATÖR VAVİEN MEKANİZMA Ç.B." u="1"/>
        <s v="ANAHTAR MEKANİZMA  Ç.B." u="1"/>
        <s v="Karavan Dış 220V Erkek Giriş BEYAZ" u="1"/>
        <s v="TRANSFER SWİTCH 20A" u="1"/>
        <s v="FLEX LED DOLAP SENSÖRÜ" u="1"/>
        <s v="AKÜ LİTYUM 300 AH" u="1"/>
        <s v="JOKON DIŞ AYDINLATMA WW 350" u="1"/>
        <s v="GLA BANYO ZEMİNİ KOMPAKT" u="1"/>
        <s v="ADVENTURE PAKET OPSİYON SARFI" u="1"/>
        <s v="GLADİATOR TENTE OPSİYON SARFI" u="1"/>
        <s v="GLADİATOR GÖVDE BANYOSUZ STANDART BEYAZ" u="1"/>
        <s v="GLADİATOR GÖVDE BANYOLU STANDART BEYAZ" u="1"/>
        <s v="BUZDOLABI OPSİYON SARFI" u="1"/>
        <s v="GLADİATOR BANYOSUZ MİNDER TAKIMI SİS" u="1"/>
        <s v="GLADİATOR BANYOSUZ MİNDER TAKIMI MANDARİN" u="1"/>
        <s v="GLADİATOR BANYOSUZ MİNDER TAKIMI SEDEF" u="1"/>
        <s v="GLAİDİATOR DIŞ KORUYUCU MAT KAPLAMA" u="1"/>
        <s v="DIŞ DUŞ PERDESİ OPSİYON SARFI" u="1"/>
        <s v="EK AKÜ OPSİYON SARFI" u="1"/>
        <s v="GLADİATOR KABLO DEMETİ" u="1"/>
        <s v="KLİMA MAXXAİR-AVENTA OPSİYON SARFI" u="1"/>
        <s v="DIŞA AÇILIR MASA OPSİYON SARFI" u="1"/>
        <s v="KİNG SİZE YATAK SİS" u="1"/>
        <s v="KİNG SİZE YATAK MANDALİN" u="1"/>
        <s v="KİNG SİZE YATAK SEDEF" u="1"/>
        <s v="GLADİATOR BANYOLU MOBİLYA TAKIMI SİS" u="1"/>
        <s v="GLADİATOR BANYOLU MOBİLYA TAKIMI SEDEF" u="1"/>
        <s v="GLADİATOR BANYOLU MOBİLYA TAKIMI MANDARİN" u="1"/>
        <s v="GLADİATOR BANYOSUZ MOBİLYA TAKIMI SİS" u="1"/>
        <s v="GLADİATOR BANYOSUZ MOBİLYA TAKIMI SEDEF" u="1"/>
        <s v="GLADİATOR BANYOSUZ MOBİLYA TAKIMI MANDARİN" u="1"/>
        <s v="GLADİATOR BANYOLU MİNDER TAKIMI SİS" u="1"/>
        <s v="GLADİATOR BANYOLU MİNDER TAKIMI MANDARİN" u="1"/>
        <s v="GLADİATOR BANYOLU MİNDER TAKIMI SEDEF" u="1"/>
        <s v="GLADİATOR BANYOLU SARF" u="1"/>
        <s v="GLADİATOR BANYOSUZ SARF" u="1"/>
        <s v="UZUN TAVAN MERDİVENİ OPSİYON SARFI" u="1"/>
        <s v="GLADİATOR XL SHORT GÖVDE JELKOT LACİVERT" u="1"/>
        <s v="GLADİATOR XL DODGE RAM GÖVDE STANDART BEYAZ" u="1"/>
        <s v="GLADİATOR YATAK" u="1"/>
        <s v="GLADİATOR YATAK KİNG SİZE EK" u="1"/>
        <s v="PUSH BUTTON MİNİ BL02N-WPC YUVARLAK KROM MAT" u="1"/>
        <s v="PUSH BUTTON BL01N-BPC YUVALAR KROM MAT" u="1"/>
        <s v="VİDA SUNTA 4X80" u="1"/>
        <s v="VİDA SUNTA 4X100" u="1"/>
        <s v="BOYA AKRİLİK TENEKE 9016 PARLAK BEYAZ" u="1"/>
        <s v="SİKAFLEX 291İ BEYAZ KARTUŞ" u="1"/>
        <s v="ELEKTRİKLİ BASAMAK HOTOMOBİL" u="1"/>
        <s v="TENTE FİAMMA 4MT BEYAZ" u="1"/>
        <s v="BUZDOLABI BERHİMİ 49 LT " u="1"/>
        <s v="AYNA REVİVA-FREEDOM ŞEKİLLİ 460x770" u="1"/>
        <s v="FİAMMA TENTE ÇATI BRAKETİ" u="1"/>
        <s v="REİCH DIŞ DUŞ JAKLI BEYAZ" u="1"/>
        <s v="YAVRU MASA MEKANİZMASI YERLİ" u="1"/>
        <s v="REVİVA ARKA ETİKET DAMLA 600X45 MM" u="1"/>
        <s v="REVİVA ÖN ETİKET DAMLA 690X52 MM" u="1"/>
        <s v="REVİVA PLEKSİ MUTFAK YAN PANEL 106X50" u="1"/>
        <s v="OCTOOPİ 7İNC GLADİATOR XL" u="1"/>
        <s v="DUVAR TİPİ SICAK-SOĞUK MUSLUK KROM COMET" u="1"/>
        <s v="DOMETIC CIFT GOZLU OCAK HBG 2335" u="1"/>
        <s v="GLADİATOR XL FOLYO STİCKER UYGULAMA" u="1"/>
        <s v="REVİVA FOLYO STİCKER UYGULAMA" u="1"/>
        <s v="KOLTUK MEKANİZMASI DÖNER DUCATO" u="1"/>
        <s v="REVİVA FOLYO STİCKER UYGULAMA YENİ TASARIM" u="1"/>
        <s v="NESORESSO MAKİNA MEKANİZMA" u="1"/>
        <s v="NESPRESSO MAKİNA MEKANİZMA (ALÜMİNYUM)" u="1"/>
        <s v="NESPRESSO ALT SAÇ (ALMG) LAZER KESİM BÜKÜM" u="1"/>
        <s v="AKRİLİK HAREKETSİZ LAVABOLU TEZGAH DOMETİC2335" u="1"/>
        <s v="REVİVA CRAFTER KUŞ TÜYÜ YAYLI YATAK DOUBLE COMFORT" u="1"/>
        <s v="GAZ REGÜLATÖRÜ MONOCONTROL CS" u="1"/>
        <s v="EL DUŞ TAKIMI" u="1"/>
        <s v="MAVİ KOLLEKTÖR 7 Lİ 1/2 GİRİŞ-ÇIKIŞ" u="1"/>
        <s v="KIRMIZI KOLLEKTÖR 4 LÜ 1/2 GİRİŞ-ÇIKIŞ" u="1"/>
        <s v="REVİVA MOBİLYA TAKIMI DELUXE" u="1"/>
        <s v="REVİVA SARF" u="1"/>
        <s v="SOLAR ENERJİ SİSTEMİ 170W OPSİYON SARFI" u="1"/>
        <s v="URBAN BADGER ÇADIR YATAK" u="1"/>
        <s v="GLAİDİATOR XL DODGE RAM DIŞ KORUYUCU MAT KAPLAMA" u="1"/>
        <s v="GLADİATOR XL SHORT MOBİLYA TAKIMI SİS" u="1"/>
        <s v="GLADİATOR XL SHORT MOBİLYA TAKIMI ROYAL" u="1"/>
        <s v="GLADİATOR XL EXTENDED MOBİLYA TAKIMI ROYAL" u="1"/>
        <s v="GLADİATOR XL DODGE RAM MOBİLYA TAKIMI SİS" u="1"/>
        <s v="GLADİATOR XL DODGE RAM MOBİLYA TAKIMI ROYAL" u="1"/>
        <s v="GLADİATOR M  MOBİLYA TAKIMI FİRST CLASS" u="1"/>
        <s v="GLADİATOR XL MİNDER TAKIMI SİS" u="1"/>
        <s v="GLADİATOR XL MİNDER TAKIMI ROYAL" u="1"/>
        <s v="GLADİATOR XL DODGE RAM PİS SU TANKI YARI MAMÜL" u="1"/>
        <s v="GLADİATOR XL DODGE RAM SARF" u="1"/>
        <s v="GLADİATOR XL DODGE RAM TEMİZ SU TANKI YARI MAMÜL" u="1"/>
        <s v="TUTKAL YÜZEY PRES İÇİN" u="1"/>
        <s v="JELKOT POLİYA POLİJEL 215 (657 PARLİAMENT MAVİ)" u="1"/>
        <s v="PVC BANT ANTRASİT 5024 ROMA MARKA 22X0,80" u="1"/>
        <s v="ARA NİPEL DİRSEK 8MM GAZ DEVRESİ" u="1"/>
        <s v="GLADİATOR XL DODGE RAM GÖVDE JELKOT LACİVERT" u="1"/>
        <s v="KUMAŞ SUNİ DERİ SİYAH 1503" u="1"/>
        <s v="CBE PC 100" u="1"/>
        <s v="CBE PC 180" u="1"/>
        <s v="CBE ŞARJ CİHAZI 21A" u="1"/>
        <s v="CBE ŞARJ CİHAZI 22A" u="1"/>
        <s v="KAMERA DCT" u="1"/>
        <s v="MONİTÖR DİKİZ AYNASI" u="1"/>
        <s v="KONNEKTÖR TAKIMI SU GECİRMEZ KARE 2 PİN" u="1"/>
        <s v="PARK LAMBASI BEYAZ" u="1"/>
        <s v="SİGORTA 12V 80 AMPER" u="1"/>
        <s v="MENTEŞE-PİSTON 60LIK" u="1"/>
        <s v="PUSH BUTTON BL01N-BC YUVARLAK KROM PARLAK" u="1"/>
        <s v="STOR KANALI ALÜMİNYUM" u="1"/>
        <s v="KİRİKO CEVİRME KOLU" u="1"/>
        <s v="AYNA GLADİATOR 740x96" u="1"/>
        <s v="HEKİ 50X70 IŞIKLI BEYAZ" u="1"/>
        <s v="KARAVAN CAM 500X1200" u="1"/>
        <s v="SERVİS KAPISI 7 BEYAZ" u="1"/>
        <s v="TENTE ALBİNA 1.90 M SİYAH" u="1"/>
        <s v="TENTE FİAMMA 2.60 BEYAZ" u="1"/>
        <s v="TENTE THULE 2.60 BEYAZ" u="1"/>
        <s v="TENTE THULE 4 MT BEYAZ" u="1"/>
        <s v="TUVALET 345 PORTİPPOTTİ" u="1"/>
        <s v="BLUETOOTH SES SİSTEMİ" u="1"/>
        <s v="BUZDOLABI ENGEL 47 LT" u="1"/>
        <s v="TELEVİZYON 22 İNC''" u="1"/>
        <s v="EVYE KROM DİKDÖRTGEN" u="1"/>
        <s v="MERDİVEN  SİYAH  2Lİ" u="1"/>
        <s v="OCAK GAZLI ARKAYA AÇILIR (2 GÖZLÜ) (HOB165)" u="1"/>
        <s v="SİLİKON NP1 SİYAH" u="1"/>
        <s v="BENZİN BİDON TAŞIYICI" u="1"/>
        <s v="BENZİN BİDONU 10LT" u="1"/>
        <s v="AD BLUE KAPAK" u="1"/>
        <s v="GLADİATOR PİS SU TANKI 30LT 24X16X56" u="1"/>
        <s v="RONİN PİS SU TANKI 50LT 21X48X48" u="1"/>
        <s v="GLADİATOR TEMİZ SU TANKI 55LT 24X56X40" u="1"/>
        <s v="RONİN TEMİZ SU TANKI 75LT 48X21X75" u="1"/>
        <s v="DIŞ DUŞ SICAK/SOĞUK BEYAZ" u="1"/>
        <s v="DOLUM AĞZI BEYAZ" u="1"/>
        <s v="KOLTUK T5 TEKLİ" u="1"/>
        <s v="OCAK VE EVYE ÇİFT GÖZLÜ KOMBİNASYONLU  OCAK" u="1"/>
        <s v="ŞASE FREDOOM" u="1"/>
        <s v="LAMİNANT RULO 4236 MEŞE" u="1"/>
        <s v="SÜNGER ASTARLI 1LİK" u="1"/>
        <s v="PVC BANT OPAK 1mm" u="1"/>
        <s v="FREEDOM SKY WINDOW ALKOVEN  YATAK ÜSTÜ" u="1"/>
        <s v="DEVE MENTEŞE BAĞLANTI APARATI" u="1"/>
        <s v="KEMER EMNİYET 3 NOKTA SİYAH" u="1"/>
        <s v="PUSH BUTTON BL03-SN AY MAT" u="1"/>
        <s v="CHARGER 40A (110W-230W)" u="1"/>
        <s v="BICAK SİGORTA 80 A" u="1"/>
        <s v="KONTRA KAVAK 122x250  12mm OKİME" u="1"/>
        <s v="GLADİATOR GÖVDE BANYOLU JELKOT SARI" u="1"/>
        <s v="FREEDOM TEMİZ SU TANKI YARI MAMÜL" u="1"/>
        <s v="FREEDOM PİS SU TANKI YARI MAMÜL" u="1"/>
        <s v="REVİVA TEMİZ SU TANKI YARI MAMÜL" u="1"/>
        <s v="REVİVA PİS SU TANKI YARI MAMÜL" u="1"/>
        <s v="SÜNGER ASTARLI 1/2LİK" u="1"/>
        <s v="CADIR AMORTISOR 400 NEWTON" u="1"/>
        <s v="ÇADIR AYARLI GERGİ KİLİDİ 85X95" u="1"/>
        <s v="PİGMENT RAL 7016 KOYU GRİ" u="1"/>
        <s v="AKRİLİK HAREKETLİ LAVABOLU TEZGAH DOMETİC2335" u="1"/>
        <s v="ÇİFT GÖZ SERAMİK OCAK YERLİ" u="1"/>
        <s v="YATAK SÜNGERİ VİSCO 160X200" u="1"/>
        <s v="RONİN XL KABLO DEMETİ" u="1"/>
        <s v="TELESKOBİK MASA AYAK NUOVA 360 FREEDOM-RXL" u="1"/>
        <s v="KUMAŞ TAVAN AŞANTEKS MOOKA 010 IVORY" u="1"/>
        <s v="MİNİ TÜP DEPOZİTO RXL,FRE,GLA" u="1"/>
        <s v="OCTOOPİ 7İNC GLADİATOR" u="1"/>
        <s v="OCTOOPİ 4,3İNC GLADİATOR" u="1"/>
        <s v="ÇİFT GÖZLÜ KOMBİNASYONLU OCAK DOMETİC" u="1"/>
        <s v="FREEDOM GÖVDE" u="1"/>
        <s v="ARAÇ ÜSTÜ ÇADIR MAKASI" u="1"/>
        <s v="VW TRANSPORTER YAY" u="1"/>
        <s v="GLADİATOR AYAK SAĞ ARKA NO.3" u="1"/>
        <s v="GLADİATOR AYAK SAĞ ÖN NO.4" u="1"/>
        <s v="GLADİATOR AYAK SOL ARKA NO.1" u="1"/>
        <s v="GLADİATOR AYAK SOL ÖN NO.2" u="1"/>
        <s v="GLADİATOR AYAK GÖVDE BAĞLANTISI SAĞ ÖN NO.4" u="1"/>
        <s v="GLADİATOR AYAK GÖVDE BAĞLANTISI SAĞ ARKA NO.3" u="1"/>
        <s v="GLADİATOR AYAK SAĞ ARKA DESTEK NO.3" u="1"/>
        <s v="GLADİATOR AYAK SAĞ ÖN DESTEK NO.4" u="1"/>
        <s v="GLADİATOR AYAK SOL ARKA DESTEK NO.1" u="1"/>
        <s v="GLADİATOR AYAK SOL ÖN DESTEK NO.2" u="1"/>
        <s v="GLADİATOR AYAK SAĞ ARKA İÇ NO.3" u="1"/>
        <s v="GLADİATOR AYAK SAĞ ÖN İÇ NO.4" u="1"/>
        <s v="GLADİATOR AYAK SOL ARKA İÇ NO.1" u="1"/>
        <s v="GLADİATOR AYAK SOL ÖN İÇ NO.2" u="1"/>
        <s v="BASÇEK KİLİT VS1614 BALDACCİ" u="1"/>
        <s v="AKRİLİK LAVABOLU TEZGAH CAN 1336" u="1"/>
        <s v="MERDİVEN ASKI KANCASI" u="1"/>
        <s v="ÇADIR MERDIVEN AYAGI" u="1"/>
        <s v="ÇADIR POLYESTER MACUNU" u="1"/>
        <s v="ÇADIR KUMAŞ YARI MAMÜL" u="1"/>
        <s v="ENERJİ PAKET 110W" u="1"/>
        <s v="KARAVAN CAM 300X500 SİYAH" u="1"/>
        <s v="YILDIZ TAVAN" u="1"/>
        <s v="GLADİATOR AYAK GÖVDE BAĞLANTISI SOL ÖN NO.2" u="1"/>
        <s v="GLADİATOR AYAK GÖVDE BAĞLANTISI SOL ARKA NO.1" u="1"/>
        <s v="URBAN BADGER ARAÇ ÜSTÜ ÇADIR" u="1"/>
        <s v="LİFTİN U UÇLU" u="1"/>
        <s v="HİDRAFOR AQUA 10LT" u="1"/>
        <s v="OCTOOPİ 7İNC REVİVA" u="1"/>
        <s v="G0357 HAYATTA İYİLİK VAR BANYOSUZ" u="1"/>
        <s v="REİCH DIŞ DUŞ JAKLI BEYAZ - CİTY WATER" u="1"/>
        <s v="GLADİATOR ZEMİN KAPLAMA" u="1"/>
        <s v="NEWARC AQUA EL DUŞ TAKIMI" u="1"/>
        <s v="GLADİATOR XL EXTENDED MOBİLYA TAKIMI SİS" u="1"/>
        <s v="REVİVA MUTFAK KATLANIR SICAK SOĞUK KROM MUSLUK" u="1"/>
        <s v="REVİVA KUŞ TÜYÜ YAYLI YATAK" u="1"/>
        <s v="HAFELE DRESS LİNE ELBİSE ASKI RAYI 350MM" u="1"/>
        <s v="HAFELE SMART ÇATAL KAŞIKLIK GÜMÜŞ GRİ 40CM" u="1"/>
        <s v="HAFELE CİTY 2 ÇÖP KUTUSU P.ÇELİK 40CM 11LT" u="1"/>
        <s v="GXLE032 ÖMER HAYAL" u="1"/>
        <s v="GLADİATOR FOLYO STİCKER UYGULAMA" u="1"/>
        <s v="HİDRAFOR 1.7" u="1"/>
        <s v="OCTOOPİ ŞAMANDIRA 55 CM" u="1"/>
        <s v="2C GLADİATOR AYAK SERİ 1 " u="1"/>
        <s v="REVİVA MOBİLYA TAKIMI FİRST CLASS" u="1"/>
        <s v="LİPPERT STLA FLEX YATAK SÜSPANSİYONU" u="1"/>
        <s v="LİPPERT STLA FLEX YATAK SÜSPANSİYONU MONTAJ APARAT" u="1"/>
        <s v="SU ISITMA SİSTEMİ THERME OPSİYON SARFI" u="1"/>
        <s v="KONNEKTÖR TAKIMI SU GECİRMEZ 10 PİN" u="1"/>
        <s v="KONNEKTÖR TAKIMI SU GECİRMEZ KARE 4 PİN" u="1"/>
        <s v="KONNEKTÖR TAKIMI SU GECİRMEZ KARE 6 PİN" u="1"/>
        <s v="KONNEKTÖR TAKIMI SU GECİRMEZ KARE 8 PİN" u="1"/>
        <s v="LED KAPAĞI ŞEFFAF 2.5X1" u="1"/>
        <s v="FIRÇA RÖTÜŞ 3 NUMARA" u="1"/>
        <s v="COBALT" u="1"/>
        <s v="FREEDOM TEMİZ SU TANKI 125LT 33X51X72" u="1"/>
        <s v="FREEDOM PİS SU TANKI 80LT 33X71X33" u="1"/>
        <s v="LAMİNANT RULO 3152 SOĞUK MEŞE" u="1"/>
        <s v="YAPIŞKAN PVC " u="1"/>
        <s v="TEMİZLEYİCİ SOLVENT" u="1"/>
        <s v="TEMİZLEYİCİ SOLVENT ALKOL BAZLI" u="1"/>
        <s v="REVİVA TEMİZ SU TANKI BEYAZ 65 LT" u="1"/>
        <s v="FİBER DİSK ZIMPARA 24 KUM" u="1"/>
        <s v="LAMİNAT 6004 MET/ZMP 1300x3050x0,5" u="1"/>
        <s v="LAMİNAT 1039 PRL/ZMP 1300x3050x0,7" u="1"/>
        <s v="ASD LAMİNAT 3080 BTE/ZMP 1300x100000Rx0,6" u="1"/>
        <s v="ASD LAMİNAT 3080 PARLAK/ZMP 1300x100000Rx0,6" u="1"/>
        <s v="ÇADIR KUMAŞ" u="1"/>
        <s v="ÇADIR KUMAŞ KESİM" u="1"/>
        <s v="PASLANMAZ GÖZLÜ CİVATA M6" u="1"/>
        <s v="JELKOT 1021 SARI" u="1"/>
        <s v="JELKOT 5011 LACİVERT" u="1"/>
        <s v="ALKOVEN LED ÇITASI SİS" u="1"/>
        <s v="ALKOVEN MODÜLÜ SİS" u="1"/>
        <s v="BANYO DOLABI SİS" u="1"/>
        <s v="BANYO DIKME SİS" u="1"/>
        <s v="GLADİATOR GÖVDE BANYOLU" u="1"/>
        <s v="BUZDOLABI KABİN AYAK SİS-MANDALİN" u="1"/>
        <s v="BANYO LAVABOSU SİS" u="1"/>
        <s v="BANYO DOLABI KAPAKLARI SİS" u="1"/>
        <s v="BUZDOLABI KABİN SİS" u="1"/>
        <s v="ÇITA TAKIMI SİS-MANDALİN" u="1"/>
        <s v="MUTFAK DOLABI ALT KAPAK SİS" u="1"/>
        <s v="DEPO ÖNÜ SİS" u="1"/>
        <s v="KOLTUK  ALTI SİS" u="1"/>
        <s v="SAĞ KOLTUK  KAPAĞI SİS" u="1"/>
        <s v="SOL KOLTUK KAPAĞI SİS" u="1"/>
        <s v="KOLTUK ÖNÜ SİS" u="1"/>
        <s v="LAVOBO ÖN KAPAMASI SİS" u="1"/>
        <s v="MASA SİS-MANDALİN" u="1"/>
        <s v="MUTFAK ÇEKMECE SİS" u="1"/>
        <s v="MUTFAK YAN DİKME SİS" u="1"/>
        <s v="MUTFAK ÜST KAPAK SİS-SEDEF" u="1"/>
        <s v="MUTFAK ÜST RAF SİS" u="1"/>
        <s v="GLADİATOR MİNDER TAKIMI SİS" u="1"/>
        <s v="MUTFAK TEZGAH SİS-SEDEF-MANDALİN" u="1"/>
        <s v="MUTFAK DOLABI SİS" u="1"/>
        <s v="SİNEKLİK ÇITASI SİS-SEDEF-MANDALİN" u="1"/>
        <s v="GLADİATOR SİSTEM PANOSU CBE 100 MPPT 20A" u="1"/>
        <s v="WEBOSTO KABİNİ SİS-MANDALİN" u="1"/>
        <s v="FİLE EŞYA DÜZENLEYİCİ CEPLİK 18X33CM " u="1"/>
        <s v="GLADİATOR AYAK PROFİL 132CM" u="1"/>
        <s v="ALKO AYAK" u="1"/>
        <s v="BANYO ZEMİNİ AHŞAP GLADİATOR" u="1"/>
        <s v="HİDRAFOR FİLTRE" u="1"/>
        <s v="AYAK -GÖVDE BAĞLANTISI" u="1"/>
        <s v="TAKOZ CİVATALI" u="1"/>
        <s v="BANYOSUZ ALT DİKME SİS" u="1"/>
        <s v="BANYOSUZ ARA DİKME SİS" u="1"/>
        <s v="BANYOSUZ ALT KAPAK SİS-SEDEF" u="1"/>
        <s v="BANYOSUZ BUZDOLABI MODÜL ALT KAPAK SİS-SEDEF" u="1"/>
        <s v="BANYOSUZ BUZDOLABI MODÜL ÜST TABLA SİS-SEDEF" u="1"/>
        <s v="BANYOSUZ BUZDOLABI SAĞ YAN SİS" u="1"/>
        <s v="BANYOSUZ BUZDOLABI SOL YAN SİS" u="1"/>
        <s v="BANYOSUZ ÇITA TAKIMI SİS-MANDALİN" u="1"/>
        <s v="BANYOSUZ  ARA DİKME GENİŞ SİS" u="1"/>
        <s v="BANYOSUZ KOLTUK ALTI  SİS" u="1"/>
        <s v="BANYOSUZ KOLTUK ALTI DİKME SİS" u="1"/>
        <s v="BANYOSUZ  KÖŞE KAPAMA SİS" u="1"/>
        <s v="BANYOSUZ KOLTUK ÖNÜ SİS" u="1"/>
        <s v="BANYOSUZ SOL KOLTUK SİS" u="1"/>
        <s v="BARA VİDALI 6LI" u="1"/>
        <s v="SOLAR ENERJİ SİSTEMİ 205W" u="1"/>
        <s v="BOYA AKRİLİK TENEKE 5004 LACİVERT" u="1"/>
        <s v="TRİM GÖVDE BAĞLANTISI BRAKETİ" u="1"/>
        <s v="HİDRAFOR 2.9 " u="1"/>
        <s v="MASA AYAK ORTADAN MENTEŞELİ" u="1"/>
        <s v="KAUCUK FİŞ 3X16" u="1"/>
        <s v="MUTFAK DOLAP BAZASI SİS" u="1"/>
        <s v="KOLTUK ALTI KLAPA SİS" u="1"/>
        <s v="GLADİATOR KAMP MASASI YARI MAMÜL" u="1"/>
        <s v="TUVALET PORTATİF 565 P" u="1"/>
        <s v="HİDRAFOR AQUA 7LT" u="1"/>
        <s v="G0349 ROKS OTOMOTİV" u="1"/>
        <s v="BANYOSUZ ALT DİKME SEDEF" u="1"/>
        <s v="BANYOSUZ ARA DİKME SEDEF" u="1"/>
        <s v="BANYOSUZ BUZDOLABI SAĞ YAN SEDEF" u="1"/>
        <s v="BANYOSUZ BUZDOLABI SOL YAN SEDEF" u="1"/>
        <s v="BANYOSUZ ÇITA TAKIMI SEDEF" u="1"/>
        <s v="BANYOSUZ  ARA DİKME GENİŞ SEDEF" u="1"/>
        <s v="BANYOSUZ KOLTUK ALTI  SEDEF" u="1"/>
        <s v="BANYOSUZ KOLTUK ALTI DİKME SEDEF" u="1"/>
        <s v="BANYOSUZ  KÖŞE KAPAMA  SEDEF" u="1"/>
        <s v="BANYOSUZ KOLTUK ÖNÜ SEDEF" u="1"/>
        <s v="BANYOSUZ SOL KOLTUK SEDEF" u="1"/>
        <s v="ALKOVEN LED ÇITASI SEDEF" u="1"/>
        <s v="ALKOVEN MODÜLÜ SEDEF" u="1"/>
        <s v="MUTFAK DOLABI ALT KAPAK SEDEF" u="1"/>
        <s v="DEPO ÖNÜ SEDEF" u="1"/>
        <s v="KOLTUK ALTI SEDEF" u="1"/>
        <s v="SAĞ KOLTUK KAPAĞI SEDEF" u="1"/>
        <s v="KOLTUK ÖNÜ SEDEF" u="1"/>
        <s v="MUTFAK ÇEKMECE SEDEF" u="1"/>
        <s v="MUTFAK YAN DİKME SEDEF" u="1"/>
        <s v="MUTFAK ÜST RAF SEDEF" u="1"/>
        <s v="MUTFAK DOLABI SEDEF" u="1"/>
        <s v="GLADİATOR MİNDER TAKIMI SEDEF" u="1"/>
        <s v="SİGORTA KUTUSU MIDI TEKLİ LEVHA SİGORTA İÇİN" u="1"/>
        <s v="G0363 MARTA TOMAS BANYOLU" u="1"/>
        <s v="KONTRA KAVAK ESNEK 4 MM-122X244" u="1"/>
        <s v="TUVALET 365 PORTİPPOTTİ" u="1"/>
        <s v="KUM PALETİ TURUNCU" u="1"/>
        <s v="GLADİATOR XL SARF" u="1"/>
        <s v="GLADİATOR XL EXT GÖVDE STANDART BEYAZ" u="1"/>
        <s v="G0368 NİELS" u="1"/>
        <s v="ENERJİ PAKET 15W" u="1"/>
        <s v="YEELİGHT MOTİON SENSOR 40CM" u="1"/>
        <s v="YEELİGHT LED SENSÖRLÜ ÇEKMECE LAMBASI" u="1"/>
        <s v="KABLO REKORU PLASTİK PG9" u="1"/>
        <s v="TOMMATECH 15WP MOBİL SOLAR SARJ PANELİ" u="1"/>
        <s v="POWERBANK 12V 2A" u="1"/>
        <s v="KABLO TYPE-C 2M SİYAH" u="1"/>
        <s v="GLADİATOR MİNDER TAKIMI MANDARİN" u="1"/>
        <s v="SOLAR ENERJİ SİSTEMİ 170W( ESNEK PANEL)" u="1"/>
        <s v="MENTEŞE 7X4.5 CM SATEN" u="1"/>
        <s v="PVC BANT TEAK KAHVE" u="1"/>
        <s v="LAMİNANT RULO 3103 ULTRA WHİTE DOĞAL" u="1"/>
        <s v="LAMİNANT RULO 3159 MOCHA GENTAS HATALI" u="1"/>
        <s v="KABLO BAĞI CİRT 4.8 " u="1"/>
        <s v="RULO PARMAK 15MM YEDEK İÇ" u="1"/>
        <s v="MENFEZ  ALİMİNYUM 25X7 " u="1"/>
        <s v="CHARGER 25A (110W-230W)" u="1"/>
        <s v="AKÜ 200 AH" u="1"/>
        <s v="BANYO DIKME SEDEF" u="1"/>
        <s v="KOLTUK ALTI KLAPA SEDEF" u="1"/>
        <s v="WEBOSTO KABİNİ SEDEF" u="1"/>
        <s v="MUTFAK DOLAP BAZASI SEDEF" u="1"/>
        <s v="BANYO DOLABI SEDEF" u="1"/>
        <s v="BUZDOLABI KABİN SEDEF" u="1"/>
        <s v="BANYO DOLABI KAPAKLARI SEDEF" u="1"/>
        <s v="MASA SEDEF" u="1"/>
        <s v="BANYO LAVABOSU SEDEF" u="1"/>
        <s v="LAVOBO ÖN KAPAMASI SEDEF" u="1"/>
        <s v="SOL KOLTUK KAPAĞI SEDEF" u="1"/>
        <s v="BUZDOLABI KABİN AYAK SEDEF" u="1"/>
        <s v="ÇITA TAKIMI SEDEF" u="1"/>
        <s v="DOMETİC DUCATO, BOXER, JUMPER ÖN CAM GÜNEŞLİĞİ" u="1"/>
        <s v="AMAZON ECHO DOT ALEXA" u="1"/>
        <s v="GLADİATOR SİSTEM PANOSU CBE 180 MPPT 20A" u="1"/>
        <s v="THETFORD 90 LT BUZDOLABI-T2090-E" u="1"/>
        <s v="MPPT KONTROL PANELİ 20 AH" u="1"/>
        <s v="DUCATO, BOXER, JUMPER ÖN CAM GÜNEŞLİĞİ LIPPERT" u="1"/>
        <s v="MASA AYAK TELESKOPİK METAL " u="1"/>
        <s v="YATAK MEKANİZMA KATLANIR" u="1"/>
        <s v="KONTRA KAVAK 122X250  15mm OKİME" u="1"/>
        <s v="GLADİATOR XL EXT GÖVDE" u="1"/>
        <s v="DUCATO,BOXER,JUMPER SAĞ KAPI CAM GÜNEŞLİĞİ LIPPERT" u="1"/>
        <s v="GLADİATOR XL PİS SU TANKI YARI MAMÜL" u="1"/>
        <s v="GLADİATOR XL TEMİZ SU TANKI YARI MAMÜL" u="1"/>
        <s v="G0353 CELCAMP BANYOLU" u="1"/>
        <s v="G0354 CELCAMP BANYOLU" u="1"/>
        <s v="G0355 CELCAMP BANYOLU" u="1"/>
        <s v="G0356 CELCAMP BANYOLU" u="1"/>
        <s v="G0357 CELCAMP BANYOLU" u="1"/>
        <s v="G0358 CELCAMP BANYOSUZ" u="1"/>
        <s v="G0359 CELCAMP BANYOSUZ" u="1"/>
        <s v="G0360 CELCAMP BANYOSUZ" u="1"/>
        <s v="G0361 CELCAMP BANYOSUZ" u="1"/>
        <s v="YATAK SÜNGER KATLANIR 3 PARÇA" u="1"/>
        <s v="GLADİATOR AYAĞI YENİ" u="1"/>
        <s v="GLADİATOR AYAK BAĞLANTISI YENİ" u="1"/>
        <s v="DUCATO,BOXER,JUMPER SOL KAPI CAM GÜNEŞLİĞİ LIPPERT" u="1"/>
        <s v="KAUÇUK TAKOZ CİVATALI 2,5CM" u="1"/>
        <s v="GLADİATOR XL SHORT GÖVDE" u="1"/>
        <s v="G0346 TUYAP 2024 BANYOSUZ" u="1"/>
        <s v="G0350 CELCAMP BANYOLU" u="1"/>
        <s v="G0351 CELCAMP BANYOLU" u="1"/>
        <s v="TELA DERİ ALTI" u="1"/>
        <s v="ZIMPARA KUM 80" u="1"/>
        <s v="GLADİATOR GÖVDE MASA AYAĞI" u="1"/>
        <s v="KERESTE DEK 1. SINIF" u="1"/>
        <s v="GLADİATOR GÖVDE BANYOSUZ" u="1"/>
        <s v="PİGMENT RAL1001 ÇÖL" u="1"/>
        <s v="PİGMENT RAL 6013 HAKİ" u="1"/>
        <s v="İZOLELİ KABLO YÜKSÜĞÜ 1MM KIRMIZI" u="1"/>
        <s v="ZIMPARA KUM 60" u="1"/>
        <s v="KAMP ÇADIRI BROTERHS 2 KİŞİLİK" u="1"/>
        <s v="MODÜLER TOPRAKLI PRİZ ÇERÇEVE" u="1"/>
        <s v="ANAHTAR CERCEVE TEKLİ SİYAH" u="1"/>
        <s v="ANAHTAR CİFT SİYAH" u="1"/>
        <s v="İNVERTER 600W/12 V " u="1"/>
        <s v="MODÜLER TOPRAKLI PRİZ" u="1"/>
        <s v="STORE KAPI SİYAH 1735x 750mm" u="1"/>
        <s v="HEKİ 40X40 BEYAZ DOMETIC " u="1"/>
        <s v="BUZDOLABI THETFORD 90 LT" u="1"/>
        <s v="MUTFAK ÜST KAPAK MANDALİN" u="1"/>
        <s v="MUTFAK YAN DİKME MANDARİN" u="1"/>
        <s v="BANYO DIKME MANDARİN" u="1"/>
        <s v="MUTFAK ÜST RAF MANDARİN" u="1"/>
        <s v="ALKOVEN MODÜLÜ MANDARİN" u="1"/>
        <s v="ALKOVEN LED ÇITASI MANDARİN" u="1"/>
        <s v="BANYO LAVABOSU MANDARİN" u="1"/>
        <s v="LAVOBO ÖN KAPAMASI MANDARİN" u="1"/>
        <s v="SAĞ KOLTUK KAPAPI MANDARİN" u="1"/>
        <s v="SOL KOLTUK KAPAPI MANDARİN" u="1"/>
        <s v="KOLTUK ALTI MANDARİN" u="1"/>
        <s v="KOLTUK ÖNÜ MANDARİN" u="1"/>
        <s v="DEPO ÖNÜ MANDARİN" u="1"/>
        <s v="MUTFAK DOLABI MANDALİN" u="1"/>
        <s v="MUTFAK DOLABI ALT KAPAK MANDALİN" u="1"/>
        <s v="MUTFAK ÇEKMECE MANDALİN" u="1"/>
        <s v="BANYO DOLABI MANDALİN" u="1"/>
        <s v="BUZDOLABI KABİN MANDALİN" u="1"/>
        <s v="BANYO DOLABI KAPAKLARI MANDALİN" u="1"/>
        <s v="BANYOSUZ SOL KOLTUK MANDALİN" u="1"/>
        <s v="BANYOSUZ BUZDOLABI SAĞ YAN MANDALİN" u="1"/>
        <s v="BANYOSUZ BUZDOLABI SOL YAN MANDALİN" u="1"/>
        <s v="BANYOSUZ ALT DİKME MANDALİN" u="1"/>
        <s v="BANYOSUZ KOLTUK ALTI  MANDALİN" u="1"/>
        <s v="BANYOSUZ KOLTUK ALTI DİKME MANDALİN" u="1"/>
        <s v="BANYOSUZ KOLTUK ÖNÜ MANDALİN" u="1"/>
        <s v="BANYOSUZ ARA DİKME GENİŞ MANDALİN" u="1"/>
        <s v="BANYOSUZ ARA DİKME MANDALİN" u="1"/>
        <s v="BANYOSUZ KÖŞE KAPAMA  MANDALİN" u="1"/>
        <s v="BANYOSUZ ALT KAPAK MANDARİN" u="1"/>
        <s v="BANYOSUZ BUZDOLABI MODÜL ÜST TABLA MANDALİN" u="1"/>
        <s v="BANYOSUZ BUZDOLABI MODÜL ALT KAPAK MANDALİN" u="1"/>
        <s v="PORTATİF TUVALET BERHİMİ PRO 6000" u="1"/>
        <s v="PİGMENT RAL 1021 SARI" u="1"/>
        <s v="LEHİM TELİ 0,75 MM" u="1"/>
        <s v="PİGMENT 7012 AÇIK GRİ" u="1"/>
        <s v="AKRİLİK VERNİK MAT" u="1"/>
        <s v="TELEVIZYON ANDROID 24INC SUNNY" u="1"/>
        <s v="POLIURETAN TABAKA 120X220" u="1"/>
        <s v="KUMAŞ SUNİ DERİ KREM 1528" u="1"/>
        <s v="KARAVAN CAM 520X500" u="1"/>
        <s v="TENTE ALBİNA 2.2 BEYAZ" u="1"/>
        <s v="ÇADIR PERÇİN 4,8X20 MULTİGRİP AL/ST" u="1"/>
        <s v="AKRİLİK LAVABOLU TEZGAH HOB165" u="1"/>
        <s v="FİTİL GEÇME SACLI ÇADIR" u="1"/>
        <s v="ALUMINYUM ÇITA" u="1"/>
        <s v="IMBUS CIVATA 6X20 SİYAH-ÇADIR" u="1"/>
        <s v="IMBUS CIVATA 6X25 SİYAH-ÇADIR" u="1"/>
        <s v="IMBUS CIVATA 8X16 SİYAH-ÇADIR" u="1"/>
        <s v="OCTOOPİ 4,3İNC VAN B 4301" u="1"/>
        <s v="SİGORTA KUTUSU 3/4" u="1"/>
        <s v="BUZDOLABI BEKO 25LT 12V" u="1"/>
        <s v="GLADIATOR AYAK SAG ARKA NO.1 TRİL" u="1"/>
        <s v="GLADIATOR AYAK SAG ÖN NO.2 TRİL" u="1"/>
        <s v="GLADIATOR AYAK SOL ARKA NO.3 TRİL" u="1"/>
        <s v="GLADIATOR AYAK SOL ÖN NO.4 TRİL" u="1"/>
        <s v="SİKAFLEXS SİYAH KARTUŞ" u="1"/>
        <s v="PİGMENT RENK PASTASI SİYAH" u="1"/>
        <s v="OCTOOPİ 7İNC VAN B 7001 " u="1"/>
        <s v="VİDA PASLANMAZ 4X16" u="1"/>
        <s v="İNVERTÖR 1000W MODİFİYE " u="1"/>
        <s v="TUTKAL DENİZ" u="1"/>
        <s v="LAMİNANT PLAKA HIGH GLASS 3103" u="1"/>
        <s v="BEKO OTO BUZDOLABI 12 VOLT 25 LT" u="1"/>
        <s v="LAMİNANT PLAKA HIGH GLASS" u="1"/>
        <s v="ANAHTAR TEK SİYAH" u="1"/>
        <s v="KAMERALI MONİTÖR" u="1"/>
        <s v="KAUCUK FİŞ 1X16" u="1"/>
        <s v="MODÜLER ÇERÇEVE" u="1"/>
        <s v="PRİZ TOPRAKLI KAPAKLI SİYAH" u="1"/>
        <s v="ANAHTAR DÜĞME LIGHT" u="1"/>
        <s v="ANAHTAR MEKANİZMA LIGHT" u="1"/>
        <s v="MEKANİZMA TOPRAKLI PRİZ" u="1"/>
        <s v="KAUCUK FİŞ DİŞİ 3X16" u="1"/>
        <s v="TELEVİZYON ANDROİD 24İNC AXEN" u="1"/>
        <s v="MENTEŞE LAZER KARŞILIKLARI" u="1"/>
        <s v="MENTEŞE TAKOZLARI" u="1"/>
        <s v="GLADİATOR AYAK SAĞ ARKA NO.1" u="1"/>
        <s v="GLADİATOR AYAK SAĞ ÖN NO.2" u="1"/>
        <s v="GLADİATOR AYAK SOL ARKA NO.3" u="1"/>
        <s v="GLADİATOR AYAK SOL ÖN NO.4" u="1"/>
        <s v="GLADİATOR AYAK GÖVDE BAĞLANTISI SAĞ" u="1"/>
        <s v="GLADİATOR AYAK GÖVDE BAĞLANTISI SOL" u="1"/>
        <s v="GLADİATOR AYAK SAĞ ARKA DESTEK NO.1" u="1"/>
        <s v="GLADİATOR AYAK SAĞ ÖN DESTEK NO.2" u="1"/>
        <s v="GLADİATOR AYAK SOL ARKA DESTEK NO.3" u="1"/>
        <s v="GLADİATOR AYAK SOL ÖN DESTEK NO.4" u="1"/>
        <s v="GLADİATOR AYAK SAĞ ARKA MEKANİZMA NO.1" u="1"/>
        <s v="GLADİATOR AYAK SAĞ ÖN MEKANİZMA NO.2" u="1"/>
        <s v="GLADİATOR AYAK SOL ARKA MEKANİZMA NO.3" u="1"/>
        <s v="GLADİATOR AYAK SOL ÖN MEKANİZMA NO.4" u="1"/>
        <s v="BÜYÜK ŞASE PULU PASLANMAZ M10" u="1"/>
        <s v="SİLİKON NP1 BEYAZ" u="1"/>
        <s v="SİLİKON NP1 GRİ" u="1"/>
        <s v="CİVATA PASLANMAZ M10X90" u="1"/>
        <s v="HORTUM DEDANTÖR SARI  10MM" u="1"/>
        <s v="TAPA KÖR METAL 1 PARMAK " u="1"/>
        <s v="KAUÇUK TAKOZ ÇİVİLİ" u="1"/>
        <s v="KAUÇUK TAKOZ ÇİVİLİ 2,5CM" u="1"/>
        <s v="TENTE FİAMMA 4MT SİYAH" u="1"/>
        <s v="TRUMA COMBİ 4E İNET X PANEL" u="1"/>
        <s v="Konnektör Takı SU GECİRMEZ OVAL 2 PİN" u="1"/>
        <s v="İzoleli Kablo Yüksüğü 1MM KIRMIZI" u="1"/>
        <s v="SİKA MASTİK SOSİS BEYAZ " u="1"/>
        <s v="İzoleli Kablo Yüksüğü 1MM SİYAH" u="1"/>
        <s v="MAKARON 10 MM " u="1"/>
        <s v="POLYESTER TEMİZLEYİCİ ASETON-STREN" u="1"/>
        <s v="SİKA MASTİK SOSİS SİYAH" u="1"/>
        <s v="ANTRASİT PVC YER KAPLAMA FORBO ETERNAL" u="1"/>
        <s v="PVC BANT 22X08 7104 WENGE 3080 MAT" u="1"/>
        <s v="KARAVAN PENCERE 500*300 DİKEY-BUZLU" u="1"/>
      </sharedItems>
    </cacheField>
    <cacheField name="MIKTAR" numFmtId="0">
      <sharedItems containsSemiMixedTypes="0" containsString="0" containsNumber="1" minValue="0.01" maxValue="562"/>
    </cacheField>
    <cacheField name="BIRIM" numFmtId="0">
      <sharedItems/>
    </cacheField>
    <cacheField name="PROJELERE_ÇIKIŞLAR_YENI" numFmtId="0">
      <sharedItems containsSemiMixedTypes="0" containsString="0" containsNumber="1" minValue="0" maxValue="125.66"/>
    </cacheField>
    <cacheField name="ELDE_KALAN" numFmtId="0">
      <sharedItems containsSemiMixedTypes="0" containsString="0" containsNumber="1" minValue="0" maxValue="14472"/>
    </cacheField>
    <cacheField name="ÜRETİM DEPO" numFmtId="2">
      <sharedItems containsSemiMixedTypes="0" containsString="0" containsNumber="1" minValue="-2.2737367544323206E-13" maxValue="11449"/>
    </cacheField>
    <cacheField name="SATINALMA" numFmtId="2">
      <sharedItems containsSemiMixedTypes="0" containsString="0" containsNumber="1" minValue="-14340" maxValue="1760"/>
    </cacheField>
    <cacheField name="AÇIK_SATINALMA_SİPARİŞLERİ" numFmtId="0">
      <sharedItems containsSemiMixedTypes="0" containsString="0" containsNumber="1" minValue="0" maxValue="920"/>
    </cacheField>
    <cacheField name="TOPLAM" numFmtId="0">
      <sharedItems containsSemiMixedTypes="0" containsString="0" containsNumber="1" minValue="0" maxValue="249893.49240000005"/>
    </cacheField>
    <cacheField name="BIRIM_FIYATLAR" numFmtId="0">
      <sharedItems containsString="0" containsBlank="1" containsNumber="1" minValue="0" maxValue="65075.75"/>
    </cacheField>
    <cacheField name="SON SATINALMA CARİ ÜNVANI" numFmtId="0">
      <sharedItems containsBlank="1" count="299">
        <s v="CHONGQING LIDONG TECHNOLOGY CO LTD"/>
        <s v="YILDIZ ORMAN ÜRÜNLERİ İNŞAAT TURİZM NAKLİYAT VE DIŞ TİC. SAN. LTD. ŞTİ."/>
        <s v="ENSAN ENDÜSTRİ MALZEMELERİ NAKLİYAT TİCARET VE SAN. LTD. ŞTİ."/>
        <s v="EREN ERTEĞİ €"/>
        <s v="ÜNVER ÇELİK HALAT HIR DENİZ MAL SAN VE TİC LTD ŞTİ"/>
        <s v="KROM ENDÜSTRİ ÜRÜNLERİ ANONİM ŞİRKETİ"/>
        <m/>
        <s v="DAİMER MERDİVEN İSKELE HIRDAVAT SANAYİ VE TİCARET LİMİTED ŞİRKETİ"/>
        <s v="OMNİS KOMPOZİT SANAYİ VE TİCARET LİMİTED ŞİRKETİ"/>
        <s v="PİLESAN ALÜMİNYUM YAPI MALZEMELERİ İNŞAAT SANAYİ VE DIŞ TİCARET LİMİTED ŞİRKETİ"/>
        <s v="ÇALIŞKANLAR İNŞAAT TURİZM SAN.VE TİC.LTD.ŞTİ"/>
        <s v="SOTAŞ KİMYEVİ MADDELER SAN. TİC. A.Ş."/>
        <s v="GNC HİDROLİK PNÖMATİK OTOMASYON SİSTEMLERİ SANAYİ VE TİCARET LİMİTED ŞİRKETİ"/>
        <s v="TM2 BİLİŞİM OTOMOTİV TİCARET LİMİTED ŞİRKETİ"/>
        <s v="MİMAKS AKSESUAR MOBİLYA SANAYİ VE TİCARET LTD.ŞTİ."/>
        <s v="AÇSA OTOMOTİV BİLGİSAYAR VE TEKSTİL SANAYİ VE TİC. LTD. ŞTİ."/>
        <s v="AVC ARAZİ TAŞITI AKSESUARLARI OTO VE KAMP LTD. ŞTİ."/>
        <s v="TUZLA HORTUM SANAYİ TİCARET A.Ş."/>
        <s v="SÜLEYMAN ÜÇDAL   [ GÜÇLAS KAUÇUK ]"/>
        <s v="TAUSS KİMYA SANAYİ VE TİCARET LİMİTED ŞİRKETİ"/>
        <s v="MAPAŞ HIRDAVATÇILIK İTHALAT PAZARLAMA A.Ş."/>
        <s v="AHMET SAYIN"/>
        <s v="HİDROÇÖZÜM HİDROLİK PNÖMATİK SANAYİ TİCARET LİMİTED ŞİRKETİ"/>
        <s v="YILPAR AYDINLATMA ELEKTRİK LTD. ŞTİ."/>
        <s v="VENTA ENERJİ LİMİTED ŞİRKETİ"/>
        <s v="LEGNO ENTEGRE AĞAÇ SANAYİ VE TİCARET LİMİTED ŞİRKETİ"/>
        <s v="KENAN SÖNMEZ ( ALBİNA TENTE )"/>
        <s v="FERMİL MOBİL SİSTEMLERİ A.Ş."/>
        <s v="ACY STORE MEFRUŞAT İÇ VE DIŞ TİCARET LİMİTED ŞİRKETİ"/>
        <s v="OTO SÜNER OTOMOTİV İNŞ. TURİZM PAZ. SAN. VE TİC. LTD. ŞTİ."/>
        <s v="MAKE SÜNGER VE DÖŞEME MALZEMELERİ MOBİLYA MEDİKAL ÜRÜNLERİ TİCARET ANONİM ŞİRKETİ"/>
        <s v="ERİM BURKUCU   [ ERM TECHNOLOGİES ]"/>
        <s v="MARMARA MALZEMECİLİK MOBİLYA SAN. VE TİC. A.Ş"/>
        <s v="MAVİLİM ELEKTRONİK GÜV.TEKNOLO.BİLG.SİST.TAAHHÜT SAN.TİC.LTD.ŞTİ."/>
        <s v="BURÇMETAL PLASTİK ÇELİK A.Ş."/>
        <s v="BALSAN DİNLENCE VE METAL ÜRÜNLER SANAYİ VE TİCARET LİMİTED ŞİRKETİ"/>
        <s v="BOĞAZİÇİ BAKIM KORUMA KİMYASALLARI VE DIŞ TİC. LTD. ŞTİ."/>
        <s v="ADIGÜZEL BOYA OTOMOTİV SERVİS HİZMETLERİ SANAYİ VE TİC. LTD. ŞTİ."/>
        <s v="HAYRİOĞLU POLYESTER İNŞAAT YAPI ÜRÜNLERİ SANAYİ VE TİC. LTD. ŞTİ."/>
        <s v="İBRAHİM YAMAÇ   [ YAMAÇ OTOMOTİV ]"/>
        <s v="SABRİ KELEŞ"/>
        <s v="DMR TABELA SİSTEMLERİ SERİGRAFİ MATBAA REKLAM SAN. TİC. LTD. ŞTİ."/>
        <s v="STAR ALÜMİNYUM PAZARLAMA SANAYİ VE TİCARET ANONİM ŞİRKETİ"/>
        <s v="ELECTRO ZİRVE ENERJİ BİLİŞİM SANAYİ VE DIŞ TİCARET LİMİTED ŞİRKETİ"/>
        <s v="MURATHAN PUL CIVATA SAN.LTD.ŞTİ."/>
        <s v="ÖZİPEK KAUÇUK VE LASTİK MALZEME SANAYİ TİC. LTD. ŞTİ."/>
        <s v="ELTESAN MOBİL TEKNOLOJİLERİ SİSTEMLERİ SAN. VE TİC. A.Ş."/>
        <s v="KARADENİZ YAPIŞTIRICILAR VE ENDÜSTRİYEL ÜRÜN. SAN. TİC. LTD.ŞTİ."/>
        <s v="FATMA USANIR"/>
        <s v="GÜLKAN DÖŞEME MALZEMELERİ LİMİTED ŞİRKETİ"/>
        <s v="TERMOSA MOBİL SİSTEMLERİ ANONİM ŞİRKETİ"/>
        <s v="AŞANTEKS TEKSTİL SANAYİ VE TİCARET A.Ş."/>
        <s v="GÜLTEKİN PRES DÖKÜM SU ARMATÖRLERİ METAL KAPLAMA SANAYİ VE TİC. LTD. ŞTİ."/>
        <s v="KAMPERSAN OTOMOTİV KARAVAN EKİPMANLARI SANAYİ TİCARET ANONİM ŞİRKETİ"/>
        <s v="MEG KARAVAN VE KAMPİNG İŞLETMECİLİĞİ SANAYİ VE TİCARET LİMİTED ŞİRKETİ"/>
        <s v="MS YILDIZ TEKNİK YAPI HIRDAVAT İNŞAAT MAKİNE SANAYİ VE TİC. LTD. ŞTİ."/>
        <s v="ECK MARİNE ELEKTRİK SAN. VE TİC. LTD. ŞTİ"/>
        <s v="AVİSTA GLOBAL TEKSTİL İNŞAAT TURİZM SANAYİ VE TİCARET A.Ş."/>
        <s v="BLUEMAC MAKİNE KALIP İMALAT ELEKTRİK DANIŞMANLIK SAN VE TİC LTD ŞTİ"/>
        <s v="METAL PLASTİK SAN.TİC.LTD.ŞTİ."/>
        <s v="İNFOTEK ELEKTRONİK SANAYİ VE TİCARET ANONİM ŞİRKETİ"/>
        <s v="TÜM ORMAN ÜRÜNLERİ MOBİLYA SANAYİ VE TİC. LTD. ŞTİ."/>
        <s v="KELEŞOĞLU İNŞ.İHT.MAL.GIDA PETR.MAD.TUR.SAN VE TİC.LTD.ŞTİ."/>
        <s v="ŞANLIOĞLU ORMAN ÜRÜNLERİ VE İNŞAAT MALZEMELERİ SAN.TİC.LTD.ŞTİ"/>
        <s v="NEXON POLIMER KIMYA SANAYI VE TICARET A.Ş."/>
        <s v="OCTOOPİ TEKNOLOJİ A.Ş."/>
        <s v="GEBZE KARTAL CAM AKSESUAR İNŞ.SAN. VE TİC.LTD.ŞTİ."/>
        <s v="KBS MAĞAZA MOBİLYALARI TASARIM VE ÜRETİM A.Ş."/>
        <s v="BİRTEK ELEKTRİK TEDARİK İNŞAAT TURİZM SANAYİ VE TİC. LTD.ŞTİ"/>
        <s v="TECHNOMAC MAKİNE SANAYİ VE TİCARET LİMİTED ŞİRKETİ"/>
        <s v="ÇAKIR TEKNİK ELEKTRİK İNŞAAT SANAYİ TİCARET LİMİTED ŞİRKETİ"/>
        <s v="EGE DUVAR VE ZEMİN KAPLAMA SİSTEMLERİ SAN.TİC.LTD.ŞTİ"/>
        <s v="WEBSELCO GRUP DİJİTAL İLETİŞİM KARAVAN TEKNE YAT MALZEMELERİ LİMİTED ŞİRKETİ"/>
        <s v="CASTAGNARI SRL."/>
        <s v="YUSUF YAVUZ"/>
        <s v="KORONA ENDÜSTRİYEL ELEKTRİK MÜHENDİSLİK SANAYİ VE TİCARET A.Ş."/>
        <s v="CW ENERJİ MÜHENDİSLİK TİCARET VE SANAYİ ANONİM ŞİRKETİ"/>
        <s v="DÜKKANÖNÜ E-TİCARET SANAYİ VE TİCARET LİMİTED ŞİRKETİ"/>
        <s v="AKRİDA TEKSTİL SAN. İÇ VE DIŞ TİC. LTD.ŞTİ."/>
        <s v="ÖZGÜR KIZILTOPRAK ORT."/>
        <s v="UTKU ELEKTRİK SAN. VE TİC. LTD. ŞTİ."/>
        <s v="ÜLKER BOYA SANAYİ VE TİCARET LTD. ŞTİ."/>
        <s v="YUSUF ELYASA ÖZTÜRK MARİNE"/>
        <s v="BAYRAM YILMAZ - BAHÇIVAN İNŞAAT HIRDAVAT VE MAKİNE"/>
        <s v="AGUS KARAVAN TİC. LTD. ŞTİ."/>
        <s v="EVACOOL SOĞUTMA ELEKTRONİK PLASTİK İNŞAAT SANAYİ VE TİCARET LİMİTED ŞİRKETİ"/>
        <s v="MAPA MOBİLYA VE AKSESUAR PAZARLAMA A.Ş."/>
        <s v="İMA KIRTASİYE PAZARLAMA TİCARET A.Ş."/>
        <s v="TAMSAN BAĞLANTI ELEMANLARI YEDEK PARÇA VE MAKİNE EKİPMANLARI TURİZM İNŞAAT SANAYİ VE TİCARET ANONİM ŞİRKETİ"/>
        <s v="Emre Kain"/>
        <s v="HÜSEYİN YILDIZ "/>
        <s v="KURUOĞLU KERESTECİLİK VE DIŞ TİC. A.Ş."/>
        <s v="ÖZÇELİK TORNA MAKİNA GEMİ ALMY DEMİR ÇELİK İNŞ SAN TİC LTD ŞTİ"/>
        <s v="ARZU GÜRANÇ  ( GİPSY KAMP )"/>
        <s v="ÜNMAR İÇ VE DIŞ TİCARET SAN. LTD. ŞTİ."/>
        <s v="DES ETİKET SANAYİ VE TİCARET LİMİTED ŞİRKETİ"/>
        <s v="ÜMİT KOÇER"/>
        <s v="FERZAN MENSUCAT SANAYİ VE TİCARET LİMİTED ŞİRKETİ"/>
        <s v="2K KAMP KARAVAN MARKET SANAYİ TİCARET LİMİTED ŞİRKETİ"/>
        <s v="ZHONGSHAN ROTON INTE"/>
        <s v="JIANGSU SANJO INTELLIGENT"/>
        <s v="İZMİRYILDIZ ORMAN ÜRÜNLERİ İNŞ.TAAH.MAK.VE SAN.VE TİC.LTD.ŞTİ"/>
        <s v="AYİNE KALİTE KONTROL ORGANİZASYON VE TİCARET LİMİTED ŞİRKETİ"/>
        <s v="OPA ELEKTRİK İNŞAAT DIŞ TİCARET LİMİTED ŞİRKETİ"/>
        <s v="ADAM ONLINE OTO YEDEK PARÇA TİCARET LİMİTED ŞİRKETİ"/>
        <s v="HASAN TOKTOK"/>
        <s v="PLATİN CİVATA BAĞLANTI ELEMANLARI HIRDAVAT ALUMİNYUM SANAYİ VE TİCARET LTD. ŞTİ."/>
        <s v="SARAY DENİZ MALZEMELERİ VE YATÇILIK SANAYİ VE TİCARET LİMİTED ŞİRKETİ"/>
        <s v="SARAL ELEKTRİK (BİLGİN AKMAN)"/>
        <s v="CAMPERMEN KAMP VE SPOR MALZEMELERI SANAYİ TİCARET LİMİTED ŞİRKETİ"/>
        <s v="STARWOOD YAPI MARKETLERİ-YAPI MALZEMELERİ SANAYİ VE TİCARET ANONİM ŞİRKETİ"/>
        <s v="HÜMA E-TİCARET OTOMOTİV SANAYİ VE TİCARET LİMİTED ŞİRKETİ"/>
        <s v="BARIŞ GÜNGÖR   [ EFE MÜHENDİSLİK ]"/>
        <s v="EHİLTEK KALIP TASARIM OTOMOTİV SANAYİ VE TİCARET LİMİTED ŞİRKETİ"/>
        <s v="ZE TEKNİK METAL BOYA SANAYİ VE TİCARET ANONİM ŞİRKETİ"/>
        <s v="ÖZGÜVEN İNŞ DEK ALÜM PLAS DOĞ GIDA SAN VE TİC LTD ŞTİ" u="1"/>
        <s v="AKYIL END. MLZ. TAAH. İNŞ. TEK. SAN. TİC. LTD. ŞTİ." u="1"/>
        <s v="WÜRTH SANAYİ ÜRÜNLERİ TİC. LTD. ŞTİ." u="1"/>
        <s v="  MEHMET AKİF YEĞİNER" u="1"/>
        <s v="ELEGANT OTO DERİ VE AKSESUAR HİZMETLERİ SANAYİ TİC. LTD. ŞTİ." u="1"/>
        <s v="HİDROPARK HİDROLİK PNÖMATİK SAN. TİC. LTD. ŞTİ." u="1"/>
        <s v="BAŞKENT GÜNGÖR OTOMOTİV İTHALAT İHRACAT SANAYİ VE TİCARET LİMİTED ŞİRKETİ" u="1"/>
        <s v="INT-EL INTERNATİONAL ELEKTRONİK SANAYİ VE TİCARET LİMİTED ŞİRKETİ" u="1"/>
        <s v="C.F.MAİER POLİMER TEKNİK LİMİTED ŞİRKETİ" u="1"/>
        <s v="MASKOT REKLAM SANAYİ VE TİCARET LİMİTED ŞİRKETİ" u="1"/>
        <s v="ZHONGSHAN LAVANDA OUTDOORACAMP CO LTD" u="1"/>
        <s v="VOLDEM DİZAYN AKRİLİK MOBİLYA MİMARLIK İNŞAAT DIŞ TİCARET LİMİTED ŞİRKETİ" u="1"/>
        <s v="SKALA PVC EDGE BANDS MOBİLYA İNŞ.SAN.TİC.LTD.ŞTİ." u="1"/>
        <s v="UNO TECNİCA ELEKTRONİK YAZILIM MÜHENDİSLİK SANAYİ VE TİCARET LİMİTED ŞİRKETİ" u="1"/>
        <s v="PEKA ELEKTRONİK TİCARET VE BİLİŞİM HİZMETLERİ LİMİTED ŞİRKETİ" u="1"/>
        <s v="ALKO TEKNOLOJİ VE ARAÇ LTD.ŞTİ." u="1"/>
        <s v="GENADOOR MAKİNA OTOMOTİV SANAYİ VE TİCARET LİMİTED ŞİRKETİ €" u="1"/>
        <s v="Kalyon Teknik San. Ve Tic. Ltd. Şti." u="1"/>
        <s v="CEMİL TURAN" u="1"/>
        <s v="MARKAJ TEKNOLOJİ ANONİM ŞİRKETİ" u="1"/>
        <s v="OMSA OTOMOTİV AKSESUARLARI YEDEK PARÇA SANAYİ VE TİCARET ANONİM ŞİRKETİ" u="1"/>
        <s v="UYGAR MARİNE KARAVAN İÇ VE DIŞ TİCARET LİMİTED ŞİRKETİ" u="1"/>
        <s v="REİMO ALLES FÜR CAMPER REİSEMOBİLE UND CARAVANS SEİT 1980" u="1"/>
        <s v="CSY MARİNE DENİZCİLİK TURİZM ELEKTRİK AKSESUARLARI TİC. LTD. ŞTİ." u="1"/>
        <s v="DORELİNE E-TİCARET LİMİTED ŞİRKETİ" u="1"/>
        <s v="ŞEN ELEKTRİK ROBERT HALFON VE ORTAKLARI KOLLEKTİF ŞİRKETİ" u="1"/>
        <s v="ASAF ARSLAN" u="1"/>
        <s v="NAİL YAYLALI" u="1"/>
        <s v="YLZ TABELA SİSTEMLERİ SERİGRAFİ MATBAA REKLAM TURİZM OTOMOTİV İNŞAAT SANAYİ VE TİCARET LTD.ŞTİ." u="1"/>
        <s v="VEFA TENTE BRANDA ÜSTYAPI SİSTEMLERİ İÇ VE DIŞ TİCARET LİMİTED ŞİRKETİ" u="1"/>
        <s v="AHMET SAYIN  [AHMET TİC. OTO DÖŞEME MALZ.]" u="1"/>
        <s v="DC FİBER PANEL SİSTEMLERİ SANAYİ VE TİC. LTD. ŞTİ." u="1"/>
        <s v="KZY OFİS KIRTASİYE TEM. HIRD. REK.GIDA ÜRÜN. SAN.ve TİC. LTD. ŞTİ." u="1"/>
        <s v="TECER METAL SAÇ SANAYI VE TICARET LIMITED STI." u="1"/>
        <s v="ADORE TUR TURİZM İNŞAAT OTOMOTİV İTHALAT İHRACAT TİC LTD ŞTİ €" u="1"/>
        <s v="GÜVEN PASLANMAZ DEMİR ÇELİK ÜRÜNLERİ SAN.TİC.LTD.ŞTİ" u="1"/>
        <s v="AHMET ŞAH KOLAN" u="1"/>
        <s v="HİDROPARK ENDÜSTRİ ÜRÜNLERİ SATIŞ VE PAZARLAMA ANONİM ŞİRKETİ" u="1"/>
        <s v="MUHAMMET HÜSEYİN GÜLYOL   [ GÜLYOL PLASTİK ]" u="1"/>
        <s v="BAYKAR ELEKTRİK İNŞAAT OTOMOTİV TİCARET LİMİTED ŞİRKETİ" u="1"/>
        <s v="AYİNE PLASTİK VE TİCARET LİMİTED ŞİRKETİ" u="1"/>
        <s v="ÖZEMEK PLASTİK PROFİL VE KALIP SAN. TİC. LTD. ŞTİ." u="1"/>
        <s v="ÖZAY KARAHAN" u="1"/>
        <s v="NURCİVAN ENDÜSTRİYEL AMBALAJ SİSTEMLERİ SANAYİ VE DIŞ TİCARET LİMİTED ŞİRKETİ" u="1"/>
        <s v="TUNCAY ÖZÇELİK" u="1"/>
        <s v="NORMHOSE HİDROLİK BAĞLANTI TEKNOLOJİLERİ ANONİM ŞİRKETİ" u="1"/>
        <s v="ŞEREF ARAS" u="1"/>
        <s v="YAPIBAHÇE ENERJİ VE DİJİTAL MAĞAZACILIK TİCARET LTD.ŞTİ." u="1"/>
        <s v="ÖMER ARAS  [ Mert Cam Ayna Tasarım ]" u="1"/>
        <s v="FIRAT OTOMOTİV İNŞAAT GIDA SANAYİ TİCARET A.Ş." u="1"/>
        <s v="SHENZHENSHİ RONGTAO $" u="1"/>
        <s v="OSMAN ERTUĞRAL" u="1"/>
        <s v="ROSETTİ MOBİLYA AKSESUAR HIRDAVAT İNŞAAT İTHALAT İHRACAT SANAYİ TİCARET LİMİTED ŞİRKETİ" u="1"/>
        <s v="AKSANAL MARKET HIRDAVAT HEDİYELİK EŞYA DAYANIKLI TÜKETİM MALLARI SANAYİ VE TİCARET LİMİTED ŞİRKETİ" u="1"/>
        <s v="MERİÇ ELEKTRONİK İTHALAT İHRACAT ANONİM ŞİRKETİ" u="1"/>
        <s v="NECATİ YUVA İTHALAT-İHRACAT-İNTERNET" u="1"/>
        <s v="SAYAN OTOMOTİV SAN.VE TİC.LTD.ŞTİ." u="1"/>
        <s v="ZEKERİYA KAYACI" u="1"/>
        <s v="E-LINK INTERNATİONAL" u="1"/>
        <s v="Krom Endüstri Ürünleri Anonim Şirketi" u="1"/>
        <s v="BANER ENDÜSTRİYEL AMBALAJLAMA ÇÖZÜMLERİ SAN. VE TİC. LTD. ŞTİ." u="1"/>
        <s v="AYHAN   KARABAK" u="1"/>
        <s v="MENZİL AMBALAJ SANAYİ VE TİCARET LİMİTED ŞİRKETİ" u="1"/>
        <s v="ORTAKLAR KAMP EKİPMANLARI VE EV ALETLERİ SANAYİ TİCARET LİMİTED ŞİRKETİ" u="1"/>
        <s v="KRALLEN OTOMOTİV SANAYİ VE TİCARET ANONİM ŞİRKETİ" u="1"/>
        <s v="Aksanal Market Hırdavat Hediyelik Eşya Dayanıklı Tüketim MallarıSanayiveTic" u="1"/>
        <s v="YILPAR AYDINLATMA ELEKTRİK TAAHHÜT SANAYİ VE TİC. LTD. ŞTİ." u="1"/>
        <s v="Saray Deniz Malzemeleri ve Yatçılı San. ve Tic.Ltd.Şti." u="1"/>
        <s v="ÖZPAR KALIP VE KAUÇUK SANAYİ VE TİCARET LİMİTED ŞİRKETİ" u="1"/>
        <s v="YAVUZLAR ALÜMİNYUM ANONİM ŞİRKETİ" u="1"/>
        <s v="CEMİL ŞENTÜRK               (şentürk denizcilik )" u="1"/>
        <s v="MT RULMAN HIRDAVAT DIŞ TİC. LTD. ŞTİ." u="1"/>
        <s v="YAVUZER KARAVAN OTO YEDEK PARCA TİCARET LİMİTED ŞİRKETİ" u="1"/>
        <s v="OSMAN YILDIRIM CİVATA HIRDAVAT VE YAT AKSESUARLARI SANAYİ VE TİC. LTD. ŞTİ." u="1"/>
        <s v="PARS OUTDOOR OTOMOTİV SAN.A.Ş" u="1"/>
        <s v="TÜRKMEN ORM.ÜR.VE İNŞ.SAN.TİC.A.Ş." u="1"/>
        <s v="Teknovasyon ARGE Bilişim Danışmanlık Ltd. Şti." u="1"/>
        <s v="KENT AHŞAP ORMAN ÜRÜNLERİ İNŞAAT SANAYİ TİC. LTD. ŞTİ." u="1"/>
        <s v="DC FİBER PANEL SİSTEMLERİ SANAYİ VE TİCARET LİMİTED ŞİRKETİ" u="1"/>
        <s v="TUZLA CİVATA HIRDAVAT VE İNŞ.SAN.TİC.LTD.ŞTİ." u="1"/>
        <s v="YUSUF ELYASA ÖZTÜRK" u="1"/>
        <s v="ŞENEL ELEKTRONİK TİCARET VE SANAYİ LİMİTED ŞİRKETİ" u="1"/>
        <s v="BAŞARI ERBAŞ" u="1"/>
        <s v="PINAR KAMÇI" u="1"/>
        <s v="Cemil  ŞENTÜRK              ( ŞENTÜRK ELEKTRİK )" u="1"/>
        <s v="HASAN BAŞARAN" u="1"/>
        <s v="PALA ELEKTRONİK TİC. LTD. ŞTİ." u="1"/>
        <s v="EROL KULAOĞLU" u="1"/>
        <s v="TWOGO ELEKTRONİK SANAYİ VE TİC. LTD. ŞTİ." u="1"/>
        <s v="ALPDİNAMİK LİNEER MAKİNA SİSTEMLERİ SANAYİ TİCARET LİMİTED ŞİRKETİ" u="1"/>
        <s v="FATİH ERCAN" u="1"/>
        <s v="BALSAN DİNLENCE VE METAL ÜRÜNLER SANAYİ VE TİC. LTD. ŞTİ." u="1"/>
        <s v="HOTOMOBIL GMBH    [ Almanya ]" u="1"/>
        <s v="GENCER KARAVAN SANAYİ TİCARET ANONİM ŞİRKETİ" u="1"/>
        <s v="MIL ENERJI SAN VE TIC LTD ŞTI" u="1"/>
        <s v="ARTI MARİN MOBİL ENERJİ SİSTEMLERİ A.Ş." u="1"/>
        <s v="HAN CİVATA MAKİNA HIRDAVAT SANAYİ VE TİCARET LTD.ŞTİ." u="1"/>
        <s v="İSMAİL AKTEN" u="1"/>
        <s v="TEBA ELEKTRİK - ESRA KAÇAR" u="1"/>
        <s v="SUAT KARAOSMAN DİZEL TİCARET VE SANAYİ ANONİM ŞİRKETİ" u="1"/>
        <s v="İMPRO YAPI KİMYASALLARI DIŞ TİC.LTD.ŞTİ." u="1"/>
        <s v="CAN ALÜMİNYUM SANAYİ VE TİCARET ANONİM ŞİRKETİ" u="1"/>
        <s v="ANİTTA ENDÜSTRİYEL AMBALAJ VE PAKETLEME MÜHENDİSLİK HİZMETLERİ TİCARET LİMİTED ŞİRKETİ" u="1"/>
        <s v="NERMİN YILDIZ" u="1"/>
        <s v="KEBAN ELEKTRİK MÜHENDİSLİK LİMİTED ŞİRKETİ" u="1"/>
        <s v="Yusuf Elyesa Öztürk" u="1"/>
        <s v="EREN ERTEĞİ" u="1"/>
        <s v="YAZICIOĞLU İNŞ.MALZ.SAN.TİC.LTD.ŞTİ." u="1"/>
        <s v="HUNTER NATURE KARAVAN İMALAT SAN.ve TİC. LTD. ŞTİ." u="1"/>
        <s v="TEKNİK GÜBRE TARIM PEYZAJ İNŞAAT SANAYİ VE TİCARET LİMİTED ŞİRKETİ" u="1"/>
        <s v="Remta Makina İth.İhr.San ve Tic.Ltd.Şti." u="1"/>
        <s v="GÜRHAN KAPLAN" u="1"/>
        <s v="MEKTAŞ MAKİNA ELEKTRİK KİMYA TİC VESAN A.Ş. EURO" u="1"/>
        <s v="LAHUR MARİNE DENİZ VE YAT MALZ. TEKS. SAN. TİC. LTD. ŞTİ." u="1"/>
        <s v="KARAVANİST MOBİL ÇÖZÜMLER SANAYİ VE TİC. LTD. ŞTİ." u="1"/>
        <s v="EZS KAMP KARAVAN VE DOĞA SPORLARI SANAYİ TİCARET LİMİTED ŞİR" u="1"/>
        <s v="AYTUNÇ KESKİNEL" u="1"/>
        <s v="MAKRO AKSESUAR HIRDAVAT SANAYİ VE TİCARET LİMİTED ŞİRKETİ" u="1"/>
        <s v="VELDO TEKNOLOJİ MAKİNE ÜRETİM SANAYİ VE TİCARET A.Ş." u="1"/>
        <s v="ERCAN KARAKAŞ (SOFA MEKANİZMA SİSTEMLERİ)" u="1"/>
        <s v="İBRAHİM KOÇAK ( CİHAN DİZAYN)" u="1"/>
        <s v="ÖMER DEMİRBAŞ     [ CARETTA REKLAM AJANSI ]" u="1"/>
        <s v="MEHMET AKİF YEĞİNER" u="1"/>
        <s v="CAMPERMEN KAMP VE SPOR MALZEMELERİ SANAYİ TİCARET LİMİTED ŞİRKETİ" u="1"/>
        <s v="TUZLAM MARİN YAT TEKNE VE DENİZ MALZ. SAN.TİC.LTD.ŞTİ." u="1"/>
        <s v="ESRA KAÇAR ( TEBA ELEKTRİK )" u="1"/>
        <s v="CENAP BORA ELEKTRONİK İTH İRC.SAN TİC LTD ŞTİ" u="1"/>
        <s v="TEMA ALÜMİNYUM SANAYİ VE TİCARET LTD.ŞTİ." u="1"/>
        <s v="KENAN SÖNMEZ   [ ALBİNA TENTE ]" u="1"/>
        <s v="SEZER OTO KOLTUK İMAL. VE İNŞ. SAN TİC LTD ŞTİ." u="1"/>
        <s v="ATERSAN İTHALAT MAKİNA İNŞAAT TEKNİK MALZEME SANAYİ VE TİCARET A.Ş." u="1"/>
        <s v="ERTUĞRUL ÇATAK    ( KAMPERSAN KARAVAN EKİPMANLARI )" u="1"/>
        <s v="ARK PRES EMNİYET KEMERİ SANAYİ VE TİCARET A.Ş." u="1"/>
        <s v="İNTER POLİÜRETAN SÜNGER SANAYİ VE TİCARET ANONİM ŞİRKETİ" u="1"/>
        <s v="TEZPAR NAKLIYE KONF. TEKS. OTOMOTIV YEDEK PARÇA PAZ. SAN.TIC LTD ŞTI" u="1"/>
        <s v="AHMET SUER" u="1"/>
        <s v="CONFIDENCE DAYANIKLI TÜKETİM MAL SAN VE TİC LTD ŞTİ" u="1"/>
        <s v="OCTOOPİ TEKNOLOJİ A.Ş. US " u="1"/>
        <s v="ŞEREFCAN KATIK" u="1"/>
        <s v="Güney Çelik Halat İth. İhr. San. Tci. Ltd. Şti." u="1"/>
        <s v="ÖMER TAHA BOSTANCIER / ETİK BİLGİSAYAR" u="1"/>
        <s v="İlyas KARABIYIK" u="1"/>
        <s v="MEHMET ALTUNCU [ YN ALTUNCU YAPI VE HIRDAVAT MALZEMELERİ ]" u="1"/>
        <s v="FSM TASARIM VE ENDÜSTRİYEL ÜRÜNLER SANAYİ TİCARET LİMİTED ŞİRKETİ" u="1"/>
        <s v="HAFELE MOBİLYA VE İNŞAAT DONANIMLARI SANAYİ VE TİC. A.Ş." u="1"/>
        <s v="2C ENDÜSTRİ MAKİNELERİ VE İTH. İHR. TİC. LTD. ŞTİ." u="1"/>
        <s v="AYŞE İLGAR" u="1"/>
        <s v="OMNİS KOMPOZİT SAN. VE TİC.LTD.ŞTİ." u="1"/>
        <s v="DÖNDÜ EREL" u="1"/>
        <s v="Gülplast Plasti?k İ?malat San.ve Ti?c.ltd.şti?." u="1"/>
        <s v="ARTES ORMAN ÜRÜNLERİ SANAYİ VE TİCARET A.Ş." u="1"/>
        <s v="SEBAT METAL SANAYİ TİCARET LİMİTED ŞİRKETİ" u="1"/>
        <s v="THRONE OTOMOTİV SAN.TİC.LTD.ŞTİ." u="1"/>
        <s v="TBM OTOMOTİV GIDA KOZMETİK SANAYİ TİC.LTD. ŞTİ" u="1"/>
        <s v="VAB DESİNG AKRİLİK MOBİLYA MİMARLIK İNŞAAT DIŞ TİCARET LİMİTED ŞİRKETİ" u="1"/>
        <s v="VG HIRDAVAT RULMAN VE ENDÜSTRİYEL MALZEMELER SANAYİ VE TİCARET LİMİTED ŞİRKETİ" u="1"/>
        <s v="GÜLİZ  ÖRENTEL" u="1"/>
        <s v="DRK ELEKTRONİK VE TEK.HİZ.SAN.VE TİC.A.Ş." u="1"/>
        <s v="SAM DIŞ TİCARET PAZARLAMA LİMİTED ŞİRKETİ" u="1"/>
        <s v="FIRAT ÇİFTÇİOĞLU" u="1"/>
        <s v="OK KABLO ELEKTRONİK ELEKTRİK SANAYİ İÇ VE DIŞ TİCARET A.Ş." u="1"/>
        <s v="GÜLPLAST PLASTİK İMALAT SAN.VE TİC.LTD.ŞTİ." u="1"/>
        <s v="ALİZE İNŞAAT MALZEMELERİ TURİZM PETROLCÜLÜK LTD.ŞTİ." u="1"/>
        <s v="DOP DANIŞMA ORGANİZASYON PAZARLAMA YAYINCILIK SANAYİ VE TİCARET ANONİM ŞİRKETİ" u="1"/>
        <s v="GENÇLER İLETİŞİM ELEKT.TUR.VE TEKS.SAN.TİC.LTD.ŞTİ." u="1"/>
        <s v="ŞENAY ŞAHİN   [  BY PLİSE ]" u="1"/>
        <s v="ÇAYIROVA OTOMOTİV SANAYİ VE TİCARET A.Ş." u="1"/>
        <s v="VAB DESİNG AKRİLİK MOB.MİMAR.İNŞ. DIŞ TİC.LTD.ŞTİ." u="1"/>
        <s v="KOYUNCUOĞLU AHŞAP SANAYİ TİCARET A.Ş." u="1"/>
        <s v="BROTHERS CARAVAN OTOMOTİV İMALAT SANAYİ VE TİCARET LİMİTED ŞİRKETİ" u="1"/>
        <s v="SAMSUN SÜNGER POLİÜRETAN SANAYİ VE TİC. LTD. ŞTİ." u="1"/>
        <s v="GİPSY KAMP ARZU GÜRANÇ" u="1"/>
        <s v="ARİEL ALP LEVİ   [ Alp Elektrik ]" u="1"/>
        <s v="ALATAŞ MONTAJ TEKNOLOJİLERİ END. EKİP. SAN. TİC. LTD. ŞTİ." u="1"/>
        <s v="YILDIZPAN ORMAN ÜRÜNLERİ SANAYİ VE TİC. LTD. ŞTİ." u="1"/>
        <s v="MERTECH AUTOMOTİVE ELEKTRONİK SAN. VE TİC. LTD. ŞTİ." u="1"/>
        <s v="YAĞIZ ULUSLARARASI İLETİŞİM TELEKOMÜNİKASYON BİLİŞİM SANAYİ VE TİCARET LİMİTED ŞİRKETİ" u="1"/>
        <s v="HAKAN EREL VE ORTAKLARI" u="1"/>
        <s v="BOREASTEKNİK HIRD.GEMİ İNŞ. TAAH. SAN.TİC LTD.ŞTİ." u="1"/>
        <s v="PİRANLAR BİLİŞİM BEYAZ EŞYA SAN. TİC. LTD. ŞTİ." u="1"/>
        <s v="YILDIZPAN ORMAN ÜRÜNLERİ SANAYİ VE TİCARET LİMİTED ŞİRKETİ" u="1"/>
        <s v="AYKOÇLAR DAYANIKLI TÜKETİM MALLARI MOBİLYA TEKSTİL SANAYİ VE DIŞ TİCARET LİMİTED ŞİRKETİ" u="1"/>
        <s v="SİNEKA SİNEKLİK SİSTEMLERİ SANAYİ VE TİC. LTD. ŞTİ." u="1"/>
        <s v="DRK AKSESUAR VE İLETİŞİM HİZMETLERİ SAN. VE TİC. A.Ş." u="1"/>
      </sharedItems>
    </cacheField>
    <cacheField name="TUTAR" numFmtId="0">
      <sharedItems containsString="0" containsBlank="1" containsNumber="1" minValue="0" maxValue="65075.75"/>
    </cacheField>
    <cacheField name="ALTSTOKGRUPKODU" numFmtId="0">
      <sharedItems count="22">
        <s v=""/>
        <s v="HIRDAVAT"/>
        <s v="KARAVAN EKİPMAN"/>
        <s v="KİMYASAL"/>
        <s v="MEKANİK"/>
        <s v="3D-BASKI"/>
        <s v="DÖŞEME"/>
        <s v="ELEKTRİK"/>
        <s v="MOBİLYA"/>
        <s v="MEKANIK"/>
        <s v="MOBILYA"/>
        <s v="ÇADIR"/>
        <s v="DOSEME"/>
        <s v="KARAVAN"/>
        <s v="YARIMAMÜL" u="1"/>
        <s v="ELEKTRIK" u="1"/>
        <s v="YEDEK PARÇA" u="1"/>
        <s v="ARGE" u="1"/>
        <s v="BAŞARI" u="1"/>
        <s v="NUMUNE" u="1"/>
        <s v="ETİCARET" u="1"/>
        <s v="ELEKTİRİK" u="1"/>
      </sharedItems>
    </cacheField>
  </cacheFields>
  <extLst>
    <ext xmlns:x14="http://schemas.microsoft.com/office/spreadsheetml/2009/9/main" uri="{725AE2AE-9491-48be-B2B4-4EB974FC3084}">
      <x14:pivotCacheDefinition pivotCacheId="181892062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82">
  <r>
    <x v="0"/>
    <s v="Matteo Giolo"/>
    <x v="0"/>
    <x v="0"/>
    <x v="0"/>
    <n v="1"/>
    <s v="ADET"/>
    <n v="0"/>
    <n v="3"/>
    <n v="8"/>
    <n v="10"/>
    <n v="0"/>
    <n v="0"/>
    <m/>
    <x v="0"/>
    <m/>
    <x v="0"/>
  </r>
  <r>
    <x v="0"/>
    <s v="Matteo Giolo"/>
    <x v="1"/>
    <x v="1"/>
    <x v="1"/>
    <n v="40"/>
    <s v="ADET"/>
    <n v="0"/>
    <n v="1000"/>
    <n v="4807"/>
    <n v="-450"/>
    <n v="0"/>
    <n v="0"/>
    <n v="0.3"/>
    <x v="1"/>
    <n v="12"/>
    <x v="1"/>
  </r>
  <r>
    <x v="1"/>
    <s v="Laurent MONTAGNER"/>
    <x v="1"/>
    <x v="1"/>
    <x v="1"/>
    <n v="45"/>
    <s v="ADET"/>
    <n v="0"/>
    <n v="1000"/>
    <n v="4807"/>
    <n v="-450"/>
    <n v="0"/>
    <n v="0"/>
    <n v="0.3"/>
    <x v="1"/>
    <n v="13.5"/>
    <x v="1"/>
  </r>
  <r>
    <x v="0"/>
    <s v="Matteo Giolo"/>
    <x v="1"/>
    <x v="2"/>
    <x v="2"/>
    <n v="4"/>
    <s v="ADET"/>
    <n v="0"/>
    <n v="212"/>
    <n v="625"/>
    <n v="-146"/>
    <n v="0"/>
    <n v="0"/>
    <n v="3.95"/>
    <x v="2"/>
    <n v="15.8"/>
    <x v="1"/>
  </r>
  <r>
    <x v="1"/>
    <s v="Laurent MONTAGNER"/>
    <x v="1"/>
    <x v="3"/>
    <x v="3"/>
    <n v="1"/>
    <s v="ADET"/>
    <n v="0"/>
    <n v="10"/>
    <n v="3"/>
    <n v="-3"/>
    <n v="0"/>
    <n v="0"/>
    <n v="45"/>
    <x v="2"/>
    <n v="45"/>
    <x v="1"/>
  </r>
  <r>
    <x v="0"/>
    <s v="Matteo Giolo"/>
    <x v="1"/>
    <x v="4"/>
    <x v="4"/>
    <n v="1"/>
    <s v="ADET"/>
    <n v="0"/>
    <n v="7"/>
    <n v="6"/>
    <n v="5"/>
    <n v="0"/>
    <n v="12288.25"/>
    <n v="2457.65"/>
    <x v="3"/>
    <n v="2457.65"/>
    <x v="2"/>
  </r>
  <r>
    <x v="2"/>
    <s v="Jan Urbanek"/>
    <x v="0"/>
    <x v="0"/>
    <x v="0"/>
    <n v="1"/>
    <s v="ADET"/>
    <n v="0"/>
    <n v="3"/>
    <n v="8"/>
    <n v="10"/>
    <n v="0"/>
    <n v="0"/>
    <m/>
    <x v="0"/>
    <m/>
    <x v="0"/>
  </r>
  <r>
    <x v="3"/>
    <s v="Jan Urbanek"/>
    <x v="0"/>
    <x v="0"/>
    <x v="0"/>
    <n v="1"/>
    <s v="ADET"/>
    <n v="0"/>
    <n v="3"/>
    <n v="8"/>
    <n v="10"/>
    <n v="0"/>
    <n v="0"/>
    <m/>
    <x v="0"/>
    <m/>
    <x v="0"/>
  </r>
  <r>
    <x v="4"/>
    <s v="Jan Urbanek"/>
    <x v="0"/>
    <x v="0"/>
    <x v="0"/>
    <n v="1"/>
    <s v="ADET"/>
    <n v="0"/>
    <n v="3"/>
    <n v="8"/>
    <n v="10"/>
    <n v="0"/>
    <n v="0"/>
    <m/>
    <x v="0"/>
    <m/>
    <x v="0"/>
  </r>
  <r>
    <x v="4"/>
    <s v="Jan Urbanek"/>
    <x v="1"/>
    <x v="1"/>
    <x v="1"/>
    <n v="30"/>
    <s v="ADET"/>
    <n v="0"/>
    <n v="1000"/>
    <n v="4807"/>
    <n v="-450"/>
    <n v="0"/>
    <n v="0"/>
    <n v="0.3"/>
    <x v="1"/>
    <n v="9"/>
    <x v="1"/>
  </r>
  <r>
    <x v="3"/>
    <s v="Jan Urbanek"/>
    <x v="1"/>
    <x v="1"/>
    <x v="1"/>
    <n v="30"/>
    <s v="ADET"/>
    <n v="0"/>
    <n v="1000"/>
    <n v="4807"/>
    <n v="-450"/>
    <n v="0"/>
    <n v="0"/>
    <n v="0.3"/>
    <x v="1"/>
    <n v="9"/>
    <x v="1"/>
  </r>
  <r>
    <x v="2"/>
    <s v="Jan Urbanek"/>
    <x v="1"/>
    <x v="2"/>
    <x v="2"/>
    <n v="4"/>
    <s v="ADET"/>
    <n v="0"/>
    <n v="212"/>
    <n v="625"/>
    <n v="-146"/>
    <n v="0"/>
    <n v="0"/>
    <n v="3.95"/>
    <x v="2"/>
    <n v="15.8"/>
    <x v="1"/>
  </r>
  <r>
    <x v="3"/>
    <s v="Jan Urbanek"/>
    <x v="1"/>
    <x v="2"/>
    <x v="2"/>
    <n v="4"/>
    <s v="ADET"/>
    <n v="0"/>
    <n v="212"/>
    <n v="625"/>
    <n v="-146"/>
    <n v="0"/>
    <n v="0"/>
    <n v="3.95"/>
    <x v="2"/>
    <n v="15.8"/>
    <x v="1"/>
  </r>
  <r>
    <x v="4"/>
    <s v="Jan Urbanek"/>
    <x v="1"/>
    <x v="2"/>
    <x v="2"/>
    <n v="8"/>
    <s v="ADET"/>
    <n v="0"/>
    <n v="212"/>
    <n v="625"/>
    <n v="-146"/>
    <n v="0"/>
    <n v="0"/>
    <n v="3.95"/>
    <x v="2"/>
    <n v="31.6"/>
    <x v="1"/>
  </r>
  <r>
    <x v="2"/>
    <s v="Jan Urbanek"/>
    <x v="1"/>
    <x v="4"/>
    <x v="4"/>
    <n v="1"/>
    <s v="ADET"/>
    <n v="0"/>
    <n v="7"/>
    <n v="6"/>
    <n v="5"/>
    <n v="0"/>
    <n v="12288.25"/>
    <n v="2457.65"/>
    <x v="3"/>
    <n v="2457.65"/>
    <x v="2"/>
  </r>
  <r>
    <x v="3"/>
    <s v="Jan Urbanek"/>
    <x v="1"/>
    <x v="4"/>
    <x v="4"/>
    <n v="1"/>
    <s v="ADET"/>
    <n v="0"/>
    <n v="7"/>
    <n v="6"/>
    <n v="5"/>
    <n v="0"/>
    <n v="12288.25"/>
    <n v="2457.65"/>
    <x v="3"/>
    <n v="2457.65"/>
    <x v="2"/>
  </r>
  <r>
    <x v="5"/>
    <s v="Matteo Giolo"/>
    <x v="0"/>
    <x v="0"/>
    <x v="0"/>
    <n v="1"/>
    <s v="ADET"/>
    <n v="0"/>
    <n v="3"/>
    <n v="8"/>
    <n v="10"/>
    <n v="0"/>
    <n v="0"/>
    <m/>
    <x v="0"/>
    <m/>
    <x v="0"/>
  </r>
  <r>
    <x v="6"/>
    <s v="Stefan Zaugg"/>
    <x v="1"/>
    <x v="1"/>
    <x v="1"/>
    <n v="18"/>
    <s v="ADET"/>
    <n v="0"/>
    <n v="1000"/>
    <n v="4807"/>
    <n v="-450"/>
    <n v="0"/>
    <n v="0"/>
    <n v="0.3"/>
    <x v="1"/>
    <n v="5.3999999999999995"/>
    <x v="1"/>
  </r>
  <r>
    <x v="7"/>
    <s v="Stina Alm"/>
    <x v="1"/>
    <x v="1"/>
    <x v="1"/>
    <n v="11"/>
    <s v="ADET"/>
    <n v="0"/>
    <n v="1000"/>
    <n v="4807"/>
    <n v="-450"/>
    <n v="0"/>
    <n v="0"/>
    <n v="0.3"/>
    <x v="1"/>
    <n v="3.3"/>
    <x v="1"/>
  </r>
  <r>
    <x v="5"/>
    <s v="Matteo Giolo"/>
    <x v="1"/>
    <x v="1"/>
    <x v="1"/>
    <n v="21"/>
    <s v="ADET"/>
    <n v="0"/>
    <n v="1000"/>
    <n v="4807"/>
    <n v="-450"/>
    <n v="0"/>
    <n v="0"/>
    <n v="0.3"/>
    <x v="1"/>
    <n v="6.3"/>
    <x v="1"/>
  </r>
  <r>
    <x v="5"/>
    <s v="Matteo Giolo"/>
    <x v="1"/>
    <x v="5"/>
    <x v="5"/>
    <n v="1"/>
    <s v="ADET"/>
    <n v="0"/>
    <n v="0"/>
    <n v="65"/>
    <n v="-94"/>
    <n v="100"/>
    <n v="0"/>
    <n v="115"/>
    <x v="2"/>
    <n v="115"/>
    <x v="1"/>
  </r>
  <r>
    <x v="5"/>
    <s v="Matteo Giolo"/>
    <x v="1"/>
    <x v="3"/>
    <x v="3"/>
    <n v="1"/>
    <s v="ADET"/>
    <n v="0"/>
    <n v="10"/>
    <n v="3"/>
    <n v="-3"/>
    <n v="0"/>
    <n v="0"/>
    <n v="45"/>
    <x v="2"/>
    <n v="45"/>
    <x v="1"/>
  </r>
  <r>
    <x v="7"/>
    <s v="Stina Alm"/>
    <x v="1"/>
    <x v="3"/>
    <x v="3"/>
    <n v="1"/>
    <s v="ADET"/>
    <n v="0"/>
    <n v="10"/>
    <n v="3"/>
    <n v="-3"/>
    <n v="0"/>
    <n v="0"/>
    <n v="45"/>
    <x v="2"/>
    <n v="45"/>
    <x v="1"/>
  </r>
  <r>
    <x v="5"/>
    <s v="Matteo Giolo"/>
    <x v="1"/>
    <x v="4"/>
    <x v="4"/>
    <n v="1"/>
    <s v="ADET"/>
    <n v="0"/>
    <n v="7"/>
    <n v="6"/>
    <n v="5"/>
    <n v="0"/>
    <n v="12288.25"/>
    <n v="2457.65"/>
    <x v="3"/>
    <n v="2457.65"/>
    <x v="2"/>
  </r>
  <r>
    <x v="8"/>
    <s v="Jan Urbanek"/>
    <x v="0"/>
    <x v="0"/>
    <x v="0"/>
    <n v="1"/>
    <s v="ADET"/>
    <n v="0"/>
    <n v="3"/>
    <n v="8"/>
    <n v="10"/>
    <n v="0"/>
    <n v="0"/>
    <m/>
    <x v="0"/>
    <m/>
    <x v="0"/>
  </r>
  <r>
    <x v="8"/>
    <s v="Jan Urbanek"/>
    <x v="1"/>
    <x v="1"/>
    <x v="1"/>
    <n v="30"/>
    <s v="ADET"/>
    <n v="0"/>
    <n v="1000"/>
    <n v="4807"/>
    <n v="-450"/>
    <n v="0"/>
    <n v="0"/>
    <n v="0.3"/>
    <x v="1"/>
    <n v="9"/>
    <x v="1"/>
  </r>
  <r>
    <x v="8"/>
    <s v="Jan Urbanek"/>
    <x v="1"/>
    <x v="2"/>
    <x v="2"/>
    <n v="8"/>
    <s v="ADET"/>
    <n v="0"/>
    <n v="212"/>
    <n v="625"/>
    <n v="-146"/>
    <n v="0"/>
    <n v="0"/>
    <n v="3.95"/>
    <x v="2"/>
    <n v="31.6"/>
    <x v="1"/>
  </r>
  <r>
    <x v="8"/>
    <s v="Jan Urbanek"/>
    <x v="1"/>
    <x v="4"/>
    <x v="4"/>
    <n v="1"/>
    <s v="ADET"/>
    <n v="0"/>
    <n v="7"/>
    <n v="6"/>
    <n v="5"/>
    <n v="0"/>
    <n v="12288.25"/>
    <n v="2457.65"/>
    <x v="3"/>
    <n v="2457.65"/>
    <x v="2"/>
  </r>
  <r>
    <x v="7"/>
    <s v="Stina Alm"/>
    <x v="0"/>
    <x v="0"/>
    <x v="0"/>
    <n v="1"/>
    <s v="ADET"/>
    <n v="0"/>
    <n v="3"/>
    <n v="8"/>
    <n v="10"/>
    <n v="0"/>
    <n v="0"/>
    <m/>
    <x v="0"/>
    <m/>
    <x v="0"/>
  </r>
  <r>
    <x v="6"/>
    <s v="Stefan Zaugg"/>
    <x v="1"/>
    <x v="6"/>
    <x v="6"/>
    <n v="143"/>
    <s v="ADET"/>
    <n v="0"/>
    <n v="2800"/>
    <n v="2438.9999999999991"/>
    <n v="-1645"/>
    <n v="0"/>
    <n v="0"/>
    <n v="0.18"/>
    <x v="2"/>
    <n v="25.74"/>
    <x v="1"/>
  </r>
  <r>
    <x v="7"/>
    <s v="Stina Alm"/>
    <x v="1"/>
    <x v="7"/>
    <x v="7"/>
    <n v="18"/>
    <s v="ADET"/>
    <n v="0"/>
    <n v="170"/>
    <n v="18"/>
    <n v="124"/>
    <n v="0"/>
    <n v="2046"/>
    <n v="16.5"/>
    <x v="2"/>
    <n v="297"/>
    <x v="1"/>
  </r>
  <r>
    <x v="6"/>
    <s v="Stefan Zaugg"/>
    <x v="1"/>
    <x v="7"/>
    <x v="7"/>
    <n v="14"/>
    <s v="ADET"/>
    <n v="0"/>
    <n v="170"/>
    <n v="18"/>
    <n v="124"/>
    <n v="0"/>
    <n v="2046"/>
    <n v="16.5"/>
    <x v="2"/>
    <n v="231"/>
    <x v="1"/>
  </r>
  <r>
    <x v="5"/>
    <s v="Matteo Giolo"/>
    <x v="1"/>
    <x v="8"/>
    <x v="8"/>
    <n v="4"/>
    <s v="ADET"/>
    <n v="0"/>
    <n v="24"/>
    <n v="27"/>
    <n v="1"/>
    <n v="0"/>
    <n v="42"/>
    <n v="42"/>
    <x v="4"/>
    <n v="168"/>
    <x v="1"/>
  </r>
  <r>
    <x v="6"/>
    <s v="Stefan Zaugg"/>
    <x v="1"/>
    <x v="9"/>
    <x v="9"/>
    <n v="25"/>
    <s v="ADET"/>
    <n v="0"/>
    <n v="976"/>
    <n v="167"/>
    <n v="-508"/>
    <n v="0"/>
    <n v="0"/>
    <n v="3.46"/>
    <x v="5"/>
    <n v="86.5"/>
    <x v="1"/>
  </r>
  <r>
    <x v="5"/>
    <s v="Matteo Giolo"/>
    <x v="1"/>
    <x v="9"/>
    <x v="9"/>
    <n v="25"/>
    <s v="ADET"/>
    <n v="0"/>
    <n v="976"/>
    <n v="167"/>
    <n v="-508"/>
    <n v="0"/>
    <n v="0"/>
    <n v="3.46"/>
    <x v="5"/>
    <n v="86.5"/>
    <x v="1"/>
  </r>
  <r>
    <x v="0"/>
    <s v="Matteo Giolo"/>
    <x v="1"/>
    <x v="10"/>
    <x v="10"/>
    <n v="37"/>
    <s v="ADET"/>
    <n v="0"/>
    <n v="495"/>
    <n v="146"/>
    <n v="-22"/>
    <n v="0"/>
    <n v="0"/>
    <n v="3.75"/>
    <x v="1"/>
    <n v="138.75"/>
    <x v="1"/>
  </r>
  <r>
    <x v="5"/>
    <s v="Matteo Giolo"/>
    <x v="1"/>
    <x v="10"/>
    <x v="10"/>
    <n v="15"/>
    <s v="ADET"/>
    <n v="0"/>
    <n v="495"/>
    <n v="146"/>
    <n v="-22"/>
    <n v="0"/>
    <n v="0"/>
    <n v="3.75"/>
    <x v="1"/>
    <n v="56.25"/>
    <x v="1"/>
  </r>
  <r>
    <x v="9"/>
    <s v="Stefan Zaugg"/>
    <x v="1"/>
    <x v="6"/>
    <x v="6"/>
    <n v="143"/>
    <s v="ADET"/>
    <n v="0"/>
    <n v="2800"/>
    <n v="2438.9999999999991"/>
    <n v="-1645"/>
    <n v="0"/>
    <n v="0"/>
    <n v="0.18"/>
    <x v="2"/>
    <n v="25.74"/>
    <x v="1"/>
  </r>
  <r>
    <x v="10"/>
    <s v="Murat Taşdemir"/>
    <x v="1"/>
    <x v="7"/>
    <x v="7"/>
    <n v="14"/>
    <s v="ADET"/>
    <n v="0"/>
    <n v="170"/>
    <n v="18"/>
    <n v="124"/>
    <n v="0"/>
    <n v="2046"/>
    <n v="16.5"/>
    <x v="2"/>
    <n v="231"/>
    <x v="1"/>
  </r>
  <r>
    <x v="9"/>
    <s v="Stefan Zaugg"/>
    <x v="1"/>
    <x v="7"/>
    <x v="7"/>
    <n v="14"/>
    <s v="ADET"/>
    <n v="0"/>
    <n v="170"/>
    <n v="18"/>
    <n v="124"/>
    <n v="0"/>
    <n v="2046"/>
    <n v="16.5"/>
    <x v="2"/>
    <n v="231"/>
    <x v="1"/>
  </r>
  <r>
    <x v="9"/>
    <s v="Stefan Zaugg"/>
    <x v="1"/>
    <x v="11"/>
    <x v="11"/>
    <n v="16"/>
    <s v="ADET"/>
    <n v="0"/>
    <n v="4822"/>
    <n v="811"/>
    <n v="-4638"/>
    <n v="0"/>
    <n v="0"/>
    <n v="0.3"/>
    <x v="2"/>
    <n v="4.8"/>
    <x v="1"/>
  </r>
  <r>
    <x v="10"/>
    <s v="Murat Taşdemir"/>
    <x v="1"/>
    <x v="9"/>
    <x v="9"/>
    <n v="31"/>
    <s v="ADET"/>
    <n v="0"/>
    <n v="976"/>
    <n v="167"/>
    <n v="-508"/>
    <n v="0"/>
    <n v="0"/>
    <n v="3.46"/>
    <x v="5"/>
    <n v="107.26"/>
    <x v="1"/>
  </r>
  <r>
    <x v="4"/>
    <s v="Jan Urbanek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7"/>
    <s v="Stina Alm"/>
    <x v="1"/>
    <x v="6"/>
    <x v="6"/>
    <n v="83"/>
    <s v="ADET"/>
    <n v="0"/>
    <n v="2800"/>
    <n v="2438.9999999999991"/>
    <n v="-1645"/>
    <n v="0"/>
    <n v="0"/>
    <n v="0.18"/>
    <x v="2"/>
    <n v="14.94"/>
    <x v="1"/>
  </r>
  <r>
    <x v="7"/>
    <s v="Stina Alm"/>
    <x v="1"/>
    <x v="11"/>
    <x v="11"/>
    <n v="16"/>
    <s v="ADET"/>
    <n v="0"/>
    <n v="4822"/>
    <n v="811"/>
    <n v="-4638"/>
    <n v="0"/>
    <n v="0"/>
    <n v="0.3"/>
    <x v="2"/>
    <n v="4.8"/>
    <x v="1"/>
  </r>
  <r>
    <x v="7"/>
    <s v="Stina Alm"/>
    <x v="1"/>
    <x v="9"/>
    <x v="9"/>
    <n v="25"/>
    <s v="ADET"/>
    <n v="0"/>
    <n v="976"/>
    <n v="167"/>
    <n v="-508"/>
    <n v="0"/>
    <n v="0"/>
    <n v="3.46"/>
    <x v="5"/>
    <n v="86.5"/>
    <x v="1"/>
  </r>
  <r>
    <x v="6"/>
    <s v="Stefan Zaugg"/>
    <x v="1"/>
    <x v="10"/>
    <x v="10"/>
    <n v="13"/>
    <s v="ADET"/>
    <n v="0"/>
    <n v="495"/>
    <n v="146"/>
    <n v="-22"/>
    <n v="0"/>
    <n v="0"/>
    <n v="3.75"/>
    <x v="1"/>
    <n v="48.75"/>
    <x v="1"/>
  </r>
  <r>
    <x v="11"/>
    <s v="Jan Urbanek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12"/>
    <s v="Stefan Zaugg"/>
    <x v="1"/>
    <x v="6"/>
    <x v="6"/>
    <n v="113"/>
    <s v="ADET"/>
    <n v="0"/>
    <n v="2800"/>
    <n v="2438.9999999999991"/>
    <n v="-1645"/>
    <n v="0"/>
    <n v="0"/>
    <n v="0.18"/>
    <x v="2"/>
    <n v="20.34"/>
    <x v="1"/>
  </r>
  <r>
    <x v="13"/>
    <s v="Volkan Batkan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11"/>
    <s v="Jan Urbanek"/>
    <x v="1"/>
    <x v="7"/>
    <x v="7"/>
    <n v="14"/>
    <s v="ADET"/>
    <n v="0"/>
    <n v="170"/>
    <n v="18"/>
    <n v="124"/>
    <n v="0"/>
    <n v="2046"/>
    <n v="16.5"/>
    <x v="2"/>
    <n v="231"/>
    <x v="1"/>
  </r>
  <r>
    <x v="14"/>
    <s v="Matteo Giolo"/>
    <x v="1"/>
    <x v="7"/>
    <x v="7"/>
    <n v="18"/>
    <s v="ADET"/>
    <n v="0"/>
    <n v="170"/>
    <n v="18"/>
    <n v="124"/>
    <n v="0"/>
    <n v="2046"/>
    <n v="16.5"/>
    <x v="2"/>
    <n v="297"/>
    <x v="1"/>
  </r>
  <r>
    <x v="13"/>
    <s v="Volkan Batkan"/>
    <x v="1"/>
    <x v="7"/>
    <x v="7"/>
    <n v="15"/>
    <s v="ADET"/>
    <n v="0"/>
    <n v="170"/>
    <n v="18"/>
    <n v="124"/>
    <n v="0"/>
    <n v="2046"/>
    <n v="16.5"/>
    <x v="2"/>
    <n v="247.5"/>
    <x v="1"/>
  </r>
  <r>
    <x v="12"/>
    <s v="Stefan Zaugg"/>
    <x v="1"/>
    <x v="7"/>
    <x v="7"/>
    <n v="14"/>
    <s v="ADET"/>
    <n v="0"/>
    <n v="170"/>
    <n v="18"/>
    <n v="124"/>
    <n v="0"/>
    <n v="2046"/>
    <n v="16.5"/>
    <x v="2"/>
    <n v="231"/>
    <x v="1"/>
  </r>
  <r>
    <x v="11"/>
    <s v="Jan Urbanek"/>
    <x v="1"/>
    <x v="8"/>
    <x v="8"/>
    <n v="2"/>
    <s v="ADET"/>
    <n v="0"/>
    <n v="24"/>
    <n v="27"/>
    <n v="1"/>
    <n v="0"/>
    <n v="42"/>
    <n v="42"/>
    <x v="4"/>
    <n v="84"/>
    <x v="1"/>
  </r>
  <r>
    <x v="8"/>
    <s v="Jan Urbanek"/>
    <x v="1"/>
    <x v="12"/>
    <x v="12"/>
    <n v="43"/>
    <s v="ADET"/>
    <n v="0"/>
    <n v="4500"/>
    <n v="2426"/>
    <n v="-3826"/>
    <n v="0"/>
    <n v="0"/>
    <n v="1"/>
    <x v="6"/>
    <n v="43"/>
    <x v="1"/>
  </r>
  <r>
    <x v="0"/>
    <s v="Matteo Giolo"/>
    <x v="1"/>
    <x v="12"/>
    <x v="12"/>
    <n v="43"/>
    <s v="ADET"/>
    <n v="0"/>
    <n v="4500"/>
    <n v="2426"/>
    <n v="-3826"/>
    <n v="0"/>
    <n v="0"/>
    <n v="1"/>
    <x v="6"/>
    <n v="43"/>
    <x v="1"/>
  </r>
  <r>
    <x v="1"/>
    <s v="Laurent MONTAGNER"/>
    <x v="1"/>
    <x v="12"/>
    <x v="12"/>
    <n v="23"/>
    <s v="ADET"/>
    <n v="0"/>
    <n v="4500"/>
    <n v="2426"/>
    <n v="-3826"/>
    <n v="0"/>
    <n v="0"/>
    <n v="1"/>
    <x v="6"/>
    <n v="23"/>
    <x v="1"/>
  </r>
  <r>
    <x v="5"/>
    <s v="Matteo Giolo"/>
    <x v="1"/>
    <x v="12"/>
    <x v="12"/>
    <n v="29"/>
    <s v="ADET"/>
    <n v="0"/>
    <n v="4500"/>
    <n v="2426"/>
    <n v="-3826"/>
    <n v="0"/>
    <n v="0"/>
    <n v="1"/>
    <x v="6"/>
    <n v="29"/>
    <x v="1"/>
  </r>
  <r>
    <x v="2"/>
    <s v="Jan Urbanek"/>
    <x v="1"/>
    <x v="13"/>
    <x v="13"/>
    <n v="3"/>
    <s v="ADET"/>
    <n v="0"/>
    <n v="0"/>
    <n v="0"/>
    <n v="-173"/>
    <n v="200"/>
    <n v="0"/>
    <n v="12"/>
    <x v="2"/>
    <n v="36"/>
    <x v="1"/>
  </r>
  <r>
    <x v="2"/>
    <s v="Jan Urbanek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2"/>
    <s v="Jan Urbanek"/>
    <x v="1"/>
    <x v="12"/>
    <x v="12"/>
    <n v="43"/>
    <s v="ADET"/>
    <n v="0"/>
    <n v="4500"/>
    <n v="2426"/>
    <n v="-3826"/>
    <n v="0"/>
    <n v="0"/>
    <n v="1"/>
    <x v="6"/>
    <n v="43"/>
    <x v="1"/>
  </r>
  <r>
    <x v="7"/>
    <s v="Stina Alm"/>
    <x v="1"/>
    <x v="13"/>
    <x v="13"/>
    <n v="2"/>
    <s v="ADET"/>
    <n v="0"/>
    <n v="0"/>
    <n v="0"/>
    <n v="-173"/>
    <n v="200"/>
    <n v="0"/>
    <n v="12"/>
    <x v="2"/>
    <n v="24"/>
    <x v="1"/>
  </r>
  <r>
    <x v="6"/>
    <s v="Stefan Zaugg"/>
    <x v="1"/>
    <x v="14"/>
    <x v="14"/>
    <n v="4"/>
    <s v="ADET"/>
    <n v="0"/>
    <n v="1400"/>
    <n v="602"/>
    <n v="-1296"/>
    <n v="0"/>
    <n v="0"/>
    <n v="0.6"/>
    <x v="2"/>
    <n v="2.4"/>
    <x v="1"/>
  </r>
  <r>
    <x v="6"/>
    <s v="Stefan Zaugg"/>
    <x v="1"/>
    <x v="12"/>
    <x v="12"/>
    <n v="43"/>
    <s v="ADET"/>
    <n v="0"/>
    <n v="4500"/>
    <n v="2426"/>
    <n v="-3826"/>
    <n v="0"/>
    <n v="0"/>
    <n v="1"/>
    <x v="6"/>
    <n v="43"/>
    <x v="1"/>
  </r>
  <r>
    <x v="7"/>
    <s v="Stina Alm"/>
    <x v="1"/>
    <x v="12"/>
    <x v="12"/>
    <n v="23"/>
    <s v="ADET"/>
    <n v="0"/>
    <n v="4500"/>
    <n v="2426"/>
    <n v="-3826"/>
    <n v="0"/>
    <n v="0"/>
    <n v="1"/>
    <x v="6"/>
    <n v="23"/>
    <x v="1"/>
  </r>
  <r>
    <x v="3"/>
    <s v="Jan Urbanek"/>
    <x v="1"/>
    <x v="13"/>
    <x v="13"/>
    <n v="3"/>
    <s v="ADET"/>
    <n v="0"/>
    <n v="0"/>
    <n v="0"/>
    <n v="-173"/>
    <n v="200"/>
    <n v="0"/>
    <n v="12"/>
    <x v="2"/>
    <n v="36"/>
    <x v="1"/>
  </r>
  <r>
    <x v="4"/>
    <s v="Jan Urbanek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3"/>
    <s v="Jan Urbanek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3"/>
    <s v="Jan Urbanek"/>
    <x v="1"/>
    <x v="12"/>
    <x v="12"/>
    <n v="43"/>
    <s v="ADET"/>
    <n v="0"/>
    <n v="4500"/>
    <n v="2426"/>
    <n v="-3826"/>
    <n v="0"/>
    <n v="0"/>
    <n v="1"/>
    <x v="6"/>
    <n v="43"/>
    <x v="1"/>
  </r>
  <r>
    <x v="4"/>
    <s v="Jan Urbanek"/>
    <x v="1"/>
    <x v="12"/>
    <x v="12"/>
    <n v="43"/>
    <s v="ADET"/>
    <n v="0"/>
    <n v="4500"/>
    <n v="2426"/>
    <n v="-3826"/>
    <n v="0"/>
    <n v="0"/>
    <n v="1"/>
    <x v="6"/>
    <n v="43"/>
    <x v="1"/>
  </r>
  <r>
    <x v="14"/>
    <s v="Matteo Giolo"/>
    <x v="1"/>
    <x v="13"/>
    <x v="13"/>
    <n v="2"/>
    <s v="ADET"/>
    <n v="0"/>
    <n v="0"/>
    <n v="0"/>
    <n v="-173"/>
    <n v="200"/>
    <n v="0"/>
    <n v="12"/>
    <x v="2"/>
    <n v="24"/>
    <x v="1"/>
  </r>
  <r>
    <x v="9"/>
    <s v="Stefan Zaugg"/>
    <x v="1"/>
    <x v="14"/>
    <x v="14"/>
    <n v="4"/>
    <s v="ADET"/>
    <n v="0"/>
    <n v="1400"/>
    <n v="602"/>
    <n v="-1296"/>
    <n v="0"/>
    <n v="0"/>
    <n v="0.6"/>
    <x v="2"/>
    <n v="2.4"/>
    <x v="1"/>
  </r>
  <r>
    <x v="12"/>
    <s v="Stefan Zaugg"/>
    <x v="1"/>
    <x v="14"/>
    <x v="14"/>
    <n v="4"/>
    <s v="ADET"/>
    <n v="0"/>
    <n v="1400"/>
    <n v="602"/>
    <n v="-1296"/>
    <n v="0"/>
    <n v="0"/>
    <n v="0.6"/>
    <x v="2"/>
    <n v="2.4"/>
    <x v="1"/>
  </r>
  <r>
    <x v="9"/>
    <s v="Stefan Zaugg"/>
    <x v="1"/>
    <x v="12"/>
    <x v="12"/>
    <n v="43"/>
    <s v="ADET"/>
    <n v="0"/>
    <n v="4500"/>
    <n v="2426"/>
    <n v="-3826"/>
    <n v="0"/>
    <n v="0"/>
    <n v="1"/>
    <x v="6"/>
    <n v="43"/>
    <x v="1"/>
  </r>
  <r>
    <x v="10"/>
    <s v="Murat Taşdemir"/>
    <x v="1"/>
    <x v="12"/>
    <x v="12"/>
    <n v="29"/>
    <s v="ADET"/>
    <n v="0"/>
    <n v="4500"/>
    <n v="2426"/>
    <n v="-3826"/>
    <n v="0"/>
    <n v="0"/>
    <n v="1"/>
    <x v="6"/>
    <n v="29"/>
    <x v="1"/>
  </r>
  <r>
    <x v="10"/>
    <s v="Murat Taşdemir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1"/>
    <s v="Jan Urbanek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14"/>
    <s v="Matteo Giolo"/>
    <x v="1"/>
    <x v="17"/>
    <x v="17"/>
    <n v="9.7099999999999991"/>
    <s v="KG"/>
    <n v="0"/>
    <n v="181"/>
    <n v="-9.9475983006414026E-14"/>
    <n v="-49.03000000000003"/>
    <n v="46.1"/>
    <n v="0"/>
    <n v="96.37"/>
    <x v="8"/>
    <n v="935.7527"/>
    <x v="3"/>
  </r>
  <r>
    <x v="12"/>
    <s v="Stefan Zaugg"/>
    <x v="1"/>
    <x v="17"/>
    <x v="17"/>
    <n v="6.54"/>
    <s v="KG"/>
    <n v="0"/>
    <n v="181"/>
    <n v="-9.9475983006414026E-14"/>
    <n v="-49.03000000000003"/>
    <n v="46.1"/>
    <n v="0"/>
    <n v="96.37"/>
    <x v="8"/>
    <n v="630.25980000000004"/>
    <x v="3"/>
  </r>
  <r>
    <x v="11"/>
    <s v="Jan Urbanek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9"/>
    <s v="Stefan Zaugg"/>
    <x v="1"/>
    <x v="18"/>
    <x v="18"/>
    <n v="1"/>
    <s v="ADET"/>
    <n v="1"/>
    <n v="3"/>
    <n v="7"/>
    <n v="8"/>
    <n v="0"/>
    <n v="70583.44"/>
    <n v="8822.93"/>
    <x v="3"/>
    <n v="8822.93"/>
    <x v="4"/>
  </r>
  <r>
    <x v="12"/>
    <s v="Stefan Zaugg"/>
    <x v="1"/>
    <x v="18"/>
    <x v="18"/>
    <n v="1"/>
    <s v="ADET"/>
    <n v="1"/>
    <n v="3"/>
    <n v="7"/>
    <n v="8"/>
    <n v="0"/>
    <n v="70583.44"/>
    <n v="8822.93"/>
    <x v="3"/>
    <n v="8822.93"/>
    <x v="4"/>
  </r>
  <r>
    <x v="5"/>
    <s v="Matteo Giolo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6"/>
    <s v="Stefan Zaugg"/>
    <x v="1"/>
    <x v="19"/>
    <x v="19"/>
    <n v="66"/>
    <s v="ADET"/>
    <n v="0"/>
    <n v="3000"/>
    <n v="1048"/>
    <n v="-967"/>
    <n v="0"/>
    <n v="0"/>
    <n v="2.92"/>
    <x v="1"/>
    <n v="192.72"/>
    <x v="1"/>
  </r>
  <r>
    <x v="5"/>
    <s v="Matteo Giolo"/>
    <x v="1"/>
    <x v="19"/>
    <x v="19"/>
    <n v="106"/>
    <s v="ADET"/>
    <n v="0"/>
    <n v="3000"/>
    <n v="1048"/>
    <n v="-967"/>
    <n v="0"/>
    <n v="0"/>
    <n v="2.92"/>
    <x v="1"/>
    <n v="309.52"/>
    <x v="1"/>
  </r>
  <r>
    <x v="7"/>
    <s v="Stina Alm"/>
    <x v="1"/>
    <x v="20"/>
    <x v="20"/>
    <n v="7"/>
    <s v="ADET"/>
    <n v="0"/>
    <n v="2200"/>
    <n v="0"/>
    <n v="-1626"/>
    <n v="0"/>
    <n v="0"/>
    <n v="0.7"/>
    <x v="2"/>
    <n v="4.8999999999999995"/>
    <x v="1"/>
  </r>
  <r>
    <x v="5"/>
    <s v="Matteo Giolo"/>
    <x v="1"/>
    <x v="20"/>
    <x v="20"/>
    <n v="12"/>
    <s v="ADET"/>
    <n v="0"/>
    <n v="2200"/>
    <n v="0"/>
    <n v="-1626"/>
    <n v="0"/>
    <n v="0"/>
    <n v="0.7"/>
    <x v="2"/>
    <n v="8.3999999999999986"/>
    <x v="1"/>
  </r>
  <r>
    <x v="8"/>
    <s v="Jan Urbanek"/>
    <x v="1"/>
    <x v="19"/>
    <x v="19"/>
    <n v="135"/>
    <s v="ADET"/>
    <n v="0"/>
    <n v="3000"/>
    <n v="1048"/>
    <n v="-967"/>
    <n v="0"/>
    <n v="0"/>
    <n v="2.92"/>
    <x v="1"/>
    <n v="394.2"/>
    <x v="1"/>
  </r>
  <r>
    <x v="8"/>
    <s v="Jan Urbanek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0"/>
    <s v="Matteo Giolo"/>
    <x v="1"/>
    <x v="19"/>
    <x v="19"/>
    <n v="135"/>
    <s v="ADET"/>
    <n v="0"/>
    <n v="3000"/>
    <n v="1048"/>
    <n v="-967"/>
    <n v="0"/>
    <n v="0"/>
    <n v="2.92"/>
    <x v="1"/>
    <n v="394.2"/>
    <x v="1"/>
  </r>
  <r>
    <x v="0"/>
    <s v="Matteo Giolo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1"/>
    <s v="Laurent MONTAGNER"/>
    <x v="1"/>
    <x v="20"/>
    <x v="20"/>
    <n v="7"/>
    <s v="ADET"/>
    <n v="0"/>
    <n v="2200"/>
    <n v="0"/>
    <n v="-1626"/>
    <n v="0"/>
    <n v="0"/>
    <n v="0.7"/>
    <x v="2"/>
    <n v="4.8999999999999995"/>
    <x v="1"/>
  </r>
  <r>
    <x v="3"/>
    <s v="Jan Urbanek"/>
    <x v="1"/>
    <x v="19"/>
    <x v="19"/>
    <n v="135"/>
    <s v="ADET"/>
    <n v="0"/>
    <n v="3000"/>
    <n v="1048"/>
    <n v="-967"/>
    <n v="0"/>
    <n v="0"/>
    <n v="2.92"/>
    <x v="1"/>
    <n v="394.2"/>
    <x v="1"/>
  </r>
  <r>
    <x v="4"/>
    <s v="Jan Urbanek"/>
    <x v="1"/>
    <x v="19"/>
    <x v="19"/>
    <n v="135"/>
    <s v="ADET"/>
    <n v="0"/>
    <n v="3000"/>
    <n v="1048"/>
    <n v="-967"/>
    <n v="0"/>
    <n v="0"/>
    <n v="2.92"/>
    <x v="1"/>
    <n v="394.2"/>
    <x v="1"/>
  </r>
  <r>
    <x v="3"/>
    <s v="Jan Urbanek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4"/>
    <s v="Jan Urbanek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6"/>
    <s v="Stefan Zaugg"/>
    <x v="1"/>
    <x v="20"/>
    <x v="20"/>
    <n v="40"/>
    <s v="ADET"/>
    <n v="0"/>
    <n v="2200"/>
    <n v="0"/>
    <n v="-1626"/>
    <n v="0"/>
    <n v="0"/>
    <n v="0.7"/>
    <x v="2"/>
    <n v="28"/>
    <x v="1"/>
  </r>
  <r>
    <x v="4"/>
    <s v="Jan Urbanek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4"/>
    <s v="Jan Urbanek"/>
    <x v="1"/>
    <x v="22"/>
    <x v="22"/>
    <n v="1"/>
    <s v="ADET"/>
    <n v="0"/>
    <n v="13"/>
    <n v="4"/>
    <n v="-6"/>
    <n v="0"/>
    <n v="0"/>
    <n v="1250"/>
    <x v="9"/>
    <n v="1250"/>
    <x v="2"/>
  </r>
  <r>
    <x v="3"/>
    <s v="Jan Urbanek"/>
    <x v="1"/>
    <x v="22"/>
    <x v="22"/>
    <n v="1"/>
    <s v="ADET"/>
    <n v="0"/>
    <n v="13"/>
    <n v="4"/>
    <n v="-6"/>
    <n v="0"/>
    <n v="0"/>
    <n v="1250"/>
    <x v="9"/>
    <n v="1250"/>
    <x v="2"/>
  </r>
  <r>
    <x v="10"/>
    <s v="Murat Taşdemir"/>
    <x v="1"/>
    <x v="19"/>
    <x v="19"/>
    <n v="115"/>
    <s v="ADET"/>
    <n v="0"/>
    <n v="3000"/>
    <n v="1048"/>
    <n v="-967"/>
    <n v="0"/>
    <n v="0"/>
    <n v="2.92"/>
    <x v="1"/>
    <n v="335.8"/>
    <x v="1"/>
  </r>
  <r>
    <x v="10"/>
    <s v="Murat Taşdemir"/>
    <x v="1"/>
    <x v="20"/>
    <x v="20"/>
    <n v="40"/>
    <s v="ADET"/>
    <n v="0"/>
    <n v="2200"/>
    <n v="0"/>
    <n v="-1626"/>
    <n v="0"/>
    <n v="0"/>
    <n v="0.7"/>
    <x v="2"/>
    <n v="28"/>
    <x v="1"/>
  </r>
  <r>
    <x v="9"/>
    <s v="Stefan Zaugg"/>
    <x v="1"/>
    <x v="22"/>
    <x v="22"/>
    <n v="1"/>
    <s v="ADET"/>
    <n v="1"/>
    <n v="13"/>
    <n v="4"/>
    <n v="-6"/>
    <n v="0"/>
    <n v="0"/>
    <n v="1250"/>
    <x v="9"/>
    <n v="1250"/>
    <x v="2"/>
  </r>
  <r>
    <x v="12"/>
    <s v="Stefan Zaugg"/>
    <x v="1"/>
    <x v="22"/>
    <x v="22"/>
    <n v="1"/>
    <s v="ADET"/>
    <n v="1"/>
    <n v="13"/>
    <n v="4"/>
    <n v="-6"/>
    <n v="0"/>
    <n v="0"/>
    <n v="1250"/>
    <x v="9"/>
    <n v="1250"/>
    <x v="2"/>
  </r>
  <r>
    <x v="14"/>
    <s v="Matteo Giolo"/>
    <x v="1"/>
    <x v="23"/>
    <x v="23"/>
    <n v="0.125"/>
    <s v="M2"/>
    <n v="0"/>
    <n v="40"/>
    <n v="20"/>
    <n v="-35.625"/>
    <n v="0"/>
    <n v="0"/>
    <n v="54.17"/>
    <x v="10"/>
    <n v="6.7712500000000002"/>
    <x v="3"/>
  </r>
  <r>
    <x v="5"/>
    <s v="Matteo Giolo"/>
    <x v="1"/>
    <x v="24"/>
    <x v="24"/>
    <n v="5.8599999999999994"/>
    <s v="KG"/>
    <n v="0"/>
    <n v="120"/>
    <n v="113.68999999999977"/>
    <n v="-176.87000000000003"/>
    <n v="120"/>
    <n v="0"/>
    <n v="101.44"/>
    <x v="8"/>
    <n v="594.43839999999989"/>
    <x v="3"/>
  </r>
  <r>
    <x v="1"/>
    <s v="Laurent MONTAGNER"/>
    <x v="1"/>
    <x v="25"/>
    <x v="25"/>
    <n v="9.51"/>
    <s v="ADET"/>
    <n v="0"/>
    <n v="96"/>
    <n v="195.44000000000005"/>
    <n v="63.92"/>
    <n v="0"/>
    <n v="8241.2056000000011"/>
    <n v="128.93"/>
    <x v="11"/>
    <n v="1226.1242999999999"/>
    <x v="1"/>
  </r>
  <r>
    <x v="7"/>
    <s v="Stina Alm"/>
    <x v="1"/>
    <x v="23"/>
    <x v="23"/>
    <n v="0.125"/>
    <s v="M2"/>
    <n v="0"/>
    <n v="40"/>
    <n v="20"/>
    <n v="-35.625"/>
    <n v="0"/>
    <n v="0"/>
    <n v="54.17"/>
    <x v="10"/>
    <n v="6.7712500000000002"/>
    <x v="3"/>
  </r>
  <r>
    <x v="0"/>
    <s v="Matteo Giolo"/>
    <x v="1"/>
    <x v="26"/>
    <x v="26"/>
    <n v="4"/>
    <s v="ADET"/>
    <n v="0"/>
    <n v="100"/>
    <n v="352"/>
    <n v="-28"/>
    <n v="0"/>
    <n v="0"/>
    <n v="6.4"/>
    <x v="5"/>
    <n v="25.6"/>
    <x v="4"/>
  </r>
  <r>
    <x v="1"/>
    <s v="Laurent MONTAGNER"/>
    <x v="1"/>
    <x v="16"/>
    <x v="16"/>
    <n v="0.4"/>
    <s v="KG"/>
    <n v="0.4"/>
    <n v="10"/>
    <n v="14.13"/>
    <n v="-15.809999999999999"/>
    <n v="10"/>
    <n v="0"/>
    <n v="393.83"/>
    <x v="8"/>
    <n v="157.53200000000001"/>
    <x v="3"/>
  </r>
  <r>
    <x v="1"/>
    <s v="Laurent MONTAGNER"/>
    <x v="1"/>
    <x v="17"/>
    <x v="17"/>
    <n v="10.709999999999999"/>
    <s v="KG"/>
    <n v="0"/>
    <n v="181"/>
    <n v="-9.9475983006414026E-14"/>
    <n v="-49.03000000000003"/>
    <n v="46.1"/>
    <n v="0"/>
    <n v="96.37"/>
    <x v="8"/>
    <n v="1032.1226999999999"/>
    <x v="3"/>
  </r>
  <r>
    <x v="6"/>
    <s v="Stefan Zaugg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7"/>
    <s v="Stina Alm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"/>
    <s v="Laurent MONTAGNER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5"/>
    <s v="Matteo Giolo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1"/>
    <s v="Jan Urbanek"/>
    <x v="1"/>
    <x v="13"/>
    <x v="13"/>
    <n v="3"/>
    <s v="ADET"/>
    <n v="0"/>
    <n v="0"/>
    <n v="0"/>
    <n v="-173"/>
    <n v="200"/>
    <n v="0"/>
    <n v="12"/>
    <x v="2"/>
    <n v="36"/>
    <x v="1"/>
  </r>
  <r>
    <x v="11"/>
    <s v="Jan Urbanek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13"/>
    <s v="Volkan Batkan"/>
    <x v="1"/>
    <x v="12"/>
    <x v="12"/>
    <n v="43"/>
    <s v="ADET"/>
    <n v="0"/>
    <n v="4500"/>
    <n v="2426"/>
    <n v="-3826"/>
    <n v="0"/>
    <n v="0"/>
    <n v="1"/>
    <x v="6"/>
    <n v="43"/>
    <x v="1"/>
  </r>
  <r>
    <x v="12"/>
    <s v="Stefan Zaugg"/>
    <x v="1"/>
    <x v="12"/>
    <x v="12"/>
    <n v="23"/>
    <s v="ADET"/>
    <n v="0"/>
    <n v="4500"/>
    <n v="2426"/>
    <n v="-3826"/>
    <n v="0"/>
    <n v="0"/>
    <n v="1"/>
    <x v="6"/>
    <n v="23"/>
    <x v="1"/>
  </r>
  <r>
    <x v="14"/>
    <s v="Matteo Giolo"/>
    <x v="1"/>
    <x v="12"/>
    <x v="12"/>
    <n v="23"/>
    <s v="ADET"/>
    <n v="0"/>
    <n v="4500"/>
    <n v="2426"/>
    <n v="-3826"/>
    <n v="0"/>
    <n v="0"/>
    <n v="1"/>
    <x v="6"/>
    <n v="23"/>
    <x v="1"/>
  </r>
  <r>
    <x v="11"/>
    <s v="Jan Urbanek"/>
    <x v="1"/>
    <x v="12"/>
    <x v="12"/>
    <n v="43"/>
    <s v="ADET"/>
    <n v="0"/>
    <n v="4500"/>
    <n v="2426"/>
    <n v="-3826"/>
    <n v="0"/>
    <n v="0"/>
    <n v="1"/>
    <x v="6"/>
    <n v="43"/>
    <x v="1"/>
  </r>
  <r>
    <x v="13"/>
    <s v="Volkan Batkan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9"/>
    <s v="Stefan Zaugg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2"/>
    <s v="Stefan Zaugg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4"/>
    <s v="Matteo Giolo"/>
    <x v="1"/>
    <x v="15"/>
    <x v="15"/>
    <n v="0.05"/>
    <s v="ADET"/>
    <n v="0"/>
    <n v="13.5"/>
    <n v="8.5"/>
    <n v="-5.3500000000000014"/>
    <n v="0"/>
    <n v="0"/>
    <n v="1600"/>
    <x v="7"/>
    <n v="80"/>
    <x v="2"/>
  </r>
  <r>
    <x v="9"/>
    <s v="Stefan Zaugg"/>
    <x v="1"/>
    <x v="17"/>
    <x v="17"/>
    <n v="6.5400000000000009"/>
    <s v="KG"/>
    <n v="0"/>
    <n v="181"/>
    <n v="-9.9475983006414026E-14"/>
    <n v="-49.03000000000003"/>
    <n v="46.1"/>
    <n v="0"/>
    <n v="96.37"/>
    <x v="8"/>
    <n v="630.25980000000015"/>
    <x v="3"/>
  </r>
  <r>
    <x v="4"/>
    <s v="Jan Urbanek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4"/>
    <s v="Matteo Giolo"/>
    <x v="1"/>
    <x v="16"/>
    <x v="16"/>
    <n v="0.34"/>
    <s v="KG"/>
    <n v="0"/>
    <n v="10"/>
    <n v="14.13"/>
    <n v="-15.809999999999999"/>
    <n v="10"/>
    <n v="0"/>
    <n v="393.83"/>
    <x v="8"/>
    <n v="133.90219999999999"/>
    <x v="3"/>
  </r>
  <r>
    <x v="15"/>
    <s v="Hayriye Güven"/>
    <x v="1"/>
    <x v="17"/>
    <x v="17"/>
    <n v="9.0599999999999987"/>
    <s v="KG"/>
    <n v="0"/>
    <n v="181"/>
    <n v="-9.9475983006414026E-14"/>
    <n v="-49.03000000000003"/>
    <n v="46.1"/>
    <n v="0"/>
    <n v="96.37"/>
    <x v="8"/>
    <n v="873.11219999999992"/>
    <x v="3"/>
  </r>
  <r>
    <x v="0"/>
    <s v="Matteo Giolo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"/>
    <s v="Laurent MONTAGNER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7"/>
    <s v="Stina Alm"/>
    <x v="1"/>
    <x v="16"/>
    <x v="16"/>
    <n v="0.34"/>
    <s v="KG"/>
    <n v="0"/>
    <n v="10"/>
    <n v="14.13"/>
    <n v="-15.809999999999999"/>
    <n v="10"/>
    <n v="0"/>
    <n v="393.83"/>
    <x v="8"/>
    <n v="133.90219999999999"/>
    <x v="3"/>
  </r>
  <r>
    <x v="0"/>
    <s v="Matteo Giolo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0"/>
    <s v="Matteo Giolo"/>
    <x v="1"/>
    <x v="13"/>
    <x v="13"/>
    <n v="3"/>
    <s v="ADET"/>
    <n v="0"/>
    <n v="0"/>
    <n v="0"/>
    <n v="-173"/>
    <n v="200"/>
    <n v="0"/>
    <n v="12"/>
    <x v="2"/>
    <n v="36"/>
    <x v="1"/>
  </r>
  <r>
    <x v="0"/>
    <s v="Matteo Giolo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8"/>
    <s v="Jan Urbanek"/>
    <x v="1"/>
    <x v="13"/>
    <x v="13"/>
    <n v="3"/>
    <s v="ADET"/>
    <n v="0"/>
    <n v="0"/>
    <n v="0"/>
    <n v="-173"/>
    <n v="200"/>
    <n v="0"/>
    <n v="12"/>
    <x v="2"/>
    <n v="36"/>
    <x v="1"/>
  </r>
  <r>
    <x v="6"/>
    <s v="Stefan Zaugg"/>
    <x v="1"/>
    <x v="28"/>
    <x v="28"/>
    <n v="8"/>
    <s v="ADET"/>
    <n v="0"/>
    <n v="3750"/>
    <n v="674"/>
    <n v="-3452"/>
    <n v="0"/>
    <n v="0"/>
    <n v="0.2"/>
    <x v="2"/>
    <n v="1.6"/>
    <x v="1"/>
  </r>
  <r>
    <x v="0"/>
    <s v="Matteo Giolo"/>
    <x v="1"/>
    <x v="29"/>
    <x v="29"/>
    <n v="2"/>
    <s v="ADET"/>
    <n v="0"/>
    <n v="42"/>
    <n v="34"/>
    <n v="-8"/>
    <n v="0"/>
    <n v="0"/>
    <n v="65"/>
    <x v="2"/>
    <n v="130"/>
    <x v="1"/>
  </r>
  <r>
    <x v="1"/>
    <s v="Laurent MONTAGNER"/>
    <x v="1"/>
    <x v="29"/>
    <x v="29"/>
    <n v="2"/>
    <s v="ADET"/>
    <n v="0"/>
    <n v="42"/>
    <n v="34"/>
    <n v="-8"/>
    <n v="0"/>
    <n v="0"/>
    <n v="65"/>
    <x v="2"/>
    <n v="130"/>
    <x v="1"/>
  </r>
  <r>
    <x v="3"/>
    <s v="Jan Urbanek"/>
    <x v="1"/>
    <x v="29"/>
    <x v="29"/>
    <n v="2"/>
    <s v="ADET"/>
    <n v="0"/>
    <n v="42"/>
    <n v="34"/>
    <n v="-8"/>
    <n v="0"/>
    <n v="0"/>
    <n v="65"/>
    <x v="2"/>
    <n v="130"/>
    <x v="1"/>
  </r>
  <r>
    <x v="2"/>
    <s v="Jan Urbanek"/>
    <x v="1"/>
    <x v="29"/>
    <x v="29"/>
    <n v="2"/>
    <s v="ADET"/>
    <n v="0"/>
    <n v="42"/>
    <n v="34"/>
    <n v="-8"/>
    <n v="0"/>
    <n v="0"/>
    <n v="65"/>
    <x v="2"/>
    <n v="130"/>
    <x v="1"/>
  </r>
  <r>
    <x v="5"/>
    <s v="Matteo Giolo"/>
    <x v="1"/>
    <x v="30"/>
    <x v="30"/>
    <n v="2"/>
    <s v="ADET"/>
    <n v="0"/>
    <n v="0"/>
    <n v="0"/>
    <n v="16"/>
    <n v="0"/>
    <n v="1200"/>
    <n v="75"/>
    <x v="13"/>
    <n v="150"/>
    <x v="5"/>
  </r>
  <r>
    <x v="7"/>
    <s v="Stina Alm"/>
    <x v="1"/>
    <x v="29"/>
    <x v="29"/>
    <n v="2"/>
    <s v="ADET"/>
    <n v="0"/>
    <n v="42"/>
    <n v="34"/>
    <n v="-8"/>
    <n v="0"/>
    <n v="0"/>
    <n v="65"/>
    <x v="2"/>
    <n v="130"/>
    <x v="1"/>
  </r>
  <r>
    <x v="4"/>
    <s v="Jan Urbanek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8"/>
    <s v="Jan Urbanek"/>
    <x v="1"/>
    <x v="29"/>
    <x v="29"/>
    <n v="2"/>
    <s v="ADET"/>
    <n v="0"/>
    <n v="42"/>
    <n v="34"/>
    <n v="-8"/>
    <n v="0"/>
    <n v="0"/>
    <n v="65"/>
    <x v="2"/>
    <n v="130"/>
    <x v="1"/>
  </r>
  <r>
    <x v="0"/>
    <s v="Matteo Giolo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8"/>
    <s v="Jan Urbanek"/>
    <x v="1"/>
    <x v="28"/>
    <x v="28"/>
    <n v="8"/>
    <s v="ADET"/>
    <n v="0"/>
    <n v="3750"/>
    <n v="674"/>
    <n v="-3452"/>
    <n v="0"/>
    <n v="0"/>
    <n v="0.2"/>
    <x v="2"/>
    <n v="1.6"/>
    <x v="1"/>
  </r>
  <r>
    <x v="13"/>
    <s v="Volkan Batkan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10"/>
    <s v="Murat Taşdemir"/>
    <x v="1"/>
    <x v="28"/>
    <x v="28"/>
    <n v="28"/>
    <s v="ADET"/>
    <n v="0"/>
    <n v="3750"/>
    <n v="674"/>
    <n v="-3452"/>
    <n v="0"/>
    <n v="0"/>
    <n v="0.2"/>
    <x v="2"/>
    <n v="5.6000000000000005"/>
    <x v="1"/>
  </r>
  <r>
    <x v="10"/>
    <s v="Murat Taşdemir"/>
    <x v="1"/>
    <x v="30"/>
    <x v="30"/>
    <n v="2"/>
    <s v="ADET"/>
    <n v="0"/>
    <n v="0"/>
    <n v="0"/>
    <n v="16"/>
    <n v="0"/>
    <n v="1200"/>
    <n v="75"/>
    <x v="13"/>
    <n v="150"/>
    <x v="5"/>
  </r>
  <r>
    <x v="13"/>
    <s v="Volkan Batkan"/>
    <x v="1"/>
    <x v="29"/>
    <x v="29"/>
    <n v="2"/>
    <s v="ADET"/>
    <n v="0"/>
    <n v="42"/>
    <n v="34"/>
    <n v="-8"/>
    <n v="0"/>
    <n v="0"/>
    <n v="65"/>
    <x v="2"/>
    <n v="130"/>
    <x v="1"/>
  </r>
  <r>
    <x v="14"/>
    <s v="Matteo Giolo"/>
    <x v="1"/>
    <x v="29"/>
    <x v="29"/>
    <n v="2"/>
    <s v="ADET"/>
    <n v="0"/>
    <n v="42"/>
    <n v="34"/>
    <n v="-8"/>
    <n v="0"/>
    <n v="0"/>
    <n v="65"/>
    <x v="2"/>
    <n v="130"/>
    <x v="1"/>
  </r>
  <r>
    <x v="9"/>
    <s v="Stefan Zaugg"/>
    <x v="1"/>
    <x v="29"/>
    <x v="29"/>
    <n v="2"/>
    <s v="ADET"/>
    <n v="0"/>
    <n v="42"/>
    <n v="34"/>
    <n v="-8"/>
    <n v="0"/>
    <n v="0"/>
    <n v="65"/>
    <x v="2"/>
    <n v="130"/>
    <x v="1"/>
  </r>
  <r>
    <x v="11"/>
    <s v="Jan Urbanek"/>
    <x v="1"/>
    <x v="29"/>
    <x v="29"/>
    <n v="2"/>
    <s v="ADET"/>
    <n v="0"/>
    <n v="42"/>
    <n v="34"/>
    <n v="-8"/>
    <n v="0"/>
    <n v="0"/>
    <n v="65"/>
    <x v="2"/>
    <n v="130"/>
    <x v="1"/>
  </r>
  <r>
    <x v="1"/>
    <s v="Laurent MONTAGNER"/>
    <x v="1"/>
    <x v="30"/>
    <x v="30"/>
    <n v="2"/>
    <s v="ADET"/>
    <n v="0"/>
    <n v="0"/>
    <n v="0"/>
    <n v="16"/>
    <n v="0"/>
    <n v="1200"/>
    <n v="75"/>
    <x v="13"/>
    <n v="150"/>
    <x v="5"/>
  </r>
  <r>
    <x v="7"/>
    <s v="Stina Alm"/>
    <x v="1"/>
    <x v="30"/>
    <x v="30"/>
    <n v="2"/>
    <s v="ADET"/>
    <n v="0"/>
    <n v="0"/>
    <n v="0"/>
    <n v="16"/>
    <n v="0"/>
    <n v="1200"/>
    <n v="75"/>
    <x v="13"/>
    <n v="150"/>
    <x v="5"/>
  </r>
  <r>
    <x v="7"/>
    <s v="Stina Alm"/>
    <x v="1"/>
    <x v="28"/>
    <x v="28"/>
    <n v="18"/>
    <s v="ADET"/>
    <n v="0"/>
    <n v="3750"/>
    <n v="674"/>
    <n v="-3452"/>
    <n v="0"/>
    <n v="0"/>
    <n v="0.2"/>
    <x v="2"/>
    <n v="3.6"/>
    <x v="1"/>
  </r>
  <r>
    <x v="1"/>
    <s v="Laurent MONTAGNER"/>
    <x v="1"/>
    <x v="28"/>
    <x v="28"/>
    <n v="34"/>
    <s v="ADET"/>
    <n v="0"/>
    <n v="3750"/>
    <n v="674"/>
    <n v="-3452"/>
    <n v="0"/>
    <n v="0"/>
    <n v="0.2"/>
    <x v="2"/>
    <n v="6.8000000000000007"/>
    <x v="1"/>
  </r>
  <r>
    <x v="5"/>
    <s v="Matteo Giolo"/>
    <x v="1"/>
    <x v="28"/>
    <x v="28"/>
    <n v="14"/>
    <s v="ADET"/>
    <n v="0"/>
    <n v="3750"/>
    <n v="674"/>
    <n v="-3452"/>
    <n v="0"/>
    <n v="0"/>
    <n v="0.2"/>
    <x v="2"/>
    <n v="2.8000000000000003"/>
    <x v="1"/>
  </r>
  <r>
    <x v="6"/>
    <s v="Stefan Zaugg"/>
    <x v="1"/>
    <x v="29"/>
    <x v="29"/>
    <n v="2"/>
    <s v="ADET"/>
    <n v="0"/>
    <n v="42"/>
    <n v="34"/>
    <n v="-8"/>
    <n v="0"/>
    <n v="0"/>
    <n v="65"/>
    <x v="2"/>
    <n v="130"/>
    <x v="1"/>
  </r>
  <r>
    <x v="5"/>
    <s v="Matteo Giolo"/>
    <x v="1"/>
    <x v="29"/>
    <x v="29"/>
    <n v="2"/>
    <s v="ADET"/>
    <n v="0"/>
    <n v="42"/>
    <n v="34"/>
    <n v="-8"/>
    <n v="0"/>
    <n v="0"/>
    <n v="65"/>
    <x v="2"/>
    <n v="130"/>
    <x v="1"/>
  </r>
  <r>
    <x v="3"/>
    <s v="Jan Urbanek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2"/>
    <s v="Jan Urbanek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8"/>
    <s v="Jan Urbanek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13"/>
    <s v="Volkan Batkan"/>
    <x v="1"/>
    <x v="31"/>
    <x v="31"/>
    <n v="2"/>
    <s v="ADET"/>
    <n v="0"/>
    <n v="35"/>
    <n v="8"/>
    <n v="-29"/>
    <n v="0"/>
    <n v="0"/>
    <n v="94.17"/>
    <x v="13"/>
    <n v="188.34"/>
    <x v="5"/>
  </r>
  <r>
    <x v="9"/>
    <s v="Stefan Zaugg"/>
    <x v="1"/>
    <x v="31"/>
    <x v="31"/>
    <n v="2"/>
    <s v="ADET"/>
    <n v="0"/>
    <n v="35"/>
    <n v="8"/>
    <n v="-29"/>
    <n v="0"/>
    <n v="0"/>
    <n v="94.17"/>
    <x v="13"/>
    <n v="188.34"/>
    <x v="5"/>
  </r>
  <r>
    <x v="13"/>
    <s v="Volkan Batkan"/>
    <x v="1"/>
    <x v="19"/>
    <x v="19"/>
    <n v="135"/>
    <s v="ADET"/>
    <n v="0"/>
    <n v="3000"/>
    <n v="1048"/>
    <n v="-967"/>
    <n v="0"/>
    <n v="0"/>
    <n v="2.92"/>
    <x v="1"/>
    <n v="394.2"/>
    <x v="1"/>
  </r>
  <r>
    <x v="9"/>
    <s v="Stefan Zaugg"/>
    <x v="1"/>
    <x v="19"/>
    <x v="19"/>
    <n v="66"/>
    <s v="ADET"/>
    <n v="0"/>
    <n v="3000"/>
    <n v="1048"/>
    <n v="-967"/>
    <n v="0"/>
    <n v="0"/>
    <n v="2.92"/>
    <x v="1"/>
    <n v="192.72"/>
    <x v="1"/>
  </r>
  <r>
    <x v="12"/>
    <s v="Stefan Zaugg"/>
    <x v="1"/>
    <x v="19"/>
    <x v="19"/>
    <n v="50"/>
    <s v="ADET"/>
    <n v="0"/>
    <n v="3000"/>
    <n v="1048"/>
    <n v="-967"/>
    <n v="0"/>
    <n v="0"/>
    <n v="2.92"/>
    <x v="1"/>
    <n v="146"/>
    <x v="1"/>
  </r>
  <r>
    <x v="13"/>
    <s v="Volkan Batkan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9"/>
    <s v="Stefan Zaugg"/>
    <x v="1"/>
    <x v="20"/>
    <x v="20"/>
    <n v="40"/>
    <s v="ADET"/>
    <n v="0"/>
    <n v="2200"/>
    <n v="0"/>
    <n v="-1626"/>
    <n v="0"/>
    <n v="0"/>
    <n v="0.7"/>
    <x v="2"/>
    <n v="28"/>
    <x v="1"/>
  </r>
  <r>
    <x v="12"/>
    <s v="Stefan Zaugg"/>
    <x v="1"/>
    <x v="20"/>
    <x v="20"/>
    <n v="40"/>
    <s v="ADET"/>
    <n v="0"/>
    <n v="2200"/>
    <n v="0"/>
    <n v="-1626"/>
    <n v="0"/>
    <n v="0"/>
    <n v="0.7"/>
    <x v="2"/>
    <n v="28"/>
    <x v="1"/>
  </r>
  <r>
    <x v="14"/>
    <s v="Matteo Giolo"/>
    <x v="1"/>
    <x v="20"/>
    <x v="20"/>
    <n v="7"/>
    <s v="ADET"/>
    <n v="0"/>
    <n v="2200"/>
    <n v="0"/>
    <n v="-1626"/>
    <n v="0"/>
    <n v="0"/>
    <n v="0.7"/>
    <x v="2"/>
    <n v="4.8999999999999995"/>
    <x v="1"/>
  </r>
  <r>
    <x v="11"/>
    <s v="Jan Urbanek"/>
    <x v="1"/>
    <x v="22"/>
    <x v="22"/>
    <n v="1"/>
    <s v="ADET"/>
    <n v="0"/>
    <n v="13"/>
    <n v="4"/>
    <n v="-6"/>
    <n v="0"/>
    <n v="0"/>
    <n v="1250"/>
    <x v="9"/>
    <n v="1250"/>
    <x v="2"/>
  </r>
  <r>
    <x v="14"/>
    <s v="Matteo Giolo"/>
    <x v="1"/>
    <x v="22"/>
    <x v="22"/>
    <n v="1"/>
    <s v="ADET"/>
    <n v="0"/>
    <n v="13"/>
    <n v="4"/>
    <n v="-6"/>
    <n v="0"/>
    <n v="0"/>
    <n v="1250"/>
    <x v="9"/>
    <n v="1250"/>
    <x v="2"/>
  </r>
  <r>
    <x v="14"/>
    <s v="Matteo Giolo"/>
    <x v="1"/>
    <x v="24"/>
    <x v="24"/>
    <n v="5.49"/>
    <s v="KG"/>
    <n v="0"/>
    <n v="120"/>
    <n v="113.68999999999977"/>
    <n v="-176.87000000000003"/>
    <n v="120"/>
    <n v="0"/>
    <n v="101.44"/>
    <x v="8"/>
    <n v="556.90560000000005"/>
    <x v="3"/>
  </r>
  <r>
    <x v="9"/>
    <s v="Stefan Zaugg"/>
    <x v="1"/>
    <x v="25"/>
    <x v="25"/>
    <n v="7.4999999999999991"/>
    <s v="ADET"/>
    <n v="0"/>
    <n v="96"/>
    <n v="195.44000000000005"/>
    <n v="63.92"/>
    <n v="0"/>
    <n v="8241.2056000000011"/>
    <n v="128.93"/>
    <x v="11"/>
    <n v="966.97499999999991"/>
    <x v="1"/>
  </r>
  <r>
    <x v="14"/>
    <s v="Matteo Giolo"/>
    <x v="1"/>
    <x v="25"/>
    <x v="25"/>
    <n v="11.099999999999998"/>
    <s v="ADET"/>
    <n v="0"/>
    <n v="96"/>
    <n v="195.44000000000005"/>
    <n v="63.92"/>
    <n v="0"/>
    <n v="8241.2056000000011"/>
    <n v="128.93"/>
    <x v="11"/>
    <n v="1431.1229999999998"/>
    <x v="1"/>
  </r>
  <r>
    <x v="12"/>
    <s v="Stefan Zaugg"/>
    <x v="1"/>
    <x v="25"/>
    <x v="25"/>
    <n v="7.4999999999999991"/>
    <s v="ADET"/>
    <n v="0"/>
    <n v="96"/>
    <n v="195.44000000000005"/>
    <n v="63.92"/>
    <n v="0"/>
    <n v="8241.2056000000011"/>
    <n v="128.93"/>
    <x v="11"/>
    <n v="966.97499999999991"/>
    <x v="1"/>
  </r>
  <r>
    <x v="3"/>
    <s v="Jan Urbanek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2"/>
    <s v="Jan Urbanek"/>
    <x v="1"/>
    <x v="22"/>
    <x v="22"/>
    <n v="1"/>
    <s v="ADET"/>
    <n v="0"/>
    <n v="13"/>
    <n v="4"/>
    <n v="-6"/>
    <n v="0"/>
    <n v="0"/>
    <n v="1250"/>
    <x v="9"/>
    <n v="1250"/>
    <x v="2"/>
  </r>
  <r>
    <x v="0"/>
    <s v="Matteo Giolo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0"/>
    <s v="Matteo Giolo"/>
    <x v="1"/>
    <x v="24"/>
    <x v="24"/>
    <n v="6.8"/>
    <s v="KG"/>
    <n v="0"/>
    <n v="120"/>
    <n v="113.68999999999977"/>
    <n v="-176.87000000000003"/>
    <n v="120"/>
    <n v="0"/>
    <n v="101.44"/>
    <x v="8"/>
    <n v="689.79199999999992"/>
    <x v="3"/>
  </r>
  <r>
    <x v="1"/>
    <s v="Laurent MONTAGNER"/>
    <x v="1"/>
    <x v="24"/>
    <x v="24"/>
    <n v="6.28"/>
    <s v="KG"/>
    <n v="6.28"/>
    <n v="120"/>
    <n v="113.68999999999977"/>
    <n v="-176.87000000000003"/>
    <n v="120"/>
    <n v="0"/>
    <n v="101.44"/>
    <x v="8"/>
    <n v="637.04319999999996"/>
    <x v="3"/>
  </r>
  <r>
    <x v="0"/>
    <s v="Matteo Giolo"/>
    <x v="1"/>
    <x v="25"/>
    <x v="25"/>
    <n v="9.5"/>
    <s v="ADET"/>
    <n v="0"/>
    <n v="96"/>
    <n v="195.44000000000005"/>
    <n v="63.92"/>
    <n v="0"/>
    <n v="8241.2056000000011"/>
    <n v="128.93"/>
    <x v="11"/>
    <n v="1224.835"/>
    <x v="1"/>
  </r>
  <r>
    <x v="6"/>
    <s v="Stefan Zaugg"/>
    <x v="1"/>
    <x v="31"/>
    <x v="31"/>
    <n v="2"/>
    <s v="ADET"/>
    <n v="0"/>
    <n v="35"/>
    <n v="8"/>
    <n v="-29"/>
    <n v="0"/>
    <n v="0"/>
    <n v="94.17"/>
    <x v="13"/>
    <n v="188.34"/>
    <x v="5"/>
  </r>
  <r>
    <x v="7"/>
    <s v="Stina Alm"/>
    <x v="1"/>
    <x v="19"/>
    <x v="19"/>
    <n v="83"/>
    <s v="ADET"/>
    <n v="0"/>
    <n v="3000"/>
    <n v="1048"/>
    <n v="-967"/>
    <n v="0"/>
    <n v="0"/>
    <n v="2.92"/>
    <x v="1"/>
    <n v="242.35999999999999"/>
    <x v="1"/>
  </r>
  <r>
    <x v="2"/>
    <s v="Jan Urbanek"/>
    <x v="1"/>
    <x v="19"/>
    <x v="19"/>
    <n v="135"/>
    <s v="ADET"/>
    <n v="0"/>
    <n v="3000"/>
    <n v="1048"/>
    <n v="-967"/>
    <n v="0"/>
    <n v="0"/>
    <n v="2.92"/>
    <x v="1"/>
    <n v="394.2"/>
    <x v="1"/>
  </r>
  <r>
    <x v="2"/>
    <s v="Jan Urbanek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1"/>
    <s v="Laurent MONTAGNER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5"/>
    <s v="Matteo Giolo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7"/>
    <s v="Stina Alm"/>
    <x v="1"/>
    <x v="33"/>
    <x v="33"/>
    <n v="14"/>
    <s v="ADET"/>
    <n v="0"/>
    <n v="196"/>
    <n v="31"/>
    <n v="18"/>
    <n v="0"/>
    <n v="360"/>
    <n v="20"/>
    <x v="2"/>
    <n v="280"/>
    <x v="1"/>
  </r>
  <r>
    <x v="6"/>
    <s v="Stefan Zaugg"/>
    <x v="1"/>
    <x v="33"/>
    <x v="33"/>
    <n v="10"/>
    <s v="ADET"/>
    <n v="0"/>
    <n v="196"/>
    <n v="31"/>
    <n v="18"/>
    <n v="0"/>
    <n v="360"/>
    <n v="20"/>
    <x v="2"/>
    <n v="200"/>
    <x v="1"/>
  </r>
  <r>
    <x v="5"/>
    <s v="Matteo Giolo"/>
    <x v="1"/>
    <x v="33"/>
    <x v="33"/>
    <n v="14"/>
    <s v="ADET"/>
    <n v="0"/>
    <n v="196"/>
    <n v="31"/>
    <n v="18"/>
    <n v="0"/>
    <n v="360"/>
    <n v="20"/>
    <x v="2"/>
    <n v="280"/>
    <x v="1"/>
  </r>
  <r>
    <x v="1"/>
    <s v="Laurent MONTAGNER"/>
    <x v="1"/>
    <x v="33"/>
    <x v="33"/>
    <n v="14"/>
    <s v="ADET"/>
    <n v="0"/>
    <n v="196"/>
    <n v="31"/>
    <n v="18"/>
    <n v="0"/>
    <n v="360"/>
    <n v="20"/>
    <x v="2"/>
    <n v="280"/>
    <x v="1"/>
  </r>
  <r>
    <x v="5"/>
    <s v="Matteo Giolo"/>
    <x v="1"/>
    <x v="34"/>
    <x v="34"/>
    <n v="4"/>
    <s v="ADET"/>
    <n v="0"/>
    <n v="83"/>
    <n v="52"/>
    <n v="-31"/>
    <n v="0"/>
    <n v="0"/>
    <n v="170"/>
    <x v="4"/>
    <n v="680"/>
    <x v="1"/>
  </r>
  <r>
    <x v="11"/>
    <s v="Jan Urbanek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9"/>
    <s v="Stefan Zaugg"/>
    <x v="1"/>
    <x v="32"/>
    <x v="32"/>
    <n v="0.5"/>
    <s v="ADET"/>
    <n v="0"/>
    <n v="5"/>
    <n v="9.7999999999999989"/>
    <n v="0.19999999999999929"/>
    <n v="0"/>
    <n v="7.599999999999973"/>
    <n v="38"/>
    <x v="2"/>
    <n v="19"/>
    <x v="1"/>
  </r>
  <r>
    <x v="9"/>
    <s v="Stefan Zaugg"/>
    <x v="1"/>
    <x v="33"/>
    <x v="33"/>
    <n v="10"/>
    <s v="ADET"/>
    <n v="0"/>
    <n v="196"/>
    <n v="31"/>
    <n v="18"/>
    <n v="0"/>
    <n v="360"/>
    <n v="20"/>
    <x v="2"/>
    <n v="200"/>
    <x v="1"/>
  </r>
  <r>
    <x v="12"/>
    <s v="Stefan Zaugg"/>
    <x v="1"/>
    <x v="33"/>
    <x v="33"/>
    <n v="6"/>
    <s v="ADET"/>
    <n v="0"/>
    <n v="196"/>
    <n v="31"/>
    <n v="18"/>
    <n v="0"/>
    <n v="360"/>
    <n v="20"/>
    <x v="2"/>
    <n v="120"/>
    <x v="1"/>
  </r>
  <r>
    <x v="14"/>
    <s v="Matteo Giolo"/>
    <x v="1"/>
    <x v="33"/>
    <x v="33"/>
    <n v="14"/>
    <s v="ADET"/>
    <n v="0"/>
    <n v="196"/>
    <n v="31"/>
    <n v="18"/>
    <n v="0"/>
    <n v="360"/>
    <n v="20"/>
    <x v="2"/>
    <n v="280"/>
    <x v="1"/>
  </r>
  <r>
    <x v="10"/>
    <s v="Murat Taşdemir"/>
    <x v="1"/>
    <x v="34"/>
    <x v="34"/>
    <n v="4"/>
    <s v="ADET"/>
    <n v="0"/>
    <n v="83"/>
    <n v="52"/>
    <n v="-31"/>
    <n v="0"/>
    <n v="0"/>
    <n v="170"/>
    <x v="4"/>
    <n v="680"/>
    <x v="1"/>
  </r>
  <r>
    <x v="7"/>
    <s v="Stina Alm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7"/>
    <s v="Stina Alm"/>
    <x v="1"/>
    <x v="34"/>
    <x v="34"/>
    <n v="4"/>
    <s v="ADET"/>
    <n v="0"/>
    <n v="83"/>
    <n v="52"/>
    <n v="-31"/>
    <n v="0"/>
    <n v="0"/>
    <n v="170"/>
    <x v="4"/>
    <n v="680"/>
    <x v="1"/>
  </r>
  <r>
    <x v="14"/>
    <s v="Matteo Giolo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11"/>
    <s v="Jan Urbanek"/>
    <x v="1"/>
    <x v="33"/>
    <x v="33"/>
    <n v="10"/>
    <s v="ADET"/>
    <n v="0"/>
    <n v="196"/>
    <n v="31"/>
    <n v="18"/>
    <n v="0"/>
    <n v="360"/>
    <n v="20"/>
    <x v="2"/>
    <n v="200"/>
    <x v="1"/>
  </r>
  <r>
    <x v="12"/>
    <s v="Stefan Zaugg"/>
    <x v="1"/>
    <x v="34"/>
    <x v="34"/>
    <n v="4"/>
    <s v="ADET"/>
    <n v="4"/>
    <n v="83"/>
    <n v="52"/>
    <n v="-31"/>
    <n v="0"/>
    <n v="0"/>
    <n v="170"/>
    <x v="4"/>
    <n v="680"/>
    <x v="1"/>
  </r>
  <r>
    <x v="14"/>
    <s v="Matteo Giolo"/>
    <x v="1"/>
    <x v="34"/>
    <x v="34"/>
    <n v="4"/>
    <s v="ADET"/>
    <n v="0"/>
    <n v="83"/>
    <n v="52"/>
    <n v="-31"/>
    <n v="0"/>
    <n v="0"/>
    <n v="170"/>
    <x v="4"/>
    <n v="680"/>
    <x v="1"/>
  </r>
  <r>
    <x v="6"/>
    <s v="Stefan Zaugg"/>
    <x v="1"/>
    <x v="32"/>
    <x v="32"/>
    <n v="0.5"/>
    <s v="ADET"/>
    <n v="0"/>
    <n v="5"/>
    <n v="9.7999999999999989"/>
    <n v="0.19999999999999929"/>
    <n v="0"/>
    <n v="7.599999999999973"/>
    <n v="38"/>
    <x v="2"/>
    <n v="19"/>
    <x v="1"/>
  </r>
  <r>
    <x v="0"/>
    <s v="Matteo Giolo"/>
    <x v="1"/>
    <x v="34"/>
    <x v="34"/>
    <n v="4"/>
    <s v="ADET"/>
    <n v="0"/>
    <n v="83"/>
    <n v="52"/>
    <n v="-31"/>
    <n v="0"/>
    <n v="0"/>
    <n v="170"/>
    <x v="4"/>
    <n v="680"/>
    <x v="1"/>
  </r>
  <r>
    <x v="6"/>
    <s v="Stefan Zaugg"/>
    <x v="1"/>
    <x v="35"/>
    <x v="35"/>
    <n v="8"/>
    <s v="ADET"/>
    <n v="8"/>
    <n v="1278"/>
    <n v="690"/>
    <n v="-1174"/>
    <n v="0"/>
    <n v="0"/>
    <n v="0.55000000000000004"/>
    <x v="2"/>
    <n v="4.4000000000000004"/>
    <x v="1"/>
  </r>
  <r>
    <x v="10"/>
    <s v="Murat Taşdemir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10"/>
    <s v="Murat Taşdemir"/>
    <x v="1"/>
    <x v="33"/>
    <x v="33"/>
    <n v="8"/>
    <s v="ADET"/>
    <n v="0"/>
    <n v="196"/>
    <n v="31"/>
    <n v="18"/>
    <n v="0"/>
    <n v="360"/>
    <n v="20"/>
    <x v="2"/>
    <n v="160"/>
    <x v="1"/>
  </r>
  <r>
    <x v="0"/>
    <s v="Matteo Giolo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0"/>
    <s v="Matteo Giolo"/>
    <x v="1"/>
    <x v="33"/>
    <x v="33"/>
    <n v="10"/>
    <s v="ADET"/>
    <n v="0"/>
    <n v="196"/>
    <n v="31"/>
    <n v="18"/>
    <n v="0"/>
    <n v="360"/>
    <n v="20"/>
    <x v="2"/>
    <n v="200"/>
    <x v="1"/>
  </r>
  <r>
    <x v="0"/>
    <s v="Matteo Giolo"/>
    <x v="1"/>
    <x v="35"/>
    <x v="35"/>
    <n v="8"/>
    <s v="ADET"/>
    <n v="0"/>
    <n v="1278"/>
    <n v="690"/>
    <n v="-1174"/>
    <n v="0"/>
    <n v="0"/>
    <n v="0.55000000000000004"/>
    <x v="2"/>
    <n v="4.4000000000000004"/>
    <x v="1"/>
  </r>
  <r>
    <x v="13"/>
    <s v="Volkan Batkan"/>
    <x v="1"/>
    <x v="33"/>
    <x v="33"/>
    <n v="10"/>
    <s v="ADET"/>
    <n v="0"/>
    <n v="196"/>
    <n v="31"/>
    <n v="18"/>
    <n v="0"/>
    <n v="360"/>
    <n v="20"/>
    <x v="2"/>
    <n v="200"/>
    <x v="1"/>
  </r>
  <r>
    <x v="11"/>
    <s v="Jan Urbanek"/>
    <x v="1"/>
    <x v="34"/>
    <x v="34"/>
    <n v="4"/>
    <s v="ADET"/>
    <n v="0"/>
    <n v="83"/>
    <n v="52"/>
    <n v="-31"/>
    <n v="0"/>
    <n v="0"/>
    <n v="170"/>
    <x v="4"/>
    <n v="680"/>
    <x v="1"/>
  </r>
  <r>
    <x v="8"/>
    <s v="Jan Urbanek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8"/>
    <s v="Jan Urbanek"/>
    <x v="1"/>
    <x v="33"/>
    <x v="33"/>
    <n v="10"/>
    <s v="ADET"/>
    <n v="0"/>
    <n v="196"/>
    <n v="31"/>
    <n v="18"/>
    <n v="0"/>
    <n v="360"/>
    <n v="20"/>
    <x v="2"/>
    <n v="200"/>
    <x v="1"/>
  </r>
  <r>
    <x v="8"/>
    <s v="Jan Urbanek"/>
    <x v="1"/>
    <x v="35"/>
    <x v="35"/>
    <n v="16"/>
    <s v="ADET"/>
    <n v="0"/>
    <n v="1278"/>
    <n v="690"/>
    <n v="-1174"/>
    <n v="0"/>
    <n v="0"/>
    <n v="0.55000000000000004"/>
    <x v="2"/>
    <n v="8.8000000000000007"/>
    <x v="1"/>
  </r>
  <r>
    <x v="2"/>
    <s v="Jan Urbanek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3"/>
    <s v="Jan Urbanek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4"/>
    <s v="Jan Urbanek"/>
    <x v="1"/>
    <x v="33"/>
    <x v="33"/>
    <n v="10"/>
    <s v="ADET"/>
    <n v="0"/>
    <n v="196"/>
    <n v="31"/>
    <n v="18"/>
    <n v="0"/>
    <n v="360"/>
    <n v="20"/>
    <x v="2"/>
    <n v="200"/>
    <x v="1"/>
  </r>
  <r>
    <x v="3"/>
    <s v="Jan Urbanek"/>
    <x v="1"/>
    <x v="33"/>
    <x v="33"/>
    <n v="10"/>
    <s v="ADET"/>
    <n v="0"/>
    <n v="196"/>
    <n v="31"/>
    <n v="18"/>
    <n v="0"/>
    <n v="360"/>
    <n v="20"/>
    <x v="2"/>
    <n v="200"/>
    <x v="1"/>
  </r>
  <r>
    <x v="2"/>
    <s v="Jan Urbanek"/>
    <x v="1"/>
    <x v="35"/>
    <x v="35"/>
    <n v="8"/>
    <s v="ADET"/>
    <n v="0"/>
    <n v="1278"/>
    <n v="690"/>
    <n v="-1174"/>
    <n v="0"/>
    <n v="0"/>
    <n v="0.55000000000000004"/>
    <x v="2"/>
    <n v="4.4000000000000004"/>
    <x v="1"/>
  </r>
  <r>
    <x v="11"/>
    <s v="Jan Urbanek"/>
    <x v="1"/>
    <x v="35"/>
    <x v="35"/>
    <n v="8"/>
    <s v="ADET"/>
    <n v="0"/>
    <n v="1278"/>
    <n v="690"/>
    <n v="-1174"/>
    <n v="0"/>
    <n v="0"/>
    <n v="0.55000000000000004"/>
    <x v="2"/>
    <n v="4.4000000000000004"/>
    <x v="1"/>
  </r>
  <r>
    <x v="9"/>
    <s v="Stefan Zaugg"/>
    <x v="1"/>
    <x v="36"/>
    <x v="36"/>
    <n v="0.5"/>
    <s v="ADET"/>
    <n v="0"/>
    <n v="12"/>
    <n v="3"/>
    <n v="-3"/>
    <n v="0"/>
    <n v="0"/>
    <n v="130"/>
    <x v="14"/>
    <n v="65"/>
    <x v="3"/>
  </r>
  <r>
    <x v="11"/>
    <s v="Jan Urbanek"/>
    <x v="1"/>
    <x v="37"/>
    <x v="37"/>
    <n v="2.02"/>
    <s v="ADET"/>
    <n v="0"/>
    <n v="48"/>
    <n v="-2.1316282072803006E-14"/>
    <n v="23.620000000000005"/>
    <n v="0"/>
    <n v="2362.0000000000005"/>
    <n v="100"/>
    <x v="2"/>
    <n v="202"/>
    <x v="3"/>
  </r>
  <r>
    <x v="12"/>
    <s v="Stefan Zaugg"/>
    <x v="1"/>
    <x v="37"/>
    <x v="37"/>
    <n v="9"/>
    <s v="ADET"/>
    <n v="0"/>
    <n v="48"/>
    <n v="-2.1316282072803006E-14"/>
    <n v="23.620000000000005"/>
    <n v="0"/>
    <n v="2362.0000000000005"/>
    <n v="100"/>
    <x v="2"/>
    <n v="900"/>
    <x v="3"/>
  </r>
  <r>
    <x v="4"/>
    <s v="Jan Urbanek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8"/>
    <s v="Jan Urbanek"/>
    <x v="1"/>
    <x v="34"/>
    <x v="34"/>
    <n v="4"/>
    <s v="ADET"/>
    <n v="0"/>
    <n v="83"/>
    <n v="52"/>
    <n v="-31"/>
    <n v="0"/>
    <n v="0"/>
    <n v="170"/>
    <x v="4"/>
    <n v="680"/>
    <x v="1"/>
  </r>
  <r>
    <x v="4"/>
    <s v="Jan Urbanek"/>
    <x v="1"/>
    <x v="35"/>
    <x v="35"/>
    <n v="16"/>
    <s v="ADET"/>
    <n v="0"/>
    <n v="1278"/>
    <n v="690"/>
    <n v="-1174"/>
    <n v="0"/>
    <n v="0"/>
    <n v="0.55000000000000004"/>
    <x v="2"/>
    <n v="8.8000000000000007"/>
    <x v="1"/>
  </r>
  <r>
    <x v="3"/>
    <s v="Jan Urbanek"/>
    <x v="1"/>
    <x v="35"/>
    <x v="35"/>
    <n v="8"/>
    <s v="ADET"/>
    <n v="0"/>
    <n v="1278"/>
    <n v="690"/>
    <n v="-1174"/>
    <n v="0"/>
    <n v="0"/>
    <n v="0.55000000000000004"/>
    <x v="2"/>
    <n v="4.4000000000000004"/>
    <x v="1"/>
  </r>
  <r>
    <x v="10"/>
    <s v="Murat Taşdemir"/>
    <x v="1"/>
    <x v="36"/>
    <x v="36"/>
    <n v="0.5"/>
    <s v="ADET"/>
    <n v="0"/>
    <n v="12"/>
    <n v="3"/>
    <n v="-3"/>
    <n v="0"/>
    <n v="0"/>
    <n v="130"/>
    <x v="14"/>
    <n v="65"/>
    <x v="3"/>
  </r>
  <r>
    <x v="9"/>
    <s v="Stefan Zaugg"/>
    <x v="1"/>
    <x v="37"/>
    <x v="37"/>
    <n v="9"/>
    <s v="ADET"/>
    <n v="0"/>
    <n v="48"/>
    <n v="-2.1316282072803006E-14"/>
    <n v="23.620000000000005"/>
    <n v="0"/>
    <n v="2362.0000000000005"/>
    <n v="100"/>
    <x v="2"/>
    <n v="900"/>
    <x v="3"/>
  </r>
  <r>
    <x v="16"/>
    <s v="Laurent MONTAGNER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16"/>
    <s v="Laurent MONTAGNER"/>
    <x v="1"/>
    <x v="33"/>
    <x v="33"/>
    <n v="16"/>
    <s v="ADET"/>
    <n v="0"/>
    <n v="196"/>
    <n v="31"/>
    <n v="18"/>
    <n v="0"/>
    <n v="360"/>
    <n v="20"/>
    <x v="2"/>
    <n v="320"/>
    <x v="1"/>
  </r>
  <r>
    <x v="17"/>
    <s v="Soner Kayıkçı"/>
    <x v="1"/>
    <x v="33"/>
    <x v="33"/>
    <n v="10"/>
    <s v="ADET"/>
    <n v="0"/>
    <n v="196"/>
    <n v="31"/>
    <n v="18"/>
    <n v="0"/>
    <n v="360"/>
    <n v="20"/>
    <x v="2"/>
    <n v="200"/>
    <x v="1"/>
  </r>
  <r>
    <x v="17"/>
    <s v="Soner Kayıkçı"/>
    <x v="1"/>
    <x v="34"/>
    <x v="34"/>
    <n v="4"/>
    <s v="ADET"/>
    <n v="0"/>
    <n v="83"/>
    <n v="52"/>
    <n v="-31"/>
    <n v="0"/>
    <n v="0"/>
    <n v="170"/>
    <x v="4"/>
    <n v="680"/>
    <x v="1"/>
  </r>
  <r>
    <x v="2"/>
    <s v="Jan Urbanek"/>
    <x v="1"/>
    <x v="33"/>
    <x v="33"/>
    <n v="10"/>
    <s v="ADET"/>
    <n v="0"/>
    <n v="196"/>
    <n v="31"/>
    <n v="18"/>
    <n v="0"/>
    <n v="360"/>
    <n v="20"/>
    <x v="2"/>
    <n v="200"/>
    <x v="1"/>
  </r>
  <r>
    <x v="2"/>
    <s v="Jan Urbanek"/>
    <x v="1"/>
    <x v="34"/>
    <x v="34"/>
    <n v="4"/>
    <s v="ADET"/>
    <n v="0"/>
    <n v="83"/>
    <n v="52"/>
    <n v="-31"/>
    <n v="0"/>
    <n v="0"/>
    <n v="170"/>
    <x v="4"/>
    <n v="680"/>
    <x v="1"/>
  </r>
  <r>
    <x v="4"/>
    <s v="Jan Urbanek"/>
    <x v="1"/>
    <x v="34"/>
    <x v="34"/>
    <n v="4"/>
    <s v="ADET"/>
    <n v="0"/>
    <n v="83"/>
    <n v="52"/>
    <n v="-31"/>
    <n v="0"/>
    <n v="0"/>
    <n v="170"/>
    <x v="4"/>
    <n v="680"/>
    <x v="1"/>
  </r>
  <r>
    <x v="8"/>
    <s v="Jan Urbanek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2"/>
    <s v="Jan Urbanek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1"/>
    <s v="Jan Urbanek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0"/>
    <s v="Matteo Giolo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1"/>
    <s v="Laurent MONTAGNER"/>
    <x v="1"/>
    <x v="38"/>
    <x v="38"/>
    <n v="10"/>
    <s v="ADET"/>
    <n v="0"/>
    <n v="2000"/>
    <n v="7604"/>
    <n v="-1531"/>
    <n v="0"/>
    <n v="0"/>
    <n v="0.3"/>
    <x v="2"/>
    <n v="3"/>
    <x v="1"/>
  </r>
  <r>
    <x v="5"/>
    <s v="Matteo Giolo"/>
    <x v="1"/>
    <x v="39"/>
    <x v="39"/>
    <n v="6"/>
    <s v="ADET"/>
    <n v="0"/>
    <n v="0"/>
    <n v="106"/>
    <n v="6"/>
    <n v="0"/>
    <n v="1.7399999999999998"/>
    <n v="0.28999999999999998"/>
    <x v="6"/>
    <n v="1.7399999999999998"/>
    <x v="1"/>
  </r>
  <r>
    <x v="7"/>
    <s v="Stina Alm"/>
    <x v="1"/>
    <x v="40"/>
    <x v="40"/>
    <n v="16"/>
    <s v="ADET"/>
    <n v="0"/>
    <n v="1000"/>
    <n v="0"/>
    <n v="-936"/>
    <n v="0"/>
    <n v="0"/>
    <n v="0.15"/>
    <x v="2"/>
    <n v="2.4"/>
    <x v="1"/>
  </r>
  <r>
    <x v="7"/>
    <s v="Stina Alm"/>
    <x v="1"/>
    <x v="38"/>
    <x v="38"/>
    <n v="30"/>
    <s v="ADET"/>
    <n v="0"/>
    <n v="2000"/>
    <n v="7604"/>
    <n v="-1531"/>
    <n v="0"/>
    <n v="0"/>
    <n v="0.3"/>
    <x v="2"/>
    <n v="9"/>
    <x v="1"/>
  </r>
  <r>
    <x v="6"/>
    <s v="Stefan Zaugg"/>
    <x v="1"/>
    <x v="38"/>
    <x v="38"/>
    <n v="17"/>
    <s v="ADET"/>
    <n v="0"/>
    <n v="2000"/>
    <n v="7604"/>
    <n v="-1531"/>
    <n v="0"/>
    <n v="0"/>
    <n v="0.3"/>
    <x v="2"/>
    <n v="5.0999999999999996"/>
    <x v="1"/>
  </r>
  <r>
    <x v="14"/>
    <s v="Matteo Giolo"/>
    <x v="1"/>
    <x v="40"/>
    <x v="40"/>
    <n v="16"/>
    <s v="ADET"/>
    <n v="0"/>
    <n v="1000"/>
    <n v="0"/>
    <n v="-936"/>
    <n v="0"/>
    <n v="0"/>
    <n v="0.15"/>
    <x v="2"/>
    <n v="2.4"/>
    <x v="1"/>
  </r>
  <r>
    <x v="9"/>
    <s v="Stefan Zaugg"/>
    <x v="1"/>
    <x v="38"/>
    <x v="38"/>
    <n v="17"/>
    <s v="ADET"/>
    <n v="0"/>
    <n v="2000"/>
    <n v="7604"/>
    <n v="-1531"/>
    <n v="0"/>
    <n v="0"/>
    <n v="0.3"/>
    <x v="2"/>
    <n v="5.0999999999999996"/>
    <x v="1"/>
  </r>
  <r>
    <x v="12"/>
    <s v="Stefan Zaugg"/>
    <x v="1"/>
    <x v="38"/>
    <x v="38"/>
    <n v="17"/>
    <s v="ADET"/>
    <n v="0"/>
    <n v="2000"/>
    <n v="7604"/>
    <n v="-1531"/>
    <n v="0"/>
    <n v="0"/>
    <n v="0.3"/>
    <x v="2"/>
    <n v="5.0999999999999996"/>
    <x v="1"/>
  </r>
  <r>
    <x v="13"/>
    <s v="Volkan Batkan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14"/>
    <s v="Matteo Giolo"/>
    <x v="1"/>
    <x v="38"/>
    <x v="38"/>
    <n v="30"/>
    <s v="ADET"/>
    <n v="0"/>
    <n v="2000"/>
    <n v="7604"/>
    <n v="-1531"/>
    <n v="0"/>
    <n v="0"/>
    <n v="0.3"/>
    <x v="2"/>
    <n v="9"/>
    <x v="1"/>
  </r>
  <r>
    <x v="8"/>
    <s v="Jan Urbanek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5"/>
    <s v="Matteo Giolo"/>
    <x v="1"/>
    <x v="40"/>
    <x v="40"/>
    <n v="16"/>
    <s v="ADET"/>
    <n v="0"/>
    <n v="1000"/>
    <n v="0"/>
    <n v="-936"/>
    <n v="0"/>
    <n v="0"/>
    <n v="0.15"/>
    <x v="2"/>
    <n v="2.4"/>
    <x v="1"/>
  </r>
  <r>
    <x v="5"/>
    <s v="Matteo Giolo"/>
    <x v="1"/>
    <x v="38"/>
    <x v="38"/>
    <n v="30"/>
    <s v="ADET"/>
    <n v="0"/>
    <n v="2000"/>
    <n v="7604"/>
    <n v="-1531"/>
    <n v="0"/>
    <n v="0"/>
    <n v="0.3"/>
    <x v="2"/>
    <n v="9"/>
    <x v="1"/>
  </r>
  <r>
    <x v="6"/>
    <s v="Stefan Zaugg"/>
    <x v="1"/>
    <x v="41"/>
    <x v="41"/>
    <n v="8"/>
    <s v="ADET"/>
    <n v="0"/>
    <n v="3000"/>
    <n v="10000"/>
    <n v="-2984"/>
    <n v="0"/>
    <n v="0"/>
    <n v="0.3"/>
    <x v="2"/>
    <n v="2.4"/>
    <x v="1"/>
  </r>
  <r>
    <x v="10"/>
    <s v="Murat Taşdemir"/>
    <x v="1"/>
    <x v="38"/>
    <x v="38"/>
    <n v="10"/>
    <s v="ADET"/>
    <n v="0"/>
    <n v="2000"/>
    <n v="7604"/>
    <n v="-1531"/>
    <n v="0"/>
    <n v="0"/>
    <n v="0.3"/>
    <x v="2"/>
    <n v="3"/>
    <x v="1"/>
  </r>
  <r>
    <x v="4"/>
    <s v="Jan Urbanek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3"/>
    <s v="Jan Urbanek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2"/>
    <s v="Jan Urbanek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2"/>
    <s v="Jan Urbanek"/>
    <x v="1"/>
    <x v="43"/>
    <x v="43"/>
    <n v="2"/>
    <s v="ADET"/>
    <n v="0"/>
    <n v="44"/>
    <n v="12"/>
    <n v="-18"/>
    <n v="0"/>
    <n v="0"/>
    <n v="375"/>
    <x v="16"/>
    <n v="750"/>
    <x v="2"/>
  </r>
  <r>
    <x v="8"/>
    <s v="Jan Urbanek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11"/>
    <s v="Jan Urbanek"/>
    <x v="1"/>
    <x v="43"/>
    <x v="43"/>
    <n v="2"/>
    <s v="ADET"/>
    <n v="0"/>
    <n v="44"/>
    <n v="12"/>
    <n v="-18"/>
    <n v="0"/>
    <n v="0"/>
    <n v="375"/>
    <x v="16"/>
    <n v="750"/>
    <x v="2"/>
  </r>
  <r>
    <x v="13"/>
    <s v="Volkan Batkan"/>
    <x v="1"/>
    <x v="42"/>
    <x v="42"/>
    <n v="1"/>
    <s v="ADET"/>
    <n v="1"/>
    <n v="1"/>
    <n v="8"/>
    <n v="10"/>
    <n v="0"/>
    <n v="156184.20000000001"/>
    <n v="15618.42"/>
    <x v="15"/>
    <n v="15618.42"/>
    <x v="2"/>
  </r>
  <r>
    <x v="13"/>
    <s v="Volkan Batkan"/>
    <x v="1"/>
    <x v="44"/>
    <x v="44"/>
    <n v="8"/>
    <s v="ADET"/>
    <n v="8"/>
    <n v="175"/>
    <n v="0"/>
    <n v="-95"/>
    <n v="0"/>
    <n v="0"/>
    <n v="8.42"/>
    <x v="5"/>
    <n v="67.36"/>
    <x v="4"/>
  </r>
  <r>
    <x v="14"/>
    <s v="Matteo Giolo"/>
    <x v="1"/>
    <x v="8"/>
    <x v="8"/>
    <n v="2"/>
    <s v="ADET"/>
    <n v="0"/>
    <n v="24"/>
    <n v="27"/>
    <n v="1"/>
    <n v="0"/>
    <n v="42"/>
    <n v="42"/>
    <x v="4"/>
    <n v="84"/>
    <x v="1"/>
  </r>
  <r>
    <x v="11"/>
    <s v="Jan Urbanek"/>
    <x v="1"/>
    <x v="11"/>
    <x v="11"/>
    <n v="16"/>
    <s v="ADET"/>
    <n v="0"/>
    <n v="4822"/>
    <n v="811"/>
    <n v="-4638"/>
    <n v="0"/>
    <n v="0"/>
    <n v="0.3"/>
    <x v="2"/>
    <n v="4.8"/>
    <x v="1"/>
  </r>
  <r>
    <x v="7"/>
    <s v="Stina Alm"/>
    <x v="1"/>
    <x v="5"/>
    <x v="5"/>
    <n v="1"/>
    <s v="ADET"/>
    <n v="0"/>
    <n v="0"/>
    <n v="65"/>
    <n v="-94"/>
    <n v="100"/>
    <n v="0"/>
    <n v="115"/>
    <x v="2"/>
    <n v="115"/>
    <x v="1"/>
  </r>
  <r>
    <x v="2"/>
    <s v="Jan Urbanek"/>
    <x v="1"/>
    <x v="1"/>
    <x v="1"/>
    <n v="30"/>
    <s v="ADET"/>
    <n v="0"/>
    <n v="1000"/>
    <n v="4807"/>
    <n v="-450"/>
    <n v="0"/>
    <n v="0"/>
    <n v="0.3"/>
    <x v="1"/>
    <n v="9"/>
    <x v="1"/>
  </r>
  <r>
    <x v="14"/>
    <s v="Matteo Giolo"/>
    <x v="0"/>
    <x v="0"/>
    <x v="0"/>
    <n v="1"/>
    <s v="ADET"/>
    <n v="0"/>
    <n v="3"/>
    <n v="8"/>
    <n v="10"/>
    <n v="0"/>
    <n v="0"/>
    <m/>
    <x v="0"/>
    <m/>
    <x v="0"/>
  </r>
  <r>
    <x v="11"/>
    <s v="Jan Urbanek"/>
    <x v="0"/>
    <x v="0"/>
    <x v="0"/>
    <n v="1"/>
    <s v="ADET"/>
    <n v="0"/>
    <n v="3"/>
    <n v="8"/>
    <n v="10"/>
    <n v="0"/>
    <n v="0"/>
    <m/>
    <x v="0"/>
    <m/>
    <x v="0"/>
  </r>
  <r>
    <x v="11"/>
    <s v="Jan Urbanek"/>
    <x v="1"/>
    <x v="1"/>
    <x v="1"/>
    <n v="30"/>
    <s v="ADET"/>
    <n v="0"/>
    <n v="1000"/>
    <n v="4807"/>
    <n v="-450"/>
    <n v="0"/>
    <n v="0"/>
    <n v="0.3"/>
    <x v="1"/>
    <n v="9"/>
    <x v="1"/>
  </r>
  <r>
    <x v="14"/>
    <s v="Matteo Giolo"/>
    <x v="1"/>
    <x v="5"/>
    <x v="5"/>
    <n v="1"/>
    <s v="ADET"/>
    <n v="0"/>
    <n v="0"/>
    <n v="65"/>
    <n v="-94"/>
    <n v="100"/>
    <n v="0"/>
    <n v="115"/>
    <x v="2"/>
    <n v="115"/>
    <x v="1"/>
  </r>
  <r>
    <x v="11"/>
    <s v="Jan Urbanek"/>
    <x v="1"/>
    <x v="2"/>
    <x v="2"/>
    <n v="4"/>
    <s v="ADET"/>
    <n v="0"/>
    <n v="212"/>
    <n v="625"/>
    <n v="-146"/>
    <n v="0"/>
    <n v="0"/>
    <n v="3.95"/>
    <x v="2"/>
    <n v="15.8"/>
    <x v="1"/>
  </r>
  <r>
    <x v="14"/>
    <s v="Matteo Giolo"/>
    <x v="1"/>
    <x v="2"/>
    <x v="2"/>
    <n v="4"/>
    <s v="ADET"/>
    <n v="0"/>
    <n v="212"/>
    <n v="625"/>
    <n v="-146"/>
    <n v="0"/>
    <n v="0"/>
    <n v="3.95"/>
    <x v="2"/>
    <n v="15.8"/>
    <x v="1"/>
  </r>
  <r>
    <x v="14"/>
    <s v="Matteo Giolo"/>
    <x v="1"/>
    <x v="4"/>
    <x v="4"/>
    <n v="1"/>
    <s v="ADET"/>
    <n v="0"/>
    <n v="7"/>
    <n v="6"/>
    <n v="5"/>
    <n v="0"/>
    <n v="12288.25"/>
    <n v="2457.65"/>
    <x v="3"/>
    <n v="2457.65"/>
    <x v="2"/>
  </r>
  <r>
    <x v="11"/>
    <s v="Jan Urbanek"/>
    <x v="1"/>
    <x v="4"/>
    <x v="4"/>
    <n v="1"/>
    <s v="ADET"/>
    <n v="0"/>
    <n v="7"/>
    <n v="6"/>
    <n v="5"/>
    <n v="0"/>
    <n v="12288.25"/>
    <n v="2457.65"/>
    <x v="3"/>
    <n v="2457.65"/>
    <x v="2"/>
  </r>
  <r>
    <x v="7"/>
    <s v="Stina Alm"/>
    <x v="1"/>
    <x v="4"/>
    <x v="4"/>
    <n v="1"/>
    <s v="ADET"/>
    <n v="0"/>
    <n v="7"/>
    <n v="6"/>
    <n v="5"/>
    <n v="0"/>
    <n v="12288.25"/>
    <n v="2457.65"/>
    <x v="3"/>
    <n v="2457.65"/>
    <x v="2"/>
  </r>
  <r>
    <x v="0"/>
    <s v="Matteo Giolo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2"/>
    <s v="Stefan Zaugg"/>
    <x v="0"/>
    <x v="0"/>
    <x v="0"/>
    <n v="1"/>
    <s v="ADET"/>
    <n v="1"/>
    <n v="3"/>
    <n v="8"/>
    <n v="10"/>
    <n v="0"/>
    <n v="0"/>
    <m/>
    <x v="0"/>
    <m/>
    <x v="0"/>
  </r>
  <r>
    <x v="13"/>
    <s v="Volkan Batkan"/>
    <x v="1"/>
    <x v="1"/>
    <x v="1"/>
    <n v="30"/>
    <s v="ADET"/>
    <n v="0"/>
    <n v="1000"/>
    <n v="4807"/>
    <n v="-450"/>
    <n v="0"/>
    <n v="0"/>
    <n v="0.3"/>
    <x v="1"/>
    <n v="9"/>
    <x v="1"/>
  </r>
  <r>
    <x v="14"/>
    <s v="Matteo Giolo"/>
    <x v="1"/>
    <x v="1"/>
    <x v="1"/>
    <n v="21"/>
    <s v="ADET"/>
    <n v="0"/>
    <n v="1000"/>
    <n v="4807"/>
    <n v="-450"/>
    <n v="0"/>
    <n v="0"/>
    <n v="0.3"/>
    <x v="1"/>
    <n v="6.3"/>
    <x v="1"/>
  </r>
  <r>
    <x v="9"/>
    <s v="Stefan Zaugg"/>
    <x v="1"/>
    <x v="1"/>
    <x v="1"/>
    <n v="18"/>
    <s v="ADET"/>
    <n v="0"/>
    <n v="1000"/>
    <n v="4807"/>
    <n v="-450"/>
    <n v="0"/>
    <n v="0"/>
    <n v="0.3"/>
    <x v="1"/>
    <n v="5.3999999999999995"/>
    <x v="1"/>
  </r>
  <r>
    <x v="12"/>
    <s v="Stefan Zaugg"/>
    <x v="1"/>
    <x v="1"/>
    <x v="1"/>
    <n v="15"/>
    <s v="ADET"/>
    <n v="0"/>
    <n v="1000"/>
    <n v="4807"/>
    <n v="-450"/>
    <n v="0"/>
    <n v="0"/>
    <n v="0.3"/>
    <x v="1"/>
    <n v="4.5"/>
    <x v="1"/>
  </r>
  <r>
    <x v="13"/>
    <s v="Volkan Batkan"/>
    <x v="1"/>
    <x v="2"/>
    <x v="2"/>
    <n v="8"/>
    <s v="ADET"/>
    <n v="0"/>
    <n v="212"/>
    <n v="625"/>
    <n v="-146"/>
    <n v="0"/>
    <n v="0"/>
    <n v="3.95"/>
    <x v="2"/>
    <n v="31.6"/>
    <x v="1"/>
  </r>
  <r>
    <x v="12"/>
    <s v="Stefan Zaugg"/>
    <x v="1"/>
    <x v="2"/>
    <x v="2"/>
    <n v="4"/>
    <s v="ADET"/>
    <n v="0"/>
    <n v="212"/>
    <n v="625"/>
    <n v="-146"/>
    <n v="0"/>
    <n v="0"/>
    <n v="3.95"/>
    <x v="2"/>
    <n v="15.8"/>
    <x v="1"/>
  </r>
  <r>
    <x v="14"/>
    <s v="Matteo Giolo"/>
    <x v="1"/>
    <x v="3"/>
    <x v="3"/>
    <n v="1"/>
    <s v="ADET"/>
    <n v="0"/>
    <n v="10"/>
    <n v="3"/>
    <n v="-3"/>
    <n v="0"/>
    <n v="0"/>
    <n v="45"/>
    <x v="2"/>
    <n v="45"/>
    <x v="1"/>
  </r>
  <r>
    <x v="9"/>
    <s v="Stefan Zaugg"/>
    <x v="1"/>
    <x v="4"/>
    <x v="4"/>
    <n v="1"/>
    <s v="ADET"/>
    <n v="1"/>
    <n v="7"/>
    <n v="6"/>
    <n v="5"/>
    <n v="0"/>
    <n v="12288.25"/>
    <n v="2457.65"/>
    <x v="3"/>
    <n v="2457.65"/>
    <x v="2"/>
  </r>
  <r>
    <x v="14"/>
    <s v="Matteo Giolo"/>
    <x v="1"/>
    <x v="46"/>
    <x v="46"/>
    <n v="0.5"/>
    <s v="GR"/>
    <n v="0"/>
    <n v="500"/>
    <n v="0"/>
    <n v="-499"/>
    <n v="0"/>
    <n v="0"/>
    <n v="4"/>
    <x v="18"/>
    <n v="2"/>
    <x v="3"/>
  </r>
  <r>
    <x v="6"/>
    <s v="Stefan Zaugg"/>
    <x v="1"/>
    <x v="4"/>
    <x v="4"/>
    <n v="1"/>
    <s v="ADET"/>
    <n v="1"/>
    <n v="7"/>
    <n v="6"/>
    <n v="5"/>
    <n v="0"/>
    <n v="12288.25"/>
    <n v="2457.65"/>
    <x v="3"/>
    <n v="2457.65"/>
    <x v="2"/>
  </r>
  <r>
    <x v="4"/>
    <s v="Jan Urbanek"/>
    <x v="1"/>
    <x v="4"/>
    <x v="4"/>
    <n v="1"/>
    <s v="ADET"/>
    <n v="0"/>
    <n v="7"/>
    <n v="6"/>
    <n v="5"/>
    <n v="0"/>
    <n v="12288.25"/>
    <n v="2457.65"/>
    <x v="3"/>
    <n v="2457.65"/>
    <x v="2"/>
  </r>
  <r>
    <x v="10"/>
    <s v="Murat Taşdemir"/>
    <x v="0"/>
    <x v="0"/>
    <x v="0"/>
    <n v="1"/>
    <s v="ADET"/>
    <n v="0"/>
    <n v="3"/>
    <n v="8"/>
    <n v="10"/>
    <n v="0"/>
    <n v="0"/>
    <m/>
    <x v="0"/>
    <m/>
    <x v="0"/>
  </r>
  <r>
    <x v="10"/>
    <s v="Murat Taşdemir"/>
    <x v="1"/>
    <x v="1"/>
    <x v="1"/>
    <n v="52"/>
    <s v="ADET"/>
    <n v="0"/>
    <n v="1000"/>
    <n v="4807"/>
    <n v="-450"/>
    <n v="0"/>
    <n v="0"/>
    <n v="0.3"/>
    <x v="1"/>
    <n v="15.6"/>
    <x v="1"/>
  </r>
  <r>
    <x v="10"/>
    <s v="Murat Taşdemir"/>
    <x v="1"/>
    <x v="5"/>
    <x v="5"/>
    <n v="1"/>
    <s v="ADET"/>
    <n v="0"/>
    <n v="0"/>
    <n v="65"/>
    <n v="-94"/>
    <n v="100"/>
    <n v="0"/>
    <n v="115"/>
    <x v="2"/>
    <n v="115"/>
    <x v="1"/>
  </r>
  <r>
    <x v="10"/>
    <s v="Murat Taşdemir"/>
    <x v="1"/>
    <x v="2"/>
    <x v="2"/>
    <n v="2"/>
    <s v="ADET"/>
    <n v="0"/>
    <n v="212"/>
    <n v="625"/>
    <n v="-146"/>
    <n v="0"/>
    <n v="0"/>
    <n v="3.95"/>
    <x v="2"/>
    <n v="7.9"/>
    <x v="1"/>
  </r>
  <r>
    <x v="10"/>
    <s v="Murat Taşdemir"/>
    <x v="1"/>
    <x v="3"/>
    <x v="3"/>
    <n v="1"/>
    <s v="ADET"/>
    <n v="0"/>
    <n v="10"/>
    <n v="3"/>
    <n v="-3"/>
    <n v="0"/>
    <n v="0"/>
    <n v="45"/>
    <x v="2"/>
    <n v="45"/>
    <x v="1"/>
  </r>
  <r>
    <x v="12"/>
    <s v="Stefan Zaugg"/>
    <x v="1"/>
    <x v="47"/>
    <x v="47"/>
    <n v="2"/>
    <s v="ADET"/>
    <n v="0"/>
    <n v="20"/>
    <n v="34"/>
    <n v="18"/>
    <n v="0"/>
    <n v="1476"/>
    <n v="82"/>
    <x v="19"/>
    <n v="164"/>
    <x v="5"/>
  </r>
  <r>
    <x v="11"/>
    <s v="Jan Urbanek"/>
    <x v="1"/>
    <x v="47"/>
    <x v="47"/>
    <n v="2"/>
    <s v="ADET"/>
    <n v="0"/>
    <n v="20"/>
    <n v="34"/>
    <n v="18"/>
    <n v="0"/>
    <n v="1476"/>
    <n v="82"/>
    <x v="19"/>
    <n v="164"/>
    <x v="5"/>
  </r>
  <r>
    <x v="13"/>
    <s v="Volkan Batkan"/>
    <x v="1"/>
    <x v="47"/>
    <x v="47"/>
    <n v="2"/>
    <s v="ADET"/>
    <n v="0"/>
    <n v="20"/>
    <n v="34"/>
    <n v="18"/>
    <n v="0"/>
    <n v="1476"/>
    <n v="82"/>
    <x v="19"/>
    <n v="164"/>
    <x v="5"/>
  </r>
  <r>
    <x v="11"/>
    <s v="Jan Urbanek"/>
    <x v="0"/>
    <x v="48"/>
    <x v="48"/>
    <n v="1"/>
    <s v="ADET"/>
    <n v="0"/>
    <n v="11"/>
    <n v="8"/>
    <n v="2"/>
    <n v="0"/>
    <n v="0"/>
    <m/>
    <x v="0"/>
    <m/>
    <x v="0"/>
  </r>
  <r>
    <x v="10"/>
    <s v="Murat Taşdemir"/>
    <x v="1"/>
    <x v="49"/>
    <x v="49"/>
    <n v="1"/>
    <s v="ADET"/>
    <n v="0"/>
    <n v="25"/>
    <n v="18"/>
    <n v="-6"/>
    <n v="0"/>
    <n v="0"/>
    <n v="225"/>
    <x v="14"/>
    <n v="225"/>
    <x v="1"/>
  </r>
  <r>
    <x v="9"/>
    <s v="Stefan Zaugg"/>
    <x v="1"/>
    <x v="50"/>
    <x v="50"/>
    <n v="25"/>
    <s v="ADET"/>
    <n v="0"/>
    <n v="5200"/>
    <n v="0"/>
    <n v="-5125"/>
    <n v="0"/>
    <n v="0"/>
    <n v="0.08"/>
    <x v="6"/>
    <n v="2"/>
    <x v="1"/>
  </r>
  <r>
    <x v="12"/>
    <s v="Stefan Zaugg"/>
    <x v="1"/>
    <x v="50"/>
    <x v="50"/>
    <n v="25"/>
    <s v="ADET"/>
    <n v="0"/>
    <n v="5200"/>
    <n v="0"/>
    <n v="-5125"/>
    <n v="0"/>
    <n v="0"/>
    <n v="0.08"/>
    <x v="6"/>
    <n v="2"/>
    <x v="1"/>
  </r>
  <r>
    <x v="9"/>
    <s v="Stefan Zaugg"/>
    <x v="1"/>
    <x v="51"/>
    <x v="51"/>
    <n v="1"/>
    <s v="ADET"/>
    <n v="1"/>
    <n v="0"/>
    <n v="5"/>
    <n v="0"/>
    <n v="7"/>
    <n v="0"/>
    <n v="1491.67"/>
    <x v="20"/>
    <n v="1491.67"/>
    <x v="2"/>
  </r>
  <r>
    <x v="12"/>
    <s v="Stefan Zaugg"/>
    <x v="1"/>
    <x v="51"/>
    <x v="51"/>
    <n v="1"/>
    <s v="ADET"/>
    <n v="1"/>
    <n v="0"/>
    <n v="5"/>
    <n v="0"/>
    <n v="7"/>
    <n v="0"/>
    <n v="1491.67"/>
    <x v="20"/>
    <n v="1491.67"/>
    <x v="2"/>
  </r>
  <r>
    <x v="11"/>
    <s v="Jan Urbanek"/>
    <x v="1"/>
    <x v="52"/>
    <x v="52"/>
    <n v="34.869999999999997"/>
    <s v="KG"/>
    <n v="0"/>
    <n v="289.7"/>
    <n v="148.12000000000026"/>
    <n v="-230.76999999999987"/>
    <n v="289.7"/>
    <n v="0"/>
    <n v="96.37"/>
    <x v="8"/>
    <n v="3360.4218999999998"/>
    <x v="3"/>
  </r>
  <r>
    <x v="15"/>
    <s v="Hayriye Güven"/>
    <x v="1"/>
    <x v="52"/>
    <x v="52"/>
    <n v="13.700000000000001"/>
    <s v="KG"/>
    <n v="0"/>
    <n v="289.7"/>
    <n v="148.12000000000026"/>
    <n v="-230.76999999999987"/>
    <n v="289.7"/>
    <n v="0"/>
    <n v="96.37"/>
    <x v="8"/>
    <n v="1320.2690000000002"/>
    <x v="3"/>
  </r>
  <r>
    <x v="11"/>
    <s v="Jan Urbanek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12"/>
    <s v="Stefan Zaugg"/>
    <x v="1"/>
    <x v="54"/>
    <x v="54"/>
    <n v="21"/>
    <s v="METRE"/>
    <n v="0"/>
    <n v="150"/>
    <n v="0"/>
    <n v="-76"/>
    <n v="0"/>
    <n v="0"/>
    <n v="320"/>
    <x v="21"/>
    <n v="6720"/>
    <x v="6"/>
  </r>
  <r>
    <x v="9"/>
    <s v="Stefan Zaugg"/>
    <x v="1"/>
    <x v="55"/>
    <x v="55"/>
    <n v="2"/>
    <s v="ADET"/>
    <n v="0"/>
    <n v="250"/>
    <n v="3"/>
    <n v="-166"/>
    <n v="0"/>
    <n v="0"/>
    <n v="2"/>
    <x v="6"/>
    <n v="4"/>
    <x v="1"/>
  </r>
  <r>
    <x v="12"/>
    <s v="Stefan Zaugg"/>
    <x v="1"/>
    <x v="55"/>
    <x v="55"/>
    <n v="2"/>
    <s v="ADET"/>
    <n v="0"/>
    <n v="250"/>
    <n v="3"/>
    <n v="-166"/>
    <n v="0"/>
    <n v="0"/>
    <n v="2"/>
    <x v="6"/>
    <n v="4"/>
    <x v="1"/>
  </r>
  <r>
    <x v="9"/>
    <s v="Stefan Zaugg"/>
    <x v="1"/>
    <x v="47"/>
    <x v="47"/>
    <n v="2"/>
    <s v="ADET"/>
    <n v="0"/>
    <n v="20"/>
    <n v="34"/>
    <n v="18"/>
    <n v="0"/>
    <n v="1476"/>
    <n v="82"/>
    <x v="19"/>
    <n v="164"/>
    <x v="5"/>
  </r>
  <r>
    <x v="12"/>
    <s v="Stefan Zaugg"/>
    <x v="1"/>
    <x v="56"/>
    <x v="56"/>
    <n v="5"/>
    <s v="ADET"/>
    <n v="5"/>
    <n v="100"/>
    <n v="117"/>
    <n v="-100"/>
    <n v="0"/>
    <n v="0"/>
    <n v="13.5"/>
    <x v="2"/>
    <n v="67.5"/>
    <x v="1"/>
  </r>
  <r>
    <x v="12"/>
    <s v="Stefan Zaugg"/>
    <x v="1"/>
    <x v="57"/>
    <x v="57"/>
    <n v="8"/>
    <s v="ADET"/>
    <n v="0"/>
    <n v="113"/>
    <n v="0"/>
    <n v="-97"/>
    <n v="0"/>
    <n v="0"/>
    <n v="75"/>
    <x v="22"/>
    <n v="600"/>
    <x v="4"/>
  </r>
  <r>
    <x v="14"/>
    <s v="Matteo Giolo"/>
    <x v="0"/>
    <x v="48"/>
    <x v="48"/>
    <n v="1"/>
    <s v="ADET"/>
    <n v="0"/>
    <n v="11"/>
    <n v="8"/>
    <n v="2"/>
    <n v="0"/>
    <n v="0"/>
    <m/>
    <x v="0"/>
    <m/>
    <x v="0"/>
  </r>
  <r>
    <x v="9"/>
    <s v="Stefan Zaugg"/>
    <x v="1"/>
    <x v="49"/>
    <x v="49"/>
    <n v="1"/>
    <s v="ADET"/>
    <n v="0"/>
    <n v="25"/>
    <n v="18"/>
    <n v="-6"/>
    <n v="0"/>
    <n v="0"/>
    <n v="225"/>
    <x v="14"/>
    <n v="225"/>
    <x v="1"/>
  </r>
  <r>
    <x v="12"/>
    <s v="Stefan Zaugg"/>
    <x v="1"/>
    <x v="49"/>
    <x v="49"/>
    <n v="1"/>
    <s v="ADET"/>
    <n v="0"/>
    <n v="25"/>
    <n v="18"/>
    <n v="-6"/>
    <n v="0"/>
    <n v="0"/>
    <n v="225"/>
    <x v="14"/>
    <n v="225"/>
    <x v="1"/>
  </r>
  <r>
    <x v="14"/>
    <s v="Matteo Giolo"/>
    <x v="1"/>
    <x v="49"/>
    <x v="49"/>
    <n v="1"/>
    <s v="ADET"/>
    <n v="0"/>
    <n v="25"/>
    <n v="18"/>
    <n v="-6"/>
    <n v="0"/>
    <n v="0"/>
    <n v="225"/>
    <x v="14"/>
    <n v="225"/>
    <x v="1"/>
  </r>
  <r>
    <x v="9"/>
    <s v="Stefan Zaugg"/>
    <x v="1"/>
    <x v="52"/>
    <x v="52"/>
    <n v="24.65"/>
    <s v="KG"/>
    <n v="24.65"/>
    <n v="289.7"/>
    <n v="148.12000000000026"/>
    <n v="-230.76999999999987"/>
    <n v="289.7"/>
    <n v="0"/>
    <n v="96.37"/>
    <x v="8"/>
    <n v="2375.5205000000001"/>
    <x v="3"/>
  </r>
  <r>
    <x v="14"/>
    <s v="Matteo Giolo"/>
    <x v="1"/>
    <x v="52"/>
    <x v="52"/>
    <n v="30.519999999999996"/>
    <s v="KG"/>
    <n v="0"/>
    <n v="289.7"/>
    <n v="148.12000000000026"/>
    <n v="-230.76999999999987"/>
    <n v="289.7"/>
    <n v="0"/>
    <n v="96.37"/>
    <x v="8"/>
    <n v="2941.2123999999999"/>
    <x v="3"/>
  </r>
  <r>
    <x v="14"/>
    <s v="Matteo Giolo"/>
    <x v="1"/>
    <x v="53"/>
    <x v="53"/>
    <n v="2.9299999999999997"/>
    <s v="KG"/>
    <n v="0"/>
    <n v="66"/>
    <n v="36.349999999999952"/>
    <n v="-17.090000000000018"/>
    <n v="0"/>
    <n v="0"/>
    <n v="129.63"/>
    <x v="2"/>
    <n v="379.81589999999994"/>
    <x v="3"/>
  </r>
  <r>
    <x v="14"/>
    <s v="Matteo Giolo"/>
    <x v="1"/>
    <x v="47"/>
    <x v="47"/>
    <n v="2"/>
    <s v="ADET"/>
    <n v="0"/>
    <n v="20"/>
    <n v="34"/>
    <n v="18"/>
    <n v="0"/>
    <n v="1476"/>
    <n v="82"/>
    <x v="19"/>
    <n v="164"/>
    <x v="5"/>
  </r>
  <r>
    <x v="10"/>
    <s v="Murat Taşdemir"/>
    <x v="0"/>
    <x v="48"/>
    <x v="48"/>
    <n v="1"/>
    <s v="ADET"/>
    <n v="0"/>
    <n v="11"/>
    <n v="8"/>
    <n v="2"/>
    <n v="0"/>
    <n v="0"/>
    <m/>
    <x v="0"/>
    <m/>
    <x v="0"/>
  </r>
  <r>
    <x v="13"/>
    <s v="Volkan Batkan"/>
    <x v="1"/>
    <x v="49"/>
    <x v="49"/>
    <n v="1"/>
    <s v="ADET"/>
    <n v="0"/>
    <n v="25"/>
    <n v="18"/>
    <n v="-6"/>
    <n v="0"/>
    <n v="0"/>
    <n v="225"/>
    <x v="14"/>
    <n v="225"/>
    <x v="1"/>
  </r>
  <r>
    <x v="13"/>
    <s v="Volkan Batkan"/>
    <x v="1"/>
    <x v="51"/>
    <x v="51"/>
    <n v="1"/>
    <s v="ADET"/>
    <n v="1"/>
    <n v="0"/>
    <n v="5"/>
    <n v="0"/>
    <n v="7"/>
    <n v="0"/>
    <n v="1491.67"/>
    <x v="20"/>
    <n v="1491.67"/>
    <x v="2"/>
  </r>
  <r>
    <x v="13"/>
    <s v="Volkan Batkan"/>
    <x v="1"/>
    <x v="52"/>
    <x v="52"/>
    <n v="32.279999999999994"/>
    <s v="KG"/>
    <n v="32.279999999999994"/>
    <n v="289.7"/>
    <n v="148.12000000000026"/>
    <n v="-230.76999999999987"/>
    <n v="289.7"/>
    <n v="0"/>
    <n v="96.37"/>
    <x v="8"/>
    <n v="3110.8235999999997"/>
    <x v="3"/>
  </r>
  <r>
    <x v="11"/>
    <s v="Jan Urbanek"/>
    <x v="1"/>
    <x v="9"/>
    <x v="9"/>
    <n v="25"/>
    <s v="ADET"/>
    <n v="0"/>
    <n v="976"/>
    <n v="167"/>
    <n v="-508"/>
    <n v="0"/>
    <n v="0"/>
    <n v="3.46"/>
    <x v="5"/>
    <n v="86.5"/>
    <x v="1"/>
  </r>
  <r>
    <x v="9"/>
    <s v="Stefan Zaugg"/>
    <x v="1"/>
    <x v="9"/>
    <x v="9"/>
    <n v="25"/>
    <s v="ADET"/>
    <n v="0"/>
    <n v="976"/>
    <n v="167"/>
    <n v="-508"/>
    <n v="0"/>
    <n v="0"/>
    <n v="3.46"/>
    <x v="5"/>
    <n v="86.5"/>
    <x v="1"/>
  </r>
  <r>
    <x v="12"/>
    <s v="Stefan Zaugg"/>
    <x v="1"/>
    <x v="9"/>
    <x v="9"/>
    <n v="25"/>
    <s v="ADET"/>
    <n v="0"/>
    <n v="976"/>
    <n v="167"/>
    <n v="-508"/>
    <n v="0"/>
    <n v="0"/>
    <n v="3.46"/>
    <x v="5"/>
    <n v="86.5"/>
    <x v="1"/>
  </r>
  <r>
    <x v="0"/>
    <s v="Matteo Giolo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5"/>
    <s v="Matteo Giolo"/>
    <x v="1"/>
    <x v="7"/>
    <x v="7"/>
    <n v="18"/>
    <s v="ADET"/>
    <n v="0"/>
    <n v="170"/>
    <n v="18"/>
    <n v="124"/>
    <n v="0"/>
    <n v="2046"/>
    <n v="16.5"/>
    <x v="2"/>
    <n v="297"/>
    <x v="1"/>
  </r>
  <r>
    <x v="0"/>
    <s v="Matteo Giolo"/>
    <x v="1"/>
    <x v="7"/>
    <x v="7"/>
    <n v="14"/>
    <s v="ADET"/>
    <n v="0"/>
    <n v="170"/>
    <n v="18"/>
    <n v="124"/>
    <n v="0"/>
    <n v="2046"/>
    <n v="16.5"/>
    <x v="2"/>
    <n v="231"/>
    <x v="1"/>
  </r>
  <r>
    <x v="1"/>
    <s v="Laurent MONTAGNER"/>
    <x v="1"/>
    <x v="7"/>
    <x v="7"/>
    <n v="18"/>
    <s v="ADET"/>
    <n v="0"/>
    <n v="170"/>
    <n v="18"/>
    <n v="124"/>
    <n v="0"/>
    <n v="2046"/>
    <n v="16.5"/>
    <x v="2"/>
    <n v="297"/>
    <x v="1"/>
  </r>
  <r>
    <x v="0"/>
    <s v="Matteo Giolo"/>
    <x v="1"/>
    <x v="9"/>
    <x v="9"/>
    <n v="25"/>
    <s v="ADET"/>
    <n v="0"/>
    <n v="976"/>
    <n v="167"/>
    <n v="-508"/>
    <n v="0"/>
    <n v="0"/>
    <n v="3.46"/>
    <x v="5"/>
    <n v="86.5"/>
    <x v="1"/>
  </r>
  <r>
    <x v="1"/>
    <s v="Laurent MONTAGNER"/>
    <x v="1"/>
    <x v="9"/>
    <x v="9"/>
    <n v="25"/>
    <s v="ADET"/>
    <n v="0"/>
    <n v="976"/>
    <n v="167"/>
    <n v="-508"/>
    <n v="0"/>
    <n v="0"/>
    <n v="3.46"/>
    <x v="5"/>
    <n v="86.5"/>
    <x v="1"/>
  </r>
  <r>
    <x v="10"/>
    <s v="Murat Taşdemir"/>
    <x v="1"/>
    <x v="8"/>
    <x v="8"/>
    <n v="3"/>
    <s v="ADET"/>
    <n v="0"/>
    <n v="24"/>
    <n v="27"/>
    <n v="1"/>
    <n v="0"/>
    <n v="42"/>
    <n v="42"/>
    <x v="4"/>
    <n v="126"/>
    <x v="1"/>
  </r>
  <r>
    <x v="10"/>
    <s v="Murat Taşdemir"/>
    <x v="1"/>
    <x v="11"/>
    <x v="11"/>
    <n v="16"/>
    <s v="ADET"/>
    <n v="0"/>
    <n v="4822"/>
    <n v="811"/>
    <n v="-4638"/>
    <n v="0"/>
    <n v="0"/>
    <n v="0.3"/>
    <x v="2"/>
    <n v="4.8"/>
    <x v="1"/>
  </r>
  <r>
    <x v="2"/>
    <s v="Jan Urbanek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1"/>
    <s v="Laurent MONTAGNER"/>
    <x v="1"/>
    <x v="6"/>
    <x v="6"/>
    <n v="68"/>
    <s v="ADET"/>
    <n v="0"/>
    <n v="2800"/>
    <n v="2438.9999999999991"/>
    <n v="-1645"/>
    <n v="0"/>
    <n v="0"/>
    <n v="0.18"/>
    <x v="2"/>
    <n v="12.24"/>
    <x v="1"/>
  </r>
  <r>
    <x v="0"/>
    <s v="Matteo Giolo"/>
    <x v="1"/>
    <x v="8"/>
    <x v="8"/>
    <n v="2"/>
    <s v="ADET"/>
    <n v="0"/>
    <n v="24"/>
    <n v="27"/>
    <n v="1"/>
    <n v="0"/>
    <n v="42"/>
    <n v="42"/>
    <x v="4"/>
    <n v="84"/>
    <x v="1"/>
  </r>
  <r>
    <x v="7"/>
    <s v="Stina Alm"/>
    <x v="1"/>
    <x v="10"/>
    <x v="10"/>
    <n v="21"/>
    <s v="ADET"/>
    <n v="0"/>
    <n v="495"/>
    <n v="146"/>
    <n v="-22"/>
    <n v="0"/>
    <n v="0"/>
    <n v="3.75"/>
    <x v="1"/>
    <n v="78.75"/>
    <x v="1"/>
  </r>
  <r>
    <x v="1"/>
    <s v="Laurent MONTAGNER"/>
    <x v="1"/>
    <x v="10"/>
    <x v="10"/>
    <n v="20"/>
    <s v="ADET"/>
    <n v="0"/>
    <n v="495"/>
    <n v="146"/>
    <n v="-22"/>
    <n v="0"/>
    <n v="0"/>
    <n v="3.75"/>
    <x v="1"/>
    <n v="75"/>
    <x v="1"/>
  </r>
  <r>
    <x v="14"/>
    <s v="Matteo Giolo"/>
    <x v="1"/>
    <x v="6"/>
    <x v="6"/>
    <n v="83"/>
    <s v="ADET"/>
    <n v="0"/>
    <n v="2800"/>
    <n v="2438.9999999999991"/>
    <n v="-1645"/>
    <n v="0"/>
    <n v="0"/>
    <n v="0.18"/>
    <x v="2"/>
    <n v="14.94"/>
    <x v="1"/>
  </r>
  <r>
    <x v="8"/>
    <s v="Jan Urbanek"/>
    <x v="1"/>
    <x v="8"/>
    <x v="8"/>
    <n v="2"/>
    <s v="ADET"/>
    <n v="0"/>
    <n v="24"/>
    <n v="27"/>
    <n v="1"/>
    <n v="0"/>
    <n v="42"/>
    <n v="42"/>
    <x v="4"/>
    <n v="84"/>
    <x v="1"/>
  </r>
  <r>
    <x v="8"/>
    <s v="Jan Urbanek"/>
    <x v="1"/>
    <x v="11"/>
    <x v="11"/>
    <n v="16"/>
    <s v="ADET"/>
    <n v="0"/>
    <n v="4822"/>
    <n v="811"/>
    <n v="-4638"/>
    <n v="0"/>
    <n v="0"/>
    <n v="0.3"/>
    <x v="2"/>
    <n v="4.8"/>
    <x v="1"/>
  </r>
  <r>
    <x v="2"/>
    <s v="Jan Urbanek"/>
    <x v="1"/>
    <x v="10"/>
    <x v="10"/>
    <n v="37"/>
    <s v="ADET"/>
    <n v="0"/>
    <n v="495"/>
    <n v="146"/>
    <n v="-22"/>
    <n v="0"/>
    <n v="0"/>
    <n v="3.75"/>
    <x v="1"/>
    <n v="138.75"/>
    <x v="1"/>
  </r>
  <r>
    <x v="3"/>
    <s v="Jan Urbanek"/>
    <x v="1"/>
    <x v="10"/>
    <x v="10"/>
    <n v="37"/>
    <s v="ADET"/>
    <n v="0"/>
    <n v="495"/>
    <n v="146"/>
    <n v="-22"/>
    <n v="0"/>
    <n v="0"/>
    <n v="3.75"/>
    <x v="1"/>
    <n v="138.75"/>
    <x v="1"/>
  </r>
  <r>
    <x v="3"/>
    <s v="Jan Urbanek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3"/>
    <s v="Jan Urbanek"/>
    <x v="1"/>
    <x v="7"/>
    <x v="7"/>
    <n v="14"/>
    <s v="ADET"/>
    <n v="0"/>
    <n v="170"/>
    <n v="18"/>
    <n v="124"/>
    <n v="0"/>
    <n v="2046"/>
    <n v="16.5"/>
    <x v="2"/>
    <n v="231"/>
    <x v="1"/>
  </r>
  <r>
    <x v="4"/>
    <s v="Jan Urbanek"/>
    <x v="1"/>
    <x v="7"/>
    <x v="7"/>
    <n v="14"/>
    <s v="ADET"/>
    <n v="0"/>
    <n v="170"/>
    <n v="18"/>
    <n v="124"/>
    <n v="0"/>
    <n v="2046"/>
    <n v="16.5"/>
    <x v="2"/>
    <n v="231"/>
    <x v="1"/>
  </r>
  <r>
    <x v="4"/>
    <s v="Jan Urbanek"/>
    <x v="1"/>
    <x v="8"/>
    <x v="8"/>
    <n v="2"/>
    <s v="ADET"/>
    <n v="0"/>
    <n v="24"/>
    <n v="27"/>
    <n v="1"/>
    <n v="0"/>
    <n v="42"/>
    <n v="42"/>
    <x v="4"/>
    <n v="84"/>
    <x v="1"/>
  </r>
  <r>
    <x v="3"/>
    <s v="Jan Urbanek"/>
    <x v="1"/>
    <x v="8"/>
    <x v="8"/>
    <n v="2"/>
    <s v="ADET"/>
    <n v="0"/>
    <n v="24"/>
    <n v="27"/>
    <n v="1"/>
    <n v="0"/>
    <n v="42"/>
    <n v="42"/>
    <x v="4"/>
    <n v="84"/>
    <x v="1"/>
  </r>
  <r>
    <x v="3"/>
    <s v="Jan Urbanek"/>
    <x v="1"/>
    <x v="11"/>
    <x v="11"/>
    <n v="16"/>
    <s v="ADET"/>
    <n v="0"/>
    <n v="4822"/>
    <n v="811"/>
    <n v="-4638"/>
    <n v="0"/>
    <n v="0"/>
    <n v="0.3"/>
    <x v="2"/>
    <n v="4.8"/>
    <x v="1"/>
  </r>
  <r>
    <x v="4"/>
    <s v="Jan Urbanek"/>
    <x v="1"/>
    <x v="9"/>
    <x v="9"/>
    <n v="31"/>
    <s v="ADET"/>
    <n v="0"/>
    <n v="976"/>
    <n v="167"/>
    <n v="-508"/>
    <n v="0"/>
    <n v="0"/>
    <n v="3.46"/>
    <x v="5"/>
    <n v="107.26"/>
    <x v="1"/>
  </r>
  <r>
    <x v="8"/>
    <s v="Jan Urbanek"/>
    <x v="1"/>
    <x v="10"/>
    <x v="10"/>
    <n v="37"/>
    <s v="ADET"/>
    <n v="0"/>
    <n v="495"/>
    <n v="146"/>
    <n v="-22"/>
    <n v="0"/>
    <n v="0"/>
    <n v="3.75"/>
    <x v="1"/>
    <n v="138.75"/>
    <x v="1"/>
  </r>
  <r>
    <x v="13"/>
    <s v="Volkan Batkan"/>
    <x v="1"/>
    <x v="10"/>
    <x v="10"/>
    <n v="37"/>
    <s v="ADET"/>
    <n v="0"/>
    <n v="495"/>
    <n v="146"/>
    <n v="-22"/>
    <n v="0"/>
    <n v="0"/>
    <n v="3.75"/>
    <x v="1"/>
    <n v="138.75"/>
    <x v="1"/>
  </r>
  <r>
    <x v="9"/>
    <s v="Stefan Zaugg"/>
    <x v="1"/>
    <x v="58"/>
    <x v="58"/>
    <n v="0.1"/>
    <s v="ADET"/>
    <n v="0"/>
    <n v="17"/>
    <n v="3.000000000000016"/>
    <n v="17.100000000000009"/>
    <n v="0"/>
    <n v="2493.6930000000016"/>
    <n v="145.83000000000001"/>
    <x v="1"/>
    <n v="14.583000000000002"/>
    <x v="3"/>
  </r>
  <r>
    <x v="12"/>
    <s v="Stefan Zaugg"/>
    <x v="1"/>
    <x v="58"/>
    <x v="58"/>
    <n v="0.1"/>
    <s v="ADET"/>
    <n v="0"/>
    <n v="17"/>
    <n v="3.000000000000016"/>
    <n v="17.100000000000009"/>
    <n v="0"/>
    <n v="2493.6930000000016"/>
    <n v="145.83000000000001"/>
    <x v="1"/>
    <n v="14.583000000000002"/>
    <x v="3"/>
  </r>
  <r>
    <x v="14"/>
    <s v="Matteo Giolo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13"/>
    <s v="Volkan Batkan"/>
    <x v="1"/>
    <x v="9"/>
    <x v="9"/>
    <n v="25"/>
    <s v="ADET"/>
    <n v="25"/>
    <n v="976"/>
    <n v="167"/>
    <n v="-508"/>
    <n v="0"/>
    <n v="0"/>
    <n v="3.46"/>
    <x v="5"/>
    <n v="86.5"/>
    <x v="1"/>
  </r>
  <r>
    <x v="8"/>
    <s v="Jan Urbanek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8"/>
    <s v="Jan Urbanek"/>
    <x v="1"/>
    <x v="7"/>
    <x v="7"/>
    <n v="14"/>
    <s v="ADET"/>
    <n v="0"/>
    <n v="170"/>
    <n v="18"/>
    <n v="124"/>
    <n v="0"/>
    <n v="2046"/>
    <n v="16.5"/>
    <x v="2"/>
    <n v="231"/>
    <x v="1"/>
  </r>
  <r>
    <x v="8"/>
    <s v="Jan Urbanek"/>
    <x v="1"/>
    <x v="9"/>
    <x v="9"/>
    <n v="31"/>
    <s v="ADET"/>
    <n v="0"/>
    <n v="976"/>
    <n v="167"/>
    <n v="-508"/>
    <n v="0"/>
    <n v="0"/>
    <n v="3.46"/>
    <x v="5"/>
    <n v="107.26"/>
    <x v="1"/>
  </r>
  <r>
    <x v="14"/>
    <s v="Matteo Giolo"/>
    <x v="1"/>
    <x v="9"/>
    <x v="9"/>
    <n v="25"/>
    <s v="ADET"/>
    <n v="0"/>
    <n v="976"/>
    <n v="167"/>
    <n v="-508"/>
    <n v="0"/>
    <n v="0"/>
    <n v="3.46"/>
    <x v="5"/>
    <n v="86.5"/>
    <x v="1"/>
  </r>
  <r>
    <x v="9"/>
    <s v="Stefan Zaugg"/>
    <x v="1"/>
    <x v="10"/>
    <x v="10"/>
    <n v="13"/>
    <s v="ADET"/>
    <n v="0"/>
    <n v="495"/>
    <n v="146"/>
    <n v="-22"/>
    <n v="0"/>
    <n v="0"/>
    <n v="3.75"/>
    <x v="1"/>
    <n v="48.75"/>
    <x v="1"/>
  </r>
  <r>
    <x v="10"/>
    <s v="Murat Taşdemir"/>
    <x v="1"/>
    <x v="10"/>
    <x v="10"/>
    <n v="10"/>
    <s v="ADET"/>
    <n v="0"/>
    <n v="495"/>
    <n v="146"/>
    <n v="-22"/>
    <n v="0"/>
    <n v="0"/>
    <n v="3.75"/>
    <x v="1"/>
    <n v="37.5"/>
    <x v="1"/>
  </r>
  <r>
    <x v="10"/>
    <s v="Murat Taşdemir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11"/>
    <s v="Jan Urbanek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9"/>
    <s v="Stefan Zaugg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12"/>
    <s v="Stefan Zaugg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13"/>
    <s v="Volkan Batkan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14"/>
    <s v="Matteo Giolo"/>
    <x v="1"/>
    <x v="59"/>
    <x v="59"/>
    <n v="5.5"/>
    <s v="METRE"/>
    <n v="0"/>
    <n v="125"/>
    <n v="37.499999999999986"/>
    <n v="-44.100000000000023"/>
    <n v="0"/>
    <n v="0"/>
    <n v="44"/>
    <x v="17"/>
    <n v="242"/>
    <x v="4"/>
  </r>
  <r>
    <x v="11"/>
    <s v="Jan Urbanek"/>
    <x v="1"/>
    <x v="60"/>
    <x v="60"/>
    <n v="1"/>
    <s v="ADET"/>
    <n v="0"/>
    <n v="6"/>
    <n v="10"/>
    <n v="7"/>
    <n v="0"/>
    <n v="12435.01"/>
    <n v="1776.43"/>
    <x v="3"/>
    <n v="1776.43"/>
    <x v="4"/>
  </r>
  <r>
    <x v="14"/>
    <s v="Matteo Giolo"/>
    <x v="1"/>
    <x v="60"/>
    <x v="60"/>
    <n v="1"/>
    <s v="ADET"/>
    <n v="0"/>
    <n v="6"/>
    <n v="10"/>
    <n v="7"/>
    <n v="0"/>
    <n v="12435.01"/>
    <n v="1776.43"/>
    <x v="3"/>
    <n v="1776.43"/>
    <x v="4"/>
  </r>
  <r>
    <x v="12"/>
    <s v="Stefan Zaugg"/>
    <x v="1"/>
    <x v="61"/>
    <x v="61"/>
    <n v="3"/>
    <s v="METRE"/>
    <n v="0"/>
    <n v="100"/>
    <n v="26"/>
    <n v="-85"/>
    <n v="0"/>
    <n v="0"/>
    <n v="49.1"/>
    <x v="23"/>
    <n v="147.30000000000001"/>
    <x v="7"/>
  </r>
  <r>
    <x v="9"/>
    <s v="Stefan Zaugg"/>
    <x v="1"/>
    <x v="62"/>
    <x v="62"/>
    <n v="3"/>
    <s v="METRE"/>
    <n v="0"/>
    <n v="100"/>
    <n v="26"/>
    <n v="-85"/>
    <n v="0"/>
    <n v="0"/>
    <n v="49.1"/>
    <x v="23"/>
    <n v="147.30000000000001"/>
    <x v="7"/>
  </r>
  <r>
    <x v="12"/>
    <s v="Stefan Zaugg"/>
    <x v="1"/>
    <x v="62"/>
    <x v="62"/>
    <n v="3"/>
    <s v="METRE"/>
    <n v="0"/>
    <n v="100"/>
    <n v="26"/>
    <n v="-85"/>
    <n v="0"/>
    <n v="0"/>
    <n v="49.1"/>
    <x v="23"/>
    <n v="147.30000000000001"/>
    <x v="7"/>
  </r>
  <r>
    <x v="4"/>
    <s v="Jan Urbanek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3"/>
    <s v="Jan Urbanek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10"/>
    <s v="Murat Taşdemir"/>
    <x v="1"/>
    <x v="63"/>
    <x v="63"/>
    <n v="1"/>
    <s v="ADET"/>
    <n v="0"/>
    <n v="0"/>
    <n v="1"/>
    <n v="0"/>
    <n v="1"/>
    <n v="0"/>
    <n v="12601.06"/>
    <x v="24"/>
    <n v="12601.06"/>
    <x v="7"/>
  </r>
  <r>
    <x v="9"/>
    <s v="Stefan Zaugg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10"/>
    <s v="Murat Taşdemir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10"/>
    <s v="Murat Taşdemir"/>
    <x v="1"/>
    <x v="65"/>
    <x v="65"/>
    <n v="31"/>
    <s v="ADET"/>
    <n v="0"/>
    <n v="2600"/>
    <n v="292"/>
    <n v="-2145"/>
    <n v="0"/>
    <n v="0"/>
    <n v="0.4"/>
    <x v="2"/>
    <n v="12.4"/>
    <x v="1"/>
  </r>
  <r>
    <x v="10"/>
    <s v="Murat Taşdemir"/>
    <x v="1"/>
    <x v="66"/>
    <x v="66"/>
    <n v="1"/>
    <s v="ADET"/>
    <n v="0"/>
    <n v="13"/>
    <n v="6"/>
    <n v="0"/>
    <n v="0"/>
    <n v="0"/>
    <n v="1145.83"/>
    <x v="16"/>
    <n v="1145.83"/>
    <x v="2"/>
  </r>
  <r>
    <x v="10"/>
    <s v="Murat Taşdemir"/>
    <x v="1"/>
    <x v="67"/>
    <x v="67"/>
    <n v="10"/>
    <s v="METRE"/>
    <n v="0"/>
    <n v="200"/>
    <n v="39.999999999999773"/>
    <n v="-58.699999999999989"/>
    <n v="0"/>
    <n v="0"/>
    <n v="22.5"/>
    <x v="17"/>
    <n v="225"/>
    <x v="4"/>
  </r>
  <r>
    <x v="12"/>
    <s v="Stefan Zaugg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11"/>
    <s v="Jan Urbanek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9"/>
    <s v="Stefan Zaugg"/>
    <x v="1"/>
    <x v="65"/>
    <x v="65"/>
    <n v="17"/>
    <s v="ADET"/>
    <n v="0"/>
    <n v="2600"/>
    <n v="292"/>
    <n v="-2145"/>
    <n v="0"/>
    <n v="0"/>
    <n v="0.4"/>
    <x v="2"/>
    <n v="6.8000000000000007"/>
    <x v="1"/>
  </r>
  <r>
    <x v="12"/>
    <s v="Stefan Zaugg"/>
    <x v="1"/>
    <x v="65"/>
    <x v="65"/>
    <n v="12"/>
    <s v="ADET"/>
    <n v="0"/>
    <n v="2600"/>
    <n v="292"/>
    <n v="-2145"/>
    <n v="0"/>
    <n v="0"/>
    <n v="0.4"/>
    <x v="2"/>
    <n v="4.8000000000000007"/>
    <x v="1"/>
  </r>
  <r>
    <x v="9"/>
    <s v="Stefan Zaugg"/>
    <x v="1"/>
    <x v="66"/>
    <x v="66"/>
    <n v="1"/>
    <s v="ADET"/>
    <n v="1"/>
    <n v="13"/>
    <n v="6"/>
    <n v="0"/>
    <n v="0"/>
    <n v="0"/>
    <n v="1145.83"/>
    <x v="16"/>
    <n v="1145.83"/>
    <x v="2"/>
  </r>
  <r>
    <x v="11"/>
    <s v="Jan Urbanek"/>
    <x v="1"/>
    <x v="66"/>
    <x v="66"/>
    <n v="1"/>
    <s v="ADET"/>
    <n v="0"/>
    <n v="13"/>
    <n v="6"/>
    <n v="0"/>
    <n v="0"/>
    <n v="0"/>
    <n v="1145.83"/>
    <x v="16"/>
    <n v="1145.83"/>
    <x v="2"/>
  </r>
  <r>
    <x v="14"/>
    <s v="Matteo Giolo"/>
    <x v="1"/>
    <x v="66"/>
    <x v="66"/>
    <n v="1"/>
    <s v="ADET"/>
    <n v="0"/>
    <n v="13"/>
    <n v="6"/>
    <n v="0"/>
    <n v="0"/>
    <n v="0"/>
    <n v="1145.83"/>
    <x v="16"/>
    <n v="1145.83"/>
    <x v="2"/>
  </r>
  <r>
    <x v="9"/>
    <s v="Stefan Zaugg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12"/>
    <s v="Stefan Zaugg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13"/>
    <s v="Volkan Batkan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13"/>
    <s v="Volkan Batkan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10"/>
    <s v="Murat Taşdemir"/>
    <x v="1"/>
    <x v="68"/>
    <x v="68"/>
    <n v="4"/>
    <s v="ADET"/>
    <n v="0"/>
    <n v="250"/>
    <n v="0"/>
    <n v="-218"/>
    <n v="0"/>
    <n v="0"/>
    <n v="5.74"/>
    <x v="5"/>
    <n v="22.96"/>
    <x v="1"/>
  </r>
  <r>
    <x v="13"/>
    <s v="Volkan Batkan"/>
    <x v="1"/>
    <x v="69"/>
    <x v="69"/>
    <n v="2"/>
    <s v="ADET"/>
    <n v="0"/>
    <n v="233"/>
    <n v="0"/>
    <n v="-225"/>
    <n v="0"/>
    <n v="0"/>
    <n v="7"/>
    <x v="14"/>
    <n v="14"/>
    <x v="1"/>
  </r>
  <r>
    <x v="13"/>
    <s v="Volkan Batkan"/>
    <x v="1"/>
    <x v="70"/>
    <x v="70"/>
    <n v="4"/>
    <s v="ADET"/>
    <n v="0"/>
    <n v="100"/>
    <n v="138"/>
    <n v="-84"/>
    <n v="0"/>
    <n v="0"/>
    <n v="8"/>
    <x v="5"/>
    <n v="32"/>
    <x v="4"/>
  </r>
  <r>
    <x v="13"/>
    <s v="Volkan Batkan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10"/>
    <s v="Murat Taşdemir"/>
    <x v="1"/>
    <x v="71"/>
    <x v="71"/>
    <n v="2"/>
    <s v="ADET"/>
    <n v="0"/>
    <n v="40"/>
    <n v="18"/>
    <n v="-14"/>
    <n v="0"/>
    <n v="0"/>
    <n v="55"/>
    <x v="23"/>
    <n v="110"/>
    <x v="7"/>
  </r>
  <r>
    <x v="11"/>
    <s v="Jan Urbanek"/>
    <x v="1"/>
    <x v="71"/>
    <x v="71"/>
    <n v="2"/>
    <s v="ADET"/>
    <n v="0"/>
    <n v="40"/>
    <n v="18"/>
    <n v="-14"/>
    <n v="0"/>
    <n v="0"/>
    <n v="55"/>
    <x v="23"/>
    <n v="110"/>
    <x v="7"/>
  </r>
  <r>
    <x v="10"/>
    <s v="Murat Taşdemir"/>
    <x v="1"/>
    <x v="72"/>
    <x v="72"/>
    <n v="1"/>
    <s v="ADET"/>
    <n v="0"/>
    <n v="0"/>
    <n v="246"/>
    <n v="7"/>
    <n v="0"/>
    <n v="37.94"/>
    <n v="5.42"/>
    <x v="1"/>
    <n v="5.42"/>
    <x v="1"/>
  </r>
  <r>
    <x v="2"/>
    <s v="Jan Urbanek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4"/>
    <s v="Jan Urbanek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3"/>
    <s v="Jan Urbanek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4"/>
    <s v="Jan Urbanek"/>
    <x v="1"/>
    <x v="69"/>
    <x v="69"/>
    <n v="2"/>
    <s v="ADET"/>
    <n v="0"/>
    <n v="233"/>
    <n v="0"/>
    <n v="-225"/>
    <n v="0"/>
    <n v="0"/>
    <n v="7"/>
    <x v="14"/>
    <n v="14"/>
    <x v="1"/>
  </r>
  <r>
    <x v="13"/>
    <s v="Volkan Batkan"/>
    <x v="1"/>
    <x v="14"/>
    <x v="14"/>
    <n v="4"/>
    <s v="ADET"/>
    <n v="0"/>
    <n v="1400"/>
    <n v="602"/>
    <n v="-1296"/>
    <n v="0"/>
    <n v="0"/>
    <n v="0.6"/>
    <x v="2"/>
    <n v="2.4"/>
    <x v="1"/>
  </r>
  <r>
    <x v="11"/>
    <s v="Jan Urbanek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0"/>
    <s v="Murat Taşdemir"/>
    <x v="1"/>
    <x v="16"/>
    <x v="16"/>
    <n v="0.36"/>
    <s v="KG"/>
    <n v="0.36"/>
    <n v="10"/>
    <n v="14.13"/>
    <n v="-15.809999999999999"/>
    <n v="10"/>
    <n v="0"/>
    <n v="393.83"/>
    <x v="8"/>
    <n v="141.77879999999999"/>
    <x v="3"/>
  </r>
  <r>
    <x v="10"/>
    <s v="Murat Taşdemir"/>
    <x v="1"/>
    <x v="17"/>
    <x v="17"/>
    <n v="18.78"/>
    <s v="KG"/>
    <n v="0"/>
    <n v="181"/>
    <n v="-9.9475983006414026E-14"/>
    <n v="-49.03000000000003"/>
    <n v="46.1"/>
    <n v="0"/>
    <n v="96.37"/>
    <x v="8"/>
    <n v="1809.8286000000003"/>
    <x v="3"/>
  </r>
  <r>
    <x v="13"/>
    <s v="Volkan Batkan"/>
    <x v="1"/>
    <x v="73"/>
    <x v="73"/>
    <n v="0.2"/>
    <s v="KG"/>
    <n v="0"/>
    <n v="0"/>
    <n v="0"/>
    <n v="0.8"/>
    <n v="0"/>
    <n v="400"/>
    <n v="500"/>
    <x v="25"/>
    <n v="100"/>
    <x v="3"/>
  </r>
  <r>
    <x v="13"/>
    <s v="Volkan Batkan"/>
    <x v="1"/>
    <x v="18"/>
    <x v="18"/>
    <n v="1"/>
    <s v="ADET"/>
    <n v="1"/>
    <n v="3"/>
    <n v="7"/>
    <n v="8"/>
    <n v="0"/>
    <n v="70583.44"/>
    <n v="8822.93"/>
    <x v="3"/>
    <n v="8822.93"/>
    <x v="4"/>
  </r>
  <r>
    <x v="5"/>
    <s v="Matteo Giolo"/>
    <x v="1"/>
    <x v="16"/>
    <x v="16"/>
    <n v="0.36"/>
    <s v="KG"/>
    <n v="0"/>
    <n v="10"/>
    <n v="14.13"/>
    <n v="-15.809999999999999"/>
    <n v="10"/>
    <n v="0"/>
    <n v="393.83"/>
    <x v="8"/>
    <n v="141.77879999999999"/>
    <x v="3"/>
  </r>
  <r>
    <x v="5"/>
    <s v="Matteo Giolo"/>
    <x v="1"/>
    <x v="17"/>
    <x v="17"/>
    <n v="10.14"/>
    <s v="KG"/>
    <n v="0"/>
    <n v="181"/>
    <n v="-9.9475983006414026E-14"/>
    <n v="-49.03000000000003"/>
    <n v="46.1"/>
    <n v="0"/>
    <n v="96.37"/>
    <x v="8"/>
    <n v="977.19180000000006"/>
    <x v="3"/>
  </r>
  <r>
    <x v="0"/>
    <s v="Matteo Giolo"/>
    <x v="1"/>
    <x v="18"/>
    <x v="18"/>
    <n v="1"/>
    <s v="ADET"/>
    <n v="0"/>
    <n v="3"/>
    <n v="7"/>
    <n v="8"/>
    <n v="0"/>
    <n v="70583.44"/>
    <n v="8822.93"/>
    <x v="3"/>
    <n v="8822.93"/>
    <x v="4"/>
  </r>
  <r>
    <x v="0"/>
    <s v="Matteo Giolo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8"/>
    <s v="Jan Urbanek"/>
    <x v="1"/>
    <x v="18"/>
    <x v="18"/>
    <n v="1"/>
    <s v="ADET"/>
    <n v="0"/>
    <n v="3"/>
    <n v="7"/>
    <n v="8"/>
    <n v="0"/>
    <n v="70583.44"/>
    <n v="8822.93"/>
    <x v="3"/>
    <n v="8822.93"/>
    <x v="4"/>
  </r>
  <r>
    <x v="6"/>
    <s v="Stefan Zaugg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7"/>
    <s v="Stina Alm"/>
    <x v="1"/>
    <x v="15"/>
    <x v="15"/>
    <n v="0.05"/>
    <s v="ADET"/>
    <n v="0"/>
    <n v="13.5"/>
    <n v="8.5"/>
    <n v="-5.3500000000000014"/>
    <n v="0"/>
    <n v="0"/>
    <n v="1600"/>
    <x v="7"/>
    <n v="80"/>
    <x v="2"/>
  </r>
  <r>
    <x v="0"/>
    <s v="Matteo Giolo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6"/>
    <s v="Stefan Zaugg"/>
    <x v="1"/>
    <x v="17"/>
    <x v="17"/>
    <n v="6.54"/>
    <s v="KG"/>
    <n v="0"/>
    <n v="181"/>
    <n v="-9.9475983006414026E-14"/>
    <n v="-49.03000000000003"/>
    <n v="46.1"/>
    <n v="0"/>
    <n v="96.37"/>
    <x v="8"/>
    <n v="630.25980000000004"/>
    <x v="3"/>
  </r>
  <r>
    <x v="7"/>
    <s v="Stina Alm"/>
    <x v="1"/>
    <x v="17"/>
    <x v="17"/>
    <n v="9.7099999999999991"/>
    <s v="KG"/>
    <n v="0"/>
    <n v="181"/>
    <n v="-9.9475983006414026E-14"/>
    <n v="-49.03000000000003"/>
    <n v="46.1"/>
    <n v="0"/>
    <n v="96.37"/>
    <x v="8"/>
    <n v="935.7527"/>
    <x v="3"/>
  </r>
  <r>
    <x v="7"/>
    <s v="Stina Alm"/>
    <x v="1"/>
    <x v="18"/>
    <x v="18"/>
    <n v="1"/>
    <s v="ADET"/>
    <n v="0"/>
    <n v="3"/>
    <n v="7"/>
    <n v="8"/>
    <n v="0"/>
    <n v="70583.44"/>
    <n v="8822.93"/>
    <x v="3"/>
    <n v="8822.93"/>
    <x v="4"/>
  </r>
  <r>
    <x v="8"/>
    <s v="Jan Urbanek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4"/>
    <s v="Jan Urbanek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3"/>
    <s v="Jan Urbanek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8"/>
    <s v="Jan Urbanek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8"/>
    <s v="Jan Urbanek"/>
    <x v="1"/>
    <x v="73"/>
    <x v="73"/>
    <n v="0.2"/>
    <s v="KG"/>
    <n v="0"/>
    <n v="0"/>
    <n v="0"/>
    <n v="0.8"/>
    <n v="0"/>
    <n v="400"/>
    <n v="500"/>
    <x v="25"/>
    <n v="100"/>
    <x v="3"/>
  </r>
  <r>
    <x v="17"/>
    <s v="Soner Kayıkçı"/>
    <x v="1"/>
    <x v="13"/>
    <x v="13"/>
    <n v="3"/>
    <s v="ADET"/>
    <n v="0"/>
    <n v="0"/>
    <n v="0"/>
    <n v="-173"/>
    <n v="200"/>
    <n v="0"/>
    <n v="12"/>
    <x v="2"/>
    <n v="36"/>
    <x v="1"/>
  </r>
  <r>
    <x v="2"/>
    <s v="Jan Urbanek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2"/>
    <s v="Jan Urbanek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4"/>
    <s v="Jan Urbanek"/>
    <x v="1"/>
    <x v="18"/>
    <x v="18"/>
    <n v="1"/>
    <s v="ADET"/>
    <n v="0"/>
    <n v="3"/>
    <n v="7"/>
    <n v="8"/>
    <n v="0"/>
    <n v="70583.44"/>
    <n v="8822.93"/>
    <x v="3"/>
    <n v="8822.93"/>
    <x v="4"/>
  </r>
  <r>
    <x v="13"/>
    <s v="Volkan Batkan"/>
    <x v="1"/>
    <x v="62"/>
    <x v="62"/>
    <n v="3"/>
    <s v="METRE"/>
    <n v="0"/>
    <n v="100"/>
    <n v="26"/>
    <n v="-85"/>
    <n v="0"/>
    <n v="0"/>
    <n v="49.1"/>
    <x v="23"/>
    <n v="147.30000000000001"/>
    <x v="7"/>
  </r>
  <r>
    <x v="11"/>
    <s v="Jan Urbanek"/>
    <x v="1"/>
    <x v="74"/>
    <x v="74"/>
    <n v="2"/>
    <s v="ADET"/>
    <n v="0"/>
    <n v="809"/>
    <n v="0"/>
    <n v="-768"/>
    <n v="0"/>
    <n v="0"/>
    <n v="2.4"/>
    <x v="2"/>
    <n v="4.8"/>
    <x v="1"/>
  </r>
  <r>
    <x v="9"/>
    <s v="Stefan Zaugg"/>
    <x v="1"/>
    <x v="74"/>
    <x v="74"/>
    <n v="2"/>
    <s v="ADET"/>
    <n v="0"/>
    <n v="809"/>
    <n v="0"/>
    <n v="-768"/>
    <n v="0"/>
    <n v="0"/>
    <n v="2.4"/>
    <x v="2"/>
    <n v="4.8"/>
    <x v="1"/>
  </r>
  <r>
    <x v="12"/>
    <s v="Stefan Zaugg"/>
    <x v="1"/>
    <x v="74"/>
    <x v="74"/>
    <n v="2"/>
    <s v="ADET"/>
    <n v="0"/>
    <n v="809"/>
    <n v="0"/>
    <n v="-768"/>
    <n v="0"/>
    <n v="0"/>
    <n v="2.4"/>
    <x v="2"/>
    <n v="4.8"/>
    <x v="1"/>
  </r>
  <r>
    <x v="13"/>
    <s v="Volkan Batkan"/>
    <x v="1"/>
    <x v="74"/>
    <x v="74"/>
    <n v="2"/>
    <s v="ADET"/>
    <n v="0"/>
    <n v="809"/>
    <n v="0"/>
    <n v="-768"/>
    <n v="0"/>
    <n v="0"/>
    <n v="2.4"/>
    <x v="2"/>
    <n v="4.8"/>
    <x v="1"/>
  </r>
  <r>
    <x v="6"/>
    <s v="Stefan Zaugg"/>
    <x v="1"/>
    <x v="75"/>
    <x v="75"/>
    <n v="58"/>
    <s v="ADET"/>
    <n v="0"/>
    <n v="4000"/>
    <n v="138"/>
    <n v="-2738"/>
    <n v="0"/>
    <n v="0"/>
    <n v="0.93"/>
    <x v="5"/>
    <n v="53.940000000000005"/>
    <x v="1"/>
  </r>
  <r>
    <x v="5"/>
    <s v="Matteo Giolo"/>
    <x v="1"/>
    <x v="75"/>
    <x v="75"/>
    <n v="74"/>
    <s v="ADET"/>
    <n v="0"/>
    <n v="4000"/>
    <n v="138"/>
    <n v="-2738"/>
    <n v="0"/>
    <n v="0"/>
    <n v="0.93"/>
    <x v="5"/>
    <n v="68.820000000000007"/>
    <x v="1"/>
  </r>
  <r>
    <x v="6"/>
    <s v="Stefan Zaugg"/>
    <x v="1"/>
    <x v="76"/>
    <x v="76"/>
    <n v="1"/>
    <s v="ADET"/>
    <n v="1"/>
    <n v="2"/>
    <n v="4"/>
    <n v="5"/>
    <n v="0"/>
    <n v="37250"/>
    <n v="7450"/>
    <x v="26"/>
    <n v="7450"/>
    <x v="2"/>
  </r>
  <r>
    <x v="3"/>
    <s v="Jan Urbanek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4"/>
    <s v="Jan Urbanek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4"/>
    <s v="Jan Urbanek"/>
    <x v="1"/>
    <x v="76"/>
    <x v="76"/>
    <n v="1"/>
    <s v="ADET"/>
    <n v="0"/>
    <n v="2"/>
    <n v="4"/>
    <n v="5"/>
    <n v="0"/>
    <n v="37250"/>
    <n v="7450"/>
    <x v="26"/>
    <n v="7450"/>
    <x v="2"/>
  </r>
  <r>
    <x v="3"/>
    <s v="Jan Urbanek"/>
    <x v="1"/>
    <x v="76"/>
    <x v="76"/>
    <n v="1"/>
    <s v="ADET"/>
    <n v="0"/>
    <n v="2"/>
    <n v="4"/>
    <n v="5"/>
    <n v="0"/>
    <n v="37250"/>
    <n v="7450"/>
    <x v="26"/>
    <n v="7450"/>
    <x v="2"/>
  </r>
  <r>
    <x v="8"/>
    <s v="Jan Urbanek"/>
    <x v="1"/>
    <x v="77"/>
    <x v="77"/>
    <n v="0.05"/>
    <s v="KG"/>
    <n v="0"/>
    <n v="1.8"/>
    <n v="0.84999999999999831"/>
    <n v="-3.25"/>
    <n v="1.75"/>
    <n v="0"/>
    <n v="645.64"/>
    <x v="8"/>
    <n v="32.282000000000004"/>
    <x v="3"/>
  </r>
  <r>
    <x v="8"/>
    <s v="Jan Urbanek"/>
    <x v="1"/>
    <x v="78"/>
    <x v="78"/>
    <n v="1.504"/>
    <s v="KG"/>
    <n v="0"/>
    <n v="0"/>
    <n v="65.031000000000006"/>
    <n v="17.948000000000004"/>
    <n v="0"/>
    <n v="6991.2844400000013"/>
    <n v="389.53"/>
    <x v="8"/>
    <n v="585.85311999999999"/>
    <x v="3"/>
  </r>
  <r>
    <x v="10"/>
    <s v="Murat Taşdemir"/>
    <x v="1"/>
    <x v="79"/>
    <x v="79"/>
    <n v="10"/>
    <s v="ADET"/>
    <n v="0"/>
    <n v="14472"/>
    <n v="3376"/>
    <n v="-14340"/>
    <n v="0"/>
    <n v="0"/>
    <n v="0.04"/>
    <x v="6"/>
    <n v="0.4"/>
    <x v="1"/>
  </r>
  <r>
    <x v="7"/>
    <s v="Stina Alm"/>
    <x v="1"/>
    <x v="79"/>
    <x v="79"/>
    <n v="14"/>
    <s v="ADET"/>
    <n v="0"/>
    <n v="14472"/>
    <n v="3376"/>
    <n v="-14340"/>
    <n v="0"/>
    <n v="0"/>
    <n v="0.04"/>
    <x v="6"/>
    <n v="0.56000000000000005"/>
    <x v="1"/>
  </r>
  <r>
    <x v="1"/>
    <s v="Laurent MONTAGNER"/>
    <x v="1"/>
    <x v="79"/>
    <x v="79"/>
    <n v="6"/>
    <s v="ADET"/>
    <n v="0"/>
    <n v="14472"/>
    <n v="3376"/>
    <n v="-14340"/>
    <n v="0"/>
    <n v="0"/>
    <n v="0.04"/>
    <x v="6"/>
    <n v="0.24"/>
    <x v="1"/>
  </r>
  <r>
    <x v="0"/>
    <s v="Matteo Giolo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1"/>
    <s v="Laurent MONTAGNER"/>
    <x v="1"/>
    <x v="80"/>
    <x v="80"/>
    <n v="7"/>
    <s v="ADET"/>
    <n v="0"/>
    <n v="85"/>
    <n v="43"/>
    <n v="-15"/>
    <n v="40"/>
    <n v="0"/>
    <n v="60"/>
    <x v="12"/>
    <n v="420"/>
    <x v="1"/>
  </r>
  <r>
    <x v="7"/>
    <s v="Stina Alm"/>
    <x v="1"/>
    <x v="80"/>
    <x v="80"/>
    <n v="11"/>
    <s v="ADET"/>
    <n v="0"/>
    <n v="85"/>
    <n v="43"/>
    <n v="-15"/>
    <n v="40"/>
    <n v="0"/>
    <n v="60"/>
    <x v="12"/>
    <n v="660"/>
    <x v="1"/>
  </r>
  <r>
    <x v="7"/>
    <s v="Stina Alm"/>
    <x v="1"/>
    <x v="81"/>
    <x v="81"/>
    <n v="1"/>
    <s v="ADET"/>
    <n v="0"/>
    <n v="2"/>
    <n v="8"/>
    <n v="0"/>
    <n v="11"/>
    <n v="0"/>
    <n v="675"/>
    <x v="20"/>
    <n v="675"/>
    <x v="2"/>
  </r>
  <r>
    <x v="0"/>
    <s v="Matteo Giolo"/>
    <x v="1"/>
    <x v="76"/>
    <x v="76"/>
    <n v="1"/>
    <s v="ADET"/>
    <n v="0"/>
    <n v="2"/>
    <n v="4"/>
    <n v="5"/>
    <n v="0"/>
    <n v="37250"/>
    <n v="7450"/>
    <x v="26"/>
    <n v="7450"/>
    <x v="2"/>
  </r>
  <r>
    <x v="0"/>
    <s v="Matteo Giolo"/>
    <x v="1"/>
    <x v="82"/>
    <x v="82"/>
    <n v="1"/>
    <s v="ADET"/>
    <n v="0"/>
    <n v="12"/>
    <n v="13"/>
    <n v="-5"/>
    <n v="0"/>
    <n v="0"/>
    <n v="28339.38"/>
    <x v="27"/>
    <n v="28339.38"/>
    <x v="2"/>
  </r>
  <r>
    <x v="2"/>
    <s v="Jan Urbanek"/>
    <x v="1"/>
    <x v="79"/>
    <x v="79"/>
    <n v="2"/>
    <s v="ADET"/>
    <n v="0"/>
    <n v="14472"/>
    <n v="3376"/>
    <n v="-14340"/>
    <n v="0"/>
    <n v="0"/>
    <n v="0.04"/>
    <x v="6"/>
    <n v="0.08"/>
    <x v="1"/>
  </r>
  <r>
    <x v="8"/>
    <s v="Jan Urbanek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2"/>
    <s v="Jan Urbanek"/>
    <x v="1"/>
    <x v="80"/>
    <x v="80"/>
    <n v="3"/>
    <s v="ADET"/>
    <n v="0"/>
    <n v="85"/>
    <n v="43"/>
    <n v="-15"/>
    <n v="40"/>
    <n v="0"/>
    <n v="60"/>
    <x v="12"/>
    <n v="180"/>
    <x v="1"/>
  </r>
  <r>
    <x v="8"/>
    <s v="Jan Urbanek"/>
    <x v="1"/>
    <x v="76"/>
    <x v="76"/>
    <n v="1"/>
    <s v="ADET"/>
    <n v="0"/>
    <n v="2"/>
    <n v="4"/>
    <n v="5"/>
    <n v="0"/>
    <n v="37250"/>
    <n v="7450"/>
    <x v="26"/>
    <n v="7450"/>
    <x v="2"/>
  </r>
  <r>
    <x v="2"/>
    <s v="Jan Urbanek"/>
    <x v="1"/>
    <x v="77"/>
    <x v="77"/>
    <n v="0.05"/>
    <s v="KG"/>
    <n v="0"/>
    <n v="1.8"/>
    <n v="0.84999999999999831"/>
    <n v="-3.25"/>
    <n v="1.75"/>
    <n v="0"/>
    <n v="645.64"/>
    <x v="8"/>
    <n v="32.282000000000004"/>
    <x v="3"/>
  </r>
  <r>
    <x v="8"/>
    <s v="Jan Urbanek"/>
    <x v="1"/>
    <x v="22"/>
    <x v="22"/>
    <n v="1"/>
    <s v="ADET"/>
    <n v="0"/>
    <n v="13"/>
    <n v="4"/>
    <n v="-6"/>
    <n v="0"/>
    <n v="0"/>
    <n v="1250"/>
    <x v="9"/>
    <n v="1250"/>
    <x v="2"/>
  </r>
  <r>
    <x v="11"/>
    <s v="Jan Urbanek"/>
    <x v="1"/>
    <x v="19"/>
    <x v="19"/>
    <n v="135"/>
    <s v="ADET"/>
    <n v="0"/>
    <n v="3000"/>
    <n v="1048"/>
    <n v="-967"/>
    <n v="0"/>
    <n v="0"/>
    <n v="2.92"/>
    <x v="1"/>
    <n v="394.2"/>
    <x v="1"/>
  </r>
  <r>
    <x v="11"/>
    <s v="Jan Urbanek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11"/>
    <s v="Jan Urbanek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13"/>
    <s v="Volkan Batkan"/>
    <x v="1"/>
    <x v="22"/>
    <x v="22"/>
    <n v="1"/>
    <s v="ADET"/>
    <n v="1"/>
    <n v="13"/>
    <n v="4"/>
    <n v="-6"/>
    <n v="0"/>
    <n v="0"/>
    <n v="1250"/>
    <x v="9"/>
    <n v="1250"/>
    <x v="2"/>
  </r>
  <r>
    <x v="11"/>
    <s v="Jan Urbanek"/>
    <x v="1"/>
    <x v="24"/>
    <x v="24"/>
    <n v="6.8"/>
    <s v="KG"/>
    <n v="0"/>
    <n v="120"/>
    <n v="113.68999999999977"/>
    <n v="-176.87000000000003"/>
    <n v="120"/>
    <n v="0"/>
    <n v="101.44"/>
    <x v="8"/>
    <n v="689.79199999999992"/>
    <x v="3"/>
  </r>
  <r>
    <x v="10"/>
    <s v="Murat Taşdemir"/>
    <x v="1"/>
    <x v="25"/>
    <x v="25"/>
    <n v="8.3999999999999986"/>
    <s v="ADET"/>
    <n v="0"/>
    <n v="96"/>
    <n v="195.44000000000005"/>
    <n v="63.92"/>
    <n v="0"/>
    <n v="8241.2056000000011"/>
    <n v="128.93"/>
    <x v="11"/>
    <n v="1083.0119999999999"/>
    <x v="1"/>
  </r>
  <r>
    <x v="13"/>
    <s v="Volkan Batkan"/>
    <x v="1"/>
    <x v="23"/>
    <x v="23"/>
    <n v="1"/>
    <s v="M2"/>
    <n v="0"/>
    <n v="40"/>
    <n v="20"/>
    <n v="-35.625"/>
    <n v="0"/>
    <n v="0"/>
    <n v="54.17"/>
    <x v="10"/>
    <n v="54.17"/>
    <x v="3"/>
  </r>
  <r>
    <x v="0"/>
    <s v="Matteo Giolo"/>
    <x v="1"/>
    <x v="22"/>
    <x v="22"/>
    <n v="1"/>
    <s v="ADET"/>
    <n v="0"/>
    <n v="13"/>
    <n v="4"/>
    <n v="-6"/>
    <n v="0"/>
    <n v="0"/>
    <n v="1250"/>
    <x v="9"/>
    <n v="1250"/>
    <x v="2"/>
  </r>
  <r>
    <x v="5"/>
    <s v="Matteo Giolo"/>
    <x v="1"/>
    <x v="25"/>
    <x v="25"/>
    <n v="9.4500000000000011"/>
    <s v="ADET"/>
    <n v="0"/>
    <n v="96"/>
    <n v="195.44000000000005"/>
    <n v="63.92"/>
    <n v="0"/>
    <n v="8241.2056000000011"/>
    <n v="128.93"/>
    <x v="11"/>
    <n v="1218.3885000000002"/>
    <x v="1"/>
  </r>
  <r>
    <x v="0"/>
    <s v="Matteo Giolo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2"/>
    <s v="Jan Urbanek"/>
    <x v="1"/>
    <x v="24"/>
    <x v="24"/>
    <n v="6.8"/>
    <s v="KG"/>
    <n v="0"/>
    <n v="120"/>
    <n v="113.68999999999977"/>
    <n v="-176.87000000000003"/>
    <n v="120"/>
    <n v="0"/>
    <n v="101.44"/>
    <x v="8"/>
    <n v="689.79199999999992"/>
    <x v="3"/>
  </r>
  <r>
    <x v="8"/>
    <s v="Jan Urbanek"/>
    <x v="1"/>
    <x v="23"/>
    <x v="23"/>
    <n v="1"/>
    <s v="M2"/>
    <n v="0"/>
    <n v="40"/>
    <n v="20"/>
    <n v="-35.625"/>
    <n v="0"/>
    <n v="0"/>
    <n v="54.17"/>
    <x v="10"/>
    <n v="54.17"/>
    <x v="3"/>
  </r>
  <r>
    <x v="7"/>
    <s v="Stina Alm"/>
    <x v="1"/>
    <x v="24"/>
    <x v="24"/>
    <n v="5.49"/>
    <s v="KG"/>
    <n v="0"/>
    <n v="120"/>
    <n v="113.68999999999977"/>
    <n v="-176.87000000000003"/>
    <n v="120"/>
    <n v="0"/>
    <n v="101.44"/>
    <x v="8"/>
    <n v="556.90560000000005"/>
    <x v="3"/>
  </r>
  <r>
    <x v="6"/>
    <s v="Stefan Zaugg"/>
    <x v="1"/>
    <x v="25"/>
    <x v="25"/>
    <n v="7.4999999999999991"/>
    <s v="ADET"/>
    <n v="0"/>
    <n v="96"/>
    <n v="195.44000000000005"/>
    <n v="63.92"/>
    <n v="0"/>
    <n v="8241.2056000000011"/>
    <n v="128.93"/>
    <x v="11"/>
    <n v="966.97499999999991"/>
    <x v="1"/>
  </r>
  <r>
    <x v="7"/>
    <s v="Stina Alm"/>
    <x v="1"/>
    <x v="25"/>
    <x v="25"/>
    <n v="11.2"/>
    <s v="ADET"/>
    <n v="0"/>
    <n v="96"/>
    <n v="195.44000000000005"/>
    <n v="63.92"/>
    <n v="0"/>
    <n v="8241.2056000000011"/>
    <n v="128.93"/>
    <x v="11"/>
    <n v="1444.0160000000001"/>
    <x v="1"/>
  </r>
  <r>
    <x v="6"/>
    <s v="Stefan Zaugg"/>
    <x v="1"/>
    <x v="26"/>
    <x v="26"/>
    <n v="8"/>
    <s v="ADET"/>
    <n v="0"/>
    <n v="100"/>
    <n v="352"/>
    <n v="-28"/>
    <n v="0"/>
    <n v="0"/>
    <n v="6.4"/>
    <x v="5"/>
    <n v="51.2"/>
    <x v="4"/>
  </r>
  <r>
    <x v="6"/>
    <s v="Stefan Zaugg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5"/>
    <s v="Matteo Giolo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6"/>
    <s v="Stefan Zaugg"/>
    <x v="1"/>
    <x v="84"/>
    <x v="84"/>
    <n v="2"/>
    <s v="ADET"/>
    <n v="0"/>
    <n v="239"/>
    <n v="90"/>
    <n v="-201"/>
    <n v="0"/>
    <n v="0"/>
    <n v="4"/>
    <x v="29"/>
    <n v="8"/>
    <x v="7"/>
  </r>
  <r>
    <x v="8"/>
    <s v="Jan Urbanek"/>
    <x v="1"/>
    <x v="24"/>
    <x v="24"/>
    <n v="6.8"/>
    <s v="KG"/>
    <n v="0"/>
    <n v="120"/>
    <n v="113.68999999999977"/>
    <n v="-176.87000000000003"/>
    <n v="120"/>
    <n v="0"/>
    <n v="101.44"/>
    <x v="8"/>
    <n v="689.79199999999992"/>
    <x v="3"/>
  </r>
  <r>
    <x v="8"/>
    <s v="Jan Urbanek"/>
    <x v="1"/>
    <x v="25"/>
    <x v="25"/>
    <n v="8.1"/>
    <s v="ADET"/>
    <n v="0"/>
    <n v="96"/>
    <n v="195.44000000000005"/>
    <n v="63.92"/>
    <n v="0"/>
    <n v="8241.2056000000011"/>
    <n v="128.93"/>
    <x v="11"/>
    <n v="1044.3330000000001"/>
    <x v="1"/>
  </r>
  <r>
    <x v="8"/>
    <s v="Jan Urbanek"/>
    <x v="1"/>
    <x v="84"/>
    <x v="84"/>
    <n v="2"/>
    <s v="ADET"/>
    <n v="0"/>
    <n v="239"/>
    <n v="90"/>
    <n v="-201"/>
    <n v="0"/>
    <n v="0"/>
    <n v="4"/>
    <x v="29"/>
    <n v="8"/>
    <x v="7"/>
  </r>
  <r>
    <x v="8"/>
    <s v="Jan Urbanek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"/>
    <s v="Laurent MONTAGNER"/>
    <x v="1"/>
    <x v="83"/>
    <x v="83"/>
    <n v="15"/>
    <s v="METRE"/>
    <n v="0"/>
    <n v="0"/>
    <n v="0"/>
    <n v="58"/>
    <n v="200"/>
    <n v="232.57999999999998"/>
    <n v="4.01"/>
    <x v="28"/>
    <n v="60.15"/>
    <x v="6"/>
  </r>
  <r>
    <x v="7"/>
    <s v="Stina Alm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2"/>
    <s v="Jan Urbanek"/>
    <x v="1"/>
    <x v="25"/>
    <x v="25"/>
    <n v="8.6"/>
    <s v="ADET"/>
    <n v="0"/>
    <n v="96"/>
    <n v="195.44000000000005"/>
    <n v="63.92"/>
    <n v="0"/>
    <n v="8241.2056000000011"/>
    <n v="128.93"/>
    <x v="11"/>
    <n v="1108.798"/>
    <x v="1"/>
  </r>
  <r>
    <x v="3"/>
    <s v="Jan Urbanek"/>
    <x v="1"/>
    <x v="18"/>
    <x v="18"/>
    <n v="1"/>
    <s v="ADET"/>
    <n v="0"/>
    <n v="3"/>
    <n v="7"/>
    <n v="8"/>
    <n v="0"/>
    <n v="70583.44"/>
    <n v="8822.93"/>
    <x v="3"/>
    <n v="8822.93"/>
    <x v="4"/>
  </r>
  <r>
    <x v="3"/>
    <s v="Jan Urbanek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4"/>
    <s v="Jan Urbanek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4"/>
    <s v="Jan Urbanek"/>
    <x v="1"/>
    <x v="43"/>
    <x v="43"/>
    <n v="2"/>
    <s v="ADET"/>
    <n v="0"/>
    <n v="44"/>
    <n v="12"/>
    <n v="-18"/>
    <n v="0"/>
    <n v="0"/>
    <n v="375"/>
    <x v="16"/>
    <n v="750"/>
    <x v="2"/>
  </r>
  <r>
    <x v="3"/>
    <s v="Jan Urbanek"/>
    <x v="1"/>
    <x v="43"/>
    <x v="43"/>
    <n v="2"/>
    <s v="ADET"/>
    <n v="0"/>
    <n v="44"/>
    <n v="12"/>
    <n v="-18"/>
    <n v="0"/>
    <n v="0"/>
    <n v="375"/>
    <x v="16"/>
    <n v="750"/>
    <x v="2"/>
  </r>
  <r>
    <x v="2"/>
    <s v="Jan Urbanek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10"/>
    <s v="Murat Taşdemir"/>
    <x v="1"/>
    <x v="43"/>
    <x v="43"/>
    <n v="2"/>
    <s v="ADET"/>
    <n v="0"/>
    <n v="44"/>
    <n v="12"/>
    <n v="-18"/>
    <n v="0"/>
    <n v="0"/>
    <n v="375"/>
    <x v="16"/>
    <n v="750"/>
    <x v="2"/>
  </r>
  <r>
    <x v="9"/>
    <s v="Stefan Zaugg"/>
    <x v="1"/>
    <x v="44"/>
    <x v="44"/>
    <n v="8"/>
    <s v="ADET"/>
    <n v="0"/>
    <n v="175"/>
    <n v="0"/>
    <n v="-95"/>
    <n v="0"/>
    <n v="0"/>
    <n v="8.42"/>
    <x v="5"/>
    <n v="67.36"/>
    <x v="4"/>
  </r>
  <r>
    <x v="9"/>
    <s v="Stefan Zaugg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10"/>
    <s v="Murat Taşdemir"/>
    <x v="1"/>
    <x v="86"/>
    <x v="86"/>
    <n v="6"/>
    <s v="METRE"/>
    <n v="0"/>
    <n v="125"/>
    <n v="16.500000000000028"/>
    <n v="-24"/>
    <n v="0"/>
    <n v="0"/>
    <n v="80.84"/>
    <x v="17"/>
    <n v="485.04"/>
    <x v="4"/>
  </r>
  <r>
    <x v="9"/>
    <s v="Stefan Zaugg"/>
    <x v="1"/>
    <x v="87"/>
    <x v="87"/>
    <n v="2"/>
    <s v="ADET"/>
    <n v="0"/>
    <n v="13"/>
    <n v="1"/>
    <n v="24"/>
    <n v="0"/>
    <n v="1570.08"/>
    <n v="65.42"/>
    <x v="1"/>
    <n v="130.84"/>
    <x v="4"/>
  </r>
  <r>
    <x v="12"/>
    <s v="Stefan Zaugg"/>
    <x v="1"/>
    <x v="87"/>
    <x v="87"/>
    <n v="2"/>
    <s v="ADET"/>
    <n v="0"/>
    <n v="13"/>
    <n v="1"/>
    <n v="24"/>
    <n v="0"/>
    <n v="1570.08"/>
    <n v="65.42"/>
    <x v="1"/>
    <n v="130.84"/>
    <x v="4"/>
  </r>
  <r>
    <x v="13"/>
    <s v="Volkan Batkan"/>
    <x v="1"/>
    <x v="87"/>
    <x v="87"/>
    <n v="3"/>
    <s v="ADET"/>
    <n v="0"/>
    <n v="13"/>
    <n v="1"/>
    <n v="24"/>
    <n v="0"/>
    <n v="1570.08"/>
    <n v="65.42"/>
    <x v="1"/>
    <n v="196.26"/>
    <x v="4"/>
  </r>
  <r>
    <x v="10"/>
    <s v="Murat Taşdemir"/>
    <x v="1"/>
    <x v="88"/>
    <x v="88"/>
    <n v="2"/>
    <s v="ADET"/>
    <n v="0"/>
    <n v="0"/>
    <n v="16"/>
    <n v="4"/>
    <n v="20"/>
    <n v="10905.68"/>
    <n v="2726.42"/>
    <x v="30"/>
    <n v="5452.84"/>
    <x v="6"/>
  </r>
  <r>
    <x v="8"/>
    <s v="Jan Urbanek"/>
    <x v="1"/>
    <x v="43"/>
    <x v="43"/>
    <n v="2"/>
    <s v="ADET"/>
    <n v="0"/>
    <n v="44"/>
    <n v="12"/>
    <n v="-18"/>
    <n v="0"/>
    <n v="0"/>
    <n v="375"/>
    <x v="16"/>
    <n v="750"/>
    <x v="2"/>
  </r>
  <r>
    <x v="12"/>
    <s v="Stefan Zaugg"/>
    <x v="1"/>
    <x v="41"/>
    <x v="41"/>
    <n v="8"/>
    <s v="ADET"/>
    <n v="0"/>
    <n v="3000"/>
    <n v="10000"/>
    <n v="-2984"/>
    <n v="0"/>
    <n v="0"/>
    <n v="0.3"/>
    <x v="2"/>
    <n v="2.4"/>
    <x v="1"/>
  </r>
  <r>
    <x v="14"/>
    <s v="Matteo Giolo"/>
    <x v="1"/>
    <x v="43"/>
    <x v="43"/>
    <n v="2"/>
    <s v="ADET"/>
    <n v="0"/>
    <n v="44"/>
    <n v="12"/>
    <n v="-18"/>
    <n v="0"/>
    <n v="0"/>
    <n v="375"/>
    <x v="16"/>
    <n v="750"/>
    <x v="2"/>
  </r>
  <r>
    <x v="11"/>
    <s v="Jan Urbanek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14"/>
    <s v="Matteo Giolo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11"/>
    <s v="Jan Urbanek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1"/>
    <s v="Jan Urbanek"/>
    <x v="1"/>
    <x v="89"/>
    <x v="89"/>
    <n v="1"/>
    <s v="ADET"/>
    <n v="0"/>
    <n v="8"/>
    <n v="8"/>
    <n v="-2"/>
    <n v="10"/>
    <n v="0"/>
    <n v="62.83"/>
    <x v="31"/>
    <n v="62.83"/>
    <x v="7"/>
  </r>
  <r>
    <x v="14"/>
    <s v="Matteo Giolo"/>
    <x v="1"/>
    <x v="89"/>
    <x v="89"/>
    <n v="3"/>
    <s v="ADET"/>
    <n v="0"/>
    <n v="8"/>
    <n v="8"/>
    <n v="-2"/>
    <n v="10"/>
    <n v="0"/>
    <n v="62.83"/>
    <x v="31"/>
    <n v="188.49"/>
    <x v="7"/>
  </r>
  <r>
    <x v="9"/>
    <s v="Stefan Zaugg"/>
    <x v="1"/>
    <x v="42"/>
    <x v="42"/>
    <n v="1"/>
    <s v="ADET"/>
    <n v="1"/>
    <n v="1"/>
    <n v="8"/>
    <n v="10"/>
    <n v="0"/>
    <n v="156184.20000000001"/>
    <n v="15618.42"/>
    <x v="15"/>
    <n v="15618.42"/>
    <x v="2"/>
  </r>
  <r>
    <x v="12"/>
    <s v="Stefan Zaugg"/>
    <x v="1"/>
    <x v="42"/>
    <x v="42"/>
    <n v="1"/>
    <s v="ADET"/>
    <n v="1"/>
    <n v="1"/>
    <n v="8"/>
    <n v="10"/>
    <n v="0"/>
    <n v="156184.20000000001"/>
    <n v="15618.42"/>
    <x v="15"/>
    <n v="15618.42"/>
    <x v="2"/>
  </r>
  <r>
    <x v="11"/>
    <s v="Jan Urbanek"/>
    <x v="1"/>
    <x v="44"/>
    <x v="44"/>
    <n v="8"/>
    <s v="ADET"/>
    <n v="0"/>
    <n v="175"/>
    <n v="0"/>
    <n v="-95"/>
    <n v="0"/>
    <n v="0"/>
    <n v="8.42"/>
    <x v="5"/>
    <n v="67.36"/>
    <x v="4"/>
  </r>
  <r>
    <x v="12"/>
    <s v="Stefan Zaugg"/>
    <x v="1"/>
    <x v="44"/>
    <x v="44"/>
    <n v="8"/>
    <s v="ADET"/>
    <n v="0"/>
    <n v="175"/>
    <n v="0"/>
    <n v="-95"/>
    <n v="0"/>
    <n v="0"/>
    <n v="8.42"/>
    <x v="5"/>
    <n v="67.36"/>
    <x v="4"/>
  </r>
  <r>
    <x v="11"/>
    <s v="Jan Urbanek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3"/>
    <s v="Jan Urbanek"/>
    <x v="1"/>
    <x v="77"/>
    <x v="77"/>
    <n v="0.05"/>
    <s v="KG"/>
    <n v="0.05"/>
    <n v="1.8"/>
    <n v="0.84999999999999831"/>
    <n v="-3.25"/>
    <n v="1.75"/>
    <n v="0"/>
    <n v="645.64"/>
    <x v="8"/>
    <n v="32.282000000000004"/>
    <x v="3"/>
  </r>
  <r>
    <x v="14"/>
    <s v="Matteo Giolo"/>
    <x v="1"/>
    <x v="79"/>
    <x v="79"/>
    <n v="14"/>
    <s v="ADET"/>
    <n v="0"/>
    <n v="14472"/>
    <n v="3376"/>
    <n v="-14340"/>
    <n v="0"/>
    <n v="0"/>
    <n v="0.04"/>
    <x v="6"/>
    <n v="0.56000000000000005"/>
    <x v="1"/>
  </r>
  <r>
    <x v="11"/>
    <s v="Jan Urbanek"/>
    <x v="1"/>
    <x v="79"/>
    <x v="79"/>
    <n v="2"/>
    <s v="ADET"/>
    <n v="0"/>
    <n v="14472"/>
    <n v="3376"/>
    <n v="-14340"/>
    <n v="0"/>
    <n v="0"/>
    <n v="0.04"/>
    <x v="6"/>
    <n v="0.08"/>
    <x v="1"/>
  </r>
  <r>
    <x v="7"/>
    <s v="Stina Alm"/>
    <x v="1"/>
    <x v="75"/>
    <x v="75"/>
    <n v="70"/>
    <s v="ADET"/>
    <n v="0"/>
    <n v="4000"/>
    <n v="138"/>
    <n v="-2738"/>
    <n v="0"/>
    <n v="0"/>
    <n v="0.93"/>
    <x v="5"/>
    <n v="65.100000000000009"/>
    <x v="1"/>
  </r>
  <r>
    <x v="6"/>
    <s v="Stefan Zaugg"/>
    <x v="1"/>
    <x v="80"/>
    <x v="80"/>
    <n v="5"/>
    <s v="ADET"/>
    <n v="0"/>
    <n v="85"/>
    <n v="43"/>
    <n v="-15"/>
    <n v="40"/>
    <n v="0"/>
    <n v="60"/>
    <x v="12"/>
    <n v="300"/>
    <x v="1"/>
  </r>
  <r>
    <x v="5"/>
    <s v="Matteo Giolo"/>
    <x v="1"/>
    <x v="80"/>
    <x v="80"/>
    <n v="9"/>
    <s v="ADET"/>
    <n v="0"/>
    <n v="85"/>
    <n v="43"/>
    <n v="-15"/>
    <n v="40"/>
    <n v="0"/>
    <n v="60"/>
    <x v="12"/>
    <n v="540"/>
    <x v="1"/>
  </r>
  <r>
    <x v="14"/>
    <s v="Matteo Giolo"/>
    <x v="1"/>
    <x v="74"/>
    <x v="74"/>
    <n v="2"/>
    <s v="ADET"/>
    <n v="0"/>
    <n v="809"/>
    <n v="0"/>
    <n v="-768"/>
    <n v="0"/>
    <n v="0"/>
    <n v="2.4"/>
    <x v="2"/>
    <n v="4.8"/>
    <x v="1"/>
  </r>
  <r>
    <x v="17"/>
    <s v="Soner Kayıkçı"/>
    <x v="1"/>
    <x v="6"/>
    <x v="6"/>
    <n v="33"/>
    <s v="ADET"/>
    <n v="0"/>
    <n v="2800"/>
    <n v="2438.9999999999991"/>
    <n v="-1645"/>
    <n v="0"/>
    <n v="0"/>
    <n v="0.18"/>
    <x v="2"/>
    <n v="5.9399999999999995"/>
    <x v="1"/>
  </r>
  <r>
    <x v="18"/>
    <s v="Stina Alm"/>
    <x v="1"/>
    <x v="6"/>
    <x v="6"/>
    <n v="83"/>
    <s v="ADET"/>
    <n v="0"/>
    <n v="2800"/>
    <n v="2438.9999999999991"/>
    <n v="-1645"/>
    <n v="0"/>
    <n v="0"/>
    <n v="0.18"/>
    <x v="2"/>
    <n v="14.94"/>
    <x v="1"/>
  </r>
  <r>
    <x v="17"/>
    <s v="Soner Kayıkçı"/>
    <x v="1"/>
    <x v="7"/>
    <x v="7"/>
    <n v="15"/>
    <s v="ADET"/>
    <n v="0"/>
    <n v="170"/>
    <n v="18"/>
    <n v="124"/>
    <n v="0"/>
    <n v="2046"/>
    <n v="16.5"/>
    <x v="2"/>
    <n v="247.5"/>
    <x v="1"/>
  </r>
  <r>
    <x v="16"/>
    <s v="Laurent MONTAGNER"/>
    <x v="1"/>
    <x v="7"/>
    <x v="7"/>
    <n v="16"/>
    <s v="ADET"/>
    <n v="0"/>
    <n v="170"/>
    <n v="18"/>
    <n v="124"/>
    <n v="0"/>
    <n v="2046"/>
    <n v="16.5"/>
    <x v="2"/>
    <n v="264"/>
    <x v="1"/>
  </r>
  <r>
    <x v="17"/>
    <s v="Soner Kayıkçı"/>
    <x v="1"/>
    <x v="8"/>
    <x v="8"/>
    <n v="2"/>
    <s v="ADET"/>
    <n v="0"/>
    <n v="24"/>
    <n v="27"/>
    <n v="1"/>
    <n v="0"/>
    <n v="42"/>
    <n v="42"/>
    <x v="4"/>
    <n v="84"/>
    <x v="1"/>
  </r>
  <r>
    <x v="2"/>
    <s v="Jan Urbanek"/>
    <x v="1"/>
    <x v="7"/>
    <x v="7"/>
    <n v="14"/>
    <s v="ADET"/>
    <n v="0"/>
    <n v="170"/>
    <n v="18"/>
    <n v="124"/>
    <n v="0"/>
    <n v="2046"/>
    <n v="16.5"/>
    <x v="2"/>
    <n v="231"/>
    <x v="1"/>
  </r>
  <r>
    <x v="2"/>
    <s v="Jan Urbanek"/>
    <x v="1"/>
    <x v="8"/>
    <x v="8"/>
    <n v="2"/>
    <s v="ADET"/>
    <n v="0"/>
    <n v="24"/>
    <n v="27"/>
    <n v="1"/>
    <n v="0"/>
    <n v="42"/>
    <n v="42"/>
    <x v="4"/>
    <n v="84"/>
    <x v="1"/>
  </r>
  <r>
    <x v="2"/>
    <s v="Jan Urbanek"/>
    <x v="1"/>
    <x v="11"/>
    <x v="11"/>
    <n v="16"/>
    <s v="ADET"/>
    <n v="0"/>
    <n v="4822"/>
    <n v="811"/>
    <n v="-4638"/>
    <n v="0"/>
    <n v="0"/>
    <n v="0.3"/>
    <x v="2"/>
    <n v="4.8"/>
    <x v="1"/>
  </r>
  <r>
    <x v="2"/>
    <s v="Jan Urbanek"/>
    <x v="1"/>
    <x v="9"/>
    <x v="9"/>
    <n v="25"/>
    <s v="ADET"/>
    <n v="0"/>
    <n v="976"/>
    <n v="167"/>
    <n v="-508"/>
    <n v="0"/>
    <n v="0"/>
    <n v="3.46"/>
    <x v="5"/>
    <n v="86.5"/>
    <x v="1"/>
  </r>
  <r>
    <x v="3"/>
    <s v="Jan Urbanek"/>
    <x v="1"/>
    <x v="9"/>
    <x v="9"/>
    <n v="25"/>
    <s v="ADET"/>
    <n v="0"/>
    <n v="976"/>
    <n v="167"/>
    <n v="-508"/>
    <n v="0"/>
    <n v="0"/>
    <n v="3.46"/>
    <x v="5"/>
    <n v="86.5"/>
    <x v="1"/>
  </r>
  <r>
    <x v="4"/>
    <s v="Jan Urbanek"/>
    <x v="1"/>
    <x v="10"/>
    <x v="10"/>
    <n v="37"/>
    <s v="ADET"/>
    <n v="0"/>
    <n v="495"/>
    <n v="146"/>
    <n v="-22"/>
    <n v="0"/>
    <n v="0"/>
    <n v="3.75"/>
    <x v="1"/>
    <n v="138.75"/>
    <x v="1"/>
  </r>
  <r>
    <x v="11"/>
    <s v="Jan Urbanek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11"/>
    <s v="Jan Urbanek"/>
    <x v="1"/>
    <x v="10"/>
    <x v="10"/>
    <n v="37"/>
    <s v="ADET"/>
    <n v="0"/>
    <n v="495"/>
    <n v="146"/>
    <n v="-22"/>
    <n v="0"/>
    <n v="0"/>
    <n v="3.75"/>
    <x v="1"/>
    <n v="138.75"/>
    <x v="1"/>
  </r>
  <r>
    <x v="12"/>
    <s v="Stefan Zaugg"/>
    <x v="1"/>
    <x v="10"/>
    <x v="10"/>
    <n v="7"/>
    <s v="ADET"/>
    <n v="0"/>
    <n v="495"/>
    <n v="146"/>
    <n v="-22"/>
    <n v="0"/>
    <n v="0"/>
    <n v="3.75"/>
    <x v="1"/>
    <n v="26.25"/>
    <x v="1"/>
  </r>
  <r>
    <x v="14"/>
    <s v="Matteo Giolo"/>
    <x v="1"/>
    <x v="10"/>
    <x v="10"/>
    <n v="21"/>
    <s v="ADET"/>
    <n v="0"/>
    <n v="495"/>
    <n v="146"/>
    <n v="-22"/>
    <n v="0"/>
    <n v="0"/>
    <n v="3.75"/>
    <x v="1"/>
    <n v="78.75"/>
    <x v="1"/>
  </r>
  <r>
    <x v="13"/>
    <s v="Volkan Batkan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16"/>
    <s v="Laurent MONTAGNER"/>
    <x v="1"/>
    <x v="6"/>
    <x v="6"/>
    <n v="56"/>
    <s v="ADET"/>
    <n v="0"/>
    <n v="2800"/>
    <n v="2438.9999999999991"/>
    <n v="-1645"/>
    <n v="0"/>
    <n v="0"/>
    <n v="0.18"/>
    <x v="2"/>
    <n v="10.08"/>
    <x v="1"/>
  </r>
  <r>
    <x v="16"/>
    <s v="Laurent MONTAGNER"/>
    <x v="1"/>
    <x v="9"/>
    <x v="9"/>
    <n v="25"/>
    <s v="ADET"/>
    <n v="0"/>
    <n v="976"/>
    <n v="167"/>
    <n v="-508"/>
    <n v="0"/>
    <n v="0"/>
    <n v="3.46"/>
    <x v="5"/>
    <n v="86.5"/>
    <x v="1"/>
  </r>
  <r>
    <x v="17"/>
    <s v="Soner Kayıkçı"/>
    <x v="1"/>
    <x v="10"/>
    <x v="10"/>
    <n v="37"/>
    <s v="ADET"/>
    <n v="0"/>
    <n v="495"/>
    <n v="146"/>
    <n v="-22"/>
    <n v="0"/>
    <n v="0"/>
    <n v="3.75"/>
    <x v="1"/>
    <n v="138.75"/>
    <x v="1"/>
  </r>
  <r>
    <x v="16"/>
    <s v="Laurent MONTAGNER"/>
    <x v="1"/>
    <x v="90"/>
    <x v="90"/>
    <n v="1"/>
    <s v="ADET"/>
    <n v="0"/>
    <n v="1"/>
    <n v="1"/>
    <n v="3"/>
    <n v="0"/>
    <n v="97615.14"/>
    <n v="32538.38"/>
    <x v="15"/>
    <n v="32538.38"/>
    <x v="2"/>
  </r>
  <r>
    <x v="12"/>
    <s v="Stefan Zaugg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14"/>
    <s v="Matteo Giolo"/>
    <x v="1"/>
    <x v="86"/>
    <x v="86"/>
    <n v="5"/>
    <s v="METRE"/>
    <n v="0"/>
    <n v="125"/>
    <n v="16.500000000000028"/>
    <n v="-24"/>
    <n v="0"/>
    <n v="0"/>
    <n v="80.84"/>
    <x v="17"/>
    <n v="404.20000000000005"/>
    <x v="4"/>
  </r>
  <r>
    <x v="11"/>
    <s v="Jan Urbanek"/>
    <x v="1"/>
    <x v="87"/>
    <x v="87"/>
    <n v="1"/>
    <s v="ADET"/>
    <n v="0"/>
    <n v="13"/>
    <n v="1"/>
    <n v="24"/>
    <n v="0"/>
    <n v="1570.08"/>
    <n v="65.42"/>
    <x v="1"/>
    <n v="65.42"/>
    <x v="4"/>
  </r>
  <r>
    <x v="14"/>
    <s v="Matteo Giolo"/>
    <x v="1"/>
    <x v="87"/>
    <x v="87"/>
    <n v="2"/>
    <s v="ADET"/>
    <n v="0"/>
    <n v="13"/>
    <n v="1"/>
    <n v="24"/>
    <n v="0"/>
    <n v="1570.08"/>
    <n v="65.42"/>
    <x v="1"/>
    <n v="130.84"/>
    <x v="4"/>
  </r>
  <r>
    <x v="9"/>
    <s v="Stefan Zaugg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2"/>
    <s v="Stefan Zaugg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4"/>
    <s v="Matteo Giolo"/>
    <x v="1"/>
    <x v="88"/>
    <x v="88"/>
    <n v="1"/>
    <s v="ADET"/>
    <n v="0"/>
    <n v="0"/>
    <n v="16"/>
    <n v="4"/>
    <n v="20"/>
    <n v="10905.68"/>
    <n v="2726.42"/>
    <x v="30"/>
    <n v="2726.42"/>
    <x v="6"/>
  </r>
  <r>
    <x v="9"/>
    <s v="Stefan Zaugg"/>
    <x v="1"/>
    <x v="89"/>
    <x v="89"/>
    <n v="1"/>
    <s v="ADET"/>
    <n v="1"/>
    <n v="8"/>
    <n v="8"/>
    <n v="-2"/>
    <n v="10"/>
    <n v="0"/>
    <n v="62.83"/>
    <x v="31"/>
    <n v="62.83"/>
    <x v="7"/>
  </r>
  <r>
    <x v="9"/>
    <s v="Stefan Zaugg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14"/>
    <s v="Matteo Giolo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18"/>
    <s v="Stina Alm"/>
    <x v="1"/>
    <x v="40"/>
    <x v="40"/>
    <n v="16"/>
    <s v="ADET"/>
    <n v="0"/>
    <n v="1000"/>
    <n v="0"/>
    <n v="-936"/>
    <n v="0"/>
    <n v="0"/>
    <n v="0.15"/>
    <x v="2"/>
    <n v="2.4"/>
    <x v="1"/>
  </r>
  <r>
    <x v="18"/>
    <s v="Stina Alm"/>
    <x v="1"/>
    <x v="38"/>
    <x v="38"/>
    <n v="30"/>
    <s v="ADET"/>
    <n v="0"/>
    <n v="2000"/>
    <n v="7604"/>
    <n v="-1531"/>
    <n v="0"/>
    <n v="0"/>
    <n v="0.3"/>
    <x v="2"/>
    <n v="9"/>
    <x v="1"/>
  </r>
  <r>
    <x v="19"/>
    <s v="Laurent MONTAGNER"/>
    <x v="1"/>
    <x v="38"/>
    <x v="38"/>
    <n v="10"/>
    <s v="ADET"/>
    <n v="0"/>
    <n v="2000"/>
    <n v="7604"/>
    <n v="-1531"/>
    <n v="0"/>
    <n v="0"/>
    <n v="0.3"/>
    <x v="2"/>
    <n v="3"/>
    <x v="1"/>
  </r>
  <r>
    <x v="19"/>
    <s v="Laurent MONTAGNER"/>
    <x v="1"/>
    <x v="43"/>
    <x v="43"/>
    <n v="2"/>
    <s v="ADET"/>
    <n v="2"/>
    <n v="44"/>
    <n v="12"/>
    <n v="-18"/>
    <n v="0"/>
    <n v="0"/>
    <n v="375"/>
    <x v="16"/>
    <n v="750"/>
    <x v="2"/>
  </r>
  <r>
    <x v="18"/>
    <s v="Stina Alm"/>
    <x v="1"/>
    <x v="43"/>
    <x v="43"/>
    <n v="2"/>
    <s v="ADET"/>
    <n v="0"/>
    <n v="44"/>
    <n v="12"/>
    <n v="-18"/>
    <n v="0"/>
    <n v="0"/>
    <n v="375"/>
    <x v="16"/>
    <n v="750"/>
    <x v="2"/>
  </r>
  <r>
    <x v="18"/>
    <s v="Stina Alm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5"/>
    <s v="Matteo Giolo"/>
    <x v="1"/>
    <x v="43"/>
    <x v="43"/>
    <n v="2"/>
    <s v="ADET"/>
    <n v="0"/>
    <n v="44"/>
    <n v="12"/>
    <n v="-18"/>
    <n v="0"/>
    <n v="0"/>
    <n v="375"/>
    <x v="16"/>
    <n v="750"/>
    <x v="2"/>
  </r>
  <r>
    <x v="6"/>
    <s v="Stefan Zaugg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1"/>
    <s v="Laurent MONTAGNER"/>
    <x v="1"/>
    <x v="86"/>
    <x v="86"/>
    <n v="12"/>
    <s v="METRE"/>
    <n v="0"/>
    <n v="125"/>
    <n v="16.500000000000028"/>
    <n v="-24"/>
    <n v="0"/>
    <n v="0"/>
    <n v="80.84"/>
    <x v="17"/>
    <n v="970.08"/>
    <x v="4"/>
  </r>
  <r>
    <x v="7"/>
    <s v="Stina Alm"/>
    <x v="1"/>
    <x v="87"/>
    <x v="87"/>
    <n v="2"/>
    <s v="ADET"/>
    <n v="0"/>
    <n v="13"/>
    <n v="1"/>
    <n v="24"/>
    <n v="0"/>
    <n v="1570.08"/>
    <n v="65.42"/>
    <x v="1"/>
    <n v="130.84"/>
    <x v="4"/>
  </r>
  <r>
    <x v="1"/>
    <s v="Laurent MONTAGNER"/>
    <x v="1"/>
    <x v="87"/>
    <x v="87"/>
    <n v="3"/>
    <s v="ADET"/>
    <n v="0"/>
    <n v="13"/>
    <n v="1"/>
    <n v="24"/>
    <n v="0"/>
    <n v="1570.08"/>
    <n v="65.42"/>
    <x v="1"/>
    <n v="196.26"/>
    <x v="4"/>
  </r>
  <r>
    <x v="6"/>
    <s v="Stefan Zaugg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7"/>
    <s v="Soner Kayıkçı"/>
    <x v="1"/>
    <x v="44"/>
    <x v="44"/>
    <n v="8"/>
    <s v="ADET"/>
    <n v="0"/>
    <n v="175"/>
    <n v="0"/>
    <n v="-95"/>
    <n v="0"/>
    <n v="0"/>
    <n v="8.42"/>
    <x v="5"/>
    <n v="67.36"/>
    <x v="4"/>
  </r>
  <r>
    <x v="16"/>
    <s v="Laurent MONTAGNER"/>
    <x v="1"/>
    <x v="86"/>
    <x v="86"/>
    <n v="7"/>
    <s v="METRE"/>
    <n v="0"/>
    <n v="125"/>
    <n v="16.500000000000028"/>
    <n v="-24"/>
    <n v="0"/>
    <n v="0"/>
    <n v="80.84"/>
    <x v="17"/>
    <n v="565.88"/>
    <x v="4"/>
  </r>
  <r>
    <x v="17"/>
    <s v="Soner Kayıkçı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19"/>
    <s v="Laurent MONTAGNER"/>
    <x v="1"/>
    <x v="86"/>
    <x v="86"/>
    <n v="12"/>
    <s v="METRE"/>
    <n v="0"/>
    <n v="125"/>
    <n v="16.500000000000028"/>
    <n v="-24"/>
    <n v="0"/>
    <n v="0"/>
    <n v="80.84"/>
    <x v="17"/>
    <n v="970.08"/>
    <x v="4"/>
  </r>
  <r>
    <x v="18"/>
    <s v="Stina Alm"/>
    <x v="1"/>
    <x v="87"/>
    <x v="87"/>
    <n v="2"/>
    <s v="ADET"/>
    <n v="0"/>
    <n v="13"/>
    <n v="1"/>
    <n v="24"/>
    <n v="0"/>
    <n v="1570.08"/>
    <n v="65.42"/>
    <x v="1"/>
    <n v="130.84"/>
    <x v="4"/>
  </r>
  <r>
    <x v="4"/>
    <s v="Jan Urbanek"/>
    <x v="1"/>
    <x v="23"/>
    <x v="23"/>
    <n v="1"/>
    <s v="M2"/>
    <n v="0"/>
    <n v="40"/>
    <n v="20"/>
    <n v="-35.625"/>
    <n v="0"/>
    <n v="0"/>
    <n v="54.17"/>
    <x v="10"/>
    <n v="54.17"/>
    <x v="3"/>
  </r>
  <r>
    <x v="8"/>
    <s v="Jan Urbanek"/>
    <x v="1"/>
    <x v="26"/>
    <x v="26"/>
    <n v="8"/>
    <s v="ADET"/>
    <n v="0"/>
    <n v="100"/>
    <n v="352"/>
    <n v="-28"/>
    <n v="0"/>
    <n v="0"/>
    <n v="6.4"/>
    <x v="5"/>
    <n v="51.2"/>
    <x v="4"/>
  </r>
  <r>
    <x v="0"/>
    <s v="Matteo Giolo"/>
    <x v="1"/>
    <x v="92"/>
    <x v="92"/>
    <n v="249"/>
    <s v="ADET"/>
    <n v="0"/>
    <n v="4000"/>
    <n v="7366"/>
    <n v="-714"/>
    <n v="0"/>
    <n v="0"/>
    <n v="0.35"/>
    <x v="2"/>
    <n v="87.149999999999991"/>
    <x v="1"/>
  </r>
  <r>
    <x v="1"/>
    <s v="Laurent MONTAGNER"/>
    <x v="1"/>
    <x v="92"/>
    <x v="92"/>
    <n v="113"/>
    <s v="ADET"/>
    <n v="0"/>
    <n v="4000"/>
    <n v="7366"/>
    <n v="-714"/>
    <n v="0"/>
    <n v="0"/>
    <n v="0.35"/>
    <x v="2"/>
    <n v="39.549999999999997"/>
    <x v="1"/>
  </r>
  <r>
    <x v="7"/>
    <s v="Stina Alm"/>
    <x v="1"/>
    <x v="92"/>
    <x v="92"/>
    <n v="129"/>
    <s v="ADET"/>
    <n v="0"/>
    <n v="4000"/>
    <n v="7366"/>
    <n v="-714"/>
    <n v="0"/>
    <n v="0"/>
    <n v="0.35"/>
    <x v="2"/>
    <n v="45.15"/>
    <x v="1"/>
  </r>
  <r>
    <x v="11"/>
    <s v="Jan Urbanek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12"/>
    <s v="Stefan Zaugg"/>
    <x v="1"/>
    <x v="92"/>
    <x v="92"/>
    <n v="119"/>
    <s v="ADET"/>
    <n v="0"/>
    <n v="4000"/>
    <n v="7366"/>
    <n v="-714"/>
    <n v="0"/>
    <n v="0"/>
    <n v="0.35"/>
    <x v="2"/>
    <n v="41.65"/>
    <x v="1"/>
  </r>
  <r>
    <x v="13"/>
    <s v="Volkan Batkan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14"/>
    <s v="Matteo Giolo"/>
    <x v="1"/>
    <x v="92"/>
    <x v="92"/>
    <n v="165"/>
    <s v="ADET"/>
    <n v="0"/>
    <n v="4000"/>
    <n v="7366"/>
    <n v="-714"/>
    <n v="0"/>
    <n v="0"/>
    <n v="0.35"/>
    <x v="2"/>
    <n v="57.749999999999993"/>
    <x v="1"/>
  </r>
  <r>
    <x v="5"/>
    <s v="Matteo Giolo"/>
    <x v="1"/>
    <x v="92"/>
    <x v="92"/>
    <n v="162"/>
    <s v="ADET"/>
    <n v="0"/>
    <n v="4000"/>
    <n v="7366"/>
    <n v="-714"/>
    <n v="0"/>
    <n v="0"/>
    <n v="0.35"/>
    <x v="2"/>
    <n v="56.699999999999996"/>
    <x v="1"/>
  </r>
  <r>
    <x v="6"/>
    <s v="Stefan Zaugg"/>
    <x v="1"/>
    <x v="92"/>
    <x v="92"/>
    <n v="155"/>
    <s v="ADET"/>
    <n v="0"/>
    <n v="4000"/>
    <n v="7366"/>
    <n v="-714"/>
    <n v="0"/>
    <n v="0"/>
    <n v="0.35"/>
    <x v="2"/>
    <n v="54.25"/>
    <x v="1"/>
  </r>
  <r>
    <x v="9"/>
    <s v="Stefan Zaugg"/>
    <x v="1"/>
    <x v="92"/>
    <x v="92"/>
    <n v="155"/>
    <s v="ADET"/>
    <n v="0"/>
    <n v="4000"/>
    <n v="7366"/>
    <n v="-714"/>
    <n v="0"/>
    <n v="0"/>
    <n v="0.35"/>
    <x v="2"/>
    <n v="54.25"/>
    <x v="1"/>
  </r>
  <r>
    <x v="10"/>
    <s v="Murat Taşdemir"/>
    <x v="1"/>
    <x v="92"/>
    <x v="92"/>
    <n v="92"/>
    <s v="ADET"/>
    <n v="0"/>
    <n v="4000"/>
    <n v="7366"/>
    <n v="-714"/>
    <n v="0"/>
    <n v="0"/>
    <n v="0.35"/>
    <x v="2"/>
    <n v="32.199999999999996"/>
    <x v="1"/>
  </r>
  <r>
    <x v="4"/>
    <s v="Jan Urbanek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2"/>
    <s v="Jan Urbanek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10"/>
    <s v="Murat Taşdemir"/>
    <x v="1"/>
    <x v="93"/>
    <x v="93"/>
    <n v="2"/>
    <s v="ADET"/>
    <n v="0"/>
    <n v="415"/>
    <n v="0"/>
    <n v="-393"/>
    <n v="0"/>
    <n v="0"/>
    <n v="4.25"/>
    <x v="2"/>
    <n v="8.5"/>
    <x v="4"/>
  </r>
  <r>
    <x v="10"/>
    <s v="Murat Taşdemir"/>
    <x v="1"/>
    <x v="94"/>
    <x v="94"/>
    <n v="1"/>
    <s v="ADET"/>
    <n v="0"/>
    <n v="56"/>
    <n v="4"/>
    <n v="-53"/>
    <n v="0"/>
    <n v="0"/>
    <n v="16.5"/>
    <x v="2"/>
    <n v="16.5"/>
    <x v="4"/>
  </r>
  <r>
    <x v="19"/>
    <s v="Laurent MONTAGNER"/>
    <x v="1"/>
    <x v="92"/>
    <x v="92"/>
    <n v="113"/>
    <s v="ADET"/>
    <n v="0"/>
    <n v="4000"/>
    <n v="7366"/>
    <n v="-714"/>
    <n v="0"/>
    <n v="0"/>
    <n v="0.35"/>
    <x v="2"/>
    <n v="39.549999999999997"/>
    <x v="1"/>
  </r>
  <r>
    <x v="8"/>
    <s v="Jan Urbanek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14"/>
    <s v="Matteo Giolo"/>
    <x v="1"/>
    <x v="93"/>
    <x v="93"/>
    <n v="4"/>
    <s v="ADET"/>
    <n v="0"/>
    <n v="415"/>
    <n v="0"/>
    <n v="-393"/>
    <n v="0"/>
    <n v="0"/>
    <n v="4.25"/>
    <x v="2"/>
    <n v="17"/>
    <x v="4"/>
  </r>
  <r>
    <x v="9"/>
    <s v="Stefan Zaugg"/>
    <x v="1"/>
    <x v="95"/>
    <x v="95"/>
    <n v="2"/>
    <s v="ADET"/>
    <n v="0"/>
    <n v="222"/>
    <n v="2"/>
    <n v="-166"/>
    <n v="0"/>
    <n v="0"/>
    <n v="11.5"/>
    <x v="2"/>
    <n v="23"/>
    <x v="4"/>
  </r>
  <r>
    <x v="12"/>
    <s v="Stefan Zaugg"/>
    <x v="1"/>
    <x v="95"/>
    <x v="95"/>
    <n v="2"/>
    <s v="ADET"/>
    <n v="0"/>
    <n v="222"/>
    <n v="2"/>
    <n v="-166"/>
    <n v="0"/>
    <n v="0"/>
    <n v="11.5"/>
    <x v="2"/>
    <n v="23"/>
    <x v="4"/>
  </r>
  <r>
    <x v="10"/>
    <s v="Murat Taşdemir"/>
    <x v="1"/>
    <x v="95"/>
    <x v="95"/>
    <n v="2"/>
    <s v="ADET"/>
    <n v="0"/>
    <n v="222"/>
    <n v="2"/>
    <n v="-166"/>
    <n v="0"/>
    <n v="0"/>
    <n v="11.5"/>
    <x v="2"/>
    <n v="23"/>
    <x v="4"/>
  </r>
  <r>
    <x v="11"/>
    <s v="Jan Urbanek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18"/>
    <s v="Stina Alm"/>
    <x v="1"/>
    <x v="92"/>
    <x v="92"/>
    <n v="149"/>
    <s v="ADET"/>
    <n v="0"/>
    <n v="4000"/>
    <n v="7366"/>
    <n v="-714"/>
    <n v="0"/>
    <n v="0"/>
    <n v="0.35"/>
    <x v="2"/>
    <n v="52.15"/>
    <x v="1"/>
  </r>
  <r>
    <x v="5"/>
    <s v="Matteo Giolo"/>
    <x v="1"/>
    <x v="93"/>
    <x v="93"/>
    <n v="4"/>
    <s v="ADET"/>
    <n v="0"/>
    <n v="415"/>
    <n v="0"/>
    <n v="-393"/>
    <n v="0"/>
    <n v="0"/>
    <n v="4.25"/>
    <x v="2"/>
    <n v="17"/>
    <x v="4"/>
  </r>
  <r>
    <x v="5"/>
    <s v="Matteo Giolo"/>
    <x v="1"/>
    <x v="94"/>
    <x v="94"/>
    <n v="1"/>
    <s v="ADET"/>
    <n v="0"/>
    <n v="56"/>
    <n v="4"/>
    <n v="-53"/>
    <n v="0"/>
    <n v="0"/>
    <n v="16.5"/>
    <x v="2"/>
    <n v="16.5"/>
    <x v="4"/>
  </r>
  <r>
    <x v="13"/>
    <s v="Volkan Batkan"/>
    <x v="1"/>
    <x v="95"/>
    <x v="95"/>
    <n v="2"/>
    <s v="ADET"/>
    <n v="0"/>
    <n v="222"/>
    <n v="2"/>
    <n v="-166"/>
    <n v="0"/>
    <n v="0"/>
    <n v="11.5"/>
    <x v="2"/>
    <n v="23"/>
    <x v="4"/>
  </r>
  <r>
    <x v="9"/>
    <s v="Stefan Zaugg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2"/>
    <s v="Jan Urbanek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4"/>
    <s v="Jan Urbanek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3"/>
    <s v="Jan Urbanek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4"/>
    <s v="Jan Urbanek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3"/>
    <s v="Jan Urbanek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8"/>
    <s v="Stina Alm"/>
    <x v="1"/>
    <x v="20"/>
    <x v="20"/>
    <n v="7"/>
    <s v="ADET"/>
    <n v="0"/>
    <n v="2200"/>
    <n v="0"/>
    <n v="-1626"/>
    <n v="0"/>
    <n v="0"/>
    <n v="0.7"/>
    <x v="2"/>
    <n v="4.8999999999999995"/>
    <x v="1"/>
  </r>
  <r>
    <x v="0"/>
    <s v="Matteo Giolo"/>
    <x v="1"/>
    <x v="84"/>
    <x v="84"/>
    <n v="2"/>
    <s v="ADET"/>
    <n v="0"/>
    <n v="239"/>
    <n v="90"/>
    <n v="-201"/>
    <n v="0"/>
    <n v="0"/>
    <n v="4"/>
    <x v="29"/>
    <n v="8"/>
    <x v="7"/>
  </r>
  <r>
    <x v="4"/>
    <s v="Jan Urbanek"/>
    <x v="1"/>
    <x v="24"/>
    <x v="24"/>
    <n v="6.8"/>
    <s v="KG"/>
    <n v="0"/>
    <n v="120"/>
    <n v="113.68999999999977"/>
    <n v="-176.87000000000003"/>
    <n v="120"/>
    <n v="0"/>
    <n v="101.44"/>
    <x v="8"/>
    <n v="689.79199999999992"/>
    <x v="3"/>
  </r>
  <r>
    <x v="3"/>
    <s v="Jan Urbanek"/>
    <x v="1"/>
    <x v="24"/>
    <x v="24"/>
    <n v="6.5"/>
    <s v="KG"/>
    <n v="6.5"/>
    <n v="120"/>
    <n v="113.68999999999977"/>
    <n v="-176.87000000000003"/>
    <n v="120"/>
    <n v="0"/>
    <n v="101.44"/>
    <x v="8"/>
    <n v="659.36"/>
    <x v="3"/>
  </r>
  <r>
    <x v="3"/>
    <s v="Jan Urbanek"/>
    <x v="1"/>
    <x v="25"/>
    <x v="25"/>
    <n v="7.7999999999999989"/>
    <s v="ADET"/>
    <n v="0"/>
    <n v="96"/>
    <n v="195.44000000000005"/>
    <n v="63.92"/>
    <n v="0"/>
    <n v="8241.2056000000011"/>
    <n v="128.93"/>
    <x v="11"/>
    <n v="1005.6539999999999"/>
    <x v="1"/>
  </r>
  <r>
    <x v="4"/>
    <s v="Jan Urbanek"/>
    <x v="1"/>
    <x v="25"/>
    <x v="25"/>
    <n v="8.1"/>
    <s v="ADET"/>
    <n v="0"/>
    <n v="96"/>
    <n v="195.44000000000005"/>
    <n v="63.92"/>
    <n v="0"/>
    <n v="8241.2056000000011"/>
    <n v="128.93"/>
    <x v="11"/>
    <n v="1044.3330000000001"/>
    <x v="1"/>
  </r>
  <r>
    <x v="4"/>
    <s v="Jan Urbanek"/>
    <x v="1"/>
    <x v="26"/>
    <x v="26"/>
    <n v="8"/>
    <s v="ADET"/>
    <n v="0"/>
    <n v="100"/>
    <n v="352"/>
    <n v="-28"/>
    <n v="0"/>
    <n v="0"/>
    <n v="6.4"/>
    <x v="5"/>
    <n v="51.2"/>
    <x v="4"/>
  </r>
  <r>
    <x v="4"/>
    <s v="Jan Urbanek"/>
    <x v="1"/>
    <x v="84"/>
    <x v="84"/>
    <n v="2"/>
    <s v="ADET"/>
    <n v="0"/>
    <n v="239"/>
    <n v="90"/>
    <n v="-201"/>
    <n v="0"/>
    <n v="0"/>
    <n v="4"/>
    <x v="29"/>
    <n v="8"/>
    <x v="7"/>
  </r>
  <r>
    <x v="3"/>
    <s v="Jan Urbanek"/>
    <x v="1"/>
    <x v="84"/>
    <x v="84"/>
    <n v="2"/>
    <s v="ADET"/>
    <n v="0"/>
    <n v="239"/>
    <n v="90"/>
    <n v="-201"/>
    <n v="0"/>
    <n v="0"/>
    <n v="4"/>
    <x v="29"/>
    <n v="8"/>
    <x v="7"/>
  </r>
  <r>
    <x v="2"/>
    <s v="Jan Urbanek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9"/>
    <s v="Laurent MONTAGNER"/>
    <x v="1"/>
    <x v="19"/>
    <x v="19"/>
    <n v="110"/>
    <s v="ADET"/>
    <n v="0"/>
    <n v="3000"/>
    <n v="1048"/>
    <n v="-967"/>
    <n v="0"/>
    <n v="0"/>
    <n v="2.92"/>
    <x v="1"/>
    <n v="321.2"/>
    <x v="1"/>
  </r>
  <r>
    <x v="19"/>
    <s v="Laurent MONTAGNER"/>
    <x v="1"/>
    <x v="20"/>
    <x v="20"/>
    <n v="7"/>
    <s v="ADET"/>
    <n v="0"/>
    <n v="2200"/>
    <n v="0"/>
    <n v="-1626"/>
    <n v="0"/>
    <n v="0"/>
    <n v="0.7"/>
    <x v="2"/>
    <n v="4.8999999999999995"/>
    <x v="1"/>
  </r>
  <r>
    <x v="2"/>
    <s v="Jan Urbanek"/>
    <x v="1"/>
    <x v="26"/>
    <x v="26"/>
    <n v="8"/>
    <s v="ADET"/>
    <n v="0"/>
    <n v="100"/>
    <n v="352"/>
    <n v="-28"/>
    <n v="0"/>
    <n v="0"/>
    <n v="6.4"/>
    <x v="5"/>
    <n v="51.2"/>
    <x v="4"/>
  </r>
  <r>
    <x v="3"/>
    <s v="Jan Urbanek"/>
    <x v="1"/>
    <x v="26"/>
    <x v="26"/>
    <n v="4"/>
    <s v="ADET"/>
    <n v="0"/>
    <n v="100"/>
    <n v="352"/>
    <n v="-28"/>
    <n v="0"/>
    <n v="0"/>
    <n v="6.4"/>
    <x v="5"/>
    <n v="25.6"/>
    <x v="4"/>
  </r>
  <r>
    <x v="8"/>
    <s v="Jan Urbanek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2"/>
    <s v="Jan Urbanek"/>
    <x v="1"/>
    <x v="84"/>
    <x v="84"/>
    <n v="2"/>
    <s v="ADET"/>
    <n v="0"/>
    <n v="239"/>
    <n v="90"/>
    <n v="-201"/>
    <n v="0"/>
    <n v="0"/>
    <n v="4"/>
    <x v="29"/>
    <n v="8"/>
    <x v="7"/>
  </r>
  <r>
    <x v="17"/>
    <s v="Soner Kayıkçı"/>
    <x v="1"/>
    <x v="19"/>
    <x v="19"/>
    <n v="135"/>
    <s v="ADET"/>
    <n v="0"/>
    <n v="3000"/>
    <n v="1048"/>
    <n v="-967"/>
    <n v="0"/>
    <n v="0"/>
    <n v="2.92"/>
    <x v="1"/>
    <n v="394.2"/>
    <x v="1"/>
  </r>
  <r>
    <x v="16"/>
    <s v="Laurent MONTAGNER"/>
    <x v="1"/>
    <x v="19"/>
    <x v="19"/>
    <n v="81"/>
    <s v="ADET"/>
    <n v="0"/>
    <n v="3000"/>
    <n v="1048"/>
    <n v="-967"/>
    <n v="0"/>
    <n v="0"/>
    <n v="2.92"/>
    <x v="1"/>
    <n v="236.51999999999998"/>
    <x v="1"/>
  </r>
  <r>
    <x v="16"/>
    <s v="Laurent MONTAGNER"/>
    <x v="1"/>
    <x v="20"/>
    <x v="20"/>
    <n v="7"/>
    <s v="ADET"/>
    <n v="0"/>
    <n v="2200"/>
    <n v="0"/>
    <n v="-1626"/>
    <n v="0"/>
    <n v="0"/>
    <n v="0.7"/>
    <x v="2"/>
    <n v="4.8999999999999995"/>
    <x v="1"/>
  </r>
  <r>
    <x v="17"/>
    <s v="Soner Kayıkçı"/>
    <x v="1"/>
    <x v="21"/>
    <x v="21"/>
    <n v="1"/>
    <s v="ADET"/>
    <n v="0"/>
    <n v="11"/>
    <n v="1"/>
    <n v="-4"/>
    <n v="0"/>
    <n v="0"/>
    <n v="583.33000000000004"/>
    <x v="1"/>
    <n v="583.33000000000004"/>
    <x v="2"/>
  </r>
  <r>
    <x v="16"/>
    <s v="Laurent MONTAGNER"/>
    <x v="1"/>
    <x v="87"/>
    <x v="87"/>
    <n v="5"/>
    <s v="ADET"/>
    <n v="0"/>
    <n v="13"/>
    <n v="1"/>
    <n v="24"/>
    <n v="0"/>
    <n v="1570.08"/>
    <n v="65.42"/>
    <x v="1"/>
    <n v="327.10000000000002"/>
    <x v="4"/>
  </r>
  <r>
    <x v="17"/>
    <s v="Soner Kayıkçı"/>
    <x v="1"/>
    <x v="87"/>
    <x v="87"/>
    <n v="1"/>
    <s v="ADET"/>
    <n v="0"/>
    <n v="13"/>
    <n v="1"/>
    <n v="24"/>
    <n v="0"/>
    <n v="1570.08"/>
    <n v="65.42"/>
    <x v="1"/>
    <n v="65.42"/>
    <x v="4"/>
  </r>
  <r>
    <x v="17"/>
    <s v="Soner Kayıkçı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2"/>
    <s v="Jan Urbanek"/>
    <x v="1"/>
    <x v="97"/>
    <x v="97"/>
    <n v="1"/>
    <s v="ADET"/>
    <n v="0"/>
    <n v="7"/>
    <n v="10"/>
    <n v="-43"/>
    <n v="50"/>
    <n v="0"/>
    <n v="839.2"/>
    <x v="33"/>
    <n v="839.2"/>
    <x v="7"/>
  </r>
  <r>
    <x v="19"/>
    <s v="Laurent MONTAGNER"/>
    <x v="1"/>
    <x v="12"/>
    <x v="12"/>
    <n v="23"/>
    <s v="ADET"/>
    <n v="0"/>
    <n v="4500"/>
    <n v="2426"/>
    <n v="-3826"/>
    <n v="0"/>
    <n v="0"/>
    <n v="1"/>
    <x v="6"/>
    <n v="23"/>
    <x v="1"/>
  </r>
  <r>
    <x v="18"/>
    <s v="Stina Alm"/>
    <x v="1"/>
    <x v="12"/>
    <x v="12"/>
    <n v="23"/>
    <s v="ADET"/>
    <n v="0"/>
    <n v="4500"/>
    <n v="2426"/>
    <n v="-3826"/>
    <n v="0"/>
    <n v="0"/>
    <n v="1"/>
    <x v="6"/>
    <n v="23"/>
    <x v="1"/>
  </r>
  <r>
    <x v="19"/>
    <s v="Laurent MONTAGNER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8"/>
    <s v="Stina Alm"/>
    <x v="1"/>
    <x v="15"/>
    <x v="15"/>
    <n v="0.05"/>
    <s v="ADET"/>
    <n v="0"/>
    <n v="13.5"/>
    <n v="8.5"/>
    <n v="-5.3500000000000014"/>
    <n v="0"/>
    <n v="0"/>
    <n v="1600"/>
    <x v="7"/>
    <n v="80"/>
    <x v="2"/>
  </r>
  <r>
    <x v="3"/>
    <s v="Jan Urbanek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8"/>
    <s v="Jan Urbanek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3"/>
    <s v="Jan Urbanek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4"/>
    <s v="Jan Urbanek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4"/>
    <s v="Jan Urbanek"/>
    <x v="1"/>
    <x v="73"/>
    <x v="73"/>
    <n v="0.2"/>
    <s v="KG"/>
    <n v="0"/>
    <n v="0"/>
    <n v="0"/>
    <n v="0.8"/>
    <n v="0"/>
    <n v="400"/>
    <n v="500"/>
    <x v="25"/>
    <n v="100"/>
    <x v="3"/>
  </r>
  <r>
    <x v="2"/>
    <s v="Jan Urbanek"/>
    <x v="1"/>
    <x v="18"/>
    <x v="18"/>
    <n v="1"/>
    <s v="ADET"/>
    <n v="0"/>
    <n v="3"/>
    <n v="7"/>
    <n v="8"/>
    <n v="0"/>
    <n v="70583.44"/>
    <n v="8822.93"/>
    <x v="3"/>
    <n v="8822.93"/>
    <x v="4"/>
  </r>
  <r>
    <x v="2"/>
    <s v="Jan Urbanek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8"/>
    <s v="Stina Alm"/>
    <x v="1"/>
    <x v="13"/>
    <x v="13"/>
    <n v="2"/>
    <s v="ADET"/>
    <n v="0"/>
    <n v="0"/>
    <n v="0"/>
    <n v="-173"/>
    <n v="200"/>
    <n v="0"/>
    <n v="12"/>
    <x v="2"/>
    <n v="24"/>
    <x v="1"/>
  </r>
  <r>
    <x v="18"/>
    <s v="Stina Alm"/>
    <x v="1"/>
    <x v="16"/>
    <x v="16"/>
    <n v="0.34"/>
    <s v="KG"/>
    <n v="0"/>
    <n v="10"/>
    <n v="14.13"/>
    <n v="-15.809999999999999"/>
    <n v="10"/>
    <n v="0"/>
    <n v="393.83"/>
    <x v="8"/>
    <n v="133.90219999999999"/>
    <x v="3"/>
  </r>
  <r>
    <x v="8"/>
    <s v="Jan Urbanek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8"/>
    <s v="Jan Urbanek"/>
    <x v="1"/>
    <x v="97"/>
    <x v="97"/>
    <n v="1"/>
    <s v="ADET"/>
    <n v="0"/>
    <n v="7"/>
    <n v="10"/>
    <n v="-43"/>
    <n v="50"/>
    <n v="0"/>
    <n v="839.2"/>
    <x v="33"/>
    <n v="839.2"/>
    <x v="7"/>
  </r>
  <r>
    <x v="17"/>
    <s v="Soner Kayıkçı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6"/>
    <s v="Laurent MONTAGNER"/>
    <x v="1"/>
    <x v="15"/>
    <x v="15"/>
    <n v="0.5"/>
    <s v="ADET"/>
    <n v="0"/>
    <n v="13.5"/>
    <n v="8.5"/>
    <n v="-5.3500000000000014"/>
    <n v="0"/>
    <n v="0"/>
    <n v="1600"/>
    <x v="7"/>
    <n v="800"/>
    <x v="2"/>
  </r>
  <r>
    <x v="13"/>
    <s v="Volkan Batkan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3"/>
    <s v="Volkan Batkan"/>
    <x v="1"/>
    <x v="98"/>
    <x v="98"/>
    <n v="4"/>
    <s v="METRE"/>
    <n v="0"/>
    <n v="100"/>
    <n v="105.5"/>
    <n v="-8"/>
    <n v="0"/>
    <n v="0"/>
    <n v="131.25"/>
    <x v="23"/>
    <n v="525"/>
    <x v="7"/>
  </r>
  <r>
    <x v="13"/>
    <s v="Volkan Batkan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3"/>
    <s v="Volkan Batkan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13"/>
    <s v="Volkan Batkan"/>
    <x v="1"/>
    <x v="101"/>
    <x v="101"/>
    <n v="3"/>
    <s v="KG"/>
    <n v="3"/>
    <n v="30"/>
    <n v="21.5"/>
    <n v="6"/>
    <n v="0"/>
    <n v="708.84"/>
    <n v="118.14"/>
    <x v="36"/>
    <n v="354.42"/>
    <x v="3"/>
  </r>
  <r>
    <x v="16"/>
    <s v="Laurent MONTAGNER"/>
    <x v="1"/>
    <x v="18"/>
    <x v="18"/>
    <n v="1"/>
    <s v="ADET"/>
    <n v="0"/>
    <n v="3"/>
    <n v="7"/>
    <n v="8"/>
    <n v="0"/>
    <n v="70583.44"/>
    <n v="8822.93"/>
    <x v="3"/>
    <n v="8822.93"/>
    <x v="4"/>
  </r>
  <r>
    <x v="0"/>
    <s v="Matteo Giolo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16"/>
    <s v="Laurent MONTAGNER"/>
    <x v="1"/>
    <x v="102"/>
    <x v="102"/>
    <n v="4"/>
    <s v="ADET"/>
    <n v="0"/>
    <n v="200"/>
    <n v="180"/>
    <n v="-184"/>
    <n v="0"/>
    <n v="0"/>
    <n v="5.04"/>
    <x v="5"/>
    <n v="20.16"/>
    <x v="4"/>
  </r>
  <r>
    <x v="16"/>
    <s v="Laurent MONTAGNER"/>
    <x v="1"/>
    <x v="59"/>
    <x v="59"/>
    <n v="5.3"/>
    <s v="METRE"/>
    <n v="0"/>
    <n v="125"/>
    <n v="37.499999999999986"/>
    <n v="-44.100000000000023"/>
    <n v="0"/>
    <n v="0"/>
    <n v="44"/>
    <x v="17"/>
    <n v="233.2"/>
    <x v="4"/>
  </r>
  <r>
    <x v="19"/>
    <s v="Laurent MONTAGNER"/>
    <x v="1"/>
    <x v="6"/>
    <x v="6"/>
    <n v="68"/>
    <s v="ADET"/>
    <n v="0"/>
    <n v="2800"/>
    <n v="2438.9999999999991"/>
    <n v="-1645"/>
    <n v="0"/>
    <n v="0"/>
    <n v="0.18"/>
    <x v="2"/>
    <n v="12.24"/>
    <x v="1"/>
  </r>
  <r>
    <x v="19"/>
    <s v="Laurent MONTAGNER"/>
    <x v="1"/>
    <x v="7"/>
    <x v="7"/>
    <n v="18"/>
    <s v="ADET"/>
    <n v="0"/>
    <n v="170"/>
    <n v="18"/>
    <n v="124"/>
    <n v="0"/>
    <n v="2046"/>
    <n v="16.5"/>
    <x v="2"/>
    <n v="297"/>
    <x v="1"/>
  </r>
  <r>
    <x v="19"/>
    <s v="Laurent MONTAGNER"/>
    <x v="1"/>
    <x v="9"/>
    <x v="9"/>
    <n v="25"/>
    <s v="ADET"/>
    <n v="0"/>
    <n v="976"/>
    <n v="167"/>
    <n v="-508"/>
    <n v="0"/>
    <n v="0"/>
    <n v="3.46"/>
    <x v="5"/>
    <n v="86.5"/>
    <x v="1"/>
  </r>
  <r>
    <x v="6"/>
    <s v="Stefan Zaugg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"/>
    <s v="Laurent MONTAGNER"/>
    <x v="1"/>
    <x v="4"/>
    <x v="4"/>
    <n v="1"/>
    <s v="ADET"/>
    <n v="1"/>
    <n v="7"/>
    <n v="6"/>
    <n v="5"/>
    <n v="0"/>
    <n v="12288.25"/>
    <n v="2457.65"/>
    <x v="3"/>
    <n v="2457.65"/>
    <x v="2"/>
  </r>
  <r>
    <x v="1"/>
    <s v="Laurent MONTAGNER"/>
    <x v="1"/>
    <x v="45"/>
    <x v="45"/>
    <n v="10"/>
    <s v="METRE"/>
    <n v="0"/>
    <n v="200"/>
    <n v="59.900000000000063"/>
    <n v="-58.699999999999989"/>
    <n v="0"/>
    <n v="0"/>
    <n v="22.5"/>
    <x v="17"/>
    <n v="225"/>
    <x v="4"/>
  </r>
  <r>
    <x v="4"/>
    <s v="Jan Urbanek"/>
    <x v="1"/>
    <x v="103"/>
    <x v="103"/>
    <n v="0.3"/>
    <s v="KG"/>
    <n v="0"/>
    <n v="0"/>
    <n v="22"/>
    <n v="0.6"/>
    <n v="0"/>
    <n v="162.54600000000002"/>
    <n v="270.91000000000003"/>
    <x v="37"/>
    <n v="81.27300000000001"/>
    <x v="3"/>
  </r>
  <r>
    <x v="2"/>
    <s v="Jan Urbanek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6"/>
    <s v="Laurent MONTAGNER"/>
    <x v="0"/>
    <x v="0"/>
    <x v="0"/>
    <n v="1"/>
    <s v="ADET"/>
    <n v="0"/>
    <n v="3"/>
    <n v="8"/>
    <n v="10"/>
    <n v="0"/>
    <n v="0"/>
    <m/>
    <x v="0"/>
    <m/>
    <x v="0"/>
  </r>
  <r>
    <x v="8"/>
    <s v="Jan Urbanek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7"/>
    <s v="Soner Kayıkçı"/>
    <x v="0"/>
    <x v="0"/>
    <x v="0"/>
    <n v="1"/>
    <s v="ADET"/>
    <n v="0"/>
    <n v="3"/>
    <n v="8"/>
    <n v="10"/>
    <n v="0"/>
    <n v="0"/>
    <m/>
    <x v="0"/>
    <m/>
    <x v="0"/>
  </r>
  <r>
    <x v="17"/>
    <s v="Soner Kayıkçı"/>
    <x v="1"/>
    <x v="1"/>
    <x v="1"/>
    <n v="30"/>
    <s v="ADET"/>
    <n v="0"/>
    <n v="1000"/>
    <n v="4807"/>
    <n v="-450"/>
    <n v="0"/>
    <n v="0"/>
    <n v="0.3"/>
    <x v="1"/>
    <n v="9"/>
    <x v="1"/>
  </r>
  <r>
    <x v="16"/>
    <s v="Laurent MONTAGNER"/>
    <x v="1"/>
    <x v="1"/>
    <x v="1"/>
    <n v="33"/>
    <s v="ADET"/>
    <n v="0"/>
    <n v="1000"/>
    <n v="4807"/>
    <n v="-450"/>
    <n v="0"/>
    <n v="0"/>
    <n v="0.3"/>
    <x v="1"/>
    <n v="9.9"/>
    <x v="1"/>
  </r>
  <r>
    <x v="18"/>
    <s v="Stina Alm"/>
    <x v="1"/>
    <x v="5"/>
    <x v="5"/>
    <n v="1"/>
    <s v="ADET"/>
    <n v="0"/>
    <n v="0"/>
    <n v="65"/>
    <n v="-94"/>
    <n v="100"/>
    <n v="0"/>
    <n v="115"/>
    <x v="2"/>
    <n v="115"/>
    <x v="1"/>
  </r>
  <r>
    <x v="7"/>
    <s v="Stina Alm"/>
    <x v="1"/>
    <x v="45"/>
    <x v="45"/>
    <n v="5.5"/>
    <s v="METRE"/>
    <n v="0"/>
    <n v="200"/>
    <n v="59.900000000000063"/>
    <n v="-58.699999999999989"/>
    <n v="0"/>
    <n v="0"/>
    <n v="22.5"/>
    <x v="17"/>
    <n v="123.75"/>
    <x v="4"/>
  </r>
  <r>
    <x v="18"/>
    <s v="Stina Alm"/>
    <x v="0"/>
    <x v="0"/>
    <x v="0"/>
    <n v="1"/>
    <s v="ADET"/>
    <n v="0"/>
    <n v="3"/>
    <n v="8"/>
    <n v="10"/>
    <n v="0"/>
    <n v="0"/>
    <m/>
    <x v="0"/>
    <m/>
    <x v="0"/>
  </r>
  <r>
    <x v="18"/>
    <s v="Stina Alm"/>
    <x v="1"/>
    <x v="2"/>
    <x v="2"/>
    <n v="4"/>
    <s v="ADET"/>
    <n v="0"/>
    <n v="212"/>
    <n v="625"/>
    <n v="-146"/>
    <n v="0"/>
    <n v="0"/>
    <n v="3.95"/>
    <x v="2"/>
    <n v="15.8"/>
    <x v="1"/>
  </r>
  <r>
    <x v="17"/>
    <s v="Soner Kayıkçı"/>
    <x v="1"/>
    <x v="2"/>
    <x v="2"/>
    <n v="8"/>
    <s v="ADET"/>
    <n v="0"/>
    <n v="212"/>
    <n v="625"/>
    <n v="-146"/>
    <n v="0"/>
    <n v="0"/>
    <n v="3.95"/>
    <x v="2"/>
    <n v="31.6"/>
    <x v="1"/>
  </r>
  <r>
    <x v="18"/>
    <s v="Stina Alm"/>
    <x v="1"/>
    <x v="4"/>
    <x v="4"/>
    <n v="1"/>
    <s v="ADET"/>
    <n v="0"/>
    <n v="7"/>
    <n v="6"/>
    <n v="5"/>
    <n v="0"/>
    <n v="12288.25"/>
    <n v="2457.65"/>
    <x v="3"/>
    <n v="2457.65"/>
    <x v="2"/>
  </r>
  <r>
    <x v="17"/>
    <s v="Soner Kayıkçı"/>
    <x v="1"/>
    <x v="4"/>
    <x v="4"/>
    <n v="1"/>
    <s v="ADET"/>
    <n v="0"/>
    <n v="7"/>
    <n v="6"/>
    <n v="5"/>
    <n v="0"/>
    <n v="12288.25"/>
    <n v="2457.65"/>
    <x v="3"/>
    <n v="2457.65"/>
    <x v="2"/>
  </r>
  <r>
    <x v="3"/>
    <s v="Jan Urbanek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4"/>
    <s v="Jan Urbanek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8"/>
    <s v="Stina Alm"/>
    <x v="1"/>
    <x v="1"/>
    <x v="1"/>
    <n v="21"/>
    <s v="ADET"/>
    <n v="0"/>
    <n v="1000"/>
    <n v="4807"/>
    <n v="-450"/>
    <n v="0"/>
    <n v="0"/>
    <n v="0.3"/>
    <x v="1"/>
    <n v="6.3"/>
    <x v="1"/>
  </r>
  <r>
    <x v="18"/>
    <s v="Stina Alm"/>
    <x v="1"/>
    <x v="3"/>
    <x v="3"/>
    <n v="1"/>
    <s v="ADET"/>
    <n v="0"/>
    <n v="10"/>
    <n v="3"/>
    <n v="-3"/>
    <n v="0"/>
    <n v="0"/>
    <n v="45"/>
    <x v="2"/>
    <n v="45"/>
    <x v="1"/>
  </r>
  <r>
    <x v="15"/>
    <s v="Hayriye Güven"/>
    <x v="1"/>
    <x v="104"/>
    <x v="104"/>
    <n v="1"/>
    <s v="ADET"/>
    <n v="0"/>
    <n v="4"/>
    <n v="0"/>
    <n v="-3"/>
    <n v="0"/>
    <n v="0"/>
    <n v="873.08"/>
    <x v="38"/>
    <n v="873.08"/>
    <x v="4"/>
  </r>
  <r>
    <x v="9"/>
    <s v="Stefan Zaugg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2"/>
    <s v="Stefan Zaugg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0"/>
    <s v="Murat Taşdemir"/>
    <x v="1"/>
    <x v="105"/>
    <x v="105"/>
    <n v="50"/>
    <s v="ADET"/>
    <n v="0"/>
    <n v="1200"/>
    <n v="196"/>
    <n v="-291"/>
    <n v="0"/>
    <n v="0"/>
    <n v="12.5"/>
    <x v="39"/>
    <n v="625"/>
    <x v="1"/>
  </r>
  <r>
    <x v="14"/>
    <s v="Matteo Giolo"/>
    <x v="1"/>
    <x v="106"/>
    <x v="106"/>
    <n v="0.5"/>
    <s v="ADET"/>
    <n v="0"/>
    <n v="0"/>
    <n v="5.3290705182007514E-15"/>
    <n v="-5.0999999999999996"/>
    <n v="10"/>
    <n v="0"/>
    <n v="255.55"/>
    <x v="40"/>
    <n v="127.77500000000001"/>
    <x v="3"/>
  </r>
  <r>
    <x v="13"/>
    <s v="Volkan Batkan"/>
    <x v="1"/>
    <x v="107"/>
    <x v="107"/>
    <n v="1"/>
    <s v="ADET"/>
    <n v="0"/>
    <n v="0"/>
    <n v="0"/>
    <n v="9"/>
    <n v="0"/>
    <n v="540"/>
    <n v="60"/>
    <x v="41"/>
    <n v="60"/>
    <x v="2"/>
  </r>
  <r>
    <x v="9"/>
    <s v="Stefan Zaugg"/>
    <x v="1"/>
    <x v="108"/>
    <x v="108"/>
    <n v="2"/>
    <s v="METRE"/>
    <n v="0"/>
    <n v="54"/>
    <n v="10"/>
    <n v="-50"/>
    <n v="0"/>
    <n v="0"/>
    <n v="105.6"/>
    <x v="42"/>
    <n v="211.2"/>
    <x v="1"/>
  </r>
  <r>
    <x v="19"/>
    <s v="Laurent MONTAGNER"/>
    <x v="1"/>
    <x v="45"/>
    <x v="45"/>
    <n v="10"/>
    <s v="METRE"/>
    <n v="0"/>
    <n v="200"/>
    <n v="59.900000000000063"/>
    <n v="-58.699999999999989"/>
    <n v="0"/>
    <n v="0"/>
    <n v="22.5"/>
    <x v="17"/>
    <n v="225"/>
    <x v="4"/>
  </r>
  <r>
    <x v="16"/>
    <s v="Laurent MONTAGNER"/>
    <x v="1"/>
    <x v="10"/>
    <x v="10"/>
    <n v="16"/>
    <s v="ADET"/>
    <n v="0"/>
    <n v="495"/>
    <n v="146"/>
    <n v="-22"/>
    <n v="0"/>
    <n v="0"/>
    <n v="3.75"/>
    <x v="1"/>
    <n v="60"/>
    <x v="1"/>
  </r>
  <r>
    <x v="19"/>
    <s v="Laurent MONTAGNER"/>
    <x v="1"/>
    <x v="10"/>
    <x v="10"/>
    <n v="20"/>
    <s v="ADET"/>
    <n v="0"/>
    <n v="495"/>
    <n v="146"/>
    <n v="-22"/>
    <n v="0"/>
    <n v="0"/>
    <n v="3.75"/>
    <x v="1"/>
    <n v="75"/>
    <x v="1"/>
  </r>
  <r>
    <x v="1"/>
    <s v="Laurent MONTAGNER"/>
    <x v="1"/>
    <x v="90"/>
    <x v="90"/>
    <n v="1"/>
    <s v="ADET"/>
    <n v="0"/>
    <n v="1"/>
    <n v="1"/>
    <n v="3"/>
    <n v="0"/>
    <n v="97615.14"/>
    <n v="32538.38"/>
    <x v="15"/>
    <n v="32538.38"/>
    <x v="2"/>
  </r>
  <r>
    <x v="1"/>
    <s v="Laurent MONTAGNER"/>
    <x v="1"/>
    <x v="102"/>
    <x v="102"/>
    <n v="4"/>
    <s v="ADET"/>
    <n v="0"/>
    <n v="200"/>
    <n v="180"/>
    <n v="-184"/>
    <n v="0"/>
    <n v="0"/>
    <n v="5.04"/>
    <x v="5"/>
    <n v="20.16"/>
    <x v="4"/>
  </r>
  <r>
    <x v="0"/>
    <s v="Matteo Giolo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1"/>
    <s v="Laurent MONTAGNER"/>
    <x v="1"/>
    <x v="59"/>
    <x v="59"/>
    <n v="5.5"/>
    <s v="METRE"/>
    <n v="0"/>
    <n v="125"/>
    <n v="37.499999999999986"/>
    <n v="-44.100000000000023"/>
    <n v="0"/>
    <n v="0"/>
    <n v="44"/>
    <x v="17"/>
    <n v="242"/>
    <x v="4"/>
  </r>
  <r>
    <x v="0"/>
    <s v="Matteo Giolo"/>
    <x v="1"/>
    <x v="60"/>
    <x v="60"/>
    <n v="1"/>
    <s v="ADET"/>
    <n v="0"/>
    <n v="6"/>
    <n v="10"/>
    <n v="7"/>
    <n v="0"/>
    <n v="12435.01"/>
    <n v="1776.43"/>
    <x v="3"/>
    <n v="1776.43"/>
    <x v="4"/>
  </r>
  <r>
    <x v="5"/>
    <s v="Matteo Giolo"/>
    <x v="1"/>
    <x v="60"/>
    <x v="60"/>
    <n v="1"/>
    <s v="ADET"/>
    <n v="0"/>
    <n v="6"/>
    <n v="10"/>
    <n v="7"/>
    <n v="0"/>
    <n v="12435.01"/>
    <n v="1776.43"/>
    <x v="3"/>
    <n v="1776.43"/>
    <x v="4"/>
  </r>
  <r>
    <x v="16"/>
    <s v="Laurent MONTAGNER"/>
    <x v="1"/>
    <x v="58"/>
    <x v="58"/>
    <n v="2"/>
    <s v="ADET"/>
    <n v="0"/>
    <n v="17"/>
    <n v="3.000000000000016"/>
    <n v="17.100000000000009"/>
    <n v="0"/>
    <n v="2493.6930000000016"/>
    <n v="145.83000000000001"/>
    <x v="1"/>
    <n v="291.66000000000003"/>
    <x v="3"/>
  </r>
  <r>
    <x v="17"/>
    <s v="Soner Kayıkçı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19"/>
    <s v="Laurent MONTAGNER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10"/>
    <s v="Murat Taşdemir"/>
    <x v="1"/>
    <x v="102"/>
    <x v="102"/>
    <n v="4"/>
    <s v="ADET"/>
    <n v="0"/>
    <n v="200"/>
    <n v="180"/>
    <n v="-184"/>
    <n v="0"/>
    <n v="0"/>
    <n v="5.04"/>
    <x v="5"/>
    <n v="20.16"/>
    <x v="4"/>
  </r>
  <r>
    <x v="10"/>
    <s v="Murat Taşdemir"/>
    <x v="1"/>
    <x v="59"/>
    <x v="59"/>
    <n v="6.3"/>
    <s v="METRE"/>
    <n v="0"/>
    <n v="125"/>
    <n v="37.499999999999986"/>
    <n v="-44.100000000000023"/>
    <n v="0"/>
    <n v="0"/>
    <n v="44"/>
    <x v="17"/>
    <n v="277.2"/>
    <x v="4"/>
  </r>
  <r>
    <x v="10"/>
    <s v="Murat Taşdemir"/>
    <x v="1"/>
    <x v="60"/>
    <x v="60"/>
    <n v="1"/>
    <s v="ADET"/>
    <n v="0"/>
    <n v="6"/>
    <n v="10"/>
    <n v="7"/>
    <n v="0"/>
    <n v="12435.01"/>
    <n v="1776.43"/>
    <x v="3"/>
    <n v="1776.43"/>
    <x v="4"/>
  </r>
  <r>
    <x v="9"/>
    <s v="Stefan Zaugg"/>
    <x v="1"/>
    <x v="61"/>
    <x v="61"/>
    <n v="3"/>
    <s v="METRE"/>
    <n v="0"/>
    <n v="100"/>
    <n v="26"/>
    <n v="-85"/>
    <n v="0"/>
    <n v="0"/>
    <n v="49.1"/>
    <x v="23"/>
    <n v="147.30000000000001"/>
    <x v="7"/>
  </r>
  <r>
    <x v="10"/>
    <s v="Murat Taşdemir"/>
    <x v="1"/>
    <x v="74"/>
    <x v="74"/>
    <n v="2"/>
    <s v="ADET"/>
    <n v="0"/>
    <n v="809"/>
    <n v="0"/>
    <n v="-768"/>
    <n v="0"/>
    <n v="0"/>
    <n v="2.4"/>
    <x v="2"/>
    <n v="4.8"/>
    <x v="1"/>
  </r>
  <r>
    <x v="18"/>
    <s v="Stina Alm"/>
    <x v="1"/>
    <x v="7"/>
    <x v="7"/>
    <n v="18"/>
    <s v="ADET"/>
    <n v="0"/>
    <n v="170"/>
    <n v="18"/>
    <n v="124"/>
    <n v="0"/>
    <n v="2046"/>
    <n v="16.5"/>
    <x v="2"/>
    <n v="297"/>
    <x v="1"/>
  </r>
  <r>
    <x v="18"/>
    <s v="Stina Alm"/>
    <x v="1"/>
    <x v="9"/>
    <x v="9"/>
    <n v="25"/>
    <s v="ADET"/>
    <n v="0"/>
    <n v="976"/>
    <n v="167"/>
    <n v="-508"/>
    <n v="0"/>
    <n v="0"/>
    <n v="3.46"/>
    <x v="5"/>
    <n v="86.5"/>
    <x v="1"/>
  </r>
  <r>
    <x v="16"/>
    <s v="Laurent MONTAGNER"/>
    <x v="1"/>
    <x v="8"/>
    <x v="8"/>
    <n v="2"/>
    <s v="ADET"/>
    <n v="0"/>
    <n v="24"/>
    <n v="27"/>
    <n v="1"/>
    <n v="0"/>
    <n v="42"/>
    <n v="42"/>
    <x v="4"/>
    <n v="84"/>
    <x v="1"/>
  </r>
  <r>
    <x v="18"/>
    <s v="Stina Alm"/>
    <x v="1"/>
    <x v="11"/>
    <x v="11"/>
    <n v="16"/>
    <s v="ADET"/>
    <n v="0"/>
    <n v="4822"/>
    <n v="811"/>
    <n v="-4638"/>
    <n v="0"/>
    <n v="0"/>
    <n v="0.3"/>
    <x v="2"/>
    <n v="4.8"/>
    <x v="1"/>
  </r>
  <r>
    <x v="16"/>
    <s v="Laurent MONTAGNER"/>
    <x v="1"/>
    <x v="11"/>
    <x v="11"/>
    <n v="24"/>
    <s v="ADET"/>
    <n v="0"/>
    <n v="4822"/>
    <n v="811"/>
    <n v="-4638"/>
    <n v="0"/>
    <n v="0"/>
    <n v="0.3"/>
    <x v="2"/>
    <n v="7.1999999999999993"/>
    <x v="1"/>
  </r>
  <r>
    <x v="16"/>
    <s v="Laurent MONTAGNER"/>
    <x v="1"/>
    <x v="14"/>
    <x v="14"/>
    <n v="4"/>
    <s v="ADET"/>
    <n v="0"/>
    <n v="1400"/>
    <n v="602"/>
    <n v="-1296"/>
    <n v="0"/>
    <n v="0"/>
    <n v="0.6"/>
    <x v="2"/>
    <n v="2.4"/>
    <x v="1"/>
  </r>
  <r>
    <x v="17"/>
    <s v="Soner Kayıkçı"/>
    <x v="1"/>
    <x v="14"/>
    <x v="14"/>
    <n v="12"/>
    <s v="ADET"/>
    <n v="0"/>
    <n v="1400"/>
    <n v="602"/>
    <n v="-1296"/>
    <n v="0"/>
    <n v="0"/>
    <n v="0.6"/>
    <x v="2"/>
    <n v="7.1999999999999993"/>
    <x v="1"/>
  </r>
  <r>
    <x v="17"/>
    <s v="Soner Kayıkçı"/>
    <x v="1"/>
    <x v="12"/>
    <x v="12"/>
    <n v="43"/>
    <s v="ADET"/>
    <n v="0"/>
    <n v="4500"/>
    <n v="2426"/>
    <n v="-3826"/>
    <n v="0"/>
    <n v="0"/>
    <n v="1"/>
    <x v="6"/>
    <n v="43"/>
    <x v="1"/>
  </r>
  <r>
    <x v="16"/>
    <s v="Laurent MONTAGNER"/>
    <x v="1"/>
    <x v="12"/>
    <x v="12"/>
    <n v="48"/>
    <s v="ADET"/>
    <n v="0"/>
    <n v="4500"/>
    <n v="2426"/>
    <n v="-3826"/>
    <n v="0"/>
    <n v="0"/>
    <n v="1"/>
    <x v="6"/>
    <n v="48"/>
    <x v="1"/>
  </r>
  <r>
    <x v="19"/>
    <s v="Laurent MONTAGNER"/>
    <x v="1"/>
    <x v="16"/>
    <x v="16"/>
    <n v="0.4"/>
    <s v="KG"/>
    <n v="0.4"/>
    <n v="10"/>
    <n v="14.13"/>
    <n v="-15.809999999999999"/>
    <n v="10"/>
    <n v="0"/>
    <n v="393.83"/>
    <x v="8"/>
    <n v="157.53200000000001"/>
    <x v="3"/>
  </r>
  <r>
    <x v="11"/>
    <s v="Jan Urbanek"/>
    <x v="1"/>
    <x v="18"/>
    <x v="18"/>
    <n v="1"/>
    <s v="ADET"/>
    <n v="0"/>
    <n v="3"/>
    <n v="7"/>
    <n v="8"/>
    <n v="0"/>
    <n v="70583.44"/>
    <n v="8822.93"/>
    <x v="3"/>
    <n v="8822.93"/>
    <x v="4"/>
  </r>
  <r>
    <x v="14"/>
    <s v="Matteo Giolo"/>
    <x v="1"/>
    <x v="18"/>
    <x v="18"/>
    <n v="1"/>
    <s v="ADET"/>
    <n v="0"/>
    <n v="3"/>
    <n v="7"/>
    <n v="8"/>
    <n v="0"/>
    <n v="70583.44"/>
    <n v="8822.93"/>
    <x v="3"/>
    <n v="8822.93"/>
    <x v="4"/>
  </r>
  <r>
    <x v="11"/>
    <s v="Jan Urbanek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5"/>
    <s v="Hayriye Güven"/>
    <x v="1"/>
    <x v="97"/>
    <x v="97"/>
    <n v="1"/>
    <s v="ADET"/>
    <n v="0"/>
    <n v="7"/>
    <n v="10"/>
    <n v="-43"/>
    <n v="50"/>
    <n v="0"/>
    <n v="839.2"/>
    <x v="33"/>
    <n v="839.2"/>
    <x v="7"/>
  </r>
  <r>
    <x v="11"/>
    <s v="Jan Urbanek"/>
    <x v="1"/>
    <x v="97"/>
    <x v="97"/>
    <n v="1"/>
    <s v="ADET"/>
    <n v="0"/>
    <n v="7"/>
    <n v="10"/>
    <n v="-43"/>
    <n v="50"/>
    <n v="0"/>
    <n v="839.2"/>
    <x v="33"/>
    <n v="839.2"/>
    <x v="7"/>
  </r>
  <r>
    <x v="14"/>
    <s v="Matteo Giolo"/>
    <x v="1"/>
    <x v="97"/>
    <x v="97"/>
    <n v="1"/>
    <s v="ADET"/>
    <n v="0"/>
    <n v="7"/>
    <n v="10"/>
    <n v="-43"/>
    <n v="50"/>
    <n v="0"/>
    <n v="839.2"/>
    <x v="33"/>
    <n v="839.2"/>
    <x v="7"/>
  </r>
  <r>
    <x v="10"/>
    <s v="Murat Taşdemir"/>
    <x v="1"/>
    <x v="100"/>
    <x v="100"/>
    <n v="1"/>
    <s v="ADET"/>
    <n v="0"/>
    <n v="5"/>
    <n v="0"/>
    <n v="4.6000000000000032"/>
    <n v="5"/>
    <n v="5276.2000000000035"/>
    <n v="1147"/>
    <x v="35"/>
    <n v="1147"/>
    <x v="6"/>
  </r>
  <r>
    <x v="10"/>
    <s v="Murat Taşdemir"/>
    <x v="1"/>
    <x v="27"/>
    <x v="27"/>
    <n v="1.2"/>
    <s v="METRE"/>
    <n v="0"/>
    <n v="0"/>
    <n v="20.30000000000005"/>
    <n v="21.1"/>
    <n v="0"/>
    <n v="2426.5"/>
    <n v="115"/>
    <x v="12"/>
    <n v="138"/>
    <x v="4"/>
  </r>
  <r>
    <x v="10"/>
    <s v="Murat Taşdemir"/>
    <x v="1"/>
    <x v="97"/>
    <x v="97"/>
    <n v="1"/>
    <s v="ADET"/>
    <n v="0"/>
    <n v="7"/>
    <n v="10"/>
    <n v="-43"/>
    <n v="50"/>
    <n v="0"/>
    <n v="839.2"/>
    <x v="33"/>
    <n v="839.2"/>
    <x v="7"/>
  </r>
  <r>
    <x v="9"/>
    <s v="Stefan Zaugg"/>
    <x v="1"/>
    <x v="98"/>
    <x v="98"/>
    <n v="5"/>
    <s v="METRE"/>
    <n v="0"/>
    <n v="100"/>
    <n v="105.5"/>
    <n v="-8"/>
    <n v="0"/>
    <n v="0"/>
    <n v="131.25"/>
    <x v="23"/>
    <n v="656.25"/>
    <x v="7"/>
  </r>
  <r>
    <x v="10"/>
    <s v="Murat Taşdemir"/>
    <x v="1"/>
    <x v="98"/>
    <x v="98"/>
    <n v="8"/>
    <s v="METRE"/>
    <n v="0"/>
    <n v="100"/>
    <n v="105.5"/>
    <n v="-8"/>
    <n v="0"/>
    <n v="0"/>
    <n v="131.25"/>
    <x v="23"/>
    <n v="1050"/>
    <x v="7"/>
  </r>
  <r>
    <x v="9"/>
    <s v="Stefan Zaugg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0"/>
    <s v="Murat Taşdemir"/>
    <x v="1"/>
    <x v="99"/>
    <x v="99"/>
    <n v="0.254"/>
    <s v="ADET"/>
    <n v="0"/>
    <n v="0"/>
    <n v="-4.4408920985006262E-16"/>
    <n v="2.5820000000000007"/>
    <n v="0"/>
    <n v="4066.650000000001"/>
    <n v="1575"/>
    <x v="34"/>
    <n v="400.05"/>
    <x v="4"/>
  </r>
  <r>
    <x v="11"/>
    <s v="Jan Urbanek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10"/>
    <s v="Murat Taşdemir"/>
    <x v="1"/>
    <x v="101"/>
    <x v="101"/>
    <n v="3"/>
    <s v="KG"/>
    <n v="0"/>
    <n v="30"/>
    <n v="21.5"/>
    <n v="6"/>
    <n v="0"/>
    <n v="708.84"/>
    <n v="118.14"/>
    <x v="36"/>
    <n v="354.42"/>
    <x v="3"/>
  </r>
  <r>
    <x v="18"/>
    <s v="Stina Alm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9"/>
    <s v="Stefan Zaugg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2"/>
    <s v="Stefan Zaugg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4"/>
    <s v="Matteo Giolo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2"/>
    <s v="Stefan Zaugg"/>
    <x v="1"/>
    <x v="97"/>
    <x v="97"/>
    <n v="1"/>
    <s v="ADET"/>
    <n v="1"/>
    <n v="7"/>
    <n v="10"/>
    <n v="-43"/>
    <n v="50"/>
    <n v="0"/>
    <n v="839.2"/>
    <x v="33"/>
    <n v="839.2"/>
    <x v="7"/>
  </r>
  <r>
    <x v="12"/>
    <s v="Stefan Zaugg"/>
    <x v="1"/>
    <x v="98"/>
    <x v="98"/>
    <n v="5"/>
    <s v="METRE"/>
    <n v="0"/>
    <n v="100"/>
    <n v="105.5"/>
    <n v="-8"/>
    <n v="0"/>
    <n v="0"/>
    <n v="131.25"/>
    <x v="23"/>
    <n v="656.25"/>
    <x v="7"/>
  </r>
  <r>
    <x v="11"/>
    <s v="Jan Urbanek"/>
    <x v="1"/>
    <x v="98"/>
    <x v="98"/>
    <n v="4"/>
    <s v="METRE"/>
    <n v="0"/>
    <n v="100"/>
    <n v="105.5"/>
    <n v="-8"/>
    <n v="0"/>
    <n v="0"/>
    <n v="131.25"/>
    <x v="23"/>
    <n v="525"/>
    <x v="7"/>
  </r>
  <r>
    <x v="11"/>
    <s v="Jan Urbanek"/>
    <x v="1"/>
    <x v="26"/>
    <x v="26"/>
    <n v="8"/>
    <s v="ADET"/>
    <n v="0"/>
    <n v="100"/>
    <n v="352"/>
    <n v="-28"/>
    <n v="0"/>
    <n v="0"/>
    <n v="6.4"/>
    <x v="5"/>
    <n v="51.2"/>
    <x v="4"/>
  </r>
  <r>
    <x v="12"/>
    <s v="Stefan Zaugg"/>
    <x v="1"/>
    <x v="26"/>
    <x v="26"/>
    <n v="8"/>
    <s v="ADET"/>
    <n v="0"/>
    <n v="100"/>
    <n v="352"/>
    <n v="-28"/>
    <n v="0"/>
    <n v="0"/>
    <n v="6.4"/>
    <x v="5"/>
    <n v="51.2"/>
    <x v="4"/>
  </r>
  <r>
    <x v="13"/>
    <s v="Volkan Batkan"/>
    <x v="1"/>
    <x v="83"/>
    <x v="83"/>
    <n v="4"/>
    <s v="METRE"/>
    <n v="0"/>
    <n v="0"/>
    <n v="0"/>
    <n v="58"/>
    <n v="200"/>
    <n v="232.57999999999998"/>
    <n v="4.01"/>
    <x v="28"/>
    <n v="16.04"/>
    <x v="6"/>
  </r>
  <r>
    <x v="10"/>
    <s v="Murat Taşdemir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2"/>
    <s v="Stefan Zaugg"/>
    <x v="1"/>
    <x v="84"/>
    <x v="84"/>
    <n v="2"/>
    <s v="ADET"/>
    <n v="0"/>
    <n v="239"/>
    <n v="90"/>
    <n v="-201"/>
    <n v="0"/>
    <n v="0"/>
    <n v="4"/>
    <x v="29"/>
    <n v="8"/>
    <x v="7"/>
  </r>
  <r>
    <x v="11"/>
    <s v="Jan Urbanek"/>
    <x v="1"/>
    <x v="84"/>
    <x v="84"/>
    <n v="2"/>
    <s v="ADET"/>
    <n v="0"/>
    <n v="239"/>
    <n v="90"/>
    <n v="-201"/>
    <n v="0"/>
    <n v="0"/>
    <n v="4"/>
    <x v="29"/>
    <n v="8"/>
    <x v="7"/>
  </r>
  <r>
    <x v="14"/>
    <s v="Matteo Giolo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2"/>
    <s v="Stefan Zaugg"/>
    <x v="1"/>
    <x v="109"/>
    <x v="109"/>
    <n v="0.6"/>
    <s v="ADET"/>
    <n v="0.6"/>
    <n v="0"/>
    <n v="5.6000000000000014"/>
    <n v="7.200000000000002"/>
    <n v="0"/>
    <n v="1170.0720000000003"/>
    <n v="162.51"/>
    <x v="8"/>
    <n v="97.505999999999986"/>
    <x v="3"/>
  </r>
  <r>
    <x v="14"/>
    <s v="Matteo Giolo"/>
    <x v="1"/>
    <x v="109"/>
    <x v="109"/>
    <n v="1.05"/>
    <s v="ADET"/>
    <n v="0"/>
    <n v="0"/>
    <n v="5.6000000000000014"/>
    <n v="7.200000000000002"/>
    <n v="0"/>
    <n v="1170.0720000000003"/>
    <n v="162.51"/>
    <x v="8"/>
    <n v="170.63550000000001"/>
    <x v="3"/>
  </r>
  <r>
    <x v="11"/>
    <s v="Jan Urbanek"/>
    <x v="1"/>
    <x v="109"/>
    <x v="109"/>
    <n v="0.54999999999999993"/>
    <s v="ADET"/>
    <n v="0"/>
    <n v="0"/>
    <n v="5.6000000000000014"/>
    <n v="7.200000000000002"/>
    <n v="0"/>
    <n v="1170.0720000000003"/>
    <n v="162.51"/>
    <x v="8"/>
    <n v="89.380499999999984"/>
    <x v="3"/>
  </r>
  <r>
    <x v="11"/>
    <s v="Jan Urbanek"/>
    <x v="1"/>
    <x v="110"/>
    <x v="110"/>
    <n v="1"/>
    <s v="ADET"/>
    <n v="0"/>
    <n v="2"/>
    <n v="8"/>
    <n v="6"/>
    <n v="5"/>
    <n v="18914.400000000001"/>
    <n v="3152.4"/>
    <x v="43"/>
    <n v="3152.4"/>
    <x v="7"/>
  </r>
  <r>
    <x v="17"/>
    <s v="Soner Kayıkçı"/>
    <x v="1"/>
    <x v="24"/>
    <x v="24"/>
    <n v="6.8"/>
    <s v="KG"/>
    <n v="0"/>
    <n v="120"/>
    <n v="113.68999999999977"/>
    <n v="-176.87000000000003"/>
    <n v="120"/>
    <n v="0"/>
    <n v="101.44"/>
    <x v="8"/>
    <n v="689.79199999999992"/>
    <x v="3"/>
  </r>
  <r>
    <x v="17"/>
    <s v="Soner Kayıkçı"/>
    <x v="1"/>
    <x v="26"/>
    <x v="26"/>
    <n v="4"/>
    <s v="ADET"/>
    <n v="0"/>
    <n v="100"/>
    <n v="352"/>
    <n v="-28"/>
    <n v="0"/>
    <n v="0"/>
    <n v="6.4"/>
    <x v="5"/>
    <n v="25.6"/>
    <x v="4"/>
  </r>
  <r>
    <x v="17"/>
    <s v="Soner Kayıkçı"/>
    <x v="1"/>
    <x v="84"/>
    <x v="84"/>
    <n v="2"/>
    <s v="ADET"/>
    <n v="0"/>
    <n v="239"/>
    <n v="90"/>
    <n v="-201"/>
    <n v="0"/>
    <n v="0"/>
    <n v="4"/>
    <x v="29"/>
    <n v="8"/>
    <x v="7"/>
  </r>
  <r>
    <x v="16"/>
    <s v="Laurent MONTAGNER"/>
    <x v="1"/>
    <x v="84"/>
    <x v="84"/>
    <n v="2"/>
    <s v="ADET"/>
    <n v="0"/>
    <n v="239"/>
    <n v="90"/>
    <n v="-201"/>
    <n v="0"/>
    <n v="0"/>
    <n v="4"/>
    <x v="29"/>
    <n v="8"/>
    <x v="7"/>
  </r>
  <r>
    <x v="18"/>
    <s v="Stina Alm"/>
    <x v="1"/>
    <x v="19"/>
    <x v="19"/>
    <n v="83"/>
    <s v="ADET"/>
    <n v="0"/>
    <n v="3000"/>
    <n v="1048"/>
    <n v="-967"/>
    <n v="0"/>
    <n v="0"/>
    <n v="2.92"/>
    <x v="1"/>
    <n v="242.35999999999999"/>
    <x v="1"/>
  </r>
  <r>
    <x v="17"/>
    <s v="Soner Kayıkçı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9"/>
    <s v="Stefan Zaugg"/>
    <x v="1"/>
    <x v="26"/>
    <x v="26"/>
    <n v="8"/>
    <s v="ADET"/>
    <n v="0"/>
    <n v="100"/>
    <n v="352"/>
    <n v="-28"/>
    <n v="0"/>
    <n v="0"/>
    <n v="6.4"/>
    <x v="5"/>
    <n v="51.2"/>
    <x v="4"/>
  </r>
  <r>
    <x v="12"/>
    <s v="Stefan Zaugg"/>
    <x v="1"/>
    <x v="111"/>
    <x v="111"/>
    <n v="3"/>
    <s v="METRE"/>
    <n v="0"/>
    <n v="0"/>
    <n v="0"/>
    <n v="3"/>
    <n v="0"/>
    <n v="288"/>
    <n v="96"/>
    <x v="6"/>
    <n v="288"/>
    <x v="6"/>
  </r>
  <r>
    <x v="9"/>
    <s v="Stefan Zaugg"/>
    <x v="1"/>
    <x v="84"/>
    <x v="84"/>
    <n v="2"/>
    <s v="ADET"/>
    <n v="0"/>
    <n v="239"/>
    <n v="90"/>
    <n v="-201"/>
    <n v="0"/>
    <n v="0"/>
    <n v="4"/>
    <x v="29"/>
    <n v="8"/>
    <x v="7"/>
  </r>
  <r>
    <x v="13"/>
    <s v="Volkan Batkan"/>
    <x v="1"/>
    <x v="85"/>
    <x v="85"/>
    <n v="1"/>
    <s v="ADET"/>
    <n v="1"/>
    <n v="7"/>
    <n v="10"/>
    <n v="6"/>
    <n v="0"/>
    <n v="20303.939999999999"/>
    <n v="3383.99"/>
    <x v="15"/>
    <n v="3383.99"/>
    <x v="7"/>
  </r>
  <r>
    <x v="11"/>
    <s v="Jan Urbanek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9"/>
    <s v="Stefan Zaugg"/>
    <x v="1"/>
    <x v="109"/>
    <x v="109"/>
    <n v="0.7"/>
    <s v="ADET"/>
    <n v="0.7"/>
    <n v="0"/>
    <n v="5.6000000000000014"/>
    <n v="7.200000000000002"/>
    <n v="0"/>
    <n v="1170.0720000000003"/>
    <n v="162.51"/>
    <x v="8"/>
    <n v="113.75699999999999"/>
    <x v="3"/>
  </r>
  <r>
    <x v="9"/>
    <s v="Stefan Zaugg"/>
    <x v="1"/>
    <x v="110"/>
    <x v="110"/>
    <n v="1"/>
    <s v="ADET"/>
    <n v="1"/>
    <n v="2"/>
    <n v="8"/>
    <n v="6"/>
    <n v="5"/>
    <n v="18914.400000000001"/>
    <n v="3152.4"/>
    <x v="43"/>
    <n v="3152.4"/>
    <x v="7"/>
  </r>
  <r>
    <x v="11"/>
    <s v="Jan Urbanek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0"/>
    <s v="Murat Taşdemir"/>
    <x v="1"/>
    <x v="110"/>
    <x v="110"/>
    <n v="3"/>
    <s v="ADET"/>
    <n v="0"/>
    <n v="2"/>
    <n v="8"/>
    <n v="6"/>
    <n v="5"/>
    <n v="18914.400000000001"/>
    <n v="3152.4"/>
    <x v="43"/>
    <n v="9457.2000000000007"/>
    <x v="7"/>
  </r>
  <r>
    <x v="19"/>
    <s v="Laurent MONTAGNER"/>
    <x v="1"/>
    <x v="25"/>
    <x v="25"/>
    <n v="9.509999999999998"/>
    <s v="ADET"/>
    <n v="0"/>
    <n v="96"/>
    <n v="195.44000000000005"/>
    <n v="63.92"/>
    <n v="0"/>
    <n v="8241.2056000000011"/>
    <n v="128.93"/>
    <x v="11"/>
    <n v="1226.1242999999997"/>
    <x v="1"/>
  </r>
  <r>
    <x v="3"/>
    <s v="Jan Urbanek"/>
    <x v="1"/>
    <x v="34"/>
    <x v="34"/>
    <n v="4"/>
    <s v="ADET"/>
    <n v="0"/>
    <n v="83"/>
    <n v="52"/>
    <n v="-31"/>
    <n v="0"/>
    <n v="0"/>
    <n v="170"/>
    <x v="4"/>
    <n v="680"/>
    <x v="1"/>
  </r>
  <r>
    <x v="11"/>
    <s v="Jan Urbanek"/>
    <x v="1"/>
    <x v="112"/>
    <x v="112"/>
    <n v="0.1"/>
    <s v="KG"/>
    <n v="0"/>
    <n v="32"/>
    <n v="60"/>
    <n v="-31.4"/>
    <n v="0"/>
    <n v="0"/>
    <n v="110"/>
    <x v="37"/>
    <n v="11"/>
    <x v="3"/>
  </r>
  <r>
    <x v="11"/>
    <s v="Jan Urbanek"/>
    <x v="1"/>
    <x v="36"/>
    <x v="36"/>
    <n v="0.5"/>
    <s v="ADET"/>
    <n v="0"/>
    <n v="12"/>
    <n v="3"/>
    <n v="-3"/>
    <n v="0"/>
    <n v="0"/>
    <n v="130"/>
    <x v="14"/>
    <n v="65"/>
    <x v="3"/>
  </r>
  <r>
    <x v="13"/>
    <s v="Volkan Batkan"/>
    <x v="1"/>
    <x v="36"/>
    <x v="36"/>
    <n v="0.5"/>
    <s v="ADET"/>
    <n v="0"/>
    <n v="12"/>
    <n v="3"/>
    <n v="-3"/>
    <n v="0"/>
    <n v="0"/>
    <n v="130"/>
    <x v="14"/>
    <n v="65"/>
    <x v="3"/>
  </r>
  <r>
    <x v="14"/>
    <s v="Matteo Giolo"/>
    <x v="1"/>
    <x v="36"/>
    <x v="36"/>
    <n v="0.5"/>
    <s v="ADET"/>
    <n v="0"/>
    <n v="12"/>
    <n v="3"/>
    <n v="-3"/>
    <n v="0"/>
    <n v="0"/>
    <n v="130"/>
    <x v="14"/>
    <n v="65"/>
    <x v="3"/>
  </r>
  <r>
    <x v="14"/>
    <s v="Matteo Giolo"/>
    <x v="1"/>
    <x v="37"/>
    <x v="37"/>
    <n v="3"/>
    <s v="ADET"/>
    <n v="0"/>
    <n v="48"/>
    <n v="-2.1316282072803006E-14"/>
    <n v="23.620000000000005"/>
    <n v="0"/>
    <n v="2362.0000000000005"/>
    <n v="100"/>
    <x v="2"/>
    <n v="300"/>
    <x v="3"/>
  </r>
  <r>
    <x v="13"/>
    <s v="Volkan Batkan"/>
    <x v="1"/>
    <x v="35"/>
    <x v="35"/>
    <n v="16"/>
    <s v="ADET"/>
    <n v="0"/>
    <n v="1278"/>
    <n v="690"/>
    <n v="-1174"/>
    <n v="0"/>
    <n v="0"/>
    <n v="0.55000000000000004"/>
    <x v="2"/>
    <n v="8.8000000000000007"/>
    <x v="1"/>
  </r>
  <r>
    <x v="10"/>
    <s v="Murat Taşdemir"/>
    <x v="1"/>
    <x v="37"/>
    <x v="37"/>
    <n v="4"/>
    <s v="ADET"/>
    <n v="0"/>
    <n v="48"/>
    <n v="-2.1316282072803006E-14"/>
    <n v="23.620000000000005"/>
    <n v="0"/>
    <n v="2362.0000000000005"/>
    <n v="100"/>
    <x v="2"/>
    <n v="400"/>
    <x v="3"/>
  </r>
  <r>
    <x v="13"/>
    <s v="Volkan Batkan"/>
    <x v="1"/>
    <x v="37"/>
    <x v="37"/>
    <n v="2"/>
    <s v="ADET"/>
    <n v="0"/>
    <n v="48"/>
    <n v="-2.1316282072803006E-14"/>
    <n v="23.620000000000005"/>
    <n v="0"/>
    <n v="2362.0000000000005"/>
    <n v="100"/>
    <x v="2"/>
    <n v="200"/>
    <x v="3"/>
  </r>
  <r>
    <x v="16"/>
    <s v="Laurent MONTAGNER"/>
    <x v="1"/>
    <x v="34"/>
    <x v="34"/>
    <n v="4"/>
    <s v="ADET"/>
    <n v="0"/>
    <n v="83"/>
    <n v="52"/>
    <n v="-31"/>
    <n v="0"/>
    <n v="0"/>
    <n v="170"/>
    <x v="4"/>
    <n v="680"/>
    <x v="1"/>
  </r>
  <r>
    <x v="0"/>
    <s v="Matteo Giolo"/>
    <x v="1"/>
    <x v="112"/>
    <x v="112"/>
    <n v="0.1"/>
    <s v="KG"/>
    <n v="0"/>
    <n v="32"/>
    <n v="60"/>
    <n v="-31.4"/>
    <n v="0"/>
    <n v="0"/>
    <n v="110"/>
    <x v="37"/>
    <n v="11"/>
    <x v="3"/>
  </r>
  <r>
    <x v="18"/>
    <s v="Stina Alm"/>
    <x v="1"/>
    <x v="33"/>
    <x v="33"/>
    <n v="14"/>
    <s v="ADET"/>
    <n v="0"/>
    <n v="196"/>
    <n v="31"/>
    <n v="18"/>
    <n v="0"/>
    <n v="360"/>
    <n v="20"/>
    <x v="2"/>
    <n v="280"/>
    <x v="1"/>
  </r>
  <r>
    <x v="17"/>
    <s v="Soner Kayıkçı"/>
    <x v="1"/>
    <x v="112"/>
    <x v="112"/>
    <n v="0.1"/>
    <s v="KG"/>
    <n v="0"/>
    <n v="32"/>
    <n v="60"/>
    <n v="-31.4"/>
    <n v="0"/>
    <n v="0"/>
    <n v="110"/>
    <x v="37"/>
    <n v="11"/>
    <x v="3"/>
  </r>
  <r>
    <x v="0"/>
    <s v="Matteo Giolo"/>
    <x v="1"/>
    <x v="37"/>
    <x v="37"/>
    <n v="2.02"/>
    <s v="ADET"/>
    <n v="0"/>
    <n v="48"/>
    <n v="-2.1316282072803006E-14"/>
    <n v="23.620000000000005"/>
    <n v="0"/>
    <n v="2362.0000000000005"/>
    <n v="100"/>
    <x v="2"/>
    <n v="202"/>
    <x v="3"/>
  </r>
  <r>
    <x v="17"/>
    <s v="Soner Kayıkçı"/>
    <x v="1"/>
    <x v="36"/>
    <x v="36"/>
    <n v="0.5"/>
    <s v="ADET"/>
    <n v="0"/>
    <n v="12"/>
    <n v="3"/>
    <n v="-3"/>
    <n v="0"/>
    <n v="0"/>
    <n v="130"/>
    <x v="14"/>
    <n v="65"/>
    <x v="3"/>
  </r>
  <r>
    <x v="16"/>
    <s v="Laurent MONTAGNER"/>
    <x v="1"/>
    <x v="36"/>
    <x v="36"/>
    <n v="0.5"/>
    <s v="ADET"/>
    <n v="0"/>
    <n v="12"/>
    <n v="3"/>
    <n v="-3"/>
    <n v="0"/>
    <n v="0"/>
    <n v="130"/>
    <x v="14"/>
    <n v="65"/>
    <x v="3"/>
  </r>
  <r>
    <x v="16"/>
    <s v="Laurent MONTAGNER"/>
    <x v="1"/>
    <x v="37"/>
    <x v="37"/>
    <n v="5.5"/>
    <s v="ADET"/>
    <n v="0"/>
    <n v="48"/>
    <n v="-2.1316282072803006E-14"/>
    <n v="23.620000000000005"/>
    <n v="0"/>
    <n v="2362.0000000000005"/>
    <n v="100"/>
    <x v="2"/>
    <n v="550"/>
    <x v="3"/>
  </r>
  <r>
    <x v="18"/>
    <s v="Stina Alm"/>
    <x v="1"/>
    <x v="32"/>
    <x v="32"/>
    <n v="0.25"/>
    <s v="ADET"/>
    <n v="0"/>
    <n v="5"/>
    <n v="9.7999999999999989"/>
    <n v="0.19999999999999929"/>
    <n v="0"/>
    <n v="7.599999999999973"/>
    <n v="38"/>
    <x v="2"/>
    <n v="9.5"/>
    <x v="1"/>
  </r>
  <r>
    <x v="17"/>
    <s v="Soner Kayıkçı"/>
    <x v="1"/>
    <x v="32"/>
    <x v="32"/>
    <n v="0.35"/>
    <s v="ADET"/>
    <n v="0"/>
    <n v="5"/>
    <n v="9.7999999999999989"/>
    <n v="0.19999999999999929"/>
    <n v="0"/>
    <n v="7.599999999999973"/>
    <n v="38"/>
    <x v="2"/>
    <n v="13.299999999999999"/>
    <x v="1"/>
  </r>
  <r>
    <x v="19"/>
    <s v="Laurent MONTAGNER"/>
    <x v="1"/>
    <x v="32"/>
    <x v="32"/>
    <n v="0.25"/>
    <s v="ADET"/>
    <n v="0.25"/>
    <n v="5"/>
    <n v="9.7999999999999989"/>
    <n v="0.19999999999999929"/>
    <n v="0"/>
    <n v="7.599999999999973"/>
    <n v="38"/>
    <x v="2"/>
    <n v="9.5"/>
    <x v="1"/>
  </r>
  <r>
    <x v="19"/>
    <s v="Laurent MONTAGNER"/>
    <x v="1"/>
    <x v="33"/>
    <x v="33"/>
    <n v="14"/>
    <s v="ADET"/>
    <n v="0"/>
    <n v="196"/>
    <n v="31"/>
    <n v="18"/>
    <n v="0"/>
    <n v="360"/>
    <n v="20"/>
    <x v="2"/>
    <n v="280"/>
    <x v="1"/>
  </r>
  <r>
    <x v="18"/>
    <s v="Stina Alm"/>
    <x v="1"/>
    <x v="34"/>
    <x v="34"/>
    <n v="4"/>
    <s v="ADET"/>
    <n v="0"/>
    <n v="83"/>
    <n v="52"/>
    <n v="-31"/>
    <n v="0"/>
    <n v="0"/>
    <n v="170"/>
    <x v="4"/>
    <n v="680"/>
    <x v="1"/>
  </r>
  <r>
    <x v="19"/>
    <s v="Laurent MONTAGNER"/>
    <x v="1"/>
    <x v="34"/>
    <x v="34"/>
    <n v="4"/>
    <s v="ADET"/>
    <n v="4"/>
    <n v="83"/>
    <n v="52"/>
    <n v="-31"/>
    <n v="0"/>
    <n v="0"/>
    <n v="170"/>
    <x v="4"/>
    <n v="680"/>
    <x v="1"/>
  </r>
  <r>
    <x v="17"/>
    <s v="Soner Kayıkçı"/>
    <x v="1"/>
    <x v="35"/>
    <x v="35"/>
    <n v="16"/>
    <s v="ADET"/>
    <n v="0"/>
    <n v="1278"/>
    <n v="690"/>
    <n v="-1174"/>
    <n v="0"/>
    <n v="0"/>
    <n v="0.55000000000000004"/>
    <x v="2"/>
    <n v="8.8000000000000007"/>
    <x v="1"/>
  </r>
  <r>
    <x v="7"/>
    <s v="Stina Alm"/>
    <x v="1"/>
    <x v="36"/>
    <x v="36"/>
    <n v="0.5"/>
    <s v="ADET"/>
    <n v="0"/>
    <n v="12"/>
    <n v="3"/>
    <n v="-3"/>
    <n v="0"/>
    <n v="0"/>
    <n v="130"/>
    <x v="14"/>
    <n v="65"/>
    <x v="3"/>
  </r>
  <r>
    <x v="6"/>
    <s v="Stefan Zaugg"/>
    <x v="1"/>
    <x v="36"/>
    <x v="36"/>
    <n v="0.5"/>
    <s v="ADET"/>
    <n v="0"/>
    <n v="12"/>
    <n v="3"/>
    <n v="-3"/>
    <n v="0"/>
    <n v="0"/>
    <n v="130"/>
    <x v="14"/>
    <n v="65"/>
    <x v="3"/>
  </r>
  <r>
    <x v="5"/>
    <s v="Matteo Giolo"/>
    <x v="1"/>
    <x v="36"/>
    <x v="36"/>
    <n v="0.5"/>
    <s v="ADET"/>
    <n v="0"/>
    <n v="12"/>
    <n v="3"/>
    <n v="-3"/>
    <n v="0"/>
    <n v="0"/>
    <n v="130"/>
    <x v="14"/>
    <n v="65"/>
    <x v="3"/>
  </r>
  <r>
    <x v="0"/>
    <s v="Matteo Giolo"/>
    <x v="1"/>
    <x v="36"/>
    <x v="36"/>
    <n v="0.5"/>
    <s v="ADET"/>
    <n v="0"/>
    <n v="12"/>
    <n v="3"/>
    <n v="-3"/>
    <n v="0"/>
    <n v="0"/>
    <n v="130"/>
    <x v="14"/>
    <n v="65"/>
    <x v="3"/>
  </r>
  <r>
    <x v="1"/>
    <s v="Laurent MONTAGNER"/>
    <x v="1"/>
    <x v="36"/>
    <x v="36"/>
    <n v="0.5"/>
    <s v="ADET"/>
    <n v="0"/>
    <n v="12"/>
    <n v="3"/>
    <n v="-3"/>
    <n v="0"/>
    <n v="0"/>
    <n v="130"/>
    <x v="14"/>
    <n v="65"/>
    <x v="3"/>
  </r>
  <r>
    <x v="4"/>
    <s v="Jan Urbanek"/>
    <x v="1"/>
    <x v="29"/>
    <x v="29"/>
    <n v="2"/>
    <s v="ADET"/>
    <n v="0"/>
    <n v="42"/>
    <n v="34"/>
    <n v="-8"/>
    <n v="0"/>
    <n v="0"/>
    <n v="65"/>
    <x v="2"/>
    <n v="130"/>
    <x v="1"/>
  </r>
  <r>
    <x v="14"/>
    <s v="Matteo Giolo"/>
    <x v="1"/>
    <x v="30"/>
    <x v="30"/>
    <n v="2"/>
    <s v="ADET"/>
    <n v="0"/>
    <n v="0"/>
    <n v="0"/>
    <n v="16"/>
    <n v="0"/>
    <n v="1200"/>
    <n v="75"/>
    <x v="13"/>
    <n v="150"/>
    <x v="5"/>
  </r>
  <r>
    <x v="9"/>
    <s v="Stefan Zaugg"/>
    <x v="1"/>
    <x v="28"/>
    <x v="28"/>
    <n v="8"/>
    <s v="ADET"/>
    <n v="0"/>
    <n v="3750"/>
    <n v="674"/>
    <n v="-3452"/>
    <n v="0"/>
    <n v="0"/>
    <n v="0.2"/>
    <x v="2"/>
    <n v="1.6"/>
    <x v="1"/>
  </r>
  <r>
    <x v="12"/>
    <s v="Stefan Zaugg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14"/>
    <s v="Matteo Giolo"/>
    <x v="1"/>
    <x v="28"/>
    <x v="28"/>
    <n v="18"/>
    <s v="ADET"/>
    <n v="0"/>
    <n v="3750"/>
    <n v="674"/>
    <n v="-3452"/>
    <n v="0"/>
    <n v="0"/>
    <n v="0.2"/>
    <x v="2"/>
    <n v="3.6"/>
    <x v="1"/>
  </r>
  <r>
    <x v="11"/>
    <s v="Jan Urbanek"/>
    <x v="1"/>
    <x v="28"/>
    <x v="28"/>
    <n v="8"/>
    <s v="ADET"/>
    <n v="0"/>
    <n v="3750"/>
    <n v="674"/>
    <n v="-3452"/>
    <n v="0"/>
    <n v="0"/>
    <n v="0.2"/>
    <x v="2"/>
    <n v="1.6"/>
    <x v="1"/>
  </r>
  <r>
    <x v="16"/>
    <s v="Laurent MONTAGNER"/>
    <x v="1"/>
    <x v="30"/>
    <x v="30"/>
    <n v="2"/>
    <s v="ADET"/>
    <n v="0"/>
    <n v="0"/>
    <n v="0"/>
    <n v="16"/>
    <n v="0"/>
    <n v="1200"/>
    <n v="75"/>
    <x v="13"/>
    <n v="150"/>
    <x v="5"/>
  </r>
  <r>
    <x v="8"/>
    <s v="Jan Urbanek"/>
    <x v="1"/>
    <x v="113"/>
    <x v="113"/>
    <n v="3"/>
    <s v="ADET"/>
    <n v="0"/>
    <n v="302"/>
    <n v="1"/>
    <n v="-293"/>
    <n v="0"/>
    <n v="0"/>
    <n v="8"/>
    <x v="2"/>
    <n v="24"/>
    <x v="4"/>
  </r>
  <r>
    <x v="16"/>
    <s v="Laurent MONTAGNER"/>
    <x v="1"/>
    <x v="29"/>
    <x v="29"/>
    <n v="2"/>
    <s v="ADET"/>
    <n v="0"/>
    <n v="42"/>
    <n v="34"/>
    <n v="-8"/>
    <n v="0"/>
    <n v="0"/>
    <n v="65"/>
    <x v="2"/>
    <n v="130"/>
    <x v="1"/>
  </r>
  <r>
    <x v="18"/>
    <s v="Stina Alm"/>
    <x v="1"/>
    <x v="30"/>
    <x v="30"/>
    <n v="2"/>
    <s v="ADET"/>
    <n v="0"/>
    <n v="0"/>
    <n v="0"/>
    <n v="16"/>
    <n v="0"/>
    <n v="1200"/>
    <n v="75"/>
    <x v="13"/>
    <n v="150"/>
    <x v="5"/>
  </r>
  <r>
    <x v="16"/>
    <s v="Laurent MONTAGNER"/>
    <x v="1"/>
    <x v="28"/>
    <x v="28"/>
    <n v="18"/>
    <s v="ADET"/>
    <n v="0"/>
    <n v="3750"/>
    <n v="674"/>
    <n v="-3452"/>
    <n v="0"/>
    <n v="0"/>
    <n v="0.2"/>
    <x v="2"/>
    <n v="3.6"/>
    <x v="1"/>
  </r>
  <r>
    <x v="17"/>
    <s v="Soner Kayıkçı"/>
    <x v="1"/>
    <x v="29"/>
    <x v="29"/>
    <n v="2"/>
    <s v="ADET"/>
    <n v="0"/>
    <n v="42"/>
    <n v="34"/>
    <n v="-8"/>
    <n v="0"/>
    <n v="0"/>
    <n v="65"/>
    <x v="2"/>
    <n v="130"/>
    <x v="1"/>
  </r>
  <r>
    <x v="4"/>
    <s v="Jan Urbanek"/>
    <x v="1"/>
    <x v="113"/>
    <x v="113"/>
    <n v="3"/>
    <s v="ADET"/>
    <n v="0"/>
    <n v="302"/>
    <n v="1"/>
    <n v="-293"/>
    <n v="0"/>
    <n v="0"/>
    <n v="8"/>
    <x v="2"/>
    <n v="24"/>
    <x v="4"/>
  </r>
  <r>
    <x v="19"/>
    <s v="Laurent MONTAGNER"/>
    <x v="1"/>
    <x v="30"/>
    <x v="30"/>
    <n v="2"/>
    <s v="ADET"/>
    <n v="0"/>
    <n v="0"/>
    <n v="0"/>
    <n v="16"/>
    <n v="0"/>
    <n v="1200"/>
    <n v="75"/>
    <x v="13"/>
    <n v="150"/>
    <x v="5"/>
  </r>
  <r>
    <x v="19"/>
    <s v="Laurent MONTAGNER"/>
    <x v="1"/>
    <x v="28"/>
    <x v="28"/>
    <n v="34"/>
    <s v="ADET"/>
    <n v="0"/>
    <n v="3750"/>
    <n v="674"/>
    <n v="-3452"/>
    <n v="0"/>
    <n v="0"/>
    <n v="0.2"/>
    <x v="2"/>
    <n v="6.8000000000000007"/>
    <x v="1"/>
  </r>
  <r>
    <x v="17"/>
    <s v="Soner Kayıkçı"/>
    <x v="1"/>
    <x v="28"/>
    <x v="28"/>
    <n v="12"/>
    <s v="ADET"/>
    <n v="0"/>
    <n v="3750"/>
    <n v="674"/>
    <n v="-3452"/>
    <n v="0"/>
    <n v="0"/>
    <n v="0.2"/>
    <x v="2"/>
    <n v="2.4000000000000004"/>
    <x v="1"/>
  </r>
  <r>
    <x v="18"/>
    <s v="Stina Alm"/>
    <x v="1"/>
    <x v="29"/>
    <x v="29"/>
    <n v="2"/>
    <s v="ADET"/>
    <n v="0"/>
    <n v="42"/>
    <n v="34"/>
    <n v="-8"/>
    <n v="0"/>
    <n v="0"/>
    <n v="65"/>
    <x v="2"/>
    <n v="130"/>
    <x v="1"/>
  </r>
  <r>
    <x v="19"/>
    <s v="Laurent MONTAGNER"/>
    <x v="1"/>
    <x v="29"/>
    <x v="29"/>
    <n v="2"/>
    <s v="ADET"/>
    <n v="0"/>
    <n v="42"/>
    <n v="34"/>
    <n v="-8"/>
    <n v="0"/>
    <n v="0"/>
    <n v="65"/>
    <x v="2"/>
    <n v="130"/>
    <x v="1"/>
  </r>
  <r>
    <x v="14"/>
    <s v="Matteo Giolo"/>
    <x v="1"/>
    <x v="114"/>
    <x v="114"/>
    <n v="2"/>
    <s v="ADET"/>
    <n v="0"/>
    <n v="13"/>
    <n v="22"/>
    <n v="-2"/>
    <n v="30"/>
    <n v="0"/>
    <n v="122.1"/>
    <x v="43"/>
    <n v="244.2"/>
    <x v="7"/>
  </r>
  <r>
    <x v="11"/>
    <s v="Jan Urbanek"/>
    <x v="1"/>
    <x v="114"/>
    <x v="114"/>
    <n v="3"/>
    <s v="ADET"/>
    <n v="0"/>
    <n v="13"/>
    <n v="22"/>
    <n v="-2"/>
    <n v="30"/>
    <n v="0"/>
    <n v="122.1"/>
    <x v="43"/>
    <n v="366.29999999999995"/>
    <x v="7"/>
  </r>
  <r>
    <x v="12"/>
    <s v="Stefan Zaugg"/>
    <x v="1"/>
    <x v="115"/>
    <x v="115"/>
    <n v="4"/>
    <s v="ADET"/>
    <n v="0"/>
    <n v="842"/>
    <n v="0"/>
    <n v="-834"/>
    <n v="0"/>
    <n v="0"/>
    <n v="0.93"/>
    <x v="44"/>
    <n v="3.72"/>
    <x v="1"/>
  </r>
  <r>
    <x v="9"/>
    <s v="Stefan Zaugg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2"/>
    <s v="Stefan Zaugg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4"/>
    <s v="Matteo Giolo"/>
    <x v="1"/>
    <x v="116"/>
    <x v="116"/>
    <n v="0.2"/>
    <s v="METRE"/>
    <n v="0"/>
    <n v="0"/>
    <n v="0"/>
    <n v="1.8000000000000003"/>
    <n v="0"/>
    <n v="9.0000000000000018"/>
    <n v="5"/>
    <x v="6"/>
    <n v="1"/>
    <x v="7"/>
  </r>
  <r>
    <x v="18"/>
    <s v="Stina Alm"/>
    <x v="1"/>
    <x v="28"/>
    <x v="28"/>
    <n v="18"/>
    <s v="ADET"/>
    <n v="0"/>
    <n v="3750"/>
    <n v="674"/>
    <n v="-3452"/>
    <n v="0"/>
    <n v="0"/>
    <n v="0.2"/>
    <x v="2"/>
    <n v="3.6"/>
    <x v="1"/>
  </r>
  <r>
    <x v="10"/>
    <s v="Murat Taşdemir"/>
    <x v="1"/>
    <x v="113"/>
    <x v="113"/>
    <n v="3"/>
    <s v="ADET"/>
    <n v="0"/>
    <n v="302"/>
    <n v="1"/>
    <n v="-293"/>
    <n v="0"/>
    <n v="0"/>
    <n v="8"/>
    <x v="2"/>
    <n v="24"/>
    <x v="4"/>
  </r>
  <r>
    <x v="17"/>
    <s v="Soner Kayıkçı"/>
    <x v="1"/>
    <x v="11"/>
    <x v="11"/>
    <n v="16"/>
    <s v="ADET"/>
    <n v="0"/>
    <n v="4822"/>
    <n v="811"/>
    <n v="-4638"/>
    <n v="0"/>
    <n v="0"/>
    <n v="0.3"/>
    <x v="2"/>
    <n v="4.8"/>
    <x v="1"/>
  </r>
  <r>
    <x v="17"/>
    <s v="Soner Kayıkçı"/>
    <x v="1"/>
    <x v="9"/>
    <x v="9"/>
    <n v="25"/>
    <s v="ADET"/>
    <n v="0"/>
    <n v="976"/>
    <n v="167"/>
    <n v="-508"/>
    <n v="0"/>
    <n v="0"/>
    <n v="3.46"/>
    <x v="5"/>
    <n v="86.5"/>
    <x v="1"/>
  </r>
  <r>
    <x v="18"/>
    <s v="Stina Alm"/>
    <x v="1"/>
    <x v="10"/>
    <x v="10"/>
    <n v="21"/>
    <s v="ADET"/>
    <n v="0"/>
    <n v="495"/>
    <n v="146"/>
    <n v="-22"/>
    <n v="0"/>
    <n v="0"/>
    <n v="3.75"/>
    <x v="1"/>
    <n v="78.75"/>
    <x v="1"/>
  </r>
  <r>
    <x v="5"/>
    <s v="Matteo Giolo"/>
    <x v="1"/>
    <x v="90"/>
    <x v="90"/>
    <n v="1"/>
    <s v="ADET"/>
    <n v="0"/>
    <n v="1"/>
    <n v="1"/>
    <n v="3"/>
    <n v="0"/>
    <n v="97615.14"/>
    <n v="32538.38"/>
    <x v="15"/>
    <n v="32538.38"/>
    <x v="2"/>
  </r>
  <r>
    <x v="5"/>
    <s v="Matteo Giolo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7"/>
    <s v="Stina Alm"/>
    <x v="1"/>
    <x v="59"/>
    <x v="59"/>
    <n v="5.5"/>
    <s v="METRE"/>
    <n v="0"/>
    <n v="125"/>
    <n v="37.499999999999986"/>
    <n v="-44.100000000000023"/>
    <n v="0"/>
    <n v="0"/>
    <n v="44"/>
    <x v="17"/>
    <n v="242"/>
    <x v="4"/>
  </r>
  <r>
    <x v="7"/>
    <s v="Stina Alm"/>
    <x v="1"/>
    <x v="60"/>
    <x v="60"/>
    <n v="1"/>
    <s v="ADET"/>
    <n v="0"/>
    <n v="6"/>
    <n v="10"/>
    <n v="7"/>
    <n v="0"/>
    <n v="12435.01"/>
    <n v="1776.43"/>
    <x v="3"/>
    <n v="1776.43"/>
    <x v="4"/>
  </r>
  <r>
    <x v="19"/>
    <s v="Laurent MONTAGNER"/>
    <x v="1"/>
    <x v="1"/>
    <x v="1"/>
    <n v="45"/>
    <s v="ADET"/>
    <n v="0"/>
    <n v="1000"/>
    <n v="4807"/>
    <n v="-450"/>
    <n v="0"/>
    <n v="0"/>
    <n v="0.3"/>
    <x v="1"/>
    <n v="13.5"/>
    <x v="1"/>
  </r>
  <r>
    <x v="16"/>
    <s v="Laurent MONTAGNER"/>
    <x v="1"/>
    <x v="5"/>
    <x v="5"/>
    <n v="1"/>
    <s v="ADET"/>
    <n v="0"/>
    <n v="0"/>
    <n v="65"/>
    <n v="-94"/>
    <n v="100"/>
    <n v="0"/>
    <n v="115"/>
    <x v="2"/>
    <n v="115"/>
    <x v="1"/>
  </r>
  <r>
    <x v="19"/>
    <s v="Laurent MONTAGNER"/>
    <x v="1"/>
    <x v="3"/>
    <x v="3"/>
    <n v="1"/>
    <s v="ADET"/>
    <n v="0"/>
    <n v="10"/>
    <n v="3"/>
    <n v="-3"/>
    <n v="0"/>
    <n v="0"/>
    <n v="45"/>
    <x v="2"/>
    <n v="45"/>
    <x v="1"/>
  </r>
  <r>
    <x v="10"/>
    <s v="Murat Taşdemir"/>
    <x v="1"/>
    <x v="45"/>
    <x v="45"/>
    <n v="10"/>
    <s v="METRE"/>
    <n v="0"/>
    <n v="200"/>
    <n v="59.900000000000063"/>
    <n v="-58.699999999999989"/>
    <n v="0"/>
    <n v="0"/>
    <n v="22.5"/>
    <x v="17"/>
    <n v="225"/>
    <x v="4"/>
  </r>
  <r>
    <x v="14"/>
    <s v="Matteo Giolo"/>
    <x v="1"/>
    <x v="45"/>
    <x v="45"/>
    <n v="5.5"/>
    <s v="METRE"/>
    <n v="0"/>
    <n v="200"/>
    <n v="59.900000000000063"/>
    <n v="-58.699999999999989"/>
    <n v="0"/>
    <n v="0"/>
    <n v="22.5"/>
    <x v="17"/>
    <n v="123.75"/>
    <x v="4"/>
  </r>
  <r>
    <x v="11"/>
    <s v="Jan Urbanek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9"/>
    <s v="Stefan Zaugg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14"/>
    <s v="Matteo Giolo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13"/>
    <s v="Volkan Batkan"/>
    <x v="1"/>
    <x v="105"/>
    <x v="105"/>
    <n v="49"/>
    <s v="ADET"/>
    <n v="0"/>
    <n v="1200"/>
    <n v="196"/>
    <n v="-291"/>
    <n v="0"/>
    <n v="0"/>
    <n v="12.5"/>
    <x v="39"/>
    <n v="612.5"/>
    <x v="1"/>
  </r>
  <r>
    <x v="9"/>
    <s v="Stefan Zaugg"/>
    <x v="1"/>
    <x v="105"/>
    <x v="105"/>
    <n v="47"/>
    <s v="ADET"/>
    <n v="0"/>
    <n v="1200"/>
    <n v="196"/>
    <n v="-291"/>
    <n v="0"/>
    <n v="0"/>
    <n v="12.5"/>
    <x v="39"/>
    <n v="587.5"/>
    <x v="1"/>
  </r>
  <r>
    <x v="9"/>
    <s v="Stefan Zaugg"/>
    <x v="1"/>
    <x v="106"/>
    <x v="106"/>
    <n v="0.4"/>
    <s v="ADET"/>
    <n v="0"/>
    <n v="0"/>
    <n v="5.3290705182007514E-15"/>
    <n v="-5.0999999999999996"/>
    <n v="10"/>
    <n v="0"/>
    <n v="255.55"/>
    <x v="40"/>
    <n v="102.22000000000001"/>
    <x v="3"/>
  </r>
  <r>
    <x v="13"/>
    <s v="Volkan Batkan"/>
    <x v="1"/>
    <x v="118"/>
    <x v="118"/>
    <n v="4"/>
    <s v="ADET"/>
    <n v="0"/>
    <n v="1000"/>
    <n v="0"/>
    <n v="-960"/>
    <n v="0"/>
    <n v="0"/>
    <n v="0.64"/>
    <x v="2"/>
    <n v="2.56"/>
    <x v="1"/>
  </r>
  <r>
    <x v="9"/>
    <s v="Stefan Zaugg"/>
    <x v="1"/>
    <x v="118"/>
    <x v="118"/>
    <n v="4"/>
    <s v="ADET"/>
    <n v="0"/>
    <n v="1000"/>
    <n v="0"/>
    <n v="-960"/>
    <n v="0"/>
    <n v="0"/>
    <n v="0.64"/>
    <x v="2"/>
    <n v="2.56"/>
    <x v="1"/>
  </r>
  <r>
    <x v="12"/>
    <s v="Stefan Zaugg"/>
    <x v="1"/>
    <x v="118"/>
    <x v="118"/>
    <n v="4"/>
    <s v="ADET"/>
    <n v="0"/>
    <n v="1000"/>
    <n v="0"/>
    <n v="-960"/>
    <n v="0"/>
    <n v="0"/>
    <n v="0.64"/>
    <x v="2"/>
    <n v="2.56"/>
    <x v="1"/>
  </r>
  <r>
    <x v="17"/>
    <s v="Soner Kayıkçı"/>
    <x v="1"/>
    <x v="103"/>
    <x v="103"/>
    <n v="0.3"/>
    <s v="KG"/>
    <n v="0"/>
    <n v="0"/>
    <n v="22"/>
    <n v="0.6"/>
    <n v="0"/>
    <n v="162.54600000000002"/>
    <n v="270.91000000000003"/>
    <x v="37"/>
    <n v="81.27300000000001"/>
    <x v="3"/>
  </r>
  <r>
    <x v="18"/>
    <s v="Stina Alm"/>
    <x v="1"/>
    <x v="45"/>
    <x v="45"/>
    <n v="5.5"/>
    <s v="METRE"/>
    <n v="0"/>
    <n v="200"/>
    <n v="59.900000000000063"/>
    <n v="-58.699999999999989"/>
    <n v="0"/>
    <n v="0"/>
    <n v="22.5"/>
    <x v="17"/>
    <n v="123.75"/>
    <x v="4"/>
  </r>
  <r>
    <x v="17"/>
    <s v="Soner Kayıkçı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6"/>
    <s v="Laurent MONTAGNER"/>
    <x v="1"/>
    <x v="45"/>
    <x v="45"/>
    <n v="5.65"/>
    <s v="METRE"/>
    <n v="0"/>
    <n v="200"/>
    <n v="59.900000000000063"/>
    <n v="-58.699999999999989"/>
    <n v="0"/>
    <n v="0"/>
    <n v="22.5"/>
    <x v="17"/>
    <n v="127.12500000000001"/>
    <x v="4"/>
  </r>
  <r>
    <x v="13"/>
    <s v="Volkan Batkan"/>
    <x v="1"/>
    <x v="45"/>
    <x v="45"/>
    <n v="7.5"/>
    <s v="METRE"/>
    <n v="0"/>
    <n v="200"/>
    <n v="59.900000000000063"/>
    <n v="-58.699999999999989"/>
    <n v="0"/>
    <n v="0"/>
    <n v="22.5"/>
    <x v="17"/>
    <n v="168.75"/>
    <x v="4"/>
  </r>
  <r>
    <x v="14"/>
    <s v="Matteo Giolo"/>
    <x v="1"/>
    <x v="119"/>
    <x v="119"/>
    <n v="4"/>
    <s v="ADET"/>
    <n v="0"/>
    <n v="102"/>
    <n v="0"/>
    <n v="-90"/>
    <n v="0"/>
    <n v="0"/>
    <n v="7"/>
    <x v="6"/>
    <n v="28"/>
    <x v="1"/>
  </r>
  <r>
    <x v="10"/>
    <s v="Murat Taşdemir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10"/>
    <s v="Murat Taşdemir"/>
    <x v="1"/>
    <x v="114"/>
    <x v="114"/>
    <n v="7"/>
    <s v="ADET"/>
    <n v="0"/>
    <n v="13"/>
    <n v="22"/>
    <n v="-2"/>
    <n v="30"/>
    <n v="0"/>
    <n v="122.1"/>
    <x v="43"/>
    <n v="854.69999999999993"/>
    <x v="7"/>
  </r>
  <r>
    <x v="10"/>
    <s v="Murat Taşdemir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1"/>
    <s v="Jan Urbanek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1"/>
    <s v="Jan Urbanek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4"/>
    <s v="Matteo Giolo"/>
    <x v="1"/>
    <x v="120"/>
    <x v="120"/>
    <n v="32"/>
    <s v="ADET"/>
    <n v="0"/>
    <n v="1100"/>
    <n v="780"/>
    <n v="-832"/>
    <n v="0"/>
    <n v="0"/>
    <n v="0.32"/>
    <x v="2"/>
    <n v="10.24"/>
    <x v="1"/>
  </r>
  <r>
    <x v="11"/>
    <s v="Jan Urbanek"/>
    <x v="1"/>
    <x v="121"/>
    <x v="121"/>
    <n v="7"/>
    <s v="ADET"/>
    <n v="0"/>
    <n v="230"/>
    <n v="72"/>
    <n v="-172"/>
    <n v="0"/>
    <n v="0"/>
    <n v="225"/>
    <x v="45"/>
    <n v="1575"/>
    <x v="2"/>
  </r>
  <r>
    <x v="15"/>
    <s v="Hayriye Güven"/>
    <x v="1"/>
    <x v="122"/>
    <x v="122"/>
    <n v="23.209999999999997"/>
    <s v="KG"/>
    <n v="0"/>
    <n v="0"/>
    <n v="8.5265128291212022E-14"/>
    <n v="23.209999999999997"/>
    <n v="0"/>
    <n v="2800.9827999999998"/>
    <n v="120.68"/>
    <x v="8"/>
    <n v="2800.9827999999998"/>
    <x v="3"/>
  </r>
  <r>
    <x v="14"/>
    <s v="Matteo Giolo"/>
    <x v="1"/>
    <x v="123"/>
    <x v="123"/>
    <n v="6.3"/>
    <s v="ADET"/>
    <n v="0"/>
    <n v="87"/>
    <n v="50.899999999999977"/>
    <n v="-42.900000000000006"/>
    <n v="0"/>
    <n v="0"/>
    <n v="122.09"/>
    <x v="11"/>
    <n v="769.16700000000003"/>
    <x v="1"/>
  </r>
  <r>
    <x v="13"/>
    <s v="Volkan Batkan"/>
    <x v="1"/>
    <x v="123"/>
    <x v="123"/>
    <n v="0.5"/>
    <s v="ADET"/>
    <n v="0"/>
    <n v="87"/>
    <n v="50.899999999999977"/>
    <n v="-42.900000000000006"/>
    <n v="0"/>
    <n v="0"/>
    <n v="122.09"/>
    <x v="11"/>
    <n v="61.045000000000002"/>
    <x v="1"/>
  </r>
  <r>
    <x v="11"/>
    <s v="Jan Urbanek"/>
    <x v="1"/>
    <x v="124"/>
    <x v="124"/>
    <n v="2"/>
    <s v="ADET"/>
    <n v="0"/>
    <n v="222"/>
    <n v="90"/>
    <n v="-184"/>
    <n v="0"/>
    <n v="0"/>
    <n v="4"/>
    <x v="29"/>
    <n v="8"/>
    <x v="7"/>
  </r>
  <r>
    <x v="13"/>
    <s v="Volkan Batkan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3"/>
    <s v="Volkan Batkan"/>
    <x v="1"/>
    <x v="124"/>
    <x v="124"/>
    <n v="2"/>
    <s v="ADET"/>
    <n v="0"/>
    <n v="222"/>
    <n v="90"/>
    <n v="-184"/>
    <n v="0"/>
    <n v="0"/>
    <n v="4"/>
    <x v="29"/>
    <n v="8"/>
    <x v="7"/>
  </r>
  <r>
    <x v="10"/>
    <s v="Murat Taşdemir"/>
    <x v="1"/>
    <x v="125"/>
    <x v="125"/>
    <n v="1"/>
    <s v="ADET"/>
    <n v="0"/>
    <n v="0"/>
    <n v="0"/>
    <n v="2"/>
    <n v="0"/>
    <n v="48928.1"/>
    <n v="24464.05"/>
    <x v="46"/>
    <n v="24464.05"/>
    <x v="2"/>
  </r>
  <r>
    <x v="9"/>
    <s v="Stefan Zaugg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2"/>
    <s v="Stefan Zaugg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2"/>
    <s v="Stefan Zaugg"/>
    <x v="1"/>
    <x v="121"/>
    <x v="121"/>
    <n v="4"/>
    <s v="ADET"/>
    <n v="4"/>
    <n v="230"/>
    <n v="72"/>
    <n v="-172"/>
    <n v="0"/>
    <n v="0"/>
    <n v="225"/>
    <x v="45"/>
    <n v="900"/>
    <x v="2"/>
  </r>
  <r>
    <x v="11"/>
    <s v="Jan Urbanek"/>
    <x v="1"/>
    <x v="123"/>
    <x v="123"/>
    <n v="1"/>
    <s v="ADET"/>
    <n v="0"/>
    <n v="87"/>
    <n v="50.899999999999977"/>
    <n v="-42.900000000000006"/>
    <n v="0"/>
    <n v="0"/>
    <n v="122.09"/>
    <x v="11"/>
    <n v="122.09"/>
    <x v="1"/>
  </r>
  <r>
    <x v="9"/>
    <s v="Stefan Zaugg"/>
    <x v="1"/>
    <x v="124"/>
    <x v="124"/>
    <n v="2"/>
    <s v="ADET"/>
    <n v="0"/>
    <n v="222"/>
    <n v="90"/>
    <n v="-184"/>
    <n v="0"/>
    <n v="0"/>
    <n v="4"/>
    <x v="29"/>
    <n v="8"/>
    <x v="7"/>
  </r>
  <r>
    <x v="12"/>
    <s v="Stefan Zaugg"/>
    <x v="1"/>
    <x v="124"/>
    <x v="124"/>
    <n v="2"/>
    <s v="ADET"/>
    <n v="0"/>
    <n v="222"/>
    <n v="90"/>
    <n v="-184"/>
    <n v="0"/>
    <n v="0"/>
    <n v="4"/>
    <x v="29"/>
    <n v="8"/>
    <x v="7"/>
  </r>
  <r>
    <x v="14"/>
    <s v="Matteo Giolo"/>
    <x v="1"/>
    <x v="124"/>
    <x v="124"/>
    <n v="2"/>
    <s v="ADET"/>
    <n v="0"/>
    <n v="222"/>
    <n v="90"/>
    <n v="-184"/>
    <n v="0"/>
    <n v="0"/>
    <n v="4"/>
    <x v="29"/>
    <n v="8"/>
    <x v="7"/>
  </r>
  <r>
    <x v="9"/>
    <s v="Stefan Zaugg"/>
    <x v="1"/>
    <x v="126"/>
    <x v="126"/>
    <n v="4"/>
    <s v="ADET"/>
    <n v="0"/>
    <n v="1000"/>
    <n v="0"/>
    <n v="-964"/>
    <n v="0"/>
    <n v="0"/>
    <n v="1.2"/>
    <x v="2"/>
    <n v="4.8"/>
    <x v="1"/>
  </r>
  <r>
    <x v="12"/>
    <s v="Stefan Zaugg"/>
    <x v="1"/>
    <x v="126"/>
    <x v="126"/>
    <n v="4"/>
    <s v="ADET"/>
    <n v="0"/>
    <n v="1000"/>
    <n v="0"/>
    <n v="-964"/>
    <n v="0"/>
    <n v="0"/>
    <n v="1.2"/>
    <x v="2"/>
    <n v="4.8"/>
    <x v="1"/>
  </r>
  <r>
    <x v="13"/>
    <s v="Volkan Batkan"/>
    <x v="1"/>
    <x v="126"/>
    <x v="126"/>
    <n v="4"/>
    <s v="ADET"/>
    <n v="0"/>
    <n v="1000"/>
    <n v="0"/>
    <n v="-964"/>
    <n v="0"/>
    <n v="0"/>
    <n v="1.2"/>
    <x v="2"/>
    <n v="4.8"/>
    <x v="1"/>
  </r>
  <r>
    <x v="10"/>
    <s v="Murat Taşdemir"/>
    <x v="1"/>
    <x v="127"/>
    <x v="127"/>
    <n v="2.8"/>
    <s v="ADET"/>
    <n v="0"/>
    <n v="14"/>
    <n v="6.7999999999999972"/>
    <n v="7.7000000000000028"/>
    <n v="12"/>
    <n v="2532.1450000000009"/>
    <n v="328.85"/>
    <x v="47"/>
    <n v="920.78"/>
    <x v="3"/>
  </r>
  <r>
    <x v="10"/>
    <s v="Murat Taşdemir"/>
    <x v="1"/>
    <x v="128"/>
    <x v="128"/>
    <n v="2"/>
    <s v="ADET"/>
    <n v="0"/>
    <n v="0"/>
    <n v="4"/>
    <n v="0"/>
    <n v="20"/>
    <n v="0"/>
    <n v="28000"/>
    <x v="48"/>
    <n v="56000"/>
    <x v="7"/>
  </r>
  <r>
    <x v="8"/>
    <s v="Jan Urbanek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8"/>
    <s v="Jan Urbanek"/>
    <x v="1"/>
    <x v="121"/>
    <x v="121"/>
    <n v="7"/>
    <s v="ADET"/>
    <n v="7"/>
    <n v="230"/>
    <n v="72"/>
    <n v="-172"/>
    <n v="0"/>
    <n v="0"/>
    <n v="225"/>
    <x v="45"/>
    <n v="1575"/>
    <x v="2"/>
  </r>
  <r>
    <x v="14"/>
    <s v="Matteo Giolo"/>
    <x v="1"/>
    <x v="128"/>
    <x v="128"/>
    <n v="1"/>
    <s v="ADET"/>
    <n v="0"/>
    <n v="0"/>
    <n v="4"/>
    <n v="0"/>
    <n v="20"/>
    <n v="0"/>
    <n v="28000"/>
    <x v="48"/>
    <n v="28000"/>
    <x v="7"/>
  </r>
  <r>
    <x v="14"/>
    <s v="Matteo Giolo"/>
    <x v="1"/>
    <x v="105"/>
    <x v="105"/>
    <n v="48"/>
    <s v="ADET"/>
    <n v="0"/>
    <n v="1200"/>
    <n v="196"/>
    <n v="-291"/>
    <n v="0"/>
    <n v="0"/>
    <n v="12.5"/>
    <x v="39"/>
    <n v="600"/>
    <x v="1"/>
  </r>
  <r>
    <x v="11"/>
    <s v="Jan Urbanek"/>
    <x v="1"/>
    <x v="105"/>
    <x v="105"/>
    <n v="49"/>
    <s v="ADET"/>
    <n v="0"/>
    <n v="1200"/>
    <n v="196"/>
    <n v="-291"/>
    <n v="0"/>
    <n v="0"/>
    <n v="12.5"/>
    <x v="39"/>
    <n v="612.5"/>
    <x v="1"/>
  </r>
  <r>
    <x v="10"/>
    <s v="Murat Taşdemir"/>
    <x v="1"/>
    <x v="106"/>
    <x v="106"/>
    <n v="0.5"/>
    <s v="ADET"/>
    <n v="0"/>
    <n v="0"/>
    <n v="5.3290705182007514E-15"/>
    <n v="-5.0999999999999996"/>
    <n v="10"/>
    <n v="0"/>
    <n v="255.55"/>
    <x v="40"/>
    <n v="127.77500000000001"/>
    <x v="3"/>
  </r>
  <r>
    <x v="14"/>
    <s v="Matteo Giolo"/>
    <x v="1"/>
    <x v="118"/>
    <x v="118"/>
    <n v="4"/>
    <s v="ADET"/>
    <n v="0"/>
    <n v="1000"/>
    <n v="0"/>
    <n v="-960"/>
    <n v="0"/>
    <n v="0"/>
    <n v="0.64"/>
    <x v="2"/>
    <n v="2.56"/>
    <x v="1"/>
  </r>
  <r>
    <x v="9"/>
    <s v="Stefan Zaugg"/>
    <x v="1"/>
    <x v="107"/>
    <x v="107"/>
    <n v="1"/>
    <s v="ADET"/>
    <n v="0"/>
    <n v="0"/>
    <n v="0"/>
    <n v="9"/>
    <n v="0"/>
    <n v="540"/>
    <n v="60"/>
    <x v="41"/>
    <n v="60"/>
    <x v="2"/>
  </r>
  <r>
    <x v="12"/>
    <s v="Stefan Zaugg"/>
    <x v="1"/>
    <x v="107"/>
    <x v="107"/>
    <n v="1"/>
    <s v="ADET"/>
    <n v="0"/>
    <n v="0"/>
    <n v="0"/>
    <n v="9"/>
    <n v="0"/>
    <n v="540"/>
    <n v="60"/>
    <x v="41"/>
    <n v="60"/>
    <x v="2"/>
  </r>
  <r>
    <x v="18"/>
    <s v="Stina Alm"/>
    <x v="1"/>
    <x v="46"/>
    <x v="46"/>
    <n v="0.5"/>
    <s v="GR"/>
    <n v="0"/>
    <n v="500"/>
    <n v="0"/>
    <n v="-499"/>
    <n v="0"/>
    <n v="0"/>
    <n v="4"/>
    <x v="18"/>
    <n v="2"/>
    <x v="3"/>
  </r>
  <r>
    <x v="7"/>
    <s v="Stina Alm"/>
    <x v="1"/>
    <x v="119"/>
    <x v="119"/>
    <n v="4"/>
    <s v="ADET"/>
    <n v="0"/>
    <n v="102"/>
    <n v="0"/>
    <n v="-90"/>
    <n v="0"/>
    <n v="0"/>
    <n v="7"/>
    <x v="6"/>
    <n v="28"/>
    <x v="1"/>
  </r>
  <r>
    <x v="5"/>
    <s v="Matteo Giolo"/>
    <x v="1"/>
    <x v="81"/>
    <x v="81"/>
    <n v="1"/>
    <s v="ADET"/>
    <n v="0"/>
    <n v="2"/>
    <n v="8"/>
    <n v="0"/>
    <n v="11"/>
    <n v="0"/>
    <n v="675"/>
    <x v="20"/>
    <n v="675"/>
    <x v="2"/>
  </r>
  <r>
    <x v="8"/>
    <s v="Jan Urbanek"/>
    <x v="1"/>
    <x v="80"/>
    <x v="80"/>
    <n v="3"/>
    <s v="ADET"/>
    <n v="0"/>
    <n v="85"/>
    <n v="43"/>
    <n v="-15"/>
    <n v="40"/>
    <n v="0"/>
    <n v="60"/>
    <x v="12"/>
    <n v="180"/>
    <x v="1"/>
  </r>
  <r>
    <x v="8"/>
    <s v="Jan Urbanek"/>
    <x v="1"/>
    <x v="81"/>
    <x v="81"/>
    <n v="1"/>
    <s v="ADET"/>
    <n v="0"/>
    <n v="2"/>
    <n v="8"/>
    <n v="0"/>
    <n v="11"/>
    <n v="0"/>
    <n v="675"/>
    <x v="20"/>
    <n v="675"/>
    <x v="2"/>
  </r>
  <r>
    <x v="2"/>
    <s v="Jan Urbanek"/>
    <x v="1"/>
    <x v="78"/>
    <x v="78"/>
    <n v="1.4909999999999999"/>
    <s v="KG"/>
    <n v="0"/>
    <n v="0"/>
    <n v="65.031000000000006"/>
    <n v="17.948000000000004"/>
    <n v="0"/>
    <n v="6991.2844400000013"/>
    <n v="389.53"/>
    <x v="8"/>
    <n v="580.78922999999986"/>
    <x v="3"/>
  </r>
  <r>
    <x v="9"/>
    <s v="Stefan Zaugg"/>
    <x v="1"/>
    <x v="79"/>
    <x v="79"/>
    <n v="16"/>
    <s v="ADET"/>
    <n v="0"/>
    <n v="14472"/>
    <n v="3376"/>
    <n v="-14340"/>
    <n v="0"/>
    <n v="0"/>
    <n v="0.04"/>
    <x v="6"/>
    <n v="0.64"/>
    <x v="1"/>
  </r>
  <r>
    <x v="12"/>
    <s v="Stefan Zaugg"/>
    <x v="1"/>
    <x v="79"/>
    <x v="79"/>
    <n v="16"/>
    <s v="ADET"/>
    <n v="0"/>
    <n v="14472"/>
    <n v="3376"/>
    <n v="-14340"/>
    <n v="0"/>
    <n v="0"/>
    <n v="0.04"/>
    <x v="6"/>
    <n v="0.64"/>
    <x v="1"/>
  </r>
  <r>
    <x v="13"/>
    <s v="Volkan Batkan"/>
    <x v="1"/>
    <x v="79"/>
    <x v="79"/>
    <n v="2"/>
    <s v="ADET"/>
    <n v="0"/>
    <n v="14472"/>
    <n v="3376"/>
    <n v="-14340"/>
    <n v="0"/>
    <n v="0"/>
    <n v="0.04"/>
    <x v="6"/>
    <n v="0.08"/>
    <x v="1"/>
  </r>
  <r>
    <x v="12"/>
    <s v="Stefan Zaugg"/>
    <x v="1"/>
    <x v="129"/>
    <x v="129"/>
    <n v="6"/>
    <s v="METRE"/>
    <n v="0"/>
    <n v="260"/>
    <n v="0"/>
    <n v="-248"/>
    <n v="0"/>
    <n v="0"/>
    <n v="8.4"/>
    <x v="23"/>
    <n v="50.400000000000006"/>
    <x v="1"/>
  </r>
  <r>
    <x v="11"/>
    <s v="Jan Urbanek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9"/>
    <s v="Stefan Zaugg"/>
    <x v="1"/>
    <x v="80"/>
    <x v="80"/>
    <n v="5"/>
    <s v="ADET"/>
    <n v="0"/>
    <n v="85"/>
    <n v="43"/>
    <n v="-15"/>
    <n v="40"/>
    <n v="0"/>
    <n v="60"/>
    <x v="12"/>
    <n v="300"/>
    <x v="1"/>
  </r>
  <r>
    <x v="12"/>
    <s v="Stefan Zaugg"/>
    <x v="1"/>
    <x v="80"/>
    <x v="80"/>
    <n v="5"/>
    <s v="ADET"/>
    <n v="0"/>
    <n v="85"/>
    <n v="43"/>
    <n v="-15"/>
    <n v="40"/>
    <n v="0"/>
    <n v="60"/>
    <x v="12"/>
    <n v="300"/>
    <x v="1"/>
  </r>
  <r>
    <x v="13"/>
    <s v="Volkan Batkan"/>
    <x v="1"/>
    <x v="80"/>
    <x v="80"/>
    <n v="3"/>
    <s v="ADET"/>
    <n v="0"/>
    <n v="85"/>
    <n v="43"/>
    <n v="-15"/>
    <n v="40"/>
    <n v="0"/>
    <n v="60"/>
    <x v="12"/>
    <n v="180"/>
    <x v="1"/>
  </r>
  <r>
    <x v="0"/>
    <s v="Matteo Giolo"/>
    <x v="1"/>
    <x v="79"/>
    <x v="79"/>
    <n v="2"/>
    <s v="ADET"/>
    <n v="0"/>
    <n v="14472"/>
    <n v="3376"/>
    <n v="-14340"/>
    <n v="0"/>
    <n v="0"/>
    <n v="0.04"/>
    <x v="6"/>
    <n v="0.08"/>
    <x v="1"/>
  </r>
  <r>
    <x v="1"/>
    <s v="Laurent MONTAGNER"/>
    <x v="1"/>
    <x v="75"/>
    <x v="75"/>
    <n v="70"/>
    <s v="ADET"/>
    <n v="0"/>
    <n v="4000"/>
    <n v="138"/>
    <n v="-2738"/>
    <n v="0"/>
    <n v="0"/>
    <n v="0.93"/>
    <x v="5"/>
    <n v="65.100000000000009"/>
    <x v="1"/>
  </r>
  <r>
    <x v="0"/>
    <s v="Matteo Giolo"/>
    <x v="1"/>
    <x v="80"/>
    <x v="80"/>
    <n v="3"/>
    <s v="ADET"/>
    <n v="0"/>
    <n v="85"/>
    <n v="43"/>
    <n v="-15"/>
    <n v="40"/>
    <n v="0"/>
    <n v="60"/>
    <x v="12"/>
    <n v="180"/>
    <x v="1"/>
  </r>
  <r>
    <x v="0"/>
    <s v="Matteo Giolo"/>
    <x v="1"/>
    <x v="81"/>
    <x v="81"/>
    <n v="1"/>
    <s v="ADET"/>
    <n v="0"/>
    <n v="2"/>
    <n v="8"/>
    <n v="0"/>
    <n v="11"/>
    <n v="0"/>
    <n v="675"/>
    <x v="20"/>
    <n v="675"/>
    <x v="2"/>
  </r>
  <r>
    <x v="4"/>
    <s v="Jan Urbanek"/>
    <x v="1"/>
    <x v="79"/>
    <x v="79"/>
    <n v="2"/>
    <s v="ADET"/>
    <n v="0"/>
    <n v="14472"/>
    <n v="3376"/>
    <n v="-14340"/>
    <n v="0"/>
    <n v="0"/>
    <n v="0.04"/>
    <x v="6"/>
    <n v="0.08"/>
    <x v="1"/>
  </r>
  <r>
    <x v="3"/>
    <s v="Jan Urbanek"/>
    <x v="1"/>
    <x v="79"/>
    <x v="79"/>
    <n v="2"/>
    <s v="ADET"/>
    <n v="0"/>
    <n v="14472"/>
    <n v="3376"/>
    <n v="-14340"/>
    <n v="0"/>
    <n v="0"/>
    <n v="0.04"/>
    <x v="6"/>
    <n v="0.08"/>
    <x v="1"/>
  </r>
  <r>
    <x v="2"/>
    <s v="Jan Urbanek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3"/>
    <s v="Jan Urbanek"/>
    <x v="1"/>
    <x v="80"/>
    <x v="80"/>
    <n v="3"/>
    <s v="ADET"/>
    <n v="0"/>
    <n v="85"/>
    <n v="43"/>
    <n v="-15"/>
    <n v="40"/>
    <n v="0"/>
    <n v="60"/>
    <x v="12"/>
    <n v="180"/>
    <x v="1"/>
  </r>
  <r>
    <x v="17"/>
    <s v="Soner Kayıkçı"/>
    <x v="1"/>
    <x v="23"/>
    <x v="23"/>
    <n v="1"/>
    <s v="M2"/>
    <n v="0"/>
    <n v="40"/>
    <n v="20"/>
    <n v="-35.625"/>
    <n v="0"/>
    <n v="0"/>
    <n v="54.17"/>
    <x v="10"/>
    <n v="54.17"/>
    <x v="3"/>
  </r>
  <r>
    <x v="19"/>
    <s v="Laurent MONTAGNER"/>
    <x v="1"/>
    <x v="83"/>
    <x v="83"/>
    <n v="15"/>
    <s v="METRE"/>
    <n v="0"/>
    <n v="0"/>
    <n v="0"/>
    <n v="58"/>
    <n v="200"/>
    <n v="232.57999999999998"/>
    <n v="4.01"/>
    <x v="28"/>
    <n v="60.15"/>
    <x v="6"/>
  </r>
  <r>
    <x v="13"/>
    <s v="Volkan Batkan"/>
    <x v="1"/>
    <x v="26"/>
    <x v="26"/>
    <n v="4"/>
    <s v="ADET"/>
    <n v="0"/>
    <n v="100"/>
    <n v="352"/>
    <n v="-28"/>
    <n v="0"/>
    <n v="0"/>
    <n v="6.4"/>
    <x v="5"/>
    <n v="25.6"/>
    <x v="4"/>
  </r>
  <r>
    <x v="10"/>
    <s v="Murat Taşdemir"/>
    <x v="1"/>
    <x v="130"/>
    <x v="130"/>
    <n v="10"/>
    <s v="METRE"/>
    <n v="0"/>
    <n v="0"/>
    <n v="0"/>
    <n v="-220"/>
    <n v="400"/>
    <n v="0"/>
    <n v="5"/>
    <x v="49"/>
    <n v="50"/>
    <x v="1"/>
  </r>
  <r>
    <x v="10"/>
    <s v="Murat Taşdemir"/>
    <x v="1"/>
    <x v="131"/>
    <x v="131"/>
    <n v="23"/>
    <s v="ADET"/>
    <n v="0"/>
    <n v="491"/>
    <n v="50"/>
    <n v="-133"/>
    <n v="0"/>
    <n v="0"/>
    <n v="10.65"/>
    <x v="5"/>
    <n v="244.95000000000002"/>
    <x v="1"/>
  </r>
  <r>
    <x v="9"/>
    <s v="Stefan Zaugg"/>
    <x v="1"/>
    <x v="130"/>
    <x v="130"/>
    <n v="10"/>
    <s v="METRE"/>
    <n v="0"/>
    <n v="0"/>
    <n v="0"/>
    <n v="-220"/>
    <n v="400"/>
    <n v="0"/>
    <n v="5"/>
    <x v="49"/>
    <n v="50"/>
    <x v="1"/>
  </r>
  <r>
    <x v="12"/>
    <s v="Stefan Zaugg"/>
    <x v="1"/>
    <x v="130"/>
    <x v="130"/>
    <n v="10"/>
    <s v="METRE"/>
    <n v="0"/>
    <n v="0"/>
    <n v="0"/>
    <n v="-220"/>
    <n v="400"/>
    <n v="0"/>
    <n v="5"/>
    <x v="49"/>
    <n v="50"/>
    <x v="1"/>
  </r>
  <r>
    <x v="14"/>
    <s v="Matteo Giolo"/>
    <x v="1"/>
    <x v="130"/>
    <x v="130"/>
    <n v="10"/>
    <s v="METRE"/>
    <n v="0"/>
    <n v="0"/>
    <n v="0"/>
    <n v="-220"/>
    <n v="400"/>
    <n v="0"/>
    <n v="5"/>
    <x v="49"/>
    <n v="50"/>
    <x v="1"/>
  </r>
  <r>
    <x v="9"/>
    <s v="Stefan Zaugg"/>
    <x v="1"/>
    <x v="131"/>
    <x v="131"/>
    <n v="25"/>
    <s v="ADET"/>
    <n v="0"/>
    <n v="491"/>
    <n v="50"/>
    <n v="-133"/>
    <n v="0"/>
    <n v="0"/>
    <n v="10.65"/>
    <x v="5"/>
    <n v="266.25"/>
    <x v="1"/>
  </r>
  <r>
    <x v="12"/>
    <s v="Stefan Zaugg"/>
    <x v="1"/>
    <x v="131"/>
    <x v="131"/>
    <n v="25"/>
    <s v="ADET"/>
    <n v="0"/>
    <n v="491"/>
    <n v="50"/>
    <n v="-133"/>
    <n v="0"/>
    <n v="0"/>
    <n v="10.65"/>
    <x v="5"/>
    <n v="266.25"/>
    <x v="1"/>
  </r>
  <r>
    <x v="14"/>
    <s v="Matteo Giolo"/>
    <x v="1"/>
    <x v="131"/>
    <x v="131"/>
    <n v="32"/>
    <s v="ADET"/>
    <n v="0"/>
    <n v="491"/>
    <n v="50"/>
    <n v="-133"/>
    <n v="0"/>
    <n v="0"/>
    <n v="10.65"/>
    <x v="5"/>
    <n v="340.8"/>
    <x v="1"/>
  </r>
  <r>
    <x v="15"/>
    <s v="Hayriye Güven"/>
    <x v="1"/>
    <x v="132"/>
    <x v="132"/>
    <n v="1"/>
    <s v="ADET"/>
    <n v="0"/>
    <n v="0"/>
    <n v="1"/>
    <n v="1"/>
    <n v="0"/>
    <n v="16009.7"/>
    <n v="16009.7"/>
    <x v="50"/>
    <n v="16009.7"/>
    <x v="2"/>
  </r>
  <r>
    <x v="11"/>
    <s v="Jan Urbanek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13"/>
    <s v="Volkan Batkan"/>
    <x v="1"/>
    <x v="131"/>
    <x v="131"/>
    <n v="8"/>
    <s v="ADET"/>
    <n v="0"/>
    <n v="491"/>
    <n v="50"/>
    <n v="-133"/>
    <n v="0"/>
    <n v="0"/>
    <n v="10.65"/>
    <x v="5"/>
    <n v="85.2"/>
    <x v="1"/>
  </r>
  <r>
    <x v="13"/>
    <s v="Volkan Batkan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14"/>
    <s v="Matteo Giolo"/>
    <x v="1"/>
    <x v="134"/>
    <x v="134"/>
    <n v="27"/>
    <s v="METRE"/>
    <n v="0"/>
    <n v="150"/>
    <n v="50"/>
    <n v="71"/>
    <n v="0"/>
    <n v="22720"/>
    <n v="320"/>
    <x v="21"/>
    <n v="8640"/>
    <x v="6"/>
  </r>
  <r>
    <x v="4"/>
    <s v="Jan Urbanek"/>
    <x v="1"/>
    <x v="130"/>
    <x v="130"/>
    <n v="10"/>
    <s v="METRE"/>
    <n v="0"/>
    <n v="0"/>
    <n v="0"/>
    <n v="-220"/>
    <n v="400"/>
    <n v="0"/>
    <n v="5"/>
    <x v="49"/>
    <n v="50"/>
    <x v="1"/>
  </r>
  <r>
    <x v="3"/>
    <s v="Jan Urbanek"/>
    <x v="1"/>
    <x v="130"/>
    <x v="130"/>
    <n v="10"/>
    <s v="METRE"/>
    <n v="0"/>
    <n v="0"/>
    <n v="0"/>
    <n v="-220"/>
    <n v="400"/>
    <n v="0"/>
    <n v="5"/>
    <x v="49"/>
    <n v="50"/>
    <x v="1"/>
  </r>
  <r>
    <x v="3"/>
    <s v="Jan Urbanek"/>
    <x v="1"/>
    <x v="131"/>
    <x v="131"/>
    <n v="8"/>
    <s v="ADET"/>
    <n v="0"/>
    <n v="491"/>
    <n v="50"/>
    <n v="-133"/>
    <n v="0"/>
    <n v="0"/>
    <n v="10.65"/>
    <x v="5"/>
    <n v="85.2"/>
    <x v="1"/>
  </r>
  <r>
    <x v="4"/>
    <s v="Jan Urbanek"/>
    <x v="1"/>
    <x v="131"/>
    <x v="131"/>
    <n v="11"/>
    <s v="ADET"/>
    <n v="0"/>
    <n v="491"/>
    <n v="50"/>
    <n v="-133"/>
    <n v="0"/>
    <n v="0"/>
    <n v="10.65"/>
    <x v="5"/>
    <n v="117.15"/>
    <x v="1"/>
  </r>
  <r>
    <x v="11"/>
    <s v="Jan Urbanek"/>
    <x v="1"/>
    <x v="135"/>
    <x v="135"/>
    <n v="1"/>
    <s v="ADET"/>
    <n v="0"/>
    <n v="7"/>
    <n v="4"/>
    <n v="5"/>
    <n v="0"/>
    <n v="11000"/>
    <n v="2200"/>
    <x v="52"/>
    <n v="2200"/>
    <x v="4"/>
  </r>
  <r>
    <x v="14"/>
    <s v="Matteo Giolo"/>
    <x v="1"/>
    <x v="135"/>
    <x v="135"/>
    <n v="1"/>
    <s v="ADET"/>
    <n v="0"/>
    <n v="7"/>
    <n v="4"/>
    <n v="5"/>
    <n v="0"/>
    <n v="11000"/>
    <n v="2200"/>
    <x v="52"/>
    <n v="2200"/>
    <x v="4"/>
  </r>
  <r>
    <x v="8"/>
    <s v="Jan Urbanek"/>
    <x v="1"/>
    <x v="130"/>
    <x v="130"/>
    <n v="10"/>
    <s v="METRE"/>
    <n v="0"/>
    <n v="0"/>
    <n v="0"/>
    <n v="-220"/>
    <n v="400"/>
    <n v="0"/>
    <n v="5"/>
    <x v="49"/>
    <n v="50"/>
    <x v="1"/>
  </r>
  <r>
    <x v="8"/>
    <s v="Jan Urbanek"/>
    <x v="1"/>
    <x v="131"/>
    <x v="131"/>
    <n v="11"/>
    <s v="ADET"/>
    <n v="0"/>
    <n v="491"/>
    <n v="50"/>
    <n v="-133"/>
    <n v="0"/>
    <n v="0"/>
    <n v="10.65"/>
    <x v="5"/>
    <n v="117.15"/>
    <x v="1"/>
  </r>
  <r>
    <x v="0"/>
    <s v="Matteo Giolo"/>
    <x v="1"/>
    <x v="130"/>
    <x v="130"/>
    <n v="10"/>
    <s v="METRE"/>
    <n v="0"/>
    <n v="0"/>
    <n v="0"/>
    <n v="-220"/>
    <n v="400"/>
    <n v="0"/>
    <n v="5"/>
    <x v="49"/>
    <n v="50"/>
    <x v="1"/>
  </r>
  <r>
    <x v="0"/>
    <s v="Matteo Giolo"/>
    <x v="1"/>
    <x v="131"/>
    <x v="131"/>
    <n v="8"/>
    <s v="ADET"/>
    <n v="0"/>
    <n v="491"/>
    <n v="50"/>
    <n v="-133"/>
    <n v="0"/>
    <n v="0"/>
    <n v="10.65"/>
    <x v="5"/>
    <n v="85.2"/>
    <x v="1"/>
  </r>
  <r>
    <x v="11"/>
    <s v="Jan Urbanek"/>
    <x v="1"/>
    <x v="130"/>
    <x v="130"/>
    <n v="10"/>
    <s v="METRE"/>
    <n v="0"/>
    <n v="0"/>
    <n v="0"/>
    <n v="-220"/>
    <n v="400"/>
    <n v="0"/>
    <n v="5"/>
    <x v="49"/>
    <n v="50"/>
    <x v="1"/>
  </r>
  <r>
    <x v="9"/>
    <s v="Stefan Zaugg"/>
    <x v="1"/>
    <x v="136"/>
    <x v="136"/>
    <n v="35"/>
    <s v="ADET"/>
    <n v="0"/>
    <n v="1000"/>
    <n v="3505"/>
    <n v="-914"/>
    <n v="0"/>
    <n v="0"/>
    <n v="0.63"/>
    <x v="5"/>
    <n v="22.05"/>
    <x v="1"/>
  </r>
  <r>
    <x v="12"/>
    <s v="Stefan Zaugg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1"/>
    <s v="Jan Urbanek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4"/>
    <s v="Matteo Giolo"/>
    <x v="1"/>
    <x v="99"/>
    <x v="99"/>
    <n v="0.18"/>
    <s v="ADET"/>
    <n v="0"/>
    <n v="0"/>
    <n v="-4.4408920985006262E-16"/>
    <n v="2.5820000000000007"/>
    <n v="0"/>
    <n v="4066.650000000001"/>
    <n v="1575"/>
    <x v="34"/>
    <n v="283.5"/>
    <x v="4"/>
  </r>
  <r>
    <x v="9"/>
    <s v="Stefan Zaugg"/>
    <x v="1"/>
    <x v="100"/>
    <x v="100"/>
    <n v="1"/>
    <s v="ADET"/>
    <n v="0"/>
    <n v="5"/>
    <n v="0"/>
    <n v="4.6000000000000032"/>
    <n v="5"/>
    <n v="5276.2000000000035"/>
    <n v="1147"/>
    <x v="35"/>
    <n v="1147"/>
    <x v="6"/>
  </r>
  <r>
    <x v="12"/>
    <s v="Stefan Zaugg"/>
    <x v="1"/>
    <x v="100"/>
    <x v="100"/>
    <n v="1"/>
    <s v="ADET"/>
    <n v="0"/>
    <n v="5"/>
    <n v="0"/>
    <n v="4.6000000000000032"/>
    <n v="5"/>
    <n v="5276.2000000000035"/>
    <n v="1147"/>
    <x v="35"/>
    <n v="1147"/>
    <x v="6"/>
  </r>
  <r>
    <x v="0"/>
    <s v="Matteo Giolo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0"/>
    <s v="Matteo Giolo"/>
    <x v="1"/>
    <x v="138"/>
    <x v="138"/>
    <n v="12"/>
    <s v="ADET"/>
    <n v="0"/>
    <n v="500"/>
    <n v="490"/>
    <n v="-294"/>
    <n v="0"/>
    <n v="0"/>
    <n v="1.6"/>
    <x v="2"/>
    <n v="19.200000000000003"/>
    <x v="1"/>
  </r>
  <r>
    <x v="8"/>
    <s v="Jan Urbanek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8"/>
    <s v="Jan Urbanek"/>
    <x v="1"/>
    <x v="138"/>
    <x v="138"/>
    <n v="20"/>
    <s v="ADET"/>
    <n v="0"/>
    <n v="500"/>
    <n v="490"/>
    <n v="-294"/>
    <n v="0"/>
    <n v="0"/>
    <n v="1.6"/>
    <x v="2"/>
    <n v="32"/>
    <x v="1"/>
  </r>
  <r>
    <x v="5"/>
    <s v="Matteo Giolo"/>
    <x v="1"/>
    <x v="139"/>
    <x v="139"/>
    <n v="4.5"/>
    <s v="METRE"/>
    <n v="0"/>
    <n v="50"/>
    <n v="0"/>
    <n v="-41"/>
    <n v="0"/>
    <n v="0"/>
    <n v="150"/>
    <x v="15"/>
    <n v="675"/>
    <x v="1"/>
  </r>
  <r>
    <x v="1"/>
    <s v="Laurent MONTAGNER"/>
    <x v="1"/>
    <x v="138"/>
    <x v="138"/>
    <n v="4"/>
    <s v="ADET"/>
    <n v="0"/>
    <n v="500"/>
    <n v="490"/>
    <n v="-294"/>
    <n v="0"/>
    <n v="0"/>
    <n v="1.6"/>
    <x v="2"/>
    <n v="6.4"/>
    <x v="1"/>
  </r>
  <r>
    <x v="7"/>
    <s v="Stina Alm"/>
    <x v="1"/>
    <x v="138"/>
    <x v="138"/>
    <n v="12"/>
    <s v="ADET"/>
    <n v="0"/>
    <n v="500"/>
    <n v="490"/>
    <n v="-294"/>
    <n v="0"/>
    <n v="0"/>
    <n v="1.6"/>
    <x v="2"/>
    <n v="19.200000000000003"/>
    <x v="1"/>
  </r>
  <r>
    <x v="4"/>
    <s v="Jan Urbanek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3"/>
    <s v="Jan Urbanek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2"/>
    <s v="Jan Urbanek"/>
    <x v="1"/>
    <x v="138"/>
    <x v="138"/>
    <n v="16"/>
    <s v="ADET"/>
    <n v="0"/>
    <n v="500"/>
    <n v="490"/>
    <n v="-294"/>
    <n v="0"/>
    <n v="0"/>
    <n v="1.6"/>
    <x v="2"/>
    <n v="25.6"/>
    <x v="1"/>
  </r>
  <r>
    <x v="3"/>
    <s v="Jan Urbanek"/>
    <x v="1"/>
    <x v="138"/>
    <x v="138"/>
    <n v="12"/>
    <s v="ADET"/>
    <n v="0"/>
    <n v="500"/>
    <n v="490"/>
    <n v="-294"/>
    <n v="0"/>
    <n v="0"/>
    <n v="1.6"/>
    <x v="2"/>
    <n v="19.200000000000003"/>
    <x v="1"/>
  </r>
  <r>
    <x v="9"/>
    <s v="Stefan Zaugg"/>
    <x v="1"/>
    <x v="140"/>
    <x v="140"/>
    <n v="4"/>
    <s v="ADET"/>
    <n v="0"/>
    <n v="634"/>
    <n v="0"/>
    <n v="-618"/>
    <n v="0"/>
    <n v="0"/>
    <n v="1"/>
    <x v="2"/>
    <n v="4"/>
    <x v="1"/>
  </r>
  <r>
    <x v="12"/>
    <s v="Stefan Zaugg"/>
    <x v="1"/>
    <x v="140"/>
    <x v="140"/>
    <n v="8"/>
    <s v="ADET"/>
    <n v="0"/>
    <n v="634"/>
    <n v="0"/>
    <n v="-618"/>
    <n v="0"/>
    <n v="0"/>
    <n v="1"/>
    <x v="2"/>
    <n v="8"/>
    <x v="1"/>
  </r>
  <r>
    <x v="6"/>
    <s v="Stefan Zaugg"/>
    <x v="1"/>
    <x v="140"/>
    <x v="140"/>
    <n v="4"/>
    <s v="ADET"/>
    <n v="0"/>
    <n v="634"/>
    <n v="0"/>
    <n v="-618"/>
    <n v="0"/>
    <n v="0"/>
    <n v="1"/>
    <x v="2"/>
    <n v="4"/>
    <x v="1"/>
  </r>
  <r>
    <x v="6"/>
    <s v="Stefan Zaugg"/>
    <x v="1"/>
    <x v="138"/>
    <x v="138"/>
    <n v="16"/>
    <s v="ADET"/>
    <n v="0"/>
    <n v="500"/>
    <n v="490"/>
    <n v="-294"/>
    <n v="0"/>
    <n v="0"/>
    <n v="1.6"/>
    <x v="2"/>
    <n v="25.6"/>
    <x v="1"/>
  </r>
  <r>
    <x v="5"/>
    <s v="Matteo Giolo"/>
    <x v="1"/>
    <x v="138"/>
    <x v="138"/>
    <n v="4"/>
    <s v="ADET"/>
    <n v="0"/>
    <n v="500"/>
    <n v="490"/>
    <n v="-294"/>
    <n v="0"/>
    <n v="0"/>
    <n v="1.6"/>
    <x v="2"/>
    <n v="6.4"/>
    <x v="1"/>
  </r>
  <r>
    <x v="2"/>
    <s v="Jan Urbanek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10"/>
    <s v="Murat Taşdemir"/>
    <x v="1"/>
    <x v="139"/>
    <x v="139"/>
    <n v="4.5"/>
    <s v="METRE"/>
    <n v="0"/>
    <n v="50"/>
    <n v="0"/>
    <n v="-41"/>
    <n v="0"/>
    <n v="0"/>
    <n v="150"/>
    <x v="15"/>
    <n v="675"/>
    <x v="1"/>
  </r>
  <r>
    <x v="10"/>
    <s v="Murat Taşdemir"/>
    <x v="1"/>
    <x v="138"/>
    <x v="138"/>
    <n v="6"/>
    <s v="ADET"/>
    <n v="0"/>
    <n v="500"/>
    <n v="490"/>
    <n v="-294"/>
    <n v="0"/>
    <n v="0"/>
    <n v="1.6"/>
    <x v="2"/>
    <n v="9.6000000000000014"/>
    <x v="1"/>
  </r>
  <r>
    <x v="4"/>
    <s v="Jan Urbanek"/>
    <x v="1"/>
    <x v="138"/>
    <x v="138"/>
    <n v="20"/>
    <s v="ADET"/>
    <n v="0"/>
    <n v="500"/>
    <n v="490"/>
    <n v="-294"/>
    <n v="0"/>
    <n v="0"/>
    <n v="1.6"/>
    <x v="2"/>
    <n v="32"/>
    <x v="1"/>
  </r>
  <r>
    <x v="11"/>
    <s v="Jan Urbanek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11"/>
    <s v="Jan Urbanek"/>
    <x v="1"/>
    <x v="131"/>
    <x v="131"/>
    <n v="8"/>
    <s v="ADET"/>
    <n v="0"/>
    <n v="491"/>
    <n v="50"/>
    <n v="-133"/>
    <n v="0"/>
    <n v="0"/>
    <n v="10.65"/>
    <x v="5"/>
    <n v="85.2"/>
    <x v="1"/>
  </r>
  <r>
    <x v="9"/>
    <s v="Stefan Zaugg"/>
    <x v="1"/>
    <x v="134"/>
    <x v="134"/>
    <n v="21"/>
    <s v="METRE"/>
    <n v="0"/>
    <n v="150"/>
    <n v="50"/>
    <n v="71"/>
    <n v="0"/>
    <n v="22720"/>
    <n v="320"/>
    <x v="21"/>
    <n v="6720"/>
    <x v="6"/>
  </r>
  <r>
    <x v="11"/>
    <s v="Jan Urbanek"/>
    <x v="1"/>
    <x v="141"/>
    <x v="141"/>
    <n v="2"/>
    <s v="ADET"/>
    <n v="0"/>
    <n v="23"/>
    <n v="22"/>
    <n v="-9"/>
    <n v="10"/>
    <n v="0"/>
    <n v="71.77"/>
    <x v="43"/>
    <n v="143.54"/>
    <x v="7"/>
  </r>
  <r>
    <x v="14"/>
    <s v="Matteo Giolo"/>
    <x v="1"/>
    <x v="141"/>
    <x v="141"/>
    <n v="2"/>
    <s v="ADET"/>
    <n v="0"/>
    <n v="23"/>
    <n v="22"/>
    <n v="-9"/>
    <n v="10"/>
    <n v="0"/>
    <n v="71.77"/>
    <x v="43"/>
    <n v="143.54"/>
    <x v="7"/>
  </r>
  <r>
    <x v="7"/>
    <s v="Stina Alm"/>
    <x v="1"/>
    <x v="142"/>
    <x v="142"/>
    <n v="1"/>
    <s v="ADET"/>
    <n v="0"/>
    <n v="13"/>
    <n v="6"/>
    <n v="-10"/>
    <n v="0"/>
    <n v="0"/>
    <n v="344.14"/>
    <x v="54"/>
    <n v="344.14"/>
    <x v="1"/>
  </r>
  <r>
    <x v="6"/>
    <s v="Stefan Zaugg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"/>
    <s v="Laurent MONTAGNER"/>
    <x v="1"/>
    <x v="143"/>
    <x v="143"/>
    <n v="0.1"/>
    <s v="ADET"/>
    <n v="0"/>
    <n v="1"/>
    <n v="0.93000000000000205"/>
    <n v="0.26000000000000023"/>
    <n v="0"/>
    <n v="396.50000000000034"/>
    <n v="1525"/>
    <x v="2"/>
    <n v="152.5"/>
    <x v="1"/>
  </r>
  <r>
    <x v="3"/>
    <s v="Jan Urbanek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2"/>
    <s v="Jan Urbanek"/>
    <x v="1"/>
    <x v="144"/>
    <x v="144"/>
    <n v="1"/>
    <s v="ADET"/>
    <n v="0"/>
    <n v="14"/>
    <n v="1"/>
    <n v="-7"/>
    <n v="0"/>
    <n v="0"/>
    <n v="458.33"/>
    <x v="1"/>
    <n v="458.33"/>
    <x v="2"/>
  </r>
  <r>
    <x v="0"/>
    <s v="Matteo Giolo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8"/>
    <s v="Jan Urbanek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0"/>
    <s v="Matteo Giolo"/>
    <x v="1"/>
    <x v="144"/>
    <x v="144"/>
    <n v="1"/>
    <s v="ADET"/>
    <n v="0"/>
    <n v="14"/>
    <n v="1"/>
    <n v="-7"/>
    <n v="0"/>
    <n v="0"/>
    <n v="458.33"/>
    <x v="1"/>
    <n v="458.33"/>
    <x v="2"/>
  </r>
  <r>
    <x v="4"/>
    <s v="Jan Urbanek"/>
    <x v="1"/>
    <x v="144"/>
    <x v="144"/>
    <n v="1"/>
    <s v="ADET"/>
    <n v="0"/>
    <n v="14"/>
    <n v="1"/>
    <n v="-7"/>
    <n v="0"/>
    <n v="0"/>
    <n v="458.33"/>
    <x v="1"/>
    <n v="458.33"/>
    <x v="2"/>
  </r>
  <r>
    <x v="3"/>
    <s v="Jan Urbanek"/>
    <x v="1"/>
    <x v="144"/>
    <x v="144"/>
    <n v="1"/>
    <s v="ADET"/>
    <n v="0"/>
    <n v="14"/>
    <n v="1"/>
    <n v="-7"/>
    <n v="0"/>
    <n v="0"/>
    <n v="458.33"/>
    <x v="1"/>
    <n v="458.33"/>
    <x v="2"/>
  </r>
  <r>
    <x v="5"/>
    <s v="Matteo Giolo"/>
    <x v="1"/>
    <x v="143"/>
    <x v="143"/>
    <n v="0.11000000000000001"/>
    <s v="ADET"/>
    <n v="0"/>
    <n v="1"/>
    <n v="0.93000000000000205"/>
    <n v="0.26000000000000023"/>
    <n v="0"/>
    <n v="396.50000000000034"/>
    <n v="1525"/>
    <x v="2"/>
    <n v="167.75000000000003"/>
    <x v="1"/>
  </r>
  <r>
    <x v="2"/>
    <s v="Jan Urbanek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3"/>
    <s v="Volkan Batkan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1"/>
    <s v="Jan Urbanek"/>
    <x v="1"/>
    <x v="145"/>
    <x v="145"/>
    <n v="0.01"/>
    <s v="ADET"/>
    <n v="0"/>
    <n v="6"/>
    <n v="22.53"/>
    <n v="-5.5"/>
    <n v="0"/>
    <n v="0"/>
    <n v="133"/>
    <x v="55"/>
    <n v="1.33"/>
    <x v="3"/>
  </r>
  <r>
    <x v="9"/>
    <s v="Stefan Zaugg"/>
    <x v="1"/>
    <x v="146"/>
    <x v="146"/>
    <n v="6"/>
    <s v="ADET"/>
    <n v="0"/>
    <n v="84"/>
    <n v="36"/>
    <n v="22"/>
    <n v="0"/>
    <n v="440"/>
    <n v="20"/>
    <x v="2"/>
    <n v="120"/>
    <x v="4"/>
  </r>
  <r>
    <x v="10"/>
    <s v="Murat Taşdemir"/>
    <x v="1"/>
    <x v="146"/>
    <x v="146"/>
    <n v="6"/>
    <s v="ADET"/>
    <n v="0"/>
    <n v="84"/>
    <n v="36"/>
    <n v="22"/>
    <n v="0"/>
    <n v="440"/>
    <n v="20"/>
    <x v="2"/>
    <n v="120"/>
    <x v="4"/>
  </r>
  <r>
    <x v="13"/>
    <s v="Volkan Batkan"/>
    <x v="1"/>
    <x v="147"/>
    <x v="147"/>
    <n v="1"/>
    <s v="METRE"/>
    <n v="0"/>
    <n v="6400"/>
    <n v="186.49999999999994"/>
    <n v="-6392"/>
    <n v="0"/>
    <n v="0"/>
    <n v="2.1"/>
    <x v="6"/>
    <n v="2.1"/>
    <x v="7"/>
  </r>
  <r>
    <x v="14"/>
    <s v="Matteo Giolo"/>
    <x v="1"/>
    <x v="142"/>
    <x v="142"/>
    <n v="1"/>
    <s v="ADET"/>
    <n v="0"/>
    <n v="13"/>
    <n v="6"/>
    <n v="-10"/>
    <n v="0"/>
    <n v="0"/>
    <n v="344.14"/>
    <x v="54"/>
    <n v="344.14"/>
    <x v="1"/>
  </r>
  <r>
    <x v="9"/>
    <s v="Stefan Zaugg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2"/>
    <s v="Stefan Zaugg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4"/>
    <s v="Matteo Giolo"/>
    <x v="1"/>
    <x v="143"/>
    <x v="143"/>
    <n v="0.1"/>
    <s v="ADET"/>
    <n v="0"/>
    <n v="1"/>
    <n v="0.93000000000000205"/>
    <n v="0.26000000000000023"/>
    <n v="0"/>
    <n v="396.50000000000034"/>
    <n v="1525"/>
    <x v="2"/>
    <n v="152.5"/>
    <x v="1"/>
  </r>
  <r>
    <x v="11"/>
    <s v="Jan Urbanek"/>
    <x v="1"/>
    <x v="144"/>
    <x v="144"/>
    <n v="1"/>
    <s v="ADET"/>
    <n v="0"/>
    <n v="14"/>
    <n v="1"/>
    <n v="-7"/>
    <n v="0"/>
    <n v="0"/>
    <n v="458.33"/>
    <x v="1"/>
    <n v="458.33"/>
    <x v="2"/>
  </r>
  <r>
    <x v="4"/>
    <s v="Jan Urbanek"/>
    <x v="1"/>
    <x v="80"/>
    <x v="80"/>
    <n v="3"/>
    <s v="ADET"/>
    <n v="0"/>
    <n v="85"/>
    <n v="43"/>
    <n v="-15"/>
    <n v="40"/>
    <n v="0"/>
    <n v="60"/>
    <x v="12"/>
    <n v="180"/>
    <x v="1"/>
  </r>
  <r>
    <x v="2"/>
    <s v="Jan Urbanek"/>
    <x v="1"/>
    <x v="81"/>
    <x v="81"/>
    <n v="1"/>
    <s v="ADET"/>
    <n v="0"/>
    <n v="2"/>
    <n v="8"/>
    <n v="0"/>
    <n v="11"/>
    <n v="0"/>
    <n v="675"/>
    <x v="20"/>
    <n v="675"/>
    <x v="2"/>
  </r>
  <r>
    <x v="3"/>
    <s v="Jan Urbanek"/>
    <x v="1"/>
    <x v="81"/>
    <x v="81"/>
    <n v="1"/>
    <s v="ADET"/>
    <n v="0"/>
    <n v="2"/>
    <n v="8"/>
    <n v="0"/>
    <n v="11"/>
    <n v="0"/>
    <n v="675"/>
    <x v="20"/>
    <n v="675"/>
    <x v="2"/>
  </r>
  <r>
    <x v="4"/>
    <s v="Jan Urbanek"/>
    <x v="1"/>
    <x v="81"/>
    <x v="81"/>
    <n v="1"/>
    <s v="ADET"/>
    <n v="0"/>
    <n v="2"/>
    <n v="8"/>
    <n v="0"/>
    <n v="11"/>
    <n v="0"/>
    <n v="675"/>
    <x v="20"/>
    <n v="675"/>
    <x v="2"/>
  </r>
  <r>
    <x v="2"/>
    <s v="Jan Urbanek"/>
    <x v="1"/>
    <x v="76"/>
    <x v="76"/>
    <n v="1"/>
    <s v="ADET"/>
    <n v="0"/>
    <n v="2"/>
    <n v="4"/>
    <n v="5"/>
    <n v="0"/>
    <n v="37250"/>
    <n v="7450"/>
    <x v="26"/>
    <n v="7450"/>
    <x v="2"/>
  </r>
  <r>
    <x v="2"/>
    <s v="Jan Urbanek"/>
    <x v="1"/>
    <x v="82"/>
    <x v="82"/>
    <n v="1"/>
    <s v="ADET"/>
    <n v="0"/>
    <n v="12"/>
    <n v="13"/>
    <n v="-5"/>
    <n v="0"/>
    <n v="0"/>
    <n v="28339.38"/>
    <x v="27"/>
    <n v="28339.38"/>
    <x v="2"/>
  </r>
  <r>
    <x v="4"/>
    <s v="Jan Urbanek"/>
    <x v="1"/>
    <x v="77"/>
    <x v="77"/>
    <n v="0.05"/>
    <s v="KG"/>
    <n v="0"/>
    <n v="1.8"/>
    <n v="0.84999999999999831"/>
    <n v="-3.25"/>
    <n v="1.75"/>
    <n v="0"/>
    <n v="645.64"/>
    <x v="8"/>
    <n v="32.282000000000004"/>
    <x v="3"/>
  </r>
  <r>
    <x v="14"/>
    <s v="Matteo Giolo"/>
    <x v="1"/>
    <x v="75"/>
    <x v="75"/>
    <n v="70"/>
    <s v="ADET"/>
    <n v="0"/>
    <n v="4000"/>
    <n v="138"/>
    <n v="-2738"/>
    <n v="0"/>
    <n v="0"/>
    <n v="0.93"/>
    <x v="5"/>
    <n v="65.100000000000009"/>
    <x v="1"/>
  </r>
  <r>
    <x v="11"/>
    <s v="Jan Urbanek"/>
    <x v="1"/>
    <x v="80"/>
    <x v="80"/>
    <n v="3"/>
    <s v="ADET"/>
    <n v="0"/>
    <n v="85"/>
    <n v="43"/>
    <n v="-15"/>
    <n v="40"/>
    <n v="0"/>
    <n v="60"/>
    <x v="12"/>
    <n v="180"/>
    <x v="1"/>
  </r>
  <r>
    <x v="9"/>
    <s v="Stefan Zaugg"/>
    <x v="1"/>
    <x v="53"/>
    <x v="53"/>
    <n v="2.1"/>
    <s v="KG"/>
    <n v="2.1"/>
    <n v="66"/>
    <n v="36.349999999999952"/>
    <n v="-17.090000000000018"/>
    <n v="0"/>
    <n v="0"/>
    <n v="129.63"/>
    <x v="2"/>
    <n v="272.22300000000001"/>
    <x v="3"/>
  </r>
  <r>
    <x v="10"/>
    <s v="Murat Taşdemir"/>
    <x v="1"/>
    <x v="53"/>
    <x v="53"/>
    <n v="8.9"/>
    <s v="KG"/>
    <n v="0"/>
    <n v="66"/>
    <n v="36.349999999999952"/>
    <n v="-17.090000000000018"/>
    <n v="0"/>
    <n v="0"/>
    <n v="129.63"/>
    <x v="2"/>
    <n v="1153.7070000000001"/>
    <x v="3"/>
  </r>
  <r>
    <x v="10"/>
    <s v="Murat Taşdemir"/>
    <x v="1"/>
    <x v="55"/>
    <x v="55"/>
    <n v="8"/>
    <s v="ADET"/>
    <n v="0"/>
    <n v="250"/>
    <n v="3"/>
    <n v="-166"/>
    <n v="0"/>
    <n v="0"/>
    <n v="2"/>
    <x v="6"/>
    <n v="16"/>
    <x v="1"/>
  </r>
  <r>
    <x v="9"/>
    <s v="Stefan Zaugg"/>
    <x v="1"/>
    <x v="148"/>
    <x v="148"/>
    <n v="4"/>
    <s v="ADET"/>
    <n v="0"/>
    <n v="250"/>
    <n v="835"/>
    <n v="-134"/>
    <n v="0"/>
    <n v="0"/>
    <n v="1.58"/>
    <x v="5"/>
    <n v="6.32"/>
    <x v="1"/>
  </r>
  <r>
    <x v="12"/>
    <s v="Stefan Zaugg"/>
    <x v="1"/>
    <x v="148"/>
    <x v="148"/>
    <n v="4"/>
    <s v="ADET"/>
    <n v="0"/>
    <n v="250"/>
    <n v="835"/>
    <n v="-134"/>
    <n v="0"/>
    <n v="0"/>
    <n v="1.58"/>
    <x v="5"/>
    <n v="6.32"/>
    <x v="1"/>
  </r>
  <r>
    <x v="14"/>
    <s v="Matteo Giolo"/>
    <x v="1"/>
    <x v="55"/>
    <x v="55"/>
    <n v="8"/>
    <s v="ADET"/>
    <n v="0"/>
    <n v="250"/>
    <n v="3"/>
    <n v="-166"/>
    <n v="0"/>
    <n v="0"/>
    <n v="2"/>
    <x v="6"/>
    <n v="16"/>
    <x v="1"/>
  </r>
  <r>
    <x v="3"/>
    <s v="Jan Urbanek"/>
    <x v="1"/>
    <x v="47"/>
    <x v="47"/>
    <n v="2"/>
    <s v="ADET"/>
    <n v="0"/>
    <n v="20"/>
    <n v="34"/>
    <n v="18"/>
    <n v="0"/>
    <n v="1476"/>
    <n v="82"/>
    <x v="19"/>
    <n v="164"/>
    <x v="5"/>
  </r>
  <r>
    <x v="4"/>
    <s v="Jan Urbanek"/>
    <x v="1"/>
    <x v="47"/>
    <x v="47"/>
    <n v="2"/>
    <s v="ADET"/>
    <n v="0"/>
    <n v="20"/>
    <n v="34"/>
    <n v="18"/>
    <n v="0"/>
    <n v="1476"/>
    <n v="82"/>
    <x v="19"/>
    <n v="164"/>
    <x v="5"/>
  </r>
  <r>
    <x v="2"/>
    <s v="Jan Urbanek"/>
    <x v="1"/>
    <x v="49"/>
    <x v="49"/>
    <n v="1"/>
    <s v="ADET"/>
    <n v="0"/>
    <n v="25"/>
    <n v="18"/>
    <n v="-6"/>
    <n v="0"/>
    <n v="0"/>
    <n v="225"/>
    <x v="14"/>
    <n v="225"/>
    <x v="1"/>
  </r>
  <r>
    <x v="4"/>
    <s v="Jan Urbanek"/>
    <x v="1"/>
    <x v="49"/>
    <x v="49"/>
    <n v="1"/>
    <s v="ADET"/>
    <n v="0"/>
    <n v="25"/>
    <n v="18"/>
    <n v="-6"/>
    <n v="0"/>
    <n v="0"/>
    <n v="225"/>
    <x v="14"/>
    <n v="225"/>
    <x v="1"/>
  </r>
  <r>
    <x v="3"/>
    <s v="Jan Urbanek"/>
    <x v="1"/>
    <x v="49"/>
    <x v="49"/>
    <n v="1"/>
    <s v="ADET"/>
    <n v="0"/>
    <n v="25"/>
    <n v="18"/>
    <n v="-6"/>
    <n v="0"/>
    <n v="0"/>
    <n v="225"/>
    <x v="14"/>
    <n v="225"/>
    <x v="1"/>
  </r>
  <r>
    <x v="2"/>
    <s v="Jan Urbanek"/>
    <x v="1"/>
    <x v="51"/>
    <x v="51"/>
    <n v="1"/>
    <s v="ADET"/>
    <n v="0"/>
    <n v="0"/>
    <n v="5"/>
    <n v="0"/>
    <n v="7"/>
    <n v="0"/>
    <n v="1491.67"/>
    <x v="20"/>
    <n v="1491.67"/>
    <x v="2"/>
  </r>
  <r>
    <x v="4"/>
    <s v="Jan Urbanek"/>
    <x v="1"/>
    <x v="51"/>
    <x v="51"/>
    <n v="1"/>
    <s v="ADET"/>
    <n v="0"/>
    <n v="0"/>
    <n v="5"/>
    <n v="0"/>
    <n v="7"/>
    <n v="0"/>
    <n v="1491.67"/>
    <x v="20"/>
    <n v="1491.67"/>
    <x v="2"/>
  </r>
  <r>
    <x v="3"/>
    <s v="Jan Urbanek"/>
    <x v="1"/>
    <x v="51"/>
    <x v="51"/>
    <n v="1"/>
    <s v="ADET"/>
    <n v="0"/>
    <n v="0"/>
    <n v="5"/>
    <n v="0"/>
    <n v="7"/>
    <n v="0"/>
    <n v="1491.67"/>
    <x v="20"/>
    <n v="1491.67"/>
    <x v="2"/>
  </r>
  <r>
    <x v="4"/>
    <s v="Jan Urbanek"/>
    <x v="1"/>
    <x v="52"/>
    <x v="52"/>
    <n v="35.279999999999994"/>
    <s v="KG"/>
    <n v="0"/>
    <n v="289.7"/>
    <n v="148.12000000000026"/>
    <n v="-230.76999999999987"/>
    <n v="289.7"/>
    <n v="0"/>
    <n v="96.37"/>
    <x v="8"/>
    <n v="3399.9335999999994"/>
    <x v="3"/>
  </r>
  <r>
    <x v="6"/>
    <s v="Stefan Zaugg"/>
    <x v="1"/>
    <x v="47"/>
    <x v="47"/>
    <n v="2"/>
    <s v="ADET"/>
    <n v="0"/>
    <n v="20"/>
    <n v="34"/>
    <n v="18"/>
    <n v="0"/>
    <n v="1476"/>
    <n v="82"/>
    <x v="19"/>
    <n v="164"/>
    <x v="5"/>
  </r>
  <r>
    <x v="8"/>
    <s v="Jan Urbanek"/>
    <x v="1"/>
    <x v="47"/>
    <x v="47"/>
    <n v="2"/>
    <s v="ADET"/>
    <n v="0"/>
    <n v="20"/>
    <n v="34"/>
    <n v="18"/>
    <n v="0"/>
    <n v="1476"/>
    <n v="82"/>
    <x v="19"/>
    <n v="164"/>
    <x v="5"/>
  </r>
  <r>
    <x v="3"/>
    <s v="Jan Urbanek"/>
    <x v="0"/>
    <x v="48"/>
    <x v="48"/>
    <n v="1"/>
    <s v="ADET"/>
    <n v="0"/>
    <n v="11"/>
    <n v="8"/>
    <n v="2"/>
    <n v="0"/>
    <n v="0"/>
    <m/>
    <x v="0"/>
    <m/>
    <x v="0"/>
  </r>
  <r>
    <x v="4"/>
    <s v="Jan Urbanek"/>
    <x v="0"/>
    <x v="48"/>
    <x v="48"/>
    <n v="1"/>
    <s v="ADET"/>
    <n v="0"/>
    <n v="11"/>
    <n v="8"/>
    <n v="2"/>
    <n v="0"/>
    <n v="0"/>
    <m/>
    <x v="0"/>
    <m/>
    <x v="0"/>
  </r>
  <r>
    <x v="8"/>
    <s v="Jan Urbanek"/>
    <x v="1"/>
    <x v="49"/>
    <x v="49"/>
    <n v="1"/>
    <s v="ADET"/>
    <n v="0"/>
    <n v="25"/>
    <n v="18"/>
    <n v="-6"/>
    <n v="0"/>
    <n v="0"/>
    <n v="225"/>
    <x v="14"/>
    <n v="225"/>
    <x v="1"/>
  </r>
  <r>
    <x v="8"/>
    <s v="Jan Urbanek"/>
    <x v="1"/>
    <x v="51"/>
    <x v="51"/>
    <n v="1"/>
    <s v="ADET"/>
    <n v="0"/>
    <n v="0"/>
    <n v="5"/>
    <n v="0"/>
    <n v="7"/>
    <n v="0"/>
    <n v="1491.67"/>
    <x v="20"/>
    <n v="1491.67"/>
    <x v="2"/>
  </r>
  <r>
    <x v="8"/>
    <s v="Jan Urbanek"/>
    <x v="1"/>
    <x v="52"/>
    <x v="52"/>
    <n v="35.28"/>
    <s v="KG"/>
    <n v="0"/>
    <n v="289.7"/>
    <n v="148.12000000000026"/>
    <n v="-230.76999999999987"/>
    <n v="289.7"/>
    <n v="0"/>
    <n v="96.37"/>
    <x v="8"/>
    <n v="3399.9336000000003"/>
    <x v="3"/>
  </r>
  <r>
    <x v="4"/>
    <s v="Jan Urbanek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0"/>
    <s v="Matteo Giolo"/>
    <x v="1"/>
    <x v="47"/>
    <x v="47"/>
    <n v="2"/>
    <s v="ADET"/>
    <n v="0"/>
    <n v="20"/>
    <n v="34"/>
    <n v="18"/>
    <n v="0"/>
    <n v="1476"/>
    <n v="82"/>
    <x v="19"/>
    <n v="164"/>
    <x v="5"/>
  </r>
  <r>
    <x v="5"/>
    <s v="Matteo Giolo"/>
    <x v="0"/>
    <x v="48"/>
    <x v="48"/>
    <n v="1"/>
    <s v="ADET"/>
    <n v="0"/>
    <n v="11"/>
    <n v="8"/>
    <n v="2"/>
    <n v="0"/>
    <n v="0"/>
    <m/>
    <x v="0"/>
    <m/>
    <x v="0"/>
  </r>
  <r>
    <x v="0"/>
    <s v="Matteo Giolo"/>
    <x v="1"/>
    <x v="49"/>
    <x v="49"/>
    <n v="1"/>
    <s v="ADET"/>
    <n v="0"/>
    <n v="25"/>
    <n v="18"/>
    <n v="-6"/>
    <n v="0"/>
    <n v="0"/>
    <n v="225"/>
    <x v="14"/>
    <n v="225"/>
    <x v="1"/>
  </r>
  <r>
    <x v="10"/>
    <s v="Murat Taşdemir"/>
    <x v="1"/>
    <x v="47"/>
    <x v="47"/>
    <n v="2"/>
    <s v="ADET"/>
    <n v="0"/>
    <n v="20"/>
    <n v="34"/>
    <n v="18"/>
    <n v="0"/>
    <n v="1476"/>
    <n v="82"/>
    <x v="19"/>
    <n v="164"/>
    <x v="5"/>
  </r>
  <r>
    <x v="11"/>
    <s v="Jan Urbanek"/>
    <x v="1"/>
    <x v="49"/>
    <x v="49"/>
    <n v="1"/>
    <s v="ADET"/>
    <n v="0"/>
    <n v="25"/>
    <n v="18"/>
    <n v="-6"/>
    <n v="0"/>
    <n v="0"/>
    <n v="225"/>
    <x v="14"/>
    <n v="225"/>
    <x v="1"/>
  </r>
  <r>
    <x v="11"/>
    <s v="Jan Urbanek"/>
    <x v="1"/>
    <x v="51"/>
    <x v="51"/>
    <n v="1"/>
    <s v="ADET"/>
    <n v="0"/>
    <n v="0"/>
    <n v="5"/>
    <n v="0"/>
    <n v="7"/>
    <n v="0"/>
    <n v="1491.67"/>
    <x v="20"/>
    <n v="1491.67"/>
    <x v="2"/>
  </r>
  <r>
    <x v="11"/>
    <s v="Jan Urbanek"/>
    <x v="1"/>
    <x v="81"/>
    <x v="81"/>
    <n v="1"/>
    <s v="ADET"/>
    <n v="0"/>
    <n v="2"/>
    <n v="8"/>
    <n v="0"/>
    <n v="11"/>
    <n v="0"/>
    <n v="675"/>
    <x v="20"/>
    <n v="675"/>
    <x v="2"/>
  </r>
  <r>
    <x v="14"/>
    <s v="Matteo Giolo"/>
    <x v="1"/>
    <x v="81"/>
    <x v="81"/>
    <n v="1"/>
    <s v="ADET"/>
    <n v="0"/>
    <n v="2"/>
    <n v="8"/>
    <n v="0"/>
    <n v="11"/>
    <n v="0"/>
    <n v="675"/>
    <x v="20"/>
    <n v="675"/>
    <x v="2"/>
  </r>
  <r>
    <x v="14"/>
    <s v="Matteo Giolo"/>
    <x v="1"/>
    <x v="82"/>
    <x v="82"/>
    <n v="1"/>
    <s v="ADET"/>
    <n v="0"/>
    <n v="12"/>
    <n v="13"/>
    <n v="-5"/>
    <n v="0"/>
    <n v="0"/>
    <n v="28339.38"/>
    <x v="27"/>
    <n v="28339.38"/>
    <x v="2"/>
  </r>
  <r>
    <x v="12"/>
    <s v="Stefan Zaugg"/>
    <x v="1"/>
    <x v="77"/>
    <x v="77"/>
    <n v="0.2"/>
    <s v="KG"/>
    <n v="0.2"/>
    <n v="1.8"/>
    <n v="0.84999999999999831"/>
    <n v="-3.25"/>
    <n v="1.75"/>
    <n v="0"/>
    <n v="645.64"/>
    <x v="8"/>
    <n v="129.12800000000001"/>
    <x v="3"/>
  </r>
  <r>
    <x v="11"/>
    <s v="Jan Urbanek"/>
    <x v="1"/>
    <x v="77"/>
    <x v="77"/>
    <n v="0.05"/>
    <s v="KG"/>
    <n v="0"/>
    <n v="1.8"/>
    <n v="0.84999999999999831"/>
    <n v="-3.25"/>
    <n v="1.75"/>
    <n v="0"/>
    <n v="645.64"/>
    <x v="8"/>
    <n v="32.282000000000004"/>
    <x v="3"/>
  </r>
  <r>
    <x v="14"/>
    <s v="Matteo Giolo"/>
    <x v="1"/>
    <x v="78"/>
    <x v="78"/>
    <n v="1.9259999999999999"/>
    <s v="KG"/>
    <n v="0"/>
    <n v="0"/>
    <n v="65.031000000000006"/>
    <n v="17.948000000000004"/>
    <n v="0"/>
    <n v="6991.2844400000013"/>
    <n v="389.53"/>
    <x v="8"/>
    <n v="750.23477999999989"/>
    <x v="3"/>
  </r>
  <r>
    <x v="9"/>
    <s v="Stefan Zaugg"/>
    <x v="1"/>
    <x v="149"/>
    <x v="149"/>
    <n v="1"/>
    <s v="ADET"/>
    <n v="1"/>
    <n v="10"/>
    <n v="2"/>
    <n v="-10"/>
    <n v="0"/>
    <n v="0"/>
    <n v="3400"/>
    <x v="52"/>
    <n v="3400"/>
    <x v="4"/>
  </r>
  <r>
    <x v="11"/>
    <s v="Jan Urbanek"/>
    <x v="1"/>
    <x v="150"/>
    <x v="150"/>
    <n v="2"/>
    <s v="ADET"/>
    <n v="0"/>
    <n v="69"/>
    <n v="22"/>
    <n v="-38"/>
    <n v="0"/>
    <n v="0"/>
    <n v="640"/>
    <x v="29"/>
    <n v="1280"/>
    <x v="7"/>
  </r>
  <r>
    <x v="14"/>
    <s v="Matteo Giolo"/>
    <x v="1"/>
    <x v="150"/>
    <x v="150"/>
    <n v="2"/>
    <s v="ADET"/>
    <n v="0"/>
    <n v="69"/>
    <n v="22"/>
    <n v="-38"/>
    <n v="0"/>
    <n v="0"/>
    <n v="640"/>
    <x v="29"/>
    <n v="1280"/>
    <x v="7"/>
  </r>
  <r>
    <x v="13"/>
    <s v="Volkan Batkan"/>
    <x v="1"/>
    <x v="151"/>
    <x v="151"/>
    <n v="2"/>
    <s v="ADET"/>
    <n v="0"/>
    <n v="238"/>
    <n v="90"/>
    <n v="-200"/>
    <n v="0"/>
    <n v="0"/>
    <n v="4"/>
    <x v="29"/>
    <n v="8"/>
    <x v="7"/>
  </r>
  <r>
    <x v="14"/>
    <s v="Matteo Giolo"/>
    <x v="1"/>
    <x v="152"/>
    <x v="152"/>
    <n v="1"/>
    <s v="ADET"/>
    <n v="0"/>
    <n v="10"/>
    <n v="12"/>
    <n v="-1"/>
    <n v="4"/>
    <n v="0"/>
    <n v="1600"/>
    <x v="56"/>
    <n v="1600"/>
    <x v="7"/>
  </r>
  <r>
    <x v="17"/>
    <s v="Soner Kayıkçı"/>
    <x v="1"/>
    <x v="79"/>
    <x v="79"/>
    <n v="2"/>
    <s v="ADET"/>
    <n v="0"/>
    <n v="14472"/>
    <n v="3376"/>
    <n v="-14340"/>
    <n v="0"/>
    <n v="0"/>
    <n v="0.04"/>
    <x v="6"/>
    <n v="0.08"/>
    <x v="1"/>
  </r>
  <r>
    <x v="9"/>
    <s v="Stefan Zaugg"/>
    <x v="1"/>
    <x v="75"/>
    <x v="75"/>
    <n v="58"/>
    <s v="ADET"/>
    <n v="0"/>
    <n v="4000"/>
    <n v="138"/>
    <n v="-2738"/>
    <n v="0"/>
    <n v="0"/>
    <n v="0.93"/>
    <x v="5"/>
    <n v="53.940000000000005"/>
    <x v="1"/>
  </r>
  <r>
    <x v="12"/>
    <s v="Stefan Zaugg"/>
    <x v="1"/>
    <x v="75"/>
    <x v="75"/>
    <n v="58"/>
    <s v="ADET"/>
    <n v="0"/>
    <n v="4000"/>
    <n v="138"/>
    <n v="-2738"/>
    <n v="0"/>
    <n v="0"/>
    <n v="0.93"/>
    <x v="5"/>
    <n v="53.940000000000005"/>
    <x v="1"/>
  </r>
  <r>
    <x v="10"/>
    <s v="Murat Taşdemir"/>
    <x v="1"/>
    <x v="80"/>
    <x v="80"/>
    <n v="7"/>
    <s v="ADET"/>
    <n v="0"/>
    <n v="85"/>
    <n v="43"/>
    <n v="-15"/>
    <n v="40"/>
    <n v="0"/>
    <n v="60"/>
    <x v="12"/>
    <n v="420"/>
    <x v="1"/>
  </r>
  <r>
    <x v="10"/>
    <s v="Murat Taşdemir"/>
    <x v="1"/>
    <x v="81"/>
    <x v="81"/>
    <n v="1"/>
    <s v="ADET"/>
    <n v="0"/>
    <n v="2"/>
    <n v="8"/>
    <n v="0"/>
    <n v="11"/>
    <n v="0"/>
    <n v="675"/>
    <x v="20"/>
    <n v="675"/>
    <x v="2"/>
  </r>
  <r>
    <x v="9"/>
    <s v="Stefan Zaugg"/>
    <x v="1"/>
    <x v="76"/>
    <x v="76"/>
    <n v="1"/>
    <s v="ADET"/>
    <n v="1"/>
    <n v="2"/>
    <n v="4"/>
    <n v="5"/>
    <n v="0"/>
    <n v="37250"/>
    <n v="7450"/>
    <x v="26"/>
    <n v="7450"/>
    <x v="2"/>
  </r>
  <r>
    <x v="12"/>
    <s v="Stefan Zaugg"/>
    <x v="1"/>
    <x v="76"/>
    <x v="76"/>
    <n v="1"/>
    <s v="ADET"/>
    <n v="1"/>
    <n v="2"/>
    <n v="4"/>
    <n v="5"/>
    <n v="0"/>
    <n v="37250"/>
    <n v="7450"/>
    <x v="26"/>
    <n v="7450"/>
    <x v="2"/>
  </r>
  <r>
    <x v="11"/>
    <s v="Jan Urbanek"/>
    <x v="1"/>
    <x v="128"/>
    <x v="128"/>
    <n v="1"/>
    <s v="ADET"/>
    <n v="0"/>
    <n v="0"/>
    <n v="4"/>
    <n v="0"/>
    <n v="20"/>
    <n v="0"/>
    <n v="28000"/>
    <x v="48"/>
    <n v="28000"/>
    <x v="7"/>
  </r>
  <r>
    <x v="3"/>
    <s v="Jan Urbanek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4"/>
    <s v="Jan Urbanek"/>
    <x v="1"/>
    <x v="121"/>
    <x v="121"/>
    <n v="7"/>
    <s v="ADET"/>
    <n v="7"/>
    <n v="230"/>
    <n v="72"/>
    <n v="-172"/>
    <n v="0"/>
    <n v="0"/>
    <n v="225"/>
    <x v="45"/>
    <n v="1575"/>
    <x v="2"/>
  </r>
  <r>
    <x v="6"/>
    <s v="Stefan Zaugg"/>
    <x v="1"/>
    <x v="153"/>
    <x v="153"/>
    <n v="3"/>
    <s v="ADET"/>
    <n v="0"/>
    <n v="1800"/>
    <n v="773"/>
    <n v="-1570"/>
    <n v="0"/>
    <n v="0"/>
    <n v="0.8"/>
    <x v="2"/>
    <n v="2.4000000000000004"/>
    <x v="1"/>
  </r>
  <r>
    <x v="1"/>
    <s v="Laurent MONTAGNER"/>
    <x v="1"/>
    <x v="153"/>
    <x v="153"/>
    <n v="21"/>
    <s v="ADET"/>
    <n v="0"/>
    <n v="1800"/>
    <n v="773"/>
    <n v="-1570"/>
    <n v="0"/>
    <n v="0"/>
    <n v="0.8"/>
    <x v="2"/>
    <n v="16.8"/>
    <x v="1"/>
  </r>
  <r>
    <x v="7"/>
    <s v="Stina Alm"/>
    <x v="1"/>
    <x v="153"/>
    <x v="153"/>
    <n v="18"/>
    <s v="ADET"/>
    <n v="0"/>
    <n v="1800"/>
    <n v="773"/>
    <n v="-1570"/>
    <n v="0"/>
    <n v="0"/>
    <n v="0.8"/>
    <x v="2"/>
    <n v="14.4"/>
    <x v="1"/>
  </r>
  <r>
    <x v="5"/>
    <s v="Matteo Giolo"/>
    <x v="1"/>
    <x v="154"/>
    <x v="154"/>
    <n v="1"/>
    <s v="ADET"/>
    <n v="0"/>
    <n v="5"/>
    <n v="2"/>
    <n v="-1"/>
    <n v="0"/>
    <n v="0"/>
    <n v="7450"/>
    <x v="26"/>
    <n v="7450"/>
    <x v="2"/>
  </r>
  <r>
    <x v="3"/>
    <s v="Jan Urbanek"/>
    <x v="1"/>
    <x v="153"/>
    <x v="153"/>
    <n v="10"/>
    <s v="ADET"/>
    <n v="0"/>
    <n v="1800"/>
    <n v="773"/>
    <n v="-1570"/>
    <n v="0"/>
    <n v="0"/>
    <n v="0.8"/>
    <x v="2"/>
    <n v="8"/>
    <x v="1"/>
  </r>
  <r>
    <x v="4"/>
    <s v="Jan Urbanek"/>
    <x v="1"/>
    <x v="153"/>
    <x v="153"/>
    <n v="10"/>
    <s v="ADET"/>
    <n v="0"/>
    <n v="1800"/>
    <n v="773"/>
    <n v="-1570"/>
    <n v="0"/>
    <n v="0"/>
    <n v="0.8"/>
    <x v="2"/>
    <n v="8"/>
    <x v="1"/>
  </r>
  <r>
    <x v="2"/>
    <s v="Jan Urbanek"/>
    <x v="1"/>
    <x v="155"/>
    <x v="155"/>
    <n v="1"/>
    <s v="ADET"/>
    <n v="0"/>
    <n v="38"/>
    <n v="10"/>
    <n v="-22"/>
    <n v="0"/>
    <n v="0"/>
    <n v="95"/>
    <x v="56"/>
    <n v="95"/>
    <x v="1"/>
  </r>
  <r>
    <x v="9"/>
    <s v="Stefan Zaugg"/>
    <x v="1"/>
    <x v="153"/>
    <x v="153"/>
    <n v="3"/>
    <s v="ADET"/>
    <n v="0"/>
    <n v="1800"/>
    <n v="773"/>
    <n v="-1570"/>
    <n v="0"/>
    <n v="0"/>
    <n v="0.8"/>
    <x v="2"/>
    <n v="2.4000000000000004"/>
    <x v="1"/>
  </r>
  <r>
    <x v="12"/>
    <s v="Stefan Zaugg"/>
    <x v="1"/>
    <x v="153"/>
    <x v="153"/>
    <n v="3"/>
    <s v="ADET"/>
    <n v="0"/>
    <n v="1800"/>
    <n v="773"/>
    <n v="-1570"/>
    <n v="0"/>
    <n v="0"/>
    <n v="0.8"/>
    <x v="2"/>
    <n v="2.4000000000000004"/>
    <x v="1"/>
  </r>
  <r>
    <x v="8"/>
    <s v="Jan Urbanek"/>
    <x v="1"/>
    <x v="153"/>
    <x v="153"/>
    <n v="10"/>
    <s v="ADET"/>
    <n v="0"/>
    <n v="1800"/>
    <n v="773"/>
    <n v="-1570"/>
    <n v="0"/>
    <n v="0"/>
    <n v="0.8"/>
    <x v="2"/>
    <n v="8"/>
    <x v="1"/>
  </r>
  <r>
    <x v="13"/>
    <s v="Volkan Batkan"/>
    <x v="1"/>
    <x v="153"/>
    <x v="153"/>
    <n v="10"/>
    <s v="ADET"/>
    <n v="0"/>
    <n v="1800"/>
    <n v="773"/>
    <n v="-1570"/>
    <n v="0"/>
    <n v="0"/>
    <n v="0.8"/>
    <x v="2"/>
    <n v="8"/>
    <x v="1"/>
  </r>
  <r>
    <x v="0"/>
    <s v="Matteo Giolo"/>
    <x v="1"/>
    <x v="155"/>
    <x v="155"/>
    <n v="1"/>
    <s v="ADET"/>
    <n v="0"/>
    <n v="38"/>
    <n v="10"/>
    <n v="-22"/>
    <n v="0"/>
    <n v="0"/>
    <n v="95"/>
    <x v="56"/>
    <n v="95"/>
    <x v="1"/>
  </r>
  <r>
    <x v="4"/>
    <s v="Jan Urbanek"/>
    <x v="1"/>
    <x v="155"/>
    <x v="155"/>
    <n v="1"/>
    <s v="ADET"/>
    <n v="0"/>
    <n v="38"/>
    <n v="10"/>
    <n v="-22"/>
    <n v="0"/>
    <n v="0"/>
    <n v="95"/>
    <x v="56"/>
    <n v="95"/>
    <x v="1"/>
  </r>
  <r>
    <x v="3"/>
    <s v="Jan Urbanek"/>
    <x v="1"/>
    <x v="155"/>
    <x v="155"/>
    <n v="1"/>
    <s v="ADET"/>
    <n v="0"/>
    <n v="38"/>
    <n v="10"/>
    <n v="-22"/>
    <n v="0"/>
    <n v="0"/>
    <n v="95"/>
    <x v="56"/>
    <n v="95"/>
    <x v="1"/>
  </r>
  <r>
    <x v="11"/>
    <s v="Jan Urbanek"/>
    <x v="1"/>
    <x v="153"/>
    <x v="153"/>
    <n v="10"/>
    <s v="ADET"/>
    <n v="0"/>
    <n v="1800"/>
    <n v="773"/>
    <n v="-1570"/>
    <n v="0"/>
    <n v="0"/>
    <n v="0.8"/>
    <x v="2"/>
    <n v="8"/>
    <x v="1"/>
  </r>
  <r>
    <x v="5"/>
    <s v="Matteo Giolo"/>
    <x v="1"/>
    <x v="153"/>
    <x v="153"/>
    <n v="22"/>
    <s v="ADET"/>
    <n v="0"/>
    <n v="1800"/>
    <n v="773"/>
    <n v="-1570"/>
    <n v="0"/>
    <n v="0"/>
    <n v="0.8"/>
    <x v="2"/>
    <n v="17.600000000000001"/>
    <x v="1"/>
  </r>
  <r>
    <x v="7"/>
    <s v="Stina Alm"/>
    <x v="1"/>
    <x v="155"/>
    <x v="155"/>
    <n v="2"/>
    <s v="ADET"/>
    <n v="0"/>
    <n v="38"/>
    <n v="10"/>
    <n v="-22"/>
    <n v="0"/>
    <n v="0"/>
    <n v="95"/>
    <x v="56"/>
    <n v="190"/>
    <x v="1"/>
  </r>
  <r>
    <x v="5"/>
    <s v="Matteo Giolo"/>
    <x v="1"/>
    <x v="155"/>
    <x v="155"/>
    <n v="1"/>
    <s v="ADET"/>
    <n v="0"/>
    <n v="38"/>
    <n v="10"/>
    <n v="-22"/>
    <n v="0"/>
    <n v="0"/>
    <n v="95"/>
    <x v="56"/>
    <n v="95"/>
    <x v="1"/>
  </r>
  <r>
    <x v="2"/>
    <s v="Jan Urbanek"/>
    <x v="1"/>
    <x v="153"/>
    <x v="153"/>
    <n v="10"/>
    <s v="ADET"/>
    <n v="0"/>
    <n v="1800"/>
    <n v="773"/>
    <n v="-1570"/>
    <n v="0"/>
    <n v="0"/>
    <n v="0.8"/>
    <x v="2"/>
    <n v="8"/>
    <x v="1"/>
  </r>
  <r>
    <x v="8"/>
    <s v="Jan Urbanek"/>
    <x v="1"/>
    <x v="155"/>
    <x v="155"/>
    <n v="1"/>
    <s v="ADET"/>
    <n v="0"/>
    <n v="38"/>
    <n v="10"/>
    <n v="-22"/>
    <n v="0"/>
    <n v="0"/>
    <n v="95"/>
    <x v="56"/>
    <n v="95"/>
    <x v="1"/>
  </r>
  <r>
    <x v="10"/>
    <s v="Murat Taşdemir"/>
    <x v="1"/>
    <x v="153"/>
    <x v="153"/>
    <n v="2"/>
    <s v="ADET"/>
    <n v="0"/>
    <n v="1800"/>
    <n v="773"/>
    <n v="-1570"/>
    <n v="0"/>
    <n v="0"/>
    <n v="0.8"/>
    <x v="2"/>
    <n v="1.6"/>
    <x v="1"/>
  </r>
  <r>
    <x v="9"/>
    <s v="Stefan Zaugg"/>
    <x v="1"/>
    <x v="155"/>
    <x v="155"/>
    <n v="1"/>
    <s v="ADET"/>
    <n v="1"/>
    <n v="38"/>
    <n v="10"/>
    <n v="-22"/>
    <n v="0"/>
    <n v="0"/>
    <n v="95"/>
    <x v="56"/>
    <n v="95"/>
    <x v="1"/>
  </r>
  <r>
    <x v="13"/>
    <s v="Volkan Batkan"/>
    <x v="1"/>
    <x v="155"/>
    <x v="155"/>
    <n v="1"/>
    <s v="ADET"/>
    <n v="1"/>
    <n v="38"/>
    <n v="10"/>
    <n v="-22"/>
    <n v="0"/>
    <n v="0"/>
    <n v="95"/>
    <x v="56"/>
    <n v="95"/>
    <x v="1"/>
  </r>
  <r>
    <x v="14"/>
    <s v="Matteo Giolo"/>
    <x v="1"/>
    <x v="155"/>
    <x v="155"/>
    <n v="2"/>
    <s v="ADET"/>
    <n v="0"/>
    <n v="38"/>
    <n v="10"/>
    <n v="-22"/>
    <n v="0"/>
    <n v="0"/>
    <n v="95"/>
    <x v="56"/>
    <n v="190"/>
    <x v="1"/>
  </r>
  <r>
    <x v="14"/>
    <s v="Matteo Giolo"/>
    <x v="1"/>
    <x v="153"/>
    <x v="153"/>
    <n v="18"/>
    <s v="ADET"/>
    <n v="0"/>
    <n v="1800"/>
    <n v="773"/>
    <n v="-1570"/>
    <n v="0"/>
    <n v="0"/>
    <n v="0.8"/>
    <x v="2"/>
    <n v="14.4"/>
    <x v="1"/>
  </r>
  <r>
    <x v="11"/>
    <s v="Jan Urbanek"/>
    <x v="1"/>
    <x v="155"/>
    <x v="155"/>
    <n v="1"/>
    <s v="ADET"/>
    <n v="0"/>
    <n v="38"/>
    <n v="10"/>
    <n v="-22"/>
    <n v="0"/>
    <n v="0"/>
    <n v="95"/>
    <x v="56"/>
    <n v="95"/>
    <x v="1"/>
  </r>
  <r>
    <x v="11"/>
    <s v="Jan Urbanek"/>
    <x v="1"/>
    <x v="156"/>
    <x v="156"/>
    <n v="0.02"/>
    <s v="KG"/>
    <n v="0"/>
    <n v="3"/>
    <n v="-2.2204460492503131E-16"/>
    <n v="-2.75"/>
    <n v="0"/>
    <n v="0"/>
    <n v="148.31"/>
    <x v="6"/>
    <n v="2.9662000000000002"/>
    <x v="3"/>
  </r>
  <r>
    <x v="9"/>
    <s v="Stefan Zaugg"/>
    <x v="1"/>
    <x v="157"/>
    <x v="157"/>
    <n v="0.75"/>
    <s v="METRE"/>
    <n v="0"/>
    <n v="0"/>
    <n v="0"/>
    <n v="0.75"/>
    <n v="0"/>
    <n v="74.25"/>
    <n v="99"/>
    <x v="6"/>
    <n v="74.25"/>
    <x v="6"/>
  </r>
  <r>
    <x v="6"/>
    <s v="Stefan Zaugg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5"/>
    <s v="Matteo Giolo"/>
    <x v="1"/>
    <x v="120"/>
    <x v="120"/>
    <n v="26"/>
    <s v="ADET"/>
    <n v="0"/>
    <n v="1100"/>
    <n v="780"/>
    <n v="-832"/>
    <n v="0"/>
    <n v="0"/>
    <n v="0.32"/>
    <x v="2"/>
    <n v="8.32"/>
    <x v="1"/>
  </r>
  <r>
    <x v="10"/>
    <s v="Murat Taşdemir"/>
    <x v="1"/>
    <x v="120"/>
    <x v="120"/>
    <n v="6"/>
    <s v="ADET"/>
    <n v="0"/>
    <n v="1100"/>
    <n v="780"/>
    <n v="-832"/>
    <n v="0"/>
    <n v="0"/>
    <n v="0.32"/>
    <x v="2"/>
    <n v="1.92"/>
    <x v="1"/>
  </r>
  <r>
    <x v="10"/>
    <s v="Murat Taşdemir"/>
    <x v="1"/>
    <x v="124"/>
    <x v="124"/>
    <n v="2"/>
    <s v="ADET"/>
    <n v="0"/>
    <n v="222"/>
    <n v="90"/>
    <n v="-184"/>
    <n v="0"/>
    <n v="0"/>
    <n v="4"/>
    <x v="29"/>
    <n v="8"/>
    <x v="7"/>
  </r>
  <r>
    <x v="11"/>
    <s v="Jan Urbanek"/>
    <x v="1"/>
    <x v="127"/>
    <x v="127"/>
    <n v="1.5"/>
    <s v="ADET"/>
    <n v="0"/>
    <n v="14"/>
    <n v="6.7999999999999972"/>
    <n v="7.7000000000000028"/>
    <n v="12"/>
    <n v="2532.1450000000009"/>
    <n v="328.85"/>
    <x v="47"/>
    <n v="493.27500000000003"/>
    <x v="3"/>
  </r>
  <r>
    <x v="14"/>
    <s v="Matteo Giolo"/>
    <x v="1"/>
    <x v="127"/>
    <x v="127"/>
    <n v="4"/>
    <s v="ADET"/>
    <n v="0"/>
    <n v="14"/>
    <n v="6.7999999999999972"/>
    <n v="7.7000000000000028"/>
    <n v="12"/>
    <n v="2532.1450000000009"/>
    <n v="328.85"/>
    <x v="47"/>
    <n v="1315.4"/>
    <x v="3"/>
  </r>
  <r>
    <x v="14"/>
    <s v="Matteo Giolo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9"/>
    <s v="Stefan Zaugg"/>
    <x v="1"/>
    <x v="128"/>
    <x v="128"/>
    <n v="2"/>
    <s v="ADET"/>
    <n v="0"/>
    <n v="0"/>
    <n v="4"/>
    <n v="0"/>
    <n v="20"/>
    <n v="0"/>
    <n v="28000"/>
    <x v="48"/>
    <n v="56000"/>
    <x v="7"/>
  </r>
  <r>
    <x v="12"/>
    <s v="Stefan Zaugg"/>
    <x v="1"/>
    <x v="128"/>
    <x v="128"/>
    <n v="2"/>
    <s v="ADET"/>
    <n v="2"/>
    <n v="0"/>
    <n v="4"/>
    <n v="0"/>
    <n v="20"/>
    <n v="0"/>
    <n v="28000"/>
    <x v="48"/>
    <n v="56000"/>
    <x v="7"/>
  </r>
  <r>
    <x v="2"/>
    <s v="Jan Urbanek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2"/>
    <s v="Jan Urbanek"/>
    <x v="1"/>
    <x v="121"/>
    <x v="121"/>
    <n v="7"/>
    <s v="ADET"/>
    <n v="0"/>
    <n v="230"/>
    <n v="72"/>
    <n v="-172"/>
    <n v="0"/>
    <n v="0"/>
    <n v="225"/>
    <x v="45"/>
    <n v="1575"/>
    <x v="2"/>
  </r>
  <r>
    <x v="6"/>
    <s v="Stefan Zaugg"/>
    <x v="1"/>
    <x v="159"/>
    <x v="159"/>
    <n v="2"/>
    <s v="ADET"/>
    <n v="2"/>
    <n v="3"/>
    <n v="6"/>
    <n v="-3"/>
    <n v="0"/>
    <n v="0"/>
    <n v="100"/>
    <x v="14"/>
    <n v="200"/>
    <x v="1"/>
  </r>
  <r>
    <x v="9"/>
    <s v="Stefan Zaugg"/>
    <x v="1"/>
    <x v="160"/>
    <x v="160"/>
    <n v="5"/>
    <s v="ADET"/>
    <n v="0"/>
    <n v="39"/>
    <n v="36"/>
    <n v="63"/>
    <n v="0"/>
    <n v="6615"/>
    <n v="105"/>
    <x v="58"/>
    <n v="525"/>
    <x v="4"/>
  </r>
  <r>
    <x v="12"/>
    <s v="Stefan Zaugg"/>
    <x v="1"/>
    <x v="160"/>
    <x v="160"/>
    <n v="5"/>
    <s v="ADET"/>
    <n v="0"/>
    <n v="39"/>
    <n v="36"/>
    <n v="63"/>
    <n v="0"/>
    <n v="6615"/>
    <n v="105"/>
    <x v="58"/>
    <n v="525"/>
    <x v="4"/>
  </r>
  <r>
    <x v="13"/>
    <s v="Volkan Batkan"/>
    <x v="1"/>
    <x v="160"/>
    <x v="160"/>
    <n v="5"/>
    <s v="ADET"/>
    <n v="0"/>
    <n v="39"/>
    <n v="36"/>
    <n v="63"/>
    <n v="0"/>
    <n v="6615"/>
    <n v="105"/>
    <x v="58"/>
    <n v="525"/>
    <x v="4"/>
  </r>
  <r>
    <x v="9"/>
    <s v="Stefan Zaugg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2"/>
    <s v="Stefan Zaugg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3"/>
    <s v="Volkan Batkan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0"/>
    <s v="Murat Taşdemir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9"/>
    <s v="Stefan Zaugg"/>
    <x v="1"/>
    <x v="163"/>
    <x v="163"/>
    <n v="5.0999999999999996"/>
    <s v="METRE"/>
    <n v="0"/>
    <n v="100"/>
    <n v="1.9999999999999432"/>
    <n v="-6.4000000000000057"/>
    <n v="0"/>
    <n v="0"/>
    <n v="111"/>
    <x v="23"/>
    <n v="566.09999999999991"/>
    <x v="7"/>
  </r>
  <r>
    <x v="12"/>
    <s v="Stefan Zaugg"/>
    <x v="1"/>
    <x v="163"/>
    <x v="163"/>
    <n v="5.0999999999999996"/>
    <s v="METRE"/>
    <n v="0"/>
    <n v="100"/>
    <n v="1.9999999999999432"/>
    <n v="-6.4000000000000057"/>
    <n v="0"/>
    <n v="0"/>
    <n v="111"/>
    <x v="23"/>
    <n v="566.09999999999991"/>
    <x v="7"/>
  </r>
  <r>
    <x v="4"/>
    <s v="Jan Urbanek"/>
    <x v="1"/>
    <x v="123"/>
    <x v="123"/>
    <n v="1"/>
    <s v="ADET"/>
    <n v="0"/>
    <n v="87"/>
    <n v="50.899999999999977"/>
    <n v="-42.900000000000006"/>
    <n v="0"/>
    <n v="0"/>
    <n v="122.09"/>
    <x v="11"/>
    <n v="122.09"/>
    <x v="1"/>
  </r>
  <r>
    <x v="2"/>
    <s v="Jan Urbanek"/>
    <x v="1"/>
    <x v="124"/>
    <x v="124"/>
    <n v="2"/>
    <s v="ADET"/>
    <n v="0"/>
    <n v="222"/>
    <n v="90"/>
    <n v="-184"/>
    <n v="0"/>
    <n v="0"/>
    <n v="4"/>
    <x v="29"/>
    <n v="8"/>
    <x v="7"/>
  </r>
  <r>
    <x v="0"/>
    <s v="Matteo Giolo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0"/>
    <s v="Murat Taşdemir"/>
    <x v="1"/>
    <x v="160"/>
    <x v="160"/>
    <n v="5"/>
    <s v="ADET"/>
    <n v="0"/>
    <n v="39"/>
    <n v="36"/>
    <n v="63"/>
    <n v="0"/>
    <n v="6615"/>
    <n v="105"/>
    <x v="58"/>
    <n v="525"/>
    <x v="4"/>
  </r>
  <r>
    <x v="15"/>
    <s v="Hayriye Güven"/>
    <x v="1"/>
    <x v="150"/>
    <x v="150"/>
    <n v="3"/>
    <s v="ADET"/>
    <n v="0"/>
    <n v="69"/>
    <n v="22"/>
    <n v="-38"/>
    <n v="0"/>
    <n v="0"/>
    <n v="640"/>
    <x v="29"/>
    <n v="1920"/>
    <x v="7"/>
  </r>
  <r>
    <x v="10"/>
    <s v="Murat Taşdemir"/>
    <x v="1"/>
    <x v="150"/>
    <x v="150"/>
    <n v="2"/>
    <s v="ADET"/>
    <n v="0"/>
    <n v="69"/>
    <n v="22"/>
    <n v="-38"/>
    <n v="0"/>
    <n v="0"/>
    <n v="640"/>
    <x v="29"/>
    <n v="1280"/>
    <x v="7"/>
  </r>
  <r>
    <x v="9"/>
    <s v="Stefan Zaugg"/>
    <x v="1"/>
    <x v="151"/>
    <x v="151"/>
    <n v="2"/>
    <s v="ADET"/>
    <n v="0"/>
    <n v="238"/>
    <n v="90"/>
    <n v="-200"/>
    <n v="0"/>
    <n v="0"/>
    <n v="4"/>
    <x v="29"/>
    <n v="8"/>
    <x v="7"/>
  </r>
  <r>
    <x v="12"/>
    <s v="Stefan Zaugg"/>
    <x v="1"/>
    <x v="151"/>
    <x v="151"/>
    <n v="2"/>
    <s v="ADET"/>
    <n v="0"/>
    <n v="238"/>
    <n v="90"/>
    <n v="-200"/>
    <n v="0"/>
    <n v="0"/>
    <n v="4"/>
    <x v="29"/>
    <n v="8"/>
    <x v="7"/>
  </r>
  <r>
    <x v="14"/>
    <s v="Matteo Giolo"/>
    <x v="1"/>
    <x v="151"/>
    <x v="151"/>
    <n v="2"/>
    <s v="ADET"/>
    <n v="0"/>
    <n v="238"/>
    <n v="90"/>
    <n v="-200"/>
    <n v="0"/>
    <n v="0"/>
    <n v="4"/>
    <x v="29"/>
    <n v="8"/>
    <x v="7"/>
  </r>
  <r>
    <x v="10"/>
    <s v="Murat Taşdemir"/>
    <x v="1"/>
    <x v="152"/>
    <x v="152"/>
    <n v="1"/>
    <s v="ADET"/>
    <n v="0"/>
    <n v="10"/>
    <n v="12"/>
    <n v="-1"/>
    <n v="4"/>
    <n v="0"/>
    <n v="1600"/>
    <x v="56"/>
    <n v="1600"/>
    <x v="7"/>
  </r>
  <r>
    <x v="9"/>
    <s v="Stefan Zaugg"/>
    <x v="1"/>
    <x v="81"/>
    <x v="81"/>
    <n v="1"/>
    <s v="ADET"/>
    <n v="1"/>
    <n v="2"/>
    <n v="8"/>
    <n v="0"/>
    <n v="11"/>
    <n v="0"/>
    <n v="675"/>
    <x v="20"/>
    <n v="675"/>
    <x v="2"/>
  </r>
  <r>
    <x v="12"/>
    <s v="Stefan Zaugg"/>
    <x v="1"/>
    <x v="81"/>
    <x v="81"/>
    <n v="1"/>
    <s v="ADET"/>
    <n v="1"/>
    <n v="2"/>
    <n v="8"/>
    <n v="0"/>
    <n v="11"/>
    <n v="0"/>
    <n v="675"/>
    <x v="20"/>
    <n v="675"/>
    <x v="2"/>
  </r>
  <r>
    <x v="11"/>
    <s v="Jan Urbanek"/>
    <x v="1"/>
    <x v="76"/>
    <x v="76"/>
    <n v="1"/>
    <s v="ADET"/>
    <n v="0"/>
    <n v="2"/>
    <n v="4"/>
    <n v="5"/>
    <n v="0"/>
    <n v="37250"/>
    <n v="7450"/>
    <x v="26"/>
    <n v="7450"/>
    <x v="2"/>
  </r>
  <r>
    <x v="11"/>
    <s v="Jan Urbanek"/>
    <x v="1"/>
    <x v="82"/>
    <x v="82"/>
    <n v="1"/>
    <s v="ADET"/>
    <n v="0"/>
    <n v="12"/>
    <n v="13"/>
    <n v="-5"/>
    <n v="0"/>
    <n v="0"/>
    <n v="28339.38"/>
    <x v="27"/>
    <n v="28339.38"/>
    <x v="2"/>
  </r>
  <r>
    <x v="10"/>
    <s v="Murat Taşdemir"/>
    <x v="1"/>
    <x v="148"/>
    <x v="148"/>
    <n v="12"/>
    <s v="ADET"/>
    <n v="0"/>
    <n v="250"/>
    <n v="835"/>
    <n v="-134"/>
    <n v="0"/>
    <n v="0"/>
    <n v="1.58"/>
    <x v="5"/>
    <n v="18.96"/>
    <x v="1"/>
  </r>
  <r>
    <x v="2"/>
    <s v="Jan Urbanek"/>
    <x v="1"/>
    <x v="47"/>
    <x v="47"/>
    <n v="2"/>
    <s v="ADET"/>
    <n v="0"/>
    <n v="20"/>
    <n v="34"/>
    <n v="18"/>
    <n v="0"/>
    <n v="1476"/>
    <n v="82"/>
    <x v="19"/>
    <n v="164"/>
    <x v="5"/>
  </r>
  <r>
    <x v="2"/>
    <s v="Jan Urbanek"/>
    <x v="0"/>
    <x v="48"/>
    <x v="48"/>
    <n v="1"/>
    <s v="ADET"/>
    <n v="0"/>
    <n v="11"/>
    <n v="8"/>
    <n v="2"/>
    <n v="0"/>
    <n v="0"/>
    <m/>
    <x v="0"/>
    <m/>
    <x v="0"/>
  </r>
  <r>
    <x v="2"/>
    <s v="Jan Urbanek"/>
    <x v="1"/>
    <x v="52"/>
    <x v="52"/>
    <n v="34.869999999999997"/>
    <s v="KG"/>
    <n v="0"/>
    <n v="289.7"/>
    <n v="148.12000000000026"/>
    <n v="-230.76999999999987"/>
    <n v="289.7"/>
    <n v="0"/>
    <n v="96.37"/>
    <x v="8"/>
    <n v="3360.4218999999998"/>
    <x v="3"/>
  </r>
  <r>
    <x v="2"/>
    <s v="Jan Urbanek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3"/>
    <s v="Jan Urbanek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1"/>
    <s v="Laurent MONTAGNER"/>
    <x v="1"/>
    <x v="47"/>
    <x v="47"/>
    <n v="2"/>
    <s v="ADET"/>
    <n v="0"/>
    <n v="20"/>
    <n v="34"/>
    <n v="18"/>
    <n v="0"/>
    <n v="1476"/>
    <n v="82"/>
    <x v="19"/>
    <n v="164"/>
    <x v="5"/>
  </r>
  <r>
    <x v="0"/>
    <s v="Matteo Giolo"/>
    <x v="0"/>
    <x v="48"/>
    <x v="48"/>
    <n v="1"/>
    <s v="ADET"/>
    <n v="0"/>
    <n v="11"/>
    <n v="8"/>
    <n v="2"/>
    <n v="0"/>
    <n v="0"/>
    <m/>
    <x v="0"/>
    <m/>
    <x v="0"/>
  </r>
  <r>
    <x v="11"/>
    <s v="Jan Urbanek"/>
    <x v="1"/>
    <x v="164"/>
    <x v="164"/>
    <n v="14"/>
    <s v="ADET"/>
    <n v="0"/>
    <n v="2700"/>
    <n v="0"/>
    <n v="-2314"/>
    <n v="0"/>
    <n v="0"/>
    <n v="1.55"/>
    <x v="29"/>
    <n v="21.7"/>
    <x v="7"/>
  </r>
  <r>
    <x v="2"/>
    <s v="Jan Urbanek"/>
    <x v="1"/>
    <x v="55"/>
    <x v="55"/>
    <n v="2"/>
    <s v="ADET"/>
    <n v="0"/>
    <n v="250"/>
    <n v="3"/>
    <n v="-166"/>
    <n v="0"/>
    <n v="0"/>
    <n v="2"/>
    <x v="6"/>
    <n v="4"/>
    <x v="1"/>
  </r>
  <r>
    <x v="3"/>
    <s v="Jan Urbanek"/>
    <x v="1"/>
    <x v="55"/>
    <x v="55"/>
    <n v="2"/>
    <s v="ADET"/>
    <n v="0"/>
    <n v="250"/>
    <n v="3"/>
    <n v="-166"/>
    <n v="0"/>
    <n v="0"/>
    <n v="2"/>
    <x v="6"/>
    <n v="4"/>
    <x v="1"/>
  </r>
  <r>
    <x v="2"/>
    <s v="Jan Urbanek"/>
    <x v="1"/>
    <x v="148"/>
    <x v="148"/>
    <n v="4"/>
    <s v="ADET"/>
    <n v="0"/>
    <n v="250"/>
    <n v="835"/>
    <n v="-134"/>
    <n v="0"/>
    <n v="0"/>
    <n v="1.58"/>
    <x v="5"/>
    <n v="6.32"/>
    <x v="1"/>
  </r>
  <r>
    <x v="5"/>
    <s v="Matteo Giolo"/>
    <x v="1"/>
    <x v="47"/>
    <x v="47"/>
    <n v="2"/>
    <s v="ADET"/>
    <n v="0"/>
    <n v="20"/>
    <n v="34"/>
    <n v="18"/>
    <n v="0"/>
    <n v="1476"/>
    <n v="82"/>
    <x v="19"/>
    <n v="164"/>
    <x v="5"/>
  </r>
  <r>
    <x v="1"/>
    <s v="Laurent MONTAGNER"/>
    <x v="0"/>
    <x v="48"/>
    <x v="48"/>
    <n v="1"/>
    <s v="ADET"/>
    <n v="1"/>
    <n v="11"/>
    <n v="8"/>
    <n v="2"/>
    <n v="0"/>
    <n v="0"/>
    <m/>
    <x v="0"/>
    <m/>
    <x v="0"/>
  </r>
  <r>
    <x v="1"/>
    <s v="Laurent MONTAGNER"/>
    <x v="1"/>
    <x v="49"/>
    <x v="49"/>
    <n v="1"/>
    <s v="ADET"/>
    <n v="0"/>
    <n v="25"/>
    <n v="18"/>
    <n v="-6"/>
    <n v="0"/>
    <n v="0"/>
    <n v="225"/>
    <x v="14"/>
    <n v="225"/>
    <x v="1"/>
  </r>
  <r>
    <x v="7"/>
    <s v="Stina Alm"/>
    <x v="1"/>
    <x v="49"/>
    <x v="49"/>
    <n v="1"/>
    <s v="ADET"/>
    <n v="0"/>
    <n v="25"/>
    <n v="18"/>
    <n v="-6"/>
    <n v="0"/>
    <n v="0"/>
    <n v="225"/>
    <x v="14"/>
    <n v="225"/>
    <x v="1"/>
  </r>
  <r>
    <x v="9"/>
    <s v="Stefan Zaugg"/>
    <x v="1"/>
    <x v="165"/>
    <x v="165"/>
    <n v="1"/>
    <s v="ADET"/>
    <n v="1"/>
    <n v="1"/>
    <n v="6"/>
    <n v="2"/>
    <n v="0"/>
    <n v="16849.34"/>
    <n v="8424.67"/>
    <x v="3"/>
    <n v="8424.67"/>
    <x v="2"/>
  </r>
  <r>
    <x v="14"/>
    <s v="Matteo Giolo"/>
    <x v="1"/>
    <x v="165"/>
    <x v="165"/>
    <n v="1"/>
    <s v="ADET"/>
    <n v="0"/>
    <n v="1"/>
    <n v="6"/>
    <n v="2"/>
    <n v="0"/>
    <n v="16849.34"/>
    <n v="8424.67"/>
    <x v="3"/>
    <n v="8424.67"/>
    <x v="2"/>
  </r>
  <r>
    <x v="13"/>
    <s v="Volkan Batkan"/>
    <x v="1"/>
    <x v="137"/>
    <x v="137"/>
    <n v="5"/>
    <s v="ADET"/>
    <n v="5"/>
    <n v="15"/>
    <n v="10"/>
    <n v="20"/>
    <n v="0"/>
    <n v="3545.7999999999997"/>
    <n v="177.29"/>
    <x v="53"/>
    <n v="886.44999999999993"/>
    <x v="1"/>
  </r>
  <r>
    <x v="9"/>
    <s v="Stefan Zaugg"/>
    <x v="1"/>
    <x v="138"/>
    <x v="138"/>
    <n v="12"/>
    <s v="ADET"/>
    <n v="0"/>
    <n v="500"/>
    <n v="490"/>
    <n v="-294"/>
    <n v="0"/>
    <n v="0"/>
    <n v="1.6"/>
    <x v="2"/>
    <n v="19.200000000000003"/>
    <x v="1"/>
  </r>
  <r>
    <x v="12"/>
    <s v="Stefan Zaugg"/>
    <x v="1"/>
    <x v="138"/>
    <x v="138"/>
    <n v="16"/>
    <s v="ADET"/>
    <n v="0"/>
    <n v="500"/>
    <n v="490"/>
    <n v="-294"/>
    <n v="0"/>
    <n v="0"/>
    <n v="1.6"/>
    <x v="2"/>
    <n v="25.6"/>
    <x v="1"/>
  </r>
  <r>
    <x v="11"/>
    <s v="Jan Urbanek"/>
    <x v="1"/>
    <x v="138"/>
    <x v="138"/>
    <n v="16"/>
    <s v="ADET"/>
    <n v="0"/>
    <n v="500"/>
    <n v="490"/>
    <n v="-294"/>
    <n v="0"/>
    <n v="0"/>
    <n v="1.6"/>
    <x v="2"/>
    <n v="25.6"/>
    <x v="1"/>
  </r>
  <r>
    <x v="14"/>
    <s v="Matteo Giolo"/>
    <x v="1"/>
    <x v="138"/>
    <x v="138"/>
    <n v="8"/>
    <s v="ADET"/>
    <n v="0"/>
    <n v="500"/>
    <n v="490"/>
    <n v="-294"/>
    <n v="0"/>
    <n v="0"/>
    <n v="1.6"/>
    <x v="2"/>
    <n v="12.8"/>
    <x v="1"/>
  </r>
  <r>
    <x v="2"/>
    <s v="Jan Urbanek"/>
    <x v="1"/>
    <x v="66"/>
    <x v="66"/>
    <n v="1"/>
    <s v="ADET"/>
    <n v="0"/>
    <n v="13"/>
    <n v="6"/>
    <n v="0"/>
    <n v="0"/>
    <n v="0"/>
    <n v="1145.83"/>
    <x v="16"/>
    <n v="1145.83"/>
    <x v="2"/>
  </r>
  <r>
    <x v="3"/>
    <s v="Jan Urbanek"/>
    <x v="1"/>
    <x v="66"/>
    <x v="66"/>
    <n v="1"/>
    <s v="ADET"/>
    <n v="0"/>
    <n v="13"/>
    <n v="6"/>
    <n v="0"/>
    <n v="0"/>
    <n v="0"/>
    <n v="1145.83"/>
    <x v="16"/>
    <n v="1145.83"/>
    <x v="2"/>
  </r>
  <r>
    <x v="11"/>
    <s v="Jan Urbanek"/>
    <x v="1"/>
    <x v="166"/>
    <x v="166"/>
    <n v="1"/>
    <s v="ADET"/>
    <n v="0"/>
    <n v="52"/>
    <n v="2"/>
    <n v="-33"/>
    <n v="0"/>
    <n v="0"/>
    <n v="34"/>
    <x v="2"/>
    <n v="34"/>
    <x v="4"/>
  </r>
  <r>
    <x v="8"/>
    <s v="Jan Urbanek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8"/>
    <s v="Jan Urbanek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8"/>
    <s v="Jan Urbanek"/>
    <x v="1"/>
    <x v="69"/>
    <x v="69"/>
    <n v="2"/>
    <s v="ADET"/>
    <n v="0"/>
    <n v="233"/>
    <n v="0"/>
    <n v="-225"/>
    <n v="0"/>
    <n v="0"/>
    <n v="7"/>
    <x v="14"/>
    <n v="14"/>
    <x v="1"/>
  </r>
  <r>
    <x v="8"/>
    <s v="Jan Urbanek"/>
    <x v="1"/>
    <x v="66"/>
    <x v="66"/>
    <n v="1"/>
    <s v="ADET"/>
    <n v="0"/>
    <n v="13"/>
    <n v="6"/>
    <n v="0"/>
    <n v="0"/>
    <n v="0"/>
    <n v="1145.83"/>
    <x v="16"/>
    <n v="1145.83"/>
    <x v="2"/>
  </r>
  <r>
    <x v="0"/>
    <s v="Matteo Giolo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0"/>
    <s v="Matteo Giolo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11"/>
    <s v="Jan Urbanek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11"/>
    <s v="Jan Urbanek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14"/>
    <s v="Matteo Giolo"/>
    <x v="1"/>
    <x v="67"/>
    <x v="67"/>
    <n v="5.5"/>
    <s v="METRE"/>
    <n v="0"/>
    <n v="200"/>
    <n v="39.999999999999773"/>
    <n v="-58.699999999999989"/>
    <n v="0"/>
    <n v="0"/>
    <n v="22.5"/>
    <x v="17"/>
    <n v="123.75"/>
    <x v="4"/>
  </r>
  <r>
    <x v="9"/>
    <s v="Stefan Zaugg"/>
    <x v="1"/>
    <x v="167"/>
    <x v="167"/>
    <n v="1"/>
    <s v="ADET"/>
    <n v="0"/>
    <n v="30"/>
    <n v="5.7"/>
    <n v="-28"/>
    <n v="0"/>
    <n v="0"/>
    <n v="199.37"/>
    <x v="42"/>
    <n v="199.37"/>
    <x v="1"/>
  </r>
  <r>
    <x v="9"/>
    <s v="Stefan Zaugg"/>
    <x v="1"/>
    <x v="166"/>
    <x v="166"/>
    <n v="1"/>
    <s v="ADET"/>
    <n v="0"/>
    <n v="52"/>
    <n v="2"/>
    <n v="-33"/>
    <n v="0"/>
    <n v="0"/>
    <n v="34"/>
    <x v="2"/>
    <n v="34"/>
    <x v="4"/>
  </r>
  <r>
    <x v="12"/>
    <s v="Stefan Zaugg"/>
    <x v="1"/>
    <x v="166"/>
    <x v="166"/>
    <n v="1"/>
    <s v="ADET"/>
    <n v="0"/>
    <n v="52"/>
    <n v="2"/>
    <n v="-33"/>
    <n v="0"/>
    <n v="0"/>
    <n v="34"/>
    <x v="2"/>
    <n v="34"/>
    <x v="4"/>
  </r>
  <r>
    <x v="14"/>
    <s v="Matteo Giolo"/>
    <x v="1"/>
    <x v="166"/>
    <x v="166"/>
    <n v="1"/>
    <s v="ADET"/>
    <n v="0"/>
    <n v="52"/>
    <n v="2"/>
    <n v="-33"/>
    <n v="0"/>
    <n v="0"/>
    <n v="34"/>
    <x v="2"/>
    <n v="34"/>
    <x v="4"/>
  </r>
  <r>
    <x v="13"/>
    <s v="Volkan Batkan"/>
    <x v="1"/>
    <x v="166"/>
    <x v="166"/>
    <n v="1"/>
    <s v="ADET"/>
    <n v="0"/>
    <n v="52"/>
    <n v="2"/>
    <n v="-33"/>
    <n v="0"/>
    <n v="0"/>
    <n v="34"/>
    <x v="2"/>
    <n v="34"/>
    <x v="4"/>
  </r>
  <r>
    <x v="9"/>
    <s v="Stefan Zaugg"/>
    <x v="1"/>
    <x v="72"/>
    <x v="72"/>
    <n v="1"/>
    <s v="ADET"/>
    <n v="0"/>
    <n v="0"/>
    <n v="246"/>
    <n v="7"/>
    <n v="0"/>
    <n v="37.94"/>
    <n v="5.42"/>
    <x v="1"/>
    <n v="5.42"/>
    <x v="1"/>
  </r>
  <r>
    <x v="14"/>
    <s v="Matteo Giolo"/>
    <x v="1"/>
    <x v="72"/>
    <x v="72"/>
    <n v="1"/>
    <s v="ADET"/>
    <n v="0"/>
    <n v="0"/>
    <n v="246"/>
    <n v="7"/>
    <n v="0"/>
    <n v="37.94"/>
    <n v="5.42"/>
    <x v="1"/>
    <n v="5.42"/>
    <x v="1"/>
  </r>
  <r>
    <x v="4"/>
    <s v="Jan Urbanek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3"/>
    <s v="Jan Urbanek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4"/>
    <s v="Jan Urbanek"/>
    <x v="1"/>
    <x v="66"/>
    <x v="66"/>
    <n v="1"/>
    <s v="ADET"/>
    <n v="0"/>
    <n v="13"/>
    <n v="6"/>
    <n v="0"/>
    <n v="0"/>
    <n v="0"/>
    <n v="1145.83"/>
    <x v="16"/>
    <n v="1145.83"/>
    <x v="2"/>
  </r>
  <r>
    <x v="3"/>
    <s v="Jan Urbanek"/>
    <x v="1"/>
    <x v="71"/>
    <x v="71"/>
    <n v="2"/>
    <s v="ADET"/>
    <n v="0"/>
    <n v="40"/>
    <n v="18"/>
    <n v="-14"/>
    <n v="0"/>
    <n v="0"/>
    <n v="55"/>
    <x v="23"/>
    <n v="110"/>
    <x v="7"/>
  </r>
  <r>
    <x v="6"/>
    <s v="Stefan Zaugg"/>
    <x v="1"/>
    <x v="65"/>
    <x v="65"/>
    <n v="17"/>
    <s v="ADET"/>
    <n v="0"/>
    <n v="2600"/>
    <n v="292"/>
    <n v="-2145"/>
    <n v="0"/>
    <n v="0"/>
    <n v="0.4"/>
    <x v="2"/>
    <n v="6.8000000000000007"/>
    <x v="1"/>
  </r>
  <r>
    <x v="5"/>
    <s v="Matteo Giolo"/>
    <x v="1"/>
    <x v="65"/>
    <x v="65"/>
    <n v="62"/>
    <s v="ADET"/>
    <n v="0"/>
    <n v="2600"/>
    <n v="292"/>
    <n v="-2145"/>
    <n v="0"/>
    <n v="0"/>
    <n v="0.4"/>
    <x v="2"/>
    <n v="24.8"/>
    <x v="1"/>
  </r>
  <r>
    <x v="1"/>
    <s v="Laurent MONTAGNER"/>
    <x v="1"/>
    <x v="65"/>
    <x v="65"/>
    <n v="81"/>
    <s v="ADET"/>
    <n v="0"/>
    <n v="2600"/>
    <n v="292"/>
    <n v="-2145"/>
    <n v="0"/>
    <n v="0"/>
    <n v="0.4"/>
    <x v="2"/>
    <n v="32.4"/>
    <x v="1"/>
  </r>
  <r>
    <x v="7"/>
    <s v="Stina Alm"/>
    <x v="1"/>
    <x v="65"/>
    <x v="65"/>
    <n v="25"/>
    <s v="ADET"/>
    <n v="0"/>
    <n v="2600"/>
    <n v="292"/>
    <n v="-2145"/>
    <n v="0"/>
    <n v="0"/>
    <n v="0.4"/>
    <x v="2"/>
    <n v="10"/>
    <x v="1"/>
  </r>
  <r>
    <x v="1"/>
    <s v="Laurent MONTAGNER"/>
    <x v="1"/>
    <x v="68"/>
    <x v="68"/>
    <n v="4"/>
    <s v="ADET"/>
    <n v="0"/>
    <n v="250"/>
    <n v="0"/>
    <n v="-218"/>
    <n v="0"/>
    <n v="0"/>
    <n v="5.74"/>
    <x v="5"/>
    <n v="22.96"/>
    <x v="1"/>
  </r>
  <r>
    <x v="7"/>
    <s v="Stina Alm"/>
    <x v="1"/>
    <x v="43"/>
    <x v="43"/>
    <n v="2"/>
    <s v="ADET"/>
    <n v="0"/>
    <n v="44"/>
    <n v="12"/>
    <n v="-18"/>
    <n v="0"/>
    <n v="0"/>
    <n v="375"/>
    <x v="16"/>
    <n v="750"/>
    <x v="2"/>
  </r>
  <r>
    <x v="7"/>
    <s v="Stina Alm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0"/>
    <s v="Matteo Giolo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13"/>
    <s v="Volkan Batkan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10"/>
    <s v="Murat Taşdemir"/>
    <x v="1"/>
    <x v="87"/>
    <x v="87"/>
    <n v="1"/>
    <s v="ADET"/>
    <n v="0"/>
    <n v="13"/>
    <n v="1"/>
    <n v="24"/>
    <n v="0"/>
    <n v="1570.08"/>
    <n v="65.42"/>
    <x v="1"/>
    <n v="65.42"/>
    <x v="4"/>
  </r>
  <r>
    <x v="13"/>
    <s v="Volkan Batkan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3"/>
    <s v="Volkan Batkan"/>
    <x v="1"/>
    <x v="89"/>
    <x v="89"/>
    <n v="1"/>
    <s v="ADET"/>
    <n v="1"/>
    <n v="8"/>
    <n v="8"/>
    <n v="-2"/>
    <n v="10"/>
    <n v="0"/>
    <n v="62.83"/>
    <x v="31"/>
    <n v="62.83"/>
    <x v="7"/>
  </r>
  <r>
    <x v="13"/>
    <s v="Volkan Batkan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17"/>
    <s v="Soner Kayıkçı"/>
    <x v="1"/>
    <x v="38"/>
    <x v="38"/>
    <n v="31"/>
    <s v="ADET"/>
    <n v="0"/>
    <n v="2000"/>
    <n v="7604"/>
    <n v="-1531"/>
    <n v="0"/>
    <n v="0"/>
    <n v="0.3"/>
    <x v="2"/>
    <n v="9.2999999999999989"/>
    <x v="1"/>
  </r>
  <r>
    <x v="16"/>
    <s v="Laurent MONTAGNER"/>
    <x v="1"/>
    <x v="38"/>
    <x v="38"/>
    <n v="20"/>
    <s v="ADET"/>
    <n v="0"/>
    <n v="2000"/>
    <n v="7604"/>
    <n v="-1531"/>
    <n v="0"/>
    <n v="0"/>
    <n v="0.3"/>
    <x v="2"/>
    <n v="6"/>
    <x v="1"/>
  </r>
  <r>
    <x v="16"/>
    <s v="Laurent MONTAGNER"/>
    <x v="1"/>
    <x v="43"/>
    <x v="43"/>
    <n v="2"/>
    <s v="ADET"/>
    <n v="0"/>
    <n v="44"/>
    <n v="12"/>
    <n v="-18"/>
    <n v="0"/>
    <n v="0"/>
    <n v="375"/>
    <x v="16"/>
    <n v="750"/>
    <x v="2"/>
  </r>
  <r>
    <x v="0"/>
    <s v="Matteo Giolo"/>
    <x v="1"/>
    <x v="42"/>
    <x v="42"/>
    <n v="1"/>
    <s v="ADET"/>
    <n v="0"/>
    <n v="1"/>
    <n v="8"/>
    <n v="10"/>
    <n v="0"/>
    <n v="156184.20000000001"/>
    <n v="15618.42"/>
    <x v="15"/>
    <n v="15618.42"/>
    <x v="2"/>
  </r>
  <r>
    <x v="0"/>
    <s v="Matteo Giolo"/>
    <x v="1"/>
    <x v="43"/>
    <x v="43"/>
    <n v="2"/>
    <s v="ADET"/>
    <n v="0"/>
    <n v="44"/>
    <n v="12"/>
    <n v="-18"/>
    <n v="0"/>
    <n v="0"/>
    <n v="375"/>
    <x v="16"/>
    <n v="750"/>
    <x v="2"/>
  </r>
  <r>
    <x v="1"/>
    <s v="Laurent MONTAGNER"/>
    <x v="1"/>
    <x v="43"/>
    <x v="43"/>
    <n v="2"/>
    <s v="ADET"/>
    <n v="2"/>
    <n v="44"/>
    <n v="12"/>
    <n v="-18"/>
    <n v="0"/>
    <n v="0"/>
    <n v="375"/>
    <x v="16"/>
    <n v="750"/>
    <x v="2"/>
  </r>
  <r>
    <x v="6"/>
    <s v="Stefan Zaugg"/>
    <x v="1"/>
    <x v="44"/>
    <x v="44"/>
    <n v="8"/>
    <s v="ADET"/>
    <n v="0"/>
    <n v="175"/>
    <n v="0"/>
    <n v="-95"/>
    <n v="0"/>
    <n v="0"/>
    <n v="8.42"/>
    <x v="5"/>
    <n v="67.36"/>
    <x v="4"/>
  </r>
  <r>
    <x v="7"/>
    <s v="Stina Alm"/>
    <x v="1"/>
    <x v="86"/>
    <x v="86"/>
    <n v="5"/>
    <s v="METRE"/>
    <n v="0"/>
    <n v="125"/>
    <n v="16.500000000000028"/>
    <n v="-24"/>
    <n v="0"/>
    <n v="0"/>
    <n v="80.84"/>
    <x v="17"/>
    <n v="404.20000000000005"/>
    <x v="4"/>
  </r>
  <r>
    <x v="6"/>
    <s v="Stefan Zaugg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5"/>
    <s v="Matteo Giolo"/>
    <x v="1"/>
    <x v="86"/>
    <x v="86"/>
    <n v="5"/>
    <s v="METRE"/>
    <n v="0"/>
    <n v="125"/>
    <n v="16.500000000000028"/>
    <n v="-24"/>
    <n v="0"/>
    <n v="0"/>
    <n v="80.84"/>
    <x v="17"/>
    <n v="404.20000000000005"/>
    <x v="4"/>
  </r>
  <r>
    <x v="6"/>
    <s v="Stefan Zaugg"/>
    <x v="1"/>
    <x v="87"/>
    <x v="87"/>
    <n v="2"/>
    <s v="ADET"/>
    <n v="0"/>
    <n v="13"/>
    <n v="1"/>
    <n v="24"/>
    <n v="0"/>
    <n v="1570.08"/>
    <n v="65.42"/>
    <x v="1"/>
    <n v="130.84"/>
    <x v="4"/>
  </r>
  <r>
    <x v="5"/>
    <s v="Matteo Giolo"/>
    <x v="1"/>
    <x v="87"/>
    <x v="87"/>
    <n v="3"/>
    <s v="ADET"/>
    <n v="0"/>
    <n v="13"/>
    <n v="1"/>
    <n v="24"/>
    <n v="0"/>
    <n v="1570.08"/>
    <n v="65.42"/>
    <x v="1"/>
    <n v="196.26"/>
    <x v="4"/>
  </r>
  <r>
    <x v="18"/>
    <s v="Stina Alm"/>
    <x v="1"/>
    <x v="86"/>
    <x v="86"/>
    <n v="5"/>
    <s v="METRE"/>
    <n v="0"/>
    <n v="125"/>
    <n v="16.500000000000028"/>
    <n v="-24"/>
    <n v="0"/>
    <n v="0"/>
    <n v="80.84"/>
    <x v="17"/>
    <n v="404.20000000000005"/>
    <x v="4"/>
  </r>
  <r>
    <x v="19"/>
    <s v="Laurent MONTAGNER"/>
    <x v="1"/>
    <x v="87"/>
    <x v="87"/>
    <n v="3"/>
    <s v="ADET"/>
    <n v="0"/>
    <n v="13"/>
    <n v="1"/>
    <n v="24"/>
    <n v="0"/>
    <n v="1570.08"/>
    <n v="65.42"/>
    <x v="1"/>
    <n v="196.26"/>
    <x v="4"/>
  </r>
  <r>
    <x v="16"/>
    <s v="Laurent MONTAGNER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7"/>
    <s v="Soner Kayıkçı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7"/>
    <s v="Soner Kayıkçı"/>
    <x v="1"/>
    <x v="89"/>
    <x v="89"/>
    <n v="1"/>
    <s v="ADET"/>
    <n v="0"/>
    <n v="8"/>
    <n v="8"/>
    <n v="-2"/>
    <n v="10"/>
    <n v="0"/>
    <n v="62.83"/>
    <x v="31"/>
    <n v="62.83"/>
    <x v="7"/>
  </r>
  <r>
    <x v="16"/>
    <s v="Laurent MONTAGNER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4"/>
    <s v="Jan Urbanek"/>
    <x v="1"/>
    <x v="44"/>
    <x v="44"/>
    <n v="8"/>
    <s v="ADET"/>
    <n v="0"/>
    <n v="175"/>
    <n v="0"/>
    <n v="-95"/>
    <n v="0"/>
    <n v="0"/>
    <n v="8.42"/>
    <x v="5"/>
    <n v="67.36"/>
    <x v="4"/>
  </r>
  <r>
    <x v="9"/>
    <s v="Stefan Zaugg"/>
    <x v="1"/>
    <x v="101"/>
    <x v="101"/>
    <n v="2"/>
    <s v="KG"/>
    <n v="0"/>
    <n v="30"/>
    <n v="21.5"/>
    <n v="6"/>
    <n v="0"/>
    <n v="708.84"/>
    <n v="118.14"/>
    <x v="36"/>
    <n v="236.28"/>
    <x v="3"/>
  </r>
  <r>
    <x v="17"/>
    <s v="Soner Kayıkçı"/>
    <x v="1"/>
    <x v="16"/>
    <x v="16"/>
    <n v="0.35"/>
    <s v="KG"/>
    <n v="0"/>
    <n v="10"/>
    <n v="14.13"/>
    <n v="-15.809999999999999"/>
    <n v="10"/>
    <n v="0"/>
    <n v="393.83"/>
    <x v="8"/>
    <n v="137.84049999999999"/>
    <x v="3"/>
  </r>
  <r>
    <x v="16"/>
    <s v="Laurent MONTAGNER"/>
    <x v="1"/>
    <x v="16"/>
    <x v="16"/>
    <n v="0.36"/>
    <s v="KG"/>
    <n v="0"/>
    <n v="10"/>
    <n v="14.13"/>
    <n v="-15.809999999999999"/>
    <n v="10"/>
    <n v="0"/>
    <n v="393.83"/>
    <x v="8"/>
    <n v="141.77879999999999"/>
    <x v="3"/>
  </r>
  <r>
    <x v="19"/>
    <s v="Laurent MONTAGNER"/>
    <x v="1"/>
    <x v="17"/>
    <x v="17"/>
    <n v="10.709999999999999"/>
    <s v="KG"/>
    <n v="0"/>
    <n v="181"/>
    <n v="-9.9475983006414026E-14"/>
    <n v="-49.03000000000003"/>
    <n v="46.1"/>
    <n v="0"/>
    <n v="96.37"/>
    <x v="8"/>
    <n v="1032.1226999999999"/>
    <x v="3"/>
  </r>
  <r>
    <x v="17"/>
    <s v="Soner Kayıkçı"/>
    <x v="1"/>
    <x v="17"/>
    <x v="17"/>
    <n v="8.5400000000000009"/>
    <s v="KG"/>
    <n v="0"/>
    <n v="181"/>
    <n v="-9.9475983006414026E-14"/>
    <n v="-49.03000000000003"/>
    <n v="46.1"/>
    <n v="0"/>
    <n v="96.37"/>
    <x v="8"/>
    <n v="822.99980000000016"/>
    <x v="3"/>
  </r>
  <r>
    <x v="17"/>
    <s v="Soner Kayıkçı"/>
    <x v="1"/>
    <x v="73"/>
    <x v="73"/>
    <n v="0.2"/>
    <s v="KG"/>
    <n v="0"/>
    <n v="0"/>
    <n v="0"/>
    <n v="0.8"/>
    <n v="0"/>
    <n v="400"/>
    <n v="500"/>
    <x v="25"/>
    <n v="100"/>
    <x v="3"/>
  </r>
  <r>
    <x v="18"/>
    <s v="Stina Alm"/>
    <x v="1"/>
    <x v="18"/>
    <x v="18"/>
    <n v="1"/>
    <s v="ADET"/>
    <n v="0"/>
    <n v="3"/>
    <n v="7"/>
    <n v="8"/>
    <n v="0"/>
    <n v="70583.44"/>
    <n v="8822.93"/>
    <x v="3"/>
    <n v="8822.93"/>
    <x v="4"/>
  </r>
  <r>
    <x v="19"/>
    <s v="Laurent MONTAGNER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9"/>
    <s v="Laurent MONTAGNER"/>
    <x v="1"/>
    <x v="97"/>
    <x v="97"/>
    <n v="1"/>
    <s v="ADET"/>
    <n v="1"/>
    <n v="7"/>
    <n v="10"/>
    <n v="-43"/>
    <n v="50"/>
    <n v="0"/>
    <n v="839.2"/>
    <x v="33"/>
    <n v="839.2"/>
    <x v="7"/>
  </r>
  <r>
    <x v="18"/>
    <s v="Stina Alm"/>
    <x v="1"/>
    <x v="97"/>
    <x v="97"/>
    <n v="1"/>
    <s v="ADET"/>
    <n v="0"/>
    <n v="7"/>
    <n v="10"/>
    <n v="-43"/>
    <n v="50"/>
    <n v="0"/>
    <n v="839.2"/>
    <x v="33"/>
    <n v="839.2"/>
    <x v="7"/>
  </r>
  <r>
    <x v="19"/>
    <s v="Laurent MONTAGNER"/>
    <x v="1"/>
    <x v="98"/>
    <x v="98"/>
    <n v="6.5"/>
    <s v="METRE"/>
    <n v="0"/>
    <n v="100"/>
    <n v="105.5"/>
    <n v="-8"/>
    <n v="0"/>
    <n v="0"/>
    <n v="131.25"/>
    <x v="23"/>
    <n v="853.125"/>
    <x v="7"/>
  </r>
  <r>
    <x v="18"/>
    <s v="Stina Alm"/>
    <x v="1"/>
    <x v="98"/>
    <x v="98"/>
    <n v="1.5"/>
    <s v="METRE"/>
    <n v="0"/>
    <n v="100"/>
    <n v="105.5"/>
    <n v="-8"/>
    <n v="0"/>
    <n v="0"/>
    <n v="131.25"/>
    <x v="23"/>
    <n v="196.875"/>
    <x v="7"/>
  </r>
  <r>
    <x v="5"/>
    <s v="Matteo Giolo"/>
    <x v="1"/>
    <x v="97"/>
    <x v="97"/>
    <n v="1"/>
    <s v="ADET"/>
    <n v="0"/>
    <n v="7"/>
    <n v="10"/>
    <n v="-43"/>
    <n v="50"/>
    <n v="0"/>
    <n v="839.2"/>
    <x v="33"/>
    <n v="839.2"/>
    <x v="7"/>
  </r>
  <r>
    <x v="1"/>
    <s v="Laurent MONTAGNER"/>
    <x v="1"/>
    <x v="98"/>
    <x v="98"/>
    <n v="7"/>
    <s v="METRE"/>
    <n v="0"/>
    <n v="100"/>
    <n v="105.5"/>
    <n v="-8"/>
    <n v="0"/>
    <n v="0"/>
    <n v="131.25"/>
    <x v="23"/>
    <n v="918.75"/>
    <x v="7"/>
  </r>
  <r>
    <x v="7"/>
    <s v="Stina Alm"/>
    <x v="1"/>
    <x v="168"/>
    <x v="168"/>
    <n v="50"/>
    <s v="METRE"/>
    <n v="0"/>
    <n v="0"/>
    <n v="0"/>
    <n v="50"/>
    <n v="0"/>
    <n v="147.5"/>
    <n v="2.95"/>
    <x v="6"/>
    <n v="147.5"/>
    <x v="8"/>
  </r>
  <r>
    <x v="7"/>
    <s v="Stina Alm"/>
    <x v="1"/>
    <x v="99"/>
    <x v="99"/>
    <n v="0.18"/>
    <s v="ADET"/>
    <n v="0"/>
    <n v="0"/>
    <n v="-4.4408920985006262E-16"/>
    <n v="2.5820000000000007"/>
    <n v="0"/>
    <n v="4066.650000000001"/>
    <n v="1575"/>
    <x v="34"/>
    <n v="283.5"/>
    <x v="4"/>
  </r>
  <r>
    <x v="1"/>
    <s v="Laurent MONTAGNER"/>
    <x v="1"/>
    <x v="99"/>
    <x v="99"/>
    <n v="0.18"/>
    <s v="ADET"/>
    <n v="0"/>
    <n v="0"/>
    <n v="-4.4408920985006262E-16"/>
    <n v="2.5820000000000007"/>
    <n v="0"/>
    <n v="4066.650000000001"/>
    <n v="1575"/>
    <x v="34"/>
    <n v="283.5"/>
    <x v="4"/>
  </r>
  <r>
    <x v="14"/>
    <s v="Matteo Giolo"/>
    <x v="1"/>
    <x v="101"/>
    <x v="101"/>
    <n v="2"/>
    <s v="KG"/>
    <n v="0"/>
    <n v="30"/>
    <n v="21.5"/>
    <n v="6"/>
    <n v="0"/>
    <n v="708.84"/>
    <n v="118.14"/>
    <x v="36"/>
    <n v="236.28"/>
    <x v="3"/>
  </r>
  <r>
    <x v="18"/>
    <s v="Stina Alm"/>
    <x v="1"/>
    <x v="17"/>
    <x v="17"/>
    <n v="9.7099999999999991"/>
    <s v="KG"/>
    <n v="0"/>
    <n v="181"/>
    <n v="-9.9475983006414026E-14"/>
    <n v="-49.03000000000003"/>
    <n v="46.1"/>
    <n v="0"/>
    <n v="96.37"/>
    <x v="8"/>
    <n v="935.7527"/>
    <x v="3"/>
  </r>
  <r>
    <x v="17"/>
    <s v="Soner Kayıkçı"/>
    <x v="1"/>
    <x v="18"/>
    <x v="18"/>
    <n v="1"/>
    <s v="ADET"/>
    <n v="0"/>
    <n v="3"/>
    <n v="7"/>
    <n v="8"/>
    <n v="0"/>
    <n v="70583.44"/>
    <n v="8822.93"/>
    <x v="3"/>
    <n v="8822.93"/>
    <x v="4"/>
  </r>
  <r>
    <x v="17"/>
    <s v="Soner Kayıkçı"/>
    <x v="1"/>
    <x v="27"/>
    <x v="27"/>
    <n v="1.1000000000000001"/>
    <s v="METRE"/>
    <n v="0"/>
    <n v="0"/>
    <n v="20.30000000000005"/>
    <n v="21.1"/>
    <n v="0"/>
    <n v="2426.5"/>
    <n v="115"/>
    <x v="12"/>
    <n v="126.50000000000001"/>
    <x v="4"/>
  </r>
  <r>
    <x v="14"/>
    <s v="Matteo Giolo"/>
    <x v="1"/>
    <x v="169"/>
    <x v="169"/>
    <n v="105.7"/>
    <s v="KG"/>
    <n v="0"/>
    <n v="1840"/>
    <n v="973.6200000000008"/>
    <n v="-1630.1299999999997"/>
    <n v="920"/>
    <n v="0"/>
    <n v="94.86"/>
    <x v="8"/>
    <n v="10026.701999999999"/>
    <x v="3"/>
  </r>
  <r>
    <x v="10"/>
    <s v="Murat Taşdemir"/>
    <x v="1"/>
    <x v="145"/>
    <x v="145"/>
    <n v="0.11"/>
    <s v="ADET"/>
    <n v="0.11"/>
    <n v="6"/>
    <n v="22.53"/>
    <n v="-5.5"/>
    <n v="0"/>
    <n v="0"/>
    <n v="133"/>
    <x v="55"/>
    <n v="14.63"/>
    <x v="3"/>
  </r>
  <r>
    <x v="14"/>
    <s v="Matteo Giolo"/>
    <x v="1"/>
    <x v="146"/>
    <x v="146"/>
    <n v="4"/>
    <s v="ADET"/>
    <n v="0"/>
    <n v="84"/>
    <n v="36"/>
    <n v="22"/>
    <n v="0"/>
    <n v="440"/>
    <n v="20"/>
    <x v="2"/>
    <n v="80"/>
    <x v="4"/>
  </r>
  <r>
    <x v="14"/>
    <s v="Matteo Giolo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9"/>
    <s v="Stefan Zaugg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2"/>
    <s v="Stefan Zaugg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4"/>
    <s v="Matteo Giolo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3"/>
    <s v="Volkan Batkan"/>
    <x v="1"/>
    <x v="84"/>
    <x v="84"/>
    <n v="2"/>
    <s v="ADET"/>
    <n v="0"/>
    <n v="239"/>
    <n v="90"/>
    <n v="-201"/>
    <n v="0"/>
    <n v="0"/>
    <n v="4"/>
    <x v="29"/>
    <n v="8"/>
    <x v="7"/>
  </r>
  <r>
    <x v="10"/>
    <s v="Murat Taşdemir"/>
    <x v="1"/>
    <x v="84"/>
    <x v="84"/>
    <n v="2"/>
    <s v="ADET"/>
    <n v="0"/>
    <n v="239"/>
    <n v="90"/>
    <n v="-201"/>
    <n v="0"/>
    <n v="0"/>
    <n v="4"/>
    <x v="29"/>
    <n v="8"/>
    <x v="7"/>
  </r>
  <r>
    <x v="18"/>
    <s v="Stina Alm"/>
    <x v="1"/>
    <x v="24"/>
    <x v="24"/>
    <n v="5.49"/>
    <s v="KG"/>
    <n v="0"/>
    <n v="120"/>
    <n v="113.68999999999977"/>
    <n v="-176.87000000000003"/>
    <n v="120"/>
    <n v="0"/>
    <n v="101.44"/>
    <x v="8"/>
    <n v="556.90560000000005"/>
    <x v="3"/>
  </r>
  <r>
    <x v="17"/>
    <s v="Soner Kayıkçı"/>
    <x v="1"/>
    <x v="25"/>
    <x v="25"/>
    <n v="7.2999999999999989"/>
    <s v="ADET"/>
    <n v="0"/>
    <n v="96"/>
    <n v="195.44000000000005"/>
    <n v="63.92"/>
    <n v="0"/>
    <n v="8241.2056000000011"/>
    <n v="128.93"/>
    <x v="11"/>
    <n v="941.18899999999996"/>
    <x v="1"/>
  </r>
  <r>
    <x v="16"/>
    <s v="Laurent MONTAGNER"/>
    <x v="1"/>
    <x v="25"/>
    <x v="25"/>
    <n v="9.0500000000000007"/>
    <s v="ADET"/>
    <n v="0"/>
    <n v="96"/>
    <n v="195.44000000000005"/>
    <n v="63.92"/>
    <n v="0"/>
    <n v="8241.2056000000011"/>
    <n v="128.93"/>
    <x v="11"/>
    <n v="1166.8165000000001"/>
    <x v="1"/>
  </r>
  <r>
    <x v="5"/>
    <s v="Matteo Giolo"/>
    <x v="1"/>
    <x v="84"/>
    <x v="84"/>
    <n v="2"/>
    <s v="ADET"/>
    <n v="0"/>
    <n v="239"/>
    <n v="90"/>
    <n v="-201"/>
    <n v="0"/>
    <n v="0"/>
    <n v="4"/>
    <x v="29"/>
    <n v="8"/>
    <x v="7"/>
  </r>
  <r>
    <x v="5"/>
    <s v="Matteo Giolo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0"/>
    <s v="Matteo Giolo"/>
    <x v="1"/>
    <x v="109"/>
    <x v="109"/>
    <n v="0.54999999999999993"/>
    <s v="ADET"/>
    <n v="0"/>
    <n v="0"/>
    <n v="5.6000000000000014"/>
    <n v="7.200000000000002"/>
    <n v="0"/>
    <n v="1170.0720000000003"/>
    <n v="162.51"/>
    <x v="8"/>
    <n v="89.380499999999984"/>
    <x v="3"/>
  </r>
  <r>
    <x v="5"/>
    <s v="Matteo Giolo"/>
    <x v="1"/>
    <x v="109"/>
    <x v="109"/>
    <n v="0.75"/>
    <s v="ADET"/>
    <n v="0"/>
    <n v="0"/>
    <n v="5.6000000000000014"/>
    <n v="7.200000000000002"/>
    <n v="0"/>
    <n v="1170.0720000000003"/>
    <n v="162.51"/>
    <x v="8"/>
    <n v="121.88249999999999"/>
    <x v="3"/>
  </r>
  <r>
    <x v="18"/>
    <s v="Stina Alm"/>
    <x v="1"/>
    <x v="23"/>
    <x v="23"/>
    <n v="0.125"/>
    <s v="M2"/>
    <n v="0"/>
    <n v="40"/>
    <n v="20"/>
    <n v="-35.625"/>
    <n v="0"/>
    <n v="0"/>
    <n v="54.17"/>
    <x v="10"/>
    <n v="6.7712500000000002"/>
    <x v="3"/>
  </r>
  <r>
    <x v="18"/>
    <s v="Stina Alm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8"/>
    <s v="Stina Alm"/>
    <x v="1"/>
    <x v="84"/>
    <x v="84"/>
    <n v="2"/>
    <s v="ADET"/>
    <n v="0"/>
    <n v="239"/>
    <n v="90"/>
    <n v="-201"/>
    <n v="0"/>
    <n v="0"/>
    <n v="4"/>
    <x v="29"/>
    <n v="8"/>
    <x v="7"/>
  </r>
  <r>
    <x v="18"/>
    <s v="Stina Alm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7"/>
    <s v="Soner Kayıkçı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7"/>
    <s v="Stina Alm"/>
    <x v="1"/>
    <x v="84"/>
    <x v="84"/>
    <n v="2"/>
    <s v="ADET"/>
    <n v="0"/>
    <n v="239"/>
    <n v="90"/>
    <n v="-201"/>
    <n v="0"/>
    <n v="0"/>
    <n v="4"/>
    <x v="29"/>
    <n v="8"/>
    <x v="7"/>
  </r>
  <r>
    <x v="18"/>
    <s v="Stina Alm"/>
    <x v="1"/>
    <x v="109"/>
    <x v="109"/>
    <n v="1.05"/>
    <s v="ADET"/>
    <n v="0"/>
    <n v="0"/>
    <n v="5.6000000000000014"/>
    <n v="7.200000000000002"/>
    <n v="0"/>
    <n v="1170.0720000000003"/>
    <n v="162.51"/>
    <x v="8"/>
    <n v="170.63550000000001"/>
    <x v="3"/>
  </r>
  <r>
    <x v="18"/>
    <s v="Stina Alm"/>
    <x v="1"/>
    <x v="171"/>
    <x v="171"/>
    <n v="2"/>
    <s v="METRE"/>
    <n v="0"/>
    <n v="20"/>
    <n v="15.999999999999986"/>
    <n v="-5"/>
    <n v="0"/>
    <n v="0"/>
    <n v="97.17"/>
    <x v="42"/>
    <n v="194.34"/>
    <x v="1"/>
  </r>
  <r>
    <x v="16"/>
    <s v="Laurent MONTAGNER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"/>
    <s v="Laurent MONTAGNER"/>
    <x v="1"/>
    <x v="84"/>
    <x v="84"/>
    <n v="2"/>
    <s v="ADET"/>
    <n v="0"/>
    <n v="239"/>
    <n v="90"/>
    <n v="-201"/>
    <n v="0"/>
    <n v="0"/>
    <n v="4"/>
    <x v="29"/>
    <n v="8"/>
    <x v="7"/>
  </r>
  <r>
    <x v="7"/>
    <s v="Stina Alm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6"/>
    <s v="Laurent MONTAGNER"/>
    <x v="1"/>
    <x v="27"/>
    <x v="27"/>
    <n v="1.2"/>
    <s v="METRE"/>
    <n v="0"/>
    <n v="0"/>
    <n v="20.30000000000005"/>
    <n v="21.1"/>
    <n v="0"/>
    <n v="2426.5"/>
    <n v="115"/>
    <x v="12"/>
    <n v="138"/>
    <x v="4"/>
  </r>
  <r>
    <x v="17"/>
    <s v="Soner Kayıkçı"/>
    <x v="1"/>
    <x v="97"/>
    <x v="97"/>
    <n v="1"/>
    <s v="ADET"/>
    <n v="0"/>
    <n v="7"/>
    <n v="10"/>
    <n v="-43"/>
    <n v="50"/>
    <n v="0"/>
    <n v="839.2"/>
    <x v="33"/>
    <n v="839.2"/>
    <x v="7"/>
  </r>
  <r>
    <x v="16"/>
    <s v="Laurent MONTAGNER"/>
    <x v="1"/>
    <x v="97"/>
    <x v="97"/>
    <n v="1"/>
    <s v="ADET"/>
    <n v="0"/>
    <n v="7"/>
    <n v="10"/>
    <n v="-43"/>
    <n v="50"/>
    <n v="0"/>
    <n v="839.2"/>
    <x v="33"/>
    <n v="839.2"/>
    <x v="7"/>
  </r>
  <r>
    <x v="7"/>
    <s v="Stina Alm"/>
    <x v="1"/>
    <x v="97"/>
    <x v="97"/>
    <n v="1"/>
    <s v="ADET"/>
    <n v="0"/>
    <n v="7"/>
    <n v="10"/>
    <n v="-43"/>
    <n v="50"/>
    <n v="0"/>
    <n v="839.2"/>
    <x v="33"/>
    <n v="839.2"/>
    <x v="7"/>
  </r>
  <r>
    <x v="7"/>
    <s v="Stina Alm"/>
    <x v="1"/>
    <x v="98"/>
    <x v="98"/>
    <n v="1.5"/>
    <s v="METRE"/>
    <n v="0"/>
    <n v="100"/>
    <n v="105.5"/>
    <n v="-8"/>
    <n v="0"/>
    <n v="0"/>
    <n v="131.25"/>
    <x v="23"/>
    <n v="196.875"/>
    <x v="7"/>
  </r>
  <r>
    <x v="11"/>
    <s v="Jan Urbanek"/>
    <x v="1"/>
    <x v="101"/>
    <x v="101"/>
    <n v="1.5"/>
    <s v="KG"/>
    <n v="0"/>
    <n v="30"/>
    <n v="21.5"/>
    <n v="6"/>
    <n v="0"/>
    <n v="708.84"/>
    <n v="118.14"/>
    <x v="36"/>
    <n v="177.21"/>
    <x v="3"/>
  </r>
  <r>
    <x v="0"/>
    <s v="Matteo Giolo"/>
    <x v="1"/>
    <x v="97"/>
    <x v="97"/>
    <n v="1"/>
    <s v="ADET"/>
    <n v="0"/>
    <n v="7"/>
    <n v="10"/>
    <n v="-43"/>
    <n v="50"/>
    <n v="0"/>
    <n v="839.2"/>
    <x v="33"/>
    <n v="839.2"/>
    <x v="7"/>
  </r>
  <r>
    <x v="10"/>
    <s v="Murat Taşdemir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4"/>
    <s v="Matteo Giolo"/>
    <x v="1"/>
    <x v="173"/>
    <x v="173"/>
    <n v="3"/>
    <s v="ADET"/>
    <n v="0"/>
    <n v="24"/>
    <n v="22"/>
    <n v="-31"/>
    <n v="50"/>
    <n v="0"/>
    <n v="44"/>
    <x v="60"/>
    <n v="132"/>
    <x v="7"/>
  </r>
  <r>
    <x v="11"/>
    <s v="Jan Urbanek"/>
    <x v="1"/>
    <x v="174"/>
    <x v="174"/>
    <n v="2"/>
    <s v="ADET"/>
    <n v="0"/>
    <n v="22"/>
    <n v="18"/>
    <n v="-6"/>
    <n v="10"/>
    <n v="0"/>
    <n v="400"/>
    <x v="56"/>
    <n v="800"/>
    <x v="7"/>
  </r>
  <r>
    <x v="14"/>
    <s v="Matteo Giolo"/>
    <x v="1"/>
    <x v="174"/>
    <x v="174"/>
    <n v="2"/>
    <s v="ADET"/>
    <n v="0"/>
    <n v="22"/>
    <n v="18"/>
    <n v="-6"/>
    <n v="10"/>
    <n v="0"/>
    <n v="400"/>
    <x v="56"/>
    <n v="800"/>
    <x v="7"/>
  </r>
  <r>
    <x v="17"/>
    <s v="Soner Kayıkçı"/>
    <x v="1"/>
    <x v="138"/>
    <x v="138"/>
    <n v="16"/>
    <s v="ADET"/>
    <n v="0"/>
    <n v="500"/>
    <n v="490"/>
    <n v="-294"/>
    <n v="0"/>
    <n v="0"/>
    <n v="1.6"/>
    <x v="2"/>
    <n v="25.6"/>
    <x v="1"/>
  </r>
  <r>
    <x v="11"/>
    <s v="Jan Urbanek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3"/>
    <s v="Volkan Batkan"/>
    <x v="1"/>
    <x v="173"/>
    <x v="173"/>
    <n v="3"/>
    <s v="ADET"/>
    <n v="3"/>
    <n v="24"/>
    <n v="22"/>
    <n v="-31"/>
    <n v="50"/>
    <n v="0"/>
    <n v="44"/>
    <x v="60"/>
    <n v="132"/>
    <x v="7"/>
  </r>
  <r>
    <x v="10"/>
    <s v="Murat Taşdemir"/>
    <x v="1"/>
    <x v="174"/>
    <x v="174"/>
    <n v="2"/>
    <s v="ADET"/>
    <n v="0"/>
    <n v="22"/>
    <n v="18"/>
    <n v="-6"/>
    <n v="10"/>
    <n v="0"/>
    <n v="400"/>
    <x v="56"/>
    <n v="800"/>
    <x v="7"/>
  </r>
  <r>
    <x v="9"/>
    <s v="Stefan Zaugg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2"/>
    <s v="Stefan Zaugg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4"/>
    <s v="Matteo Giolo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13"/>
    <s v="Volkan Batkan"/>
    <x v="1"/>
    <x v="172"/>
    <x v="172"/>
    <n v="0.5"/>
    <s v="ADET"/>
    <n v="0"/>
    <n v="24"/>
    <n v="-3.5527136788005009E-14"/>
    <n v="-7.6000000000000014"/>
    <n v="0"/>
    <n v="0"/>
    <n v="120"/>
    <x v="2"/>
    <n v="60"/>
    <x v="3"/>
  </r>
  <r>
    <x v="10"/>
    <s v="Murat Taşdemir"/>
    <x v="1"/>
    <x v="173"/>
    <x v="173"/>
    <n v="5"/>
    <s v="ADET"/>
    <n v="0"/>
    <n v="24"/>
    <n v="22"/>
    <n v="-31"/>
    <n v="50"/>
    <n v="0"/>
    <n v="44"/>
    <x v="60"/>
    <n v="220"/>
    <x v="7"/>
  </r>
  <r>
    <x v="18"/>
    <s v="Stina Alm"/>
    <x v="1"/>
    <x v="138"/>
    <x v="138"/>
    <n v="8"/>
    <s v="ADET"/>
    <n v="0"/>
    <n v="500"/>
    <n v="490"/>
    <n v="-294"/>
    <n v="0"/>
    <n v="0"/>
    <n v="1.6"/>
    <x v="2"/>
    <n v="12.8"/>
    <x v="1"/>
  </r>
  <r>
    <x v="14"/>
    <s v="Matteo Giolo"/>
    <x v="1"/>
    <x v="175"/>
    <x v="175"/>
    <n v="1"/>
    <s v="ADET"/>
    <n v="0"/>
    <n v="0"/>
    <n v="0"/>
    <n v="3"/>
    <n v="0"/>
    <n v="40950.03"/>
    <n v="13650.01"/>
    <x v="43"/>
    <n v="13650.01"/>
    <x v="7"/>
  </r>
  <r>
    <x v="11"/>
    <s v="Jan Urbanek"/>
    <x v="1"/>
    <x v="173"/>
    <x v="173"/>
    <n v="3"/>
    <s v="ADET"/>
    <n v="0"/>
    <n v="24"/>
    <n v="22"/>
    <n v="-31"/>
    <n v="50"/>
    <n v="0"/>
    <n v="44"/>
    <x v="60"/>
    <n v="132"/>
    <x v="7"/>
  </r>
  <r>
    <x v="17"/>
    <s v="Soner Kayıkçı"/>
    <x v="1"/>
    <x v="137"/>
    <x v="137"/>
    <n v="5"/>
    <s v="ADET"/>
    <n v="0"/>
    <n v="15"/>
    <n v="10"/>
    <n v="20"/>
    <n v="0"/>
    <n v="3545.7999999999997"/>
    <n v="177.29"/>
    <x v="53"/>
    <n v="886.44999999999993"/>
    <x v="1"/>
  </r>
  <r>
    <x v="16"/>
    <s v="Laurent MONTAGNER"/>
    <x v="1"/>
    <x v="138"/>
    <x v="138"/>
    <n v="4"/>
    <s v="ADET"/>
    <n v="0"/>
    <n v="500"/>
    <n v="490"/>
    <n v="-294"/>
    <n v="0"/>
    <n v="0"/>
    <n v="1.6"/>
    <x v="2"/>
    <n v="6.4"/>
    <x v="1"/>
  </r>
  <r>
    <x v="6"/>
    <s v="Stefan Zaugg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4"/>
    <s v="Matteo Giolo"/>
    <x v="1"/>
    <x v="176"/>
    <x v="176"/>
    <n v="1"/>
    <s v="ADET"/>
    <n v="0"/>
    <n v="9"/>
    <n v="8"/>
    <n v="-1"/>
    <n v="5"/>
    <n v="0"/>
    <n v="1200"/>
    <x v="56"/>
    <n v="1200"/>
    <x v="4"/>
  </r>
  <r>
    <x v="11"/>
    <s v="Jan Urbanek"/>
    <x v="1"/>
    <x v="176"/>
    <x v="176"/>
    <n v="1"/>
    <s v="ADET"/>
    <n v="0"/>
    <n v="9"/>
    <n v="8"/>
    <n v="-1"/>
    <n v="5"/>
    <n v="0"/>
    <n v="1200"/>
    <x v="56"/>
    <n v="1200"/>
    <x v="4"/>
  </r>
  <r>
    <x v="10"/>
    <s v="Murat Taşdemir"/>
    <x v="1"/>
    <x v="177"/>
    <x v="177"/>
    <n v="15"/>
    <s v="M2"/>
    <n v="0"/>
    <n v="35.700000000000003"/>
    <n v="9.1250000000001279"/>
    <n v="-44.859999999999985"/>
    <n v="95.16"/>
    <n v="0"/>
    <n v="300.55"/>
    <x v="61"/>
    <n v="4508.25"/>
    <x v="8"/>
  </r>
  <r>
    <x v="11"/>
    <s v="Jan Urbanek"/>
    <x v="1"/>
    <x v="178"/>
    <x v="178"/>
    <n v="12"/>
    <s v="ADET"/>
    <n v="0"/>
    <n v="0"/>
    <n v="0"/>
    <n v="124"/>
    <n v="0"/>
    <n v="217"/>
    <n v="1.75"/>
    <x v="2"/>
    <n v="21"/>
    <x v="1"/>
  </r>
  <r>
    <x v="9"/>
    <s v="Stefan Zaugg"/>
    <x v="1"/>
    <x v="164"/>
    <x v="164"/>
    <n v="24"/>
    <s v="ADET"/>
    <n v="0"/>
    <n v="2700"/>
    <n v="0"/>
    <n v="-2314"/>
    <n v="0"/>
    <n v="0"/>
    <n v="1.55"/>
    <x v="29"/>
    <n v="37.200000000000003"/>
    <x v="7"/>
  </r>
  <r>
    <x v="11"/>
    <s v="Jan Urbanek"/>
    <x v="1"/>
    <x v="55"/>
    <x v="55"/>
    <n v="2"/>
    <s v="ADET"/>
    <n v="0"/>
    <n v="250"/>
    <n v="3"/>
    <n v="-166"/>
    <n v="0"/>
    <n v="0"/>
    <n v="2"/>
    <x v="6"/>
    <n v="4"/>
    <x v="1"/>
  </r>
  <r>
    <x v="13"/>
    <s v="Volkan Batkan"/>
    <x v="1"/>
    <x v="55"/>
    <x v="55"/>
    <n v="2"/>
    <s v="ADET"/>
    <n v="2"/>
    <n v="250"/>
    <n v="3"/>
    <n v="-166"/>
    <n v="0"/>
    <n v="0"/>
    <n v="2"/>
    <x v="6"/>
    <n v="4"/>
    <x v="1"/>
  </r>
  <r>
    <x v="11"/>
    <s v="Jan Urbanek"/>
    <x v="1"/>
    <x v="148"/>
    <x v="148"/>
    <n v="4"/>
    <s v="ADET"/>
    <n v="0"/>
    <n v="250"/>
    <n v="835"/>
    <n v="-134"/>
    <n v="0"/>
    <n v="0"/>
    <n v="1.58"/>
    <x v="5"/>
    <n v="6.32"/>
    <x v="1"/>
  </r>
  <r>
    <x v="14"/>
    <s v="Matteo Giolo"/>
    <x v="1"/>
    <x v="148"/>
    <x v="148"/>
    <n v="16"/>
    <s v="ADET"/>
    <n v="0"/>
    <n v="250"/>
    <n v="835"/>
    <n v="-134"/>
    <n v="0"/>
    <n v="0"/>
    <n v="1.58"/>
    <x v="5"/>
    <n v="25.28"/>
    <x v="1"/>
  </r>
  <r>
    <x v="8"/>
    <s v="Jan Urbanek"/>
    <x v="0"/>
    <x v="48"/>
    <x v="48"/>
    <n v="1"/>
    <s v="ADET"/>
    <n v="0"/>
    <n v="11"/>
    <n v="8"/>
    <n v="2"/>
    <n v="0"/>
    <n v="0"/>
    <m/>
    <x v="0"/>
    <m/>
    <x v="0"/>
  </r>
  <r>
    <x v="8"/>
    <s v="Jan Urbanek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9"/>
    <s v="Stefan Zaugg"/>
    <x v="1"/>
    <x v="150"/>
    <x v="150"/>
    <n v="2"/>
    <s v="ADET"/>
    <n v="2"/>
    <n v="69"/>
    <n v="22"/>
    <n v="-38"/>
    <n v="0"/>
    <n v="0"/>
    <n v="640"/>
    <x v="29"/>
    <n v="1280"/>
    <x v="7"/>
  </r>
  <r>
    <x v="13"/>
    <s v="Volkan Batkan"/>
    <x v="1"/>
    <x v="150"/>
    <x v="150"/>
    <n v="3"/>
    <s v="ADET"/>
    <n v="3"/>
    <n v="69"/>
    <n v="22"/>
    <n v="-38"/>
    <n v="0"/>
    <n v="0"/>
    <n v="640"/>
    <x v="29"/>
    <n v="1920"/>
    <x v="7"/>
  </r>
  <r>
    <x v="11"/>
    <s v="Jan Urbanek"/>
    <x v="1"/>
    <x v="151"/>
    <x v="151"/>
    <n v="2"/>
    <s v="ADET"/>
    <n v="0"/>
    <n v="238"/>
    <n v="90"/>
    <n v="-200"/>
    <n v="0"/>
    <n v="0"/>
    <n v="4"/>
    <x v="29"/>
    <n v="8"/>
    <x v="7"/>
  </r>
  <r>
    <x v="11"/>
    <s v="Jan Urbanek"/>
    <x v="1"/>
    <x v="152"/>
    <x v="152"/>
    <n v="1"/>
    <s v="ADET"/>
    <n v="0"/>
    <n v="10"/>
    <n v="12"/>
    <n v="-1"/>
    <n v="4"/>
    <n v="0"/>
    <n v="1600"/>
    <x v="56"/>
    <n v="1600"/>
    <x v="7"/>
  </r>
  <r>
    <x v="18"/>
    <s v="Stina Alm"/>
    <x v="1"/>
    <x v="79"/>
    <x v="79"/>
    <n v="14"/>
    <s v="ADET"/>
    <n v="0"/>
    <n v="14472"/>
    <n v="3376"/>
    <n v="-14340"/>
    <n v="0"/>
    <n v="0"/>
    <n v="0.04"/>
    <x v="6"/>
    <n v="0.56000000000000005"/>
    <x v="1"/>
  </r>
  <r>
    <x v="16"/>
    <s v="Laurent MONTAGNER"/>
    <x v="1"/>
    <x v="129"/>
    <x v="129"/>
    <n v="6"/>
    <s v="METRE"/>
    <n v="0"/>
    <n v="260"/>
    <n v="0"/>
    <n v="-248"/>
    <n v="0"/>
    <n v="0"/>
    <n v="8.4"/>
    <x v="23"/>
    <n v="50.400000000000006"/>
    <x v="1"/>
  </r>
  <r>
    <x v="18"/>
    <s v="Stina Alm"/>
    <x v="1"/>
    <x v="75"/>
    <x v="75"/>
    <n v="70"/>
    <s v="ADET"/>
    <n v="0"/>
    <n v="4000"/>
    <n v="138"/>
    <n v="-2738"/>
    <n v="0"/>
    <n v="0"/>
    <n v="0.93"/>
    <x v="5"/>
    <n v="65.100000000000009"/>
    <x v="1"/>
  </r>
  <r>
    <x v="16"/>
    <s v="Laurent MONTAGNER"/>
    <x v="1"/>
    <x v="75"/>
    <x v="75"/>
    <n v="44"/>
    <s v="ADET"/>
    <n v="0"/>
    <n v="4000"/>
    <n v="138"/>
    <n v="-2738"/>
    <n v="0"/>
    <n v="0"/>
    <n v="0.93"/>
    <x v="5"/>
    <n v="40.92"/>
    <x v="1"/>
  </r>
  <r>
    <x v="10"/>
    <s v="Murat Taşdemir"/>
    <x v="1"/>
    <x v="75"/>
    <x v="75"/>
    <n v="74"/>
    <s v="ADET"/>
    <n v="0"/>
    <n v="4000"/>
    <n v="138"/>
    <n v="-2738"/>
    <n v="0"/>
    <n v="0"/>
    <n v="0.93"/>
    <x v="5"/>
    <n v="68.820000000000007"/>
    <x v="1"/>
  </r>
  <r>
    <x v="10"/>
    <s v="Murat Taşdemir"/>
    <x v="1"/>
    <x v="82"/>
    <x v="82"/>
    <n v="1"/>
    <s v="ADET"/>
    <n v="1"/>
    <n v="12"/>
    <n v="13"/>
    <n v="-5"/>
    <n v="0"/>
    <n v="0"/>
    <n v="28339.38"/>
    <x v="27"/>
    <n v="28339.38"/>
    <x v="2"/>
  </r>
  <r>
    <x v="11"/>
    <s v="Jan Urbanek"/>
    <x v="1"/>
    <x v="78"/>
    <x v="78"/>
    <n v="1.4909999999999999"/>
    <s v="KG"/>
    <n v="0"/>
    <n v="0"/>
    <n v="65.031000000000006"/>
    <n v="17.948000000000004"/>
    <n v="0"/>
    <n v="6991.2844400000013"/>
    <n v="389.53"/>
    <x v="8"/>
    <n v="580.78922999999986"/>
    <x v="3"/>
  </r>
  <r>
    <x v="15"/>
    <s v="Hayriye Güven"/>
    <x v="1"/>
    <x v="78"/>
    <x v="78"/>
    <n v="1.135"/>
    <s v="KG"/>
    <n v="0"/>
    <n v="0"/>
    <n v="65.031000000000006"/>
    <n v="17.948000000000004"/>
    <n v="0"/>
    <n v="6991.2844400000013"/>
    <n v="389.53"/>
    <x v="8"/>
    <n v="442.11654999999996"/>
    <x v="3"/>
  </r>
  <r>
    <x v="10"/>
    <s v="Murat Taşdemir"/>
    <x v="1"/>
    <x v="151"/>
    <x v="151"/>
    <n v="2"/>
    <s v="ADET"/>
    <n v="0"/>
    <n v="238"/>
    <n v="90"/>
    <n v="-200"/>
    <n v="0"/>
    <n v="0"/>
    <n v="4"/>
    <x v="29"/>
    <n v="8"/>
    <x v="7"/>
  </r>
  <r>
    <x v="19"/>
    <s v="Laurent MONTAGNER"/>
    <x v="1"/>
    <x v="79"/>
    <x v="79"/>
    <n v="6"/>
    <s v="ADET"/>
    <n v="0"/>
    <n v="14472"/>
    <n v="3376"/>
    <n v="-14340"/>
    <n v="0"/>
    <n v="0"/>
    <n v="0.04"/>
    <x v="6"/>
    <n v="0.24"/>
    <x v="1"/>
  </r>
  <r>
    <x v="19"/>
    <s v="Laurent MONTAGNER"/>
    <x v="1"/>
    <x v="75"/>
    <x v="75"/>
    <n v="70"/>
    <s v="ADET"/>
    <n v="0"/>
    <n v="4000"/>
    <n v="138"/>
    <n v="-2738"/>
    <n v="0"/>
    <n v="0"/>
    <n v="0.93"/>
    <x v="5"/>
    <n v="65.100000000000009"/>
    <x v="1"/>
  </r>
  <r>
    <x v="16"/>
    <s v="Laurent MONTAGNER"/>
    <x v="1"/>
    <x v="80"/>
    <x v="80"/>
    <n v="8"/>
    <s v="ADET"/>
    <n v="0"/>
    <n v="85"/>
    <n v="43"/>
    <n v="-15"/>
    <n v="40"/>
    <n v="0"/>
    <n v="60"/>
    <x v="12"/>
    <n v="480"/>
    <x v="1"/>
  </r>
  <r>
    <x v="19"/>
    <s v="Laurent MONTAGNER"/>
    <x v="1"/>
    <x v="80"/>
    <x v="80"/>
    <n v="7"/>
    <s v="ADET"/>
    <n v="0"/>
    <n v="85"/>
    <n v="43"/>
    <n v="-15"/>
    <n v="40"/>
    <n v="0"/>
    <n v="60"/>
    <x v="12"/>
    <n v="420"/>
    <x v="1"/>
  </r>
  <r>
    <x v="16"/>
    <s v="Laurent MONTAGNER"/>
    <x v="1"/>
    <x v="81"/>
    <x v="81"/>
    <n v="1"/>
    <s v="ADET"/>
    <n v="0"/>
    <n v="2"/>
    <n v="8"/>
    <n v="0"/>
    <n v="11"/>
    <n v="0"/>
    <n v="675"/>
    <x v="20"/>
    <n v="675"/>
    <x v="2"/>
  </r>
  <r>
    <x v="17"/>
    <s v="Soner Kayıkçı"/>
    <x v="1"/>
    <x v="75"/>
    <x v="75"/>
    <n v="78"/>
    <s v="ADET"/>
    <n v="0"/>
    <n v="4000"/>
    <n v="138"/>
    <n v="-2738"/>
    <n v="0"/>
    <n v="0"/>
    <n v="0.93"/>
    <x v="5"/>
    <n v="72.540000000000006"/>
    <x v="1"/>
  </r>
  <r>
    <x v="18"/>
    <s v="Stina Alm"/>
    <x v="1"/>
    <x v="80"/>
    <x v="80"/>
    <n v="11"/>
    <s v="ADET"/>
    <n v="0"/>
    <n v="85"/>
    <n v="43"/>
    <n v="-15"/>
    <n v="40"/>
    <n v="0"/>
    <n v="60"/>
    <x v="12"/>
    <n v="660"/>
    <x v="1"/>
  </r>
  <r>
    <x v="18"/>
    <s v="Stina Alm"/>
    <x v="1"/>
    <x v="81"/>
    <x v="81"/>
    <n v="1"/>
    <s v="ADET"/>
    <n v="0"/>
    <n v="2"/>
    <n v="8"/>
    <n v="0"/>
    <n v="11"/>
    <n v="0"/>
    <n v="675"/>
    <x v="20"/>
    <n v="675"/>
    <x v="2"/>
  </r>
  <r>
    <x v="17"/>
    <s v="Soner Kayıkçı"/>
    <x v="1"/>
    <x v="76"/>
    <x v="76"/>
    <n v="1"/>
    <s v="ADET"/>
    <n v="0"/>
    <n v="2"/>
    <n v="4"/>
    <n v="5"/>
    <n v="0"/>
    <n v="37250"/>
    <n v="7450"/>
    <x v="26"/>
    <n v="7450"/>
    <x v="2"/>
  </r>
  <r>
    <x v="17"/>
    <s v="Soner Kayıkçı"/>
    <x v="1"/>
    <x v="82"/>
    <x v="82"/>
    <n v="1"/>
    <s v="ADET"/>
    <n v="0"/>
    <n v="12"/>
    <n v="13"/>
    <n v="-5"/>
    <n v="0"/>
    <n v="0"/>
    <n v="28339.38"/>
    <x v="27"/>
    <n v="28339.38"/>
    <x v="2"/>
  </r>
  <r>
    <x v="18"/>
    <s v="Stina Alm"/>
    <x v="1"/>
    <x v="78"/>
    <x v="78"/>
    <n v="1.9259999999999999"/>
    <s v="KG"/>
    <n v="0"/>
    <n v="0"/>
    <n v="65.031000000000006"/>
    <n v="17.948000000000004"/>
    <n v="0"/>
    <n v="6991.2844400000013"/>
    <n v="389.53"/>
    <x v="8"/>
    <n v="750.23477999999989"/>
    <x v="3"/>
  </r>
  <r>
    <x v="7"/>
    <s v="Stina Alm"/>
    <x v="1"/>
    <x v="82"/>
    <x v="82"/>
    <n v="1"/>
    <s v="ADET"/>
    <n v="0"/>
    <n v="12"/>
    <n v="13"/>
    <n v="-5"/>
    <n v="0"/>
    <n v="0"/>
    <n v="28339.38"/>
    <x v="27"/>
    <n v="28339.38"/>
    <x v="2"/>
  </r>
  <r>
    <x v="6"/>
    <s v="Stefan Zaugg"/>
    <x v="1"/>
    <x v="77"/>
    <x v="77"/>
    <n v="0.2"/>
    <s v="KG"/>
    <n v="0.2"/>
    <n v="1.8"/>
    <n v="0.84999999999999831"/>
    <n v="-3.25"/>
    <n v="1.75"/>
    <n v="0"/>
    <n v="645.64"/>
    <x v="8"/>
    <n v="129.12800000000001"/>
    <x v="3"/>
  </r>
  <r>
    <x v="5"/>
    <s v="Matteo Giolo"/>
    <x v="1"/>
    <x v="78"/>
    <x v="78"/>
    <n v="2.0499999999999998"/>
    <s v="KG"/>
    <n v="0"/>
    <n v="0"/>
    <n v="65.031000000000006"/>
    <n v="17.948000000000004"/>
    <n v="0"/>
    <n v="6991.2844400000013"/>
    <n v="389.53"/>
    <x v="8"/>
    <n v="798.53649999999982"/>
    <x v="3"/>
  </r>
  <r>
    <x v="5"/>
    <s v="Matteo Giolo"/>
    <x v="1"/>
    <x v="150"/>
    <x v="150"/>
    <n v="2"/>
    <s v="ADET"/>
    <n v="0"/>
    <n v="69"/>
    <n v="22"/>
    <n v="-38"/>
    <n v="0"/>
    <n v="0"/>
    <n v="640"/>
    <x v="29"/>
    <n v="1280"/>
    <x v="7"/>
  </r>
  <r>
    <x v="18"/>
    <s v="Stina Alm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17"/>
    <s v="Soner Kayıkçı"/>
    <x v="1"/>
    <x v="179"/>
    <x v="179"/>
    <n v="1"/>
    <s v="ADET"/>
    <n v="0"/>
    <n v="7"/>
    <n v="4"/>
    <n v="-6"/>
    <n v="0"/>
    <n v="0"/>
    <n v="460"/>
    <x v="62"/>
    <n v="460"/>
    <x v="4"/>
  </r>
  <r>
    <x v="17"/>
    <s v="Soner Kayıkçı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19"/>
    <s v="Laurent MONTAGNER"/>
    <x v="1"/>
    <x v="102"/>
    <x v="102"/>
    <n v="4"/>
    <s v="ADET"/>
    <n v="0"/>
    <n v="200"/>
    <n v="180"/>
    <n v="-184"/>
    <n v="0"/>
    <n v="0"/>
    <n v="5.04"/>
    <x v="5"/>
    <n v="20.16"/>
    <x v="4"/>
  </r>
  <r>
    <x v="19"/>
    <s v="Laurent MONTAGNER"/>
    <x v="1"/>
    <x v="59"/>
    <x v="59"/>
    <n v="5.5"/>
    <s v="METRE"/>
    <n v="0"/>
    <n v="125"/>
    <n v="37.499999999999986"/>
    <n v="-44.100000000000023"/>
    <n v="0"/>
    <n v="0"/>
    <n v="44"/>
    <x v="17"/>
    <n v="242"/>
    <x v="4"/>
  </r>
  <r>
    <x v="19"/>
    <s v="Laurent MONTAGNER"/>
    <x v="1"/>
    <x v="74"/>
    <x v="74"/>
    <n v="4"/>
    <s v="ADET"/>
    <n v="0"/>
    <n v="809"/>
    <n v="0"/>
    <n v="-768"/>
    <n v="0"/>
    <n v="0"/>
    <n v="2.4"/>
    <x v="2"/>
    <n v="9.6"/>
    <x v="1"/>
  </r>
  <r>
    <x v="2"/>
    <s v="Jan Urbanek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3"/>
    <s v="Jan Urbanek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2"/>
    <s v="Jan Urbanek"/>
    <x v="1"/>
    <x v="60"/>
    <x v="60"/>
    <n v="1"/>
    <s v="ADET"/>
    <n v="0"/>
    <n v="6"/>
    <n v="10"/>
    <n v="7"/>
    <n v="0"/>
    <n v="12435.01"/>
    <n v="1776.43"/>
    <x v="3"/>
    <n v="1776.43"/>
    <x v="4"/>
  </r>
  <r>
    <x v="2"/>
    <s v="Jan Urbanek"/>
    <x v="1"/>
    <x v="74"/>
    <x v="74"/>
    <n v="2"/>
    <s v="ADET"/>
    <n v="0"/>
    <n v="809"/>
    <n v="0"/>
    <n v="-768"/>
    <n v="0"/>
    <n v="0"/>
    <n v="2.4"/>
    <x v="2"/>
    <n v="4.8"/>
    <x v="1"/>
  </r>
  <r>
    <x v="3"/>
    <s v="Jan Urbanek"/>
    <x v="1"/>
    <x v="74"/>
    <x v="74"/>
    <n v="2"/>
    <s v="ADET"/>
    <n v="0"/>
    <n v="809"/>
    <n v="0"/>
    <n v="-768"/>
    <n v="0"/>
    <n v="0"/>
    <n v="2.4"/>
    <x v="2"/>
    <n v="4.8"/>
    <x v="1"/>
  </r>
  <r>
    <x v="0"/>
    <s v="Matteo Giolo"/>
    <x v="1"/>
    <x v="74"/>
    <x v="74"/>
    <n v="2"/>
    <s v="ADET"/>
    <n v="0"/>
    <n v="809"/>
    <n v="0"/>
    <n v="-768"/>
    <n v="0"/>
    <n v="0"/>
    <n v="2.4"/>
    <x v="2"/>
    <n v="4.8"/>
    <x v="1"/>
  </r>
  <r>
    <x v="1"/>
    <s v="Laurent MONTAGNER"/>
    <x v="1"/>
    <x v="74"/>
    <x v="74"/>
    <n v="4"/>
    <s v="ADET"/>
    <n v="0"/>
    <n v="809"/>
    <n v="0"/>
    <n v="-768"/>
    <n v="0"/>
    <n v="0"/>
    <n v="2.4"/>
    <x v="2"/>
    <n v="9.6"/>
    <x v="1"/>
  </r>
  <r>
    <x v="6"/>
    <s v="Stefan Zaugg"/>
    <x v="1"/>
    <x v="58"/>
    <x v="58"/>
    <n v="0.1"/>
    <s v="ADET"/>
    <n v="0"/>
    <n v="17"/>
    <n v="3.000000000000016"/>
    <n v="17.100000000000009"/>
    <n v="0"/>
    <n v="2493.6930000000016"/>
    <n v="145.83000000000001"/>
    <x v="1"/>
    <n v="14.583000000000002"/>
    <x v="3"/>
  </r>
  <r>
    <x v="7"/>
    <s v="Stina Alm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1"/>
    <s v="Laurent MONTAGNER"/>
    <x v="1"/>
    <x v="58"/>
    <x v="58"/>
    <n v="1"/>
    <s v="ADET"/>
    <n v="0"/>
    <n v="17"/>
    <n v="3.000000000000016"/>
    <n v="17.100000000000009"/>
    <n v="0"/>
    <n v="2493.6930000000016"/>
    <n v="145.83000000000001"/>
    <x v="1"/>
    <n v="145.83000000000001"/>
    <x v="3"/>
  </r>
  <r>
    <x v="7"/>
    <s v="Stina Alm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5"/>
    <s v="Matteo Giolo"/>
    <x v="1"/>
    <x v="173"/>
    <x v="173"/>
    <n v="4"/>
    <s v="ADET"/>
    <n v="0"/>
    <n v="24"/>
    <n v="22"/>
    <n v="-31"/>
    <n v="50"/>
    <n v="0"/>
    <n v="44"/>
    <x v="60"/>
    <n v="176"/>
    <x v="7"/>
  </r>
  <r>
    <x v="5"/>
    <s v="Matteo Giolo"/>
    <x v="1"/>
    <x v="174"/>
    <x v="174"/>
    <n v="2"/>
    <s v="ADET"/>
    <n v="0"/>
    <n v="22"/>
    <n v="18"/>
    <n v="-6"/>
    <n v="10"/>
    <n v="0"/>
    <n v="400"/>
    <x v="56"/>
    <n v="800"/>
    <x v="7"/>
  </r>
  <r>
    <x v="7"/>
    <s v="Stina Alm"/>
    <x v="1"/>
    <x v="174"/>
    <x v="174"/>
    <n v="2"/>
    <s v="ADET"/>
    <n v="0"/>
    <n v="22"/>
    <n v="18"/>
    <n v="-6"/>
    <n v="10"/>
    <n v="0"/>
    <n v="400"/>
    <x v="56"/>
    <n v="800"/>
    <x v="7"/>
  </r>
  <r>
    <x v="14"/>
    <s v="Matteo Giolo"/>
    <x v="1"/>
    <x v="180"/>
    <x v="180"/>
    <n v="50"/>
    <s v="METRE"/>
    <n v="0"/>
    <n v="0"/>
    <n v="1804.0000000000018"/>
    <n v="300"/>
    <n v="0"/>
    <n v="2904"/>
    <n v="9.68"/>
    <x v="63"/>
    <n v="484"/>
    <x v="8"/>
  </r>
  <r>
    <x v="12"/>
    <s v="Stefan Zaugg"/>
    <x v="1"/>
    <x v="181"/>
    <x v="181"/>
    <n v="6"/>
    <s v="KG"/>
    <n v="6"/>
    <n v="0"/>
    <n v="260.61000000000013"/>
    <n v="97.560000000000016"/>
    <n v="0"/>
    <n v="13285.720800000003"/>
    <n v="136.18"/>
    <x v="64"/>
    <n v="817.08"/>
    <x v="3"/>
  </r>
  <r>
    <x v="11"/>
    <s v="Jan Urbanek"/>
    <x v="1"/>
    <x v="181"/>
    <x v="181"/>
    <n v="7"/>
    <s v="KG"/>
    <n v="0"/>
    <n v="0"/>
    <n v="260.61000000000013"/>
    <n v="97.560000000000016"/>
    <n v="0"/>
    <n v="13285.720800000003"/>
    <n v="136.18"/>
    <x v="64"/>
    <n v="953.26"/>
    <x v="3"/>
  </r>
  <r>
    <x v="14"/>
    <s v="Matteo Giolo"/>
    <x v="1"/>
    <x v="181"/>
    <x v="181"/>
    <n v="8.89"/>
    <s v="KG"/>
    <n v="0"/>
    <n v="0"/>
    <n v="260.61000000000013"/>
    <n v="97.560000000000016"/>
    <n v="0"/>
    <n v="13285.720800000003"/>
    <n v="136.18"/>
    <x v="64"/>
    <n v="1210.6402"/>
    <x v="3"/>
  </r>
  <r>
    <x v="3"/>
    <s v="Jan Urbanek"/>
    <x v="1"/>
    <x v="44"/>
    <x v="44"/>
    <n v="8"/>
    <s v="ADET"/>
    <n v="0"/>
    <n v="175"/>
    <n v="0"/>
    <n v="-95"/>
    <n v="0"/>
    <n v="0"/>
    <n v="8.42"/>
    <x v="5"/>
    <n v="67.36"/>
    <x v="4"/>
  </r>
  <r>
    <x v="4"/>
    <s v="Jan Urbanek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3"/>
    <s v="Jan Urbanek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3"/>
    <s v="Jan Urbanek"/>
    <x v="1"/>
    <x v="87"/>
    <x v="87"/>
    <n v="1"/>
    <s v="ADET"/>
    <n v="0"/>
    <n v="13"/>
    <n v="1"/>
    <n v="24"/>
    <n v="0"/>
    <n v="1570.08"/>
    <n v="65.42"/>
    <x v="1"/>
    <n v="65.42"/>
    <x v="4"/>
  </r>
  <r>
    <x v="4"/>
    <s v="Jan Urbanek"/>
    <x v="1"/>
    <x v="87"/>
    <x v="87"/>
    <n v="1"/>
    <s v="ADET"/>
    <n v="0"/>
    <n v="13"/>
    <n v="1"/>
    <n v="24"/>
    <n v="0"/>
    <n v="1570.08"/>
    <n v="65.42"/>
    <x v="1"/>
    <n v="65.42"/>
    <x v="4"/>
  </r>
  <r>
    <x v="7"/>
    <s v="Stina Alm"/>
    <x v="1"/>
    <x v="89"/>
    <x v="89"/>
    <n v="2"/>
    <s v="ADET"/>
    <n v="0"/>
    <n v="8"/>
    <n v="8"/>
    <n v="-2"/>
    <n v="10"/>
    <n v="0"/>
    <n v="62.83"/>
    <x v="31"/>
    <n v="125.66"/>
    <x v="7"/>
  </r>
  <r>
    <x v="0"/>
    <s v="Matteo Giolo"/>
    <x v="1"/>
    <x v="44"/>
    <x v="44"/>
    <n v="8"/>
    <s v="ADET"/>
    <n v="0"/>
    <n v="175"/>
    <n v="0"/>
    <n v="-95"/>
    <n v="0"/>
    <n v="0"/>
    <n v="8.42"/>
    <x v="5"/>
    <n v="67.36"/>
    <x v="4"/>
  </r>
  <r>
    <x v="8"/>
    <s v="Jan Urbanek"/>
    <x v="1"/>
    <x v="44"/>
    <x v="44"/>
    <n v="8"/>
    <s v="ADET"/>
    <n v="0"/>
    <n v="175"/>
    <n v="0"/>
    <n v="-95"/>
    <n v="0"/>
    <n v="0"/>
    <n v="8.42"/>
    <x v="5"/>
    <n v="67.36"/>
    <x v="4"/>
  </r>
  <r>
    <x v="8"/>
    <s v="Jan Urbanek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8"/>
    <s v="Jan Urbanek"/>
    <x v="1"/>
    <x v="88"/>
    <x v="88"/>
    <n v="1"/>
    <s v="ADET"/>
    <n v="0"/>
    <n v="0"/>
    <n v="16"/>
    <n v="4"/>
    <n v="20"/>
    <n v="10905.68"/>
    <n v="2726.42"/>
    <x v="30"/>
    <n v="2726.42"/>
    <x v="6"/>
  </r>
  <r>
    <x v="8"/>
    <s v="Jan Urbanek"/>
    <x v="1"/>
    <x v="89"/>
    <x v="89"/>
    <n v="1"/>
    <s v="ADET"/>
    <n v="0"/>
    <n v="8"/>
    <n v="8"/>
    <n v="-2"/>
    <n v="10"/>
    <n v="0"/>
    <n v="62.83"/>
    <x v="31"/>
    <n v="62.83"/>
    <x v="7"/>
  </r>
  <r>
    <x v="19"/>
    <s v="Laurent MONTAGNER"/>
    <x v="1"/>
    <x v="88"/>
    <x v="88"/>
    <n v="2.5"/>
    <s v="ADET"/>
    <n v="0"/>
    <n v="0"/>
    <n v="16"/>
    <n v="4"/>
    <n v="20"/>
    <n v="10905.68"/>
    <n v="2726.42"/>
    <x v="30"/>
    <n v="6816.05"/>
    <x v="6"/>
  </r>
  <r>
    <x v="18"/>
    <s v="Stina Alm"/>
    <x v="1"/>
    <x v="89"/>
    <x v="89"/>
    <n v="2"/>
    <s v="ADET"/>
    <n v="0"/>
    <n v="8"/>
    <n v="8"/>
    <n v="-2"/>
    <n v="10"/>
    <n v="0"/>
    <n v="62.83"/>
    <x v="31"/>
    <n v="125.66"/>
    <x v="7"/>
  </r>
  <r>
    <x v="19"/>
    <s v="Laurent MONTAGNER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2"/>
    <s v="Jan Urbanek"/>
    <x v="1"/>
    <x v="44"/>
    <x v="44"/>
    <n v="8"/>
    <s v="ADET"/>
    <n v="0"/>
    <n v="175"/>
    <n v="0"/>
    <n v="-95"/>
    <n v="0"/>
    <n v="0"/>
    <n v="8.42"/>
    <x v="5"/>
    <n v="67.36"/>
    <x v="4"/>
  </r>
  <r>
    <x v="2"/>
    <s v="Jan Urbanek"/>
    <x v="1"/>
    <x v="86"/>
    <x v="86"/>
    <n v="4"/>
    <s v="METRE"/>
    <n v="0"/>
    <n v="125"/>
    <n v="16.500000000000028"/>
    <n v="-24"/>
    <n v="0"/>
    <n v="0"/>
    <n v="80.84"/>
    <x v="17"/>
    <n v="323.36"/>
    <x v="4"/>
  </r>
  <r>
    <x v="2"/>
    <s v="Jan Urbanek"/>
    <x v="1"/>
    <x v="87"/>
    <x v="87"/>
    <n v="1"/>
    <s v="ADET"/>
    <n v="0"/>
    <n v="13"/>
    <n v="1"/>
    <n v="24"/>
    <n v="0"/>
    <n v="1570.08"/>
    <n v="65.42"/>
    <x v="1"/>
    <n v="65.42"/>
    <x v="4"/>
  </r>
  <r>
    <x v="3"/>
    <s v="Jan Urbanek"/>
    <x v="1"/>
    <x v="88"/>
    <x v="88"/>
    <n v="1"/>
    <s v="ADET"/>
    <n v="0"/>
    <n v="0"/>
    <n v="16"/>
    <n v="4"/>
    <n v="20"/>
    <n v="10905.68"/>
    <n v="2726.42"/>
    <x v="30"/>
    <n v="2726.42"/>
    <x v="6"/>
  </r>
  <r>
    <x v="4"/>
    <s v="Jan Urbanek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0"/>
    <s v="Murat Taşdemir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0"/>
    <s v="Murat Taşdemir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15"/>
    <s v="Hayriye Güven"/>
    <x v="1"/>
    <x v="128"/>
    <x v="128"/>
    <n v="1"/>
    <s v="ADET"/>
    <n v="0"/>
    <n v="0"/>
    <n v="4"/>
    <n v="0"/>
    <n v="20"/>
    <n v="0"/>
    <n v="28000"/>
    <x v="48"/>
    <n v="28000"/>
    <x v="7"/>
  </r>
  <r>
    <x v="8"/>
    <s v="Jan Urbanek"/>
    <x v="1"/>
    <x v="123"/>
    <x v="123"/>
    <n v="1"/>
    <s v="ADET"/>
    <n v="0"/>
    <n v="87"/>
    <n v="50.899999999999977"/>
    <n v="-42.900000000000006"/>
    <n v="0"/>
    <n v="0"/>
    <n v="122.09"/>
    <x v="11"/>
    <n v="122.09"/>
    <x v="1"/>
  </r>
  <r>
    <x v="7"/>
    <s v="Stina Alm"/>
    <x v="1"/>
    <x v="125"/>
    <x v="125"/>
    <n v="1"/>
    <s v="ADET"/>
    <n v="0"/>
    <n v="0"/>
    <n v="0"/>
    <n v="2"/>
    <n v="0"/>
    <n v="48928.1"/>
    <n v="24464.05"/>
    <x v="46"/>
    <n v="24464.05"/>
    <x v="2"/>
  </r>
  <r>
    <x v="7"/>
    <s v="Stina Alm"/>
    <x v="1"/>
    <x v="120"/>
    <x v="120"/>
    <n v="32"/>
    <s v="ADET"/>
    <n v="0"/>
    <n v="1100"/>
    <n v="780"/>
    <n v="-832"/>
    <n v="0"/>
    <n v="0"/>
    <n v="0.32"/>
    <x v="2"/>
    <n v="10.24"/>
    <x v="1"/>
  </r>
  <r>
    <x v="11"/>
    <s v="Jan Urbanek"/>
    <x v="1"/>
    <x v="160"/>
    <x v="160"/>
    <n v="5"/>
    <s v="ADET"/>
    <n v="0"/>
    <n v="39"/>
    <n v="36"/>
    <n v="63"/>
    <n v="0"/>
    <n v="6615"/>
    <n v="105"/>
    <x v="58"/>
    <n v="525"/>
    <x v="4"/>
  </r>
  <r>
    <x v="14"/>
    <s v="Matteo Giolo"/>
    <x v="1"/>
    <x v="160"/>
    <x v="160"/>
    <n v="6"/>
    <s v="ADET"/>
    <n v="0"/>
    <n v="39"/>
    <n v="36"/>
    <n v="63"/>
    <n v="0"/>
    <n v="6615"/>
    <n v="105"/>
    <x v="58"/>
    <n v="630"/>
    <x v="4"/>
  </r>
  <r>
    <x v="11"/>
    <s v="Jan Urbanek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4"/>
    <s v="Matteo Giolo"/>
    <x v="1"/>
    <x v="161"/>
    <x v="161"/>
    <n v="1"/>
    <s v="ADET"/>
    <n v="0"/>
    <n v="50"/>
    <n v="33"/>
    <n v="-15"/>
    <n v="0"/>
    <n v="0"/>
    <n v="72.599999999999994"/>
    <x v="2"/>
    <n v="72.599999999999994"/>
    <x v="4"/>
  </r>
  <r>
    <x v="9"/>
    <s v="Stefan Zaugg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12"/>
    <s v="Stefan Zaugg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14"/>
    <s v="Matteo Giolo"/>
    <x v="1"/>
    <x v="163"/>
    <x v="163"/>
    <n v="7.1"/>
    <s v="METRE"/>
    <n v="0"/>
    <n v="100"/>
    <n v="1.9999999999999432"/>
    <n v="-6.4000000000000057"/>
    <n v="0"/>
    <n v="0"/>
    <n v="111"/>
    <x v="23"/>
    <n v="788.09999999999991"/>
    <x v="7"/>
  </r>
  <r>
    <x v="2"/>
    <s v="Jan Urbanek"/>
    <x v="1"/>
    <x v="123"/>
    <x v="123"/>
    <n v="1"/>
    <s v="ADET"/>
    <n v="0"/>
    <n v="87"/>
    <n v="50.899999999999977"/>
    <n v="-42.900000000000006"/>
    <n v="0"/>
    <n v="0"/>
    <n v="122.09"/>
    <x v="11"/>
    <n v="122.09"/>
    <x v="1"/>
  </r>
  <r>
    <x v="3"/>
    <s v="Jan Urbanek"/>
    <x v="1"/>
    <x v="124"/>
    <x v="124"/>
    <n v="2"/>
    <s v="ADET"/>
    <n v="0"/>
    <n v="222"/>
    <n v="90"/>
    <n v="-184"/>
    <n v="0"/>
    <n v="0"/>
    <n v="4"/>
    <x v="29"/>
    <n v="8"/>
    <x v="7"/>
  </r>
  <r>
    <x v="4"/>
    <s v="Jan Urbanek"/>
    <x v="1"/>
    <x v="124"/>
    <x v="124"/>
    <n v="2"/>
    <s v="ADET"/>
    <n v="0"/>
    <n v="222"/>
    <n v="90"/>
    <n v="-184"/>
    <n v="0"/>
    <n v="0"/>
    <n v="4"/>
    <x v="29"/>
    <n v="8"/>
    <x v="7"/>
  </r>
  <r>
    <x v="3"/>
    <s v="Jan Urbanek"/>
    <x v="1"/>
    <x v="127"/>
    <x v="127"/>
    <n v="1.5"/>
    <s v="ADET"/>
    <n v="0"/>
    <n v="14"/>
    <n v="6.7999999999999972"/>
    <n v="7.7000000000000028"/>
    <n v="12"/>
    <n v="2532.1450000000009"/>
    <n v="328.85"/>
    <x v="47"/>
    <n v="493.27500000000003"/>
    <x v="3"/>
  </r>
  <r>
    <x v="4"/>
    <s v="Jan Urbanek"/>
    <x v="1"/>
    <x v="127"/>
    <x v="127"/>
    <n v="2.7"/>
    <s v="ADET"/>
    <n v="0"/>
    <n v="14"/>
    <n v="6.7999999999999972"/>
    <n v="7.7000000000000028"/>
    <n v="12"/>
    <n v="2532.1450000000009"/>
    <n v="328.85"/>
    <x v="47"/>
    <n v="887.8950000000001"/>
    <x v="3"/>
  </r>
  <r>
    <x v="2"/>
    <s v="Jan Urbanek"/>
    <x v="1"/>
    <x v="128"/>
    <x v="128"/>
    <n v="1"/>
    <s v="ADET"/>
    <n v="0"/>
    <n v="0"/>
    <n v="4"/>
    <n v="0"/>
    <n v="20"/>
    <n v="0"/>
    <n v="28000"/>
    <x v="48"/>
    <n v="28000"/>
    <x v="7"/>
  </r>
  <r>
    <x v="2"/>
    <s v="Jan Urbanek"/>
    <x v="1"/>
    <x v="160"/>
    <x v="160"/>
    <n v="5"/>
    <s v="ADET"/>
    <n v="0"/>
    <n v="39"/>
    <n v="36"/>
    <n v="63"/>
    <n v="0"/>
    <n v="6615"/>
    <n v="105"/>
    <x v="58"/>
    <n v="525"/>
    <x v="4"/>
  </r>
  <r>
    <x v="13"/>
    <s v="Volkan Batkan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10"/>
    <s v="Murat Taşdemir"/>
    <x v="1"/>
    <x v="163"/>
    <x v="163"/>
    <n v="8"/>
    <s v="METRE"/>
    <n v="0"/>
    <n v="100"/>
    <n v="1.9999999999999432"/>
    <n v="-6.4000000000000057"/>
    <n v="0"/>
    <n v="0"/>
    <n v="111"/>
    <x v="23"/>
    <n v="888"/>
    <x v="7"/>
  </r>
  <r>
    <x v="8"/>
    <s v="Jan Urbanek"/>
    <x v="1"/>
    <x v="124"/>
    <x v="124"/>
    <n v="2"/>
    <s v="ADET"/>
    <n v="0"/>
    <n v="222"/>
    <n v="90"/>
    <n v="-184"/>
    <n v="0"/>
    <n v="0"/>
    <n v="4"/>
    <x v="29"/>
    <n v="8"/>
    <x v="7"/>
  </r>
  <r>
    <x v="8"/>
    <s v="Jan Urbanek"/>
    <x v="1"/>
    <x v="127"/>
    <x v="127"/>
    <n v="2.7"/>
    <s v="ADET"/>
    <n v="0"/>
    <n v="14"/>
    <n v="6.7999999999999972"/>
    <n v="7.7000000000000028"/>
    <n v="12"/>
    <n v="2532.1450000000009"/>
    <n v="328.85"/>
    <x v="47"/>
    <n v="887.8950000000001"/>
    <x v="3"/>
  </r>
  <r>
    <x v="0"/>
    <s v="Matteo Giolo"/>
    <x v="1"/>
    <x v="121"/>
    <x v="121"/>
    <n v="7"/>
    <s v="ADET"/>
    <n v="0"/>
    <n v="230"/>
    <n v="72"/>
    <n v="-172"/>
    <n v="0"/>
    <n v="0"/>
    <n v="225"/>
    <x v="45"/>
    <n v="1575"/>
    <x v="2"/>
  </r>
  <r>
    <x v="0"/>
    <s v="Matteo Giolo"/>
    <x v="1"/>
    <x v="124"/>
    <x v="124"/>
    <n v="2"/>
    <s v="ADET"/>
    <n v="0"/>
    <n v="222"/>
    <n v="90"/>
    <n v="-184"/>
    <n v="0"/>
    <n v="0"/>
    <n v="4"/>
    <x v="29"/>
    <n v="8"/>
    <x v="7"/>
  </r>
  <r>
    <x v="11"/>
    <s v="Jan Urbanek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14"/>
    <s v="Matteo Giolo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5"/>
    <s v="Matteo Giolo"/>
    <x v="1"/>
    <x v="59"/>
    <x v="59"/>
    <n v="5.5"/>
    <s v="METRE"/>
    <n v="0"/>
    <n v="125"/>
    <n v="37.499999999999986"/>
    <n v="-44.100000000000023"/>
    <n v="0"/>
    <n v="0"/>
    <n v="44"/>
    <x v="17"/>
    <n v="242"/>
    <x v="4"/>
  </r>
  <r>
    <x v="6"/>
    <s v="Stefan Zaugg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18"/>
    <s v="Stina Alm"/>
    <x v="1"/>
    <x v="59"/>
    <x v="59"/>
    <n v="5.5"/>
    <s v="METRE"/>
    <n v="0"/>
    <n v="125"/>
    <n v="37.499999999999986"/>
    <n v="-44.100000000000023"/>
    <n v="0"/>
    <n v="0"/>
    <n v="44"/>
    <x v="17"/>
    <n v="242"/>
    <x v="4"/>
  </r>
  <r>
    <x v="18"/>
    <s v="Stina Alm"/>
    <x v="1"/>
    <x v="60"/>
    <x v="60"/>
    <n v="1"/>
    <s v="ADET"/>
    <n v="0"/>
    <n v="6"/>
    <n v="10"/>
    <n v="7"/>
    <n v="0"/>
    <n v="12435.01"/>
    <n v="1776.43"/>
    <x v="3"/>
    <n v="1776.43"/>
    <x v="4"/>
  </r>
  <r>
    <x v="3"/>
    <s v="Jan Urbanek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4"/>
    <s v="Jan Urbanek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4"/>
    <s v="Jan Urbanek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4"/>
    <s v="Jan Urbanek"/>
    <x v="1"/>
    <x v="60"/>
    <x v="60"/>
    <n v="1"/>
    <s v="ADET"/>
    <n v="0"/>
    <n v="6"/>
    <n v="10"/>
    <n v="7"/>
    <n v="0"/>
    <n v="12435.01"/>
    <n v="1776.43"/>
    <x v="3"/>
    <n v="1776.43"/>
    <x v="4"/>
  </r>
  <r>
    <x v="3"/>
    <s v="Jan Urbanek"/>
    <x v="1"/>
    <x v="60"/>
    <x v="60"/>
    <n v="1"/>
    <s v="ADET"/>
    <n v="0"/>
    <n v="6"/>
    <n v="10"/>
    <n v="7"/>
    <n v="0"/>
    <n v="12435.01"/>
    <n v="1776.43"/>
    <x v="3"/>
    <n v="1776.43"/>
    <x v="4"/>
  </r>
  <r>
    <x v="17"/>
    <s v="Soner Kayıkçı"/>
    <x v="1"/>
    <x v="62"/>
    <x v="62"/>
    <n v="3"/>
    <s v="METRE"/>
    <n v="0"/>
    <n v="100"/>
    <n v="26"/>
    <n v="-85"/>
    <n v="0"/>
    <n v="0"/>
    <n v="49.1"/>
    <x v="23"/>
    <n v="147.30000000000001"/>
    <x v="7"/>
  </r>
  <r>
    <x v="16"/>
    <s v="Laurent MONTAGNER"/>
    <x v="1"/>
    <x v="74"/>
    <x v="74"/>
    <n v="1"/>
    <s v="ADET"/>
    <n v="0"/>
    <n v="809"/>
    <n v="0"/>
    <n v="-768"/>
    <n v="0"/>
    <n v="0"/>
    <n v="2.4"/>
    <x v="2"/>
    <n v="2.4"/>
    <x v="1"/>
  </r>
  <r>
    <x v="8"/>
    <s v="Jan Urbanek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7"/>
    <s v="Stina Alm"/>
    <x v="1"/>
    <x v="47"/>
    <x v="47"/>
    <n v="2"/>
    <s v="ADET"/>
    <n v="0"/>
    <n v="20"/>
    <n v="34"/>
    <n v="18"/>
    <n v="0"/>
    <n v="1476"/>
    <n v="82"/>
    <x v="19"/>
    <n v="164"/>
    <x v="5"/>
  </r>
  <r>
    <x v="6"/>
    <s v="Stefan Zaugg"/>
    <x v="1"/>
    <x v="57"/>
    <x v="57"/>
    <n v="8"/>
    <s v="ADET"/>
    <n v="0"/>
    <n v="113"/>
    <n v="0"/>
    <n v="-97"/>
    <n v="0"/>
    <n v="0"/>
    <n v="75"/>
    <x v="22"/>
    <n v="600"/>
    <x v="4"/>
  </r>
  <r>
    <x v="6"/>
    <s v="Stefan Zaugg"/>
    <x v="1"/>
    <x v="49"/>
    <x v="49"/>
    <n v="1"/>
    <s v="ADET"/>
    <n v="0"/>
    <n v="25"/>
    <n v="18"/>
    <n v="-6"/>
    <n v="0"/>
    <n v="0"/>
    <n v="225"/>
    <x v="14"/>
    <n v="225"/>
    <x v="1"/>
  </r>
  <r>
    <x v="5"/>
    <s v="Matteo Giolo"/>
    <x v="1"/>
    <x v="49"/>
    <x v="49"/>
    <n v="1"/>
    <s v="ADET"/>
    <n v="0"/>
    <n v="25"/>
    <n v="18"/>
    <n v="-6"/>
    <n v="0"/>
    <n v="0"/>
    <n v="225"/>
    <x v="14"/>
    <n v="225"/>
    <x v="1"/>
  </r>
  <r>
    <x v="6"/>
    <s v="Stefan Zaugg"/>
    <x v="1"/>
    <x v="50"/>
    <x v="50"/>
    <n v="25"/>
    <s v="ADET"/>
    <n v="0"/>
    <n v="5200"/>
    <n v="0"/>
    <n v="-5125"/>
    <n v="0"/>
    <n v="0"/>
    <n v="0.08"/>
    <x v="6"/>
    <n v="2"/>
    <x v="1"/>
  </r>
  <r>
    <x v="12"/>
    <s v="Stefan Zaugg"/>
    <x v="1"/>
    <x v="176"/>
    <x v="176"/>
    <n v="1"/>
    <s v="ADET"/>
    <n v="1"/>
    <n v="9"/>
    <n v="8"/>
    <n v="-1"/>
    <n v="5"/>
    <n v="0"/>
    <n v="1200"/>
    <x v="56"/>
    <n v="1200"/>
    <x v="4"/>
  </r>
  <r>
    <x v="13"/>
    <s v="Volkan Batkan"/>
    <x v="1"/>
    <x v="178"/>
    <x v="178"/>
    <n v="12"/>
    <s v="ADET"/>
    <n v="0"/>
    <n v="0"/>
    <n v="0"/>
    <n v="124"/>
    <n v="0"/>
    <n v="217"/>
    <n v="1.75"/>
    <x v="2"/>
    <n v="21"/>
    <x v="1"/>
  </r>
  <r>
    <x v="10"/>
    <s v="Murat Taşdemir"/>
    <x v="1"/>
    <x v="164"/>
    <x v="164"/>
    <n v="24"/>
    <s v="ADET"/>
    <n v="0"/>
    <n v="2700"/>
    <n v="0"/>
    <n v="-2314"/>
    <n v="0"/>
    <n v="0"/>
    <n v="1.55"/>
    <x v="29"/>
    <n v="37.200000000000003"/>
    <x v="7"/>
  </r>
  <r>
    <x v="0"/>
    <s v="Matteo Giolo"/>
    <x v="1"/>
    <x v="51"/>
    <x v="51"/>
    <n v="1"/>
    <s v="ADET"/>
    <n v="0"/>
    <n v="0"/>
    <n v="5"/>
    <n v="0"/>
    <n v="7"/>
    <n v="0"/>
    <n v="1491.67"/>
    <x v="20"/>
    <n v="1491.67"/>
    <x v="2"/>
  </r>
  <r>
    <x v="10"/>
    <s v="Murat Taşdemir"/>
    <x v="1"/>
    <x v="176"/>
    <x v="176"/>
    <n v="1"/>
    <s v="ADET"/>
    <n v="0"/>
    <n v="9"/>
    <n v="8"/>
    <n v="-1"/>
    <n v="5"/>
    <n v="0"/>
    <n v="1200"/>
    <x v="56"/>
    <n v="1200"/>
    <x v="4"/>
  </r>
  <r>
    <x v="14"/>
    <s v="Matteo Giolo"/>
    <x v="1"/>
    <x v="177"/>
    <x v="177"/>
    <n v="13"/>
    <s v="M2"/>
    <n v="0"/>
    <n v="35.700000000000003"/>
    <n v="9.1250000000001279"/>
    <n v="-44.859999999999985"/>
    <n v="95.16"/>
    <n v="0"/>
    <n v="300.55"/>
    <x v="61"/>
    <n v="3907.15"/>
    <x v="8"/>
  </r>
  <r>
    <x v="10"/>
    <s v="Murat Taşdemir"/>
    <x v="1"/>
    <x v="178"/>
    <x v="178"/>
    <n v="12"/>
    <s v="ADET"/>
    <n v="0"/>
    <n v="0"/>
    <n v="0"/>
    <n v="124"/>
    <n v="0"/>
    <n v="217"/>
    <n v="1.75"/>
    <x v="2"/>
    <n v="21"/>
    <x v="1"/>
  </r>
  <r>
    <x v="13"/>
    <s v="Volkan Batkan"/>
    <x v="1"/>
    <x v="164"/>
    <x v="164"/>
    <n v="14"/>
    <s v="ADET"/>
    <n v="0"/>
    <n v="2700"/>
    <n v="0"/>
    <n v="-2314"/>
    <n v="0"/>
    <n v="0"/>
    <n v="1.55"/>
    <x v="29"/>
    <n v="21.7"/>
    <x v="7"/>
  </r>
  <r>
    <x v="4"/>
    <s v="Jan Urbanek"/>
    <x v="1"/>
    <x v="55"/>
    <x v="55"/>
    <n v="2"/>
    <s v="ADET"/>
    <n v="0"/>
    <n v="250"/>
    <n v="3"/>
    <n v="-166"/>
    <n v="0"/>
    <n v="0"/>
    <n v="2"/>
    <x v="6"/>
    <n v="4"/>
    <x v="1"/>
  </r>
  <r>
    <x v="4"/>
    <s v="Jan Urbanek"/>
    <x v="1"/>
    <x v="148"/>
    <x v="148"/>
    <n v="4"/>
    <s v="ADET"/>
    <n v="0"/>
    <n v="250"/>
    <n v="835"/>
    <n v="-134"/>
    <n v="0"/>
    <n v="0"/>
    <n v="1.58"/>
    <x v="5"/>
    <n v="6.32"/>
    <x v="1"/>
  </r>
  <r>
    <x v="12"/>
    <s v="Stefan Zaugg"/>
    <x v="1"/>
    <x v="164"/>
    <x v="164"/>
    <n v="24"/>
    <s v="ADET"/>
    <n v="0"/>
    <n v="2700"/>
    <n v="0"/>
    <n v="-2314"/>
    <n v="0"/>
    <n v="0"/>
    <n v="1.55"/>
    <x v="29"/>
    <n v="37.200000000000003"/>
    <x v="7"/>
  </r>
  <r>
    <x v="4"/>
    <s v="Jan Urbanek"/>
    <x v="1"/>
    <x v="89"/>
    <x v="89"/>
    <n v="1"/>
    <s v="ADET"/>
    <n v="0"/>
    <n v="8"/>
    <n v="8"/>
    <n v="-2"/>
    <n v="10"/>
    <n v="0"/>
    <n v="62.83"/>
    <x v="31"/>
    <n v="62.83"/>
    <x v="7"/>
  </r>
  <r>
    <x v="7"/>
    <s v="Stina Alm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"/>
    <s v="Laurent MONTAGNER"/>
    <x v="1"/>
    <x v="88"/>
    <x v="88"/>
    <n v="2.5"/>
    <s v="ADET"/>
    <n v="0"/>
    <n v="0"/>
    <n v="16"/>
    <n v="4"/>
    <n v="20"/>
    <n v="10905.68"/>
    <n v="2726.42"/>
    <x v="30"/>
    <n v="6816.05"/>
    <x v="6"/>
  </r>
  <r>
    <x v="5"/>
    <s v="Matteo Giolo"/>
    <x v="1"/>
    <x v="88"/>
    <x v="88"/>
    <n v="2"/>
    <s v="ADET"/>
    <n v="0"/>
    <n v="0"/>
    <n v="16"/>
    <n v="4"/>
    <n v="20"/>
    <n v="10905.68"/>
    <n v="2726.42"/>
    <x v="30"/>
    <n v="5452.84"/>
    <x v="6"/>
  </r>
  <r>
    <x v="5"/>
    <s v="Matteo Giolo"/>
    <x v="1"/>
    <x v="89"/>
    <x v="89"/>
    <n v="2"/>
    <s v="ADET"/>
    <n v="0"/>
    <n v="8"/>
    <n v="8"/>
    <n v="-2"/>
    <n v="10"/>
    <n v="0"/>
    <n v="62.83"/>
    <x v="31"/>
    <n v="125.66"/>
    <x v="7"/>
  </r>
  <r>
    <x v="1"/>
    <s v="Laurent MONTAGNER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5"/>
    <s v="Matteo Giolo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7"/>
    <s v="Stina Alm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6"/>
    <s v="Stefan Zaugg"/>
    <x v="1"/>
    <x v="182"/>
    <x v="182"/>
    <n v="1"/>
    <s v="ADET"/>
    <n v="0"/>
    <n v="18"/>
    <n v="28"/>
    <n v="-17"/>
    <n v="0"/>
    <n v="0"/>
    <n v="2"/>
    <x v="6"/>
    <n v="2"/>
    <x v="1"/>
  </r>
  <r>
    <x v="7"/>
    <s v="Stina Alm"/>
    <x v="1"/>
    <x v="66"/>
    <x v="66"/>
    <n v="1"/>
    <s v="ADET"/>
    <n v="0"/>
    <n v="13"/>
    <n v="6"/>
    <n v="0"/>
    <n v="0"/>
    <n v="0"/>
    <n v="1145.83"/>
    <x v="16"/>
    <n v="1145.83"/>
    <x v="2"/>
  </r>
  <r>
    <x v="10"/>
    <s v="Murat Taşdemir"/>
    <x v="1"/>
    <x v="166"/>
    <x v="166"/>
    <n v="1"/>
    <s v="ADET"/>
    <n v="0"/>
    <n v="52"/>
    <n v="2"/>
    <n v="-33"/>
    <n v="0"/>
    <n v="0"/>
    <n v="34"/>
    <x v="2"/>
    <n v="34"/>
    <x v="4"/>
  </r>
  <r>
    <x v="2"/>
    <s v="Jan Urbanek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6"/>
    <s v="Stefan Zaugg"/>
    <x v="1"/>
    <x v="63"/>
    <x v="63"/>
    <n v="1"/>
    <s v="ADET"/>
    <n v="1"/>
    <n v="0"/>
    <n v="1"/>
    <n v="0"/>
    <n v="1"/>
    <n v="0"/>
    <n v="12601.06"/>
    <x v="24"/>
    <n v="12601.06"/>
    <x v="7"/>
  </r>
  <r>
    <x v="6"/>
    <s v="Stefan Zaugg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7"/>
    <s v="Stina Alm"/>
    <x v="1"/>
    <x v="68"/>
    <x v="68"/>
    <n v="4"/>
    <s v="ADET"/>
    <n v="0"/>
    <n v="250"/>
    <n v="0"/>
    <n v="-218"/>
    <n v="0"/>
    <n v="0"/>
    <n v="5.74"/>
    <x v="5"/>
    <n v="22.96"/>
    <x v="1"/>
  </r>
  <r>
    <x v="5"/>
    <s v="Matteo Giolo"/>
    <x v="1"/>
    <x v="68"/>
    <x v="68"/>
    <n v="4"/>
    <s v="ADET"/>
    <n v="0"/>
    <n v="250"/>
    <n v="0"/>
    <n v="-218"/>
    <n v="0"/>
    <n v="0"/>
    <n v="5.74"/>
    <x v="5"/>
    <n v="22.96"/>
    <x v="1"/>
  </r>
  <r>
    <x v="5"/>
    <s v="Matteo Giolo"/>
    <x v="1"/>
    <x v="66"/>
    <x v="66"/>
    <n v="1"/>
    <s v="ADET"/>
    <n v="0"/>
    <n v="13"/>
    <n v="6"/>
    <n v="0"/>
    <n v="0"/>
    <n v="0"/>
    <n v="1145.83"/>
    <x v="16"/>
    <n v="1145.83"/>
    <x v="2"/>
  </r>
  <r>
    <x v="0"/>
    <s v="Matteo Giolo"/>
    <x v="1"/>
    <x v="66"/>
    <x v="66"/>
    <n v="1"/>
    <s v="ADET"/>
    <n v="0"/>
    <n v="13"/>
    <n v="6"/>
    <n v="0"/>
    <n v="0"/>
    <n v="0"/>
    <n v="1145.83"/>
    <x v="16"/>
    <n v="1145.83"/>
    <x v="2"/>
  </r>
  <r>
    <x v="8"/>
    <s v="Jan Urbanek"/>
    <x v="1"/>
    <x v="70"/>
    <x v="70"/>
    <n v="4"/>
    <s v="ADET"/>
    <n v="0"/>
    <n v="100"/>
    <n v="138"/>
    <n v="-84"/>
    <n v="0"/>
    <n v="0"/>
    <n v="8"/>
    <x v="5"/>
    <n v="32"/>
    <x v="4"/>
  </r>
  <r>
    <x v="8"/>
    <s v="Jan Urbanek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2"/>
    <s v="Jan Urbanek"/>
    <x v="1"/>
    <x v="166"/>
    <x v="166"/>
    <n v="1"/>
    <s v="ADET"/>
    <n v="0"/>
    <n v="52"/>
    <n v="2"/>
    <n v="-33"/>
    <n v="0"/>
    <n v="0"/>
    <n v="34"/>
    <x v="2"/>
    <n v="34"/>
    <x v="4"/>
  </r>
  <r>
    <x v="4"/>
    <s v="Jan Urbanek"/>
    <x v="1"/>
    <x v="70"/>
    <x v="70"/>
    <n v="4"/>
    <s v="ADET"/>
    <n v="0"/>
    <n v="100"/>
    <n v="138"/>
    <n v="-84"/>
    <n v="0"/>
    <n v="0"/>
    <n v="8"/>
    <x v="5"/>
    <n v="32"/>
    <x v="4"/>
  </r>
  <r>
    <x v="2"/>
    <s v="Jan Urbanek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3"/>
    <s v="Jan Urbanek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4"/>
    <s v="Jan Urbanek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2"/>
    <s v="Jan Urbanek"/>
    <x v="1"/>
    <x v="71"/>
    <x v="71"/>
    <n v="2"/>
    <s v="ADET"/>
    <n v="0"/>
    <n v="40"/>
    <n v="18"/>
    <n v="-14"/>
    <n v="0"/>
    <n v="0"/>
    <n v="55"/>
    <x v="23"/>
    <n v="110"/>
    <x v="7"/>
  </r>
  <r>
    <x v="5"/>
    <s v="Matteo Giolo"/>
    <x v="1"/>
    <x v="67"/>
    <x v="67"/>
    <n v="6.65"/>
    <s v="METRE"/>
    <n v="0"/>
    <n v="200"/>
    <n v="39.999999999999773"/>
    <n v="-58.699999999999989"/>
    <n v="0"/>
    <n v="0"/>
    <n v="22.5"/>
    <x v="17"/>
    <n v="149.625"/>
    <x v="4"/>
  </r>
  <r>
    <x v="1"/>
    <s v="Laurent MONTAGNER"/>
    <x v="1"/>
    <x v="67"/>
    <x v="67"/>
    <n v="10"/>
    <s v="METRE"/>
    <n v="0"/>
    <n v="200"/>
    <n v="39.999999999999773"/>
    <n v="-58.699999999999989"/>
    <n v="0"/>
    <n v="0"/>
    <n v="22.5"/>
    <x v="17"/>
    <n v="225"/>
    <x v="4"/>
  </r>
  <r>
    <x v="2"/>
    <s v="Jan Urbanek"/>
    <x v="1"/>
    <x v="127"/>
    <x v="127"/>
    <n v="1.5"/>
    <s v="ADET"/>
    <n v="0"/>
    <n v="14"/>
    <n v="6.7999999999999972"/>
    <n v="7.7000000000000028"/>
    <n v="12"/>
    <n v="2532.1450000000009"/>
    <n v="328.85"/>
    <x v="47"/>
    <n v="493.27500000000003"/>
    <x v="3"/>
  </r>
  <r>
    <x v="3"/>
    <s v="Jan Urbanek"/>
    <x v="1"/>
    <x v="128"/>
    <x v="128"/>
    <n v="1"/>
    <s v="ADET"/>
    <n v="0"/>
    <n v="0"/>
    <n v="4"/>
    <n v="0"/>
    <n v="20"/>
    <n v="0"/>
    <n v="28000"/>
    <x v="48"/>
    <n v="28000"/>
    <x v="7"/>
  </r>
  <r>
    <x v="4"/>
    <s v="Jan Urbanek"/>
    <x v="1"/>
    <x v="128"/>
    <x v="128"/>
    <n v="1"/>
    <s v="ADET"/>
    <n v="0"/>
    <n v="0"/>
    <n v="4"/>
    <n v="0"/>
    <n v="20"/>
    <n v="0"/>
    <n v="28000"/>
    <x v="48"/>
    <n v="28000"/>
    <x v="7"/>
  </r>
  <r>
    <x v="3"/>
    <s v="Jan Urbanek"/>
    <x v="1"/>
    <x v="160"/>
    <x v="160"/>
    <n v="5"/>
    <s v="ADET"/>
    <n v="0"/>
    <n v="39"/>
    <n v="36"/>
    <n v="63"/>
    <n v="0"/>
    <n v="6615"/>
    <n v="105"/>
    <x v="58"/>
    <n v="525"/>
    <x v="4"/>
  </r>
  <r>
    <x v="4"/>
    <s v="Jan Urbanek"/>
    <x v="1"/>
    <x v="160"/>
    <x v="160"/>
    <n v="5"/>
    <s v="ADET"/>
    <n v="0"/>
    <n v="39"/>
    <n v="36"/>
    <n v="63"/>
    <n v="0"/>
    <n v="6615"/>
    <n v="105"/>
    <x v="58"/>
    <n v="525"/>
    <x v="4"/>
  </r>
  <r>
    <x v="3"/>
    <s v="Jan Urbanek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4"/>
    <s v="Jan Urbanek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5"/>
    <s v="Matteo Giolo"/>
    <x v="1"/>
    <x v="123"/>
    <x v="123"/>
    <n v="4.5999999999999996"/>
    <s v="ADET"/>
    <n v="0"/>
    <n v="87"/>
    <n v="50.899999999999977"/>
    <n v="-42.900000000000006"/>
    <n v="0"/>
    <n v="0"/>
    <n v="122.09"/>
    <x v="11"/>
    <n v="561.61399999999992"/>
    <x v="1"/>
  </r>
  <r>
    <x v="7"/>
    <s v="Stina Alm"/>
    <x v="1"/>
    <x v="123"/>
    <x v="123"/>
    <n v="6.3"/>
    <s v="ADET"/>
    <n v="0"/>
    <n v="87"/>
    <n v="50.899999999999977"/>
    <n v="-42.900000000000006"/>
    <n v="0"/>
    <n v="0"/>
    <n v="122.09"/>
    <x v="11"/>
    <n v="769.16700000000003"/>
    <x v="1"/>
  </r>
  <r>
    <x v="7"/>
    <s v="Stina Alm"/>
    <x v="1"/>
    <x v="126"/>
    <x v="126"/>
    <n v="4"/>
    <s v="ADET"/>
    <n v="0"/>
    <n v="1000"/>
    <n v="0"/>
    <n v="-964"/>
    <n v="0"/>
    <n v="0"/>
    <n v="1.2"/>
    <x v="2"/>
    <n v="4.8"/>
    <x v="1"/>
  </r>
  <r>
    <x v="3"/>
    <s v="Jan Urbanek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8"/>
    <s v="Jan Urbanek"/>
    <x v="1"/>
    <x v="183"/>
    <x v="183"/>
    <n v="1"/>
    <s v="ADET"/>
    <n v="0"/>
    <n v="26"/>
    <n v="8"/>
    <n v="-22"/>
    <n v="0"/>
    <n v="0"/>
    <n v="368.07"/>
    <x v="65"/>
    <n v="368.07"/>
    <x v="7"/>
  </r>
  <r>
    <x v="16"/>
    <s v="Laurent MONTAGNER"/>
    <x v="1"/>
    <x v="120"/>
    <x v="120"/>
    <n v="11"/>
    <s v="ADET"/>
    <n v="0"/>
    <n v="1100"/>
    <n v="780"/>
    <n v="-832"/>
    <n v="0"/>
    <n v="0"/>
    <n v="0.32"/>
    <x v="2"/>
    <n v="3.52"/>
    <x v="1"/>
  </r>
  <r>
    <x v="17"/>
    <s v="Soner Kayıkçı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7"/>
    <s v="Soner Kayıkçı"/>
    <x v="1"/>
    <x v="121"/>
    <x v="121"/>
    <n v="7"/>
    <s v="ADET"/>
    <n v="0"/>
    <n v="230"/>
    <n v="72"/>
    <n v="-172"/>
    <n v="0"/>
    <n v="0"/>
    <n v="225"/>
    <x v="45"/>
    <n v="1575"/>
    <x v="2"/>
  </r>
  <r>
    <x v="16"/>
    <s v="Laurent MONTAGNER"/>
    <x v="1"/>
    <x v="121"/>
    <x v="121"/>
    <n v="8"/>
    <s v="ADET"/>
    <n v="8"/>
    <n v="230"/>
    <n v="72"/>
    <n v="-172"/>
    <n v="0"/>
    <n v="0"/>
    <n v="225"/>
    <x v="45"/>
    <n v="1800"/>
    <x v="2"/>
  </r>
  <r>
    <x v="2"/>
    <s v="Jan Urbanek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7"/>
    <s v="Stina Alm"/>
    <x v="1"/>
    <x v="121"/>
    <x v="121"/>
    <n v="5"/>
    <s v="ADET"/>
    <n v="0"/>
    <n v="230"/>
    <n v="72"/>
    <n v="-172"/>
    <n v="0"/>
    <n v="0"/>
    <n v="225"/>
    <x v="45"/>
    <n v="1125"/>
    <x v="2"/>
  </r>
  <r>
    <x v="1"/>
    <s v="Laurent MONTAGNER"/>
    <x v="1"/>
    <x v="123"/>
    <x v="123"/>
    <n v="6.8"/>
    <s v="ADET"/>
    <n v="0"/>
    <n v="87"/>
    <n v="50.899999999999977"/>
    <n v="-42.900000000000006"/>
    <n v="0"/>
    <n v="0"/>
    <n v="122.09"/>
    <x v="11"/>
    <n v="830.21199999999999"/>
    <x v="1"/>
  </r>
  <r>
    <x v="6"/>
    <s v="Stefan Zaugg"/>
    <x v="1"/>
    <x v="124"/>
    <x v="124"/>
    <n v="2"/>
    <s v="ADET"/>
    <n v="0"/>
    <n v="222"/>
    <n v="90"/>
    <n v="-184"/>
    <n v="0"/>
    <n v="0"/>
    <n v="4"/>
    <x v="29"/>
    <n v="8"/>
    <x v="7"/>
  </r>
  <r>
    <x v="7"/>
    <s v="Stina Alm"/>
    <x v="1"/>
    <x v="124"/>
    <x v="124"/>
    <n v="2"/>
    <s v="ADET"/>
    <n v="0"/>
    <n v="222"/>
    <n v="90"/>
    <n v="-184"/>
    <n v="0"/>
    <n v="0"/>
    <n v="4"/>
    <x v="29"/>
    <n v="8"/>
    <x v="7"/>
  </r>
  <r>
    <x v="6"/>
    <s v="Stefan Zaugg"/>
    <x v="1"/>
    <x v="126"/>
    <x v="126"/>
    <n v="4"/>
    <s v="ADET"/>
    <n v="0"/>
    <n v="1000"/>
    <n v="0"/>
    <n v="-964"/>
    <n v="0"/>
    <n v="0"/>
    <n v="1.2"/>
    <x v="2"/>
    <n v="4.8"/>
    <x v="1"/>
  </r>
  <r>
    <x v="3"/>
    <s v="Jan Urbanek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4"/>
    <s v="Jan Urbanek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2"/>
    <s v="Jan Urbanek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2"/>
    <s v="Jan Urbanek"/>
    <x v="1"/>
    <x v="184"/>
    <x v="184"/>
    <n v="1"/>
    <s v="ADET"/>
    <n v="0"/>
    <n v="3"/>
    <n v="7"/>
    <n v="2"/>
    <n v="3"/>
    <n v="4955.04"/>
    <n v="2477.52"/>
    <x v="43"/>
    <n v="2477.52"/>
    <x v="7"/>
  </r>
  <r>
    <x v="3"/>
    <s v="Jan Urbanek"/>
    <x v="1"/>
    <x v="184"/>
    <x v="184"/>
    <n v="1"/>
    <s v="ADET"/>
    <n v="0"/>
    <n v="3"/>
    <n v="7"/>
    <n v="2"/>
    <n v="3"/>
    <n v="4955.04"/>
    <n v="2477.52"/>
    <x v="43"/>
    <n v="2477.52"/>
    <x v="7"/>
  </r>
  <r>
    <x v="2"/>
    <s v="Jan Urbanek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17"/>
    <s v="Soner Kayıkçı"/>
    <x v="1"/>
    <x v="109"/>
    <x v="109"/>
    <n v="0.54999999999999993"/>
    <s v="ADET"/>
    <n v="0"/>
    <n v="0"/>
    <n v="5.6000000000000014"/>
    <n v="7.200000000000002"/>
    <n v="0"/>
    <n v="1170.0720000000003"/>
    <n v="162.51"/>
    <x v="8"/>
    <n v="89.380499999999984"/>
    <x v="3"/>
  </r>
  <r>
    <x v="16"/>
    <s v="Laurent MONTAGNER"/>
    <x v="1"/>
    <x v="109"/>
    <x v="109"/>
    <n v="0.75"/>
    <s v="ADET"/>
    <n v="0.75"/>
    <n v="0"/>
    <n v="5.6000000000000014"/>
    <n v="7.200000000000002"/>
    <n v="0"/>
    <n v="1170.0720000000003"/>
    <n v="162.51"/>
    <x v="8"/>
    <n v="121.88249999999999"/>
    <x v="3"/>
  </r>
  <r>
    <x v="16"/>
    <s v="Laurent MONTAGNER"/>
    <x v="1"/>
    <x v="110"/>
    <x v="110"/>
    <n v="1"/>
    <s v="ADET"/>
    <n v="0"/>
    <n v="2"/>
    <n v="8"/>
    <n v="6"/>
    <n v="5"/>
    <n v="18914.400000000001"/>
    <n v="3152.4"/>
    <x v="43"/>
    <n v="3152.4"/>
    <x v="7"/>
  </r>
  <r>
    <x v="17"/>
    <s v="Soner Kayıkçı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6"/>
    <s v="Laurent MONTAGNER"/>
    <x v="1"/>
    <x v="83"/>
    <x v="83"/>
    <n v="14"/>
    <s v="METRE"/>
    <n v="0"/>
    <n v="0"/>
    <n v="0"/>
    <n v="58"/>
    <n v="200"/>
    <n v="232.57999999999998"/>
    <n v="4.01"/>
    <x v="28"/>
    <n v="56.14"/>
    <x v="6"/>
  </r>
  <r>
    <x v="11"/>
    <s v="Jan Urbanek"/>
    <x v="1"/>
    <x v="186"/>
    <x v="186"/>
    <n v="1"/>
    <s v="ADET"/>
    <n v="0"/>
    <n v="0"/>
    <n v="5.5699999999999967"/>
    <n v="5"/>
    <n v="0"/>
    <n v="7083.35"/>
    <n v="1416.67"/>
    <x v="61"/>
    <n v="1416.67"/>
    <x v="8"/>
  </r>
  <r>
    <x v="9"/>
    <s v="Stefan Zaugg"/>
    <x v="1"/>
    <x v="187"/>
    <x v="187"/>
    <n v="2"/>
    <s v="ADET"/>
    <n v="0"/>
    <n v="24"/>
    <n v="18.499999999999979"/>
    <n v="3.899999999999995"/>
    <n v="0"/>
    <n v="467.99999999999943"/>
    <n v="120"/>
    <x v="2"/>
    <n v="240"/>
    <x v="3"/>
  </r>
  <r>
    <x v="6"/>
    <s v="Stefan Zaugg"/>
    <x v="1"/>
    <x v="130"/>
    <x v="130"/>
    <n v="10"/>
    <s v="METRE"/>
    <n v="0"/>
    <n v="0"/>
    <n v="0"/>
    <n v="-220"/>
    <n v="400"/>
    <n v="0"/>
    <n v="5"/>
    <x v="49"/>
    <n v="50"/>
    <x v="1"/>
  </r>
  <r>
    <x v="7"/>
    <s v="Stina Alm"/>
    <x v="1"/>
    <x v="130"/>
    <x v="130"/>
    <n v="10"/>
    <s v="METRE"/>
    <n v="0"/>
    <n v="0"/>
    <n v="0"/>
    <n v="-220"/>
    <n v="400"/>
    <n v="0"/>
    <n v="5"/>
    <x v="49"/>
    <n v="50"/>
    <x v="1"/>
  </r>
  <r>
    <x v="5"/>
    <s v="Matteo Giolo"/>
    <x v="1"/>
    <x v="130"/>
    <x v="130"/>
    <n v="10"/>
    <s v="METRE"/>
    <n v="0"/>
    <n v="0"/>
    <n v="0"/>
    <n v="-220"/>
    <n v="400"/>
    <n v="0"/>
    <n v="5"/>
    <x v="49"/>
    <n v="50"/>
    <x v="1"/>
  </r>
  <r>
    <x v="6"/>
    <s v="Stefan Zaugg"/>
    <x v="1"/>
    <x v="136"/>
    <x v="136"/>
    <n v="35"/>
    <s v="ADET"/>
    <n v="0"/>
    <n v="1000"/>
    <n v="3505"/>
    <n v="-914"/>
    <n v="0"/>
    <n v="0"/>
    <n v="0.63"/>
    <x v="5"/>
    <n v="22.05"/>
    <x v="1"/>
  </r>
  <r>
    <x v="6"/>
    <s v="Stefan Zaugg"/>
    <x v="1"/>
    <x v="131"/>
    <x v="131"/>
    <n v="25"/>
    <s v="ADET"/>
    <n v="0"/>
    <n v="491"/>
    <n v="50"/>
    <n v="-133"/>
    <n v="0"/>
    <n v="0"/>
    <n v="10.65"/>
    <x v="5"/>
    <n v="266.25"/>
    <x v="1"/>
  </r>
  <r>
    <x v="5"/>
    <s v="Matteo Giolo"/>
    <x v="1"/>
    <x v="131"/>
    <x v="131"/>
    <n v="32"/>
    <s v="ADET"/>
    <n v="0"/>
    <n v="491"/>
    <n v="50"/>
    <n v="-133"/>
    <n v="0"/>
    <n v="0"/>
    <n v="10.65"/>
    <x v="5"/>
    <n v="340.8"/>
    <x v="1"/>
  </r>
  <r>
    <x v="7"/>
    <s v="Stina Alm"/>
    <x v="1"/>
    <x v="131"/>
    <x v="131"/>
    <n v="32"/>
    <s v="ADET"/>
    <n v="0"/>
    <n v="491"/>
    <n v="50"/>
    <n v="-133"/>
    <n v="0"/>
    <n v="0"/>
    <n v="10.65"/>
    <x v="5"/>
    <n v="340.8"/>
    <x v="1"/>
  </r>
  <r>
    <x v="11"/>
    <s v="Jan Urbanek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14"/>
    <s v="Matteo Giolo"/>
    <x v="1"/>
    <x v="187"/>
    <x v="187"/>
    <n v="1.7"/>
    <s v="ADET"/>
    <n v="0"/>
    <n v="24"/>
    <n v="18.499999999999979"/>
    <n v="3.899999999999995"/>
    <n v="0"/>
    <n v="467.99999999999943"/>
    <n v="120"/>
    <x v="2"/>
    <n v="204"/>
    <x v="3"/>
  </r>
  <r>
    <x v="10"/>
    <s v="Murat Taşdemir"/>
    <x v="1"/>
    <x v="134"/>
    <x v="134"/>
    <n v="29"/>
    <s v="METRE"/>
    <n v="0"/>
    <n v="150"/>
    <n v="50"/>
    <n v="71"/>
    <n v="0"/>
    <n v="22720"/>
    <n v="320"/>
    <x v="21"/>
    <n v="9280"/>
    <x v="6"/>
  </r>
  <r>
    <x v="2"/>
    <s v="Jan Urbanek"/>
    <x v="1"/>
    <x v="130"/>
    <x v="130"/>
    <n v="10"/>
    <s v="METRE"/>
    <n v="0"/>
    <n v="0"/>
    <n v="0"/>
    <n v="-220"/>
    <n v="400"/>
    <n v="0"/>
    <n v="5"/>
    <x v="49"/>
    <n v="50"/>
    <x v="1"/>
  </r>
  <r>
    <x v="2"/>
    <s v="Jan Urbanek"/>
    <x v="1"/>
    <x v="131"/>
    <x v="131"/>
    <n v="8"/>
    <s v="ADET"/>
    <n v="0"/>
    <n v="491"/>
    <n v="50"/>
    <n v="-133"/>
    <n v="0"/>
    <n v="0"/>
    <n v="10.65"/>
    <x v="5"/>
    <n v="85.2"/>
    <x v="1"/>
  </r>
  <r>
    <x v="1"/>
    <s v="Laurent MONTAGNER"/>
    <x v="1"/>
    <x v="131"/>
    <x v="131"/>
    <n v="15"/>
    <s v="ADET"/>
    <n v="0"/>
    <n v="491"/>
    <n v="50"/>
    <n v="-133"/>
    <n v="0"/>
    <n v="0"/>
    <n v="10.65"/>
    <x v="5"/>
    <n v="159.75"/>
    <x v="1"/>
  </r>
  <r>
    <x v="10"/>
    <s v="Murat Taşdemir"/>
    <x v="1"/>
    <x v="187"/>
    <x v="187"/>
    <n v="2"/>
    <s v="ADET"/>
    <n v="0"/>
    <n v="24"/>
    <n v="18.499999999999979"/>
    <n v="3.899999999999995"/>
    <n v="0"/>
    <n v="467.99999999999943"/>
    <n v="120"/>
    <x v="2"/>
    <n v="240"/>
    <x v="3"/>
  </r>
  <r>
    <x v="14"/>
    <s v="Matteo Giolo"/>
    <x v="1"/>
    <x v="188"/>
    <x v="188"/>
    <n v="1"/>
    <s v="ADET"/>
    <n v="0"/>
    <n v="11"/>
    <n v="3"/>
    <n v="-6"/>
    <n v="0"/>
    <n v="0"/>
    <n v="252"/>
    <x v="66"/>
    <n v="252"/>
    <x v="1"/>
  </r>
  <r>
    <x v="8"/>
    <s v="Jan Urbanek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2"/>
    <s v="Jan Urbanek"/>
    <x v="1"/>
    <x v="135"/>
    <x v="135"/>
    <n v="1"/>
    <s v="ADET"/>
    <n v="0"/>
    <n v="7"/>
    <n v="4"/>
    <n v="5"/>
    <n v="0"/>
    <n v="11000"/>
    <n v="2200"/>
    <x v="52"/>
    <n v="2200"/>
    <x v="4"/>
  </r>
  <r>
    <x v="2"/>
    <s v="Jan Urbanek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3"/>
    <s v="Jan Urbanek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3"/>
    <s v="Jan Urbanek"/>
    <x v="1"/>
    <x v="141"/>
    <x v="141"/>
    <n v="2"/>
    <s v="ADET"/>
    <n v="2"/>
    <n v="23"/>
    <n v="22"/>
    <n v="-9"/>
    <n v="10"/>
    <n v="0"/>
    <n v="71.77"/>
    <x v="43"/>
    <n v="143.54"/>
    <x v="7"/>
  </r>
  <r>
    <x v="1"/>
    <s v="Laurent MONTAGNER"/>
    <x v="1"/>
    <x v="133"/>
    <x v="133"/>
    <n v="3"/>
    <s v="METRE"/>
    <n v="0"/>
    <n v="0"/>
    <n v="45.5"/>
    <n v="8.5"/>
    <n v="0"/>
    <n v="1437.4350000000002"/>
    <n v="169.11"/>
    <x v="51"/>
    <n v="507.33000000000004"/>
    <x v="6"/>
  </r>
  <r>
    <x v="6"/>
    <s v="Stefan Zaugg"/>
    <x v="1"/>
    <x v="167"/>
    <x v="167"/>
    <n v="1"/>
    <s v="ADET"/>
    <n v="0"/>
    <n v="30"/>
    <n v="5.7"/>
    <n v="-28"/>
    <n v="0"/>
    <n v="0"/>
    <n v="199.37"/>
    <x v="42"/>
    <n v="199.37"/>
    <x v="1"/>
  </r>
  <r>
    <x v="10"/>
    <s v="Murat Taşdemir"/>
    <x v="1"/>
    <x v="189"/>
    <x v="189"/>
    <n v="1"/>
    <s v="ADET"/>
    <n v="0"/>
    <n v="4"/>
    <n v="0"/>
    <n v="-1"/>
    <n v="0"/>
    <n v="0"/>
    <n v="3899.59"/>
    <x v="67"/>
    <n v="3899.59"/>
    <x v="2"/>
  </r>
  <r>
    <x v="8"/>
    <s v="Jan Urbanek"/>
    <x v="1"/>
    <x v="71"/>
    <x v="71"/>
    <n v="2"/>
    <s v="ADET"/>
    <n v="0"/>
    <n v="40"/>
    <n v="18"/>
    <n v="-14"/>
    <n v="0"/>
    <n v="0"/>
    <n v="55"/>
    <x v="23"/>
    <n v="110"/>
    <x v="7"/>
  </r>
  <r>
    <x v="3"/>
    <s v="Jan Urbanek"/>
    <x v="1"/>
    <x v="166"/>
    <x v="166"/>
    <n v="1"/>
    <s v="ADET"/>
    <n v="0"/>
    <n v="52"/>
    <n v="2"/>
    <n v="-33"/>
    <n v="0"/>
    <n v="0"/>
    <n v="34"/>
    <x v="2"/>
    <n v="34"/>
    <x v="4"/>
  </r>
  <r>
    <x v="4"/>
    <s v="Jan Urbanek"/>
    <x v="1"/>
    <x v="166"/>
    <x v="166"/>
    <n v="1"/>
    <s v="ADET"/>
    <n v="0"/>
    <n v="52"/>
    <n v="2"/>
    <n v="-33"/>
    <n v="0"/>
    <n v="0"/>
    <n v="34"/>
    <x v="2"/>
    <n v="34"/>
    <x v="4"/>
  </r>
  <r>
    <x v="6"/>
    <s v="Stefan Zaugg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5"/>
    <s v="Matteo Giolo"/>
    <x v="1"/>
    <x v="71"/>
    <x v="71"/>
    <n v="2"/>
    <s v="ADET"/>
    <n v="0"/>
    <n v="40"/>
    <n v="18"/>
    <n v="-14"/>
    <n v="0"/>
    <n v="0"/>
    <n v="55"/>
    <x v="23"/>
    <n v="110"/>
    <x v="7"/>
  </r>
  <r>
    <x v="0"/>
    <s v="Matteo Giolo"/>
    <x v="1"/>
    <x v="166"/>
    <x v="166"/>
    <n v="1"/>
    <s v="ADET"/>
    <n v="0"/>
    <n v="52"/>
    <n v="2"/>
    <n v="-33"/>
    <n v="0"/>
    <n v="0"/>
    <n v="34"/>
    <x v="2"/>
    <n v="34"/>
    <x v="4"/>
  </r>
  <r>
    <x v="18"/>
    <s v="Stina Alm"/>
    <x v="1"/>
    <x v="65"/>
    <x v="65"/>
    <n v="25"/>
    <s v="ADET"/>
    <n v="0"/>
    <n v="2600"/>
    <n v="292"/>
    <n v="-2145"/>
    <n v="0"/>
    <n v="0"/>
    <n v="0.4"/>
    <x v="2"/>
    <n v="10"/>
    <x v="1"/>
  </r>
  <r>
    <x v="18"/>
    <s v="Stina Alm"/>
    <x v="1"/>
    <x v="68"/>
    <x v="68"/>
    <n v="4"/>
    <s v="ADET"/>
    <n v="0"/>
    <n v="250"/>
    <n v="0"/>
    <n v="-218"/>
    <n v="0"/>
    <n v="0"/>
    <n v="5.74"/>
    <x v="5"/>
    <n v="22.96"/>
    <x v="1"/>
  </r>
  <r>
    <x v="0"/>
    <s v="Matteo Giolo"/>
    <x v="1"/>
    <x v="98"/>
    <x v="98"/>
    <n v="4"/>
    <s v="METRE"/>
    <n v="0"/>
    <n v="100"/>
    <n v="105.5"/>
    <n v="-8"/>
    <n v="0"/>
    <n v="0"/>
    <n v="131.25"/>
    <x v="23"/>
    <n v="525"/>
    <x v="7"/>
  </r>
  <r>
    <x v="0"/>
    <s v="Matteo Giolo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6"/>
    <s v="Laurent MONTAGNER"/>
    <x v="1"/>
    <x v="101"/>
    <x v="101"/>
    <n v="3"/>
    <s v="KG"/>
    <n v="0"/>
    <n v="30"/>
    <n v="21.5"/>
    <n v="6"/>
    <n v="0"/>
    <n v="708.84"/>
    <n v="118.14"/>
    <x v="36"/>
    <n v="354.42"/>
    <x v="3"/>
  </r>
  <r>
    <x v="17"/>
    <s v="Soner Kayıkçı"/>
    <x v="1"/>
    <x v="190"/>
    <x v="190"/>
    <n v="3"/>
    <s v="ADET"/>
    <n v="0"/>
    <n v="24"/>
    <n v="30"/>
    <n v="-24"/>
    <n v="50"/>
    <n v="0"/>
    <n v="37"/>
    <x v="12"/>
    <n v="111"/>
    <x v="4"/>
  </r>
  <r>
    <x v="16"/>
    <s v="Laurent MONTAGNER"/>
    <x v="1"/>
    <x v="190"/>
    <x v="190"/>
    <n v="1"/>
    <s v="ADET"/>
    <n v="0"/>
    <n v="24"/>
    <n v="30"/>
    <n v="-24"/>
    <n v="50"/>
    <n v="0"/>
    <n v="37"/>
    <x v="12"/>
    <n v="37"/>
    <x v="4"/>
  </r>
  <r>
    <x v="6"/>
    <s v="Stefan Zaugg"/>
    <x v="1"/>
    <x v="98"/>
    <x v="98"/>
    <n v="5"/>
    <s v="METRE"/>
    <n v="0"/>
    <n v="100"/>
    <n v="105.5"/>
    <n v="-8"/>
    <n v="0"/>
    <n v="0"/>
    <n v="131.25"/>
    <x v="23"/>
    <n v="656.25"/>
    <x v="7"/>
  </r>
  <r>
    <x v="5"/>
    <s v="Matteo Giolo"/>
    <x v="1"/>
    <x v="98"/>
    <x v="98"/>
    <n v="8"/>
    <s v="METRE"/>
    <n v="0"/>
    <n v="100"/>
    <n v="105.5"/>
    <n v="-8"/>
    <n v="0"/>
    <n v="0"/>
    <n v="131.25"/>
    <x v="23"/>
    <n v="1050"/>
    <x v="7"/>
  </r>
  <r>
    <x v="6"/>
    <s v="Stefan Zaugg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5"/>
    <s v="Matteo Giolo"/>
    <x v="1"/>
    <x v="99"/>
    <x v="99"/>
    <n v="0.18"/>
    <s v="ADET"/>
    <n v="0"/>
    <n v="0"/>
    <n v="-4.4408920985006262E-16"/>
    <n v="2.5820000000000007"/>
    <n v="0"/>
    <n v="4066.650000000001"/>
    <n v="1575"/>
    <x v="34"/>
    <n v="283.5"/>
    <x v="4"/>
  </r>
  <r>
    <x v="18"/>
    <s v="Stina Alm"/>
    <x v="1"/>
    <x v="99"/>
    <x v="99"/>
    <n v="0.18"/>
    <s v="ADET"/>
    <n v="0"/>
    <n v="0"/>
    <n v="-4.4408920985006262E-16"/>
    <n v="2.5820000000000007"/>
    <n v="0"/>
    <n v="4066.650000000001"/>
    <n v="1575"/>
    <x v="34"/>
    <n v="283.5"/>
    <x v="4"/>
  </r>
  <r>
    <x v="16"/>
    <s v="Laurent MONTAGNER"/>
    <x v="1"/>
    <x v="100"/>
    <x v="100"/>
    <n v="0.2"/>
    <s v="ADET"/>
    <n v="0"/>
    <n v="5"/>
    <n v="0"/>
    <n v="4.6000000000000032"/>
    <n v="5"/>
    <n v="5276.2000000000035"/>
    <n v="1147"/>
    <x v="35"/>
    <n v="229.4"/>
    <x v="6"/>
  </r>
  <r>
    <x v="17"/>
    <s v="Soner Kayıkçı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10"/>
    <s v="Murat Taşdemir"/>
    <x v="1"/>
    <x v="190"/>
    <x v="190"/>
    <n v="1"/>
    <s v="ADET"/>
    <n v="0"/>
    <n v="24"/>
    <n v="30"/>
    <n v="-24"/>
    <n v="50"/>
    <n v="0"/>
    <n v="37"/>
    <x v="12"/>
    <n v="37"/>
    <x v="4"/>
  </r>
  <r>
    <x v="17"/>
    <s v="Soner Kayıkçı"/>
    <x v="1"/>
    <x v="98"/>
    <x v="98"/>
    <n v="4"/>
    <s v="METRE"/>
    <n v="0"/>
    <n v="100"/>
    <n v="105.5"/>
    <n v="-8"/>
    <n v="0"/>
    <n v="0"/>
    <n v="131.25"/>
    <x v="23"/>
    <n v="525"/>
    <x v="7"/>
  </r>
  <r>
    <x v="16"/>
    <s v="Laurent MONTAGNER"/>
    <x v="1"/>
    <x v="98"/>
    <x v="98"/>
    <n v="5.5"/>
    <s v="METRE"/>
    <n v="0"/>
    <n v="100"/>
    <n v="105.5"/>
    <n v="-8"/>
    <n v="0"/>
    <n v="0"/>
    <n v="131.25"/>
    <x v="23"/>
    <n v="721.875"/>
    <x v="7"/>
  </r>
  <r>
    <x v="17"/>
    <s v="Soner Kayıkçı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9"/>
    <s v="Laurent MONTAGNER"/>
    <x v="1"/>
    <x v="99"/>
    <x v="99"/>
    <n v="0.18"/>
    <s v="ADET"/>
    <n v="0"/>
    <n v="0"/>
    <n v="-4.4408920985006262E-16"/>
    <n v="2.5820000000000007"/>
    <n v="0"/>
    <n v="4066.650000000001"/>
    <n v="1575"/>
    <x v="34"/>
    <n v="283.5"/>
    <x v="4"/>
  </r>
  <r>
    <x v="16"/>
    <s v="Laurent MONTAGNER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14"/>
    <s v="Matteo Giolo"/>
    <x v="1"/>
    <x v="164"/>
    <x v="164"/>
    <n v="26"/>
    <s v="ADET"/>
    <n v="0"/>
    <n v="2700"/>
    <n v="0"/>
    <n v="-2314"/>
    <n v="0"/>
    <n v="0"/>
    <n v="1.55"/>
    <x v="29"/>
    <n v="40.300000000000004"/>
    <x v="7"/>
  </r>
  <r>
    <x v="8"/>
    <s v="Jan Urbanek"/>
    <x v="1"/>
    <x v="148"/>
    <x v="148"/>
    <n v="4"/>
    <s v="ADET"/>
    <n v="0"/>
    <n v="250"/>
    <n v="835"/>
    <n v="-134"/>
    <n v="0"/>
    <n v="0"/>
    <n v="1.58"/>
    <x v="5"/>
    <n v="6.32"/>
    <x v="1"/>
  </r>
  <r>
    <x v="2"/>
    <s v="Jan Urbanek"/>
    <x v="1"/>
    <x v="176"/>
    <x v="176"/>
    <n v="1"/>
    <s v="ADET"/>
    <n v="0"/>
    <n v="9"/>
    <n v="8"/>
    <n v="-1"/>
    <n v="5"/>
    <n v="0"/>
    <n v="1200"/>
    <x v="56"/>
    <n v="1200"/>
    <x v="4"/>
  </r>
  <r>
    <x v="5"/>
    <s v="Matteo Giolo"/>
    <x v="1"/>
    <x v="52"/>
    <x v="52"/>
    <n v="32.92"/>
    <s v="KG"/>
    <n v="0"/>
    <n v="289.7"/>
    <n v="148.12000000000026"/>
    <n v="-230.76999999999987"/>
    <n v="289.7"/>
    <n v="0"/>
    <n v="96.37"/>
    <x v="8"/>
    <n v="3172.5004000000004"/>
    <x v="3"/>
  </r>
  <r>
    <x v="7"/>
    <s v="Stina Alm"/>
    <x v="1"/>
    <x v="52"/>
    <x v="52"/>
    <n v="30.519999999999996"/>
    <s v="KG"/>
    <n v="0"/>
    <n v="289.7"/>
    <n v="148.12000000000026"/>
    <n v="-230.76999999999987"/>
    <n v="289.7"/>
    <n v="0"/>
    <n v="96.37"/>
    <x v="8"/>
    <n v="2941.2123999999999"/>
    <x v="3"/>
  </r>
  <r>
    <x v="7"/>
    <s v="Stina Alm"/>
    <x v="1"/>
    <x v="53"/>
    <x v="53"/>
    <n v="2.9299999999999997"/>
    <s v="KG"/>
    <n v="0"/>
    <n v="66"/>
    <n v="36.349999999999952"/>
    <n v="-17.090000000000018"/>
    <n v="0"/>
    <n v="0"/>
    <n v="129.63"/>
    <x v="2"/>
    <n v="379.81589999999994"/>
    <x v="3"/>
  </r>
  <r>
    <x v="6"/>
    <s v="Stefan Zaugg"/>
    <x v="1"/>
    <x v="54"/>
    <x v="54"/>
    <n v="21"/>
    <s v="METRE"/>
    <n v="0"/>
    <n v="150"/>
    <n v="0"/>
    <n v="-76"/>
    <n v="0"/>
    <n v="0"/>
    <n v="320"/>
    <x v="21"/>
    <n v="6720"/>
    <x v="6"/>
  </r>
  <r>
    <x v="7"/>
    <s v="Stina Alm"/>
    <x v="1"/>
    <x v="55"/>
    <x v="55"/>
    <n v="8"/>
    <s v="ADET"/>
    <n v="0"/>
    <n v="250"/>
    <n v="3"/>
    <n v="-166"/>
    <n v="0"/>
    <n v="0"/>
    <n v="2"/>
    <x v="6"/>
    <n v="16"/>
    <x v="1"/>
  </r>
  <r>
    <x v="1"/>
    <s v="Laurent MONTAGNER"/>
    <x v="1"/>
    <x v="148"/>
    <x v="148"/>
    <n v="8"/>
    <s v="ADET"/>
    <n v="0"/>
    <n v="250"/>
    <n v="835"/>
    <n v="-134"/>
    <n v="0"/>
    <n v="0"/>
    <n v="1.58"/>
    <x v="5"/>
    <n v="12.64"/>
    <x v="1"/>
  </r>
  <r>
    <x v="8"/>
    <s v="Jan Urbanek"/>
    <x v="1"/>
    <x v="55"/>
    <x v="55"/>
    <n v="2"/>
    <s v="ADET"/>
    <n v="0"/>
    <n v="250"/>
    <n v="3"/>
    <n v="-166"/>
    <n v="0"/>
    <n v="0"/>
    <n v="2"/>
    <x v="6"/>
    <n v="4"/>
    <x v="1"/>
  </r>
  <r>
    <x v="5"/>
    <s v="Matteo Giolo"/>
    <x v="1"/>
    <x v="191"/>
    <x v="191"/>
    <n v="1.2"/>
    <s v="METRE"/>
    <n v="0"/>
    <n v="0"/>
    <n v="50.000000000000043"/>
    <n v="1.2"/>
    <n v="0"/>
    <n v="112.848"/>
    <n v="94.04"/>
    <x v="62"/>
    <n v="112.848"/>
    <x v="4"/>
  </r>
  <r>
    <x v="7"/>
    <s v="Stina Alm"/>
    <x v="1"/>
    <x v="192"/>
    <x v="192"/>
    <n v="9"/>
    <s v="METRE"/>
    <n v="0"/>
    <n v="480"/>
    <n v="0"/>
    <n v="-471"/>
    <n v="0"/>
    <n v="0"/>
    <n v="5"/>
    <x v="6"/>
    <n v="45"/>
    <x v="8"/>
  </r>
  <r>
    <x v="5"/>
    <s v="Matteo Giolo"/>
    <x v="1"/>
    <x v="55"/>
    <x v="55"/>
    <n v="8"/>
    <s v="ADET"/>
    <n v="0"/>
    <n v="250"/>
    <n v="3"/>
    <n v="-166"/>
    <n v="0"/>
    <n v="0"/>
    <n v="2"/>
    <x v="6"/>
    <n v="16"/>
    <x v="1"/>
  </r>
  <r>
    <x v="5"/>
    <s v="Matteo Giolo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7"/>
    <s v="Stina Alm"/>
    <x v="1"/>
    <x v="105"/>
    <x v="105"/>
    <n v="48"/>
    <s v="ADET"/>
    <n v="0"/>
    <n v="1200"/>
    <n v="196"/>
    <n v="-291"/>
    <n v="0"/>
    <n v="0"/>
    <n v="12.5"/>
    <x v="39"/>
    <n v="600"/>
    <x v="1"/>
  </r>
  <r>
    <x v="7"/>
    <s v="Stina Alm"/>
    <x v="1"/>
    <x v="118"/>
    <x v="118"/>
    <n v="4"/>
    <s v="ADET"/>
    <n v="0"/>
    <n v="1000"/>
    <n v="0"/>
    <n v="-960"/>
    <n v="0"/>
    <n v="0"/>
    <n v="0.64"/>
    <x v="2"/>
    <n v="2.56"/>
    <x v="1"/>
  </r>
  <r>
    <x v="1"/>
    <s v="Laurent MONTAGNER"/>
    <x v="1"/>
    <x v="118"/>
    <x v="118"/>
    <n v="4"/>
    <s v="ADET"/>
    <n v="0"/>
    <n v="1000"/>
    <n v="0"/>
    <n v="-960"/>
    <n v="0"/>
    <n v="0"/>
    <n v="0.64"/>
    <x v="2"/>
    <n v="2.56"/>
    <x v="1"/>
  </r>
  <r>
    <x v="0"/>
    <s v="Matteo Giolo"/>
    <x v="1"/>
    <x v="105"/>
    <x v="105"/>
    <n v="49"/>
    <s v="ADET"/>
    <n v="0"/>
    <n v="1200"/>
    <n v="196"/>
    <n v="-291"/>
    <n v="0"/>
    <n v="0"/>
    <n v="12.5"/>
    <x v="39"/>
    <n v="612.5"/>
    <x v="1"/>
  </r>
  <r>
    <x v="1"/>
    <s v="Laurent MONTAGNER"/>
    <x v="1"/>
    <x v="105"/>
    <x v="105"/>
    <n v="46"/>
    <s v="ADET"/>
    <n v="0"/>
    <n v="1200"/>
    <n v="196"/>
    <n v="-291"/>
    <n v="0"/>
    <n v="0"/>
    <n v="12.5"/>
    <x v="39"/>
    <n v="575"/>
    <x v="1"/>
  </r>
  <r>
    <x v="19"/>
    <s v="Laurent MONTAGNER"/>
    <x v="1"/>
    <x v="105"/>
    <x v="105"/>
    <n v="46"/>
    <s v="ADET"/>
    <n v="0"/>
    <n v="1200"/>
    <n v="196"/>
    <n v="-291"/>
    <n v="0"/>
    <n v="0"/>
    <n v="12.5"/>
    <x v="39"/>
    <n v="575"/>
    <x v="1"/>
  </r>
  <r>
    <x v="19"/>
    <s v="Laurent MONTAGNER"/>
    <x v="1"/>
    <x v="106"/>
    <x v="106"/>
    <n v="1"/>
    <s v="ADET"/>
    <n v="0"/>
    <n v="0"/>
    <n v="5.3290705182007514E-15"/>
    <n v="-5.0999999999999996"/>
    <n v="10"/>
    <n v="0"/>
    <n v="255.55"/>
    <x v="40"/>
    <n v="255.55"/>
    <x v="3"/>
  </r>
  <r>
    <x v="19"/>
    <s v="Laurent MONTAGNER"/>
    <x v="1"/>
    <x v="118"/>
    <x v="118"/>
    <n v="4"/>
    <s v="ADET"/>
    <n v="0"/>
    <n v="1000"/>
    <n v="0"/>
    <n v="-960"/>
    <n v="0"/>
    <n v="0"/>
    <n v="0.64"/>
    <x v="2"/>
    <n v="2.56"/>
    <x v="1"/>
  </r>
  <r>
    <x v="16"/>
    <s v="Laurent MONTAGNER"/>
    <x v="1"/>
    <x v="118"/>
    <x v="118"/>
    <n v="4"/>
    <s v="ADET"/>
    <n v="0"/>
    <n v="1000"/>
    <n v="0"/>
    <n v="-960"/>
    <n v="0"/>
    <n v="0"/>
    <n v="0.64"/>
    <x v="2"/>
    <n v="2.56"/>
    <x v="1"/>
  </r>
  <r>
    <x v="16"/>
    <s v="Laurent MONTAGNER"/>
    <x v="1"/>
    <x v="107"/>
    <x v="107"/>
    <n v="1"/>
    <s v="ADET"/>
    <n v="0"/>
    <n v="0"/>
    <n v="0"/>
    <n v="9"/>
    <n v="0"/>
    <n v="540"/>
    <n v="60"/>
    <x v="41"/>
    <n v="60"/>
    <x v="2"/>
  </r>
  <r>
    <x v="6"/>
    <s v="Stefan Zaugg"/>
    <x v="1"/>
    <x v="105"/>
    <x v="105"/>
    <n v="47"/>
    <s v="ADET"/>
    <n v="0"/>
    <n v="1200"/>
    <n v="196"/>
    <n v="-291"/>
    <n v="0"/>
    <n v="0"/>
    <n v="12.5"/>
    <x v="39"/>
    <n v="587.5"/>
    <x v="1"/>
  </r>
  <r>
    <x v="6"/>
    <s v="Stefan Zaugg"/>
    <x v="1"/>
    <x v="118"/>
    <x v="118"/>
    <n v="4"/>
    <s v="ADET"/>
    <n v="0"/>
    <n v="1000"/>
    <n v="0"/>
    <n v="-960"/>
    <n v="0"/>
    <n v="0"/>
    <n v="0.64"/>
    <x v="2"/>
    <n v="2.56"/>
    <x v="1"/>
  </r>
  <r>
    <x v="16"/>
    <s v="Laurent MONTAGNER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17"/>
    <s v="Soner Kayıkçı"/>
    <x v="1"/>
    <x v="117"/>
    <x v="117"/>
    <n v="0.02"/>
    <s v="KG"/>
    <n v="0"/>
    <n v="0"/>
    <n v="-4.4408920985006262E-16"/>
    <n v="1.37"/>
    <n v="0"/>
    <n v="195.22500000000002"/>
    <n v="142.5"/>
    <x v="14"/>
    <n v="2.85"/>
    <x v="3"/>
  </r>
  <r>
    <x v="16"/>
    <s v="Laurent MONTAGNER"/>
    <x v="1"/>
    <x v="106"/>
    <x v="106"/>
    <n v="0.5"/>
    <s v="ADET"/>
    <n v="0"/>
    <n v="0"/>
    <n v="5.3290705182007514E-15"/>
    <n v="-5.0999999999999996"/>
    <n v="10"/>
    <n v="0"/>
    <n v="255.55"/>
    <x v="40"/>
    <n v="127.77500000000001"/>
    <x v="3"/>
  </r>
  <r>
    <x v="7"/>
    <s v="Stina Alm"/>
    <x v="1"/>
    <x v="133"/>
    <x v="133"/>
    <n v="2"/>
    <s v="METRE"/>
    <n v="0"/>
    <n v="0"/>
    <n v="45.5"/>
    <n v="8.5"/>
    <n v="0"/>
    <n v="1437.4350000000002"/>
    <n v="169.11"/>
    <x v="51"/>
    <n v="338.22"/>
    <x v="6"/>
  </r>
  <r>
    <x v="4"/>
    <s v="Jan Urbanek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2"/>
    <s v="Jan Urbanek"/>
    <x v="1"/>
    <x v="141"/>
    <x v="141"/>
    <n v="2"/>
    <s v="ADET"/>
    <n v="0"/>
    <n v="23"/>
    <n v="22"/>
    <n v="-9"/>
    <n v="10"/>
    <n v="0"/>
    <n v="71.77"/>
    <x v="43"/>
    <n v="143.54"/>
    <x v="7"/>
  </r>
  <r>
    <x v="3"/>
    <s v="Jan Urbanek"/>
    <x v="1"/>
    <x v="135"/>
    <x v="135"/>
    <n v="1"/>
    <s v="ADET"/>
    <n v="0"/>
    <n v="7"/>
    <n v="4"/>
    <n v="5"/>
    <n v="0"/>
    <n v="11000"/>
    <n v="2200"/>
    <x v="52"/>
    <n v="2200"/>
    <x v="4"/>
  </r>
  <r>
    <x v="4"/>
    <s v="Jan Urbanek"/>
    <x v="1"/>
    <x v="135"/>
    <x v="135"/>
    <n v="1"/>
    <s v="ADET"/>
    <n v="0"/>
    <n v="7"/>
    <n v="4"/>
    <n v="5"/>
    <n v="0"/>
    <n v="11000"/>
    <n v="2200"/>
    <x v="52"/>
    <n v="2200"/>
    <x v="4"/>
  </r>
  <r>
    <x v="11"/>
    <s v="Jan Urbanek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5"/>
    <s v="Hayriye Güven"/>
    <x v="1"/>
    <x v="193"/>
    <x v="193"/>
    <n v="3.4499999999999997"/>
    <s v="KG"/>
    <n v="0"/>
    <n v="0"/>
    <n v="0"/>
    <n v="3.4499999999999997"/>
    <n v="0"/>
    <n v="399.44099999999997"/>
    <n v="115.78"/>
    <x v="8"/>
    <n v="399.44099999999997"/>
    <x v="3"/>
  </r>
  <r>
    <x v="10"/>
    <s v="Murat Taşdemir"/>
    <x v="1"/>
    <x v="169"/>
    <x v="169"/>
    <n v="125.66"/>
    <s v="KG"/>
    <n v="125.66"/>
    <n v="1840"/>
    <n v="973.6200000000008"/>
    <n v="-1630.1299999999997"/>
    <n v="920"/>
    <n v="0"/>
    <n v="94.86"/>
    <x v="8"/>
    <n v="11920.107599999999"/>
    <x v="3"/>
  </r>
  <r>
    <x v="15"/>
    <s v="Hayriye Güven"/>
    <x v="1"/>
    <x v="169"/>
    <x v="169"/>
    <n v="47.8"/>
    <s v="KG"/>
    <n v="0"/>
    <n v="1840"/>
    <n v="973.6200000000008"/>
    <n v="-1630.1299999999997"/>
    <n v="920"/>
    <n v="0"/>
    <n v="94.86"/>
    <x v="8"/>
    <n v="4534.308"/>
    <x v="3"/>
  </r>
  <r>
    <x v="11"/>
    <s v="Jan Urbanek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10"/>
    <s v="Murat Taşdemir"/>
    <x v="1"/>
    <x v="143"/>
    <x v="143"/>
    <n v="0.1"/>
    <s v="ADET"/>
    <n v="0"/>
    <n v="1"/>
    <n v="0.93000000000000205"/>
    <n v="0.26000000000000023"/>
    <n v="0"/>
    <n v="396.50000000000034"/>
    <n v="1525"/>
    <x v="2"/>
    <n v="152.5"/>
    <x v="1"/>
  </r>
  <r>
    <x v="11"/>
    <s v="Jan Urbanek"/>
    <x v="1"/>
    <x v="169"/>
    <x v="169"/>
    <n v="108.01"/>
    <s v="KG"/>
    <n v="0"/>
    <n v="1840"/>
    <n v="973.6200000000008"/>
    <n v="-1630.1299999999997"/>
    <n v="920"/>
    <n v="0"/>
    <n v="94.86"/>
    <x v="8"/>
    <n v="10245.828600000001"/>
    <x v="3"/>
  </r>
  <r>
    <x v="9"/>
    <s v="Stefan Zaugg"/>
    <x v="1"/>
    <x v="145"/>
    <x v="145"/>
    <n v="0.01"/>
    <s v="ADET"/>
    <n v="0"/>
    <n v="6"/>
    <n v="22.53"/>
    <n v="-5.5"/>
    <n v="0"/>
    <n v="0"/>
    <n v="133"/>
    <x v="55"/>
    <n v="1.33"/>
    <x v="3"/>
  </r>
  <r>
    <x v="12"/>
    <s v="Stefan Zaugg"/>
    <x v="1"/>
    <x v="145"/>
    <x v="145"/>
    <n v="0.01"/>
    <s v="ADET"/>
    <n v="0"/>
    <n v="6"/>
    <n v="22.53"/>
    <n v="-5.5"/>
    <n v="0"/>
    <n v="0"/>
    <n v="133"/>
    <x v="55"/>
    <n v="1.33"/>
    <x v="3"/>
  </r>
  <r>
    <x v="14"/>
    <s v="Matteo Giolo"/>
    <x v="1"/>
    <x v="145"/>
    <x v="145"/>
    <n v="0.12000000000000001"/>
    <s v="ADET"/>
    <n v="0"/>
    <n v="6"/>
    <n v="22.53"/>
    <n v="-5.5"/>
    <n v="0"/>
    <n v="0"/>
    <n v="133"/>
    <x v="55"/>
    <n v="15.96"/>
    <x v="3"/>
  </r>
  <r>
    <x v="13"/>
    <s v="Volkan Batkan"/>
    <x v="1"/>
    <x v="145"/>
    <x v="145"/>
    <n v="0.01"/>
    <s v="ADET"/>
    <n v="0"/>
    <n v="6"/>
    <n v="22.53"/>
    <n v="-5.5"/>
    <n v="0"/>
    <n v="0"/>
    <n v="133"/>
    <x v="55"/>
    <n v="1.33"/>
    <x v="3"/>
  </r>
  <r>
    <x v="12"/>
    <s v="Stefan Zaugg"/>
    <x v="1"/>
    <x v="146"/>
    <x v="146"/>
    <n v="6"/>
    <s v="ADET"/>
    <n v="0"/>
    <n v="84"/>
    <n v="36"/>
    <n v="22"/>
    <n v="0"/>
    <n v="440"/>
    <n v="20"/>
    <x v="2"/>
    <n v="120"/>
    <x v="4"/>
  </r>
  <r>
    <x v="11"/>
    <s v="Jan Urbanek"/>
    <x v="1"/>
    <x v="146"/>
    <x v="146"/>
    <n v="6"/>
    <s v="ADET"/>
    <n v="0"/>
    <n v="84"/>
    <n v="36"/>
    <n v="22"/>
    <n v="0"/>
    <n v="440"/>
    <n v="20"/>
    <x v="2"/>
    <n v="120"/>
    <x v="4"/>
  </r>
  <r>
    <x v="13"/>
    <s v="Volkan Batkan"/>
    <x v="1"/>
    <x v="146"/>
    <x v="146"/>
    <n v="6"/>
    <s v="ADET"/>
    <n v="0"/>
    <n v="84"/>
    <n v="36"/>
    <n v="22"/>
    <n v="0"/>
    <n v="440"/>
    <n v="20"/>
    <x v="2"/>
    <n v="120"/>
    <x v="4"/>
  </r>
  <r>
    <x v="12"/>
    <s v="Stefan Zaugg"/>
    <x v="1"/>
    <x v="170"/>
    <x v="170"/>
    <n v="1"/>
    <s v="ADET"/>
    <n v="1"/>
    <n v="5"/>
    <n v="10"/>
    <n v="7"/>
    <n v="0"/>
    <n v="85641.010000000009"/>
    <n v="12234.43"/>
    <x v="15"/>
    <n v="12234.43"/>
    <x v="7"/>
  </r>
  <r>
    <x v="12"/>
    <s v="Stefan Zaugg"/>
    <x v="1"/>
    <x v="194"/>
    <x v="194"/>
    <n v="6"/>
    <s v="METRE"/>
    <n v="0"/>
    <n v="140"/>
    <n v="0"/>
    <n v="-122"/>
    <n v="0"/>
    <n v="0"/>
    <n v="25.42"/>
    <x v="23"/>
    <n v="152.52000000000001"/>
    <x v="7"/>
  </r>
  <r>
    <x v="18"/>
    <s v="Stina Alm"/>
    <x v="1"/>
    <x v="142"/>
    <x v="142"/>
    <n v="1"/>
    <s v="ADET"/>
    <n v="0"/>
    <n v="13"/>
    <n v="6"/>
    <n v="-10"/>
    <n v="0"/>
    <n v="0"/>
    <n v="344.14"/>
    <x v="54"/>
    <n v="344.14"/>
    <x v="1"/>
  </r>
  <r>
    <x v="18"/>
    <s v="Stina Alm"/>
    <x v="1"/>
    <x v="143"/>
    <x v="143"/>
    <n v="0.1"/>
    <s v="ADET"/>
    <n v="0"/>
    <n v="1"/>
    <n v="0.93000000000000205"/>
    <n v="0.26000000000000023"/>
    <n v="0"/>
    <n v="396.50000000000034"/>
    <n v="1525"/>
    <x v="2"/>
    <n v="152.5"/>
    <x v="1"/>
  </r>
  <r>
    <x v="17"/>
    <s v="Soner Kayıkçı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9"/>
    <s v="Laurent MONTAGNER"/>
    <x v="1"/>
    <x v="143"/>
    <x v="143"/>
    <n v="0.1"/>
    <s v="ADET"/>
    <n v="0"/>
    <n v="1"/>
    <n v="0.93000000000000205"/>
    <n v="0.26000000000000023"/>
    <n v="0"/>
    <n v="396.50000000000034"/>
    <n v="1525"/>
    <x v="2"/>
    <n v="152.5"/>
    <x v="1"/>
  </r>
  <r>
    <x v="0"/>
    <s v="Matteo Giolo"/>
    <x v="1"/>
    <x v="145"/>
    <x v="145"/>
    <n v="0.01"/>
    <s v="ADET"/>
    <n v="0"/>
    <n v="6"/>
    <n v="22.53"/>
    <n v="-5.5"/>
    <n v="0"/>
    <n v="0"/>
    <n v="133"/>
    <x v="55"/>
    <n v="1.33"/>
    <x v="3"/>
  </r>
  <r>
    <x v="19"/>
    <s v="Laurent MONTAGNER"/>
    <x v="1"/>
    <x v="101"/>
    <x v="101"/>
    <n v="2"/>
    <s v="KG"/>
    <n v="0"/>
    <n v="30"/>
    <n v="21.5"/>
    <n v="6"/>
    <n v="0"/>
    <n v="708.84"/>
    <n v="118.14"/>
    <x v="36"/>
    <n v="236.28"/>
    <x v="3"/>
  </r>
  <r>
    <x v="18"/>
    <s v="Stina Alm"/>
    <x v="1"/>
    <x v="101"/>
    <x v="101"/>
    <n v="2"/>
    <s v="KG"/>
    <n v="0"/>
    <n v="30"/>
    <n v="21.5"/>
    <n v="6"/>
    <n v="0"/>
    <n v="708.84"/>
    <n v="118.14"/>
    <x v="36"/>
    <n v="236.28"/>
    <x v="3"/>
  </r>
  <r>
    <x v="17"/>
    <s v="Soner Kayıkçı"/>
    <x v="1"/>
    <x v="101"/>
    <x v="101"/>
    <n v="1.5"/>
    <s v="KG"/>
    <n v="0"/>
    <n v="30"/>
    <n v="21.5"/>
    <n v="6"/>
    <n v="0"/>
    <n v="708.84"/>
    <n v="118.14"/>
    <x v="36"/>
    <n v="177.21"/>
    <x v="3"/>
  </r>
  <r>
    <x v="18"/>
    <s v="Stina Alm"/>
    <x v="1"/>
    <x v="190"/>
    <x v="190"/>
    <n v="2"/>
    <s v="ADET"/>
    <n v="0"/>
    <n v="24"/>
    <n v="30"/>
    <n v="-24"/>
    <n v="50"/>
    <n v="0"/>
    <n v="37"/>
    <x v="12"/>
    <n v="74"/>
    <x v="4"/>
  </r>
  <r>
    <x v="19"/>
    <s v="Laurent MONTAGNER"/>
    <x v="1"/>
    <x v="190"/>
    <x v="190"/>
    <n v="3"/>
    <s v="ADET"/>
    <n v="0"/>
    <n v="24"/>
    <n v="30"/>
    <n v="-24"/>
    <n v="50"/>
    <n v="0"/>
    <n v="37"/>
    <x v="12"/>
    <n v="111"/>
    <x v="4"/>
  </r>
  <r>
    <x v="12"/>
    <s v="Stefan Zaugg"/>
    <x v="1"/>
    <x v="101"/>
    <x v="101"/>
    <n v="2"/>
    <s v="KG"/>
    <n v="0"/>
    <n v="30"/>
    <n v="21.5"/>
    <n v="6"/>
    <n v="0"/>
    <n v="708.84"/>
    <n v="118.14"/>
    <x v="36"/>
    <n v="236.28"/>
    <x v="3"/>
  </r>
  <r>
    <x v="9"/>
    <s v="Stefan Zaugg"/>
    <x v="1"/>
    <x v="195"/>
    <x v="195"/>
    <n v="5"/>
    <s v="ADET"/>
    <n v="5"/>
    <n v="0"/>
    <n v="0.5"/>
    <n v="55"/>
    <n v="10"/>
    <n v="36666.85"/>
    <n v="666.67"/>
    <x v="61"/>
    <n v="3333.35"/>
    <x v="8"/>
  </r>
  <r>
    <x v="3"/>
    <s v="Jan Urbanek"/>
    <x v="1"/>
    <x v="97"/>
    <x v="97"/>
    <n v="1"/>
    <s v="ADET"/>
    <n v="0"/>
    <n v="7"/>
    <n v="10"/>
    <n v="-43"/>
    <n v="50"/>
    <n v="0"/>
    <n v="839.2"/>
    <x v="33"/>
    <n v="839.2"/>
    <x v="7"/>
  </r>
  <r>
    <x v="4"/>
    <s v="Jan Urbanek"/>
    <x v="1"/>
    <x v="97"/>
    <x v="97"/>
    <n v="1"/>
    <s v="ADET"/>
    <n v="0"/>
    <n v="7"/>
    <n v="10"/>
    <n v="-43"/>
    <n v="50"/>
    <n v="0"/>
    <n v="839.2"/>
    <x v="33"/>
    <n v="839.2"/>
    <x v="7"/>
  </r>
  <r>
    <x v="3"/>
    <s v="Jan Urbanek"/>
    <x v="1"/>
    <x v="98"/>
    <x v="98"/>
    <n v="4"/>
    <s v="METRE"/>
    <n v="0"/>
    <n v="100"/>
    <n v="105.5"/>
    <n v="-8"/>
    <n v="0"/>
    <n v="0"/>
    <n v="131.25"/>
    <x v="23"/>
    <n v="525"/>
    <x v="7"/>
  </r>
  <r>
    <x v="2"/>
    <s v="Jan Urbanek"/>
    <x v="1"/>
    <x v="98"/>
    <x v="98"/>
    <n v="4"/>
    <s v="METRE"/>
    <n v="0"/>
    <n v="100"/>
    <n v="105.5"/>
    <n v="-8"/>
    <n v="0"/>
    <n v="0"/>
    <n v="131.25"/>
    <x v="23"/>
    <n v="525"/>
    <x v="7"/>
  </r>
  <r>
    <x v="11"/>
    <s v="Jan Urbanek"/>
    <x v="1"/>
    <x v="190"/>
    <x v="190"/>
    <n v="3"/>
    <s v="ADET"/>
    <n v="0"/>
    <n v="24"/>
    <n v="30"/>
    <n v="-24"/>
    <n v="50"/>
    <n v="0"/>
    <n v="37"/>
    <x v="12"/>
    <n v="111"/>
    <x v="4"/>
  </r>
  <r>
    <x v="13"/>
    <s v="Volkan Batkan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8"/>
    <s v="Jan Urbanek"/>
    <x v="1"/>
    <x v="98"/>
    <x v="98"/>
    <n v="4"/>
    <s v="METRE"/>
    <n v="0"/>
    <n v="100"/>
    <n v="105.5"/>
    <n v="-8"/>
    <n v="0"/>
    <n v="0"/>
    <n v="131.25"/>
    <x v="23"/>
    <n v="525"/>
    <x v="7"/>
  </r>
  <r>
    <x v="8"/>
    <s v="Jan Urbanek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8"/>
    <s v="Jan Urbanek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8"/>
    <s v="Jan Urbanek"/>
    <x v="1"/>
    <x v="101"/>
    <x v="101"/>
    <n v="1.5"/>
    <s v="KG"/>
    <n v="0"/>
    <n v="30"/>
    <n v="21.5"/>
    <n v="6"/>
    <n v="0"/>
    <n v="708.84"/>
    <n v="118.14"/>
    <x v="36"/>
    <n v="177.21"/>
    <x v="3"/>
  </r>
  <r>
    <x v="2"/>
    <s v="Jan Urbanek"/>
    <x v="1"/>
    <x v="190"/>
    <x v="190"/>
    <n v="3"/>
    <s v="ADET"/>
    <n v="0"/>
    <n v="24"/>
    <n v="30"/>
    <n v="-24"/>
    <n v="50"/>
    <n v="0"/>
    <n v="37"/>
    <x v="12"/>
    <n v="111"/>
    <x v="4"/>
  </r>
  <r>
    <x v="11"/>
    <s v="Jan Urbanek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14"/>
    <s v="Matteo Giolo"/>
    <x v="1"/>
    <x v="195"/>
    <x v="195"/>
    <n v="0.5"/>
    <s v="ADET"/>
    <n v="0"/>
    <n v="0"/>
    <n v="0.5"/>
    <n v="55"/>
    <n v="10"/>
    <n v="36666.85"/>
    <n v="666.67"/>
    <x v="61"/>
    <n v="333.33499999999998"/>
    <x v="8"/>
  </r>
  <r>
    <x v="4"/>
    <s v="Jan Urbanek"/>
    <x v="1"/>
    <x v="190"/>
    <x v="190"/>
    <n v="3"/>
    <s v="ADET"/>
    <n v="0"/>
    <n v="24"/>
    <n v="30"/>
    <n v="-24"/>
    <n v="50"/>
    <n v="0"/>
    <n v="37"/>
    <x v="12"/>
    <n v="111"/>
    <x v="4"/>
  </r>
  <r>
    <x v="3"/>
    <s v="Jan Urbanek"/>
    <x v="1"/>
    <x v="190"/>
    <x v="190"/>
    <n v="3"/>
    <s v="ADET"/>
    <n v="0"/>
    <n v="24"/>
    <n v="30"/>
    <n v="-24"/>
    <n v="50"/>
    <n v="0"/>
    <n v="37"/>
    <x v="12"/>
    <n v="111"/>
    <x v="4"/>
  </r>
  <r>
    <x v="10"/>
    <s v="Murat Taşdemir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10"/>
    <s v="Murat Taşdemir"/>
    <x v="1"/>
    <x v="197"/>
    <x v="197"/>
    <n v="2"/>
    <s v="ADET"/>
    <n v="0"/>
    <n v="40"/>
    <n v="18"/>
    <n v="-14"/>
    <n v="0"/>
    <n v="0"/>
    <n v="45.3"/>
    <x v="23"/>
    <n v="90.6"/>
    <x v="7"/>
  </r>
  <r>
    <x v="2"/>
    <s v="Jan Urbanek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3"/>
    <s v="Jan Urbanek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4"/>
    <s v="Jan Urbanek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7"/>
    <s v="Stina Alm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5"/>
    <s v="Matteo Giolo"/>
    <x v="1"/>
    <x v="106"/>
    <x v="106"/>
    <n v="0.5"/>
    <s v="ADET"/>
    <n v="0"/>
    <n v="0"/>
    <n v="5.3290705182007514E-15"/>
    <n v="-5.0999999999999996"/>
    <n v="10"/>
    <n v="0"/>
    <n v="255.55"/>
    <x v="40"/>
    <n v="127.77500000000001"/>
    <x v="3"/>
  </r>
  <r>
    <x v="18"/>
    <s v="Stina Alm"/>
    <x v="1"/>
    <x v="119"/>
    <x v="119"/>
    <n v="4"/>
    <s v="ADET"/>
    <n v="0"/>
    <n v="102"/>
    <n v="0"/>
    <n v="-90"/>
    <n v="0"/>
    <n v="0"/>
    <n v="7"/>
    <x v="6"/>
    <n v="28"/>
    <x v="1"/>
  </r>
  <r>
    <x v="18"/>
    <s v="Stina Alm"/>
    <x v="1"/>
    <x v="117"/>
    <x v="117"/>
    <n v="0.05"/>
    <s v="KG"/>
    <n v="0"/>
    <n v="0"/>
    <n v="-4.4408920985006262E-16"/>
    <n v="1.37"/>
    <n v="0"/>
    <n v="195.22500000000002"/>
    <n v="142.5"/>
    <x v="14"/>
    <n v="7.125"/>
    <x v="3"/>
  </r>
  <r>
    <x v="18"/>
    <s v="Stina Alm"/>
    <x v="1"/>
    <x v="105"/>
    <x v="105"/>
    <n v="48"/>
    <s v="ADET"/>
    <n v="0"/>
    <n v="1200"/>
    <n v="196"/>
    <n v="-291"/>
    <n v="0"/>
    <n v="0"/>
    <n v="12.5"/>
    <x v="39"/>
    <n v="600"/>
    <x v="1"/>
  </r>
  <r>
    <x v="17"/>
    <s v="Soner Kayıkçı"/>
    <x v="1"/>
    <x v="106"/>
    <x v="106"/>
    <n v="1"/>
    <s v="ADET"/>
    <n v="0"/>
    <n v="0"/>
    <n v="5.3290705182007514E-15"/>
    <n v="-5.0999999999999996"/>
    <n v="10"/>
    <n v="0"/>
    <n v="255.55"/>
    <x v="40"/>
    <n v="255.55"/>
    <x v="3"/>
  </r>
  <r>
    <x v="18"/>
    <s v="Stina Alm"/>
    <x v="1"/>
    <x v="106"/>
    <x v="106"/>
    <n v="0.5"/>
    <s v="ADET"/>
    <n v="0"/>
    <n v="0"/>
    <n v="5.3290705182007514E-15"/>
    <n v="-5.0999999999999996"/>
    <n v="10"/>
    <n v="0"/>
    <n v="255.55"/>
    <x v="40"/>
    <n v="127.77500000000001"/>
    <x v="3"/>
  </r>
  <r>
    <x v="18"/>
    <s v="Stina Alm"/>
    <x v="1"/>
    <x v="118"/>
    <x v="118"/>
    <n v="4"/>
    <s v="ADET"/>
    <n v="0"/>
    <n v="1000"/>
    <n v="0"/>
    <n v="-960"/>
    <n v="0"/>
    <n v="0"/>
    <n v="0.64"/>
    <x v="2"/>
    <n v="2.56"/>
    <x v="1"/>
  </r>
  <r>
    <x v="18"/>
    <s v="Stina Alm"/>
    <x v="1"/>
    <x v="107"/>
    <x v="107"/>
    <n v="1"/>
    <s v="ADET"/>
    <n v="0"/>
    <n v="0"/>
    <n v="0"/>
    <n v="9"/>
    <n v="0"/>
    <n v="540"/>
    <n v="60"/>
    <x v="41"/>
    <n v="60"/>
    <x v="2"/>
  </r>
  <r>
    <x v="17"/>
    <s v="Soner Kayıkçı"/>
    <x v="1"/>
    <x v="198"/>
    <x v="198"/>
    <n v="0.01"/>
    <s v="METRE"/>
    <n v="0"/>
    <n v="200"/>
    <n v="74.999999999999957"/>
    <n v="-198.95"/>
    <n v="0"/>
    <n v="0"/>
    <n v="7.4"/>
    <x v="68"/>
    <n v="7.400000000000001E-2"/>
    <x v="7"/>
  </r>
  <r>
    <x v="6"/>
    <s v="Stefan Zaugg"/>
    <x v="1"/>
    <x v="107"/>
    <x v="107"/>
    <n v="1"/>
    <s v="ADET"/>
    <n v="0"/>
    <n v="0"/>
    <n v="0"/>
    <n v="9"/>
    <n v="0"/>
    <n v="540"/>
    <n v="60"/>
    <x v="41"/>
    <n v="60"/>
    <x v="2"/>
  </r>
  <r>
    <x v="19"/>
    <s v="Laurent MONTAGNER"/>
    <x v="1"/>
    <x v="117"/>
    <x v="117"/>
    <n v="1"/>
    <s v="KG"/>
    <n v="0"/>
    <n v="0"/>
    <n v="-4.4408920985006262E-16"/>
    <n v="1.37"/>
    <n v="0"/>
    <n v="195.22500000000002"/>
    <n v="142.5"/>
    <x v="14"/>
    <n v="142.5"/>
    <x v="3"/>
  </r>
  <r>
    <x v="16"/>
    <s v="Laurent MONTAGNER"/>
    <x v="1"/>
    <x v="105"/>
    <x v="105"/>
    <n v="48"/>
    <s v="ADET"/>
    <n v="0"/>
    <n v="1200"/>
    <n v="196"/>
    <n v="-291"/>
    <n v="0"/>
    <n v="0"/>
    <n v="12.5"/>
    <x v="39"/>
    <n v="600"/>
    <x v="1"/>
  </r>
  <r>
    <x v="13"/>
    <s v="Volkan Batkan"/>
    <x v="1"/>
    <x v="198"/>
    <x v="198"/>
    <n v="1"/>
    <s v="METRE"/>
    <n v="0"/>
    <n v="200"/>
    <n v="74.999999999999957"/>
    <n v="-198.95"/>
    <n v="0"/>
    <n v="0"/>
    <n v="7.4"/>
    <x v="68"/>
    <n v="7.4"/>
    <x v="7"/>
  </r>
  <r>
    <x v="14"/>
    <s v="Matteo Giolo"/>
    <x v="1"/>
    <x v="199"/>
    <x v="199"/>
    <n v="4"/>
    <s v="ADET"/>
    <n v="0"/>
    <n v="200"/>
    <n v="343"/>
    <n v="-8"/>
    <n v="0"/>
    <n v="0"/>
    <n v="9"/>
    <x v="2"/>
    <n v="36"/>
    <x v="1"/>
  </r>
  <r>
    <x v="9"/>
    <s v="Stefan Zaugg"/>
    <x v="1"/>
    <x v="199"/>
    <x v="199"/>
    <n v="12"/>
    <s v="ADET"/>
    <n v="0"/>
    <n v="200"/>
    <n v="343"/>
    <n v="-8"/>
    <n v="0"/>
    <n v="0"/>
    <n v="9"/>
    <x v="2"/>
    <n v="108"/>
    <x v="1"/>
  </r>
  <r>
    <x v="3"/>
    <s v="Jan Urbanek"/>
    <x v="1"/>
    <x v="198"/>
    <x v="198"/>
    <n v="0.01"/>
    <s v="METRE"/>
    <n v="0"/>
    <n v="200"/>
    <n v="74.999999999999957"/>
    <n v="-198.95"/>
    <n v="0"/>
    <n v="0"/>
    <n v="7.4"/>
    <x v="68"/>
    <n v="7.400000000000001E-2"/>
    <x v="7"/>
  </r>
  <r>
    <x v="4"/>
    <s v="Jan Urbanek"/>
    <x v="1"/>
    <x v="198"/>
    <x v="198"/>
    <n v="0.01"/>
    <s v="METRE"/>
    <n v="0"/>
    <n v="200"/>
    <n v="74.999999999999957"/>
    <n v="-198.95"/>
    <n v="0"/>
    <n v="0"/>
    <n v="7.4"/>
    <x v="68"/>
    <n v="7.400000000000001E-2"/>
    <x v="7"/>
  </r>
  <r>
    <x v="10"/>
    <s v="Murat Taşdemir"/>
    <x v="1"/>
    <x v="200"/>
    <x v="200"/>
    <n v="2"/>
    <s v="ADET"/>
    <n v="0"/>
    <n v="6"/>
    <n v="0"/>
    <n v="8.25"/>
    <n v="0"/>
    <n v="165"/>
    <n v="20"/>
    <x v="14"/>
    <n v="40"/>
    <x v="1"/>
  </r>
  <r>
    <x v="12"/>
    <s v="Stefan Zaugg"/>
    <x v="1"/>
    <x v="199"/>
    <x v="199"/>
    <n v="4"/>
    <s v="ADET"/>
    <n v="0"/>
    <n v="200"/>
    <n v="343"/>
    <n v="-8"/>
    <n v="0"/>
    <n v="0"/>
    <n v="9"/>
    <x v="2"/>
    <n v="36"/>
    <x v="1"/>
  </r>
  <r>
    <x v="11"/>
    <s v="Jan Urbanek"/>
    <x v="1"/>
    <x v="199"/>
    <x v="199"/>
    <n v="12"/>
    <s v="ADET"/>
    <n v="0"/>
    <n v="200"/>
    <n v="343"/>
    <n v="-8"/>
    <n v="0"/>
    <n v="0"/>
    <n v="9"/>
    <x v="2"/>
    <n v="108"/>
    <x v="1"/>
  </r>
  <r>
    <x v="8"/>
    <s v="Jan Urbanek"/>
    <x v="1"/>
    <x v="105"/>
    <x v="105"/>
    <n v="49"/>
    <s v="ADET"/>
    <n v="0"/>
    <n v="1200"/>
    <n v="196"/>
    <n v="-291"/>
    <n v="0"/>
    <n v="0"/>
    <n v="12.5"/>
    <x v="39"/>
    <n v="612.5"/>
    <x v="1"/>
  </r>
  <r>
    <x v="13"/>
    <s v="Volkan Batkan"/>
    <x v="1"/>
    <x v="200"/>
    <x v="200"/>
    <n v="1"/>
    <s v="ADET"/>
    <n v="0"/>
    <n v="6"/>
    <n v="0"/>
    <n v="8.25"/>
    <n v="0"/>
    <n v="165"/>
    <n v="20"/>
    <x v="14"/>
    <n v="20"/>
    <x v="1"/>
  </r>
  <r>
    <x v="9"/>
    <s v="Stefan Zaugg"/>
    <x v="1"/>
    <x v="200"/>
    <x v="200"/>
    <n v="1"/>
    <s v="ADET"/>
    <n v="0"/>
    <n v="6"/>
    <n v="0"/>
    <n v="8.25"/>
    <n v="0"/>
    <n v="165"/>
    <n v="20"/>
    <x v="14"/>
    <n v="20"/>
    <x v="1"/>
  </r>
  <r>
    <x v="12"/>
    <s v="Stefan Zaugg"/>
    <x v="1"/>
    <x v="200"/>
    <x v="200"/>
    <n v="1"/>
    <s v="ADET"/>
    <n v="0"/>
    <n v="6"/>
    <n v="0"/>
    <n v="8.25"/>
    <n v="0"/>
    <n v="165"/>
    <n v="20"/>
    <x v="14"/>
    <n v="20"/>
    <x v="1"/>
  </r>
  <r>
    <x v="13"/>
    <s v="Volkan Batkan"/>
    <x v="1"/>
    <x v="201"/>
    <x v="201"/>
    <n v="0.6"/>
    <s v="ADET"/>
    <n v="0"/>
    <n v="0"/>
    <n v="-1.2878587085651816E-14"/>
    <n v="6.9999999999999991"/>
    <n v="0"/>
    <n v="489.99999999999994"/>
    <n v="70"/>
    <x v="2"/>
    <n v="42"/>
    <x v="1"/>
  </r>
  <r>
    <x v="11"/>
    <s v="Jan Urbanek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14"/>
    <s v="Matteo Giolo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3"/>
    <s v="Jan Urbanek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4"/>
    <s v="Jan Urbanek"/>
    <x v="1"/>
    <x v="183"/>
    <x v="183"/>
    <n v="1"/>
    <s v="ADET"/>
    <n v="0"/>
    <n v="26"/>
    <n v="8"/>
    <n v="-22"/>
    <n v="0"/>
    <n v="0"/>
    <n v="368.07"/>
    <x v="65"/>
    <n v="368.07"/>
    <x v="7"/>
  </r>
  <r>
    <x v="4"/>
    <s v="Jan Urbanek"/>
    <x v="1"/>
    <x v="203"/>
    <x v="203"/>
    <n v="0.5"/>
    <s v="ADET"/>
    <n v="0"/>
    <n v="100"/>
    <n v="41"/>
    <n v="-89.5"/>
    <n v="0"/>
    <n v="0"/>
    <n v="60"/>
    <x v="29"/>
    <n v="30"/>
    <x v="1"/>
  </r>
  <r>
    <x v="3"/>
    <s v="Jan Urbanek"/>
    <x v="1"/>
    <x v="203"/>
    <x v="203"/>
    <n v="0.5"/>
    <s v="ADET"/>
    <n v="0"/>
    <n v="100"/>
    <n v="41"/>
    <n v="-89.5"/>
    <n v="0"/>
    <n v="0"/>
    <n v="60"/>
    <x v="29"/>
    <n v="30"/>
    <x v="1"/>
  </r>
  <r>
    <x v="0"/>
    <s v="Matteo Giolo"/>
    <x v="1"/>
    <x v="114"/>
    <x v="114"/>
    <n v="4"/>
    <s v="ADET"/>
    <n v="0"/>
    <n v="13"/>
    <n v="22"/>
    <n v="-2"/>
    <n v="30"/>
    <n v="0"/>
    <n v="122.1"/>
    <x v="43"/>
    <n v="488.4"/>
    <x v="7"/>
  </r>
  <r>
    <x v="0"/>
    <s v="Matteo Giolo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8"/>
    <s v="Stina Alm"/>
    <x v="1"/>
    <x v="114"/>
    <x v="114"/>
    <n v="2"/>
    <s v="ADET"/>
    <n v="0"/>
    <n v="13"/>
    <n v="22"/>
    <n v="-2"/>
    <n v="30"/>
    <n v="0"/>
    <n v="122.1"/>
    <x v="43"/>
    <n v="244.2"/>
    <x v="7"/>
  </r>
  <r>
    <x v="1"/>
    <s v="Laurent MONTAGNER"/>
    <x v="1"/>
    <x v="204"/>
    <x v="204"/>
    <n v="0.4"/>
    <s v="METRE"/>
    <n v="0"/>
    <n v="0"/>
    <n v="0"/>
    <n v="0.8"/>
    <n v="0"/>
    <n v="2.4000000000000004"/>
    <n v="3"/>
    <x v="6"/>
    <n v="1.2000000000000002"/>
    <x v="7"/>
  </r>
  <r>
    <x v="1"/>
    <s v="Laurent MONTAGNER"/>
    <x v="1"/>
    <x v="116"/>
    <x v="116"/>
    <n v="0.2"/>
    <s v="METRE"/>
    <n v="0"/>
    <n v="0"/>
    <n v="0"/>
    <n v="1.8000000000000003"/>
    <n v="0"/>
    <n v="9.0000000000000018"/>
    <n v="5"/>
    <x v="6"/>
    <n v="1"/>
    <x v="7"/>
  </r>
  <r>
    <x v="5"/>
    <s v="Matteo Giolo"/>
    <x v="1"/>
    <x v="116"/>
    <x v="116"/>
    <n v="0.2"/>
    <s v="METRE"/>
    <n v="0"/>
    <n v="0"/>
    <n v="0"/>
    <n v="1.8000000000000003"/>
    <n v="0"/>
    <n v="9.0000000000000018"/>
    <n v="5"/>
    <x v="6"/>
    <n v="1"/>
    <x v="7"/>
  </r>
  <r>
    <x v="17"/>
    <s v="Soner Kayıkçı"/>
    <x v="1"/>
    <x v="114"/>
    <x v="114"/>
    <n v="4"/>
    <s v="ADET"/>
    <n v="0"/>
    <n v="13"/>
    <n v="22"/>
    <n v="-2"/>
    <n v="30"/>
    <n v="0"/>
    <n v="122.1"/>
    <x v="43"/>
    <n v="488.4"/>
    <x v="7"/>
  </r>
  <r>
    <x v="7"/>
    <s v="Stina Alm"/>
    <x v="1"/>
    <x v="114"/>
    <x v="114"/>
    <n v="2"/>
    <s v="ADET"/>
    <n v="0"/>
    <n v="13"/>
    <n v="22"/>
    <n v="-2"/>
    <n v="30"/>
    <n v="0"/>
    <n v="122.1"/>
    <x v="43"/>
    <n v="244.2"/>
    <x v="7"/>
  </r>
  <r>
    <x v="5"/>
    <s v="Matteo Giolo"/>
    <x v="1"/>
    <x v="114"/>
    <x v="114"/>
    <n v="6"/>
    <s v="ADET"/>
    <n v="0"/>
    <n v="13"/>
    <n v="22"/>
    <n v="-2"/>
    <n v="30"/>
    <n v="0"/>
    <n v="122.1"/>
    <x v="43"/>
    <n v="732.59999999999991"/>
    <x v="7"/>
  </r>
  <r>
    <x v="6"/>
    <s v="Stefan Zaugg"/>
    <x v="1"/>
    <x v="115"/>
    <x v="115"/>
    <n v="4"/>
    <s v="ADET"/>
    <n v="0"/>
    <n v="842"/>
    <n v="0"/>
    <n v="-834"/>
    <n v="0"/>
    <n v="0"/>
    <n v="0.93"/>
    <x v="44"/>
    <n v="3.72"/>
    <x v="1"/>
  </r>
  <r>
    <x v="7"/>
    <s v="Stina Alm"/>
    <x v="1"/>
    <x v="205"/>
    <x v="205"/>
    <n v="1"/>
    <s v="ADET"/>
    <n v="0"/>
    <n v="0"/>
    <n v="0"/>
    <n v="1"/>
    <n v="0"/>
    <n v="2.12"/>
    <n v="2.12"/>
    <x v="6"/>
    <n v="2.12"/>
    <x v="1"/>
  </r>
  <r>
    <x v="6"/>
    <s v="Stefan Zaugg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7"/>
    <s v="Stina Alm"/>
    <x v="1"/>
    <x v="116"/>
    <x v="116"/>
    <n v="0.2"/>
    <s v="METRE"/>
    <n v="0"/>
    <n v="0"/>
    <n v="0"/>
    <n v="1.8000000000000003"/>
    <n v="0"/>
    <n v="9.0000000000000018"/>
    <n v="5"/>
    <x v="6"/>
    <n v="1"/>
    <x v="7"/>
  </r>
  <r>
    <x v="19"/>
    <s v="Laurent MONTAGNER"/>
    <x v="1"/>
    <x v="204"/>
    <x v="204"/>
    <n v="0.4"/>
    <s v="METRE"/>
    <n v="0"/>
    <n v="0"/>
    <n v="0"/>
    <n v="0.8"/>
    <n v="0"/>
    <n v="2.4000000000000004"/>
    <n v="3"/>
    <x v="6"/>
    <n v="1.2000000000000002"/>
    <x v="7"/>
  </r>
  <r>
    <x v="19"/>
    <s v="Laurent MONTAGNER"/>
    <x v="1"/>
    <x v="116"/>
    <x v="116"/>
    <n v="0.2"/>
    <s v="METRE"/>
    <n v="0"/>
    <n v="0"/>
    <n v="0"/>
    <n v="1.8000000000000003"/>
    <n v="0"/>
    <n v="9.0000000000000018"/>
    <n v="5"/>
    <x v="6"/>
    <n v="1"/>
    <x v="7"/>
  </r>
  <r>
    <x v="18"/>
    <s v="Stina Alm"/>
    <x v="1"/>
    <x v="116"/>
    <x v="116"/>
    <n v="0.2"/>
    <s v="METRE"/>
    <n v="0"/>
    <n v="0"/>
    <n v="0"/>
    <n v="1.8000000000000003"/>
    <n v="0"/>
    <n v="9.0000000000000018"/>
    <n v="5"/>
    <x v="6"/>
    <n v="1"/>
    <x v="7"/>
  </r>
  <r>
    <x v="16"/>
    <s v="Laurent MONTAGNER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17"/>
    <s v="Soner Kayıkçı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18"/>
    <s v="Stina Alm"/>
    <x v="1"/>
    <x v="207"/>
    <x v="207"/>
    <n v="3"/>
    <s v="ADET"/>
    <n v="0"/>
    <n v="85"/>
    <n v="31"/>
    <n v="-17"/>
    <n v="0"/>
    <n v="0"/>
    <n v="120"/>
    <x v="69"/>
    <n v="360"/>
    <x v="4"/>
  </r>
  <r>
    <x v="17"/>
    <s v="Soner Kayıkçı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7"/>
    <s v="Soner Kayıkçı"/>
    <x v="1"/>
    <x v="207"/>
    <x v="207"/>
    <n v="4"/>
    <s v="ADET"/>
    <n v="0"/>
    <n v="85"/>
    <n v="31"/>
    <n v="-17"/>
    <n v="0"/>
    <n v="0"/>
    <n v="120"/>
    <x v="69"/>
    <n v="480"/>
    <x v="4"/>
  </r>
  <r>
    <x v="11"/>
    <s v="Jan Urbanek"/>
    <x v="1"/>
    <x v="207"/>
    <x v="207"/>
    <n v="4"/>
    <s v="ADET"/>
    <n v="0"/>
    <n v="85"/>
    <n v="31"/>
    <n v="-17"/>
    <n v="0"/>
    <n v="0"/>
    <n v="120"/>
    <x v="69"/>
    <n v="480"/>
    <x v="4"/>
  </r>
  <r>
    <x v="14"/>
    <s v="Matteo Giolo"/>
    <x v="1"/>
    <x v="207"/>
    <x v="207"/>
    <n v="3"/>
    <s v="ADET"/>
    <n v="0"/>
    <n v="85"/>
    <n v="31"/>
    <n v="-17"/>
    <n v="0"/>
    <n v="0"/>
    <n v="120"/>
    <x v="69"/>
    <n v="360"/>
    <x v="4"/>
  </r>
  <r>
    <x v="10"/>
    <s v="Murat Taşdemir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11"/>
    <s v="Jan Urbanek"/>
    <x v="1"/>
    <x v="208"/>
    <x v="208"/>
    <n v="3"/>
    <s v="ADET"/>
    <n v="0"/>
    <n v="81"/>
    <n v="5"/>
    <n v="-23"/>
    <n v="0"/>
    <n v="0"/>
    <n v="188"/>
    <x v="2"/>
    <n v="564"/>
    <x v="4"/>
  </r>
  <r>
    <x v="13"/>
    <s v="Volkan Batkan"/>
    <x v="1"/>
    <x v="209"/>
    <x v="209"/>
    <n v="45"/>
    <s v="M2"/>
    <n v="0"/>
    <n v="58.5"/>
    <n v="21.929999999999836"/>
    <n v="320.25"/>
    <n v="54.25"/>
    <n v="70589.50499999999"/>
    <n v="220.42"/>
    <x v="61"/>
    <n v="9918.9"/>
    <x v="8"/>
  </r>
  <r>
    <x v="8"/>
    <s v="Jan Urbanek"/>
    <x v="1"/>
    <x v="114"/>
    <x v="114"/>
    <n v="4"/>
    <s v="ADET"/>
    <n v="0"/>
    <n v="13"/>
    <n v="22"/>
    <n v="-2"/>
    <n v="30"/>
    <n v="0"/>
    <n v="122.1"/>
    <x v="43"/>
    <n v="488.4"/>
    <x v="7"/>
  </r>
  <r>
    <x v="0"/>
    <s v="Matteo Giolo"/>
    <x v="1"/>
    <x v="146"/>
    <x v="146"/>
    <n v="6"/>
    <s v="ADET"/>
    <n v="0"/>
    <n v="84"/>
    <n v="36"/>
    <n v="22"/>
    <n v="0"/>
    <n v="440"/>
    <n v="20"/>
    <x v="2"/>
    <n v="120"/>
    <x v="4"/>
  </r>
  <r>
    <x v="5"/>
    <s v="Matteo Giolo"/>
    <x v="1"/>
    <x v="169"/>
    <x v="169"/>
    <n v="114.33"/>
    <s v="KG"/>
    <n v="0"/>
    <n v="1840"/>
    <n v="973.6200000000008"/>
    <n v="-1630.1299999999997"/>
    <n v="920"/>
    <n v="0"/>
    <n v="94.86"/>
    <x v="8"/>
    <n v="10845.343800000001"/>
    <x v="3"/>
  </r>
  <r>
    <x v="1"/>
    <s v="Laurent MONTAGNER"/>
    <x v="1"/>
    <x v="145"/>
    <x v="145"/>
    <n v="0.01"/>
    <s v="ADET"/>
    <n v="0"/>
    <n v="6"/>
    <n v="22.53"/>
    <n v="-5.5"/>
    <n v="0"/>
    <n v="0"/>
    <n v="133"/>
    <x v="55"/>
    <n v="1.33"/>
    <x v="3"/>
  </r>
  <r>
    <x v="6"/>
    <s v="Stefan Zaugg"/>
    <x v="1"/>
    <x v="146"/>
    <x v="146"/>
    <n v="6"/>
    <s v="ADET"/>
    <n v="0"/>
    <n v="84"/>
    <n v="36"/>
    <n v="22"/>
    <n v="0"/>
    <n v="440"/>
    <n v="20"/>
    <x v="2"/>
    <n v="120"/>
    <x v="4"/>
  </r>
  <r>
    <x v="5"/>
    <s v="Matteo Giolo"/>
    <x v="1"/>
    <x v="146"/>
    <x v="146"/>
    <n v="5"/>
    <s v="ADET"/>
    <n v="0"/>
    <n v="84"/>
    <n v="36"/>
    <n v="22"/>
    <n v="0"/>
    <n v="440"/>
    <n v="20"/>
    <x v="2"/>
    <n v="100"/>
    <x v="4"/>
  </r>
  <r>
    <x v="13"/>
    <s v="Volkan Batkan"/>
    <x v="1"/>
    <x v="210"/>
    <x v="210"/>
    <n v="6"/>
    <s v="ADET"/>
    <n v="0"/>
    <n v="133"/>
    <n v="46"/>
    <n v="-49"/>
    <n v="0"/>
    <n v="0"/>
    <n v="3.75"/>
    <x v="1"/>
    <n v="22.5"/>
    <x v="1"/>
  </r>
  <r>
    <x v="19"/>
    <s v="Laurent MONTAGNER"/>
    <x v="1"/>
    <x v="84"/>
    <x v="84"/>
    <n v="2"/>
    <s v="ADET"/>
    <n v="0"/>
    <n v="239"/>
    <n v="90"/>
    <n v="-201"/>
    <n v="0"/>
    <n v="0"/>
    <n v="4"/>
    <x v="29"/>
    <n v="8"/>
    <x v="7"/>
  </r>
  <r>
    <x v="19"/>
    <s v="Laurent MONTAGNER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9"/>
    <s v="Laurent MONTAGNER"/>
    <x v="1"/>
    <x v="109"/>
    <x v="109"/>
    <n v="0.81"/>
    <s v="ADET"/>
    <n v="0.81"/>
    <n v="0"/>
    <n v="5.6000000000000014"/>
    <n v="7.200000000000002"/>
    <n v="0"/>
    <n v="1170.0720000000003"/>
    <n v="162.51"/>
    <x v="8"/>
    <n v="131.63310000000001"/>
    <x v="3"/>
  </r>
  <r>
    <x v="19"/>
    <s v="Laurent MONTAGNER"/>
    <x v="1"/>
    <x v="171"/>
    <x v="171"/>
    <n v="2"/>
    <s v="METRE"/>
    <n v="0"/>
    <n v="20"/>
    <n v="15.999999999999986"/>
    <n v="-5"/>
    <n v="0"/>
    <n v="0"/>
    <n v="97.17"/>
    <x v="42"/>
    <n v="194.34"/>
    <x v="1"/>
  </r>
  <r>
    <x v="16"/>
    <s v="Laurent MONTAGNER"/>
    <x v="1"/>
    <x v="171"/>
    <x v="171"/>
    <n v="3"/>
    <s v="METRE"/>
    <n v="0"/>
    <n v="20"/>
    <n v="15.999999999999986"/>
    <n v="-5"/>
    <n v="0"/>
    <n v="0"/>
    <n v="97.17"/>
    <x v="42"/>
    <n v="291.51"/>
    <x v="1"/>
  </r>
  <r>
    <x v="14"/>
    <s v="Matteo Giolo"/>
    <x v="1"/>
    <x v="211"/>
    <x v="211"/>
    <n v="0.5"/>
    <s v="ADET"/>
    <n v="0"/>
    <n v="0"/>
    <n v="-9.7699626167013776E-15"/>
    <n v="13.000000000000007"/>
    <n v="11"/>
    <n v="23833.290000000012"/>
    <n v="1833.33"/>
    <x v="61"/>
    <n v="916.66499999999996"/>
    <x v="8"/>
  </r>
  <r>
    <x v="10"/>
    <s v="Murat Taşdemir"/>
    <x v="1"/>
    <x v="212"/>
    <x v="212"/>
    <n v="1.5"/>
    <s v="ADET"/>
    <n v="0"/>
    <n v="72"/>
    <n v="2"/>
    <n v="-43.5"/>
    <n v="0"/>
    <n v="0"/>
    <n v="5"/>
    <x v="2"/>
    <n v="7.5"/>
    <x v="1"/>
  </r>
  <r>
    <x v="8"/>
    <s v="Jan Urbanek"/>
    <x v="1"/>
    <x v="109"/>
    <x v="109"/>
    <n v="0.54999999999999993"/>
    <s v="ADET"/>
    <n v="0"/>
    <n v="0"/>
    <n v="5.6000000000000014"/>
    <n v="7.200000000000002"/>
    <n v="0"/>
    <n v="1170.0720000000003"/>
    <n v="162.51"/>
    <x v="8"/>
    <n v="89.380499999999984"/>
    <x v="3"/>
  </r>
  <r>
    <x v="14"/>
    <s v="Matteo Giolo"/>
    <x v="1"/>
    <x v="171"/>
    <x v="171"/>
    <n v="2"/>
    <s v="METRE"/>
    <n v="0"/>
    <n v="20"/>
    <n v="15.999999999999986"/>
    <n v="-5"/>
    <n v="0"/>
    <n v="0"/>
    <n v="97.17"/>
    <x v="42"/>
    <n v="194.34"/>
    <x v="1"/>
  </r>
  <r>
    <x v="9"/>
    <s v="Stefan Zaugg"/>
    <x v="1"/>
    <x v="211"/>
    <x v="211"/>
    <n v="0.8"/>
    <s v="ADET"/>
    <n v="0"/>
    <n v="0"/>
    <n v="-9.7699626167013776E-15"/>
    <n v="13.000000000000007"/>
    <n v="11"/>
    <n v="23833.290000000012"/>
    <n v="1833.33"/>
    <x v="61"/>
    <n v="1466.664"/>
    <x v="8"/>
  </r>
  <r>
    <x v="14"/>
    <s v="Matteo Giolo"/>
    <x v="1"/>
    <x v="212"/>
    <x v="212"/>
    <n v="1.5"/>
    <s v="ADET"/>
    <n v="0"/>
    <n v="72"/>
    <n v="2"/>
    <n v="-43.5"/>
    <n v="0"/>
    <n v="0"/>
    <n v="5"/>
    <x v="2"/>
    <n v="7.5"/>
    <x v="1"/>
  </r>
  <r>
    <x v="2"/>
    <s v="Jan Urbanek"/>
    <x v="1"/>
    <x v="109"/>
    <x v="109"/>
    <n v="0.54999999999999993"/>
    <s v="ADET"/>
    <n v="0"/>
    <n v="0"/>
    <n v="5.6000000000000014"/>
    <n v="7.200000000000002"/>
    <n v="0"/>
    <n v="1170.0720000000003"/>
    <n v="162.51"/>
    <x v="8"/>
    <n v="89.380499999999984"/>
    <x v="3"/>
  </r>
  <r>
    <x v="2"/>
    <s v="Jan Urbanek"/>
    <x v="1"/>
    <x v="110"/>
    <x v="110"/>
    <n v="1"/>
    <s v="ADET"/>
    <n v="0"/>
    <n v="2"/>
    <n v="8"/>
    <n v="6"/>
    <n v="5"/>
    <n v="18914.400000000001"/>
    <n v="3152.4"/>
    <x v="43"/>
    <n v="3152.4"/>
    <x v="7"/>
  </r>
  <r>
    <x v="4"/>
    <s v="Jan Urbanek"/>
    <x v="1"/>
    <x v="109"/>
    <x v="109"/>
    <n v="0.55000000000000004"/>
    <s v="ADET"/>
    <n v="0"/>
    <n v="0"/>
    <n v="5.6000000000000014"/>
    <n v="7.200000000000002"/>
    <n v="0"/>
    <n v="1170.0720000000003"/>
    <n v="162.51"/>
    <x v="8"/>
    <n v="89.380499999999998"/>
    <x v="3"/>
  </r>
  <r>
    <x v="3"/>
    <s v="Jan Urbanek"/>
    <x v="1"/>
    <x v="110"/>
    <x v="110"/>
    <n v="1"/>
    <s v="ADET"/>
    <n v="0"/>
    <n v="2"/>
    <n v="8"/>
    <n v="6"/>
    <n v="5"/>
    <n v="18914.400000000001"/>
    <n v="3152.4"/>
    <x v="43"/>
    <n v="3152.4"/>
    <x v="7"/>
  </r>
  <r>
    <x v="10"/>
    <s v="Murat Taşdemir"/>
    <x v="1"/>
    <x v="213"/>
    <x v="213"/>
    <n v="3.17"/>
    <s v="ADET"/>
    <n v="0"/>
    <n v="111"/>
    <n v="4.2632564145606011E-14"/>
    <n v="-52.539999999999992"/>
    <n v="0"/>
    <n v="0"/>
    <n v="36"/>
    <x v="2"/>
    <n v="114.12"/>
    <x v="1"/>
  </r>
  <r>
    <x v="2"/>
    <s v="Jan Urbanek"/>
    <x v="1"/>
    <x v="212"/>
    <x v="212"/>
    <n v="1.5"/>
    <s v="ADET"/>
    <n v="0"/>
    <n v="72"/>
    <n v="2"/>
    <n v="-43.5"/>
    <n v="0"/>
    <n v="0"/>
    <n v="5"/>
    <x v="2"/>
    <n v="7.5"/>
    <x v="1"/>
  </r>
  <r>
    <x v="13"/>
    <s v="Volkan Batkan"/>
    <x v="1"/>
    <x v="214"/>
    <x v="214"/>
    <n v="6"/>
    <s v="ADET"/>
    <n v="0"/>
    <n v="118"/>
    <n v="18"/>
    <n v="-11"/>
    <n v="0"/>
    <n v="0"/>
    <n v="14.5"/>
    <x v="2"/>
    <n v="87"/>
    <x v="1"/>
  </r>
  <r>
    <x v="12"/>
    <s v="Stefan Zaugg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9"/>
    <s v="Stefan Zaugg"/>
    <x v="1"/>
    <x v="215"/>
    <x v="215"/>
    <n v="2"/>
    <s v="ADET"/>
    <n v="0"/>
    <n v="200"/>
    <n v="70"/>
    <n v="-165"/>
    <n v="0"/>
    <n v="0"/>
    <n v="10"/>
    <x v="14"/>
    <n v="20"/>
    <x v="1"/>
  </r>
  <r>
    <x v="12"/>
    <s v="Stefan Zaugg"/>
    <x v="1"/>
    <x v="215"/>
    <x v="215"/>
    <n v="2"/>
    <s v="ADET"/>
    <n v="0"/>
    <n v="200"/>
    <n v="70"/>
    <n v="-165"/>
    <n v="0"/>
    <n v="0"/>
    <n v="10"/>
    <x v="14"/>
    <n v="20"/>
    <x v="1"/>
  </r>
  <r>
    <x v="10"/>
    <s v="Murat Taşdemir"/>
    <x v="1"/>
    <x v="216"/>
    <x v="216"/>
    <n v="15"/>
    <s v="ADET"/>
    <n v="0"/>
    <n v="400"/>
    <n v="225"/>
    <n v="-292"/>
    <n v="0"/>
    <n v="0"/>
    <n v="12"/>
    <x v="14"/>
    <n v="180"/>
    <x v="1"/>
  </r>
  <r>
    <x v="4"/>
    <s v="Jan Urbanek"/>
    <x v="1"/>
    <x v="212"/>
    <x v="212"/>
    <n v="1.5"/>
    <s v="ADET"/>
    <n v="0"/>
    <n v="72"/>
    <n v="2"/>
    <n v="-43.5"/>
    <n v="0"/>
    <n v="0"/>
    <n v="5"/>
    <x v="2"/>
    <n v="7.5"/>
    <x v="1"/>
  </r>
  <r>
    <x v="13"/>
    <s v="Volkan Batkan"/>
    <x v="1"/>
    <x v="211"/>
    <x v="211"/>
    <n v="1.8"/>
    <s v="ADET"/>
    <n v="0"/>
    <n v="0"/>
    <n v="-9.7699626167013776E-15"/>
    <n v="13.000000000000007"/>
    <n v="11"/>
    <n v="23833.290000000012"/>
    <n v="1833.33"/>
    <x v="61"/>
    <n v="3299.9940000000001"/>
    <x v="8"/>
  </r>
  <r>
    <x v="12"/>
    <s v="Stefan Zaugg"/>
    <x v="1"/>
    <x v="211"/>
    <x v="211"/>
    <n v="0.8"/>
    <s v="ADET"/>
    <n v="0.8"/>
    <n v="0"/>
    <n v="-9.7699626167013776E-15"/>
    <n v="13.000000000000007"/>
    <n v="11"/>
    <n v="23833.290000000012"/>
    <n v="1833.33"/>
    <x v="61"/>
    <n v="1466.664"/>
    <x v="8"/>
  </r>
  <r>
    <x v="11"/>
    <s v="Jan Urbanek"/>
    <x v="1"/>
    <x v="211"/>
    <x v="211"/>
    <n v="2.8"/>
    <s v="ADET"/>
    <n v="0"/>
    <n v="0"/>
    <n v="-9.7699626167013776E-15"/>
    <n v="13.000000000000007"/>
    <n v="11"/>
    <n v="23833.290000000012"/>
    <n v="1833.33"/>
    <x v="61"/>
    <n v="5133.3239999999996"/>
    <x v="8"/>
  </r>
  <r>
    <x v="13"/>
    <s v="Volkan Batkan"/>
    <x v="1"/>
    <x v="212"/>
    <x v="212"/>
    <n v="1.5"/>
    <s v="ADET"/>
    <n v="0"/>
    <n v="72"/>
    <n v="2"/>
    <n v="-43.5"/>
    <n v="0"/>
    <n v="0"/>
    <n v="5"/>
    <x v="2"/>
    <n v="7.5"/>
    <x v="1"/>
  </r>
  <r>
    <x v="17"/>
    <s v="Soner Kayıkçı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7"/>
    <s v="Stina Alm"/>
    <x v="1"/>
    <x v="93"/>
    <x v="93"/>
    <n v="8"/>
    <s v="ADET"/>
    <n v="0"/>
    <n v="415"/>
    <n v="0"/>
    <n v="-393"/>
    <n v="0"/>
    <n v="0"/>
    <n v="4.25"/>
    <x v="2"/>
    <n v="34"/>
    <x v="4"/>
  </r>
  <r>
    <x v="11"/>
    <s v="Jan Urbanek"/>
    <x v="1"/>
    <x v="95"/>
    <x v="95"/>
    <n v="2"/>
    <s v="ADET"/>
    <n v="0"/>
    <n v="222"/>
    <n v="2"/>
    <n v="-166"/>
    <n v="0"/>
    <n v="0"/>
    <n v="11.5"/>
    <x v="2"/>
    <n v="23"/>
    <x v="4"/>
  </r>
  <r>
    <x v="14"/>
    <s v="Matteo Giolo"/>
    <x v="1"/>
    <x v="95"/>
    <x v="95"/>
    <n v="2"/>
    <s v="ADET"/>
    <n v="0"/>
    <n v="222"/>
    <n v="2"/>
    <n v="-166"/>
    <n v="0"/>
    <n v="0"/>
    <n v="11.5"/>
    <x v="2"/>
    <n v="23"/>
    <x v="4"/>
  </r>
  <r>
    <x v="16"/>
    <s v="Laurent MONTAGNER"/>
    <x v="1"/>
    <x v="92"/>
    <x v="92"/>
    <n v="82"/>
    <s v="ADET"/>
    <n v="0"/>
    <n v="4000"/>
    <n v="7366"/>
    <n v="-714"/>
    <n v="0"/>
    <n v="0"/>
    <n v="0.35"/>
    <x v="2"/>
    <n v="28.7"/>
    <x v="1"/>
  </r>
  <r>
    <x v="18"/>
    <s v="Stina Alm"/>
    <x v="1"/>
    <x v="93"/>
    <x v="93"/>
    <n v="4"/>
    <s v="ADET"/>
    <n v="0"/>
    <n v="415"/>
    <n v="0"/>
    <n v="-393"/>
    <n v="0"/>
    <n v="0"/>
    <n v="4.25"/>
    <x v="2"/>
    <n v="17"/>
    <x v="4"/>
  </r>
  <r>
    <x v="8"/>
    <s v="Jan Urbanek"/>
    <x v="1"/>
    <x v="95"/>
    <x v="95"/>
    <n v="2"/>
    <s v="ADET"/>
    <n v="0"/>
    <n v="222"/>
    <n v="2"/>
    <n v="-166"/>
    <n v="0"/>
    <n v="0"/>
    <n v="11.5"/>
    <x v="2"/>
    <n v="23"/>
    <x v="4"/>
  </r>
  <r>
    <x v="8"/>
    <s v="Jan Urbanek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16"/>
    <s v="Laurent MONTAGNER"/>
    <x v="1"/>
    <x v="95"/>
    <x v="95"/>
    <n v="2"/>
    <s v="ADET"/>
    <n v="0"/>
    <n v="222"/>
    <n v="2"/>
    <n v="-166"/>
    <n v="0"/>
    <n v="0"/>
    <n v="11.5"/>
    <x v="2"/>
    <n v="23"/>
    <x v="4"/>
  </r>
  <r>
    <x v="2"/>
    <s v="Jan Urbanek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1"/>
    <s v="Laurent MONTAGNER"/>
    <x v="1"/>
    <x v="96"/>
    <x v="96"/>
    <n v="1.2"/>
    <s v="ADET"/>
    <n v="0"/>
    <n v="5"/>
    <n v="0.29999999999999449"/>
    <n v="9.6499999999999986"/>
    <n v="0"/>
    <n v="15656.159999999998"/>
    <n v="1622.4"/>
    <x v="32"/>
    <n v="1946.88"/>
    <x v="3"/>
  </r>
  <r>
    <x v="6"/>
    <s v="Stefan Zaugg"/>
    <x v="1"/>
    <x v="217"/>
    <x v="217"/>
    <n v="6"/>
    <s v="METRE"/>
    <n v="0"/>
    <n v="100"/>
    <n v="50"/>
    <n v="-16"/>
    <n v="0"/>
    <n v="0"/>
    <n v="46"/>
    <x v="70"/>
    <n v="276"/>
    <x v="7"/>
  </r>
  <r>
    <x v="5"/>
    <s v="Matteo Giolo"/>
    <x v="1"/>
    <x v="217"/>
    <x v="217"/>
    <n v="6"/>
    <s v="METRE"/>
    <n v="0"/>
    <n v="100"/>
    <n v="50"/>
    <n v="-16"/>
    <n v="0"/>
    <n v="0"/>
    <n v="46"/>
    <x v="70"/>
    <n v="276"/>
    <x v="7"/>
  </r>
  <r>
    <x v="4"/>
    <s v="Jan Urbanek"/>
    <x v="1"/>
    <x v="95"/>
    <x v="95"/>
    <n v="2"/>
    <s v="ADET"/>
    <n v="0"/>
    <n v="222"/>
    <n v="2"/>
    <n v="-166"/>
    <n v="0"/>
    <n v="0"/>
    <n v="11.5"/>
    <x v="2"/>
    <n v="23"/>
    <x v="4"/>
  </r>
  <r>
    <x v="3"/>
    <s v="Jan Urbanek"/>
    <x v="1"/>
    <x v="95"/>
    <x v="95"/>
    <n v="2"/>
    <s v="ADET"/>
    <n v="0"/>
    <n v="222"/>
    <n v="2"/>
    <n v="-166"/>
    <n v="0"/>
    <n v="0"/>
    <n v="11.5"/>
    <x v="2"/>
    <n v="23"/>
    <x v="4"/>
  </r>
  <r>
    <x v="3"/>
    <s v="Jan Urbanek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0"/>
    <s v="Matteo Giolo"/>
    <x v="1"/>
    <x v="95"/>
    <x v="95"/>
    <n v="2"/>
    <s v="ADET"/>
    <n v="0"/>
    <n v="222"/>
    <n v="2"/>
    <n v="-166"/>
    <n v="0"/>
    <n v="0"/>
    <n v="11.5"/>
    <x v="2"/>
    <n v="23"/>
    <x v="4"/>
  </r>
  <r>
    <x v="0"/>
    <s v="Matteo Giolo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0"/>
    <s v="Matteo Giolo"/>
    <x v="1"/>
    <x v="217"/>
    <x v="217"/>
    <n v="6"/>
    <s v="METRE"/>
    <n v="0"/>
    <n v="100"/>
    <n v="50"/>
    <n v="-16"/>
    <n v="0"/>
    <n v="0"/>
    <n v="46"/>
    <x v="70"/>
    <n v="276"/>
    <x v="7"/>
  </r>
  <r>
    <x v="0"/>
    <s v="Matteo Giolo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0"/>
    <s v="Matteo Giolo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11"/>
    <s v="Jan Urbanek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9"/>
    <s v="Stefan Zaugg"/>
    <x v="1"/>
    <x v="207"/>
    <x v="207"/>
    <n v="4"/>
    <s v="ADET"/>
    <n v="0"/>
    <n v="85"/>
    <n v="31"/>
    <n v="-17"/>
    <n v="0"/>
    <n v="0"/>
    <n v="120"/>
    <x v="69"/>
    <n v="480"/>
    <x v="4"/>
  </r>
  <r>
    <x v="12"/>
    <s v="Stefan Zaugg"/>
    <x v="1"/>
    <x v="207"/>
    <x v="207"/>
    <n v="4"/>
    <s v="ADET"/>
    <n v="0"/>
    <n v="85"/>
    <n v="31"/>
    <n v="-17"/>
    <n v="0"/>
    <n v="0"/>
    <n v="120"/>
    <x v="69"/>
    <n v="480"/>
    <x v="4"/>
  </r>
  <r>
    <x v="10"/>
    <s v="Murat Taşdemir"/>
    <x v="1"/>
    <x v="208"/>
    <x v="208"/>
    <n v="3"/>
    <s v="ADET"/>
    <n v="0"/>
    <n v="81"/>
    <n v="5"/>
    <n v="-23"/>
    <n v="0"/>
    <n v="0"/>
    <n v="188"/>
    <x v="2"/>
    <n v="564"/>
    <x v="4"/>
  </r>
  <r>
    <x v="12"/>
    <s v="Stefan Zaugg"/>
    <x v="1"/>
    <x v="209"/>
    <x v="209"/>
    <n v="41.5"/>
    <s v="M2"/>
    <n v="41.5"/>
    <n v="58.5"/>
    <n v="21.929999999999836"/>
    <n v="320.25"/>
    <n v="54.25"/>
    <n v="70589.50499999999"/>
    <n v="220.42"/>
    <x v="61"/>
    <n v="9147.43"/>
    <x v="8"/>
  </r>
  <r>
    <x v="11"/>
    <s v="Jan Urbanek"/>
    <x v="1"/>
    <x v="209"/>
    <x v="209"/>
    <n v="60"/>
    <s v="M2"/>
    <n v="0"/>
    <n v="58.5"/>
    <n v="21.929999999999836"/>
    <n v="320.25"/>
    <n v="54.25"/>
    <n v="70589.50499999999"/>
    <n v="220.42"/>
    <x v="61"/>
    <n v="13225.199999999999"/>
    <x v="8"/>
  </r>
  <r>
    <x v="12"/>
    <s v="Stefan Zaugg"/>
    <x v="1"/>
    <x v="220"/>
    <x v="220"/>
    <n v="8"/>
    <s v="ADET"/>
    <n v="0"/>
    <n v="0"/>
    <n v="0"/>
    <n v="16"/>
    <n v="0"/>
    <n v="5.6"/>
    <n v="0.35"/>
    <x v="55"/>
    <n v="2.8"/>
    <x v="1"/>
  </r>
  <r>
    <x v="2"/>
    <s v="Jan Urbanek"/>
    <x v="1"/>
    <x v="114"/>
    <x v="114"/>
    <n v="3"/>
    <s v="ADET"/>
    <n v="0"/>
    <n v="13"/>
    <n v="22"/>
    <n v="-2"/>
    <n v="30"/>
    <n v="0"/>
    <n v="122.1"/>
    <x v="43"/>
    <n v="366.29999999999995"/>
    <x v="7"/>
  </r>
  <r>
    <x v="4"/>
    <s v="Jan Urbanek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3"/>
    <s v="Jan Urbanek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4"/>
    <s v="Jan Urbanek"/>
    <x v="1"/>
    <x v="207"/>
    <x v="207"/>
    <n v="4"/>
    <s v="ADET"/>
    <n v="0"/>
    <n v="85"/>
    <n v="31"/>
    <n v="-17"/>
    <n v="0"/>
    <n v="0"/>
    <n v="120"/>
    <x v="69"/>
    <n v="480"/>
    <x v="4"/>
  </r>
  <r>
    <x v="3"/>
    <s v="Jan Urbanek"/>
    <x v="1"/>
    <x v="207"/>
    <x v="207"/>
    <n v="4"/>
    <s v="ADET"/>
    <n v="0"/>
    <n v="85"/>
    <n v="31"/>
    <n v="-17"/>
    <n v="0"/>
    <n v="0"/>
    <n v="120"/>
    <x v="69"/>
    <n v="480"/>
    <x v="4"/>
  </r>
  <r>
    <x v="9"/>
    <s v="Stefan Zaugg"/>
    <x v="1"/>
    <x v="221"/>
    <x v="221"/>
    <n v="1"/>
    <s v="ADET"/>
    <n v="0"/>
    <n v="0"/>
    <n v="7"/>
    <n v="19"/>
    <n v="0"/>
    <n v="760"/>
    <n v="40"/>
    <x v="68"/>
    <n v="40"/>
    <x v="7"/>
  </r>
  <r>
    <x v="13"/>
    <s v="Volkan Batkan"/>
    <x v="1"/>
    <x v="208"/>
    <x v="208"/>
    <n v="3"/>
    <s v="ADET"/>
    <n v="0"/>
    <n v="81"/>
    <n v="5"/>
    <n v="-23"/>
    <n v="0"/>
    <n v="0"/>
    <n v="188"/>
    <x v="2"/>
    <n v="564"/>
    <x v="4"/>
  </r>
  <r>
    <x v="9"/>
    <s v="Stefan Zaugg"/>
    <x v="1"/>
    <x v="208"/>
    <x v="208"/>
    <n v="3"/>
    <s v="ADET"/>
    <n v="0"/>
    <n v="81"/>
    <n v="5"/>
    <n v="-23"/>
    <n v="0"/>
    <n v="0"/>
    <n v="188"/>
    <x v="2"/>
    <n v="564"/>
    <x v="4"/>
  </r>
  <r>
    <x v="12"/>
    <s v="Stefan Zaugg"/>
    <x v="1"/>
    <x v="208"/>
    <x v="208"/>
    <n v="3"/>
    <s v="ADET"/>
    <n v="0"/>
    <n v="81"/>
    <n v="5"/>
    <n v="-23"/>
    <n v="0"/>
    <n v="0"/>
    <n v="188"/>
    <x v="2"/>
    <n v="564"/>
    <x v="4"/>
  </r>
  <r>
    <x v="14"/>
    <s v="Matteo Giolo"/>
    <x v="1"/>
    <x v="208"/>
    <x v="208"/>
    <n v="3"/>
    <s v="ADET"/>
    <n v="0"/>
    <n v="81"/>
    <n v="5"/>
    <n v="-23"/>
    <n v="0"/>
    <n v="0"/>
    <n v="188"/>
    <x v="2"/>
    <n v="564"/>
    <x v="4"/>
  </r>
  <r>
    <x v="9"/>
    <s v="Stefan Zaugg"/>
    <x v="1"/>
    <x v="209"/>
    <x v="209"/>
    <n v="1.5"/>
    <s v="M2"/>
    <n v="0"/>
    <n v="58.5"/>
    <n v="21.929999999999836"/>
    <n v="320.25"/>
    <n v="54.25"/>
    <n v="70589.50499999999"/>
    <n v="220.42"/>
    <x v="61"/>
    <n v="330.63"/>
    <x v="8"/>
  </r>
  <r>
    <x v="4"/>
    <s v="Jan Urbanek"/>
    <x v="1"/>
    <x v="114"/>
    <x v="114"/>
    <n v="4"/>
    <s v="ADET"/>
    <n v="0"/>
    <n v="13"/>
    <n v="22"/>
    <n v="-2"/>
    <n v="30"/>
    <n v="0"/>
    <n v="122.1"/>
    <x v="43"/>
    <n v="488.4"/>
    <x v="7"/>
  </r>
  <r>
    <x v="4"/>
    <s v="Jan Urbanek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3"/>
    <s v="Jan Urbanek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14"/>
    <s v="Matteo Giolo"/>
    <x v="1"/>
    <x v="221"/>
    <x v="221"/>
    <n v="1"/>
    <s v="ADET"/>
    <n v="0"/>
    <n v="0"/>
    <n v="7"/>
    <n v="19"/>
    <n v="0"/>
    <n v="760"/>
    <n v="40"/>
    <x v="68"/>
    <n v="40"/>
    <x v="7"/>
  </r>
  <r>
    <x v="11"/>
    <s v="Jan Urbanek"/>
    <x v="1"/>
    <x v="221"/>
    <x v="221"/>
    <n v="1"/>
    <s v="ADET"/>
    <n v="0"/>
    <n v="0"/>
    <n v="7"/>
    <n v="19"/>
    <n v="0"/>
    <n v="760"/>
    <n v="40"/>
    <x v="68"/>
    <n v="40"/>
    <x v="7"/>
  </r>
  <r>
    <x v="8"/>
    <s v="Jan Urbanek"/>
    <x v="1"/>
    <x v="208"/>
    <x v="208"/>
    <n v="3"/>
    <s v="ADET"/>
    <n v="0"/>
    <n v="81"/>
    <n v="5"/>
    <n v="-23"/>
    <n v="0"/>
    <n v="0"/>
    <n v="188"/>
    <x v="2"/>
    <n v="564"/>
    <x v="4"/>
  </r>
  <r>
    <x v="8"/>
    <s v="Jan Urbanek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8"/>
    <s v="Jan Urbanek"/>
    <x v="1"/>
    <x v="207"/>
    <x v="207"/>
    <n v="4"/>
    <s v="ADET"/>
    <n v="0"/>
    <n v="85"/>
    <n v="31"/>
    <n v="-17"/>
    <n v="0"/>
    <n v="0"/>
    <n v="120"/>
    <x v="69"/>
    <n v="480"/>
    <x v="4"/>
  </r>
  <r>
    <x v="2"/>
    <s v="Jan Urbanek"/>
    <x v="1"/>
    <x v="208"/>
    <x v="208"/>
    <n v="3"/>
    <s v="ADET"/>
    <n v="0"/>
    <n v="81"/>
    <n v="5"/>
    <n v="-23"/>
    <n v="0"/>
    <n v="0"/>
    <n v="188"/>
    <x v="2"/>
    <n v="564"/>
    <x v="4"/>
  </r>
  <r>
    <x v="8"/>
    <s v="Jan Urbanek"/>
    <x v="1"/>
    <x v="209"/>
    <x v="209"/>
    <n v="60"/>
    <s v="M2"/>
    <n v="0"/>
    <n v="58.5"/>
    <n v="21.929999999999836"/>
    <n v="320.25"/>
    <n v="54.25"/>
    <n v="70589.50499999999"/>
    <n v="220.42"/>
    <x v="61"/>
    <n v="13225.199999999999"/>
    <x v="8"/>
  </r>
  <r>
    <x v="8"/>
    <s v="Jan Urbanek"/>
    <x v="1"/>
    <x v="221"/>
    <x v="221"/>
    <n v="1"/>
    <s v="ADET"/>
    <n v="0"/>
    <n v="0"/>
    <n v="7"/>
    <n v="19"/>
    <n v="0"/>
    <n v="760"/>
    <n v="40"/>
    <x v="68"/>
    <n v="40"/>
    <x v="7"/>
  </r>
  <r>
    <x v="10"/>
    <s v="Murat Taşdemir"/>
    <x v="1"/>
    <x v="207"/>
    <x v="207"/>
    <n v="3"/>
    <s v="ADET"/>
    <n v="0"/>
    <n v="85"/>
    <n v="31"/>
    <n v="-17"/>
    <n v="0"/>
    <n v="0"/>
    <n v="120"/>
    <x v="69"/>
    <n v="360"/>
    <x v="4"/>
  </r>
  <r>
    <x v="2"/>
    <s v="Jan Urbanek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8"/>
    <s v="Jan Urbanek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2"/>
    <s v="Jan Urbanek"/>
    <x v="1"/>
    <x v="207"/>
    <x v="207"/>
    <n v="4"/>
    <s v="ADET"/>
    <n v="0"/>
    <n v="85"/>
    <n v="31"/>
    <n v="-17"/>
    <n v="0"/>
    <n v="0"/>
    <n v="120"/>
    <x v="69"/>
    <n v="480"/>
    <x v="4"/>
  </r>
  <r>
    <x v="3"/>
    <s v="Jan Urbanek"/>
    <x v="1"/>
    <x v="208"/>
    <x v="208"/>
    <n v="3"/>
    <s v="ADET"/>
    <n v="0"/>
    <n v="81"/>
    <n v="5"/>
    <n v="-23"/>
    <n v="0"/>
    <n v="0"/>
    <n v="188"/>
    <x v="2"/>
    <n v="564"/>
    <x v="4"/>
  </r>
  <r>
    <x v="14"/>
    <s v="Matteo Giolo"/>
    <x v="1"/>
    <x v="154"/>
    <x v="154"/>
    <n v="1"/>
    <s v="ADET"/>
    <n v="0"/>
    <n v="5"/>
    <n v="2"/>
    <n v="-1"/>
    <n v="0"/>
    <n v="0"/>
    <n v="7450"/>
    <x v="26"/>
    <n v="7450"/>
    <x v="2"/>
  </r>
  <r>
    <x v="12"/>
    <s v="Stefan Zaugg"/>
    <x v="1"/>
    <x v="156"/>
    <x v="156"/>
    <n v="0.05"/>
    <s v="KG"/>
    <n v="0"/>
    <n v="3"/>
    <n v="-2.2204460492503131E-16"/>
    <n v="-2.75"/>
    <n v="0"/>
    <n v="0"/>
    <n v="148.31"/>
    <x v="6"/>
    <n v="7.4155000000000006"/>
    <x v="3"/>
  </r>
  <r>
    <x v="14"/>
    <s v="Matteo Giolo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11"/>
    <s v="Jan Urbanek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16"/>
    <s v="Laurent MONTAGNER"/>
    <x v="1"/>
    <x v="153"/>
    <x v="153"/>
    <n v="21"/>
    <s v="ADET"/>
    <n v="0"/>
    <n v="1800"/>
    <n v="773"/>
    <n v="-1570"/>
    <n v="0"/>
    <n v="0"/>
    <n v="0.8"/>
    <x v="2"/>
    <n v="16.8"/>
    <x v="1"/>
  </r>
  <r>
    <x v="17"/>
    <s v="Soner Kayıkçı"/>
    <x v="1"/>
    <x v="153"/>
    <x v="153"/>
    <n v="10"/>
    <s v="ADET"/>
    <n v="0"/>
    <n v="1800"/>
    <n v="773"/>
    <n v="-1570"/>
    <n v="0"/>
    <n v="0"/>
    <n v="0.8"/>
    <x v="2"/>
    <n v="8"/>
    <x v="1"/>
  </r>
  <r>
    <x v="18"/>
    <s v="Stina Alm"/>
    <x v="1"/>
    <x v="155"/>
    <x v="155"/>
    <n v="2"/>
    <s v="ADET"/>
    <n v="0"/>
    <n v="38"/>
    <n v="10"/>
    <n v="-22"/>
    <n v="0"/>
    <n v="0"/>
    <n v="95"/>
    <x v="56"/>
    <n v="190"/>
    <x v="1"/>
  </r>
  <r>
    <x v="6"/>
    <s v="Stefan Zaugg"/>
    <x v="1"/>
    <x v="156"/>
    <x v="156"/>
    <n v="0.05"/>
    <s v="KG"/>
    <n v="0"/>
    <n v="3"/>
    <n v="-2.2204460492503131E-16"/>
    <n v="-2.75"/>
    <n v="0"/>
    <n v="0"/>
    <n v="148.31"/>
    <x v="6"/>
    <n v="7.4155000000000006"/>
    <x v="3"/>
  </r>
  <r>
    <x v="1"/>
    <s v="Laurent MONTAGNER"/>
    <x v="1"/>
    <x v="156"/>
    <x v="156"/>
    <n v="0.05"/>
    <s v="KG"/>
    <n v="0"/>
    <n v="3"/>
    <n v="-2.2204460492503131E-16"/>
    <n v="-2.75"/>
    <n v="0"/>
    <n v="0"/>
    <n v="148.31"/>
    <x v="6"/>
    <n v="7.4155000000000006"/>
    <x v="3"/>
  </r>
  <r>
    <x v="16"/>
    <s v="Laurent MONTAGNER"/>
    <x v="1"/>
    <x v="154"/>
    <x v="154"/>
    <n v="1"/>
    <s v="ADET"/>
    <n v="0"/>
    <n v="5"/>
    <n v="2"/>
    <n v="-1"/>
    <n v="0"/>
    <n v="0"/>
    <n v="7450"/>
    <x v="26"/>
    <n v="7450"/>
    <x v="2"/>
  </r>
  <r>
    <x v="18"/>
    <s v="Stina Alm"/>
    <x v="1"/>
    <x v="153"/>
    <x v="153"/>
    <n v="18"/>
    <s v="ADET"/>
    <n v="0"/>
    <n v="1800"/>
    <n v="773"/>
    <n v="-1570"/>
    <n v="0"/>
    <n v="0"/>
    <n v="0.8"/>
    <x v="2"/>
    <n v="14.4"/>
    <x v="1"/>
  </r>
  <r>
    <x v="17"/>
    <s v="Soner Kayıkçı"/>
    <x v="1"/>
    <x v="155"/>
    <x v="155"/>
    <n v="1"/>
    <s v="ADET"/>
    <n v="0"/>
    <n v="38"/>
    <n v="10"/>
    <n v="-22"/>
    <n v="0"/>
    <n v="0"/>
    <n v="95"/>
    <x v="56"/>
    <n v="95"/>
    <x v="1"/>
  </r>
  <r>
    <x v="16"/>
    <s v="Laurent MONTAGNER"/>
    <x v="1"/>
    <x v="155"/>
    <x v="155"/>
    <n v="2"/>
    <s v="ADET"/>
    <n v="0"/>
    <n v="38"/>
    <n v="10"/>
    <n v="-22"/>
    <n v="0"/>
    <n v="0"/>
    <n v="95"/>
    <x v="56"/>
    <n v="190"/>
    <x v="1"/>
  </r>
  <r>
    <x v="18"/>
    <s v="Stina Alm"/>
    <x v="1"/>
    <x v="154"/>
    <x v="154"/>
    <n v="1"/>
    <s v="ADET"/>
    <n v="0"/>
    <n v="5"/>
    <n v="2"/>
    <n v="-1"/>
    <n v="0"/>
    <n v="0"/>
    <n v="7450"/>
    <x v="26"/>
    <n v="7450"/>
    <x v="2"/>
  </r>
  <r>
    <x v="19"/>
    <s v="Laurent MONTAGNER"/>
    <x v="1"/>
    <x v="154"/>
    <x v="154"/>
    <n v="1"/>
    <s v="ADET"/>
    <n v="1"/>
    <n v="5"/>
    <n v="2"/>
    <n v="-1"/>
    <n v="0"/>
    <n v="0"/>
    <n v="7450"/>
    <x v="26"/>
    <n v="7450"/>
    <x v="2"/>
  </r>
  <r>
    <x v="11"/>
    <s v="Jan Urbanek"/>
    <x v="1"/>
    <x v="223"/>
    <x v="223"/>
    <n v="0.5"/>
    <s v="ADET"/>
    <n v="0"/>
    <n v="0"/>
    <n v="-3.5527136788005009E-15"/>
    <n v="2.5"/>
    <n v="0"/>
    <n v="208.32499999999999"/>
    <n v="83.33"/>
    <x v="14"/>
    <n v="41.664999999999999"/>
    <x v="3"/>
  </r>
  <r>
    <x v="9"/>
    <s v="Stefan Zaugg"/>
    <x v="1"/>
    <x v="224"/>
    <x v="224"/>
    <n v="118"/>
    <s v="ADET"/>
    <n v="0"/>
    <n v="2750"/>
    <n v="0"/>
    <n v="-747"/>
    <n v="0"/>
    <n v="0"/>
    <n v="0.7"/>
    <x v="2"/>
    <n v="82.6"/>
    <x v="1"/>
  </r>
  <r>
    <x v="10"/>
    <s v="Murat Taşdemir"/>
    <x v="1"/>
    <x v="224"/>
    <x v="224"/>
    <n v="130"/>
    <s v="ADET"/>
    <n v="0"/>
    <n v="2750"/>
    <n v="0"/>
    <n v="-747"/>
    <n v="0"/>
    <n v="0"/>
    <n v="0.7"/>
    <x v="2"/>
    <n v="91"/>
    <x v="1"/>
  </r>
  <r>
    <x v="11"/>
    <s v="Jan Urbanek"/>
    <x v="1"/>
    <x v="224"/>
    <x v="224"/>
    <n v="100"/>
    <s v="ADET"/>
    <n v="0"/>
    <n v="2750"/>
    <n v="0"/>
    <n v="-747"/>
    <n v="0"/>
    <n v="0"/>
    <n v="0.7"/>
    <x v="2"/>
    <n v="70"/>
    <x v="1"/>
  </r>
  <r>
    <x v="14"/>
    <s v="Matteo Giolo"/>
    <x v="1"/>
    <x v="224"/>
    <x v="224"/>
    <n v="100"/>
    <s v="ADET"/>
    <n v="0"/>
    <n v="2750"/>
    <n v="0"/>
    <n v="-747"/>
    <n v="0"/>
    <n v="0"/>
    <n v="0.7"/>
    <x v="2"/>
    <n v="70"/>
    <x v="1"/>
  </r>
  <r>
    <x v="13"/>
    <s v="Volkan Batkan"/>
    <x v="1"/>
    <x v="224"/>
    <x v="224"/>
    <n v="104"/>
    <s v="ADET"/>
    <n v="0"/>
    <n v="2750"/>
    <n v="0"/>
    <n v="-747"/>
    <n v="0"/>
    <n v="0"/>
    <n v="0.7"/>
    <x v="2"/>
    <n v="72.8"/>
    <x v="1"/>
  </r>
  <r>
    <x v="12"/>
    <s v="Stefan Zaugg"/>
    <x v="1"/>
    <x v="225"/>
    <x v="225"/>
    <n v="3"/>
    <s v="ADET"/>
    <n v="3"/>
    <n v="16"/>
    <n v="9"/>
    <n v="-16"/>
    <n v="0"/>
    <n v="0"/>
    <n v="110"/>
    <x v="72"/>
    <n v="330"/>
    <x v="2"/>
  </r>
  <r>
    <x v="10"/>
    <s v="Murat Taşdemir"/>
    <x v="1"/>
    <x v="226"/>
    <x v="226"/>
    <n v="9.6300000000000008"/>
    <s v="KG"/>
    <n v="0"/>
    <n v="0"/>
    <n v="297.61000000000007"/>
    <n v="97.560000000000016"/>
    <n v="0"/>
    <n v="13285.720800000003"/>
    <n v="136.18"/>
    <x v="64"/>
    <n v="1311.4134000000001"/>
    <x v="3"/>
  </r>
  <r>
    <x v="14"/>
    <s v="Matteo Giolo"/>
    <x v="1"/>
    <x v="201"/>
    <x v="201"/>
    <n v="0.7"/>
    <s v="ADET"/>
    <n v="0"/>
    <n v="0"/>
    <n v="-1.2878587085651816E-14"/>
    <n v="6.9999999999999991"/>
    <n v="0"/>
    <n v="489.99999999999994"/>
    <n v="70"/>
    <x v="2"/>
    <n v="49"/>
    <x v="1"/>
  </r>
  <r>
    <x v="9"/>
    <s v="Stefan Zaugg"/>
    <x v="1"/>
    <x v="227"/>
    <x v="227"/>
    <n v="2.5"/>
    <s v="ADET"/>
    <n v="2.5"/>
    <n v="62"/>
    <n v="0.27000000000000668"/>
    <n v="-15.030000000000001"/>
    <n v="0"/>
    <n v="0"/>
    <n v="28"/>
    <x v="2"/>
    <n v="70"/>
    <x v="1"/>
  </r>
  <r>
    <x v="14"/>
    <s v="Matteo Giolo"/>
    <x v="1"/>
    <x v="227"/>
    <x v="227"/>
    <n v="3.3900000000000006"/>
    <s v="ADET"/>
    <n v="0"/>
    <n v="62"/>
    <n v="0.27000000000000668"/>
    <n v="-15.030000000000001"/>
    <n v="0"/>
    <n v="0"/>
    <n v="28"/>
    <x v="2"/>
    <n v="94.920000000000016"/>
    <x v="1"/>
  </r>
  <r>
    <x v="10"/>
    <s v="Murat Taşdemir"/>
    <x v="1"/>
    <x v="199"/>
    <x v="199"/>
    <n v="16"/>
    <s v="ADET"/>
    <n v="0"/>
    <n v="200"/>
    <n v="343"/>
    <n v="-8"/>
    <n v="0"/>
    <n v="0"/>
    <n v="9"/>
    <x v="2"/>
    <n v="144"/>
    <x v="1"/>
  </r>
  <r>
    <x v="2"/>
    <s v="Jan Urbanek"/>
    <x v="1"/>
    <x v="105"/>
    <x v="105"/>
    <n v="49"/>
    <s v="ADET"/>
    <n v="0"/>
    <n v="1200"/>
    <n v="196"/>
    <n v="-291"/>
    <n v="0"/>
    <n v="0"/>
    <n v="12.5"/>
    <x v="39"/>
    <n v="612.5"/>
    <x v="1"/>
  </r>
  <r>
    <x v="3"/>
    <s v="Jan Urbanek"/>
    <x v="1"/>
    <x v="105"/>
    <x v="105"/>
    <n v="49"/>
    <s v="ADET"/>
    <n v="0"/>
    <n v="1200"/>
    <n v="196"/>
    <n v="-291"/>
    <n v="0"/>
    <n v="0"/>
    <n v="12.5"/>
    <x v="39"/>
    <n v="612.5"/>
    <x v="1"/>
  </r>
  <r>
    <x v="4"/>
    <s v="Jan Urbanek"/>
    <x v="1"/>
    <x v="105"/>
    <x v="105"/>
    <n v="49"/>
    <s v="ADET"/>
    <n v="0"/>
    <n v="1200"/>
    <n v="196"/>
    <n v="-291"/>
    <n v="0"/>
    <n v="0"/>
    <n v="12.5"/>
    <x v="39"/>
    <n v="612.5"/>
    <x v="1"/>
  </r>
  <r>
    <x v="2"/>
    <s v="Jan Urbanek"/>
    <x v="1"/>
    <x v="198"/>
    <x v="198"/>
    <n v="0.01"/>
    <s v="METRE"/>
    <n v="0"/>
    <n v="200"/>
    <n v="74.999999999999957"/>
    <n v="-198.95"/>
    <n v="0"/>
    <n v="0"/>
    <n v="7.4"/>
    <x v="68"/>
    <n v="7.400000000000001E-2"/>
    <x v="7"/>
  </r>
  <r>
    <x v="13"/>
    <s v="Volkan Batkan"/>
    <x v="1"/>
    <x v="227"/>
    <x v="227"/>
    <n v="2.5"/>
    <s v="ADET"/>
    <n v="2.5"/>
    <n v="62"/>
    <n v="0.27000000000000668"/>
    <n v="-15.030000000000001"/>
    <n v="0"/>
    <n v="0"/>
    <n v="28"/>
    <x v="2"/>
    <n v="70"/>
    <x v="1"/>
  </r>
  <r>
    <x v="10"/>
    <s v="Murat Taşdemir"/>
    <x v="1"/>
    <x v="227"/>
    <x v="227"/>
    <n v="3.92"/>
    <s v="ADET"/>
    <n v="0"/>
    <n v="62"/>
    <n v="0.27000000000000668"/>
    <n v="-15.030000000000001"/>
    <n v="0"/>
    <n v="0"/>
    <n v="28"/>
    <x v="2"/>
    <n v="109.75999999999999"/>
    <x v="1"/>
  </r>
  <r>
    <x v="4"/>
    <s v="Jan Urbanek"/>
    <x v="1"/>
    <x v="199"/>
    <x v="199"/>
    <n v="12"/>
    <s v="ADET"/>
    <n v="0"/>
    <n v="200"/>
    <n v="343"/>
    <n v="-8"/>
    <n v="0"/>
    <n v="0"/>
    <n v="9"/>
    <x v="2"/>
    <n v="108"/>
    <x v="1"/>
  </r>
  <r>
    <x v="8"/>
    <s v="Jan Urbanek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6"/>
    <s v="Stefan Zaugg"/>
    <x v="1"/>
    <x v="108"/>
    <x v="108"/>
    <n v="2"/>
    <s v="METRE"/>
    <n v="0"/>
    <n v="54"/>
    <n v="10"/>
    <n v="-50"/>
    <n v="0"/>
    <n v="0"/>
    <n v="105.6"/>
    <x v="42"/>
    <n v="211.2"/>
    <x v="1"/>
  </r>
  <r>
    <x v="12"/>
    <s v="Stefan Zaugg"/>
    <x v="1"/>
    <x v="228"/>
    <x v="228"/>
    <n v="1"/>
    <s v="ADET"/>
    <n v="1"/>
    <n v="18"/>
    <n v="10"/>
    <n v="-5"/>
    <n v="0"/>
    <n v="0"/>
    <n v="1094.4000000000001"/>
    <x v="23"/>
    <n v="1094.4000000000001"/>
    <x v="7"/>
  </r>
  <r>
    <x v="14"/>
    <s v="Matteo Giolo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3"/>
    <s v="Volkan Batkan"/>
    <x v="1"/>
    <x v="228"/>
    <x v="228"/>
    <n v="1"/>
    <s v="ADET"/>
    <n v="1"/>
    <n v="18"/>
    <n v="10"/>
    <n v="-5"/>
    <n v="0"/>
    <n v="0"/>
    <n v="1094.4000000000001"/>
    <x v="23"/>
    <n v="1094.4000000000001"/>
    <x v="7"/>
  </r>
  <r>
    <x v="17"/>
    <s v="Soner Kayıkçı"/>
    <x v="1"/>
    <x v="80"/>
    <x v="80"/>
    <n v="3"/>
    <s v="ADET"/>
    <n v="0"/>
    <n v="85"/>
    <n v="43"/>
    <n v="-15"/>
    <n v="40"/>
    <n v="0"/>
    <n v="60"/>
    <x v="12"/>
    <n v="180"/>
    <x v="1"/>
  </r>
  <r>
    <x v="17"/>
    <s v="Soner Kayıkçı"/>
    <x v="1"/>
    <x v="229"/>
    <x v="229"/>
    <n v="1"/>
    <s v="ADET"/>
    <n v="0"/>
    <n v="1"/>
    <n v="0"/>
    <n v="0"/>
    <n v="0"/>
    <n v="0"/>
    <n v="4396.6000000000004"/>
    <x v="3"/>
    <n v="4396.6000000000004"/>
    <x v="2"/>
  </r>
  <r>
    <x v="17"/>
    <s v="Soner Kayıkçı"/>
    <x v="1"/>
    <x v="81"/>
    <x v="81"/>
    <n v="1"/>
    <s v="ADET"/>
    <n v="0"/>
    <n v="2"/>
    <n v="8"/>
    <n v="0"/>
    <n v="11"/>
    <n v="0"/>
    <n v="675"/>
    <x v="20"/>
    <n v="675"/>
    <x v="2"/>
  </r>
  <r>
    <x v="17"/>
    <s v="Soner Kayıkçı"/>
    <x v="1"/>
    <x v="77"/>
    <x v="77"/>
    <n v="0.05"/>
    <s v="KG"/>
    <n v="0"/>
    <n v="1.8"/>
    <n v="0.84999999999999831"/>
    <n v="-3.25"/>
    <n v="1.75"/>
    <n v="0"/>
    <n v="645.64"/>
    <x v="8"/>
    <n v="32.282000000000004"/>
    <x v="3"/>
  </r>
  <r>
    <x v="7"/>
    <s v="Stina Alm"/>
    <x v="1"/>
    <x v="78"/>
    <x v="78"/>
    <n v="1.9259999999999999"/>
    <s v="KG"/>
    <n v="0"/>
    <n v="0"/>
    <n v="65.031000000000006"/>
    <n v="17.948000000000004"/>
    <n v="0"/>
    <n v="6991.2844400000013"/>
    <n v="389.53"/>
    <x v="8"/>
    <n v="750.23477999999989"/>
    <x v="3"/>
  </r>
  <r>
    <x v="7"/>
    <s v="Stina Alm"/>
    <x v="1"/>
    <x v="150"/>
    <x v="150"/>
    <n v="2"/>
    <s v="ADET"/>
    <n v="0"/>
    <n v="69"/>
    <n v="22"/>
    <n v="-38"/>
    <n v="0"/>
    <n v="0"/>
    <n v="640"/>
    <x v="29"/>
    <n v="1280"/>
    <x v="7"/>
  </r>
  <r>
    <x v="0"/>
    <s v="Matteo Giolo"/>
    <x v="1"/>
    <x v="151"/>
    <x v="151"/>
    <n v="2"/>
    <s v="ADET"/>
    <n v="0"/>
    <n v="238"/>
    <n v="90"/>
    <n v="-200"/>
    <n v="0"/>
    <n v="0"/>
    <n v="4"/>
    <x v="29"/>
    <n v="8"/>
    <x v="7"/>
  </r>
  <r>
    <x v="11"/>
    <s v="Jan Urbanek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3"/>
    <s v="Volkan Batkan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4"/>
    <s v="Matteo Giolo"/>
    <x v="1"/>
    <x v="231"/>
    <x v="231"/>
    <n v="1"/>
    <s v="ADET"/>
    <n v="0"/>
    <n v="4"/>
    <n v="2"/>
    <n v="0"/>
    <n v="2"/>
    <n v="0"/>
    <n v="1667.14"/>
    <x v="20"/>
    <n v="1667.14"/>
    <x v="2"/>
  </r>
  <r>
    <x v="11"/>
    <s v="Jan Urbanek"/>
    <x v="1"/>
    <x v="232"/>
    <x v="232"/>
    <n v="3"/>
    <s v="ADET"/>
    <n v="0"/>
    <n v="38"/>
    <n v="25"/>
    <n v="-2"/>
    <n v="20"/>
    <n v="0"/>
    <n v="245"/>
    <x v="12"/>
    <n v="735"/>
    <x v="4"/>
  </r>
  <r>
    <x v="1"/>
    <s v="Laurent MONTAGNER"/>
    <x v="1"/>
    <x v="219"/>
    <x v="219"/>
    <n v="5"/>
    <s v="M2"/>
    <n v="0"/>
    <n v="0"/>
    <n v="-1.4210854715202004E-14"/>
    <n v="52"/>
    <n v="0"/>
    <n v="28423.200000000001"/>
    <n v="546.6"/>
    <x v="71"/>
    <n v="2733"/>
    <x v="8"/>
  </r>
  <r>
    <x v="10"/>
    <s v="Murat Taşdemir"/>
    <x v="1"/>
    <x v="217"/>
    <x v="217"/>
    <n v="6"/>
    <s v="METRE"/>
    <n v="0"/>
    <n v="100"/>
    <n v="50"/>
    <n v="-16"/>
    <n v="0"/>
    <n v="0"/>
    <n v="46"/>
    <x v="70"/>
    <n v="276"/>
    <x v="7"/>
  </r>
  <r>
    <x v="2"/>
    <s v="Jan Urbanek"/>
    <x v="1"/>
    <x v="95"/>
    <x v="95"/>
    <n v="2"/>
    <s v="ADET"/>
    <n v="0"/>
    <n v="222"/>
    <n v="2"/>
    <n v="-166"/>
    <n v="0"/>
    <n v="0"/>
    <n v="11.5"/>
    <x v="2"/>
    <n v="23"/>
    <x v="4"/>
  </r>
  <r>
    <x v="7"/>
    <s v="Stina Alm"/>
    <x v="1"/>
    <x v="95"/>
    <x v="95"/>
    <n v="2"/>
    <s v="ADET"/>
    <n v="0"/>
    <n v="222"/>
    <n v="2"/>
    <n v="-166"/>
    <n v="0"/>
    <n v="0"/>
    <n v="11.5"/>
    <x v="2"/>
    <n v="23"/>
    <x v="4"/>
  </r>
  <r>
    <x v="1"/>
    <s v="Laurent MONTAGNER"/>
    <x v="1"/>
    <x v="95"/>
    <x v="95"/>
    <n v="2"/>
    <s v="ADET"/>
    <n v="0"/>
    <n v="222"/>
    <n v="2"/>
    <n v="-166"/>
    <n v="0"/>
    <n v="0"/>
    <n v="11.5"/>
    <x v="2"/>
    <n v="23"/>
    <x v="4"/>
  </r>
  <r>
    <x v="5"/>
    <s v="Matteo Giolo"/>
    <x v="1"/>
    <x v="96"/>
    <x v="96"/>
    <n v="0.89999999999999991"/>
    <s v="ADET"/>
    <n v="0"/>
    <n v="5"/>
    <n v="0.29999999999999449"/>
    <n v="9.6499999999999986"/>
    <n v="0"/>
    <n v="15656.159999999998"/>
    <n v="1622.4"/>
    <x v="32"/>
    <n v="1460.1599999999999"/>
    <x v="3"/>
  </r>
  <r>
    <x v="9"/>
    <s v="Stefan Zaugg"/>
    <x v="1"/>
    <x v="147"/>
    <x v="147"/>
    <n v="1"/>
    <s v="METRE"/>
    <n v="0"/>
    <n v="6400"/>
    <n v="186.49999999999994"/>
    <n v="-6392"/>
    <n v="0"/>
    <n v="0"/>
    <n v="2.1"/>
    <x v="6"/>
    <n v="2.1"/>
    <x v="7"/>
  </r>
  <r>
    <x v="12"/>
    <s v="Stefan Zaugg"/>
    <x v="1"/>
    <x v="147"/>
    <x v="147"/>
    <n v="1"/>
    <s v="METRE"/>
    <n v="0"/>
    <n v="6400"/>
    <n v="186.49999999999994"/>
    <n v="-6392"/>
    <n v="0"/>
    <n v="0"/>
    <n v="2.1"/>
    <x v="6"/>
    <n v="2.1"/>
    <x v="7"/>
  </r>
  <r>
    <x v="17"/>
    <s v="Soner Kayıkçı"/>
    <x v="1"/>
    <x v="144"/>
    <x v="144"/>
    <n v="1"/>
    <s v="ADET"/>
    <n v="0"/>
    <n v="14"/>
    <n v="1"/>
    <n v="-7"/>
    <n v="0"/>
    <n v="0"/>
    <n v="458.33"/>
    <x v="1"/>
    <n v="458.33"/>
    <x v="2"/>
  </r>
  <r>
    <x v="0"/>
    <s v="Matteo Giolo"/>
    <x v="1"/>
    <x v="169"/>
    <x v="169"/>
    <n v="108.01"/>
    <s v="KG"/>
    <n v="0"/>
    <n v="1840"/>
    <n v="973.6200000000008"/>
    <n v="-1630.1299999999997"/>
    <n v="920"/>
    <n v="0"/>
    <n v="94.86"/>
    <x v="8"/>
    <n v="10245.828600000001"/>
    <x v="3"/>
  </r>
  <r>
    <x v="1"/>
    <s v="Laurent MONTAGNER"/>
    <x v="1"/>
    <x v="146"/>
    <x v="146"/>
    <n v="6"/>
    <s v="ADET"/>
    <n v="0"/>
    <n v="84"/>
    <n v="36"/>
    <n v="22"/>
    <n v="0"/>
    <n v="440"/>
    <n v="20"/>
    <x v="2"/>
    <n v="120"/>
    <x v="4"/>
  </r>
  <r>
    <x v="7"/>
    <s v="Stina Alm"/>
    <x v="1"/>
    <x v="146"/>
    <x v="146"/>
    <n v="4"/>
    <s v="ADET"/>
    <n v="0"/>
    <n v="84"/>
    <n v="36"/>
    <n v="22"/>
    <n v="0"/>
    <n v="440"/>
    <n v="20"/>
    <x v="2"/>
    <n v="80"/>
    <x v="4"/>
  </r>
  <r>
    <x v="9"/>
    <s v="Stefan Zaugg"/>
    <x v="1"/>
    <x v="210"/>
    <x v="210"/>
    <n v="12"/>
    <s v="ADET"/>
    <n v="12"/>
    <n v="133"/>
    <n v="46"/>
    <n v="-49"/>
    <n v="0"/>
    <n v="0"/>
    <n v="3.75"/>
    <x v="1"/>
    <n v="45"/>
    <x v="1"/>
  </r>
  <r>
    <x v="12"/>
    <s v="Stefan Zaugg"/>
    <x v="1"/>
    <x v="210"/>
    <x v="210"/>
    <n v="12"/>
    <s v="ADET"/>
    <n v="12"/>
    <n v="133"/>
    <n v="46"/>
    <n v="-49"/>
    <n v="0"/>
    <n v="0"/>
    <n v="3.75"/>
    <x v="1"/>
    <n v="45"/>
    <x v="1"/>
  </r>
  <r>
    <x v="14"/>
    <s v="Matteo Giolo"/>
    <x v="1"/>
    <x v="210"/>
    <x v="210"/>
    <n v="8"/>
    <s v="ADET"/>
    <n v="0"/>
    <n v="133"/>
    <n v="46"/>
    <n v="-49"/>
    <n v="0"/>
    <n v="0"/>
    <n v="3.75"/>
    <x v="1"/>
    <n v="30"/>
    <x v="1"/>
  </r>
  <r>
    <x v="11"/>
    <s v="Jan Urbanek"/>
    <x v="1"/>
    <x v="210"/>
    <x v="210"/>
    <n v="6"/>
    <s v="ADET"/>
    <n v="0"/>
    <n v="133"/>
    <n v="46"/>
    <n v="-49"/>
    <n v="0"/>
    <n v="0"/>
    <n v="3.75"/>
    <x v="1"/>
    <n v="22.5"/>
    <x v="1"/>
  </r>
  <r>
    <x v="13"/>
    <s v="Volkan Batkan"/>
    <x v="1"/>
    <x v="233"/>
    <x v="233"/>
    <n v="1"/>
    <s v="ADET"/>
    <n v="0"/>
    <n v="0"/>
    <n v="1"/>
    <n v="9"/>
    <n v="0"/>
    <n v="13877.91"/>
    <n v="1541.99"/>
    <x v="73"/>
    <n v="1541.99"/>
    <x v="2"/>
  </r>
  <r>
    <x v="4"/>
    <s v="Jan Urbanek"/>
    <x v="1"/>
    <x v="169"/>
    <x v="169"/>
    <n v="108.87"/>
    <s v="KG"/>
    <n v="0"/>
    <n v="1840"/>
    <n v="973.6200000000008"/>
    <n v="-1630.1299999999997"/>
    <n v="920"/>
    <n v="0"/>
    <n v="94.86"/>
    <x v="8"/>
    <n v="10327.4082"/>
    <x v="3"/>
  </r>
  <r>
    <x v="2"/>
    <s v="Jan Urbanek"/>
    <x v="1"/>
    <x v="145"/>
    <x v="145"/>
    <n v="0.01"/>
    <s v="ADET"/>
    <n v="0"/>
    <n v="6"/>
    <n v="22.53"/>
    <n v="-5.5"/>
    <n v="0"/>
    <n v="0"/>
    <n v="133"/>
    <x v="55"/>
    <n v="1.33"/>
    <x v="3"/>
  </r>
  <r>
    <x v="3"/>
    <s v="Jan Urbanek"/>
    <x v="1"/>
    <x v="146"/>
    <x v="146"/>
    <n v="6"/>
    <s v="ADET"/>
    <n v="0"/>
    <n v="84"/>
    <n v="36"/>
    <n v="22"/>
    <n v="0"/>
    <n v="440"/>
    <n v="20"/>
    <x v="2"/>
    <n v="120"/>
    <x v="4"/>
  </r>
  <r>
    <x v="4"/>
    <s v="Jan Urbanek"/>
    <x v="1"/>
    <x v="146"/>
    <x v="146"/>
    <n v="6"/>
    <s v="ADET"/>
    <n v="0"/>
    <n v="84"/>
    <n v="36"/>
    <n v="22"/>
    <n v="0"/>
    <n v="440"/>
    <n v="20"/>
    <x v="2"/>
    <n v="120"/>
    <x v="4"/>
  </r>
  <r>
    <x v="8"/>
    <s v="Jan Urbanek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8"/>
    <s v="Jan Urbanek"/>
    <x v="1"/>
    <x v="210"/>
    <x v="210"/>
    <n v="6"/>
    <s v="ADET"/>
    <n v="0"/>
    <n v="133"/>
    <n v="46"/>
    <n v="-49"/>
    <n v="0"/>
    <n v="0"/>
    <n v="3.75"/>
    <x v="1"/>
    <n v="22.5"/>
    <x v="1"/>
  </r>
  <r>
    <x v="2"/>
    <s v="Jan Urbanek"/>
    <x v="1"/>
    <x v="169"/>
    <x v="169"/>
    <n v="108.01"/>
    <s v="KG"/>
    <n v="0"/>
    <n v="1840"/>
    <n v="973.6200000000008"/>
    <n v="-1630.1299999999997"/>
    <n v="920"/>
    <n v="0"/>
    <n v="94.86"/>
    <x v="8"/>
    <n v="10245.828600000001"/>
    <x v="3"/>
  </r>
  <r>
    <x v="3"/>
    <s v="Jan Urbanek"/>
    <x v="1"/>
    <x v="145"/>
    <x v="145"/>
    <n v="0.01"/>
    <s v="ADET"/>
    <n v="0"/>
    <n v="6"/>
    <n v="22.53"/>
    <n v="-5.5"/>
    <n v="0"/>
    <n v="0"/>
    <n v="133"/>
    <x v="55"/>
    <n v="1.33"/>
    <x v="3"/>
  </r>
  <r>
    <x v="4"/>
    <s v="Jan Urbanek"/>
    <x v="1"/>
    <x v="145"/>
    <x v="145"/>
    <n v="0.01"/>
    <s v="ADET"/>
    <n v="0"/>
    <n v="6"/>
    <n v="22.53"/>
    <n v="-5.5"/>
    <n v="0"/>
    <n v="0"/>
    <n v="133"/>
    <x v="55"/>
    <n v="1.33"/>
    <x v="3"/>
  </r>
  <r>
    <x v="2"/>
    <s v="Jan Urbanek"/>
    <x v="1"/>
    <x v="146"/>
    <x v="146"/>
    <n v="6"/>
    <s v="ADET"/>
    <n v="0"/>
    <n v="84"/>
    <n v="36"/>
    <n v="22"/>
    <n v="0"/>
    <n v="440"/>
    <n v="20"/>
    <x v="2"/>
    <n v="120"/>
    <x v="4"/>
  </r>
  <r>
    <x v="12"/>
    <s v="Stefan Zaugg"/>
    <x v="1"/>
    <x v="234"/>
    <x v="234"/>
    <n v="23"/>
    <s v="ADET"/>
    <n v="23"/>
    <n v="800"/>
    <n v="0"/>
    <n v="-414"/>
    <n v="0"/>
    <n v="0"/>
    <n v="13.75"/>
    <x v="1"/>
    <n v="316.25"/>
    <x v="1"/>
  </r>
  <r>
    <x v="14"/>
    <s v="Matteo Giolo"/>
    <x v="1"/>
    <x v="234"/>
    <x v="234"/>
    <n v="30"/>
    <s v="ADET"/>
    <n v="0"/>
    <n v="800"/>
    <n v="0"/>
    <n v="-414"/>
    <n v="0"/>
    <n v="0"/>
    <n v="13.75"/>
    <x v="1"/>
    <n v="412.5"/>
    <x v="1"/>
  </r>
  <r>
    <x v="13"/>
    <s v="Volkan Batkan"/>
    <x v="1"/>
    <x v="234"/>
    <x v="234"/>
    <n v="28"/>
    <s v="ADET"/>
    <n v="28"/>
    <n v="800"/>
    <n v="0"/>
    <n v="-414"/>
    <n v="0"/>
    <n v="0"/>
    <n v="13.75"/>
    <x v="1"/>
    <n v="385"/>
    <x v="1"/>
  </r>
  <r>
    <x v="9"/>
    <s v="Stefan Zaugg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12"/>
    <s v="Stefan Zaugg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11"/>
    <s v="Jan Urbanek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14"/>
    <s v="Matteo Giolo"/>
    <x v="1"/>
    <x v="235"/>
    <x v="235"/>
    <n v="0.67"/>
    <s v="ADET"/>
    <n v="0"/>
    <n v="14"/>
    <n v="9.9999999999999929"/>
    <n v="2.5700000000000003"/>
    <n v="0"/>
    <n v="552.55000000000007"/>
    <n v="215"/>
    <x v="2"/>
    <n v="144.05000000000001"/>
    <x v="1"/>
  </r>
  <r>
    <x v="13"/>
    <s v="Volkan Batkan"/>
    <x v="1"/>
    <x v="235"/>
    <x v="235"/>
    <n v="0.5"/>
    <s v="ADET"/>
    <n v="0"/>
    <n v="14"/>
    <n v="9.9999999999999929"/>
    <n v="2.5700000000000003"/>
    <n v="0"/>
    <n v="552.55000000000007"/>
    <n v="215"/>
    <x v="2"/>
    <n v="107.5"/>
    <x v="1"/>
  </r>
  <r>
    <x v="9"/>
    <s v="Stefan Zaugg"/>
    <x v="1"/>
    <x v="236"/>
    <x v="236"/>
    <n v="0.7"/>
    <s v="ADET"/>
    <n v="0"/>
    <n v="272"/>
    <n v="4.2999999999999972"/>
    <n v="-233.2"/>
    <n v="0"/>
    <n v="0"/>
    <n v="30"/>
    <x v="2"/>
    <n v="21"/>
    <x v="1"/>
  </r>
  <r>
    <x v="12"/>
    <s v="Stefan Zaugg"/>
    <x v="1"/>
    <x v="236"/>
    <x v="236"/>
    <n v="0.5"/>
    <s v="ADET"/>
    <n v="0"/>
    <n v="272"/>
    <n v="4.2999999999999972"/>
    <n v="-233.2"/>
    <n v="0"/>
    <n v="0"/>
    <n v="30"/>
    <x v="2"/>
    <n v="15"/>
    <x v="1"/>
  </r>
  <r>
    <x v="14"/>
    <s v="Matteo Giolo"/>
    <x v="1"/>
    <x v="236"/>
    <x v="236"/>
    <n v="1.5"/>
    <s v="ADET"/>
    <n v="0"/>
    <n v="272"/>
    <n v="4.2999999999999972"/>
    <n v="-233.2"/>
    <n v="0"/>
    <n v="0"/>
    <n v="30"/>
    <x v="2"/>
    <n v="45"/>
    <x v="1"/>
  </r>
  <r>
    <x v="11"/>
    <s v="Jan Urbanek"/>
    <x v="1"/>
    <x v="234"/>
    <x v="234"/>
    <n v="28"/>
    <s v="ADET"/>
    <n v="0"/>
    <n v="800"/>
    <n v="0"/>
    <n v="-414"/>
    <n v="0"/>
    <n v="0"/>
    <n v="13.75"/>
    <x v="1"/>
    <n v="385"/>
    <x v="1"/>
  </r>
  <r>
    <x v="11"/>
    <s v="Jan Urbanek"/>
    <x v="1"/>
    <x v="236"/>
    <x v="236"/>
    <n v="3.2"/>
    <s v="ADET"/>
    <n v="0"/>
    <n v="272"/>
    <n v="4.2999999999999972"/>
    <n v="-233.2"/>
    <n v="0"/>
    <n v="0"/>
    <n v="30"/>
    <x v="2"/>
    <n v="96"/>
    <x v="1"/>
  </r>
  <r>
    <x v="8"/>
    <s v="Jan Urbanek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8"/>
    <s v="Jan Urbanek"/>
    <x v="1"/>
    <x v="223"/>
    <x v="223"/>
    <n v="0.5"/>
    <s v="ADET"/>
    <n v="0"/>
    <n v="0"/>
    <n v="-3.5527136788005009E-15"/>
    <n v="2.5"/>
    <n v="0"/>
    <n v="208.32499999999999"/>
    <n v="83.33"/>
    <x v="14"/>
    <n v="41.664999999999999"/>
    <x v="3"/>
  </r>
  <r>
    <x v="8"/>
    <s v="Jan Urbanek"/>
    <x v="1"/>
    <x v="156"/>
    <x v="156"/>
    <n v="0.02"/>
    <s v="KG"/>
    <n v="0"/>
    <n v="3"/>
    <n v="-2.2204460492503131E-16"/>
    <n v="-2.75"/>
    <n v="0"/>
    <n v="0"/>
    <n v="148.31"/>
    <x v="6"/>
    <n v="2.9662000000000002"/>
    <x v="3"/>
  </r>
  <r>
    <x v="8"/>
    <s v="Jan Urbanek"/>
    <x v="1"/>
    <x v="224"/>
    <x v="224"/>
    <n v="88"/>
    <s v="ADET"/>
    <n v="0"/>
    <n v="2750"/>
    <n v="0"/>
    <n v="-747"/>
    <n v="0"/>
    <n v="0"/>
    <n v="0.7"/>
    <x v="2"/>
    <n v="61.599999999999994"/>
    <x v="1"/>
  </r>
  <r>
    <x v="2"/>
    <s v="Jan Urbanek"/>
    <x v="1"/>
    <x v="226"/>
    <x v="226"/>
    <n v="7"/>
    <s v="KG"/>
    <n v="0"/>
    <n v="0"/>
    <n v="297.61000000000007"/>
    <n v="97.560000000000016"/>
    <n v="0"/>
    <n v="13285.720800000003"/>
    <n v="136.18"/>
    <x v="64"/>
    <n v="953.26"/>
    <x v="3"/>
  </r>
  <r>
    <x v="8"/>
    <s v="Jan Urbanek"/>
    <x v="1"/>
    <x v="234"/>
    <x v="234"/>
    <n v="28"/>
    <s v="ADET"/>
    <n v="0"/>
    <n v="800"/>
    <n v="0"/>
    <n v="-414"/>
    <n v="0"/>
    <n v="0"/>
    <n v="13.75"/>
    <x v="1"/>
    <n v="385"/>
    <x v="1"/>
  </r>
  <r>
    <x v="8"/>
    <s v="Jan Urbanek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7"/>
    <s v="Stina Alm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0"/>
    <s v="Matteo Giolo"/>
    <x v="1"/>
    <x v="156"/>
    <x v="156"/>
    <n v="0.02"/>
    <s v="KG"/>
    <n v="0"/>
    <n v="3"/>
    <n v="-2.2204460492503131E-16"/>
    <n v="-2.75"/>
    <n v="0"/>
    <n v="0"/>
    <n v="148.31"/>
    <x v="6"/>
    <n v="2.9662000000000002"/>
    <x v="3"/>
  </r>
  <r>
    <x v="10"/>
    <s v="Murat Taşdemir"/>
    <x v="1"/>
    <x v="237"/>
    <x v="237"/>
    <n v="3"/>
    <s v="ADET"/>
    <n v="0"/>
    <n v="109"/>
    <n v="6"/>
    <n v="-106"/>
    <n v="0"/>
    <n v="0"/>
    <n v="90"/>
    <x v="6"/>
    <n v="270"/>
    <x v="1"/>
  </r>
  <r>
    <x v="12"/>
    <s v="Stefan Zaugg"/>
    <x v="1"/>
    <x v="226"/>
    <x v="226"/>
    <n v="6"/>
    <s v="KG"/>
    <n v="6"/>
    <n v="0"/>
    <n v="297.61000000000007"/>
    <n v="97.560000000000016"/>
    <n v="0"/>
    <n v="13285.720800000003"/>
    <n v="136.18"/>
    <x v="64"/>
    <n v="817.08"/>
    <x v="3"/>
  </r>
  <r>
    <x v="11"/>
    <s v="Jan Urbanek"/>
    <x v="1"/>
    <x v="226"/>
    <x v="226"/>
    <n v="7"/>
    <s v="KG"/>
    <n v="0"/>
    <n v="0"/>
    <n v="297.61000000000007"/>
    <n v="97.560000000000016"/>
    <n v="0"/>
    <n v="13285.720800000003"/>
    <n v="136.18"/>
    <x v="64"/>
    <n v="953.26"/>
    <x v="3"/>
  </r>
  <r>
    <x v="14"/>
    <s v="Matteo Giolo"/>
    <x v="1"/>
    <x v="226"/>
    <x v="226"/>
    <n v="8.89"/>
    <s v="KG"/>
    <n v="0"/>
    <n v="0"/>
    <n v="297.61000000000007"/>
    <n v="97.560000000000016"/>
    <n v="0"/>
    <n v="13285.720800000003"/>
    <n v="136.18"/>
    <x v="64"/>
    <n v="1210.6402"/>
    <x v="3"/>
  </r>
  <r>
    <x v="10"/>
    <s v="Murat Taşdemir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4"/>
    <s v="Jan Urbanek"/>
    <x v="1"/>
    <x v="156"/>
    <x v="156"/>
    <n v="0.02"/>
    <s v="KG"/>
    <n v="0"/>
    <n v="3"/>
    <n v="-2.2204460492503131E-16"/>
    <n v="-2.75"/>
    <n v="0"/>
    <n v="0"/>
    <n v="148.31"/>
    <x v="6"/>
    <n v="2.9662000000000002"/>
    <x v="3"/>
  </r>
  <r>
    <x v="3"/>
    <s v="Jan Urbanek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2"/>
    <s v="Jan Urbanek"/>
    <x v="1"/>
    <x v="101"/>
    <x v="101"/>
    <n v="1.5"/>
    <s v="KG"/>
    <n v="0"/>
    <n v="30"/>
    <n v="21.5"/>
    <n v="6"/>
    <n v="0"/>
    <n v="708.84"/>
    <n v="118.14"/>
    <x v="36"/>
    <n v="177.21"/>
    <x v="3"/>
  </r>
  <r>
    <x v="4"/>
    <s v="Jan Urbanek"/>
    <x v="1"/>
    <x v="101"/>
    <x v="101"/>
    <n v="1.5"/>
    <s v="KG"/>
    <n v="0"/>
    <n v="30"/>
    <n v="21.5"/>
    <n v="6"/>
    <n v="0"/>
    <n v="708.84"/>
    <n v="118.14"/>
    <x v="36"/>
    <n v="177.21"/>
    <x v="3"/>
  </r>
  <r>
    <x v="3"/>
    <s v="Jan Urbanek"/>
    <x v="1"/>
    <x v="101"/>
    <x v="101"/>
    <n v="3"/>
    <s v="KG"/>
    <n v="0"/>
    <n v="30"/>
    <n v="21.5"/>
    <n v="6"/>
    <n v="0"/>
    <n v="708.84"/>
    <n v="118.14"/>
    <x v="36"/>
    <n v="354.42"/>
    <x v="3"/>
  </r>
  <r>
    <x v="9"/>
    <s v="Stefan Zaugg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12"/>
    <s v="Stefan Zaugg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11"/>
    <s v="Jan Urbanek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12"/>
    <s v="Stefan Zaugg"/>
    <x v="1"/>
    <x v="197"/>
    <x v="197"/>
    <n v="2"/>
    <s v="ADET"/>
    <n v="2"/>
    <n v="40"/>
    <n v="18"/>
    <n v="-14"/>
    <n v="0"/>
    <n v="0"/>
    <n v="45.3"/>
    <x v="23"/>
    <n v="90.6"/>
    <x v="7"/>
  </r>
  <r>
    <x v="11"/>
    <s v="Jan Urbanek"/>
    <x v="1"/>
    <x v="197"/>
    <x v="197"/>
    <n v="2"/>
    <s v="ADET"/>
    <n v="0"/>
    <n v="40"/>
    <n v="18"/>
    <n v="-14"/>
    <n v="0"/>
    <n v="0"/>
    <n v="45.3"/>
    <x v="23"/>
    <n v="90.6"/>
    <x v="7"/>
  </r>
  <r>
    <x v="4"/>
    <s v="Jan Urbanek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13"/>
    <s v="Volkan Batkan"/>
    <x v="1"/>
    <x v="181"/>
    <x v="181"/>
    <n v="7"/>
    <s v="KG"/>
    <n v="7"/>
    <n v="0"/>
    <n v="260.61000000000013"/>
    <n v="97.560000000000016"/>
    <n v="0"/>
    <n v="13285.720800000003"/>
    <n v="136.18"/>
    <x v="64"/>
    <n v="953.26"/>
    <x v="3"/>
  </r>
  <r>
    <x v="19"/>
    <s v="Laurent MONTAGNER"/>
    <x v="1"/>
    <x v="138"/>
    <x v="138"/>
    <n v="4"/>
    <s v="ADET"/>
    <n v="0"/>
    <n v="500"/>
    <n v="490"/>
    <n v="-294"/>
    <n v="0"/>
    <n v="0"/>
    <n v="1.6"/>
    <x v="2"/>
    <n v="6.4"/>
    <x v="1"/>
  </r>
  <r>
    <x v="17"/>
    <s v="Soner Kayıkçı"/>
    <x v="1"/>
    <x v="238"/>
    <x v="238"/>
    <n v="4"/>
    <s v="ADET"/>
    <n v="0"/>
    <n v="0"/>
    <n v="0"/>
    <n v="4"/>
    <n v="0"/>
    <n v="14357.64"/>
    <n v="3589.41"/>
    <x v="3"/>
    <n v="14357.64"/>
    <x v="2"/>
  </r>
  <r>
    <x v="5"/>
    <s v="Matteo Giolo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7"/>
    <s v="Stina Alm"/>
    <x v="1"/>
    <x v="175"/>
    <x v="175"/>
    <n v="1"/>
    <s v="ADET"/>
    <n v="0"/>
    <n v="0"/>
    <n v="0"/>
    <n v="3"/>
    <n v="0"/>
    <n v="40950.03"/>
    <n v="13650.01"/>
    <x v="43"/>
    <n v="13650.01"/>
    <x v="7"/>
  </r>
  <r>
    <x v="7"/>
    <s v="Stina Alm"/>
    <x v="1"/>
    <x v="173"/>
    <x v="173"/>
    <n v="3"/>
    <s v="ADET"/>
    <n v="0"/>
    <n v="24"/>
    <n v="22"/>
    <n v="-31"/>
    <n v="50"/>
    <n v="0"/>
    <n v="44"/>
    <x v="60"/>
    <n v="132"/>
    <x v="7"/>
  </r>
  <r>
    <x v="1"/>
    <s v="Laurent MONTAGNER"/>
    <x v="1"/>
    <x v="174"/>
    <x v="174"/>
    <n v="2"/>
    <s v="ADET"/>
    <n v="2"/>
    <n v="22"/>
    <n v="18"/>
    <n v="-6"/>
    <n v="10"/>
    <n v="0"/>
    <n v="400"/>
    <x v="56"/>
    <n v="800"/>
    <x v="7"/>
  </r>
  <r>
    <x v="9"/>
    <s v="Stefan Zaugg"/>
    <x v="1"/>
    <x v="181"/>
    <x v="181"/>
    <n v="6"/>
    <s v="KG"/>
    <n v="6"/>
    <n v="0"/>
    <n v="260.61000000000013"/>
    <n v="97.560000000000016"/>
    <n v="0"/>
    <n v="13285.720800000003"/>
    <n v="136.18"/>
    <x v="64"/>
    <n v="817.08"/>
    <x v="3"/>
  </r>
  <r>
    <x v="9"/>
    <s v="Stefan Zaugg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9"/>
    <s v="Stefan Zaugg"/>
    <x v="1"/>
    <x v="240"/>
    <x v="240"/>
    <n v="6"/>
    <s v="ADET"/>
    <n v="0"/>
    <n v="85"/>
    <n v="34"/>
    <n v="-18"/>
    <n v="40"/>
    <n v="0"/>
    <n v="74"/>
    <x v="12"/>
    <n v="444"/>
    <x v="4"/>
  </r>
  <r>
    <x v="12"/>
    <s v="Stefan Zaugg"/>
    <x v="1"/>
    <x v="240"/>
    <x v="240"/>
    <n v="3"/>
    <s v="ADET"/>
    <n v="0"/>
    <n v="85"/>
    <n v="34"/>
    <n v="-18"/>
    <n v="40"/>
    <n v="0"/>
    <n v="74"/>
    <x v="12"/>
    <n v="222"/>
    <x v="4"/>
  </r>
  <r>
    <x v="0"/>
    <s v="Matteo Giolo"/>
    <x v="1"/>
    <x v="173"/>
    <x v="173"/>
    <n v="3"/>
    <s v="ADET"/>
    <n v="0"/>
    <n v="24"/>
    <n v="22"/>
    <n v="-31"/>
    <n v="50"/>
    <n v="0"/>
    <n v="44"/>
    <x v="60"/>
    <n v="132"/>
    <x v="7"/>
  </r>
  <r>
    <x v="13"/>
    <s v="Volkan Batkan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3"/>
    <s v="Volkan Batkan"/>
    <x v="1"/>
    <x v="240"/>
    <x v="240"/>
    <n v="6"/>
    <s v="ADET"/>
    <n v="0"/>
    <n v="85"/>
    <n v="34"/>
    <n v="-18"/>
    <n v="40"/>
    <n v="0"/>
    <n v="74"/>
    <x v="12"/>
    <n v="444"/>
    <x v="4"/>
  </r>
  <r>
    <x v="11"/>
    <s v="Jan Urbanek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4"/>
    <s v="Matteo Giolo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0"/>
    <s v="Murat Taşdemir"/>
    <x v="1"/>
    <x v="240"/>
    <x v="240"/>
    <n v="3"/>
    <s v="ADET"/>
    <n v="0"/>
    <n v="85"/>
    <n v="34"/>
    <n v="-18"/>
    <n v="40"/>
    <n v="0"/>
    <n v="74"/>
    <x v="12"/>
    <n v="222"/>
    <x v="4"/>
  </r>
  <r>
    <x v="11"/>
    <s v="Jan Urbanek"/>
    <x v="1"/>
    <x v="240"/>
    <x v="240"/>
    <n v="6"/>
    <s v="ADET"/>
    <n v="0"/>
    <n v="85"/>
    <n v="34"/>
    <n v="-18"/>
    <n v="40"/>
    <n v="0"/>
    <n v="74"/>
    <x v="12"/>
    <n v="444"/>
    <x v="4"/>
  </r>
  <r>
    <x v="9"/>
    <s v="Stefan Zaugg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0"/>
    <s v="Murat Taşdemir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0"/>
    <s v="Murat Taşdemir"/>
    <x v="1"/>
    <x v="242"/>
    <x v="242"/>
    <n v="1"/>
    <s v="ADET"/>
    <n v="0"/>
    <n v="16"/>
    <n v="8"/>
    <n v="-3"/>
    <n v="0"/>
    <n v="0"/>
    <n v="224.46"/>
    <x v="23"/>
    <n v="224.46"/>
    <x v="7"/>
  </r>
  <r>
    <x v="3"/>
    <s v="Jan Urbanek"/>
    <x v="1"/>
    <x v="173"/>
    <x v="173"/>
    <n v="3"/>
    <s v="ADET"/>
    <n v="0"/>
    <n v="24"/>
    <n v="22"/>
    <n v="-31"/>
    <n v="50"/>
    <n v="0"/>
    <n v="44"/>
    <x v="60"/>
    <n v="132"/>
    <x v="7"/>
  </r>
  <r>
    <x v="4"/>
    <s v="Jan Urbanek"/>
    <x v="1"/>
    <x v="173"/>
    <x v="173"/>
    <n v="3"/>
    <s v="ADET"/>
    <n v="0"/>
    <n v="24"/>
    <n v="22"/>
    <n v="-31"/>
    <n v="50"/>
    <n v="0"/>
    <n v="44"/>
    <x v="60"/>
    <n v="132"/>
    <x v="7"/>
  </r>
  <r>
    <x v="2"/>
    <s v="Jan Urbanek"/>
    <x v="1"/>
    <x v="174"/>
    <x v="174"/>
    <n v="2"/>
    <s v="ADET"/>
    <n v="0"/>
    <n v="22"/>
    <n v="18"/>
    <n v="-6"/>
    <n v="10"/>
    <n v="0"/>
    <n v="400"/>
    <x v="56"/>
    <n v="800"/>
    <x v="7"/>
  </r>
  <r>
    <x v="4"/>
    <s v="Jan Urbanek"/>
    <x v="1"/>
    <x v="181"/>
    <x v="181"/>
    <n v="7"/>
    <s v="KG"/>
    <n v="0"/>
    <n v="0"/>
    <n v="260.61000000000013"/>
    <n v="97.560000000000016"/>
    <n v="0"/>
    <n v="13285.720800000003"/>
    <n v="136.18"/>
    <x v="64"/>
    <n v="953.26"/>
    <x v="3"/>
  </r>
  <r>
    <x v="3"/>
    <s v="Jan Urbanek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4"/>
    <s v="Jan Urbanek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8"/>
    <s v="Jan Urbanek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2"/>
    <s v="Jan Urbanek"/>
    <x v="1"/>
    <x v="173"/>
    <x v="173"/>
    <n v="3"/>
    <s v="ADET"/>
    <n v="0"/>
    <n v="24"/>
    <n v="22"/>
    <n v="-31"/>
    <n v="50"/>
    <n v="0"/>
    <n v="44"/>
    <x v="60"/>
    <n v="132"/>
    <x v="7"/>
  </r>
  <r>
    <x v="8"/>
    <s v="Jan Urbanek"/>
    <x v="1"/>
    <x v="174"/>
    <x v="174"/>
    <n v="2"/>
    <s v="ADET"/>
    <n v="0"/>
    <n v="22"/>
    <n v="18"/>
    <n v="-6"/>
    <n v="10"/>
    <n v="0"/>
    <n v="400"/>
    <x v="56"/>
    <n v="800"/>
    <x v="7"/>
  </r>
  <r>
    <x v="2"/>
    <s v="Jan Urbanek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2"/>
    <s v="Jan Urbanek"/>
    <x v="1"/>
    <x v="242"/>
    <x v="242"/>
    <n v="1"/>
    <s v="ADET"/>
    <n v="0"/>
    <n v="16"/>
    <n v="8"/>
    <n v="-3"/>
    <n v="0"/>
    <n v="0"/>
    <n v="224.46"/>
    <x v="23"/>
    <n v="224.46"/>
    <x v="7"/>
  </r>
  <r>
    <x v="3"/>
    <s v="Jan Urbanek"/>
    <x v="1"/>
    <x v="242"/>
    <x v="242"/>
    <n v="1"/>
    <s v="ADET"/>
    <n v="0"/>
    <n v="16"/>
    <n v="8"/>
    <n v="-3"/>
    <n v="0"/>
    <n v="0"/>
    <n v="224.46"/>
    <x v="23"/>
    <n v="224.46"/>
    <x v="7"/>
  </r>
  <r>
    <x v="7"/>
    <s v="Stina Alm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6"/>
    <s v="Stefan Zaugg"/>
    <x v="1"/>
    <x v="240"/>
    <x v="240"/>
    <n v="6"/>
    <s v="ADET"/>
    <n v="0"/>
    <n v="85"/>
    <n v="34"/>
    <n v="-18"/>
    <n v="40"/>
    <n v="0"/>
    <n v="74"/>
    <x v="12"/>
    <n v="444"/>
    <x v="4"/>
  </r>
  <r>
    <x v="5"/>
    <s v="Matteo Giolo"/>
    <x v="1"/>
    <x v="240"/>
    <x v="240"/>
    <n v="8"/>
    <s v="ADET"/>
    <n v="0"/>
    <n v="85"/>
    <n v="34"/>
    <n v="-18"/>
    <n v="40"/>
    <n v="0"/>
    <n v="74"/>
    <x v="12"/>
    <n v="592"/>
    <x v="4"/>
  </r>
  <r>
    <x v="0"/>
    <s v="Matteo Giolo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"/>
    <s v="Laurent MONTAGNER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0"/>
    <s v="Matteo Giolo"/>
    <x v="1"/>
    <x v="174"/>
    <x v="174"/>
    <n v="2"/>
    <s v="ADET"/>
    <n v="0"/>
    <n v="22"/>
    <n v="18"/>
    <n v="-6"/>
    <n v="10"/>
    <n v="0"/>
    <n v="400"/>
    <x v="56"/>
    <n v="800"/>
    <x v="7"/>
  </r>
  <r>
    <x v="10"/>
    <s v="Murat Taşdemir"/>
    <x v="1"/>
    <x v="180"/>
    <x v="180"/>
    <n v="50"/>
    <s v="METRE"/>
    <n v="0"/>
    <n v="0"/>
    <n v="1804.0000000000018"/>
    <n v="300"/>
    <n v="0"/>
    <n v="2904"/>
    <n v="9.68"/>
    <x v="63"/>
    <n v="484"/>
    <x v="8"/>
  </r>
  <r>
    <x v="10"/>
    <s v="Murat Taşdemir"/>
    <x v="1"/>
    <x v="181"/>
    <x v="181"/>
    <n v="9.6300000000000008"/>
    <s v="KG"/>
    <n v="0"/>
    <n v="0"/>
    <n v="260.61000000000013"/>
    <n v="97.560000000000016"/>
    <n v="0"/>
    <n v="13285.720800000003"/>
    <n v="136.18"/>
    <x v="64"/>
    <n v="1311.4134000000001"/>
    <x v="3"/>
  </r>
  <r>
    <x v="10"/>
    <s v="Murat Taşdemir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4"/>
    <s v="Matteo Giolo"/>
    <x v="1"/>
    <x v="240"/>
    <x v="240"/>
    <n v="5"/>
    <s v="ADET"/>
    <n v="0"/>
    <n v="85"/>
    <n v="34"/>
    <n v="-18"/>
    <n v="40"/>
    <n v="0"/>
    <n v="74"/>
    <x v="12"/>
    <n v="370"/>
    <x v="4"/>
  </r>
  <r>
    <x v="12"/>
    <s v="Stefan Zaugg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1"/>
    <s v="Jan Urbanek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4"/>
    <s v="Jan Urbanek"/>
    <x v="1"/>
    <x v="223"/>
    <x v="223"/>
    <n v="0.5"/>
    <s v="ADET"/>
    <n v="0"/>
    <n v="0"/>
    <n v="-3.5527136788005009E-15"/>
    <n v="2.5"/>
    <n v="0"/>
    <n v="208.32499999999999"/>
    <n v="83.33"/>
    <x v="14"/>
    <n v="41.664999999999999"/>
    <x v="3"/>
  </r>
  <r>
    <x v="2"/>
    <s v="Jan Urbanek"/>
    <x v="1"/>
    <x v="224"/>
    <x v="224"/>
    <n v="100"/>
    <s v="ADET"/>
    <n v="0"/>
    <n v="2750"/>
    <n v="0"/>
    <n v="-747"/>
    <n v="0"/>
    <n v="0"/>
    <n v="0.7"/>
    <x v="2"/>
    <n v="70"/>
    <x v="1"/>
  </r>
  <r>
    <x v="9"/>
    <s v="Stefan Zaugg"/>
    <x v="1"/>
    <x v="226"/>
    <x v="226"/>
    <n v="6"/>
    <s v="KG"/>
    <n v="6"/>
    <n v="0"/>
    <n v="297.61000000000007"/>
    <n v="97.560000000000016"/>
    <n v="0"/>
    <n v="13285.720800000003"/>
    <n v="136.18"/>
    <x v="64"/>
    <n v="817.08"/>
    <x v="3"/>
  </r>
  <r>
    <x v="10"/>
    <s v="Murat Taşdemir"/>
    <x v="1"/>
    <x v="234"/>
    <x v="234"/>
    <n v="15"/>
    <s v="ADET"/>
    <n v="0"/>
    <n v="800"/>
    <n v="0"/>
    <n v="-414"/>
    <n v="0"/>
    <n v="0"/>
    <n v="13.75"/>
    <x v="1"/>
    <n v="206.25"/>
    <x v="1"/>
  </r>
  <r>
    <x v="10"/>
    <s v="Murat Taşdemir"/>
    <x v="1"/>
    <x v="236"/>
    <x v="236"/>
    <n v="2.5"/>
    <s v="ADET"/>
    <n v="0"/>
    <n v="272"/>
    <n v="4.2999999999999972"/>
    <n v="-233.2"/>
    <n v="0"/>
    <n v="0"/>
    <n v="30"/>
    <x v="2"/>
    <n v="75"/>
    <x v="1"/>
  </r>
  <r>
    <x v="2"/>
    <s v="Jan Urbanek"/>
    <x v="1"/>
    <x v="156"/>
    <x v="156"/>
    <n v="0.02"/>
    <s v="KG"/>
    <n v="0"/>
    <n v="3"/>
    <n v="-2.2204460492503131E-16"/>
    <n v="-2.75"/>
    <n v="0"/>
    <n v="0"/>
    <n v="148.31"/>
    <x v="6"/>
    <n v="2.9662000000000002"/>
    <x v="3"/>
  </r>
  <r>
    <x v="8"/>
    <s v="Jan Urbanek"/>
    <x v="1"/>
    <x v="128"/>
    <x v="128"/>
    <n v="1"/>
    <s v="ADET"/>
    <n v="0"/>
    <n v="0"/>
    <n v="4"/>
    <n v="0"/>
    <n v="20"/>
    <n v="0"/>
    <n v="28000"/>
    <x v="48"/>
    <n v="28000"/>
    <x v="7"/>
  </r>
  <r>
    <x v="8"/>
    <s v="Jan Urbanek"/>
    <x v="1"/>
    <x v="160"/>
    <x v="160"/>
    <n v="5"/>
    <s v="ADET"/>
    <n v="0"/>
    <n v="39"/>
    <n v="36"/>
    <n v="63"/>
    <n v="0"/>
    <n v="6615"/>
    <n v="105"/>
    <x v="58"/>
    <n v="525"/>
    <x v="4"/>
  </r>
  <r>
    <x v="8"/>
    <s v="Jan Urbanek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5"/>
    <s v="Matteo Giolo"/>
    <x v="1"/>
    <x v="121"/>
    <x v="121"/>
    <n v="6"/>
    <s v="ADET"/>
    <n v="0"/>
    <n v="230"/>
    <n v="72"/>
    <n v="-172"/>
    <n v="0"/>
    <n v="0"/>
    <n v="225"/>
    <x v="45"/>
    <n v="1350"/>
    <x v="2"/>
  </r>
  <r>
    <x v="0"/>
    <s v="Matteo Giolo"/>
    <x v="1"/>
    <x v="123"/>
    <x v="123"/>
    <n v="1"/>
    <s v="ADET"/>
    <n v="0"/>
    <n v="87"/>
    <n v="50.899999999999977"/>
    <n v="-42.900000000000006"/>
    <n v="0"/>
    <n v="0"/>
    <n v="122.09"/>
    <x v="11"/>
    <n v="122.09"/>
    <x v="1"/>
  </r>
  <r>
    <x v="5"/>
    <s v="Matteo Giolo"/>
    <x v="1"/>
    <x v="124"/>
    <x v="124"/>
    <n v="2"/>
    <s v="ADET"/>
    <n v="0"/>
    <n v="222"/>
    <n v="90"/>
    <n v="-184"/>
    <n v="0"/>
    <n v="0"/>
    <n v="4"/>
    <x v="29"/>
    <n v="8"/>
    <x v="7"/>
  </r>
  <r>
    <x v="1"/>
    <s v="Laurent MONTAGNER"/>
    <x v="1"/>
    <x v="124"/>
    <x v="124"/>
    <n v="2"/>
    <s v="ADET"/>
    <n v="0"/>
    <n v="222"/>
    <n v="90"/>
    <n v="-184"/>
    <n v="0"/>
    <n v="0"/>
    <n v="4"/>
    <x v="29"/>
    <n v="8"/>
    <x v="7"/>
  </r>
  <r>
    <x v="1"/>
    <s v="Laurent MONTAGNER"/>
    <x v="1"/>
    <x v="126"/>
    <x v="126"/>
    <n v="4"/>
    <s v="ADET"/>
    <n v="0"/>
    <n v="1000"/>
    <n v="0"/>
    <n v="-964"/>
    <n v="0"/>
    <n v="0"/>
    <n v="1.2"/>
    <x v="2"/>
    <n v="4.8"/>
    <x v="1"/>
  </r>
  <r>
    <x v="2"/>
    <s v="Jan Urbanek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8"/>
    <s v="Jan Urbanek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2"/>
    <s v="Jan Urbanek"/>
    <x v="1"/>
    <x v="203"/>
    <x v="203"/>
    <n v="0.5"/>
    <s v="ADET"/>
    <n v="0"/>
    <n v="100"/>
    <n v="41"/>
    <n v="-89.5"/>
    <n v="0"/>
    <n v="0"/>
    <n v="60"/>
    <x v="29"/>
    <n v="30"/>
    <x v="1"/>
  </r>
  <r>
    <x v="18"/>
    <s v="Stina Alm"/>
    <x v="1"/>
    <x v="123"/>
    <x v="123"/>
    <n v="6.3"/>
    <s v="ADET"/>
    <n v="0"/>
    <n v="87"/>
    <n v="50.899999999999977"/>
    <n v="-42.900000000000006"/>
    <n v="0"/>
    <n v="0"/>
    <n v="122.09"/>
    <x v="11"/>
    <n v="769.16700000000003"/>
    <x v="1"/>
  </r>
  <r>
    <x v="5"/>
    <s v="Matteo Giolo"/>
    <x v="1"/>
    <x v="127"/>
    <x v="127"/>
    <n v="2.1"/>
    <s v="ADET"/>
    <n v="0"/>
    <n v="14"/>
    <n v="6.7999999999999972"/>
    <n v="7.7000000000000028"/>
    <n v="12"/>
    <n v="2532.1450000000009"/>
    <n v="328.85"/>
    <x v="47"/>
    <n v="690.58500000000004"/>
    <x v="3"/>
  </r>
  <r>
    <x v="1"/>
    <s v="Laurent MONTAGNER"/>
    <x v="1"/>
    <x v="127"/>
    <x v="127"/>
    <n v="1.6"/>
    <s v="ADET"/>
    <n v="1.6"/>
    <n v="14"/>
    <n v="6.7999999999999972"/>
    <n v="7.7000000000000028"/>
    <n v="12"/>
    <n v="2532.1450000000009"/>
    <n v="328.85"/>
    <x v="47"/>
    <n v="526.16000000000008"/>
    <x v="3"/>
  </r>
  <r>
    <x v="1"/>
    <s v="Laurent MONTAGNER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0"/>
    <s v="Matteo Giolo"/>
    <x v="1"/>
    <x v="160"/>
    <x v="160"/>
    <n v="5"/>
    <s v="ADET"/>
    <n v="0"/>
    <n v="39"/>
    <n v="36"/>
    <n v="63"/>
    <n v="0"/>
    <n v="6615"/>
    <n v="105"/>
    <x v="58"/>
    <n v="525"/>
    <x v="4"/>
  </r>
  <r>
    <x v="0"/>
    <s v="Matteo Giolo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7"/>
    <s v="Stina Alm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0"/>
    <s v="Matteo Giolo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7"/>
    <s v="Stina Alm"/>
    <x v="1"/>
    <x v="184"/>
    <x v="184"/>
    <n v="1"/>
    <s v="ADET"/>
    <n v="0"/>
    <n v="3"/>
    <n v="7"/>
    <n v="2"/>
    <n v="3"/>
    <n v="4955.04"/>
    <n v="2477.52"/>
    <x v="43"/>
    <n v="2477.52"/>
    <x v="7"/>
  </r>
  <r>
    <x v="7"/>
    <s v="Stina Alm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7"/>
    <s v="Stina Alm"/>
    <x v="1"/>
    <x v="243"/>
    <x v="243"/>
    <n v="0.69"/>
    <s v="ADET"/>
    <n v="0"/>
    <n v="20"/>
    <n v="116.6640000000002"/>
    <n v="-11.16"/>
    <n v="0"/>
    <n v="0"/>
    <n v="185"/>
    <x v="2"/>
    <n v="127.64999999999999"/>
    <x v="1"/>
  </r>
  <r>
    <x v="14"/>
    <s v="Matteo Giolo"/>
    <x v="1"/>
    <x v="232"/>
    <x v="232"/>
    <n v="3"/>
    <s v="ADET"/>
    <n v="0"/>
    <n v="38"/>
    <n v="25"/>
    <n v="-2"/>
    <n v="20"/>
    <n v="0"/>
    <n v="245"/>
    <x v="12"/>
    <n v="735"/>
    <x v="4"/>
  </r>
  <r>
    <x v="5"/>
    <s v="Matteo Giolo"/>
    <x v="1"/>
    <x v="82"/>
    <x v="82"/>
    <n v="1"/>
    <s v="ADET"/>
    <n v="0"/>
    <n v="12"/>
    <n v="13"/>
    <n v="-5"/>
    <n v="0"/>
    <n v="0"/>
    <n v="28339.38"/>
    <x v="27"/>
    <n v="28339.38"/>
    <x v="2"/>
  </r>
  <r>
    <x v="0"/>
    <s v="Matteo Giolo"/>
    <x v="1"/>
    <x v="77"/>
    <x v="77"/>
    <n v="0.05"/>
    <s v="KG"/>
    <n v="0"/>
    <n v="1.8"/>
    <n v="0.84999999999999831"/>
    <n v="-3.25"/>
    <n v="1.75"/>
    <n v="0"/>
    <n v="645.64"/>
    <x v="8"/>
    <n v="32.282000000000004"/>
    <x v="3"/>
  </r>
  <r>
    <x v="0"/>
    <s v="Matteo Giolo"/>
    <x v="1"/>
    <x v="78"/>
    <x v="78"/>
    <n v="1.4909999999999999"/>
    <s v="KG"/>
    <n v="0"/>
    <n v="0"/>
    <n v="65.031000000000006"/>
    <n v="17.948000000000004"/>
    <n v="0"/>
    <n v="6991.2844400000013"/>
    <n v="389.53"/>
    <x v="8"/>
    <n v="580.78922999999986"/>
    <x v="3"/>
  </r>
  <r>
    <x v="6"/>
    <s v="Stefan Zaugg"/>
    <x v="1"/>
    <x v="151"/>
    <x v="151"/>
    <n v="2"/>
    <s v="ADET"/>
    <n v="0"/>
    <n v="238"/>
    <n v="90"/>
    <n v="-200"/>
    <n v="0"/>
    <n v="0"/>
    <n v="4"/>
    <x v="29"/>
    <n v="8"/>
    <x v="7"/>
  </r>
  <r>
    <x v="9"/>
    <s v="Stefan Zaugg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2"/>
    <s v="Stefan Zaugg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0"/>
    <s v="Murat Taşdemir"/>
    <x v="1"/>
    <x v="231"/>
    <x v="231"/>
    <n v="1"/>
    <s v="ADET"/>
    <n v="0"/>
    <n v="4"/>
    <n v="2"/>
    <n v="0"/>
    <n v="2"/>
    <n v="0"/>
    <n v="1667.14"/>
    <x v="20"/>
    <n v="1667.14"/>
    <x v="2"/>
  </r>
  <r>
    <x v="10"/>
    <s v="Murat Taşdemir"/>
    <x v="1"/>
    <x v="232"/>
    <x v="232"/>
    <n v="3"/>
    <s v="ADET"/>
    <n v="0"/>
    <n v="38"/>
    <n v="25"/>
    <n v="-2"/>
    <n v="20"/>
    <n v="0"/>
    <n v="245"/>
    <x v="12"/>
    <n v="735"/>
    <x v="4"/>
  </r>
  <r>
    <x v="10"/>
    <s v="Murat Taşdemir"/>
    <x v="1"/>
    <x v="244"/>
    <x v="244"/>
    <n v="1"/>
    <s v="ADET"/>
    <n v="0"/>
    <n v="114"/>
    <n v="0"/>
    <n v="-109"/>
    <n v="0"/>
    <n v="0"/>
    <n v="10"/>
    <x v="6"/>
    <n v="10"/>
    <x v="4"/>
  </r>
  <r>
    <x v="11"/>
    <s v="Jan Urbanek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4"/>
    <s v="Matteo Giolo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9"/>
    <s v="Stefan Zaugg"/>
    <x v="1"/>
    <x v="232"/>
    <x v="232"/>
    <n v="3"/>
    <s v="ADET"/>
    <n v="0"/>
    <n v="38"/>
    <n v="25"/>
    <n v="-2"/>
    <n v="20"/>
    <n v="0"/>
    <n v="245"/>
    <x v="12"/>
    <n v="735"/>
    <x v="4"/>
  </r>
  <r>
    <x v="12"/>
    <s v="Stefan Zaugg"/>
    <x v="1"/>
    <x v="232"/>
    <x v="232"/>
    <n v="2"/>
    <s v="ADET"/>
    <n v="0"/>
    <n v="38"/>
    <n v="25"/>
    <n v="-2"/>
    <n v="20"/>
    <n v="0"/>
    <n v="245"/>
    <x v="12"/>
    <n v="490"/>
    <x v="4"/>
  </r>
  <r>
    <x v="13"/>
    <s v="Volkan Batkan"/>
    <x v="1"/>
    <x v="232"/>
    <x v="232"/>
    <n v="3"/>
    <s v="ADET"/>
    <n v="0"/>
    <n v="38"/>
    <n v="25"/>
    <n v="-2"/>
    <n v="20"/>
    <n v="0"/>
    <n v="245"/>
    <x v="12"/>
    <n v="735"/>
    <x v="4"/>
  </r>
  <r>
    <x v="12"/>
    <s v="Stefan Zaugg"/>
    <x v="1"/>
    <x v="244"/>
    <x v="244"/>
    <n v="1"/>
    <s v="ADET"/>
    <n v="0"/>
    <n v="114"/>
    <n v="0"/>
    <n v="-109"/>
    <n v="0"/>
    <n v="0"/>
    <n v="10"/>
    <x v="6"/>
    <n v="10"/>
    <x v="4"/>
  </r>
  <r>
    <x v="11"/>
    <s v="Jan Urbanek"/>
    <x v="1"/>
    <x v="245"/>
    <x v="245"/>
    <n v="1"/>
    <s v="ADET"/>
    <n v="0"/>
    <n v="4"/>
    <n v="22"/>
    <n v="-5"/>
    <n v="20"/>
    <n v="0"/>
    <n v="65"/>
    <x v="22"/>
    <n v="65"/>
    <x v="4"/>
  </r>
  <r>
    <x v="14"/>
    <s v="Matteo Giolo"/>
    <x v="1"/>
    <x v="245"/>
    <x v="245"/>
    <n v="1"/>
    <s v="ADET"/>
    <n v="0"/>
    <n v="4"/>
    <n v="22"/>
    <n v="-5"/>
    <n v="20"/>
    <n v="0"/>
    <n v="65"/>
    <x v="22"/>
    <n v="65"/>
    <x v="4"/>
  </r>
  <r>
    <x v="12"/>
    <s v="Stefan Zaugg"/>
    <x v="1"/>
    <x v="246"/>
    <x v="246"/>
    <n v="16"/>
    <s v="ADET"/>
    <n v="0"/>
    <n v="0"/>
    <n v="0"/>
    <n v="32"/>
    <n v="0"/>
    <n v="14.4"/>
    <n v="0.45"/>
    <x v="55"/>
    <n v="7.2"/>
    <x v="1"/>
  </r>
  <r>
    <x v="13"/>
    <s v="Volkan Batkan"/>
    <x v="1"/>
    <x v="245"/>
    <x v="245"/>
    <n v="1"/>
    <s v="ADET"/>
    <n v="0"/>
    <n v="4"/>
    <n v="22"/>
    <n v="-5"/>
    <n v="20"/>
    <n v="0"/>
    <n v="65"/>
    <x v="22"/>
    <n v="65"/>
    <x v="4"/>
  </r>
  <r>
    <x v="13"/>
    <s v="Volkan Batkan"/>
    <x v="1"/>
    <x v="247"/>
    <x v="247"/>
    <n v="12"/>
    <s v="METRE"/>
    <n v="0"/>
    <n v="60"/>
    <n v="52"/>
    <n v="14.5"/>
    <n v="80"/>
    <n v="710.5"/>
    <n v="49"/>
    <x v="35"/>
    <n v="588"/>
    <x v="6"/>
  </r>
  <r>
    <x v="4"/>
    <s v="Jan Urbanek"/>
    <x v="1"/>
    <x v="78"/>
    <x v="78"/>
    <n v="1.504"/>
    <s v="KG"/>
    <n v="0"/>
    <n v="0"/>
    <n v="65.031000000000006"/>
    <n v="17.948000000000004"/>
    <n v="0"/>
    <n v="6991.2844400000013"/>
    <n v="389.53"/>
    <x v="8"/>
    <n v="585.85311999999999"/>
    <x v="3"/>
  </r>
  <r>
    <x v="2"/>
    <s v="Jan Urbanek"/>
    <x v="1"/>
    <x v="150"/>
    <x v="150"/>
    <n v="2"/>
    <s v="ADET"/>
    <n v="0"/>
    <n v="69"/>
    <n v="22"/>
    <n v="-38"/>
    <n v="0"/>
    <n v="0"/>
    <n v="640"/>
    <x v="29"/>
    <n v="1280"/>
    <x v="7"/>
  </r>
  <r>
    <x v="8"/>
    <s v="Jan Urbanek"/>
    <x v="1"/>
    <x v="151"/>
    <x v="151"/>
    <n v="2"/>
    <s v="ADET"/>
    <n v="0"/>
    <n v="238"/>
    <n v="90"/>
    <n v="-200"/>
    <n v="0"/>
    <n v="0"/>
    <n v="4"/>
    <x v="29"/>
    <n v="8"/>
    <x v="7"/>
  </r>
  <r>
    <x v="2"/>
    <s v="Jan Urbanek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8"/>
    <s v="Jan Urbanek"/>
    <x v="1"/>
    <x v="150"/>
    <x v="150"/>
    <n v="2"/>
    <s v="ADET"/>
    <n v="0"/>
    <n v="69"/>
    <n v="22"/>
    <n v="-38"/>
    <n v="0"/>
    <n v="0"/>
    <n v="640"/>
    <x v="29"/>
    <n v="1280"/>
    <x v="7"/>
  </r>
  <r>
    <x v="8"/>
    <s v="Jan Urbanek"/>
    <x v="1"/>
    <x v="152"/>
    <x v="152"/>
    <n v="1"/>
    <s v="ADET"/>
    <n v="0"/>
    <n v="10"/>
    <n v="12"/>
    <n v="-1"/>
    <n v="4"/>
    <n v="0"/>
    <n v="1600"/>
    <x v="56"/>
    <n v="1600"/>
    <x v="7"/>
  </r>
  <r>
    <x v="8"/>
    <s v="Jan Urbanek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8"/>
    <s v="Jan Urbanek"/>
    <x v="1"/>
    <x v="232"/>
    <x v="232"/>
    <n v="3"/>
    <s v="ADET"/>
    <n v="0"/>
    <n v="38"/>
    <n v="25"/>
    <n v="-2"/>
    <n v="20"/>
    <n v="0"/>
    <n v="245"/>
    <x v="12"/>
    <n v="735"/>
    <x v="4"/>
  </r>
  <r>
    <x v="7"/>
    <s v="Stina Alm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5"/>
    <s v="Matteo Giolo"/>
    <x v="1"/>
    <x v="248"/>
    <x v="248"/>
    <n v="6"/>
    <s v="ADET"/>
    <n v="0"/>
    <n v="100"/>
    <n v="1016"/>
    <n v="-94"/>
    <n v="0"/>
    <n v="0"/>
    <n v="1.3"/>
    <x v="2"/>
    <n v="7.8000000000000007"/>
    <x v="1"/>
  </r>
  <r>
    <x v="7"/>
    <s v="Stina Alm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5"/>
    <s v="Matteo Giolo"/>
    <x v="1"/>
    <x v="231"/>
    <x v="231"/>
    <n v="1"/>
    <s v="ADET"/>
    <n v="0"/>
    <n v="4"/>
    <n v="2"/>
    <n v="0"/>
    <n v="2"/>
    <n v="0"/>
    <n v="1667.14"/>
    <x v="20"/>
    <n v="1667.14"/>
    <x v="2"/>
  </r>
  <r>
    <x v="6"/>
    <s v="Stefan Zaugg"/>
    <x v="1"/>
    <x v="232"/>
    <x v="232"/>
    <n v="3"/>
    <s v="ADET"/>
    <n v="0"/>
    <n v="38"/>
    <n v="25"/>
    <n v="-2"/>
    <n v="20"/>
    <n v="0"/>
    <n v="245"/>
    <x v="12"/>
    <n v="735"/>
    <x v="4"/>
  </r>
  <r>
    <x v="5"/>
    <s v="Matteo Giolo"/>
    <x v="1"/>
    <x v="232"/>
    <x v="232"/>
    <n v="3"/>
    <s v="ADET"/>
    <n v="0"/>
    <n v="38"/>
    <n v="25"/>
    <n v="-2"/>
    <n v="20"/>
    <n v="0"/>
    <n v="245"/>
    <x v="12"/>
    <n v="735"/>
    <x v="4"/>
  </r>
  <r>
    <x v="19"/>
    <s v="Laurent MONTAGNER"/>
    <x v="1"/>
    <x v="82"/>
    <x v="82"/>
    <n v="1"/>
    <s v="ADET"/>
    <n v="1"/>
    <n v="12"/>
    <n v="13"/>
    <n v="-5"/>
    <n v="0"/>
    <n v="0"/>
    <n v="28339.38"/>
    <x v="27"/>
    <n v="28339.38"/>
    <x v="2"/>
  </r>
  <r>
    <x v="17"/>
    <s v="Soner Kayıkçı"/>
    <x v="1"/>
    <x v="78"/>
    <x v="78"/>
    <n v="1.504"/>
    <s v="KG"/>
    <n v="0"/>
    <n v="0"/>
    <n v="65.031000000000006"/>
    <n v="17.948000000000004"/>
    <n v="0"/>
    <n v="6991.2844400000013"/>
    <n v="389.53"/>
    <x v="8"/>
    <n v="585.85311999999999"/>
    <x v="3"/>
  </r>
  <r>
    <x v="0"/>
    <s v="Matteo Giolo"/>
    <x v="1"/>
    <x v="150"/>
    <x v="150"/>
    <n v="2"/>
    <s v="ADET"/>
    <n v="0"/>
    <n v="69"/>
    <n v="22"/>
    <n v="-38"/>
    <n v="0"/>
    <n v="0"/>
    <n v="640"/>
    <x v="29"/>
    <n v="1280"/>
    <x v="7"/>
  </r>
  <r>
    <x v="5"/>
    <s v="Matteo Giolo"/>
    <x v="1"/>
    <x v="151"/>
    <x v="151"/>
    <n v="2"/>
    <s v="ADET"/>
    <n v="0"/>
    <n v="238"/>
    <n v="90"/>
    <n v="-200"/>
    <n v="0"/>
    <n v="0"/>
    <n v="4"/>
    <x v="29"/>
    <n v="8"/>
    <x v="7"/>
  </r>
  <r>
    <x v="1"/>
    <s v="Laurent MONTAGNER"/>
    <x v="1"/>
    <x v="151"/>
    <x v="151"/>
    <n v="2"/>
    <s v="ADET"/>
    <n v="0"/>
    <n v="238"/>
    <n v="90"/>
    <n v="-200"/>
    <n v="0"/>
    <n v="0"/>
    <n v="4"/>
    <x v="29"/>
    <n v="8"/>
    <x v="7"/>
  </r>
  <r>
    <x v="10"/>
    <s v="Murat Taşdemir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0"/>
    <s v="Murat Taşdemir"/>
    <x v="1"/>
    <x v="230"/>
    <x v="230"/>
    <n v="0.2"/>
    <s v="METRE"/>
    <n v="0"/>
    <n v="50"/>
    <n v="2.8310687127941492E-15"/>
    <n v="-47.8"/>
    <n v="0"/>
    <n v="0"/>
    <n v="25.41"/>
    <x v="23"/>
    <n v="5.0820000000000007"/>
    <x v="7"/>
  </r>
  <r>
    <x v="7"/>
    <s v="Stina Alm"/>
    <x v="1"/>
    <x v="148"/>
    <x v="148"/>
    <n v="20"/>
    <s v="ADET"/>
    <n v="0"/>
    <n v="250"/>
    <n v="835"/>
    <n v="-134"/>
    <n v="0"/>
    <n v="0"/>
    <n v="1.58"/>
    <x v="5"/>
    <n v="31.6"/>
    <x v="1"/>
  </r>
  <r>
    <x v="8"/>
    <s v="Jan Urbanek"/>
    <x v="1"/>
    <x v="176"/>
    <x v="176"/>
    <n v="1"/>
    <s v="ADET"/>
    <n v="0"/>
    <n v="9"/>
    <n v="8"/>
    <n v="-1"/>
    <n v="5"/>
    <n v="0"/>
    <n v="1200"/>
    <x v="56"/>
    <n v="1200"/>
    <x v="4"/>
  </r>
  <r>
    <x v="8"/>
    <s v="Jan Urbanek"/>
    <x v="1"/>
    <x v="178"/>
    <x v="178"/>
    <n v="12"/>
    <s v="ADET"/>
    <n v="0"/>
    <n v="0"/>
    <n v="0"/>
    <n v="124"/>
    <n v="0"/>
    <n v="217"/>
    <n v="1.75"/>
    <x v="2"/>
    <n v="21"/>
    <x v="1"/>
  </r>
  <r>
    <x v="2"/>
    <s v="Jan Urbanek"/>
    <x v="1"/>
    <x v="164"/>
    <x v="164"/>
    <n v="14"/>
    <s v="ADET"/>
    <n v="0"/>
    <n v="2700"/>
    <n v="0"/>
    <n v="-2314"/>
    <n v="0"/>
    <n v="0"/>
    <n v="1.55"/>
    <x v="29"/>
    <n v="21.7"/>
    <x v="7"/>
  </r>
  <r>
    <x v="17"/>
    <s v="Soner Kayıkçı"/>
    <x v="1"/>
    <x v="47"/>
    <x v="47"/>
    <n v="2"/>
    <s v="ADET"/>
    <n v="0"/>
    <n v="20"/>
    <n v="34"/>
    <n v="18"/>
    <n v="0"/>
    <n v="1476"/>
    <n v="82"/>
    <x v="19"/>
    <n v="164"/>
    <x v="5"/>
  </r>
  <r>
    <x v="16"/>
    <s v="Laurent MONTAGNER"/>
    <x v="1"/>
    <x v="47"/>
    <x v="47"/>
    <n v="2"/>
    <s v="ADET"/>
    <n v="0"/>
    <n v="20"/>
    <n v="34"/>
    <n v="18"/>
    <n v="0"/>
    <n v="1476"/>
    <n v="82"/>
    <x v="19"/>
    <n v="164"/>
    <x v="5"/>
  </r>
  <r>
    <x v="18"/>
    <s v="Stina Alm"/>
    <x v="1"/>
    <x v="47"/>
    <x v="47"/>
    <n v="2"/>
    <s v="ADET"/>
    <n v="0"/>
    <n v="20"/>
    <n v="34"/>
    <n v="18"/>
    <n v="0"/>
    <n v="1476"/>
    <n v="82"/>
    <x v="19"/>
    <n v="164"/>
    <x v="5"/>
  </r>
  <r>
    <x v="18"/>
    <s v="Stina Alm"/>
    <x v="0"/>
    <x v="48"/>
    <x v="48"/>
    <n v="1"/>
    <s v="ADET"/>
    <n v="0"/>
    <n v="11"/>
    <n v="8"/>
    <n v="2"/>
    <n v="0"/>
    <n v="0"/>
    <m/>
    <x v="0"/>
    <m/>
    <x v="0"/>
  </r>
  <r>
    <x v="17"/>
    <s v="Soner Kayıkçı"/>
    <x v="0"/>
    <x v="48"/>
    <x v="48"/>
    <n v="1"/>
    <s v="ADET"/>
    <n v="0"/>
    <n v="11"/>
    <n v="8"/>
    <n v="2"/>
    <n v="0"/>
    <n v="0"/>
    <m/>
    <x v="0"/>
    <m/>
    <x v="0"/>
  </r>
  <r>
    <x v="18"/>
    <s v="Stina Alm"/>
    <x v="1"/>
    <x v="49"/>
    <x v="49"/>
    <n v="1"/>
    <s v="ADET"/>
    <n v="0"/>
    <n v="25"/>
    <n v="18"/>
    <n v="-6"/>
    <n v="0"/>
    <n v="0"/>
    <n v="225"/>
    <x v="14"/>
    <n v="225"/>
    <x v="1"/>
  </r>
  <r>
    <x v="16"/>
    <s v="Laurent MONTAGNER"/>
    <x v="1"/>
    <x v="52"/>
    <x v="52"/>
    <n v="32.92"/>
    <s v="KG"/>
    <n v="32.92"/>
    <n v="289.7"/>
    <n v="148.12000000000026"/>
    <n v="-230.76999999999987"/>
    <n v="289.7"/>
    <n v="0"/>
    <n v="96.37"/>
    <x v="8"/>
    <n v="3172.5004000000004"/>
    <x v="3"/>
  </r>
  <r>
    <x v="17"/>
    <s v="Soner Kayıkçı"/>
    <x v="1"/>
    <x v="52"/>
    <x v="52"/>
    <n v="35.28"/>
    <s v="KG"/>
    <n v="0"/>
    <n v="289.7"/>
    <n v="148.12000000000026"/>
    <n v="-230.76999999999987"/>
    <n v="289.7"/>
    <n v="0"/>
    <n v="96.37"/>
    <x v="8"/>
    <n v="3399.9336000000003"/>
    <x v="3"/>
  </r>
  <r>
    <x v="0"/>
    <s v="Matteo Giolo"/>
    <x v="1"/>
    <x v="52"/>
    <x v="52"/>
    <n v="34.869999999999997"/>
    <s v="KG"/>
    <n v="0"/>
    <n v="289.7"/>
    <n v="148.12000000000026"/>
    <n v="-230.76999999999987"/>
    <n v="289.7"/>
    <n v="0"/>
    <n v="96.37"/>
    <x v="8"/>
    <n v="3360.4218999999998"/>
    <x v="3"/>
  </r>
  <r>
    <x v="6"/>
    <s v="Stefan Zaugg"/>
    <x v="1"/>
    <x v="53"/>
    <x v="53"/>
    <n v="2.1"/>
    <s v="KG"/>
    <n v="2.1"/>
    <n v="66"/>
    <n v="36.349999999999952"/>
    <n v="-17.090000000000018"/>
    <n v="0"/>
    <n v="0"/>
    <n v="129.63"/>
    <x v="2"/>
    <n v="272.22300000000001"/>
    <x v="3"/>
  </r>
  <r>
    <x v="5"/>
    <s v="Matteo Giolo"/>
    <x v="1"/>
    <x v="53"/>
    <x v="53"/>
    <n v="3.2199999999999998"/>
    <s v="KG"/>
    <n v="0"/>
    <n v="66"/>
    <n v="36.349999999999952"/>
    <n v="-17.090000000000018"/>
    <n v="0"/>
    <n v="0"/>
    <n v="129.63"/>
    <x v="2"/>
    <n v="417.40859999999998"/>
    <x v="3"/>
  </r>
  <r>
    <x v="6"/>
    <s v="Stefan Zaugg"/>
    <x v="1"/>
    <x v="55"/>
    <x v="55"/>
    <n v="2"/>
    <s v="ADET"/>
    <n v="0"/>
    <n v="250"/>
    <n v="3"/>
    <n v="-166"/>
    <n v="0"/>
    <n v="0"/>
    <n v="2"/>
    <x v="6"/>
    <n v="4"/>
    <x v="1"/>
  </r>
  <r>
    <x v="6"/>
    <s v="Stefan Zaugg"/>
    <x v="1"/>
    <x v="148"/>
    <x v="148"/>
    <n v="4"/>
    <s v="ADET"/>
    <n v="0"/>
    <n v="250"/>
    <n v="835"/>
    <n v="-134"/>
    <n v="0"/>
    <n v="0"/>
    <n v="1.58"/>
    <x v="5"/>
    <n v="6.32"/>
    <x v="1"/>
  </r>
  <r>
    <x v="5"/>
    <s v="Matteo Giolo"/>
    <x v="1"/>
    <x v="148"/>
    <x v="148"/>
    <n v="8"/>
    <s v="ADET"/>
    <n v="0"/>
    <n v="250"/>
    <n v="835"/>
    <n v="-134"/>
    <n v="0"/>
    <n v="0"/>
    <n v="1.58"/>
    <x v="5"/>
    <n v="12.64"/>
    <x v="1"/>
  </r>
  <r>
    <x v="8"/>
    <s v="Jan Urbanek"/>
    <x v="1"/>
    <x v="164"/>
    <x v="164"/>
    <n v="14"/>
    <s v="ADET"/>
    <n v="0"/>
    <n v="2700"/>
    <n v="0"/>
    <n v="-2314"/>
    <n v="0"/>
    <n v="0"/>
    <n v="1.55"/>
    <x v="29"/>
    <n v="21.7"/>
    <x v="7"/>
  </r>
  <r>
    <x v="0"/>
    <s v="Matteo Giolo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1"/>
    <s v="Laurent MONTAGNER"/>
    <x v="1"/>
    <x v="54"/>
    <x v="54"/>
    <n v="32"/>
    <s v="METRE"/>
    <n v="0"/>
    <n v="150"/>
    <n v="0"/>
    <n v="-76"/>
    <n v="0"/>
    <n v="0"/>
    <n v="320"/>
    <x v="21"/>
    <n v="10240"/>
    <x v="6"/>
  </r>
  <r>
    <x v="0"/>
    <s v="Matteo Giolo"/>
    <x v="1"/>
    <x v="55"/>
    <x v="55"/>
    <n v="2"/>
    <s v="ADET"/>
    <n v="0"/>
    <n v="250"/>
    <n v="3"/>
    <n v="-166"/>
    <n v="0"/>
    <n v="0"/>
    <n v="2"/>
    <x v="6"/>
    <n v="4"/>
    <x v="1"/>
  </r>
  <r>
    <x v="1"/>
    <s v="Laurent MONTAGNER"/>
    <x v="1"/>
    <x v="55"/>
    <x v="55"/>
    <n v="8"/>
    <s v="ADET"/>
    <n v="0"/>
    <n v="250"/>
    <n v="3"/>
    <n v="-166"/>
    <n v="0"/>
    <n v="0"/>
    <n v="2"/>
    <x v="6"/>
    <n v="16"/>
    <x v="1"/>
  </r>
  <r>
    <x v="3"/>
    <s v="Jan Urbanek"/>
    <x v="1"/>
    <x v="176"/>
    <x v="176"/>
    <n v="1"/>
    <s v="ADET"/>
    <n v="0"/>
    <n v="9"/>
    <n v="8"/>
    <n v="-1"/>
    <n v="5"/>
    <n v="0"/>
    <n v="1200"/>
    <x v="56"/>
    <n v="1200"/>
    <x v="4"/>
  </r>
  <r>
    <x v="4"/>
    <s v="Jan Urbanek"/>
    <x v="1"/>
    <x v="176"/>
    <x v="176"/>
    <n v="1"/>
    <s v="ADET"/>
    <n v="0"/>
    <n v="9"/>
    <n v="8"/>
    <n v="-1"/>
    <n v="5"/>
    <n v="0"/>
    <n v="1200"/>
    <x v="56"/>
    <n v="1200"/>
    <x v="4"/>
  </r>
  <r>
    <x v="2"/>
    <s v="Jan Urbanek"/>
    <x v="1"/>
    <x v="178"/>
    <x v="178"/>
    <n v="12"/>
    <s v="ADET"/>
    <n v="0"/>
    <n v="0"/>
    <n v="0"/>
    <n v="124"/>
    <n v="0"/>
    <n v="217"/>
    <n v="1.75"/>
    <x v="2"/>
    <n v="21"/>
    <x v="1"/>
  </r>
  <r>
    <x v="4"/>
    <s v="Jan Urbanek"/>
    <x v="1"/>
    <x v="178"/>
    <x v="178"/>
    <n v="12"/>
    <s v="ADET"/>
    <n v="0"/>
    <n v="0"/>
    <n v="0"/>
    <n v="124"/>
    <n v="0"/>
    <n v="217"/>
    <n v="1.75"/>
    <x v="2"/>
    <n v="21"/>
    <x v="1"/>
  </r>
  <r>
    <x v="3"/>
    <s v="Jan Urbanek"/>
    <x v="1"/>
    <x v="178"/>
    <x v="178"/>
    <n v="12"/>
    <s v="ADET"/>
    <n v="0"/>
    <n v="0"/>
    <n v="0"/>
    <n v="124"/>
    <n v="0"/>
    <n v="217"/>
    <n v="1.75"/>
    <x v="2"/>
    <n v="21"/>
    <x v="1"/>
  </r>
  <r>
    <x v="18"/>
    <s v="Stina Alm"/>
    <x v="1"/>
    <x v="53"/>
    <x v="53"/>
    <n v="2.9299999999999997"/>
    <s v="KG"/>
    <n v="0"/>
    <n v="66"/>
    <n v="36.349999999999952"/>
    <n v="-17.090000000000018"/>
    <n v="0"/>
    <n v="0"/>
    <n v="129.63"/>
    <x v="2"/>
    <n v="379.81589999999994"/>
    <x v="3"/>
  </r>
  <r>
    <x v="10"/>
    <s v="Murat Taşdemir"/>
    <x v="1"/>
    <x v="245"/>
    <x v="245"/>
    <n v="1"/>
    <s v="ADET"/>
    <n v="0"/>
    <n v="4"/>
    <n v="22"/>
    <n v="-5"/>
    <n v="20"/>
    <n v="0"/>
    <n v="65"/>
    <x v="22"/>
    <n v="65"/>
    <x v="4"/>
  </r>
  <r>
    <x v="11"/>
    <s v="Jan Urbanek"/>
    <x v="1"/>
    <x v="247"/>
    <x v="247"/>
    <n v="9"/>
    <s v="METRE"/>
    <n v="0"/>
    <n v="60"/>
    <n v="52"/>
    <n v="14.5"/>
    <n v="80"/>
    <n v="710.5"/>
    <n v="49"/>
    <x v="35"/>
    <n v="441"/>
    <x v="6"/>
  </r>
  <r>
    <x v="4"/>
    <s v="Jan Urbanek"/>
    <x v="1"/>
    <x v="150"/>
    <x v="150"/>
    <n v="2"/>
    <s v="ADET"/>
    <n v="0"/>
    <n v="69"/>
    <n v="22"/>
    <n v="-38"/>
    <n v="0"/>
    <n v="0"/>
    <n v="640"/>
    <x v="29"/>
    <n v="1280"/>
    <x v="7"/>
  </r>
  <r>
    <x v="3"/>
    <s v="Jan Urbanek"/>
    <x v="1"/>
    <x v="150"/>
    <x v="150"/>
    <n v="3"/>
    <s v="ADET"/>
    <n v="0"/>
    <n v="69"/>
    <n v="22"/>
    <n v="-38"/>
    <n v="0"/>
    <n v="0"/>
    <n v="640"/>
    <x v="29"/>
    <n v="1920"/>
    <x v="7"/>
  </r>
  <r>
    <x v="2"/>
    <s v="Jan Urbanek"/>
    <x v="1"/>
    <x v="151"/>
    <x v="151"/>
    <n v="2"/>
    <s v="ADET"/>
    <n v="0"/>
    <n v="238"/>
    <n v="90"/>
    <n v="-200"/>
    <n v="0"/>
    <n v="0"/>
    <n v="4"/>
    <x v="29"/>
    <n v="8"/>
    <x v="7"/>
  </r>
  <r>
    <x v="2"/>
    <s v="Jan Urbanek"/>
    <x v="1"/>
    <x v="152"/>
    <x v="152"/>
    <n v="1"/>
    <s v="ADET"/>
    <n v="0"/>
    <n v="10"/>
    <n v="12"/>
    <n v="-1"/>
    <n v="4"/>
    <n v="0"/>
    <n v="1600"/>
    <x v="56"/>
    <n v="1600"/>
    <x v="7"/>
  </r>
  <r>
    <x v="3"/>
    <s v="Jan Urbanek"/>
    <x v="1"/>
    <x v="152"/>
    <x v="152"/>
    <n v="1"/>
    <s v="ADET"/>
    <n v="0"/>
    <n v="10"/>
    <n v="12"/>
    <n v="-1"/>
    <n v="4"/>
    <n v="0"/>
    <n v="1600"/>
    <x v="56"/>
    <n v="1600"/>
    <x v="7"/>
  </r>
  <r>
    <x v="3"/>
    <s v="Jan Urbanek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4"/>
    <s v="Jan Urbanek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2"/>
    <s v="Jan Urbanek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3"/>
    <s v="Jan Urbanek"/>
    <x v="1"/>
    <x v="232"/>
    <x v="232"/>
    <n v="3"/>
    <s v="ADET"/>
    <n v="0"/>
    <n v="38"/>
    <n v="25"/>
    <n v="-2"/>
    <n v="20"/>
    <n v="0"/>
    <n v="245"/>
    <x v="12"/>
    <n v="735"/>
    <x v="4"/>
  </r>
  <r>
    <x v="4"/>
    <s v="Jan Urbanek"/>
    <x v="1"/>
    <x v="232"/>
    <x v="232"/>
    <n v="3"/>
    <s v="ADET"/>
    <n v="0"/>
    <n v="38"/>
    <n v="25"/>
    <n v="-2"/>
    <n v="20"/>
    <n v="0"/>
    <n v="245"/>
    <x v="12"/>
    <n v="735"/>
    <x v="4"/>
  </r>
  <r>
    <x v="18"/>
    <s v="Stina Alm"/>
    <x v="1"/>
    <x v="169"/>
    <x v="169"/>
    <n v="105.7"/>
    <s v="KG"/>
    <n v="0"/>
    <n v="1840"/>
    <n v="973.6200000000008"/>
    <n v="-1630.1299999999997"/>
    <n v="920"/>
    <n v="0"/>
    <n v="94.86"/>
    <x v="8"/>
    <n v="10026.701999999999"/>
    <x v="3"/>
  </r>
  <r>
    <x v="17"/>
    <s v="Soner Kayıkçı"/>
    <x v="1"/>
    <x v="169"/>
    <x v="169"/>
    <n v="108.87"/>
    <s v="KG"/>
    <n v="0"/>
    <n v="1840"/>
    <n v="973.6200000000008"/>
    <n v="-1630.1299999999997"/>
    <n v="920"/>
    <n v="0"/>
    <n v="94.86"/>
    <x v="8"/>
    <n v="10327.4082"/>
    <x v="3"/>
  </r>
  <r>
    <x v="7"/>
    <s v="Stina Alm"/>
    <x v="1"/>
    <x v="169"/>
    <x v="169"/>
    <n v="105.7"/>
    <s v="KG"/>
    <n v="0"/>
    <n v="1840"/>
    <n v="973.6200000000008"/>
    <n v="-1630.1299999999997"/>
    <n v="920"/>
    <n v="0"/>
    <n v="94.86"/>
    <x v="8"/>
    <n v="10026.701999999999"/>
    <x v="3"/>
  </r>
  <r>
    <x v="6"/>
    <s v="Stefan Zaugg"/>
    <x v="1"/>
    <x v="145"/>
    <x v="145"/>
    <n v="0.01"/>
    <s v="ADET"/>
    <n v="0"/>
    <n v="6"/>
    <n v="22.53"/>
    <n v="-5.5"/>
    <n v="0"/>
    <n v="0"/>
    <n v="133"/>
    <x v="55"/>
    <n v="1.33"/>
    <x v="3"/>
  </r>
  <r>
    <x v="7"/>
    <s v="Stina Alm"/>
    <x v="1"/>
    <x v="145"/>
    <x v="145"/>
    <n v="0.12000000000000001"/>
    <s v="ADET"/>
    <n v="0"/>
    <n v="6"/>
    <n v="22.53"/>
    <n v="-5.5"/>
    <n v="0"/>
    <n v="0"/>
    <n v="133"/>
    <x v="55"/>
    <n v="15.96"/>
    <x v="3"/>
  </r>
  <r>
    <x v="12"/>
    <s v="Stefan Zaugg"/>
    <x v="1"/>
    <x v="249"/>
    <x v="249"/>
    <n v="0.4"/>
    <s v="ADET"/>
    <n v="0"/>
    <n v="5"/>
    <n v="3.5527136788005009E-15"/>
    <n v="-4.0999999999999996"/>
    <n v="0"/>
    <n v="0"/>
    <n v="196"/>
    <x v="14"/>
    <n v="78.400000000000006"/>
    <x v="3"/>
  </r>
  <r>
    <x v="10"/>
    <s v="Murat Taşdemir"/>
    <x v="1"/>
    <x v="210"/>
    <x v="210"/>
    <n v="8"/>
    <s v="ADET"/>
    <n v="0"/>
    <n v="133"/>
    <n v="46"/>
    <n v="-49"/>
    <n v="0"/>
    <n v="0"/>
    <n v="3.75"/>
    <x v="1"/>
    <n v="30"/>
    <x v="1"/>
  </r>
  <r>
    <x v="2"/>
    <s v="Jan Urbanek"/>
    <x v="1"/>
    <x v="186"/>
    <x v="186"/>
    <n v="1"/>
    <s v="ADET"/>
    <n v="0"/>
    <n v="0"/>
    <n v="5.5699999999999967"/>
    <n v="5"/>
    <n v="0"/>
    <n v="7083.35"/>
    <n v="1416.67"/>
    <x v="61"/>
    <n v="1416.67"/>
    <x v="8"/>
  </r>
  <r>
    <x v="3"/>
    <s v="Jan Urbanek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4"/>
    <s v="Jan Urbanek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2"/>
    <s v="Jan Urbanek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3"/>
    <s v="Jan Urbanek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4"/>
    <s v="Jan Urbanek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4"/>
    <s v="Jan Urbanek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3"/>
    <s v="Jan Urbanek"/>
    <x v="1"/>
    <x v="251"/>
    <x v="251"/>
    <n v="1.5"/>
    <s v="ADET"/>
    <n v="1.5"/>
    <n v="91"/>
    <n v="17.799999999999997"/>
    <n v="-74.5"/>
    <n v="0"/>
    <n v="0"/>
    <n v="85"/>
    <x v="18"/>
    <n v="127.5"/>
    <x v="1"/>
  </r>
  <r>
    <x v="19"/>
    <s v="Laurent MONTAGNER"/>
    <x v="1"/>
    <x v="136"/>
    <x v="136"/>
    <n v="16"/>
    <s v="ADET"/>
    <n v="0"/>
    <n v="1000"/>
    <n v="3505"/>
    <n v="-914"/>
    <n v="0"/>
    <n v="0"/>
    <n v="0.63"/>
    <x v="5"/>
    <n v="10.08"/>
    <x v="1"/>
  </r>
  <r>
    <x v="19"/>
    <s v="Laurent MONTAGNER"/>
    <x v="1"/>
    <x v="252"/>
    <x v="252"/>
    <n v="16"/>
    <s v="ADET"/>
    <n v="0"/>
    <n v="0"/>
    <n v="0"/>
    <n v="16"/>
    <n v="0"/>
    <n v="0"/>
    <n v="0"/>
    <x v="6"/>
    <n v="0"/>
    <x v="1"/>
  </r>
  <r>
    <x v="0"/>
    <s v="Matteo Giolo"/>
    <x v="1"/>
    <x v="133"/>
    <x v="133"/>
    <n v="0.5"/>
    <s v="METRE"/>
    <n v="0"/>
    <n v="0"/>
    <n v="45.5"/>
    <n v="8.5"/>
    <n v="0"/>
    <n v="1437.4350000000002"/>
    <n v="169.11"/>
    <x v="51"/>
    <n v="84.555000000000007"/>
    <x v="6"/>
  </r>
  <r>
    <x v="4"/>
    <s v="Jan Urbanek"/>
    <x v="1"/>
    <x v="186"/>
    <x v="186"/>
    <n v="1"/>
    <s v="ADET"/>
    <n v="0"/>
    <n v="0"/>
    <n v="5.5699999999999967"/>
    <n v="5"/>
    <n v="0"/>
    <n v="7083.35"/>
    <n v="1416.67"/>
    <x v="61"/>
    <n v="1416.67"/>
    <x v="8"/>
  </r>
  <r>
    <x v="3"/>
    <s v="Jan Urbanek"/>
    <x v="1"/>
    <x v="186"/>
    <x v="186"/>
    <n v="1"/>
    <s v="ADET"/>
    <n v="0"/>
    <n v="0"/>
    <n v="5.5699999999999967"/>
    <n v="5"/>
    <n v="0"/>
    <n v="7083.35"/>
    <n v="1416.67"/>
    <x v="61"/>
    <n v="1416.67"/>
    <x v="8"/>
  </r>
  <r>
    <x v="2"/>
    <s v="Jan Urbanek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8"/>
    <s v="Jan Urbanek"/>
    <x v="1"/>
    <x v="135"/>
    <x v="135"/>
    <n v="1"/>
    <s v="ADET"/>
    <n v="0"/>
    <n v="7"/>
    <n v="4"/>
    <n v="5"/>
    <n v="0"/>
    <n v="11000"/>
    <n v="2200"/>
    <x v="52"/>
    <n v="2200"/>
    <x v="4"/>
  </r>
  <r>
    <x v="8"/>
    <s v="Jan Urbanek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8"/>
    <s v="Jan Urbanek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0"/>
    <s v="Matteo Giolo"/>
    <x v="1"/>
    <x v="135"/>
    <x v="135"/>
    <n v="1"/>
    <s v="ADET"/>
    <n v="0"/>
    <n v="7"/>
    <n v="4"/>
    <n v="5"/>
    <n v="0"/>
    <n v="11000"/>
    <n v="2200"/>
    <x v="52"/>
    <n v="2200"/>
    <x v="4"/>
  </r>
  <r>
    <x v="0"/>
    <s v="Matteo Giolo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19"/>
    <s v="Laurent MONTAGNER"/>
    <x v="1"/>
    <x v="134"/>
    <x v="134"/>
    <n v="32"/>
    <s v="METRE"/>
    <n v="0"/>
    <n v="150"/>
    <n v="50"/>
    <n v="71"/>
    <n v="0"/>
    <n v="22720"/>
    <n v="320"/>
    <x v="21"/>
    <n v="10240"/>
    <x v="6"/>
  </r>
  <r>
    <x v="8"/>
    <s v="Jan Urbanek"/>
    <x v="1"/>
    <x v="186"/>
    <x v="186"/>
    <n v="1"/>
    <s v="ADET"/>
    <n v="0"/>
    <n v="0"/>
    <n v="5.5699999999999967"/>
    <n v="5"/>
    <n v="0"/>
    <n v="7083.35"/>
    <n v="1416.67"/>
    <x v="61"/>
    <n v="1416.67"/>
    <x v="8"/>
  </r>
  <r>
    <x v="16"/>
    <s v="Laurent MONTAGNER"/>
    <x v="1"/>
    <x v="124"/>
    <x v="124"/>
    <n v="2"/>
    <s v="ADET"/>
    <n v="0"/>
    <n v="222"/>
    <n v="90"/>
    <n v="-184"/>
    <n v="0"/>
    <n v="0"/>
    <n v="4"/>
    <x v="29"/>
    <n v="8"/>
    <x v="7"/>
  </r>
  <r>
    <x v="17"/>
    <s v="Soner Kayıkçı"/>
    <x v="1"/>
    <x v="124"/>
    <x v="124"/>
    <n v="2"/>
    <s v="ADET"/>
    <n v="0"/>
    <n v="222"/>
    <n v="90"/>
    <n v="-184"/>
    <n v="0"/>
    <n v="0"/>
    <n v="4"/>
    <x v="29"/>
    <n v="8"/>
    <x v="7"/>
  </r>
  <r>
    <x v="19"/>
    <s v="Laurent MONTAGNER"/>
    <x v="1"/>
    <x v="124"/>
    <x v="124"/>
    <n v="2"/>
    <s v="ADET"/>
    <n v="0"/>
    <n v="222"/>
    <n v="90"/>
    <n v="-184"/>
    <n v="0"/>
    <n v="0"/>
    <n v="4"/>
    <x v="29"/>
    <n v="8"/>
    <x v="7"/>
  </r>
  <r>
    <x v="8"/>
    <s v="Jan Urbanek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8"/>
    <s v="Jan Urbanek"/>
    <x v="1"/>
    <x v="203"/>
    <x v="203"/>
    <n v="0.5"/>
    <s v="ADET"/>
    <n v="0"/>
    <n v="100"/>
    <n v="41"/>
    <n v="-89.5"/>
    <n v="0"/>
    <n v="0"/>
    <n v="60"/>
    <x v="29"/>
    <n v="30"/>
    <x v="1"/>
  </r>
  <r>
    <x v="8"/>
    <s v="Jan Urbanek"/>
    <x v="1"/>
    <x v="243"/>
    <x v="243"/>
    <n v="1.5099999999999998"/>
    <s v="ADET"/>
    <n v="0"/>
    <n v="20"/>
    <n v="116.6640000000002"/>
    <n v="-11.16"/>
    <n v="0"/>
    <n v="0"/>
    <n v="185"/>
    <x v="2"/>
    <n v="279.34999999999997"/>
    <x v="1"/>
  </r>
  <r>
    <x v="2"/>
    <s v="Jan Urbanek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4"/>
    <s v="Jan Urbanek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3"/>
    <s v="Jan Urbanek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2"/>
    <s v="Jan Urbanek"/>
    <x v="1"/>
    <x v="223"/>
    <x v="223"/>
    <n v="0.5"/>
    <s v="ADET"/>
    <n v="0"/>
    <n v="0"/>
    <n v="-3.5527136788005009E-15"/>
    <n v="2.5"/>
    <n v="0"/>
    <n v="208.32499999999999"/>
    <n v="83.33"/>
    <x v="14"/>
    <n v="41.664999999999999"/>
    <x v="3"/>
  </r>
  <r>
    <x v="3"/>
    <s v="Jan Urbanek"/>
    <x v="1"/>
    <x v="224"/>
    <x v="224"/>
    <n v="100"/>
    <s v="ADET"/>
    <n v="0"/>
    <n v="2750"/>
    <n v="0"/>
    <n v="-747"/>
    <n v="0"/>
    <n v="0"/>
    <n v="0.7"/>
    <x v="2"/>
    <n v="70"/>
    <x v="1"/>
  </r>
  <r>
    <x v="4"/>
    <s v="Jan Urbanek"/>
    <x v="1"/>
    <x v="224"/>
    <x v="224"/>
    <n v="88"/>
    <s v="ADET"/>
    <n v="0"/>
    <n v="2750"/>
    <n v="0"/>
    <n v="-747"/>
    <n v="0"/>
    <n v="0"/>
    <n v="0.7"/>
    <x v="2"/>
    <n v="61.599999999999994"/>
    <x v="1"/>
  </r>
  <r>
    <x v="4"/>
    <s v="Jan Urbanek"/>
    <x v="1"/>
    <x v="226"/>
    <x v="226"/>
    <n v="7"/>
    <s v="KG"/>
    <n v="0"/>
    <n v="0"/>
    <n v="297.61000000000007"/>
    <n v="97.560000000000016"/>
    <n v="0"/>
    <n v="13285.720800000003"/>
    <n v="136.18"/>
    <x v="64"/>
    <n v="953.26"/>
    <x v="3"/>
  </r>
  <r>
    <x v="4"/>
    <s v="Jan Urbanek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6"/>
    <s v="Stefan Zaugg"/>
    <x v="1"/>
    <x v="224"/>
    <x v="224"/>
    <n v="118"/>
    <s v="ADET"/>
    <n v="0"/>
    <n v="2750"/>
    <n v="0"/>
    <n v="-747"/>
    <n v="0"/>
    <n v="0"/>
    <n v="0.7"/>
    <x v="2"/>
    <n v="82.6"/>
    <x v="1"/>
  </r>
  <r>
    <x v="7"/>
    <s v="Stina Alm"/>
    <x v="1"/>
    <x v="224"/>
    <x v="224"/>
    <n v="88"/>
    <s v="ADET"/>
    <n v="0"/>
    <n v="2750"/>
    <n v="0"/>
    <n v="-747"/>
    <n v="0"/>
    <n v="0"/>
    <n v="0.7"/>
    <x v="2"/>
    <n v="61.599999999999994"/>
    <x v="1"/>
  </r>
  <r>
    <x v="7"/>
    <s v="Stina Alm"/>
    <x v="1"/>
    <x v="226"/>
    <x v="226"/>
    <n v="8.89"/>
    <s v="KG"/>
    <n v="0"/>
    <n v="0"/>
    <n v="297.61000000000007"/>
    <n v="97.560000000000016"/>
    <n v="0"/>
    <n v="13285.720800000003"/>
    <n v="136.18"/>
    <x v="64"/>
    <n v="1210.6402"/>
    <x v="3"/>
  </r>
  <r>
    <x v="8"/>
    <s v="Jan Urbanek"/>
    <x v="1"/>
    <x v="226"/>
    <x v="226"/>
    <n v="7"/>
    <s v="KG"/>
    <n v="0"/>
    <n v="0"/>
    <n v="297.61000000000007"/>
    <n v="97.560000000000016"/>
    <n v="0"/>
    <n v="13285.720800000003"/>
    <n v="136.18"/>
    <x v="64"/>
    <n v="953.26"/>
    <x v="3"/>
  </r>
  <r>
    <x v="0"/>
    <s v="Matteo Giolo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0"/>
    <s v="Matteo Giolo"/>
    <x v="1"/>
    <x v="223"/>
    <x v="223"/>
    <n v="0.5"/>
    <s v="ADET"/>
    <n v="0"/>
    <n v="0"/>
    <n v="-3.5527136788005009E-15"/>
    <n v="2.5"/>
    <n v="0"/>
    <n v="208.32499999999999"/>
    <n v="83.33"/>
    <x v="14"/>
    <n v="41.664999999999999"/>
    <x v="3"/>
  </r>
  <r>
    <x v="0"/>
    <s v="Matteo Giolo"/>
    <x v="1"/>
    <x v="226"/>
    <x v="226"/>
    <n v="7"/>
    <s v="KG"/>
    <n v="0"/>
    <n v="0"/>
    <n v="297.61000000000007"/>
    <n v="97.560000000000016"/>
    <n v="0"/>
    <n v="13285.720800000003"/>
    <n v="136.18"/>
    <x v="64"/>
    <n v="953.26"/>
    <x v="3"/>
  </r>
  <r>
    <x v="2"/>
    <s v="Jan Urbanek"/>
    <x v="1"/>
    <x v="234"/>
    <x v="234"/>
    <n v="28"/>
    <s v="ADET"/>
    <n v="0"/>
    <n v="800"/>
    <n v="0"/>
    <n v="-414"/>
    <n v="0"/>
    <n v="0"/>
    <n v="13.75"/>
    <x v="1"/>
    <n v="385"/>
    <x v="1"/>
  </r>
  <r>
    <x v="4"/>
    <s v="Jan Urbanek"/>
    <x v="1"/>
    <x v="234"/>
    <x v="234"/>
    <n v="28"/>
    <s v="ADET"/>
    <n v="0"/>
    <n v="800"/>
    <n v="0"/>
    <n v="-414"/>
    <n v="0"/>
    <n v="0"/>
    <n v="13.75"/>
    <x v="1"/>
    <n v="385"/>
    <x v="1"/>
  </r>
  <r>
    <x v="3"/>
    <s v="Jan Urbanek"/>
    <x v="1"/>
    <x v="234"/>
    <x v="234"/>
    <n v="28"/>
    <s v="ADET"/>
    <n v="0"/>
    <n v="800"/>
    <n v="0"/>
    <n v="-414"/>
    <n v="0"/>
    <n v="0"/>
    <n v="13.75"/>
    <x v="1"/>
    <n v="385"/>
    <x v="1"/>
  </r>
  <r>
    <x v="3"/>
    <s v="Jan Urbanek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2"/>
    <s v="Jan Urbanek"/>
    <x v="1"/>
    <x v="236"/>
    <x v="236"/>
    <n v="3.2"/>
    <s v="ADET"/>
    <n v="0"/>
    <n v="272"/>
    <n v="4.2999999999999972"/>
    <n v="-233.2"/>
    <n v="0"/>
    <n v="0"/>
    <n v="30"/>
    <x v="2"/>
    <n v="96"/>
    <x v="1"/>
  </r>
  <r>
    <x v="1"/>
    <s v="Laurent MONTAGNER"/>
    <x v="1"/>
    <x v="222"/>
    <x v="222"/>
    <n v="1"/>
    <s v="ADET"/>
    <n v="1"/>
    <n v="4"/>
    <n v="10"/>
    <n v="8"/>
    <n v="0"/>
    <n v="41649.120000000003"/>
    <n v="5206.1400000000003"/>
    <x v="15"/>
    <n v="5206.1400000000003"/>
    <x v="7"/>
  </r>
  <r>
    <x v="0"/>
    <s v="Matteo Giolo"/>
    <x v="1"/>
    <x v="224"/>
    <x v="224"/>
    <n v="112"/>
    <s v="ADET"/>
    <n v="0"/>
    <n v="2750"/>
    <n v="0"/>
    <n v="-747"/>
    <n v="0"/>
    <n v="0"/>
    <n v="0.7"/>
    <x v="2"/>
    <n v="78.399999999999991"/>
    <x v="1"/>
  </r>
  <r>
    <x v="5"/>
    <s v="Matteo Giolo"/>
    <x v="1"/>
    <x v="224"/>
    <x v="224"/>
    <n v="137"/>
    <s v="ADET"/>
    <n v="0"/>
    <n v="2750"/>
    <n v="0"/>
    <n v="-747"/>
    <n v="0"/>
    <n v="0"/>
    <n v="0.7"/>
    <x v="2"/>
    <n v="95.899999999999991"/>
    <x v="1"/>
  </r>
  <r>
    <x v="1"/>
    <s v="Laurent MONTAGNER"/>
    <x v="1"/>
    <x v="224"/>
    <x v="224"/>
    <n v="96"/>
    <s v="ADET"/>
    <n v="0"/>
    <n v="2750"/>
    <n v="0"/>
    <n v="-747"/>
    <n v="0"/>
    <n v="0"/>
    <n v="0.7"/>
    <x v="2"/>
    <n v="67.199999999999989"/>
    <x v="1"/>
  </r>
  <r>
    <x v="0"/>
    <s v="Matteo Giolo"/>
    <x v="1"/>
    <x v="234"/>
    <x v="234"/>
    <n v="28"/>
    <s v="ADET"/>
    <n v="0"/>
    <n v="800"/>
    <n v="0"/>
    <n v="-414"/>
    <n v="0"/>
    <n v="0"/>
    <n v="13.75"/>
    <x v="1"/>
    <n v="385"/>
    <x v="1"/>
  </r>
  <r>
    <x v="1"/>
    <s v="Laurent MONTAGNER"/>
    <x v="1"/>
    <x v="234"/>
    <x v="234"/>
    <n v="37"/>
    <s v="ADET"/>
    <n v="0"/>
    <n v="800"/>
    <n v="0"/>
    <n v="-414"/>
    <n v="0"/>
    <n v="0"/>
    <n v="13.75"/>
    <x v="1"/>
    <n v="508.75"/>
    <x v="1"/>
  </r>
  <r>
    <x v="0"/>
    <s v="Matteo Giolo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0"/>
    <s v="Matteo Giolo"/>
    <x v="1"/>
    <x v="127"/>
    <x v="127"/>
    <n v="4.3"/>
    <s v="ADET"/>
    <n v="0"/>
    <n v="14"/>
    <n v="6.7999999999999972"/>
    <n v="7.7000000000000028"/>
    <n v="12"/>
    <n v="2532.1450000000009"/>
    <n v="328.85"/>
    <x v="47"/>
    <n v="1414.0550000000001"/>
    <x v="3"/>
  </r>
  <r>
    <x v="18"/>
    <s v="Stina Alm"/>
    <x v="1"/>
    <x v="121"/>
    <x v="121"/>
    <n v="5"/>
    <s v="ADET"/>
    <n v="0"/>
    <n v="230"/>
    <n v="72"/>
    <n v="-172"/>
    <n v="0"/>
    <n v="0"/>
    <n v="225"/>
    <x v="45"/>
    <n v="1125"/>
    <x v="2"/>
  </r>
  <r>
    <x v="7"/>
    <s v="Stina Alm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6"/>
    <s v="Stefan Zaugg"/>
    <x v="1"/>
    <x v="128"/>
    <x v="128"/>
    <n v="2"/>
    <s v="ADET"/>
    <n v="0"/>
    <n v="0"/>
    <n v="4"/>
    <n v="0"/>
    <n v="20"/>
    <n v="0"/>
    <n v="28000"/>
    <x v="48"/>
    <n v="56000"/>
    <x v="7"/>
  </r>
  <r>
    <x v="5"/>
    <s v="Matteo Giolo"/>
    <x v="1"/>
    <x v="128"/>
    <x v="128"/>
    <n v="2"/>
    <s v="ADET"/>
    <n v="0"/>
    <n v="0"/>
    <n v="4"/>
    <n v="0"/>
    <n v="20"/>
    <n v="0"/>
    <n v="28000"/>
    <x v="48"/>
    <n v="56000"/>
    <x v="7"/>
  </r>
  <r>
    <x v="6"/>
    <s v="Stefan Zaugg"/>
    <x v="1"/>
    <x v="160"/>
    <x v="160"/>
    <n v="5"/>
    <s v="ADET"/>
    <n v="0"/>
    <n v="39"/>
    <n v="36"/>
    <n v="63"/>
    <n v="0"/>
    <n v="6615"/>
    <n v="105"/>
    <x v="58"/>
    <n v="525"/>
    <x v="4"/>
  </r>
  <r>
    <x v="5"/>
    <s v="Matteo Giolo"/>
    <x v="1"/>
    <x v="160"/>
    <x v="160"/>
    <n v="5"/>
    <s v="ADET"/>
    <n v="0"/>
    <n v="39"/>
    <n v="36"/>
    <n v="63"/>
    <n v="0"/>
    <n v="6615"/>
    <n v="105"/>
    <x v="58"/>
    <n v="525"/>
    <x v="4"/>
  </r>
  <r>
    <x v="6"/>
    <s v="Stefan Zaugg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"/>
    <s v="Laurent MONTAGNER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2"/>
    <s v="Jan Urbanek"/>
    <x v="1"/>
    <x v="243"/>
    <x v="243"/>
    <n v="0.5099999999999999"/>
    <s v="ADET"/>
    <n v="0"/>
    <n v="20"/>
    <n v="116.6640000000002"/>
    <n v="-11.16"/>
    <n v="0"/>
    <n v="0"/>
    <n v="185"/>
    <x v="2"/>
    <n v="94.34999999999998"/>
    <x v="1"/>
  </r>
  <r>
    <x v="4"/>
    <s v="Jan Urbanek"/>
    <x v="1"/>
    <x v="243"/>
    <x v="243"/>
    <n v="1.51"/>
    <s v="ADET"/>
    <n v="0"/>
    <n v="20"/>
    <n v="116.6640000000002"/>
    <n v="-11.16"/>
    <n v="0"/>
    <n v="0"/>
    <n v="185"/>
    <x v="2"/>
    <n v="279.35000000000002"/>
    <x v="1"/>
  </r>
  <r>
    <x v="18"/>
    <s v="Stina Alm"/>
    <x v="1"/>
    <x v="120"/>
    <x v="120"/>
    <n v="32"/>
    <s v="ADET"/>
    <n v="0"/>
    <n v="1100"/>
    <n v="780"/>
    <n v="-832"/>
    <n v="0"/>
    <n v="0"/>
    <n v="0.32"/>
    <x v="2"/>
    <n v="10.24"/>
    <x v="1"/>
  </r>
  <r>
    <x v="19"/>
    <s v="Laurent MONTAGNER"/>
    <x v="1"/>
    <x v="120"/>
    <x v="120"/>
    <n v="26"/>
    <s v="ADET"/>
    <n v="0"/>
    <n v="1100"/>
    <n v="780"/>
    <n v="-832"/>
    <n v="0"/>
    <n v="0"/>
    <n v="0.32"/>
    <x v="2"/>
    <n v="8.32"/>
    <x v="1"/>
  </r>
  <r>
    <x v="19"/>
    <s v="Laurent MONTAGNER"/>
    <x v="1"/>
    <x v="121"/>
    <x v="121"/>
    <n v="9"/>
    <s v="ADET"/>
    <n v="0"/>
    <n v="230"/>
    <n v="72"/>
    <n v="-172"/>
    <n v="0"/>
    <n v="0"/>
    <n v="225"/>
    <x v="45"/>
    <n v="2025"/>
    <x v="2"/>
  </r>
  <r>
    <x v="7"/>
    <s v="Stina Alm"/>
    <x v="1"/>
    <x v="127"/>
    <x v="127"/>
    <n v="3.2"/>
    <s v="ADET"/>
    <n v="0"/>
    <n v="14"/>
    <n v="6.7999999999999972"/>
    <n v="7.7000000000000028"/>
    <n v="12"/>
    <n v="2532.1450000000009"/>
    <n v="328.85"/>
    <x v="47"/>
    <n v="1052.3200000000002"/>
    <x v="3"/>
  </r>
  <r>
    <x v="5"/>
    <s v="Matteo Giolo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1"/>
    <s v="Laurent MONTAGNER"/>
    <x v="1"/>
    <x v="128"/>
    <x v="128"/>
    <n v="1"/>
    <s v="ADET"/>
    <n v="0"/>
    <n v="0"/>
    <n v="4"/>
    <n v="0"/>
    <n v="20"/>
    <n v="0"/>
    <n v="28000"/>
    <x v="48"/>
    <n v="28000"/>
    <x v="7"/>
  </r>
  <r>
    <x v="1"/>
    <s v="Laurent MONTAGNER"/>
    <x v="1"/>
    <x v="160"/>
    <x v="160"/>
    <n v="7"/>
    <s v="ADET"/>
    <n v="0"/>
    <n v="39"/>
    <n v="36"/>
    <n v="63"/>
    <n v="0"/>
    <n v="6615"/>
    <n v="105"/>
    <x v="58"/>
    <n v="735"/>
    <x v="4"/>
  </r>
  <r>
    <x v="7"/>
    <s v="Stina Alm"/>
    <x v="1"/>
    <x v="160"/>
    <x v="160"/>
    <n v="6"/>
    <s v="ADET"/>
    <n v="0"/>
    <n v="39"/>
    <n v="36"/>
    <n v="63"/>
    <n v="0"/>
    <n v="6615"/>
    <n v="105"/>
    <x v="58"/>
    <n v="630"/>
    <x v="4"/>
  </r>
  <r>
    <x v="7"/>
    <s v="Stina Alm"/>
    <x v="1"/>
    <x v="161"/>
    <x v="161"/>
    <n v="1"/>
    <s v="ADET"/>
    <n v="0"/>
    <n v="50"/>
    <n v="33"/>
    <n v="-15"/>
    <n v="0"/>
    <n v="0"/>
    <n v="72.599999999999994"/>
    <x v="2"/>
    <n v="72.599999999999994"/>
    <x v="4"/>
  </r>
  <r>
    <x v="6"/>
    <s v="Stefan Zaugg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2"/>
    <s v="Jan Urbanek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8"/>
    <s v="Jan Urbanek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18"/>
    <s v="Stina Alm"/>
    <x v="1"/>
    <x v="130"/>
    <x v="130"/>
    <n v="10"/>
    <s v="METRE"/>
    <n v="0"/>
    <n v="0"/>
    <n v="0"/>
    <n v="-220"/>
    <n v="400"/>
    <n v="0"/>
    <n v="5"/>
    <x v="49"/>
    <n v="50"/>
    <x v="1"/>
  </r>
  <r>
    <x v="19"/>
    <s v="Laurent MONTAGNER"/>
    <x v="1"/>
    <x v="130"/>
    <x v="130"/>
    <n v="10"/>
    <s v="METRE"/>
    <n v="0"/>
    <n v="0"/>
    <n v="0"/>
    <n v="-220"/>
    <n v="400"/>
    <n v="0"/>
    <n v="5"/>
    <x v="49"/>
    <n v="50"/>
    <x v="1"/>
  </r>
  <r>
    <x v="18"/>
    <s v="Stina Alm"/>
    <x v="1"/>
    <x v="131"/>
    <x v="131"/>
    <n v="32"/>
    <s v="ADET"/>
    <n v="0"/>
    <n v="491"/>
    <n v="50"/>
    <n v="-133"/>
    <n v="0"/>
    <n v="0"/>
    <n v="10.65"/>
    <x v="5"/>
    <n v="340.8"/>
    <x v="1"/>
  </r>
  <r>
    <x v="19"/>
    <s v="Laurent MONTAGNER"/>
    <x v="1"/>
    <x v="131"/>
    <x v="131"/>
    <n v="15"/>
    <s v="ADET"/>
    <n v="0"/>
    <n v="491"/>
    <n v="50"/>
    <n v="-133"/>
    <n v="0"/>
    <n v="0"/>
    <n v="10.65"/>
    <x v="5"/>
    <n v="159.75"/>
    <x v="1"/>
  </r>
  <r>
    <x v="6"/>
    <s v="Stefan Zaugg"/>
    <x v="1"/>
    <x v="141"/>
    <x v="141"/>
    <n v="2"/>
    <s v="ADET"/>
    <n v="2"/>
    <n v="23"/>
    <n v="22"/>
    <n v="-9"/>
    <n v="10"/>
    <n v="0"/>
    <n v="71.77"/>
    <x v="43"/>
    <n v="143.54"/>
    <x v="7"/>
  </r>
  <r>
    <x v="12"/>
    <s v="Stefan Zaugg"/>
    <x v="1"/>
    <x v="212"/>
    <x v="212"/>
    <n v="1.5"/>
    <s v="ADET"/>
    <n v="0"/>
    <n v="72"/>
    <n v="2"/>
    <n v="-43.5"/>
    <n v="0"/>
    <n v="0"/>
    <n v="5"/>
    <x v="2"/>
    <n v="7.5"/>
    <x v="1"/>
  </r>
  <r>
    <x v="11"/>
    <s v="Jan Urbanek"/>
    <x v="1"/>
    <x v="212"/>
    <x v="212"/>
    <n v="1.5"/>
    <s v="ADET"/>
    <n v="0"/>
    <n v="72"/>
    <n v="2"/>
    <n v="-43.5"/>
    <n v="0"/>
    <n v="0"/>
    <n v="5"/>
    <x v="2"/>
    <n v="7.5"/>
    <x v="1"/>
  </r>
  <r>
    <x v="9"/>
    <s v="Stefan Zaugg"/>
    <x v="1"/>
    <x v="214"/>
    <x v="214"/>
    <n v="6"/>
    <s v="ADET"/>
    <n v="0"/>
    <n v="118"/>
    <n v="18"/>
    <n v="-11"/>
    <n v="0"/>
    <n v="0"/>
    <n v="14.5"/>
    <x v="2"/>
    <n v="87"/>
    <x v="1"/>
  </r>
  <r>
    <x v="12"/>
    <s v="Stefan Zaugg"/>
    <x v="1"/>
    <x v="214"/>
    <x v="214"/>
    <n v="6"/>
    <s v="ADET"/>
    <n v="0"/>
    <n v="118"/>
    <n v="18"/>
    <n v="-11"/>
    <n v="0"/>
    <n v="0"/>
    <n v="14.5"/>
    <x v="2"/>
    <n v="87"/>
    <x v="1"/>
  </r>
  <r>
    <x v="11"/>
    <s v="Jan Urbanek"/>
    <x v="1"/>
    <x v="214"/>
    <x v="214"/>
    <n v="6"/>
    <s v="ADET"/>
    <n v="0"/>
    <n v="118"/>
    <n v="18"/>
    <n v="-11"/>
    <n v="0"/>
    <n v="0"/>
    <n v="14.5"/>
    <x v="2"/>
    <n v="87"/>
    <x v="1"/>
  </r>
  <r>
    <x v="14"/>
    <s v="Matteo Giolo"/>
    <x v="1"/>
    <x v="214"/>
    <x v="214"/>
    <n v="6"/>
    <s v="ADET"/>
    <n v="0"/>
    <n v="118"/>
    <n v="18"/>
    <n v="-11"/>
    <n v="0"/>
    <n v="0"/>
    <n v="14.5"/>
    <x v="2"/>
    <n v="87"/>
    <x v="1"/>
  </r>
  <r>
    <x v="13"/>
    <s v="Volkan Batkan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14"/>
    <s v="Matteo Giolo"/>
    <x v="1"/>
    <x v="216"/>
    <x v="216"/>
    <n v="7"/>
    <s v="ADET"/>
    <n v="0"/>
    <n v="400"/>
    <n v="225"/>
    <n v="-292"/>
    <n v="0"/>
    <n v="0"/>
    <n v="12"/>
    <x v="14"/>
    <n v="84"/>
    <x v="1"/>
  </r>
  <r>
    <x v="11"/>
    <s v="Jan Urbanek"/>
    <x v="1"/>
    <x v="216"/>
    <x v="216"/>
    <n v="7"/>
    <s v="ADET"/>
    <n v="0"/>
    <n v="400"/>
    <n v="225"/>
    <n v="-292"/>
    <n v="0"/>
    <n v="0"/>
    <n v="12"/>
    <x v="14"/>
    <n v="84"/>
    <x v="1"/>
  </r>
  <r>
    <x v="4"/>
    <s v="Jan Urbanek"/>
    <x v="1"/>
    <x v="211"/>
    <x v="211"/>
    <n v="2.8"/>
    <s v="ADET"/>
    <n v="0"/>
    <n v="0"/>
    <n v="-9.7699626167013776E-15"/>
    <n v="13.000000000000007"/>
    <n v="11"/>
    <n v="23833.290000000012"/>
    <n v="1833.33"/>
    <x v="61"/>
    <n v="5133.3239999999996"/>
    <x v="8"/>
  </r>
  <r>
    <x v="2"/>
    <s v="Jan Urbanek"/>
    <x v="1"/>
    <x v="214"/>
    <x v="214"/>
    <n v="6"/>
    <s v="ADET"/>
    <n v="0"/>
    <n v="118"/>
    <n v="18"/>
    <n v="-11"/>
    <n v="0"/>
    <n v="0"/>
    <n v="14.5"/>
    <x v="2"/>
    <n v="87"/>
    <x v="1"/>
  </r>
  <r>
    <x v="8"/>
    <s v="Jan Urbanek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8"/>
    <s v="Jan Urbanek"/>
    <x v="1"/>
    <x v="215"/>
    <x v="215"/>
    <n v="6"/>
    <s v="ADET"/>
    <n v="0"/>
    <n v="200"/>
    <n v="70"/>
    <n v="-165"/>
    <n v="0"/>
    <n v="0"/>
    <n v="10"/>
    <x v="14"/>
    <n v="60"/>
    <x v="1"/>
  </r>
  <r>
    <x v="2"/>
    <s v="Jan Urbanek"/>
    <x v="1"/>
    <x v="216"/>
    <x v="216"/>
    <n v="7"/>
    <s v="ADET"/>
    <n v="0"/>
    <n v="400"/>
    <n v="225"/>
    <n v="-292"/>
    <n v="0"/>
    <n v="0"/>
    <n v="12"/>
    <x v="14"/>
    <n v="84"/>
    <x v="1"/>
  </r>
  <r>
    <x v="1"/>
    <s v="Laurent MONTAGNER"/>
    <x v="1"/>
    <x v="171"/>
    <x v="171"/>
    <n v="2"/>
    <s v="METRE"/>
    <n v="0"/>
    <n v="20"/>
    <n v="15.999999999999986"/>
    <n v="-5"/>
    <n v="0"/>
    <n v="0"/>
    <n v="97.17"/>
    <x v="42"/>
    <n v="194.34"/>
    <x v="1"/>
  </r>
  <r>
    <x v="7"/>
    <s v="Stina Alm"/>
    <x v="1"/>
    <x v="171"/>
    <x v="171"/>
    <n v="2"/>
    <s v="METRE"/>
    <n v="0"/>
    <n v="20"/>
    <n v="15.999999999999986"/>
    <n v="-5"/>
    <n v="0"/>
    <n v="0"/>
    <n v="97.17"/>
    <x v="42"/>
    <n v="194.34"/>
    <x v="1"/>
  </r>
  <r>
    <x v="14"/>
    <s v="Matteo Giolo"/>
    <x v="1"/>
    <x v="213"/>
    <x v="213"/>
    <n v="3.17"/>
    <s v="ADET"/>
    <n v="0"/>
    <n v="111"/>
    <n v="4.2632564145606011E-14"/>
    <n v="-52.539999999999992"/>
    <n v="0"/>
    <n v="0"/>
    <n v="36"/>
    <x v="2"/>
    <n v="114.12"/>
    <x v="1"/>
  </r>
  <r>
    <x v="11"/>
    <s v="Jan Urbanek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11"/>
    <s v="Jan Urbanek"/>
    <x v="1"/>
    <x v="215"/>
    <x v="215"/>
    <n v="3"/>
    <s v="ADET"/>
    <n v="0"/>
    <n v="200"/>
    <n v="70"/>
    <n v="-165"/>
    <n v="0"/>
    <n v="0"/>
    <n v="10"/>
    <x v="14"/>
    <n v="30"/>
    <x v="1"/>
  </r>
  <r>
    <x v="9"/>
    <s v="Stefan Zaugg"/>
    <x v="1"/>
    <x v="216"/>
    <x v="216"/>
    <n v="5"/>
    <s v="ADET"/>
    <n v="5"/>
    <n v="400"/>
    <n v="225"/>
    <n v="-292"/>
    <n v="0"/>
    <n v="0"/>
    <n v="12"/>
    <x v="14"/>
    <n v="60"/>
    <x v="1"/>
  </r>
  <r>
    <x v="14"/>
    <s v="Matteo Giolo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3"/>
    <s v="Volkan Batkan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1"/>
    <s v="Jan Urbanek"/>
    <x v="1"/>
    <x v="242"/>
    <x v="242"/>
    <n v="1"/>
    <s v="ADET"/>
    <n v="0"/>
    <n v="16"/>
    <n v="8"/>
    <n v="-3"/>
    <n v="0"/>
    <n v="0"/>
    <n v="224.46"/>
    <x v="23"/>
    <n v="224.46"/>
    <x v="7"/>
  </r>
  <r>
    <x v="14"/>
    <s v="Matteo Giolo"/>
    <x v="1"/>
    <x v="242"/>
    <x v="242"/>
    <n v="1"/>
    <s v="ADET"/>
    <n v="0"/>
    <n v="16"/>
    <n v="8"/>
    <n v="-3"/>
    <n v="0"/>
    <n v="0"/>
    <n v="224.46"/>
    <x v="23"/>
    <n v="224.46"/>
    <x v="7"/>
  </r>
  <r>
    <x v="3"/>
    <s v="Jan Urbanek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4"/>
    <s v="Jan Urbanek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3"/>
    <s v="Jan Urbanek"/>
    <x v="1"/>
    <x v="174"/>
    <x v="174"/>
    <n v="2"/>
    <s v="ADET"/>
    <n v="0"/>
    <n v="22"/>
    <n v="18"/>
    <n v="-6"/>
    <n v="10"/>
    <n v="0"/>
    <n v="400"/>
    <x v="56"/>
    <n v="800"/>
    <x v="7"/>
  </r>
  <r>
    <x v="4"/>
    <s v="Jan Urbanek"/>
    <x v="1"/>
    <x v="174"/>
    <x v="174"/>
    <n v="2"/>
    <s v="ADET"/>
    <n v="0"/>
    <n v="22"/>
    <n v="18"/>
    <n v="-6"/>
    <n v="10"/>
    <n v="0"/>
    <n v="400"/>
    <x v="56"/>
    <n v="800"/>
    <x v="7"/>
  </r>
  <r>
    <x v="2"/>
    <s v="Jan Urbanek"/>
    <x v="1"/>
    <x v="181"/>
    <x v="181"/>
    <n v="7"/>
    <s v="KG"/>
    <n v="0"/>
    <n v="0"/>
    <n v="260.61000000000013"/>
    <n v="97.560000000000016"/>
    <n v="0"/>
    <n v="13285.720800000003"/>
    <n v="136.18"/>
    <x v="64"/>
    <n v="953.26"/>
    <x v="3"/>
  </r>
  <r>
    <x v="2"/>
    <s v="Jan Urbanek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2"/>
    <s v="Jan Urbanek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8"/>
    <s v="Jan Urbanek"/>
    <x v="1"/>
    <x v="173"/>
    <x v="173"/>
    <n v="3"/>
    <s v="ADET"/>
    <n v="0"/>
    <n v="24"/>
    <n v="22"/>
    <n v="-31"/>
    <n v="50"/>
    <n v="0"/>
    <n v="44"/>
    <x v="60"/>
    <n v="132"/>
    <x v="7"/>
  </r>
  <r>
    <x v="8"/>
    <s v="Jan Urbanek"/>
    <x v="1"/>
    <x v="181"/>
    <x v="181"/>
    <n v="7"/>
    <s v="KG"/>
    <n v="0"/>
    <n v="0"/>
    <n v="260.61000000000013"/>
    <n v="97.560000000000016"/>
    <n v="0"/>
    <n v="13285.720800000003"/>
    <n v="136.18"/>
    <x v="64"/>
    <n v="953.26"/>
    <x v="3"/>
  </r>
  <r>
    <x v="13"/>
    <s v="Volkan Batkan"/>
    <x v="1"/>
    <x v="190"/>
    <x v="190"/>
    <n v="3"/>
    <s v="ADET"/>
    <n v="0"/>
    <n v="24"/>
    <n v="30"/>
    <n v="-24"/>
    <n v="50"/>
    <n v="0"/>
    <n v="37"/>
    <x v="12"/>
    <n v="111"/>
    <x v="4"/>
  </r>
  <r>
    <x v="9"/>
    <s v="Stefan Zaugg"/>
    <x v="1"/>
    <x v="190"/>
    <x v="190"/>
    <n v="3"/>
    <s v="ADET"/>
    <n v="0"/>
    <n v="24"/>
    <n v="30"/>
    <n v="-24"/>
    <n v="50"/>
    <n v="0"/>
    <n v="37"/>
    <x v="12"/>
    <n v="111"/>
    <x v="4"/>
  </r>
  <r>
    <x v="12"/>
    <s v="Stefan Zaugg"/>
    <x v="1"/>
    <x v="190"/>
    <x v="190"/>
    <n v="3"/>
    <s v="ADET"/>
    <n v="0"/>
    <n v="24"/>
    <n v="30"/>
    <n v="-24"/>
    <n v="50"/>
    <n v="0"/>
    <n v="37"/>
    <x v="12"/>
    <n v="111"/>
    <x v="4"/>
  </r>
  <r>
    <x v="14"/>
    <s v="Matteo Giolo"/>
    <x v="1"/>
    <x v="190"/>
    <x v="190"/>
    <n v="2"/>
    <s v="ADET"/>
    <n v="0"/>
    <n v="24"/>
    <n v="30"/>
    <n v="-24"/>
    <n v="50"/>
    <n v="0"/>
    <n v="37"/>
    <x v="12"/>
    <n v="74"/>
    <x v="4"/>
  </r>
  <r>
    <x v="4"/>
    <s v="Jan Urbanek"/>
    <x v="1"/>
    <x v="98"/>
    <x v="98"/>
    <n v="4"/>
    <s v="METRE"/>
    <n v="0"/>
    <n v="100"/>
    <n v="105.5"/>
    <n v="-8"/>
    <n v="0"/>
    <n v="0"/>
    <n v="131.25"/>
    <x v="23"/>
    <n v="525"/>
    <x v="7"/>
  </r>
  <r>
    <x v="4"/>
    <s v="Jan Urbanek"/>
    <x v="1"/>
    <x v="99"/>
    <x v="99"/>
    <n v="0.10400000000000001"/>
    <s v="ADET"/>
    <n v="0"/>
    <n v="0"/>
    <n v="-4.4408920985006262E-16"/>
    <n v="2.5820000000000007"/>
    <n v="0"/>
    <n v="4066.650000000001"/>
    <n v="1575"/>
    <x v="34"/>
    <n v="163.80000000000001"/>
    <x v="4"/>
  </r>
  <r>
    <x v="2"/>
    <s v="Jan Urbanek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8"/>
    <s v="Jan Urbanek"/>
    <x v="1"/>
    <x v="190"/>
    <x v="190"/>
    <n v="3"/>
    <s v="ADET"/>
    <n v="0"/>
    <n v="24"/>
    <n v="30"/>
    <n v="-24"/>
    <n v="50"/>
    <n v="0"/>
    <n v="37"/>
    <x v="12"/>
    <n v="111"/>
    <x v="4"/>
  </r>
  <r>
    <x v="14"/>
    <s v="Matteo Giolo"/>
    <x v="1"/>
    <x v="196"/>
    <x v="196"/>
    <n v="0.2"/>
    <s v="METRE"/>
    <n v="0"/>
    <n v="0"/>
    <n v="93.799999999999955"/>
    <n v="5.0999999999999996"/>
    <n v="0"/>
    <n v="34.526999999999994"/>
    <n v="6.77"/>
    <x v="68"/>
    <n v="1.3540000000000001"/>
    <x v="7"/>
  </r>
  <r>
    <x v="14"/>
    <s v="Matteo Giolo"/>
    <x v="1"/>
    <x v="197"/>
    <x v="197"/>
    <n v="2"/>
    <s v="ADET"/>
    <n v="0"/>
    <n v="40"/>
    <n v="18"/>
    <n v="-14"/>
    <n v="0"/>
    <n v="0"/>
    <n v="45.3"/>
    <x v="23"/>
    <n v="90.6"/>
    <x v="7"/>
  </r>
  <r>
    <x v="13"/>
    <s v="Volkan Batkan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8"/>
    <s v="Jan Urbanek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8"/>
    <s v="Jan Urbanek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8"/>
    <s v="Jan Urbanek"/>
    <x v="1"/>
    <x v="197"/>
    <x v="197"/>
    <n v="2"/>
    <s v="ADET"/>
    <n v="0"/>
    <n v="40"/>
    <n v="18"/>
    <n v="-14"/>
    <n v="0"/>
    <n v="0"/>
    <n v="45.3"/>
    <x v="23"/>
    <n v="90.6"/>
    <x v="7"/>
  </r>
  <r>
    <x v="12"/>
    <s v="Stefan Zaugg"/>
    <x v="1"/>
    <x v="216"/>
    <x v="216"/>
    <n v="5"/>
    <s v="ADET"/>
    <n v="5"/>
    <n v="400"/>
    <n v="225"/>
    <n v="-292"/>
    <n v="0"/>
    <n v="0"/>
    <n v="12"/>
    <x v="14"/>
    <n v="60"/>
    <x v="1"/>
  </r>
  <r>
    <x v="8"/>
    <s v="Jan Urbanek"/>
    <x v="1"/>
    <x v="211"/>
    <x v="211"/>
    <n v="2.8"/>
    <s v="ADET"/>
    <n v="0"/>
    <n v="0"/>
    <n v="-9.7699626167013776E-15"/>
    <n v="13.000000000000007"/>
    <n v="11"/>
    <n v="23833.290000000012"/>
    <n v="1833.33"/>
    <x v="61"/>
    <n v="5133.3239999999996"/>
    <x v="8"/>
  </r>
  <r>
    <x v="8"/>
    <s v="Jan Urbanek"/>
    <x v="1"/>
    <x v="212"/>
    <x v="212"/>
    <n v="1.5"/>
    <s v="ADET"/>
    <n v="0"/>
    <n v="72"/>
    <n v="2"/>
    <n v="-43.5"/>
    <n v="0"/>
    <n v="0"/>
    <n v="5"/>
    <x v="2"/>
    <n v="7.5"/>
    <x v="1"/>
  </r>
  <r>
    <x v="5"/>
    <s v="Matteo Giolo"/>
    <x v="1"/>
    <x v="171"/>
    <x v="171"/>
    <n v="2"/>
    <s v="METRE"/>
    <n v="0"/>
    <n v="20"/>
    <n v="15.999999999999986"/>
    <n v="-5"/>
    <n v="0"/>
    <n v="0"/>
    <n v="97.17"/>
    <x v="42"/>
    <n v="194.34"/>
    <x v="1"/>
  </r>
  <r>
    <x v="8"/>
    <s v="Jan Urbanek"/>
    <x v="1"/>
    <x v="214"/>
    <x v="214"/>
    <n v="6"/>
    <s v="ADET"/>
    <n v="0"/>
    <n v="118"/>
    <n v="18"/>
    <n v="-11"/>
    <n v="0"/>
    <n v="0"/>
    <n v="14.5"/>
    <x v="2"/>
    <n v="87"/>
    <x v="1"/>
  </r>
  <r>
    <x v="4"/>
    <s v="Jan Urbanek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3"/>
    <s v="Jan Urbanek"/>
    <x v="1"/>
    <x v="215"/>
    <x v="215"/>
    <n v="2"/>
    <s v="ADET"/>
    <n v="0"/>
    <n v="200"/>
    <n v="70"/>
    <n v="-165"/>
    <n v="0"/>
    <n v="0"/>
    <n v="10"/>
    <x v="14"/>
    <n v="20"/>
    <x v="1"/>
  </r>
  <r>
    <x v="4"/>
    <s v="Jan Urbanek"/>
    <x v="1"/>
    <x v="215"/>
    <x v="215"/>
    <n v="6"/>
    <s v="ADET"/>
    <n v="0"/>
    <n v="200"/>
    <n v="70"/>
    <n v="-165"/>
    <n v="0"/>
    <n v="0"/>
    <n v="10"/>
    <x v="14"/>
    <n v="60"/>
    <x v="1"/>
  </r>
  <r>
    <x v="8"/>
    <s v="Jan Urbanek"/>
    <x v="1"/>
    <x v="145"/>
    <x v="145"/>
    <n v="0.01"/>
    <s v="ADET"/>
    <n v="0"/>
    <n v="6"/>
    <n v="22.53"/>
    <n v="-5.5"/>
    <n v="0"/>
    <n v="0"/>
    <n v="133"/>
    <x v="55"/>
    <n v="1.33"/>
    <x v="3"/>
  </r>
  <r>
    <x v="8"/>
    <s v="Jan Urbanek"/>
    <x v="1"/>
    <x v="146"/>
    <x v="146"/>
    <n v="6"/>
    <s v="ADET"/>
    <n v="0"/>
    <n v="84"/>
    <n v="36"/>
    <n v="22"/>
    <n v="0"/>
    <n v="440"/>
    <n v="20"/>
    <x v="2"/>
    <n v="120"/>
    <x v="4"/>
  </r>
  <r>
    <x v="2"/>
    <s v="Jan Urbanek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2"/>
    <s v="Jan Urbanek"/>
    <x v="1"/>
    <x v="210"/>
    <x v="210"/>
    <n v="6"/>
    <s v="ADET"/>
    <n v="0"/>
    <n v="133"/>
    <n v="46"/>
    <n v="-49"/>
    <n v="0"/>
    <n v="0"/>
    <n v="3.75"/>
    <x v="1"/>
    <n v="22.5"/>
    <x v="1"/>
  </r>
  <r>
    <x v="14"/>
    <s v="Matteo Giolo"/>
    <x v="1"/>
    <x v="233"/>
    <x v="233"/>
    <n v="1"/>
    <s v="ADET"/>
    <n v="0"/>
    <n v="0"/>
    <n v="1"/>
    <n v="9"/>
    <n v="0"/>
    <n v="13877.91"/>
    <n v="1541.99"/>
    <x v="73"/>
    <n v="1541.99"/>
    <x v="2"/>
  </r>
  <r>
    <x v="8"/>
    <s v="Jan Urbanek"/>
    <x v="1"/>
    <x v="169"/>
    <x v="169"/>
    <n v="108.87"/>
    <s v="KG"/>
    <n v="0"/>
    <n v="1840"/>
    <n v="973.6200000000008"/>
    <n v="-1630.1299999999997"/>
    <n v="920"/>
    <n v="0"/>
    <n v="94.86"/>
    <x v="8"/>
    <n v="10327.4082"/>
    <x v="3"/>
  </r>
  <r>
    <x v="3"/>
    <s v="Jan Urbanek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4"/>
    <s v="Jan Urbanek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3"/>
    <s v="Jan Urbanek"/>
    <x v="1"/>
    <x v="210"/>
    <x v="210"/>
    <n v="6"/>
    <s v="ADET"/>
    <n v="0"/>
    <n v="133"/>
    <n v="46"/>
    <n v="-49"/>
    <n v="0"/>
    <n v="0"/>
    <n v="3.75"/>
    <x v="1"/>
    <n v="22.5"/>
    <x v="1"/>
  </r>
  <r>
    <x v="4"/>
    <s v="Jan Urbanek"/>
    <x v="1"/>
    <x v="210"/>
    <x v="210"/>
    <n v="6"/>
    <s v="ADET"/>
    <n v="0"/>
    <n v="133"/>
    <n v="46"/>
    <n v="-49"/>
    <n v="0"/>
    <n v="0"/>
    <n v="3.75"/>
    <x v="1"/>
    <n v="22.5"/>
    <x v="1"/>
  </r>
  <r>
    <x v="3"/>
    <s v="Jan Urbanek"/>
    <x v="1"/>
    <x v="233"/>
    <x v="233"/>
    <n v="1"/>
    <s v="ADET"/>
    <n v="0"/>
    <n v="0"/>
    <n v="1"/>
    <n v="9"/>
    <n v="0"/>
    <n v="13877.91"/>
    <n v="1541.99"/>
    <x v="73"/>
    <n v="1541.99"/>
    <x v="2"/>
  </r>
  <r>
    <x v="7"/>
    <s v="Stina Alm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6"/>
    <s v="Stefan Zaugg"/>
    <x v="1"/>
    <x v="147"/>
    <x v="147"/>
    <n v="1"/>
    <s v="METRE"/>
    <n v="0"/>
    <n v="6400"/>
    <n v="186.49999999999994"/>
    <n v="-6392"/>
    <n v="0"/>
    <n v="0"/>
    <n v="2.1"/>
    <x v="6"/>
    <n v="2.1"/>
    <x v="7"/>
  </r>
  <r>
    <x v="1"/>
    <s v="Laurent MONTAGNER"/>
    <x v="1"/>
    <x v="147"/>
    <x v="147"/>
    <n v="1.5"/>
    <s v="METRE"/>
    <n v="0"/>
    <n v="6400"/>
    <n v="186.49999999999994"/>
    <n v="-6392"/>
    <n v="0"/>
    <n v="0"/>
    <n v="2.1"/>
    <x v="6"/>
    <n v="3.1500000000000004"/>
    <x v="7"/>
  </r>
  <r>
    <x v="7"/>
    <s v="Stina Alm"/>
    <x v="1"/>
    <x v="249"/>
    <x v="249"/>
    <n v="0.5"/>
    <s v="ADET"/>
    <n v="0"/>
    <n v="5"/>
    <n v="3.5527136788005009E-15"/>
    <n v="-4.0999999999999996"/>
    <n v="0"/>
    <n v="0"/>
    <n v="196"/>
    <x v="14"/>
    <n v="98"/>
    <x v="3"/>
  </r>
  <r>
    <x v="7"/>
    <s v="Stina Alm"/>
    <x v="1"/>
    <x v="210"/>
    <x v="210"/>
    <n v="4"/>
    <s v="ADET"/>
    <n v="0"/>
    <n v="133"/>
    <n v="46"/>
    <n v="-49"/>
    <n v="0"/>
    <n v="0"/>
    <n v="3.75"/>
    <x v="1"/>
    <n v="15"/>
    <x v="1"/>
  </r>
  <r>
    <x v="1"/>
    <s v="Laurent MONTAGNER"/>
    <x v="1"/>
    <x v="233"/>
    <x v="233"/>
    <n v="1"/>
    <s v="ADET"/>
    <n v="0"/>
    <n v="0"/>
    <n v="1"/>
    <n v="9"/>
    <n v="0"/>
    <n v="13877.91"/>
    <n v="1541.99"/>
    <x v="73"/>
    <n v="1541.99"/>
    <x v="2"/>
  </r>
  <r>
    <x v="7"/>
    <s v="Stina Alm"/>
    <x v="1"/>
    <x v="233"/>
    <x v="233"/>
    <n v="1"/>
    <s v="ADET"/>
    <n v="0"/>
    <n v="0"/>
    <n v="1"/>
    <n v="9"/>
    <n v="0"/>
    <n v="13877.91"/>
    <n v="1541.99"/>
    <x v="73"/>
    <n v="1541.99"/>
    <x v="2"/>
  </r>
  <r>
    <x v="0"/>
    <s v="Matteo Giolo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0"/>
    <s v="Matteo Giolo"/>
    <x v="1"/>
    <x v="100"/>
    <x v="100"/>
    <n v="1.3"/>
    <s v="ADET"/>
    <n v="0"/>
    <n v="5"/>
    <n v="0"/>
    <n v="4.6000000000000032"/>
    <n v="5"/>
    <n v="5276.2000000000035"/>
    <n v="1147"/>
    <x v="35"/>
    <n v="1491.1000000000001"/>
    <x v="6"/>
  </r>
  <r>
    <x v="0"/>
    <s v="Matteo Giolo"/>
    <x v="1"/>
    <x v="101"/>
    <x v="101"/>
    <n v="1.5"/>
    <s v="KG"/>
    <n v="0"/>
    <n v="30"/>
    <n v="21.5"/>
    <n v="6"/>
    <n v="0"/>
    <n v="708.84"/>
    <n v="118.14"/>
    <x v="36"/>
    <n v="177.21"/>
    <x v="3"/>
  </r>
  <r>
    <x v="2"/>
    <s v="Jan Urbanek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4"/>
    <s v="Jan Urbanek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4"/>
    <s v="Jan Urbanek"/>
    <x v="1"/>
    <x v="197"/>
    <x v="197"/>
    <n v="2"/>
    <s v="ADET"/>
    <n v="0"/>
    <n v="40"/>
    <n v="18"/>
    <n v="-14"/>
    <n v="0"/>
    <n v="0"/>
    <n v="45.3"/>
    <x v="23"/>
    <n v="90.6"/>
    <x v="7"/>
  </r>
  <r>
    <x v="7"/>
    <s v="Stina Alm"/>
    <x v="1"/>
    <x v="101"/>
    <x v="101"/>
    <n v="2"/>
    <s v="KG"/>
    <n v="0"/>
    <n v="30"/>
    <n v="21.5"/>
    <n v="6"/>
    <n v="0"/>
    <n v="708.84"/>
    <n v="118.14"/>
    <x v="36"/>
    <n v="236.28"/>
    <x v="3"/>
  </r>
  <r>
    <x v="6"/>
    <s v="Stefan Zaugg"/>
    <x v="1"/>
    <x v="190"/>
    <x v="190"/>
    <n v="3"/>
    <s v="ADET"/>
    <n v="0"/>
    <n v="24"/>
    <n v="30"/>
    <n v="-24"/>
    <n v="50"/>
    <n v="0"/>
    <n v="37"/>
    <x v="12"/>
    <n v="111"/>
    <x v="4"/>
  </r>
  <r>
    <x v="7"/>
    <s v="Stina Alm"/>
    <x v="1"/>
    <x v="190"/>
    <x v="190"/>
    <n v="2"/>
    <s v="ADET"/>
    <n v="0"/>
    <n v="24"/>
    <n v="30"/>
    <n v="-24"/>
    <n v="50"/>
    <n v="0"/>
    <n v="37"/>
    <x v="12"/>
    <n v="74"/>
    <x v="4"/>
  </r>
  <r>
    <x v="1"/>
    <s v="Laurent MONTAGNER"/>
    <x v="1"/>
    <x v="195"/>
    <x v="195"/>
    <n v="9.5"/>
    <s v="ADET"/>
    <n v="9.5"/>
    <n v="0"/>
    <n v="0.5"/>
    <n v="55"/>
    <n v="10"/>
    <n v="36666.85"/>
    <n v="666.67"/>
    <x v="61"/>
    <n v="6333.3649999999998"/>
    <x v="8"/>
  </r>
  <r>
    <x v="3"/>
    <s v="Jan Urbanek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2"/>
    <s v="Jan Urbanek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2"/>
    <s v="Jan Urbanek"/>
    <x v="1"/>
    <x v="197"/>
    <x v="197"/>
    <n v="2"/>
    <s v="ADET"/>
    <n v="0"/>
    <n v="40"/>
    <n v="18"/>
    <n v="-14"/>
    <n v="0"/>
    <n v="0"/>
    <n v="45.3"/>
    <x v="23"/>
    <n v="90.6"/>
    <x v="7"/>
  </r>
  <r>
    <x v="3"/>
    <s v="Jan Urbanek"/>
    <x v="1"/>
    <x v="197"/>
    <x v="197"/>
    <n v="2"/>
    <s v="ADET"/>
    <n v="0"/>
    <n v="40"/>
    <n v="18"/>
    <n v="-14"/>
    <n v="0"/>
    <n v="0"/>
    <n v="45.3"/>
    <x v="23"/>
    <n v="90.6"/>
    <x v="7"/>
  </r>
  <r>
    <x v="8"/>
    <s v="Jan Urbanek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8"/>
    <s v="Jan Urbanek"/>
    <x v="1"/>
    <x v="240"/>
    <x v="240"/>
    <n v="6"/>
    <s v="ADET"/>
    <n v="0"/>
    <n v="85"/>
    <n v="34"/>
    <n v="-18"/>
    <n v="40"/>
    <n v="0"/>
    <n v="74"/>
    <x v="12"/>
    <n v="444"/>
    <x v="4"/>
  </r>
  <r>
    <x v="0"/>
    <s v="Matteo Giolo"/>
    <x v="1"/>
    <x v="181"/>
    <x v="181"/>
    <n v="7"/>
    <s v="KG"/>
    <n v="0"/>
    <n v="0"/>
    <n v="260.61000000000013"/>
    <n v="97.560000000000016"/>
    <n v="0"/>
    <n v="13285.720800000003"/>
    <n v="136.18"/>
    <x v="64"/>
    <n v="953.26"/>
    <x v="3"/>
  </r>
  <r>
    <x v="0"/>
    <s v="Matteo Giolo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0"/>
    <s v="Matteo Giolo"/>
    <x v="1"/>
    <x v="240"/>
    <x v="240"/>
    <n v="6"/>
    <s v="ADET"/>
    <n v="0"/>
    <n v="85"/>
    <n v="34"/>
    <n v="-18"/>
    <n v="40"/>
    <n v="0"/>
    <n v="74"/>
    <x v="12"/>
    <n v="444"/>
    <x v="4"/>
  </r>
  <r>
    <x v="2"/>
    <s v="Jan Urbanek"/>
    <x v="1"/>
    <x v="240"/>
    <x v="240"/>
    <n v="6"/>
    <s v="ADET"/>
    <n v="0"/>
    <n v="85"/>
    <n v="34"/>
    <n v="-18"/>
    <n v="40"/>
    <n v="0"/>
    <n v="74"/>
    <x v="12"/>
    <n v="444"/>
    <x v="4"/>
  </r>
  <r>
    <x v="3"/>
    <s v="Jan Urbanek"/>
    <x v="1"/>
    <x v="240"/>
    <x v="240"/>
    <n v="6"/>
    <s v="ADET"/>
    <n v="0"/>
    <n v="85"/>
    <n v="34"/>
    <n v="-18"/>
    <n v="40"/>
    <n v="0"/>
    <n v="74"/>
    <x v="12"/>
    <n v="444"/>
    <x v="4"/>
  </r>
  <r>
    <x v="3"/>
    <s v="Jan Urbanek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4"/>
    <s v="Jan Urbanek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4"/>
    <s v="Jan Urbanek"/>
    <x v="1"/>
    <x v="242"/>
    <x v="242"/>
    <n v="1"/>
    <s v="ADET"/>
    <n v="0"/>
    <n v="16"/>
    <n v="8"/>
    <n v="-3"/>
    <n v="0"/>
    <n v="0"/>
    <n v="224.46"/>
    <x v="23"/>
    <n v="224.46"/>
    <x v="7"/>
  </r>
  <r>
    <x v="7"/>
    <s v="Stina Alm"/>
    <x v="1"/>
    <x v="181"/>
    <x v="181"/>
    <n v="8.89"/>
    <s v="KG"/>
    <n v="0"/>
    <n v="0"/>
    <n v="260.61000000000013"/>
    <n v="97.560000000000016"/>
    <n v="0"/>
    <n v="13285.720800000003"/>
    <n v="136.18"/>
    <x v="64"/>
    <n v="1210.6402"/>
    <x v="3"/>
  </r>
  <r>
    <x v="6"/>
    <s v="Stefan Zaugg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5"/>
    <s v="Matteo Giolo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"/>
    <s v="Laurent MONTAGNER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6"/>
    <s v="Stefan Zaugg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9"/>
    <s v="Stefan Zaugg"/>
    <x v="1"/>
    <x v="245"/>
    <x v="245"/>
    <n v="1"/>
    <s v="ADET"/>
    <n v="0"/>
    <n v="4"/>
    <n v="22"/>
    <n v="-5"/>
    <n v="20"/>
    <n v="0"/>
    <n v="65"/>
    <x v="22"/>
    <n v="65"/>
    <x v="4"/>
  </r>
  <r>
    <x v="12"/>
    <s v="Stefan Zaugg"/>
    <x v="1"/>
    <x v="245"/>
    <x v="245"/>
    <n v="1"/>
    <s v="ADET"/>
    <n v="0"/>
    <n v="4"/>
    <n v="22"/>
    <n v="-5"/>
    <n v="20"/>
    <n v="0"/>
    <n v="65"/>
    <x v="22"/>
    <n v="65"/>
    <x v="4"/>
  </r>
  <r>
    <x v="9"/>
    <s v="Stefan Zaugg"/>
    <x v="1"/>
    <x v="247"/>
    <x v="247"/>
    <n v="6"/>
    <s v="METRE"/>
    <n v="0"/>
    <n v="60"/>
    <n v="52"/>
    <n v="14.5"/>
    <n v="80"/>
    <n v="710.5"/>
    <n v="49"/>
    <x v="35"/>
    <n v="294"/>
    <x v="6"/>
  </r>
  <r>
    <x v="12"/>
    <s v="Stefan Zaugg"/>
    <x v="1"/>
    <x v="247"/>
    <x v="247"/>
    <n v="7"/>
    <s v="METRE"/>
    <n v="0"/>
    <n v="60"/>
    <n v="52"/>
    <n v="14.5"/>
    <n v="80"/>
    <n v="710.5"/>
    <n v="49"/>
    <x v="35"/>
    <n v="343"/>
    <x v="6"/>
  </r>
  <r>
    <x v="14"/>
    <s v="Matteo Giolo"/>
    <x v="1"/>
    <x v="247"/>
    <x v="247"/>
    <n v="7.5"/>
    <s v="METRE"/>
    <n v="0"/>
    <n v="60"/>
    <n v="52"/>
    <n v="14.5"/>
    <n v="80"/>
    <n v="710.5"/>
    <n v="49"/>
    <x v="35"/>
    <n v="367.5"/>
    <x v="6"/>
  </r>
  <r>
    <x v="3"/>
    <s v="Jan Urbanek"/>
    <x v="1"/>
    <x v="151"/>
    <x v="151"/>
    <n v="2"/>
    <s v="ADET"/>
    <n v="0"/>
    <n v="238"/>
    <n v="90"/>
    <n v="-200"/>
    <n v="0"/>
    <n v="0"/>
    <n v="4"/>
    <x v="29"/>
    <n v="8"/>
    <x v="7"/>
  </r>
  <r>
    <x v="4"/>
    <s v="Jan Urbanek"/>
    <x v="1"/>
    <x v="151"/>
    <x v="151"/>
    <n v="2"/>
    <s v="ADET"/>
    <n v="0"/>
    <n v="238"/>
    <n v="90"/>
    <n v="-200"/>
    <n v="0"/>
    <n v="0"/>
    <n v="4"/>
    <x v="29"/>
    <n v="8"/>
    <x v="7"/>
  </r>
  <r>
    <x v="4"/>
    <s v="Jan Urbanek"/>
    <x v="1"/>
    <x v="152"/>
    <x v="152"/>
    <n v="1"/>
    <s v="ADET"/>
    <n v="0"/>
    <n v="10"/>
    <n v="12"/>
    <n v="-1"/>
    <n v="4"/>
    <n v="0"/>
    <n v="1600"/>
    <x v="56"/>
    <n v="1600"/>
    <x v="7"/>
  </r>
  <r>
    <x v="3"/>
    <s v="Jan Urbanek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4"/>
    <s v="Jan Urbanek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3"/>
    <s v="Jan Urbanek"/>
    <x v="1"/>
    <x v="245"/>
    <x v="245"/>
    <n v="1"/>
    <s v="ADET"/>
    <n v="0"/>
    <n v="4"/>
    <n v="22"/>
    <n v="-5"/>
    <n v="20"/>
    <n v="0"/>
    <n v="65"/>
    <x v="22"/>
    <n v="65"/>
    <x v="4"/>
  </r>
  <r>
    <x v="4"/>
    <s v="Jan Urbanek"/>
    <x v="1"/>
    <x v="245"/>
    <x v="245"/>
    <n v="1"/>
    <s v="ADET"/>
    <n v="0"/>
    <n v="4"/>
    <n v="22"/>
    <n v="-5"/>
    <n v="20"/>
    <n v="0"/>
    <n v="65"/>
    <x v="22"/>
    <n v="65"/>
    <x v="4"/>
  </r>
  <r>
    <x v="7"/>
    <s v="Stina Alm"/>
    <x v="1"/>
    <x v="151"/>
    <x v="151"/>
    <n v="2"/>
    <s v="ADET"/>
    <n v="0"/>
    <n v="238"/>
    <n v="90"/>
    <n v="-200"/>
    <n v="0"/>
    <n v="0"/>
    <n v="4"/>
    <x v="29"/>
    <n v="8"/>
    <x v="7"/>
  </r>
  <r>
    <x v="6"/>
    <s v="Stefan Zaugg"/>
    <x v="1"/>
    <x v="152"/>
    <x v="152"/>
    <n v="1"/>
    <s v="ADET"/>
    <n v="1"/>
    <n v="10"/>
    <n v="12"/>
    <n v="-1"/>
    <n v="4"/>
    <n v="0"/>
    <n v="1600"/>
    <x v="56"/>
    <n v="1600"/>
    <x v="7"/>
  </r>
  <r>
    <x v="5"/>
    <s v="Matteo Giolo"/>
    <x v="1"/>
    <x v="152"/>
    <x v="152"/>
    <n v="1"/>
    <s v="ADET"/>
    <n v="0"/>
    <n v="10"/>
    <n v="12"/>
    <n v="-1"/>
    <n v="4"/>
    <n v="0"/>
    <n v="1600"/>
    <x v="56"/>
    <n v="1600"/>
    <x v="7"/>
  </r>
  <r>
    <x v="5"/>
    <s v="Matteo Giolo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1"/>
    <s v="Jan Urbanek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2"/>
    <s v="Jan Urbanek"/>
    <x v="1"/>
    <x v="199"/>
    <x v="199"/>
    <n v="12"/>
    <s v="ADET"/>
    <n v="0"/>
    <n v="200"/>
    <n v="343"/>
    <n v="-8"/>
    <n v="0"/>
    <n v="0"/>
    <n v="9"/>
    <x v="2"/>
    <n v="108"/>
    <x v="1"/>
  </r>
  <r>
    <x v="3"/>
    <s v="Jan Urbanek"/>
    <x v="1"/>
    <x v="200"/>
    <x v="200"/>
    <n v="1"/>
    <s v="ADET"/>
    <n v="0"/>
    <n v="6"/>
    <n v="0"/>
    <n v="8.25"/>
    <n v="0"/>
    <n v="165"/>
    <n v="20"/>
    <x v="14"/>
    <n v="20"/>
    <x v="1"/>
  </r>
  <r>
    <x v="4"/>
    <s v="Jan Urbanek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3"/>
    <s v="Jan Urbanek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1"/>
    <s v="Laurent MONTAGNER"/>
    <x v="1"/>
    <x v="199"/>
    <x v="199"/>
    <n v="16"/>
    <s v="ADET"/>
    <n v="0"/>
    <n v="200"/>
    <n v="343"/>
    <n v="-8"/>
    <n v="0"/>
    <n v="0"/>
    <n v="9"/>
    <x v="2"/>
    <n v="144"/>
    <x v="1"/>
  </r>
  <r>
    <x v="1"/>
    <s v="Laurent MONTAGNER"/>
    <x v="1"/>
    <x v="200"/>
    <x v="200"/>
    <n v="1"/>
    <s v="ADET"/>
    <n v="0"/>
    <n v="6"/>
    <n v="0"/>
    <n v="8.25"/>
    <n v="0"/>
    <n v="165"/>
    <n v="20"/>
    <x v="14"/>
    <n v="20"/>
    <x v="1"/>
  </r>
  <r>
    <x v="2"/>
    <s v="Jan Urbanek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3"/>
    <s v="Jan Urbanek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4"/>
    <s v="Jan Urbanek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1"/>
    <s v="Laurent MONTAGNER"/>
    <x v="1"/>
    <x v="107"/>
    <x v="107"/>
    <n v="1"/>
    <s v="ADET"/>
    <n v="0"/>
    <n v="0"/>
    <n v="0"/>
    <n v="9"/>
    <n v="0"/>
    <n v="540"/>
    <n v="60"/>
    <x v="41"/>
    <n v="60"/>
    <x v="2"/>
  </r>
  <r>
    <x v="7"/>
    <s v="Stina Alm"/>
    <x v="1"/>
    <x v="107"/>
    <x v="107"/>
    <n v="1"/>
    <s v="ADET"/>
    <n v="0"/>
    <n v="0"/>
    <n v="0"/>
    <n v="9"/>
    <n v="0"/>
    <n v="540"/>
    <n v="60"/>
    <x v="41"/>
    <n v="60"/>
    <x v="2"/>
  </r>
  <r>
    <x v="0"/>
    <s v="Matteo Giolo"/>
    <x v="1"/>
    <x v="198"/>
    <x v="198"/>
    <n v="0.01"/>
    <s v="METRE"/>
    <n v="0"/>
    <n v="200"/>
    <n v="74.999999999999957"/>
    <n v="-198.95"/>
    <n v="0"/>
    <n v="0"/>
    <n v="7.4"/>
    <x v="68"/>
    <n v="7.400000000000001E-2"/>
    <x v="7"/>
  </r>
  <r>
    <x v="1"/>
    <s v="Laurent MONTAGNER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1"/>
    <s v="Laurent MONTAGNER"/>
    <x v="1"/>
    <x v="201"/>
    <x v="201"/>
    <n v="0.8"/>
    <s v="ADET"/>
    <n v="0"/>
    <n v="0"/>
    <n v="-1.2878587085651816E-14"/>
    <n v="6.9999999999999991"/>
    <n v="0"/>
    <n v="489.99999999999994"/>
    <n v="70"/>
    <x v="2"/>
    <n v="56"/>
    <x v="1"/>
  </r>
  <r>
    <x v="6"/>
    <s v="Stefan Zaugg"/>
    <x v="1"/>
    <x v="199"/>
    <x v="199"/>
    <n v="4"/>
    <s v="ADET"/>
    <n v="0"/>
    <n v="200"/>
    <n v="343"/>
    <n v="-8"/>
    <n v="0"/>
    <n v="0"/>
    <n v="9"/>
    <x v="2"/>
    <n v="36"/>
    <x v="1"/>
  </r>
  <r>
    <x v="5"/>
    <s v="Matteo Giolo"/>
    <x v="1"/>
    <x v="199"/>
    <x v="199"/>
    <n v="4"/>
    <s v="ADET"/>
    <n v="0"/>
    <n v="200"/>
    <n v="343"/>
    <n v="-8"/>
    <n v="0"/>
    <n v="0"/>
    <n v="9"/>
    <x v="2"/>
    <n v="36"/>
    <x v="1"/>
  </r>
  <r>
    <x v="5"/>
    <s v="Matteo Giolo"/>
    <x v="1"/>
    <x v="200"/>
    <x v="200"/>
    <n v="0.25"/>
    <s v="ADET"/>
    <n v="0"/>
    <n v="6"/>
    <n v="0"/>
    <n v="8.25"/>
    <n v="0"/>
    <n v="165"/>
    <n v="20"/>
    <x v="14"/>
    <n v="5"/>
    <x v="1"/>
  </r>
  <r>
    <x v="5"/>
    <s v="Matteo Giolo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6"/>
    <s v="Stefan Zaugg"/>
    <x v="1"/>
    <x v="201"/>
    <x v="201"/>
    <n v="0.6"/>
    <s v="ADET"/>
    <n v="0"/>
    <n v="0"/>
    <n v="-1.2878587085651816E-14"/>
    <n v="6.9999999999999991"/>
    <n v="0"/>
    <n v="489.99999999999994"/>
    <n v="70"/>
    <x v="2"/>
    <n v="42"/>
    <x v="1"/>
  </r>
  <r>
    <x v="5"/>
    <s v="Matteo Giolo"/>
    <x v="1"/>
    <x v="201"/>
    <x v="201"/>
    <n v="0.75"/>
    <s v="ADET"/>
    <n v="0"/>
    <n v="0"/>
    <n v="-1.2878587085651816E-14"/>
    <n v="6.9999999999999991"/>
    <n v="0"/>
    <n v="489.99999999999994"/>
    <n v="70"/>
    <x v="2"/>
    <n v="52.5"/>
    <x v="1"/>
  </r>
  <r>
    <x v="0"/>
    <s v="Matteo Giolo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6"/>
    <s v="Stefan Zaugg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8"/>
    <s v="Jan Urbanek"/>
    <x v="1"/>
    <x v="199"/>
    <x v="199"/>
    <n v="12"/>
    <s v="ADET"/>
    <n v="0"/>
    <n v="200"/>
    <n v="343"/>
    <n v="-8"/>
    <n v="0"/>
    <n v="0"/>
    <n v="9"/>
    <x v="2"/>
    <n v="108"/>
    <x v="1"/>
  </r>
  <r>
    <x v="8"/>
    <s v="Jan Urbanek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2"/>
    <s v="Jan Urbanek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7"/>
    <s v="Stina Alm"/>
    <x v="1"/>
    <x v="199"/>
    <x v="199"/>
    <n v="16"/>
    <s v="ADET"/>
    <n v="0"/>
    <n v="200"/>
    <n v="343"/>
    <n v="-8"/>
    <n v="0"/>
    <n v="0"/>
    <n v="9"/>
    <x v="2"/>
    <n v="144"/>
    <x v="1"/>
  </r>
  <r>
    <x v="6"/>
    <s v="Stefan Zaugg"/>
    <x v="1"/>
    <x v="200"/>
    <x v="200"/>
    <n v="1"/>
    <s v="ADET"/>
    <n v="0"/>
    <n v="6"/>
    <n v="0"/>
    <n v="8.25"/>
    <n v="0"/>
    <n v="165"/>
    <n v="20"/>
    <x v="14"/>
    <n v="20"/>
    <x v="1"/>
  </r>
  <r>
    <x v="6"/>
    <s v="Stefan Zaugg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5"/>
    <s v="Matteo Giolo"/>
    <x v="1"/>
    <x v="230"/>
    <x v="230"/>
    <n v="0.2"/>
    <s v="METRE"/>
    <n v="0"/>
    <n v="50"/>
    <n v="2.8310687127941492E-15"/>
    <n v="-47.8"/>
    <n v="0"/>
    <n v="0"/>
    <n v="25.41"/>
    <x v="23"/>
    <n v="5.0820000000000007"/>
    <x v="7"/>
  </r>
  <r>
    <x v="6"/>
    <s v="Stefan Zaugg"/>
    <x v="1"/>
    <x v="245"/>
    <x v="245"/>
    <n v="1"/>
    <s v="ADET"/>
    <n v="0"/>
    <n v="4"/>
    <n v="22"/>
    <n v="-5"/>
    <n v="20"/>
    <n v="0"/>
    <n v="65"/>
    <x v="22"/>
    <n v="65"/>
    <x v="4"/>
  </r>
  <r>
    <x v="5"/>
    <s v="Matteo Giolo"/>
    <x v="1"/>
    <x v="245"/>
    <x v="245"/>
    <n v="1"/>
    <s v="ADET"/>
    <n v="0"/>
    <n v="4"/>
    <n v="22"/>
    <n v="-5"/>
    <n v="20"/>
    <n v="0"/>
    <n v="65"/>
    <x v="22"/>
    <n v="65"/>
    <x v="4"/>
  </r>
  <r>
    <x v="8"/>
    <s v="Jan Urbanek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2"/>
    <s v="Jan Urbanek"/>
    <x v="1"/>
    <x v="232"/>
    <x v="232"/>
    <n v="3"/>
    <s v="ADET"/>
    <n v="0"/>
    <n v="38"/>
    <n v="25"/>
    <n v="-2"/>
    <n v="20"/>
    <n v="0"/>
    <n v="245"/>
    <x v="12"/>
    <n v="735"/>
    <x v="4"/>
  </r>
  <r>
    <x v="8"/>
    <s v="Jan Urbanek"/>
    <x v="1"/>
    <x v="245"/>
    <x v="245"/>
    <n v="1"/>
    <s v="ADET"/>
    <n v="0"/>
    <n v="4"/>
    <n v="22"/>
    <n v="-5"/>
    <n v="20"/>
    <n v="0"/>
    <n v="65"/>
    <x v="22"/>
    <n v="65"/>
    <x v="4"/>
  </r>
  <r>
    <x v="7"/>
    <s v="Stina Alm"/>
    <x v="1"/>
    <x v="152"/>
    <x v="152"/>
    <n v="1"/>
    <s v="ADET"/>
    <n v="0"/>
    <n v="10"/>
    <n v="12"/>
    <n v="-1"/>
    <n v="4"/>
    <n v="0"/>
    <n v="1600"/>
    <x v="56"/>
    <n v="1600"/>
    <x v="7"/>
  </r>
  <r>
    <x v="0"/>
    <s v="Matteo Giolo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"/>
    <s v="Laurent MONTAGNER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6"/>
    <s v="Stefan Zaugg"/>
    <x v="1"/>
    <x v="194"/>
    <x v="194"/>
    <n v="6"/>
    <s v="METRE"/>
    <n v="0"/>
    <n v="140"/>
    <n v="0"/>
    <n v="-122"/>
    <n v="0"/>
    <n v="0"/>
    <n v="25.42"/>
    <x v="23"/>
    <n v="152.52000000000001"/>
    <x v="7"/>
  </r>
  <r>
    <x v="0"/>
    <s v="Matteo Giolo"/>
    <x v="1"/>
    <x v="210"/>
    <x v="210"/>
    <n v="6"/>
    <s v="ADET"/>
    <n v="0"/>
    <n v="133"/>
    <n v="46"/>
    <n v="-49"/>
    <n v="0"/>
    <n v="0"/>
    <n v="3.75"/>
    <x v="1"/>
    <n v="22.5"/>
    <x v="1"/>
  </r>
  <r>
    <x v="5"/>
    <s v="Matteo Giolo"/>
    <x v="1"/>
    <x v="210"/>
    <x v="210"/>
    <n v="8"/>
    <s v="ADET"/>
    <n v="0"/>
    <n v="133"/>
    <n v="46"/>
    <n v="-49"/>
    <n v="0"/>
    <n v="0"/>
    <n v="3.75"/>
    <x v="1"/>
    <n v="30"/>
    <x v="1"/>
  </r>
  <r>
    <x v="5"/>
    <s v="Matteo Giolo"/>
    <x v="1"/>
    <x v="233"/>
    <x v="233"/>
    <n v="1"/>
    <s v="ADET"/>
    <n v="0"/>
    <n v="0"/>
    <n v="1"/>
    <n v="9"/>
    <n v="0"/>
    <n v="13877.91"/>
    <n v="1541.99"/>
    <x v="73"/>
    <n v="1541.99"/>
    <x v="2"/>
  </r>
  <r>
    <x v="19"/>
    <s v="Laurent MONTAGNER"/>
    <x v="1"/>
    <x v="146"/>
    <x v="146"/>
    <n v="6"/>
    <s v="ADET"/>
    <n v="0"/>
    <n v="84"/>
    <n v="36"/>
    <n v="22"/>
    <n v="0"/>
    <n v="440"/>
    <n v="20"/>
    <x v="2"/>
    <n v="120"/>
    <x v="4"/>
  </r>
  <r>
    <x v="17"/>
    <s v="Soner Kayıkçı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19"/>
    <s v="Laurent MONTAGNER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16"/>
    <s v="Laurent MONTAGNER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7"/>
    <s v="Stina Alm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1"/>
    <s v="Laurent MONTAGNER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5"/>
    <s v="Matteo Giolo"/>
    <x v="1"/>
    <x v="219"/>
    <x v="219"/>
    <n v="6"/>
    <s v="M2"/>
    <n v="0"/>
    <n v="0"/>
    <n v="-1.4210854715202004E-14"/>
    <n v="52"/>
    <n v="0"/>
    <n v="28423.200000000001"/>
    <n v="546.6"/>
    <x v="71"/>
    <n v="3279.6000000000004"/>
    <x v="8"/>
  </r>
  <r>
    <x v="6"/>
    <s v="Stefan Zaugg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10"/>
    <s v="Murat Taşdemir"/>
    <x v="1"/>
    <x v="96"/>
    <x v="96"/>
    <n v="0.89999999999999991"/>
    <s v="ADET"/>
    <n v="0"/>
    <n v="5"/>
    <n v="0.29999999999999449"/>
    <n v="9.6499999999999986"/>
    <n v="0"/>
    <n v="15656.159999999998"/>
    <n v="1622.4"/>
    <x v="32"/>
    <n v="1460.1599999999999"/>
    <x v="3"/>
  </r>
  <r>
    <x v="10"/>
    <s v="Murat Taşdemir"/>
    <x v="1"/>
    <x v="254"/>
    <x v="254"/>
    <n v="9"/>
    <s v="METRE"/>
    <n v="0"/>
    <n v="0"/>
    <n v="344"/>
    <n v="54"/>
    <n v="0"/>
    <n v="1102.68"/>
    <n v="20.420000000000002"/>
    <x v="61"/>
    <n v="183.78000000000003"/>
    <x v="8"/>
  </r>
  <r>
    <x v="11"/>
    <s v="Jan Urbanek"/>
    <x v="1"/>
    <x v="217"/>
    <x v="217"/>
    <n v="6"/>
    <s v="METRE"/>
    <n v="0"/>
    <n v="100"/>
    <n v="50"/>
    <n v="-16"/>
    <n v="0"/>
    <n v="0"/>
    <n v="46"/>
    <x v="70"/>
    <n v="276"/>
    <x v="7"/>
  </r>
  <r>
    <x v="11"/>
    <s v="Jan Urbanek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14"/>
    <s v="Matteo Giolo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10"/>
    <s v="Murat Taşdemir"/>
    <x v="1"/>
    <x v="219"/>
    <x v="219"/>
    <n v="5"/>
    <s v="M2"/>
    <n v="0"/>
    <n v="0"/>
    <n v="-1.4210854715202004E-14"/>
    <n v="52"/>
    <n v="0"/>
    <n v="28423.200000000001"/>
    <n v="546.6"/>
    <x v="71"/>
    <n v="2733"/>
    <x v="8"/>
  </r>
  <r>
    <x v="14"/>
    <s v="Matteo Giolo"/>
    <x v="1"/>
    <x v="255"/>
    <x v="255"/>
    <n v="1"/>
    <s v="ADET"/>
    <n v="0"/>
    <n v="2"/>
    <n v="0"/>
    <n v="-1"/>
    <n v="0"/>
    <n v="0"/>
    <n v="13859.07"/>
    <x v="76"/>
    <n v="13859.07"/>
    <x v="7"/>
  </r>
  <r>
    <x v="6"/>
    <s v="Stefan Zaugg"/>
    <x v="1"/>
    <x v="95"/>
    <x v="95"/>
    <n v="2"/>
    <s v="ADET"/>
    <n v="0"/>
    <n v="222"/>
    <n v="2"/>
    <n v="-166"/>
    <n v="0"/>
    <n v="0"/>
    <n v="11.5"/>
    <x v="2"/>
    <n v="23"/>
    <x v="4"/>
  </r>
  <r>
    <x v="5"/>
    <s v="Matteo Giolo"/>
    <x v="1"/>
    <x v="95"/>
    <x v="95"/>
    <n v="20"/>
    <s v="ADET"/>
    <n v="0"/>
    <n v="222"/>
    <n v="2"/>
    <n v="-166"/>
    <n v="0"/>
    <n v="0"/>
    <n v="11.5"/>
    <x v="2"/>
    <n v="230"/>
    <x v="4"/>
  </r>
  <r>
    <x v="6"/>
    <s v="Stefan Zaugg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7"/>
    <s v="Stina Alm"/>
    <x v="1"/>
    <x v="96"/>
    <x v="96"/>
    <n v="0.85000000000000009"/>
    <s v="ADET"/>
    <n v="0"/>
    <n v="5"/>
    <n v="0.29999999999999449"/>
    <n v="9.6499999999999986"/>
    <n v="0"/>
    <n v="15656.159999999998"/>
    <n v="1622.4"/>
    <x v="32"/>
    <n v="1379.0400000000002"/>
    <x v="3"/>
  </r>
  <r>
    <x v="5"/>
    <s v="Matteo Giolo"/>
    <x v="1"/>
    <x v="254"/>
    <x v="254"/>
    <n v="9"/>
    <s v="METRE"/>
    <n v="0"/>
    <n v="0"/>
    <n v="344"/>
    <n v="54"/>
    <n v="0"/>
    <n v="1102.68"/>
    <n v="20.420000000000002"/>
    <x v="61"/>
    <n v="183.78000000000003"/>
    <x v="8"/>
  </r>
  <r>
    <x v="5"/>
    <s v="Matteo Giolo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6"/>
    <s v="Stefan Zaugg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7"/>
    <s v="Stina Alm"/>
    <x v="1"/>
    <x v="219"/>
    <x v="219"/>
    <n v="3"/>
    <s v="M2"/>
    <n v="0"/>
    <n v="0"/>
    <n v="-1.4210854715202004E-14"/>
    <n v="52"/>
    <n v="0"/>
    <n v="28423.200000000001"/>
    <n v="546.6"/>
    <x v="71"/>
    <n v="1639.8000000000002"/>
    <x v="8"/>
  </r>
  <r>
    <x v="5"/>
    <s v="Matteo Giolo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7"/>
    <s v="Stina Alm"/>
    <x v="1"/>
    <x v="163"/>
    <x v="163"/>
    <n v="1.6"/>
    <s v="METRE"/>
    <n v="0"/>
    <n v="100"/>
    <n v="1.9999999999999432"/>
    <n v="-6.4000000000000057"/>
    <n v="0"/>
    <n v="0"/>
    <n v="111"/>
    <x v="23"/>
    <n v="177.60000000000002"/>
    <x v="7"/>
  </r>
  <r>
    <x v="1"/>
    <s v="Laurent MONTAGNER"/>
    <x v="1"/>
    <x v="163"/>
    <x v="163"/>
    <n v="7.1"/>
    <s v="METRE"/>
    <n v="0"/>
    <n v="100"/>
    <n v="1.9999999999999432"/>
    <n v="-6.4000000000000057"/>
    <n v="0"/>
    <n v="0"/>
    <n v="111"/>
    <x v="23"/>
    <n v="788.09999999999991"/>
    <x v="7"/>
  </r>
  <r>
    <x v="1"/>
    <s v="Laurent MONTAGNER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5"/>
    <s v="Matteo Giolo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6"/>
    <s v="Stefan Zaugg"/>
    <x v="1"/>
    <x v="183"/>
    <x v="183"/>
    <n v="1"/>
    <s v="ADET"/>
    <n v="1"/>
    <n v="26"/>
    <n v="8"/>
    <n v="-22"/>
    <n v="0"/>
    <n v="0"/>
    <n v="368.07"/>
    <x v="65"/>
    <n v="368.07"/>
    <x v="7"/>
  </r>
  <r>
    <x v="6"/>
    <s v="Stefan Zaugg"/>
    <x v="1"/>
    <x v="203"/>
    <x v="203"/>
    <n v="0.5"/>
    <s v="ADET"/>
    <n v="0"/>
    <n v="100"/>
    <n v="41"/>
    <n v="-89.5"/>
    <n v="0"/>
    <n v="0"/>
    <n v="60"/>
    <x v="29"/>
    <n v="30"/>
    <x v="1"/>
  </r>
  <r>
    <x v="7"/>
    <s v="Stina Alm"/>
    <x v="1"/>
    <x v="203"/>
    <x v="203"/>
    <n v="1"/>
    <s v="ADET"/>
    <n v="0"/>
    <n v="100"/>
    <n v="41"/>
    <n v="-89.5"/>
    <n v="0"/>
    <n v="0"/>
    <n v="60"/>
    <x v="29"/>
    <n v="60"/>
    <x v="1"/>
  </r>
  <r>
    <x v="5"/>
    <s v="Matteo Giolo"/>
    <x v="1"/>
    <x v="243"/>
    <x v="243"/>
    <n v="0.71000000000000008"/>
    <s v="ADET"/>
    <n v="0"/>
    <n v="20"/>
    <n v="116.6640000000002"/>
    <n v="-11.16"/>
    <n v="0"/>
    <n v="0"/>
    <n v="185"/>
    <x v="2"/>
    <n v="131.35000000000002"/>
    <x v="1"/>
  </r>
  <r>
    <x v="5"/>
    <s v="Matteo Giolo"/>
    <x v="1"/>
    <x v="256"/>
    <x v="256"/>
    <n v="2"/>
    <s v="ADET"/>
    <n v="0"/>
    <n v="228"/>
    <n v="0"/>
    <n v="-186"/>
    <n v="0"/>
    <n v="0"/>
    <n v="6"/>
    <x v="18"/>
    <n v="12"/>
    <x v="1"/>
  </r>
  <r>
    <x v="1"/>
    <s v="Laurent MONTAGNER"/>
    <x v="1"/>
    <x v="256"/>
    <x v="256"/>
    <n v="2"/>
    <s v="ADET"/>
    <n v="0"/>
    <n v="228"/>
    <n v="0"/>
    <n v="-186"/>
    <n v="0"/>
    <n v="0"/>
    <n v="6"/>
    <x v="18"/>
    <n v="12"/>
    <x v="1"/>
  </r>
  <r>
    <x v="17"/>
    <s v="Soner Kayıkçı"/>
    <x v="1"/>
    <x v="123"/>
    <x v="123"/>
    <n v="1"/>
    <s v="ADET"/>
    <n v="0"/>
    <n v="87"/>
    <n v="50.899999999999977"/>
    <n v="-42.900000000000006"/>
    <n v="0"/>
    <n v="0"/>
    <n v="122.09"/>
    <x v="11"/>
    <n v="122.09"/>
    <x v="1"/>
  </r>
  <r>
    <x v="18"/>
    <s v="Stina Alm"/>
    <x v="1"/>
    <x v="124"/>
    <x v="124"/>
    <n v="2"/>
    <s v="ADET"/>
    <n v="0"/>
    <n v="222"/>
    <n v="90"/>
    <n v="-184"/>
    <n v="0"/>
    <n v="0"/>
    <n v="4"/>
    <x v="29"/>
    <n v="8"/>
    <x v="7"/>
  </r>
  <r>
    <x v="18"/>
    <s v="Stina Alm"/>
    <x v="1"/>
    <x v="126"/>
    <x v="126"/>
    <n v="4"/>
    <s v="ADET"/>
    <n v="0"/>
    <n v="1000"/>
    <n v="0"/>
    <n v="-964"/>
    <n v="0"/>
    <n v="0"/>
    <n v="1.2"/>
    <x v="2"/>
    <n v="4.8"/>
    <x v="1"/>
  </r>
  <r>
    <x v="19"/>
    <s v="Laurent MONTAGNER"/>
    <x v="1"/>
    <x v="126"/>
    <x v="126"/>
    <n v="4"/>
    <s v="ADET"/>
    <n v="0"/>
    <n v="1000"/>
    <n v="0"/>
    <n v="-964"/>
    <n v="0"/>
    <n v="0"/>
    <n v="1.2"/>
    <x v="2"/>
    <n v="4.8"/>
    <x v="1"/>
  </r>
  <r>
    <x v="18"/>
    <s v="Stina Alm"/>
    <x v="1"/>
    <x v="127"/>
    <x v="127"/>
    <n v="3.2"/>
    <s v="ADET"/>
    <n v="0"/>
    <n v="14"/>
    <n v="6.7999999999999972"/>
    <n v="7.7000000000000028"/>
    <n v="12"/>
    <n v="2532.1450000000009"/>
    <n v="328.85"/>
    <x v="47"/>
    <n v="1052.3200000000002"/>
    <x v="3"/>
  </r>
  <r>
    <x v="19"/>
    <s v="Laurent MONTAGNER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18"/>
    <s v="Stina Alm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17"/>
    <s v="Soner Kayıkçı"/>
    <x v="1"/>
    <x v="128"/>
    <x v="128"/>
    <n v="1"/>
    <s v="ADET"/>
    <n v="0"/>
    <n v="0"/>
    <n v="4"/>
    <n v="0"/>
    <n v="20"/>
    <n v="0"/>
    <n v="28000"/>
    <x v="48"/>
    <n v="28000"/>
    <x v="7"/>
  </r>
  <r>
    <x v="16"/>
    <s v="Laurent MONTAGNER"/>
    <x v="1"/>
    <x v="128"/>
    <x v="128"/>
    <n v="1"/>
    <s v="ADET"/>
    <n v="0"/>
    <n v="0"/>
    <n v="4"/>
    <n v="0"/>
    <n v="20"/>
    <n v="0"/>
    <n v="28000"/>
    <x v="48"/>
    <n v="28000"/>
    <x v="7"/>
  </r>
  <r>
    <x v="19"/>
    <s v="Laurent MONTAGNER"/>
    <x v="1"/>
    <x v="128"/>
    <x v="128"/>
    <n v="1"/>
    <s v="ADET"/>
    <n v="0"/>
    <n v="0"/>
    <n v="4"/>
    <n v="0"/>
    <n v="20"/>
    <n v="0"/>
    <n v="28000"/>
    <x v="48"/>
    <n v="28000"/>
    <x v="7"/>
  </r>
  <r>
    <x v="18"/>
    <s v="Stina Alm"/>
    <x v="1"/>
    <x v="160"/>
    <x v="160"/>
    <n v="6"/>
    <s v="ADET"/>
    <n v="0"/>
    <n v="39"/>
    <n v="36"/>
    <n v="63"/>
    <n v="0"/>
    <n v="6615"/>
    <n v="105"/>
    <x v="58"/>
    <n v="630"/>
    <x v="4"/>
  </r>
  <r>
    <x v="16"/>
    <s v="Laurent MONTAGNER"/>
    <x v="1"/>
    <x v="160"/>
    <x v="160"/>
    <n v="5"/>
    <s v="ADET"/>
    <n v="0"/>
    <n v="39"/>
    <n v="36"/>
    <n v="63"/>
    <n v="0"/>
    <n v="6615"/>
    <n v="105"/>
    <x v="58"/>
    <n v="525"/>
    <x v="4"/>
  </r>
  <r>
    <x v="17"/>
    <s v="Soner Kayıkçı"/>
    <x v="1"/>
    <x v="160"/>
    <x v="160"/>
    <n v="5"/>
    <s v="ADET"/>
    <n v="0"/>
    <n v="39"/>
    <n v="36"/>
    <n v="63"/>
    <n v="0"/>
    <n v="6615"/>
    <n v="105"/>
    <x v="58"/>
    <n v="525"/>
    <x v="4"/>
  </r>
  <r>
    <x v="18"/>
    <s v="Stina Alm"/>
    <x v="1"/>
    <x v="161"/>
    <x v="161"/>
    <n v="1"/>
    <s v="ADET"/>
    <n v="0"/>
    <n v="50"/>
    <n v="33"/>
    <n v="-15"/>
    <n v="0"/>
    <n v="0"/>
    <n v="72.599999999999994"/>
    <x v="2"/>
    <n v="72.599999999999994"/>
    <x v="4"/>
  </r>
  <r>
    <x v="17"/>
    <s v="Soner Kayıkçı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8"/>
    <s v="Stina Alm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19"/>
    <s v="Laurent MONTAGNER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7"/>
    <s v="Stina Alm"/>
    <x v="1"/>
    <x v="231"/>
    <x v="231"/>
    <n v="1"/>
    <s v="ADET"/>
    <n v="0"/>
    <n v="4"/>
    <n v="2"/>
    <n v="0"/>
    <n v="2"/>
    <n v="0"/>
    <n v="1667.14"/>
    <x v="20"/>
    <n v="1667.14"/>
    <x v="2"/>
  </r>
  <r>
    <x v="7"/>
    <s v="Stina Alm"/>
    <x v="1"/>
    <x v="232"/>
    <x v="232"/>
    <n v="3"/>
    <s v="ADET"/>
    <n v="0"/>
    <n v="38"/>
    <n v="25"/>
    <n v="-2"/>
    <n v="20"/>
    <n v="0"/>
    <n v="245"/>
    <x v="12"/>
    <n v="735"/>
    <x v="4"/>
  </r>
  <r>
    <x v="1"/>
    <s v="Laurent MONTAGNER"/>
    <x v="1"/>
    <x v="244"/>
    <x v="244"/>
    <n v="1"/>
    <s v="ADET"/>
    <n v="0"/>
    <n v="114"/>
    <n v="0"/>
    <n v="-109"/>
    <n v="0"/>
    <n v="0"/>
    <n v="10"/>
    <x v="6"/>
    <n v="10"/>
    <x v="4"/>
  </r>
  <r>
    <x v="0"/>
    <s v="Matteo Giolo"/>
    <x v="1"/>
    <x v="245"/>
    <x v="245"/>
    <n v="1"/>
    <s v="ADET"/>
    <n v="0"/>
    <n v="4"/>
    <n v="22"/>
    <n v="-5"/>
    <n v="20"/>
    <n v="0"/>
    <n v="65"/>
    <x v="22"/>
    <n v="65"/>
    <x v="4"/>
  </r>
  <r>
    <x v="1"/>
    <s v="Laurent MONTAGNER"/>
    <x v="1"/>
    <x v="245"/>
    <x v="245"/>
    <n v="1"/>
    <s v="ADET"/>
    <n v="0"/>
    <n v="4"/>
    <n v="22"/>
    <n v="-5"/>
    <n v="20"/>
    <n v="0"/>
    <n v="65"/>
    <x v="22"/>
    <n v="65"/>
    <x v="4"/>
  </r>
  <r>
    <x v="2"/>
    <s v="Jan Urbanek"/>
    <x v="1"/>
    <x v="245"/>
    <x v="245"/>
    <n v="1"/>
    <s v="ADET"/>
    <n v="0"/>
    <n v="4"/>
    <n v="22"/>
    <n v="-5"/>
    <n v="20"/>
    <n v="0"/>
    <n v="65"/>
    <x v="22"/>
    <n v="65"/>
    <x v="4"/>
  </r>
  <r>
    <x v="0"/>
    <s v="Matteo Giolo"/>
    <x v="1"/>
    <x v="152"/>
    <x v="152"/>
    <n v="1"/>
    <s v="ADET"/>
    <n v="0"/>
    <n v="10"/>
    <n v="12"/>
    <n v="-1"/>
    <n v="4"/>
    <n v="0"/>
    <n v="1600"/>
    <x v="56"/>
    <n v="1600"/>
    <x v="7"/>
  </r>
  <r>
    <x v="0"/>
    <s v="Matteo Giolo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0"/>
    <s v="Matteo Giolo"/>
    <x v="1"/>
    <x v="232"/>
    <x v="232"/>
    <n v="3"/>
    <s v="ADET"/>
    <n v="0"/>
    <n v="38"/>
    <n v="25"/>
    <n v="-2"/>
    <n v="20"/>
    <n v="0"/>
    <n v="245"/>
    <x v="12"/>
    <n v="735"/>
    <x v="4"/>
  </r>
  <r>
    <x v="1"/>
    <s v="Laurent MONTAGNER"/>
    <x v="1"/>
    <x v="232"/>
    <x v="232"/>
    <n v="3"/>
    <s v="ADET"/>
    <n v="0"/>
    <n v="38"/>
    <n v="25"/>
    <n v="-2"/>
    <n v="20"/>
    <n v="0"/>
    <n v="245"/>
    <x v="12"/>
    <n v="735"/>
    <x v="4"/>
  </r>
  <r>
    <x v="5"/>
    <s v="Matteo Giolo"/>
    <x v="1"/>
    <x v="244"/>
    <x v="244"/>
    <n v="1"/>
    <s v="ADET"/>
    <n v="0"/>
    <n v="114"/>
    <n v="0"/>
    <n v="-109"/>
    <n v="0"/>
    <n v="0"/>
    <n v="10"/>
    <x v="6"/>
    <n v="10"/>
    <x v="4"/>
  </r>
  <r>
    <x v="6"/>
    <s v="Stefan Zaugg"/>
    <x v="1"/>
    <x v="246"/>
    <x v="246"/>
    <n v="16"/>
    <s v="ADET"/>
    <n v="0"/>
    <n v="0"/>
    <n v="0"/>
    <n v="32"/>
    <n v="0"/>
    <n v="14.4"/>
    <n v="0.45"/>
    <x v="55"/>
    <n v="7.2"/>
    <x v="1"/>
  </r>
  <r>
    <x v="18"/>
    <s v="Stina Alm"/>
    <x v="1"/>
    <x v="150"/>
    <x v="150"/>
    <n v="2"/>
    <s v="ADET"/>
    <n v="0"/>
    <n v="69"/>
    <n v="22"/>
    <n v="-38"/>
    <n v="0"/>
    <n v="0"/>
    <n v="640"/>
    <x v="29"/>
    <n v="1280"/>
    <x v="7"/>
  </r>
  <r>
    <x v="16"/>
    <s v="Laurent MONTAGNER"/>
    <x v="1"/>
    <x v="151"/>
    <x v="151"/>
    <n v="2"/>
    <s v="ADET"/>
    <n v="0"/>
    <n v="238"/>
    <n v="90"/>
    <n v="-200"/>
    <n v="0"/>
    <n v="0"/>
    <n v="4"/>
    <x v="29"/>
    <n v="8"/>
    <x v="7"/>
  </r>
  <r>
    <x v="17"/>
    <s v="Soner Kayıkçı"/>
    <x v="1"/>
    <x v="151"/>
    <x v="151"/>
    <n v="2"/>
    <s v="ADET"/>
    <n v="0"/>
    <n v="238"/>
    <n v="90"/>
    <n v="-200"/>
    <n v="0"/>
    <n v="0"/>
    <n v="4"/>
    <x v="29"/>
    <n v="8"/>
    <x v="7"/>
  </r>
  <r>
    <x v="19"/>
    <s v="Laurent MONTAGNER"/>
    <x v="1"/>
    <x v="151"/>
    <x v="151"/>
    <n v="2"/>
    <s v="ADET"/>
    <n v="0"/>
    <n v="238"/>
    <n v="90"/>
    <n v="-200"/>
    <n v="0"/>
    <n v="0"/>
    <n v="4"/>
    <x v="29"/>
    <n v="8"/>
    <x v="7"/>
  </r>
  <r>
    <x v="18"/>
    <s v="Stina Alm"/>
    <x v="1"/>
    <x v="152"/>
    <x v="152"/>
    <n v="1"/>
    <s v="ADET"/>
    <n v="0"/>
    <n v="10"/>
    <n v="12"/>
    <n v="-1"/>
    <n v="4"/>
    <n v="0"/>
    <n v="1600"/>
    <x v="56"/>
    <n v="1600"/>
    <x v="7"/>
  </r>
  <r>
    <x v="17"/>
    <s v="Soner Kayıkçı"/>
    <x v="1"/>
    <x v="152"/>
    <x v="152"/>
    <n v="1"/>
    <s v="ADET"/>
    <n v="0"/>
    <n v="10"/>
    <n v="12"/>
    <n v="-1"/>
    <n v="4"/>
    <n v="0"/>
    <n v="1600"/>
    <x v="56"/>
    <n v="1600"/>
    <x v="7"/>
  </r>
  <r>
    <x v="17"/>
    <s v="Soner Kayıkçı"/>
    <x v="1"/>
    <x v="53"/>
    <x v="53"/>
    <n v="4"/>
    <s v="KG"/>
    <n v="0"/>
    <n v="66"/>
    <n v="36.349999999999952"/>
    <n v="-17.090000000000018"/>
    <n v="0"/>
    <n v="0"/>
    <n v="129.63"/>
    <x v="2"/>
    <n v="518.52"/>
    <x v="3"/>
  </r>
  <r>
    <x v="6"/>
    <s v="Stefan Zaugg"/>
    <x v="1"/>
    <x v="165"/>
    <x v="165"/>
    <n v="1"/>
    <s v="ADET"/>
    <n v="1"/>
    <n v="1"/>
    <n v="6"/>
    <n v="2"/>
    <n v="0"/>
    <n v="16849.34"/>
    <n v="8424.67"/>
    <x v="3"/>
    <n v="8424.67"/>
    <x v="2"/>
  </r>
  <r>
    <x v="5"/>
    <s v="Matteo Giolo"/>
    <x v="1"/>
    <x v="176"/>
    <x v="176"/>
    <n v="1"/>
    <s v="ADET"/>
    <n v="0"/>
    <n v="9"/>
    <n v="8"/>
    <n v="-1"/>
    <n v="5"/>
    <n v="0"/>
    <n v="1200"/>
    <x v="56"/>
    <n v="1200"/>
    <x v="4"/>
  </r>
  <r>
    <x v="5"/>
    <s v="Matteo Giolo"/>
    <x v="1"/>
    <x v="177"/>
    <x v="177"/>
    <n v="15"/>
    <s v="M2"/>
    <n v="0"/>
    <n v="35.700000000000003"/>
    <n v="9.1250000000001279"/>
    <n v="-44.859999999999985"/>
    <n v="95.16"/>
    <n v="0"/>
    <n v="300.55"/>
    <x v="61"/>
    <n v="4508.25"/>
    <x v="8"/>
  </r>
  <r>
    <x v="5"/>
    <s v="Matteo Giolo"/>
    <x v="1"/>
    <x v="164"/>
    <x v="164"/>
    <n v="26"/>
    <s v="ADET"/>
    <n v="0"/>
    <n v="2700"/>
    <n v="0"/>
    <n v="-2314"/>
    <n v="0"/>
    <n v="0"/>
    <n v="1.55"/>
    <x v="29"/>
    <n v="40.300000000000004"/>
    <x v="7"/>
  </r>
  <r>
    <x v="5"/>
    <s v="Matteo Giolo"/>
    <x v="1"/>
    <x v="257"/>
    <x v="257"/>
    <n v="2.19"/>
    <s v="ADET"/>
    <n v="0"/>
    <n v="75"/>
    <n v="42.700000000000159"/>
    <n v="-48.04"/>
    <n v="0"/>
    <n v="0"/>
    <n v="15"/>
    <x v="2"/>
    <n v="32.85"/>
    <x v="1"/>
  </r>
  <r>
    <x v="18"/>
    <s v="Stina Alm"/>
    <x v="1"/>
    <x v="55"/>
    <x v="55"/>
    <n v="8"/>
    <s v="ADET"/>
    <n v="0"/>
    <n v="250"/>
    <n v="3"/>
    <n v="-166"/>
    <n v="0"/>
    <n v="0"/>
    <n v="2"/>
    <x v="6"/>
    <n v="16"/>
    <x v="1"/>
  </r>
  <r>
    <x v="17"/>
    <s v="Soner Kayıkçı"/>
    <x v="1"/>
    <x v="55"/>
    <x v="55"/>
    <n v="2"/>
    <s v="ADET"/>
    <n v="0"/>
    <n v="250"/>
    <n v="3"/>
    <n v="-166"/>
    <n v="0"/>
    <n v="0"/>
    <n v="2"/>
    <x v="6"/>
    <n v="4"/>
    <x v="1"/>
  </r>
  <r>
    <x v="18"/>
    <s v="Stina Alm"/>
    <x v="1"/>
    <x v="148"/>
    <x v="148"/>
    <n v="16"/>
    <s v="ADET"/>
    <n v="0"/>
    <n v="250"/>
    <n v="835"/>
    <n v="-134"/>
    <n v="0"/>
    <n v="0"/>
    <n v="1.58"/>
    <x v="5"/>
    <n v="25.28"/>
    <x v="1"/>
  </r>
  <r>
    <x v="7"/>
    <s v="Stina Alm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4"/>
    <s v="Jan Urbanek"/>
    <x v="1"/>
    <x v="240"/>
    <x v="240"/>
    <n v="6"/>
    <s v="ADET"/>
    <n v="0"/>
    <n v="85"/>
    <n v="34"/>
    <n v="-18"/>
    <n v="40"/>
    <n v="0"/>
    <n v="74"/>
    <x v="12"/>
    <n v="444"/>
    <x v="4"/>
  </r>
  <r>
    <x v="8"/>
    <s v="Jan Urbanek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8"/>
    <s v="Jan Urbanek"/>
    <x v="1"/>
    <x v="242"/>
    <x v="242"/>
    <n v="1"/>
    <s v="ADET"/>
    <n v="0"/>
    <n v="16"/>
    <n v="8"/>
    <n v="-3"/>
    <n v="0"/>
    <n v="0"/>
    <n v="224.46"/>
    <x v="23"/>
    <n v="224.46"/>
    <x v="7"/>
  </r>
  <r>
    <x v="5"/>
    <s v="Matteo Giolo"/>
    <x v="1"/>
    <x v="180"/>
    <x v="180"/>
    <n v="50"/>
    <s v="METRE"/>
    <n v="0"/>
    <n v="0"/>
    <n v="1804.0000000000018"/>
    <n v="300"/>
    <n v="0"/>
    <n v="2904"/>
    <n v="9.68"/>
    <x v="63"/>
    <n v="484"/>
    <x v="8"/>
  </r>
  <r>
    <x v="5"/>
    <s v="Matteo Giolo"/>
    <x v="1"/>
    <x v="181"/>
    <x v="181"/>
    <n v="9.6300000000000008"/>
    <s v="KG"/>
    <n v="0"/>
    <n v="0"/>
    <n v="260.61000000000013"/>
    <n v="97.560000000000016"/>
    <n v="0"/>
    <n v="13285.720800000003"/>
    <n v="136.18"/>
    <x v="64"/>
    <n v="1311.4134000000001"/>
    <x v="3"/>
  </r>
  <r>
    <x v="7"/>
    <s v="Stina Alm"/>
    <x v="1"/>
    <x v="240"/>
    <x v="240"/>
    <n v="5"/>
    <s v="ADET"/>
    <n v="0"/>
    <n v="85"/>
    <n v="34"/>
    <n v="-18"/>
    <n v="40"/>
    <n v="0"/>
    <n v="74"/>
    <x v="12"/>
    <n v="370"/>
    <x v="4"/>
  </r>
  <r>
    <x v="7"/>
    <s v="Stina Alm"/>
    <x v="1"/>
    <x v="242"/>
    <x v="242"/>
    <n v="1"/>
    <s v="ADET"/>
    <n v="0"/>
    <n v="16"/>
    <n v="8"/>
    <n v="-3"/>
    <n v="0"/>
    <n v="0"/>
    <n v="224.46"/>
    <x v="23"/>
    <n v="224.46"/>
    <x v="7"/>
  </r>
  <r>
    <x v="1"/>
    <s v="Laurent MONTAGNER"/>
    <x v="1"/>
    <x v="240"/>
    <x v="240"/>
    <n v="6"/>
    <s v="ADET"/>
    <n v="0"/>
    <n v="85"/>
    <n v="34"/>
    <n v="-18"/>
    <n v="40"/>
    <n v="0"/>
    <n v="74"/>
    <x v="12"/>
    <n v="444"/>
    <x v="4"/>
  </r>
  <r>
    <x v="5"/>
    <s v="Matteo Giolo"/>
    <x v="1"/>
    <x v="241"/>
    <x v="241"/>
    <n v="0.44999999999999996"/>
    <s v="METRE"/>
    <n v="0"/>
    <n v="200"/>
    <n v="1.1368683772161603E-13"/>
    <n v="-196.15"/>
    <n v="0"/>
    <n v="0"/>
    <n v="2.89"/>
    <x v="23"/>
    <n v="1.3005"/>
    <x v="7"/>
  </r>
  <r>
    <x v="0"/>
    <s v="Matteo Giolo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"/>
    <s v="Laurent MONTAGNER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0"/>
    <s v="Matteo Giolo"/>
    <x v="1"/>
    <x v="242"/>
    <x v="242"/>
    <n v="1"/>
    <s v="ADET"/>
    <n v="0"/>
    <n v="16"/>
    <n v="8"/>
    <n v="-3"/>
    <n v="0"/>
    <n v="0"/>
    <n v="224.46"/>
    <x v="23"/>
    <n v="224.46"/>
    <x v="7"/>
  </r>
  <r>
    <x v="18"/>
    <s v="Stina Alm"/>
    <x v="1"/>
    <x v="174"/>
    <x v="174"/>
    <n v="2"/>
    <s v="ADET"/>
    <n v="0"/>
    <n v="22"/>
    <n v="18"/>
    <n v="-6"/>
    <n v="10"/>
    <n v="0"/>
    <n v="400"/>
    <x v="56"/>
    <n v="800"/>
    <x v="7"/>
  </r>
  <r>
    <x v="18"/>
    <s v="Stina Alm"/>
    <x v="1"/>
    <x v="66"/>
    <x v="66"/>
    <n v="1"/>
    <s v="ADET"/>
    <n v="0"/>
    <n v="13"/>
    <n v="6"/>
    <n v="0"/>
    <n v="0"/>
    <n v="0"/>
    <n v="1145.83"/>
    <x v="16"/>
    <n v="1145.83"/>
    <x v="2"/>
  </r>
  <r>
    <x v="0"/>
    <s v="Matteo Giolo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8"/>
    <s v="Jan Urbanek"/>
    <x v="1"/>
    <x v="258"/>
    <x v="258"/>
    <n v="15"/>
    <s v="ADET"/>
    <n v="0"/>
    <n v="31"/>
    <n v="20"/>
    <n v="14"/>
    <n v="0"/>
    <n v="1225"/>
    <n v="87.5"/>
    <x v="1"/>
    <n v="1312.5"/>
    <x v="1"/>
  </r>
  <r>
    <x v="4"/>
    <s v="Jan Urbanek"/>
    <x v="1"/>
    <x v="71"/>
    <x v="71"/>
    <n v="2"/>
    <s v="ADET"/>
    <n v="0"/>
    <n v="40"/>
    <n v="18"/>
    <n v="-14"/>
    <n v="0"/>
    <n v="0"/>
    <n v="55"/>
    <x v="23"/>
    <n v="110"/>
    <x v="7"/>
  </r>
  <r>
    <x v="8"/>
    <s v="Jan Urbanek"/>
    <x v="1"/>
    <x v="166"/>
    <x v="166"/>
    <n v="1"/>
    <s v="ADET"/>
    <n v="0"/>
    <n v="52"/>
    <n v="2"/>
    <n v="-33"/>
    <n v="0"/>
    <n v="0"/>
    <n v="34"/>
    <x v="2"/>
    <n v="34"/>
    <x v="4"/>
  </r>
  <r>
    <x v="7"/>
    <s v="Stina Alm"/>
    <x v="1"/>
    <x v="67"/>
    <x v="67"/>
    <n v="5.5"/>
    <s v="METRE"/>
    <n v="0"/>
    <n v="200"/>
    <n v="39.999999999999773"/>
    <n v="-58.699999999999989"/>
    <n v="0"/>
    <n v="0"/>
    <n v="22.5"/>
    <x v="17"/>
    <n v="123.75"/>
    <x v="4"/>
  </r>
  <r>
    <x v="0"/>
    <s v="Matteo Giolo"/>
    <x v="1"/>
    <x v="71"/>
    <x v="71"/>
    <n v="2"/>
    <s v="ADET"/>
    <n v="0"/>
    <n v="40"/>
    <n v="18"/>
    <n v="-14"/>
    <n v="0"/>
    <n v="0"/>
    <n v="55"/>
    <x v="23"/>
    <n v="110"/>
    <x v="7"/>
  </r>
  <r>
    <x v="6"/>
    <s v="Stefan Zaugg"/>
    <x v="1"/>
    <x v="166"/>
    <x v="166"/>
    <n v="1"/>
    <s v="ADET"/>
    <n v="0"/>
    <n v="52"/>
    <n v="2"/>
    <n v="-33"/>
    <n v="0"/>
    <n v="0"/>
    <n v="34"/>
    <x v="2"/>
    <n v="34"/>
    <x v="4"/>
  </r>
  <r>
    <x v="8"/>
    <s v="Jan Urbanek"/>
    <x v="1"/>
    <x v="189"/>
    <x v="189"/>
    <n v="1"/>
    <s v="ADET"/>
    <n v="0"/>
    <n v="4"/>
    <n v="0"/>
    <n v="-1"/>
    <n v="0"/>
    <n v="0"/>
    <n v="3899.59"/>
    <x v="67"/>
    <n v="3899.59"/>
    <x v="2"/>
  </r>
  <r>
    <x v="1"/>
    <s v="Laurent MONTAGNER"/>
    <x v="1"/>
    <x v="166"/>
    <x v="166"/>
    <n v="1"/>
    <s v="ADET"/>
    <n v="0"/>
    <n v="52"/>
    <n v="2"/>
    <n v="-33"/>
    <n v="0"/>
    <n v="0"/>
    <n v="34"/>
    <x v="2"/>
    <n v="34"/>
    <x v="4"/>
  </r>
  <r>
    <x v="7"/>
    <s v="Stina Alm"/>
    <x v="1"/>
    <x v="71"/>
    <x v="71"/>
    <n v="2"/>
    <s v="ADET"/>
    <n v="0"/>
    <n v="40"/>
    <n v="18"/>
    <n v="-14"/>
    <n v="0"/>
    <n v="0"/>
    <n v="55"/>
    <x v="23"/>
    <n v="110"/>
    <x v="7"/>
  </r>
  <r>
    <x v="4"/>
    <s v="Jan Urbanek"/>
    <x v="1"/>
    <x v="189"/>
    <x v="189"/>
    <n v="1"/>
    <s v="ADET"/>
    <n v="0"/>
    <n v="4"/>
    <n v="0"/>
    <n v="-1"/>
    <n v="0"/>
    <n v="0"/>
    <n v="3899.59"/>
    <x v="67"/>
    <n v="3899.59"/>
    <x v="2"/>
  </r>
  <r>
    <x v="4"/>
    <s v="Jan Urbanek"/>
    <x v="1"/>
    <x v="258"/>
    <x v="258"/>
    <n v="15"/>
    <s v="ADET"/>
    <n v="0"/>
    <n v="31"/>
    <n v="20"/>
    <n v="14"/>
    <n v="0"/>
    <n v="1225"/>
    <n v="87.5"/>
    <x v="1"/>
    <n v="1312.5"/>
    <x v="1"/>
  </r>
  <r>
    <x v="16"/>
    <s v="Laurent MONTAGNER"/>
    <x v="1"/>
    <x v="64"/>
    <x v="64"/>
    <n v="2.4"/>
    <s v="METRE"/>
    <n v="0"/>
    <n v="50"/>
    <n v="-1.4210854715202004E-14"/>
    <n v="-15.200000000000003"/>
    <n v="0"/>
    <n v="0"/>
    <n v="11"/>
    <x v="14"/>
    <n v="26.4"/>
    <x v="1"/>
  </r>
  <r>
    <x v="17"/>
    <s v="Soner Kayıkçı"/>
    <x v="1"/>
    <x v="64"/>
    <x v="64"/>
    <n v="2.7"/>
    <s v="METRE"/>
    <n v="0"/>
    <n v="50"/>
    <n v="-1.4210854715202004E-14"/>
    <n v="-15.200000000000003"/>
    <n v="0"/>
    <n v="0"/>
    <n v="11"/>
    <x v="14"/>
    <n v="29.700000000000003"/>
    <x v="1"/>
  </r>
  <r>
    <x v="19"/>
    <s v="Laurent MONTAGNER"/>
    <x v="1"/>
    <x v="65"/>
    <x v="65"/>
    <n v="81"/>
    <s v="ADET"/>
    <n v="0"/>
    <n v="2600"/>
    <n v="292"/>
    <n v="-2145"/>
    <n v="0"/>
    <n v="0"/>
    <n v="0.4"/>
    <x v="2"/>
    <n v="32.4"/>
    <x v="1"/>
  </r>
  <r>
    <x v="16"/>
    <s v="Laurent MONTAGNER"/>
    <x v="1"/>
    <x v="68"/>
    <x v="68"/>
    <n v="4"/>
    <s v="ADET"/>
    <n v="0"/>
    <n v="250"/>
    <n v="0"/>
    <n v="-218"/>
    <n v="0"/>
    <n v="0"/>
    <n v="5.74"/>
    <x v="5"/>
    <n v="22.96"/>
    <x v="1"/>
  </r>
  <r>
    <x v="17"/>
    <s v="Soner Kayıkçı"/>
    <x v="1"/>
    <x v="66"/>
    <x v="66"/>
    <n v="1"/>
    <s v="ADET"/>
    <n v="0"/>
    <n v="13"/>
    <n v="6"/>
    <n v="0"/>
    <n v="0"/>
    <n v="0"/>
    <n v="1145.83"/>
    <x v="16"/>
    <n v="1145.83"/>
    <x v="2"/>
  </r>
  <r>
    <x v="5"/>
    <s v="Matteo Giolo"/>
    <x v="1"/>
    <x v="166"/>
    <x v="166"/>
    <n v="1"/>
    <s v="ADET"/>
    <n v="0"/>
    <n v="52"/>
    <n v="2"/>
    <n v="-33"/>
    <n v="0"/>
    <n v="0"/>
    <n v="34"/>
    <x v="2"/>
    <n v="34"/>
    <x v="4"/>
  </r>
  <r>
    <x v="5"/>
    <s v="Matteo Giolo"/>
    <x v="1"/>
    <x v="72"/>
    <x v="72"/>
    <n v="1"/>
    <s v="ADET"/>
    <n v="0"/>
    <n v="0"/>
    <n v="246"/>
    <n v="7"/>
    <n v="0"/>
    <n v="37.94"/>
    <n v="5.42"/>
    <x v="1"/>
    <n v="5.42"/>
    <x v="1"/>
  </r>
  <r>
    <x v="17"/>
    <s v="Soner Kayıkçı"/>
    <x v="1"/>
    <x v="65"/>
    <x v="65"/>
    <n v="6"/>
    <s v="ADET"/>
    <n v="0"/>
    <n v="2600"/>
    <n v="292"/>
    <n v="-2145"/>
    <n v="0"/>
    <n v="0"/>
    <n v="0.4"/>
    <x v="2"/>
    <n v="2.4000000000000004"/>
    <x v="1"/>
  </r>
  <r>
    <x v="19"/>
    <s v="Laurent MONTAGNER"/>
    <x v="1"/>
    <x v="68"/>
    <x v="68"/>
    <n v="4"/>
    <s v="ADET"/>
    <n v="0"/>
    <n v="250"/>
    <n v="0"/>
    <n v="-218"/>
    <n v="0"/>
    <n v="0"/>
    <n v="5.74"/>
    <x v="5"/>
    <n v="22.96"/>
    <x v="1"/>
  </r>
  <r>
    <x v="17"/>
    <s v="Soner Kayıkçı"/>
    <x v="1"/>
    <x v="69"/>
    <x v="69"/>
    <n v="2"/>
    <s v="ADET"/>
    <n v="0"/>
    <n v="233"/>
    <n v="0"/>
    <n v="-225"/>
    <n v="0"/>
    <n v="0"/>
    <n v="7"/>
    <x v="14"/>
    <n v="14"/>
    <x v="1"/>
  </r>
  <r>
    <x v="16"/>
    <s v="Laurent MONTAGNER"/>
    <x v="1"/>
    <x v="66"/>
    <x v="66"/>
    <n v="1"/>
    <s v="ADET"/>
    <n v="0"/>
    <n v="13"/>
    <n v="6"/>
    <n v="0"/>
    <n v="0"/>
    <n v="0"/>
    <n v="1145.83"/>
    <x v="16"/>
    <n v="1145.83"/>
    <x v="2"/>
  </r>
  <r>
    <x v="7"/>
    <s v="Stina Alm"/>
    <x v="1"/>
    <x v="166"/>
    <x v="166"/>
    <n v="1"/>
    <s v="ADET"/>
    <n v="0"/>
    <n v="52"/>
    <n v="2"/>
    <n v="-33"/>
    <n v="0"/>
    <n v="0"/>
    <n v="34"/>
    <x v="2"/>
    <n v="34"/>
    <x v="4"/>
  </r>
  <r>
    <x v="16"/>
    <s v="Laurent MONTAGNER"/>
    <x v="1"/>
    <x v="166"/>
    <x v="166"/>
    <n v="1"/>
    <s v="ADET"/>
    <n v="0"/>
    <n v="52"/>
    <n v="2"/>
    <n v="-33"/>
    <n v="0"/>
    <n v="0"/>
    <n v="34"/>
    <x v="2"/>
    <n v="34"/>
    <x v="4"/>
  </r>
  <r>
    <x v="17"/>
    <s v="Soner Kayıkçı"/>
    <x v="1"/>
    <x v="166"/>
    <x v="166"/>
    <n v="1"/>
    <s v="ADET"/>
    <n v="0"/>
    <n v="52"/>
    <n v="2"/>
    <n v="-33"/>
    <n v="0"/>
    <n v="0"/>
    <n v="34"/>
    <x v="2"/>
    <n v="34"/>
    <x v="4"/>
  </r>
  <r>
    <x v="16"/>
    <s v="Laurent MONTAGNER"/>
    <x v="1"/>
    <x v="72"/>
    <x v="72"/>
    <n v="1"/>
    <s v="ADET"/>
    <n v="0"/>
    <n v="0"/>
    <n v="246"/>
    <n v="7"/>
    <n v="0"/>
    <n v="37.94"/>
    <n v="5.42"/>
    <x v="1"/>
    <n v="5.42"/>
    <x v="1"/>
  </r>
  <r>
    <x v="1"/>
    <s v="Laurent MONTAGNER"/>
    <x v="1"/>
    <x v="259"/>
    <x v="259"/>
    <n v="9"/>
    <s v="METRE"/>
    <n v="0"/>
    <n v="480"/>
    <n v="0"/>
    <n v="-408"/>
    <n v="0"/>
    <n v="0"/>
    <n v="4"/>
    <x v="6"/>
    <n v="36"/>
    <x v="8"/>
  </r>
  <r>
    <x v="5"/>
    <s v="Matteo Giolo"/>
    <x v="1"/>
    <x v="260"/>
    <x v="260"/>
    <n v="15"/>
    <s v="ADET"/>
    <n v="0"/>
    <n v="350"/>
    <n v="210"/>
    <n v="-245"/>
    <n v="0"/>
    <n v="0"/>
    <n v="4"/>
    <x v="14"/>
    <n v="60"/>
    <x v="1"/>
  </r>
  <r>
    <x v="18"/>
    <s v="Stina Alm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8"/>
    <s v="Stina Alm"/>
    <x v="1"/>
    <x v="91"/>
    <x v="91"/>
    <n v="0.2"/>
    <s v="KG"/>
    <n v="0"/>
    <n v="12"/>
    <n v="1.2000000000000011"/>
    <n v="-10.199999999999999"/>
    <n v="0"/>
    <n v="0"/>
    <n v="221.8"/>
    <x v="8"/>
    <n v="44.360000000000007"/>
    <x v="3"/>
  </r>
  <r>
    <x v="8"/>
    <s v="Jan Urbanek"/>
    <x v="1"/>
    <x v="87"/>
    <x v="87"/>
    <n v="1"/>
    <s v="ADET"/>
    <n v="0"/>
    <n v="13"/>
    <n v="1"/>
    <n v="24"/>
    <n v="0"/>
    <n v="1570.08"/>
    <n v="65.42"/>
    <x v="1"/>
    <n v="65.42"/>
    <x v="4"/>
  </r>
  <r>
    <x v="2"/>
    <s v="Jan Urbanek"/>
    <x v="1"/>
    <x v="89"/>
    <x v="89"/>
    <n v="1"/>
    <s v="ADET"/>
    <n v="0"/>
    <n v="8"/>
    <n v="8"/>
    <n v="-2"/>
    <n v="10"/>
    <n v="0"/>
    <n v="62.83"/>
    <x v="31"/>
    <n v="62.83"/>
    <x v="7"/>
  </r>
  <r>
    <x v="1"/>
    <s v="Laurent MONTAGNER"/>
    <x v="1"/>
    <x v="260"/>
    <x v="260"/>
    <n v="15"/>
    <s v="ADET"/>
    <n v="0"/>
    <n v="350"/>
    <n v="210"/>
    <n v="-245"/>
    <n v="0"/>
    <n v="0"/>
    <n v="4"/>
    <x v="14"/>
    <n v="60"/>
    <x v="1"/>
  </r>
  <r>
    <x v="5"/>
    <s v="Matteo Giolo"/>
    <x v="1"/>
    <x v="261"/>
    <x v="261"/>
    <n v="3"/>
    <s v="ADET"/>
    <n v="0"/>
    <n v="35"/>
    <n v="24"/>
    <n v="10"/>
    <n v="0"/>
    <n v="17500"/>
    <n v="1750"/>
    <x v="77"/>
    <n v="5250"/>
    <x v="7"/>
  </r>
  <r>
    <x v="0"/>
    <s v="Matteo Giolo"/>
    <x v="1"/>
    <x v="88"/>
    <x v="88"/>
    <n v="1"/>
    <s v="ADET"/>
    <n v="0"/>
    <n v="0"/>
    <n v="16"/>
    <n v="4"/>
    <n v="20"/>
    <n v="10905.68"/>
    <n v="2726.42"/>
    <x v="30"/>
    <n v="2726.42"/>
    <x v="6"/>
  </r>
  <r>
    <x v="0"/>
    <s v="Matteo Giolo"/>
    <x v="1"/>
    <x v="89"/>
    <x v="89"/>
    <n v="2"/>
    <s v="ADET"/>
    <n v="0"/>
    <n v="8"/>
    <n v="8"/>
    <n v="-2"/>
    <n v="10"/>
    <n v="0"/>
    <n v="62.83"/>
    <x v="31"/>
    <n v="125.66"/>
    <x v="7"/>
  </r>
  <r>
    <x v="0"/>
    <s v="Matteo Giolo"/>
    <x v="1"/>
    <x v="259"/>
    <x v="259"/>
    <n v="9"/>
    <s v="METRE"/>
    <n v="0"/>
    <n v="480"/>
    <n v="0"/>
    <n v="-408"/>
    <n v="0"/>
    <n v="0"/>
    <n v="4"/>
    <x v="6"/>
    <n v="36"/>
    <x v="8"/>
  </r>
  <r>
    <x v="13"/>
    <s v="Volkan Batkan"/>
    <x v="1"/>
    <x v="259"/>
    <x v="259"/>
    <n v="9"/>
    <s v="METRE"/>
    <n v="0"/>
    <n v="480"/>
    <n v="0"/>
    <n v="-408"/>
    <n v="0"/>
    <n v="0"/>
    <n v="4"/>
    <x v="6"/>
    <n v="36"/>
    <x v="8"/>
  </r>
  <r>
    <x v="13"/>
    <s v="Volkan Batkan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12"/>
    <s v="Stefan Zaugg"/>
    <x v="1"/>
    <x v="217"/>
    <x v="217"/>
    <n v="6"/>
    <s v="METRE"/>
    <n v="0"/>
    <n v="100"/>
    <n v="50"/>
    <n v="-16"/>
    <n v="0"/>
    <n v="0"/>
    <n v="46"/>
    <x v="70"/>
    <n v="276"/>
    <x v="7"/>
  </r>
  <r>
    <x v="9"/>
    <s v="Stefan Zaugg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12"/>
    <s v="Stefan Zaugg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13"/>
    <s v="Volkan Batkan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11"/>
    <s v="Jan Urbanek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9"/>
    <s v="Stefan Zaugg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12"/>
    <s v="Stefan Zaugg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17"/>
    <s v="Soner Kayıkçı"/>
    <x v="1"/>
    <x v="130"/>
    <x v="130"/>
    <n v="10"/>
    <s v="METRE"/>
    <n v="0"/>
    <n v="0"/>
    <n v="0"/>
    <n v="-220"/>
    <n v="400"/>
    <n v="0"/>
    <n v="5"/>
    <x v="49"/>
    <n v="50"/>
    <x v="1"/>
  </r>
  <r>
    <x v="16"/>
    <s v="Laurent MONTAGNER"/>
    <x v="1"/>
    <x v="130"/>
    <x v="130"/>
    <n v="10"/>
    <s v="METRE"/>
    <n v="0"/>
    <n v="0"/>
    <n v="0"/>
    <n v="-220"/>
    <n v="400"/>
    <n v="0"/>
    <n v="5"/>
    <x v="49"/>
    <n v="50"/>
    <x v="1"/>
  </r>
  <r>
    <x v="16"/>
    <s v="Laurent MONTAGNER"/>
    <x v="1"/>
    <x v="131"/>
    <x v="131"/>
    <n v="32"/>
    <s v="ADET"/>
    <n v="0"/>
    <n v="491"/>
    <n v="50"/>
    <n v="-133"/>
    <n v="0"/>
    <n v="0"/>
    <n v="10.65"/>
    <x v="5"/>
    <n v="340.8"/>
    <x v="1"/>
  </r>
  <r>
    <x v="17"/>
    <s v="Soner Kayıkçı"/>
    <x v="1"/>
    <x v="131"/>
    <x v="131"/>
    <n v="8"/>
    <s v="ADET"/>
    <n v="0"/>
    <n v="491"/>
    <n v="50"/>
    <n v="-133"/>
    <n v="0"/>
    <n v="0"/>
    <n v="10.65"/>
    <x v="5"/>
    <n v="85.2"/>
    <x v="1"/>
  </r>
  <r>
    <x v="7"/>
    <s v="Stina Alm"/>
    <x v="1"/>
    <x v="134"/>
    <x v="134"/>
    <n v="27"/>
    <s v="METRE"/>
    <n v="0"/>
    <n v="150"/>
    <n v="50"/>
    <n v="71"/>
    <n v="0"/>
    <n v="22720"/>
    <n v="320"/>
    <x v="21"/>
    <n v="8640"/>
    <x v="6"/>
  </r>
  <r>
    <x v="7"/>
    <s v="Stina Alm"/>
    <x v="1"/>
    <x v="141"/>
    <x v="141"/>
    <n v="2"/>
    <s v="ADET"/>
    <n v="0"/>
    <n v="23"/>
    <n v="22"/>
    <n v="-9"/>
    <n v="10"/>
    <n v="0"/>
    <n v="71.77"/>
    <x v="43"/>
    <n v="143.54"/>
    <x v="7"/>
  </r>
  <r>
    <x v="5"/>
    <s v="Matteo Giolo"/>
    <x v="1"/>
    <x v="135"/>
    <x v="135"/>
    <n v="1"/>
    <s v="ADET"/>
    <n v="0"/>
    <n v="7"/>
    <n v="4"/>
    <n v="5"/>
    <n v="0"/>
    <n v="11000"/>
    <n v="2200"/>
    <x v="52"/>
    <n v="2200"/>
    <x v="4"/>
  </r>
  <r>
    <x v="6"/>
    <s v="Stefan Zaugg"/>
    <x v="1"/>
    <x v="187"/>
    <x v="187"/>
    <n v="2"/>
    <s v="ADET"/>
    <n v="0"/>
    <n v="24"/>
    <n v="18.499999999999979"/>
    <n v="3.899999999999995"/>
    <n v="0"/>
    <n v="467.99999999999943"/>
    <n v="120"/>
    <x v="2"/>
    <n v="240"/>
    <x v="3"/>
  </r>
  <r>
    <x v="5"/>
    <s v="Matteo Giolo"/>
    <x v="1"/>
    <x v="134"/>
    <x v="134"/>
    <n v="29"/>
    <s v="METRE"/>
    <n v="0"/>
    <n v="150"/>
    <n v="50"/>
    <n v="71"/>
    <n v="0"/>
    <n v="22720"/>
    <n v="320"/>
    <x v="21"/>
    <n v="9280"/>
    <x v="6"/>
  </r>
  <r>
    <x v="0"/>
    <s v="Matteo Giolo"/>
    <x v="1"/>
    <x v="141"/>
    <x v="141"/>
    <n v="12"/>
    <s v="ADET"/>
    <n v="0"/>
    <n v="23"/>
    <n v="22"/>
    <n v="-9"/>
    <n v="10"/>
    <n v="0"/>
    <n v="71.77"/>
    <x v="43"/>
    <n v="861.24"/>
    <x v="7"/>
  </r>
  <r>
    <x v="7"/>
    <s v="Stina Alm"/>
    <x v="1"/>
    <x v="135"/>
    <x v="135"/>
    <n v="1"/>
    <s v="ADET"/>
    <n v="0"/>
    <n v="7"/>
    <n v="4"/>
    <n v="5"/>
    <n v="0"/>
    <n v="11000"/>
    <n v="2200"/>
    <x v="52"/>
    <n v="2200"/>
    <x v="4"/>
  </r>
  <r>
    <x v="1"/>
    <s v="Laurent MONTAGNER"/>
    <x v="1"/>
    <x v="262"/>
    <x v="262"/>
    <n v="2"/>
    <s v="ADET"/>
    <n v="2"/>
    <n v="6"/>
    <n v="4"/>
    <n v="0"/>
    <n v="0"/>
    <n v="0"/>
    <n v="260"/>
    <x v="14"/>
    <n v="520"/>
    <x v="1"/>
  </r>
  <r>
    <x v="1"/>
    <s v="Laurent MONTAGNER"/>
    <x v="1"/>
    <x v="250"/>
    <x v="250"/>
    <n v="0.1"/>
    <s v="METRE"/>
    <n v="0"/>
    <n v="50"/>
    <n v="-5.5511151231257827E-15"/>
    <n v="-47.386000000000003"/>
    <n v="0"/>
    <n v="0"/>
    <n v="10.61"/>
    <x v="75"/>
    <n v="1.0609999999999999"/>
    <x v="7"/>
  </r>
  <r>
    <x v="7"/>
    <s v="Stina Alm"/>
    <x v="1"/>
    <x v="250"/>
    <x v="250"/>
    <n v="0.1"/>
    <s v="METRE"/>
    <n v="0"/>
    <n v="50"/>
    <n v="-5.5511151231257827E-15"/>
    <n v="-47.386000000000003"/>
    <n v="0"/>
    <n v="0"/>
    <n v="10.61"/>
    <x v="75"/>
    <n v="1.0609999999999999"/>
    <x v="7"/>
  </r>
  <r>
    <x v="16"/>
    <s v="Laurent MONTAGNER"/>
    <x v="1"/>
    <x v="135"/>
    <x v="135"/>
    <n v="1"/>
    <s v="ADET"/>
    <n v="0"/>
    <n v="7"/>
    <n v="4"/>
    <n v="5"/>
    <n v="0"/>
    <n v="11000"/>
    <n v="2200"/>
    <x v="52"/>
    <n v="2200"/>
    <x v="4"/>
  </r>
  <r>
    <x v="17"/>
    <s v="Soner Kayıkçı"/>
    <x v="1"/>
    <x v="135"/>
    <x v="135"/>
    <n v="1"/>
    <s v="ADET"/>
    <n v="0"/>
    <n v="7"/>
    <n v="4"/>
    <n v="5"/>
    <n v="0"/>
    <n v="11000"/>
    <n v="2200"/>
    <x v="52"/>
    <n v="2200"/>
    <x v="4"/>
  </r>
  <r>
    <x v="16"/>
    <s v="Laurent MONTAGNER"/>
    <x v="1"/>
    <x v="262"/>
    <x v="262"/>
    <n v="2"/>
    <s v="ADET"/>
    <n v="0"/>
    <n v="6"/>
    <n v="4"/>
    <n v="0"/>
    <n v="0"/>
    <n v="0"/>
    <n v="260"/>
    <x v="14"/>
    <n v="520"/>
    <x v="1"/>
  </r>
  <r>
    <x v="5"/>
    <s v="Matteo Giolo"/>
    <x v="1"/>
    <x v="141"/>
    <x v="141"/>
    <n v="2"/>
    <s v="ADET"/>
    <n v="0"/>
    <n v="23"/>
    <n v="22"/>
    <n v="-9"/>
    <n v="10"/>
    <n v="0"/>
    <n v="71.77"/>
    <x v="43"/>
    <n v="143.54"/>
    <x v="7"/>
  </r>
  <r>
    <x v="1"/>
    <s v="Laurent MONTAGNER"/>
    <x v="1"/>
    <x v="187"/>
    <x v="187"/>
    <n v="2.2999999999999998"/>
    <s v="ADET"/>
    <n v="0"/>
    <n v="24"/>
    <n v="18.499999999999979"/>
    <n v="3.899999999999995"/>
    <n v="0"/>
    <n v="467.99999999999943"/>
    <n v="120"/>
    <x v="2"/>
    <n v="276"/>
    <x v="3"/>
  </r>
  <r>
    <x v="18"/>
    <s v="Stina Alm"/>
    <x v="1"/>
    <x v="165"/>
    <x v="165"/>
    <n v="1"/>
    <s v="ADET"/>
    <n v="0"/>
    <n v="1"/>
    <n v="6"/>
    <n v="2"/>
    <n v="0"/>
    <n v="16849.34"/>
    <n v="8424.67"/>
    <x v="3"/>
    <n v="8424.67"/>
    <x v="2"/>
  </r>
  <r>
    <x v="3"/>
    <s v="Jan Urbanek"/>
    <x v="1"/>
    <x v="164"/>
    <x v="164"/>
    <n v="14"/>
    <s v="ADET"/>
    <n v="0"/>
    <n v="2700"/>
    <n v="0"/>
    <n v="-2314"/>
    <n v="0"/>
    <n v="0"/>
    <n v="1.55"/>
    <x v="29"/>
    <n v="21.7"/>
    <x v="7"/>
  </r>
  <r>
    <x v="4"/>
    <s v="Jan Urbanek"/>
    <x v="1"/>
    <x v="164"/>
    <x v="164"/>
    <n v="14"/>
    <s v="ADET"/>
    <n v="0"/>
    <n v="2700"/>
    <n v="0"/>
    <n v="-2314"/>
    <n v="0"/>
    <n v="0"/>
    <n v="1.55"/>
    <x v="29"/>
    <n v="21.7"/>
    <x v="7"/>
  </r>
  <r>
    <x v="16"/>
    <s v="Laurent MONTAGNER"/>
    <x v="0"/>
    <x v="48"/>
    <x v="48"/>
    <n v="1"/>
    <s v="ADET"/>
    <n v="0"/>
    <n v="11"/>
    <n v="8"/>
    <n v="2"/>
    <n v="0"/>
    <n v="0"/>
    <m/>
    <x v="0"/>
    <m/>
    <x v="0"/>
  </r>
  <r>
    <x v="17"/>
    <s v="Soner Kayıkçı"/>
    <x v="1"/>
    <x v="49"/>
    <x v="49"/>
    <n v="1"/>
    <s v="ADET"/>
    <n v="0"/>
    <n v="25"/>
    <n v="18"/>
    <n v="-6"/>
    <n v="0"/>
    <n v="0"/>
    <n v="225"/>
    <x v="14"/>
    <n v="225"/>
    <x v="1"/>
  </r>
  <r>
    <x v="18"/>
    <s v="Stina Alm"/>
    <x v="1"/>
    <x v="52"/>
    <x v="52"/>
    <n v="30.519999999999996"/>
    <s v="KG"/>
    <n v="0"/>
    <n v="289.7"/>
    <n v="148.12000000000026"/>
    <n v="-230.76999999999987"/>
    <n v="289.7"/>
    <n v="0"/>
    <n v="96.37"/>
    <x v="8"/>
    <n v="2941.2123999999999"/>
    <x v="3"/>
  </r>
  <r>
    <x v="19"/>
    <s v="Laurent MONTAGNER"/>
    <x v="1"/>
    <x v="52"/>
    <x v="52"/>
    <n v="36.03"/>
    <s v="KG"/>
    <n v="36.03"/>
    <n v="289.7"/>
    <n v="148.12000000000026"/>
    <n v="-230.76999999999987"/>
    <n v="289.7"/>
    <n v="0"/>
    <n v="96.37"/>
    <x v="8"/>
    <n v="3472.2111000000004"/>
    <x v="3"/>
  </r>
  <r>
    <x v="2"/>
    <s v="Jan Urbanek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19"/>
    <s v="Laurent MONTAGNER"/>
    <x v="1"/>
    <x v="47"/>
    <x v="47"/>
    <n v="2"/>
    <s v="ADET"/>
    <n v="0"/>
    <n v="20"/>
    <n v="34"/>
    <n v="18"/>
    <n v="0"/>
    <n v="1476"/>
    <n v="82"/>
    <x v="19"/>
    <n v="164"/>
    <x v="5"/>
  </r>
  <r>
    <x v="19"/>
    <s v="Laurent MONTAGNER"/>
    <x v="0"/>
    <x v="48"/>
    <x v="48"/>
    <n v="1"/>
    <s v="ADET"/>
    <n v="1"/>
    <n v="11"/>
    <n v="8"/>
    <n v="2"/>
    <n v="0"/>
    <n v="0"/>
    <m/>
    <x v="0"/>
    <m/>
    <x v="0"/>
  </r>
  <r>
    <x v="19"/>
    <s v="Laurent MONTAGNER"/>
    <x v="1"/>
    <x v="49"/>
    <x v="49"/>
    <n v="1"/>
    <s v="ADET"/>
    <n v="0"/>
    <n v="25"/>
    <n v="18"/>
    <n v="-6"/>
    <n v="0"/>
    <n v="0"/>
    <n v="225"/>
    <x v="14"/>
    <n v="225"/>
    <x v="1"/>
  </r>
  <r>
    <x v="16"/>
    <s v="Laurent MONTAGNER"/>
    <x v="1"/>
    <x v="49"/>
    <x v="49"/>
    <n v="1"/>
    <s v="ADET"/>
    <n v="0"/>
    <n v="25"/>
    <n v="18"/>
    <n v="-6"/>
    <n v="0"/>
    <n v="0"/>
    <n v="225"/>
    <x v="14"/>
    <n v="225"/>
    <x v="1"/>
  </r>
  <r>
    <x v="17"/>
    <s v="Soner Kayıkçı"/>
    <x v="1"/>
    <x v="51"/>
    <x v="51"/>
    <n v="1"/>
    <s v="ADET"/>
    <n v="0"/>
    <n v="0"/>
    <n v="5"/>
    <n v="0"/>
    <n v="7"/>
    <n v="0"/>
    <n v="1491.67"/>
    <x v="20"/>
    <n v="1491.67"/>
    <x v="2"/>
  </r>
  <r>
    <x v="0"/>
    <s v="Matteo Giolo"/>
    <x v="1"/>
    <x v="176"/>
    <x v="176"/>
    <n v="1"/>
    <s v="ADET"/>
    <n v="0"/>
    <n v="9"/>
    <n v="8"/>
    <n v="-1"/>
    <n v="5"/>
    <n v="0"/>
    <n v="1200"/>
    <x v="56"/>
    <n v="1200"/>
    <x v="4"/>
  </r>
  <r>
    <x v="0"/>
    <s v="Matteo Giolo"/>
    <x v="1"/>
    <x v="178"/>
    <x v="178"/>
    <n v="12"/>
    <s v="ADET"/>
    <n v="0"/>
    <n v="0"/>
    <n v="0"/>
    <n v="124"/>
    <n v="0"/>
    <n v="217"/>
    <n v="1.75"/>
    <x v="2"/>
    <n v="21"/>
    <x v="1"/>
  </r>
  <r>
    <x v="0"/>
    <s v="Matteo Giolo"/>
    <x v="1"/>
    <x v="164"/>
    <x v="164"/>
    <n v="14"/>
    <s v="ADET"/>
    <n v="0"/>
    <n v="2700"/>
    <n v="0"/>
    <n v="-2314"/>
    <n v="0"/>
    <n v="0"/>
    <n v="1.55"/>
    <x v="29"/>
    <n v="21.7"/>
    <x v="7"/>
  </r>
  <r>
    <x v="19"/>
    <s v="Laurent MONTAGNER"/>
    <x v="1"/>
    <x v="148"/>
    <x v="148"/>
    <n v="8"/>
    <s v="ADET"/>
    <n v="0"/>
    <n v="250"/>
    <n v="835"/>
    <n v="-134"/>
    <n v="0"/>
    <n v="0"/>
    <n v="1.58"/>
    <x v="5"/>
    <n v="12.64"/>
    <x v="1"/>
  </r>
  <r>
    <x v="16"/>
    <s v="Laurent MONTAGNER"/>
    <x v="1"/>
    <x v="177"/>
    <x v="177"/>
    <n v="15"/>
    <s v="M2"/>
    <n v="0"/>
    <n v="35.700000000000003"/>
    <n v="9.1250000000001279"/>
    <n v="-44.859999999999985"/>
    <n v="95.16"/>
    <n v="0"/>
    <n v="300.55"/>
    <x v="61"/>
    <n v="4508.25"/>
    <x v="8"/>
  </r>
  <r>
    <x v="7"/>
    <s v="Stina Alm"/>
    <x v="1"/>
    <x v="165"/>
    <x v="165"/>
    <n v="1"/>
    <s v="ADET"/>
    <n v="0"/>
    <n v="1"/>
    <n v="6"/>
    <n v="2"/>
    <n v="0"/>
    <n v="16849.34"/>
    <n v="8424.67"/>
    <x v="3"/>
    <n v="8424.67"/>
    <x v="2"/>
  </r>
  <r>
    <x v="17"/>
    <s v="Soner Kayıkçı"/>
    <x v="1"/>
    <x v="60"/>
    <x v="60"/>
    <n v="1"/>
    <s v="ADET"/>
    <n v="0"/>
    <n v="6"/>
    <n v="10"/>
    <n v="7"/>
    <n v="0"/>
    <n v="12435.01"/>
    <n v="1776.43"/>
    <x v="3"/>
    <n v="1776.43"/>
    <x v="4"/>
  </r>
  <r>
    <x v="16"/>
    <s v="Laurent MONTAGNER"/>
    <x v="1"/>
    <x v="60"/>
    <x v="60"/>
    <n v="1"/>
    <s v="ADET"/>
    <n v="0"/>
    <n v="6"/>
    <n v="10"/>
    <n v="7"/>
    <n v="0"/>
    <n v="12435.01"/>
    <n v="1776.43"/>
    <x v="3"/>
    <n v="1776.43"/>
    <x v="4"/>
  </r>
  <r>
    <x v="17"/>
    <s v="Soner Kayıkçı"/>
    <x v="1"/>
    <x v="61"/>
    <x v="61"/>
    <n v="3"/>
    <s v="METRE"/>
    <n v="0"/>
    <n v="100"/>
    <n v="26"/>
    <n v="-85"/>
    <n v="0"/>
    <n v="0"/>
    <n v="49.1"/>
    <x v="23"/>
    <n v="147.30000000000001"/>
    <x v="7"/>
  </r>
  <r>
    <x v="17"/>
    <s v="Soner Kayıkçı"/>
    <x v="1"/>
    <x v="74"/>
    <x v="74"/>
    <n v="2"/>
    <s v="ADET"/>
    <n v="0"/>
    <n v="809"/>
    <n v="0"/>
    <n v="-768"/>
    <n v="0"/>
    <n v="0"/>
    <n v="2.4"/>
    <x v="2"/>
    <n v="4.8"/>
    <x v="1"/>
  </r>
  <r>
    <x v="2"/>
    <s v="Jan Urbanek"/>
    <x v="1"/>
    <x v="58"/>
    <x v="58"/>
    <n v="3.1"/>
    <s v="ADET"/>
    <n v="0"/>
    <n v="17"/>
    <n v="3.000000000000016"/>
    <n v="17.100000000000009"/>
    <n v="0"/>
    <n v="2493.6930000000016"/>
    <n v="145.83000000000001"/>
    <x v="1"/>
    <n v="452.07300000000004"/>
    <x v="3"/>
  </r>
  <r>
    <x v="8"/>
    <s v="Jan Urbanek"/>
    <x v="1"/>
    <x v="59"/>
    <x v="59"/>
    <n v="3.3"/>
    <s v="METRE"/>
    <n v="0"/>
    <n v="125"/>
    <n v="37.499999999999986"/>
    <n v="-44.100000000000023"/>
    <n v="0"/>
    <n v="0"/>
    <n v="44"/>
    <x v="17"/>
    <n v="145.19999999999999"/>
    <x v="4"/>
  </r>
  <r>
    <x v="8"/>
    <s v="Jan Urbanek"/>
    <x v="1"/>
    <x v="60"/>
    <x v="60"/>
    <n v="1"/>
    <s v="ADET"/>
    <n v="0"/>
    <n v="6"/>
    <n v="10"/>
    <n v="7"/>
    <n v="0"/>
    <n v="12435.01"/>
    <n v="1776.43"/>
    <x v="3"/>
    <n v="1776.43"/>
    <x v="4"/>
  </r>
  <r>
    <x v="8"/>
    <s v="Jan Urbanek"/>
    <x v="1"/>
    <x v="74"/>
    <x v="74"/>
    <n v="2"/>
    <s v="ADET"/>
    <n v="0"/>
    <n v="809"/>
    <n v="0"/>
    <n v="-768"/>
    <n v="0"/>
    <n v="0"/>
    <n v="2.4"/>
    <x v="2"/>
    <n v="4.8"/>
    <x v="1"/>
  </r>
  <r>
    <x v="7"/>
    <s v="Stina Alm"/>
    <x v="1"/>
    <x v="74"/>
    <x v="74"/>
    <n v="2"/>
    <s v="ADET"/>
    <n v="0"/>
    <n v="809"/>
    <n v="0"/>
    <n v="-768"/>
    <n v="0"/>
    <n v="0"/>
    <n v="2.4"/>
    <x v="2"/>
    <n v="4.8"/>
    <x v="1"/>
  </r>
  <r>
    <x v="7"/>
    <s v="Stina Alm"/>
    <x v="1"/>
    <x v="187"/>
    <x v="187"/>
    <n v="1.7"/>
    <s v="ADET"/>
    <n v="0"/>
    <n v="24"/>
    <n v="18.499999999999979"/>
    <n v="3.899999999999995"/>
    <n v="0"/>
    <n v="467.99999999999943"/>
    <n v="120"/>
    <x v="2"/>
    <n v="204"/>
    <x v="3"/>
  </r>
  <r>
    <x v="5"/>
    <s v="Matteo Giolo"/>
    <x v="1"/>
    <x v="188"/>
    <x v="188"/>
    <n v="1"/>
    <s v="ADET"/>
    <n v="0"/>
    <n v="11"/>
    <n v="3"/>
    <n v="-6"/>
    <n v="0"/>
    <n v="0"/>
    <n v="252"/>
    <x v="66"/>
    <n v="252"/>
    <x v="1"/>
  </r>
  <r>
    <x v="5"/>
    <s v="Matteo Giolo"/>
    <x v="1"/>
    <x v="262"/>
    <x v="262"/>
    <n v="4"/>
    <s v="ADET"/>
    <n v="0"/>
    <n v="6"/>
    <n v="4"/>
    <n v="0"/>
    <n v="0"/>
    <n v="0"/>
    <n v="260"/>
    <x v="14"/>
    <n v="1040"/>
    <x v="1"/>
  </r>
  <r>
    <x v="6"/>
    <s v="Stefan Zaugg"/>
    <x v="1"/>
    <x v="250"/>
    <x v="250"/>
    <n v="0.10200000000000001"/>
    <s v="METRE"/>
    <n v="0"/>
    <n v="50"/>
    <n v="-5.5511151231257827E-15"/>
    <n v="-47.386000000000003"/>
    <n v="0"/>
    <n v="0"/>
    <n v="10.61"/>
    <x v="75"/>
    <n v="1.08222"/>
    <x v="7"/>
  </r>
  <r>
    <x v="0"/>
    <s v="Matteo Giolo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5"/>
    <s v="Matteo Giolo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19"/>
    <s v="Laurent MONTAGNER"/>
    <x v="1"/>
    <x v="263"/>
    <x v="263"/>
    <n v="1"/>
    <s v="ADET"/>
    <n v="0"/>
    <n v="0"/>
    <n v="0"/>
    <n v="1"/>
    <n v="0"/>
    <n v="8250"/>
    <n v="8250"/>
    <x v="48"/>
    <n v="8250"/>
    <x v="7"/>
  </r>
  <r>
    <x v="16"/>
    <s v="Laurent MONTAGNER"/>
    <x v="1"/>
    <x v="134"/>
    <x v="134"/>
    <n v="29"/>
    <s v="METRE"/>
    <n v="0"/>
    <n v="150"/>
    <n v="50"/>
    <n v="71"/>
    <n v="0"/>
    <n v="22720"/>
    <n v="320"/>
    <x v="21"/>
    <n v="9280"/>
    <x v="6"/>
  </r>
  <r>
    <x v="16"/>
    <s v="Laurent MONTAGNER"/>
    <x v="1"/>
    <x v="187"/>
    <x v="187"/>
    <n v="2"/>
    <s v="ADET"/>
    <n v="0"/>
    <n v="24"/>
    <n v="18.499999999999979"/>
    <n v="3.899999999999995"/>
    <n v="0"/>
    <n v="467.99999999999943"/>
    <n v="120"/>
    <x v="2"/>
    <n v="240"/>
    <x v="3"/>
  </r>
  <r>
    <x v="13"/>
    <s v="Volkan Batkan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14"/>
    <s v="Matteo Giolo"/>
    <x v="1"/>
    <x v="219"/>
    <x v="219"/>
    <n v="3"/>
    <s v="M2"/>
    <n v="0"/>
    <n v="0"/>
    <n v="-1.4210854715202004E-14"/>
    <n v="52"/>
    <n v="0"/>
    <n v="28423.200000000001"/>
    <n v="546.6"/>
    <x v="71"/>
    <n v="1639.8000000000002"/>
    <x v="8"/>
  </r>
  <r>
    <x v="8"/>
    <s v="Jan Urbanek"/>
    <x v="1"/>
    <x v="217"/>
    <x v="217"/>
    <n v="6"/>
    <s v="METRE"/>
    <n v="0"/>
    <n v="100"/>
    <n v="50"/>
    <n v="-16"/>
    <n v="0"/>
    <n v="0"/>
    <n v="46"/>
    <x v="70"/>
    <n v="276"/>
    <x v="7"/>
  </r>
  <r>
    <x v="8"/>
    <s v="Jan Urbanek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14"/>
    <s v="Matteo Giolo"/>
    <x v="1"/>
    <x v="96"/>
    <x v="96"/>
    <n v="0.85000000000000009"/>
    <s v="ADET"/>
    <n v="0"/>
    <n v="5"/>
    <n v="0.29999999999999449"/>
    <n v="9.6499999999999986"/>
    <n v="0"/>
    <n v="15656.159999999998"/>
    <n v="1622.4"/>
    <x v="32"/>
    <n v="1379.0400000000002"/>
    <x v="3"/>
  </r>
  <r>
    <x v="14"/>
    <s v="Matteo Giolo"/>
    <x v="1"/>
    <x v="254"/>
    <x v="254"/>
    <n v="9"/>
    <s v="METRE"/>
    <n v="0"/>
    <n v="0"/>
    <n v="344"/>
    <n v="54"/>
    <n v="0"/>
    <n v="1102.68"/>
    <n v="20.420000000000002"/>
    <x v="61"/>
    <n v="183.78000000000003"/>
    <x v="8"/>
  </r>
  <r>
    <x v="9"/>
    <s v="Stefan Zaugg"/>
    <x v="1"/>
    <x v="217"/>
    <x v="217"/>
    <n v="6"/>
    <s v="METRE"/>
    <n v="0"/>
    <n v="100"/>
    <n v="50"/>
    <n v="-16"/>
    <n v="0"/>
    <n v="0"/>
    <n v="46"/>
    <x v="70"/>
    <n v="276"/>
    <x v="7"/>
  </r>
  <r>
    <x v="13"/>
    <s v="Volkan Batkan"/>
    <x v="1"/>
    <x v="217"/>
    <x v="217"/>
    <n v="6"/>
    <s v="METRE"/>
    <n v="0"/>
    <n v="100"/>
    <n v="50"/>
    <n v="-16"/>
    <n v="0"/>
    <n v="0"/>
    <n v="46"/>
    <x v="70"/>
    <n v="276"/>
    <x v="7"/>
  </r>
  <r>
    <x v="10"/>
    <s v="Murat Taşdemir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4"/>
    <s v="Jan Urbanek"/>
    <x v="1"/>
    <x v="264"/>
    <x v="264"/>
    <n v="2"/>
    <s v="ADET"/>
    <n v="0"/>
    <n v="3"/>
    <n v="0"/>
    <n v="13"/>
    <n v="0"/>
    <n v="702"/>
    <n v="54"/>
    <x v="14"/>
    <n v="108"/>
    <x v="1"/>
  </r>
  <r>
    <x v="3"/>
    <s v="Jan Urbanek"/>
    <x v="1"/>
    <x v="264"/>
    <x v="264"/>
    <n v="2"/>
    <s v="ADET"/>
    <n v="0"/>
    <n v="3"/>
    <n v="0"/>
    <n v="13"/>
    <n v="0"/>
    <n v="702"/>
    <n v="54"/>
    <x v="14"/>
    <n v="108"/>
    <x v="1"/>
  </r>
  <r>
    <x v="3"/>
    <s v="Jan Urbanek"/>
    <x v="1"/>
    <x v="265"/>
    <x v="265"/>
    <n v="1"/>
    <s v="ADET"/>
    <n v="0"/>
    <n v="14"/>
    <n v="8"/>
    <n v="-1"/>
    <n v="0"/>
    <n v="0"/>
    <n v="270"/>
    <x v="29"/>
    <n v="270"/>
    <x v="7"/>
  </r>
  <r>
    <x v="4"/>
    <s v="Jan Urbanek"/>
    <x v="1"/>
    <x v="265"/>
    <x v="265"/>
    <n v="1"/>
    <s v="ADET"/>
    <n v="0"/>
    <n v="14"/>
    <n v="8"/>
    <n v="-1"/>
    <n v="0"/>
    <n v="0"/>
    <n v="270"/>
    <x v="29"/>
    <n v="270"/>
    <x v="7"/>
  </r>
  <r>
    <x v="4"/>
    <s v="Jan Urbanek"/>
    <x v="1"/>
    <x v="266"/>
    <x v="266"/>
    <n v="6"/>
    <s v="ADET"/>
    <n v="0"/>
    <n v="0"/>
    <n v="0"/>
    <n v="56"/>
    <n v="0"/>
    <n v="0"/>
    <n v="0"/>
    <x v="6"/>
    <n v="0"/>
    <x v="1"/>
  </r>
  <r>
    <x v="3"/>
    <s v="Jan Urbanek"/>
    <x v="1"/>
    <x v="266"/>
    <x v="266"/>
    <n v="4"/>
    <s v="ADET"/>
    <n v="0"/>
    <n v="0"/>
    <n v="0"/>
    <n v="56"/>
    <n v="0"/>
    <n v="0"/>
    <n v="0"/>
    <x v="6"/>
    <n v="0"/>
    <x v="1"/>
  </r>
  <r>
    <x v="4"/>
    <s v="Jan Urbanek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4"/>
    <s v="Jan Urbanek"/>
    <x v="1"/>
    <x v="217"/>
    <x v="217"/>
    <n v="6"/>
    <s v="METRE"/>
    <n v="0"/>
    <n v="100"/>
    <n v="50"/>
    <n v="-16"/>
    <n v="0"/>
    <n v="0"/>
    <n v="46"/>
    <x v="70"/>
    <n v="276"/>
    <x v="7"/>
  </r>
  <r>
    <x v="3"/>
    <s v="Jan Urbanek"/>
    <x v="1"/>
    <x v="217"/>
    <x v="217"/>
    <n v="6"/>
    <s v="METRE"/>
    <n v="0"/>
    <n v="100"/>
    <n v="50"/>
    <n v="-16"/>
    <n v="0"/>
    <n v="0"/>
    <n v="46"/>
    <x v="70"/>
    <n v="276"/>
    <x v="7"/>
  </r>
  <r>
    <x v="4"/>
    <s v="Jan Urbanek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15"/>
    <s v="Hayriye Güven"/>
    <x v="1"/>
    <x v="267"/>
    <x v="267"/>
    <n v="2"/>
    <s v="ADET"/>
    <n v="0"/>
    <n v="33"/>
    <n v="16"/>
    <n v="-31"/>
    <n v="0"/>
    <n v="0"/>
    <n v="930"/>
    <x v="29"/>
    <n v="1860"/>
    <x v="7"/>
  </r>
  <r>
    <x v="7"/>
    <s v="Stina Alm"/>
    <x v="1"/>
    <x v="260"/>
    <x v="260"/>
    <n v="15"/>
    <s v="ADET"/>
    <n v="0"/>
    <n v="350"/>
    <n v="210"/>
    <n v="-245"/>
    <n v="0"/>
    <n v="0"/>
    <n v="4"/>
    <x v="14"/>
    <n v="60"/>
    <x v="1"/>
  </r>
  <r>
    <x v="14"/>
    <s v="Matteo Giolo"/>
    <x v="1"/>
    <x v="260"/>
    <x v="260"/>
    <n v="15"/>
    <s v="ADET"/>
    <n v="0"/>
    <n v="350"/>
    <n v="210"/>
    <n v="-245"/>
    <n v="0"/>
    <n v="0"/>
    <n v="4"/>
    <x v="14"/>
    <n v="60"/>
    <x v="1"/>
  </r>
  <r>
    <x v="14"/>
    <s v="Matteo Giolo"/>
    <x v="1"/>
    <x v="261"/>
    <x v="261"/>
    <n v="3"/>
    <s v="ADET"/>
    <n v="0"/>
    <n v="35"/>
    <n v="24"/>
    <n v="10"/>
    <n v="0"/>
    <n v="17500"/>
    <n v="1750"/>
    <x v="77"/>
    <n v="5250"/>
    <x v="7"/>
  </r>
  <r>
    <x v="2"/>
    <s v="Jan Urbanek"/>
    <x v="1"/>
    <x v="259"/>
    <x v="259"/>
    <n v="9"/>
    <s v="METRE"/>
    <n v="0"/>
    <n v="480"/>
    <n v="0"/>
    <n v="-408"/>
    <n v="0"/>
    <n v="0"/>
    <n v="4"/>
    <x v="6"/>
    <n v="36"/>
    <x v="8"/>
  </r>
  <r>
    <x v="4"/>
    <s v="Jan Urbanek"/>
    <x v="1"/>
    <x v="261"/>
    <x v="261"/>
    <n v="3"/>
    <s v="ADET"/>
    <n v="0"/>
    <n v="35"/>
    <n v="24"/>
    <n v="10"/>
    <n v="0"/>
    <n v="17500"/>
    <n v="1750"/>
    <x v="77"/>
    <n v="5250"/>
    <x v="7"/>
  </r>
  <r>
    <x v="3"/>
    <s v="Jan Urbanek"/>
    <x v="1"/>
    <x v="261"/>
    <x v="261"/>
    <n v="3"/>
    <s v="ADET"/>
    <n v="0"/>
    <n v="35"/>
    <n v="24"/>
    <n v="10"/>
    <n v="0"/>
    <n v="17500"/>
    <n v="1750"/>
    <x v="77"/>
    <n v="5250"/>
    <x v="7"/>
  </r>
  <r>
    <x v="9"/>
    <s v="Stefan Zaugg"/>
    <x v="1"/>
    <x v="268"/>
    <x v="268"/>
    <n v="40"/>
    <s v="M2"/>
    <n v="0"/>
    <n v="0"/>
    <n v="68.954999999999984"/>
    <n v="40"/>
    <n v="0"/>
    <n v="8381.6"/>
    <n v="209.54"/>
    <x v="61"/>
    <n v="8381.6"/>
    <x v="8"/>
  </r>
  <r>
    <x v="11"/>
    <s v="Jan Urbanek"/>
    <x v="1"/>
    <x v="261"/>
    <x v="261"/>
    <n v="3"/>
    <s v="ADET"/>
    <n v="0"/>
    <n v="35"/>
    <n v="24"/>
    <n v="10"/>
    <n v="0"/>
    <n v="17500"/>
    <n v="1750"/>
    <x v="77"/>
    <n v="5250"/>
    <x v="7"/>
  </r>
  <r>
    <x v="11"/>
    <s v="Jan Urbanek"/>
    <x v="1"/>
    <x v="269"/>
    <x v="269"/>
    <n v="2.8"/>
    <s v="KG"/>
    <n v="0"/>
    <n v="110"/>
    <n v="57.22000000000007"/>
    <n v="-78.660000000000025"/>
    <n v="0"/>
    <n v="0"/>
    <n v="40"/>
    <x v="2"/>
    <n v="112"/>
    <x v="1"/>
  </r>
  <r>
    <x v="12"/>
    <s v="Stefan Zaugg"/>
    <x v="1"/>
    <x v="269"/>
    <x v="269"/>
    <n v="5"/>
    <s v="KG"/>
    <n v="5"/>
    <n v="110"/>
    <n v="57.22000000000007"/>
    <n v="-78.660000000000025"/>
    <n v="0"/>
    <n v="0"/>
    <n v="40"/>
    <x v="2"/>
    <n v="200"/>
    <x v="1"/>
  </r>
  <r>
    <x v="4"/>
    <s v="Jan Urbanek"/>
    <x v="1"/>
    <x v="259"/>
    <x v="259"/>
    <n v="9"/>
    <s v="METRE"/>
    <n v="0"/>
    <n v="480"/>
    <n v="0"/>
    <n v="-408"/>
    <n v="0"/>
    <n v="0"/>
    <n v="4"/>
    <x v="6"/>
    <n v="36"/>
    <x v="8"/>
  </r>
  <r>
    <x v="3"/>
    <s v="Jan Urbanek"/>
    <x v="1"/>
    <x v="259"/>
    <x v="259"/>
    <n v="9"/>
    <s v="METRE"/>
    <n v="0"/>
    <n v="480"/>
    <n v="0"/>
    <n v="-408"/>
    <n v="0"/>
    <n v="0"/>
    <n v="4"/>
    <x v="6"/>
    <n v="36"/>
    <x v="8"/>
  </r>
  <r>
    <x v="2"/>
    <s v="Jan Urbanek"/>
    <x v="1"/>
    <x v="261"/>
    <x v="261"/>
    <n v="3"/>
    <s v="ADET"/>
    <n v="0"/>
    <n v="35"/>
    <n v="24"/>
    <n v="10"/>
    <n v="0"/>
    <n v="17500"/>
    <n v="1750"/>
    <x v="77"/>
    <n v="5250"/>
    <x v="7"/>
  </r>
  <r>
    <x v="2"/>
    <s v="Jan Urbanek"/>
    <x v="1"/>
    <x v="269"/>
    <x v="269"/>
    <n v="2.8"/>
    <s v="KG"/>
    <n v="0"/>
    <n v="110"/>
    <n v="57.22000000000007"/>
    <n v="-78.660000000000025"/>
    <n v="0"/>
    <n v="0"/>
    <n v="40"/>
    <x v="2"/>
    <n v="112"/>
    <x v="1"/>
  </r>
  <r>
    <x v="3"/>
    <s v="Jan Urbanek"/>
    <x v="1"/>
    <x v="270"/>
    <x v="270"/>
    <n v="1"/>
    <s v="ADET"/>
    <n v="0"/>
    <n v="15"/>
    <n v="11"/>
    <n v="-1"/>
    <n v="0"/>
    <n v="0"/>
    <n v="237.5"/>
    <x v="1"/>
    <n v="237.5"/>
    <x v="1"/>
  </r>
  <r>
    <x v="4"/>
    <s v="Jan Urbanek"/>
    <x v="1"/>
    <x v="270"/>
    <x v="270"/>
    <n v="1"/>
    <s v="ADET"/>
    <n v="0"/>
    <n v="15"/>
    <n v="11"/>
    <n v="-1"/>
    <n v="0"/>
    <n v="0"/>
    <n v="237.5"/>
    <x v="1"/>
    <n v="237.5"/>
    <x v="1"/>
  </r>
  <r>
    <x v="2"/>
    <s v="Jan Urbanek"/>
    <x v="1"/>
    <x v="271"/>
    <x v="271"/>
    <n v="2"/>
    <s v="ADET"/>
    <n v="0"/>
    <n v="288"/>
    <n v="94"/>
    <n v="-260"/>
    <n v="0"/>
    <n v="0"/>
    <n v="4"/>
    <x v="29"/>
    <n v="8"/>
    <x v="7"/>
  </r>
  <r>
    <x v="4"/>
    <s v="Jan Urbanek"/>
    <x v="1"/>
    <x v="272"/>
    <x v="272"/>
    <n v="1"/>
    <s v="ADET"/>
    <n v="0"/>
    <n v="23"/>
    <n v="8"/>
    <n v="-50"/>
    <n v="40"/>
    <n v="0"/>
    <n v="312"/>
    <x v="56"/>
    <n v="312"/>
    <x v="2"/>
  </r>
  <r>
    <x v="3"/>
    <s v="Jan Urbanek"/>
    <x v="1"/>
    <x v="272"/>
    <x v="272"/>
    <n v="1"/>
    <s v="ADET"/>
    <n v="0"/>
    <n v="23"/>
    <n v="8"/>
    <n v="-50"/>
    <n v="40"/>
    <n v="0"/>
    <n v="312"/>
    <x v="56"/>
    <n v="312"/>
    <x v="2"/>
  </r>
  <r>
    <x v="11"/>
    <s v="Jan Urbanek"/>
    <x v="1"/>
    <x v="259"/>
    <x v="259"/>
    <n v="9"/>
    <s v="METRE"/>
    <n v="0"/>
    <n v="480"/>
    <n v="0"/>
    <n v="-408"/>
    <n v="0"/>
    <n v="0"/>
    <n v="4"/>
    <x v="6"/>
    <n v="36"/>
    <x v="8"/>
  </r>
  <r>
    <x v="10"/>
    <s v="Murat Taşdemir"/>
    <x v="1"/>
    <x v="261"/>
    <x v="261"/>
    <n v="3"/>
    <s v="ADET"/>
    <n v="0"/>
    <n v="35"/>
    <n v="24"/>
    <n v="10"/>
    <n v="0"/>
    <n v="17500"/>
    <n v="1750"/>
    <x v="77"/>
    <n v="5250"/>
    <x v="7"/>
  </r>
  <r>
    <x v="9"/>
    <s v="Stefan Zaugg"/>
    <x v="1"/>
    <x v="267"/>
    <x v="267"/>
    <n v="2"/>
    <s v="ADET"/>
    <n v="2"/>
    <n v="33"/>
    <n v="16"/>
    <n v="-31"/>
    <n v="0"/>
    <n v="0"/>
    <n v="930"/>
    <x v="29"/>
    <n v="1860"/>
    <x v="7"/>
  </r>
  <r>
    <x v="8"/>
    <s v="Jan Urbanek"/>
    <x v="1"/>
    <x v="269"/>
    <x v="269"/>
    <n v="2.8"/>
    <s v="KG"/>
    <n v="0"/>
    <n v="110"/>
    <n v="57.22000000000007"/>
    <n v="-78.660000000000025"/>
    <n v="0"/>
    <n v="0"/>
    <n v="40"/>
    <x v="2"/>
    <n v="112"/>
    <x v="1"/>
  </r>
  <r>
    <x v="2"/>
    <s v="Jan Urbanek"/>
    <x v="1"/>
    <x v="270"/>
    <x v="270"/>
    <n v="1"/>
    <s v="ADET"/>
    <n v="0"/>
    <n v="15"/>
    <n v="11"/>
    <n v="-1"/>
    <n v="0"/>
    <n v="0"/>
    <n v="237.5"/>
    <x v="1"/>
    <n v="237.5"/>
    <x v="1"/>
  </r>
  <r>
    <x v="2"/>
    <s v="Jan Urbanek"/>
    <x v="1"/>
    <x v="272"/>
    <x v="272"/>
    <n v="1"/>
    <s v="ADET"/>
    <n v="0"/>
    <n v="23"/>
    <n v="8"/>
    <n v="-50"/>
    <n v="40"/>
    <n v="0"/>
    <n v="312"/>
    <x v="56"/>
    <n v="312"/>
    <x v="2"/>
  </r>
  <r>
    <x v="2"/>
    <s v="Jan Urbanek"/>
    <x v="1"/>
    <x v="273"/>
    <x v="273"/>
    <n v="1"/>
    <s v="ADET"/>
    <n v="0"/>
    <n v="25"/>
    <n v="3"/>
    <n v="-11"/>
    <n v="0"/>
    <n v="0"/>
    <n v="360.05"/>
    <x v="67"/>
    <n v="360.05"/>
    <x v="4"/>
  </r>
  <r>
    <x v="6"/>
    <s v="Stefan Zaugg"/>
    <x v="1"/>
    <x v="261"/>
    <x v="261"/>
    <n v="3"/>
    <s v="ADET"/>
    <n v="0"/>
    <n v="35"/>
    <n v="24"/>
    <n v="10"/>
    <n v="0"/>
    <n v="17500"/>
    <n v="1750"/>
    <x v="77"/>
    <n v="5250"/>
    <x v="7"/>
  </r>
  <r>
    <x v="1"/>
    <s v="Laurent MONTAGNER"/>
    <x v="1"/>
    <x v="261"/>
    <x v="261"/>
    <n v="3"/>
    <s v="ADET"/>
    <n v="0"/>
    <n v="35"/>
    <n v="24"/>
    <n v="10"/>
    <n v="0"/>
    <n v="17500"/>
    <n v="1750"/>
    <x v="77"/>
    <n v="5250"/>
    <x v="7"/>
  </r>
  <r>
    <x v="5"/>
    <s v="Matteo Giolo"/>
    <x v="1"/>
    <x v="269"/>
    <x v="269"/>
    <n v="3.71"/>
    <s v="KG"/>
    <n v="0"/>
    <n v="110"/>
    <n v="57.22000000000007"/>
    <n v="-78.660000000000025"/>
    <n v="0"/>
    <n v="0"/>
    <n v="40"/>
    <x v="2"/>
    <n v="148.4"/>
    <x v="1"/>
  </r>
  <r>
    <x v="5"/>
    <s v="Matteo Giolo"/>
    <x v="1"/>
    <x v="270"/>
    <x v="270"/>
    <n v="2"/>
    <s v="ADET"/>
    <n v="0"/>
    <n v="15"/>
    <n v="11"/>
    <n v="-1"/>
    <n v="0"/>
    <n v="0"/>
    <n v="237.5"/>
    <x v="1"/>
    <n v="475"/>
    <x v="1"/>
  </r>
  <r>
    <x v="10"/>
    <s v="Murat Taşdemir"/>
    <x v="1"/>
    <x v="274"/>
    <x v="274"/>
    <n v="30"/>
    <s v="ADET"/>
    <n v="0"/>
    <n v="200"/>
    <n v="61"/>
    <n v="-140"/>
    <n v="0"/>
    <n v="0"/>
    <n v="12"/>
    <x v="14"/>
    <n v="360"/>
    <x v="1"/>
  </r>
  <r>
    <x v="4"/>
    <s v="Jan Urbanek"/>
    <x v="1"/>
    <x v="273"/>
    <x v="273"/>
    <n v="1"/>
    <s v="ADET"/>
    <n v="0"/>
    <n v="25"/>
    <n v="3"/>
    <n v="-11"/>
    <n v="0"/>
    <n v="0"/>
    <n v="360.05"/>
    <x v="67"/>
    <n v="360.05"/>
    <x v="4"/>
  </r>
  <r>
    <x v="3"/>
    <s v="Jan Urbanek"/>
    <x v="1"/>
    <x v="273"/>
    <x v="273"/>
    <n v="1"/>
    <s v="ADET"/>
    <n v="0"/>
    <n v="25"/>
    <n v="3"/>
    <n v="-11"/>
    <n v="0"/>
    <n v="0"/>
    <n v="360.05"/>
    <x v="67"/>
    <n v="360.05"/>
    <x v="4"/>
  </r>
  <r>
    <x v="3"/>
    <s v="Jan Urbanek"/>
    <x v="1"/>
    <x v="275"/>
    <x v="275"/>
    <n v="22"/>
    <s v="MT"/>
    <n v="0"/>
    <n v="200"/>
    <n v="86"/>
    <n v="220"/>
    <n v="0"/>
    <n v="23100"/>
    <n v="105"/>
    <x v="78"/>
    <n v="2310"/>
    <x v="6"/>
  </r>
  <r>
    <x v="4"/>
    <s v="Jan Urbanek"/>
    <x v="1"/>
    <x v="275"/>
    <x v="275"/>
    <n v="27"/>
    <s v="MT"/>
    <n v="0"/>
    <n v="200"/>
    <n v="86"/>
    <n v="220"/>
    <n v="0"/>
    <n v="23100"/>
    <n v="105"/>
    <x v="78"/>
    <n v="2835"/>
    <x v="6"/>
  </r>
  <r>
    <x v="7"/>
    <s v="Stina Alm"/>
    <x v="1"/>
    <x v="261"/>
    <x v="261"/>
    <n v="3"/>
    <s v="ADET"/>
    <n v="0"/>
    <n v="35"/>
    <n v="24"/>
    <n v="10"/>
    <n v="0"/>
    <n v="17500"/>
    <n v="1750"/>
    <x v="77"/>
    <n v="5250"/>
    <x v="7"/>
  </r>
  <r>
    <x v="7"/>
    <s v="Stina Alm"/>
    <x v="1"/>
    <x v="269"/>
    <x v="269"/>
    <n v="3.6100000000000003"/>
    <s v="KG"/>
    <n v="0"/>
    <n v="110"/>
    <n v="57.22000000000007"/>
    <n v="-78.660000000000025"/>
    <n v="0"/>
    <n v="0"/>
    <n v="40"/>
    <x v="2"/>
    <n v="144.4"/>
    <x v="1"/>
  </r>
  <r>
    <x v="7"/>
    <s v="Stina Alm"/>
    <x v="1"/>
    <x v="270"/>
    <x v="270"/>
    <n v="1"/>
    <s v="ADET"/>
    <n v="0"/>
    <n v="15"/>
    <n v="11"/>
    <n v="-1"/>
    <n v="0"/>
    <n v="0"/>
    <n v="237.5"/>
    <x v="1"/>
    <n v="237.5"/>
    <x v="1"/>
  </r>
  <r>
    <x v="1"/>
    <s v="Laurent MONTAGNER"/>
    <x v="1"/>
    <x v="271"/>
    <x v="271"/>
    <n v="2"/>
    <s v="ADET"/>
    <n v="0"/>
    <n v="288"/>
    <n v="94"/>
    <n v="-260"/>
    <n v="0"/>
    <n v="0"/>
    <n v="4"/>
    <x v="29"/>
    <n v="8"/>
    <x v="7"/>
  </r>
  <r>
    <x v="18"/>
    <s v="Stina Alm"/>
    <x v="1"/>
    <x v="260"/>
    <x v="260"/>
    <n v="15"/>
    <s v="ADET"/>
    <n v="0"/>
    <n v="350"/>
    <n v="210"/>
    <n v="-245"/>
    <n v="0"/>
    <n v="0"/>
    <n v="4"/>
    <x v="14"/>
    <n v="60"/>
    <x v="1"/>
  </r>
  <r>
    <x v="19"/>
    <s v="Laurent MONTAGNER"/>
    <x v="1"/>
    <x v="260"/>
    <x v="260"/>
    <n v="15"/>
    <s v="ADET"/>
    <n v="0"/>
    <n v="350"/>
    <n v="210"/>
    <n v="-245"/>
    <n v="0"/>
    <n v="0"/>
    <n v="4"/>
    <x v="14"/>
    <n v="60"/>
    <x v="1"/>
  </r>
  <r>
    <x v="17"/>
    <s v="Soner Kayıkçı"/>
    <x v="1"/>
    <x v="261"/>
    <x v="261"/>
    <n v="3"/>
    <s v="ADET"/>
    <n v="0"/>
    <n v="35"/>
    <n v="24"/>
    <n v="10"/>
    <n v="0"/>
    <n v="17500"/>
    <n v="1750"/>
    <x v="77"/>
    <n v="5250"/>
    <x v="7"/>
  </r>
  <r>
    <x v="6"/>
    <s v="Stefan Zaugg"/>
    <x v="1"/>
    <x v="100"/>
    <x v="100"/>
    <n v="1"/>
    <s v="ADET"/>
    <n v="0"/>
    <n v="5"/>
    <n v="0"/>
    <n v="4.6000000000000032"/>
    <n v="5"/>
    <n v="5276.2000000000035"/>
    <n v="1147"/>
    <x v="35"/>
    <n v="1147"/>
    <x v="6"/>
  </r>
  <r>
    <x v="5"/>
    <s v="Matteo Giolo"/>
    <x v="1"/>
    <x v="101"/>
    <x v="101"/>
    <n v="2"/>
    <s v="KG"/>
    <n v="0"/>
    <n v="30"/>
    <n v="21.5"/>
    <n v="6"/>
    <n v="0"/>
    <n v="708.84"/>
    <n v="118.14"/>
    <x v="36"/>
    <n v="236.28"/>
    <x v="3"/>
  </r>
  <r>
    <x v="5"/>
    <s v="Matteo Giolo"/>
    <x v="1"/>
    <x v="190"/>
    <x v="190"/>
    <n v="3"/>
    <s v="ADET"/>
    <n v="0"/>
    <n v="24"/>
    <n v="30"/>
    <n v="-24"/>
    <n v="50"/>
    <n v="0"/>
    <n v="37"/>
    <x v="12"/>
    <n v="111"/>
    <x v="4"/>
  </r>
  <r>
    <x v="5"/>
    <s v="Matteo Giolo"/>
    <x v="1"/>
    <x v="195"/>
    <x v="195"/>
    <n v="8"/>
    <s v="ADET"/>
    <n v="0"/>
    <n v="0"/>
    <n v="0.5"/>
    <n v="55"/>
    <n v="10"/>
    <n v="36666.85"/>
    <n v="666.67"/>
    <x v="61"/>
    <n v="5333.36"/>
    <x v="8"/>
  </r>
  <r>
    <x v="1"/>
    <s v="Laurent MONTAGNER"/>
    <x v="1"/>
    <x v="196"/>
    <x v="196"/>
    <n v="0.2"/>
    <s v="METRE"/>
    <n v="0"/>
    <n v="0"/>
    <n v="93.799999999999955"/>
    <n v="5.0999999999999996"/>
    <n v="0"/>
    <n v="34.526999999999994"/>
    <n v="6.77"/>
    <x v="68"/>
    <n v="1.3540000000000001"/>
    <x v="7"/>
  </r>
  <r>
    <x v="5"/>
    <s v="Matteo Giolo"/>
    <x v="1"/>
    <x v="197"/>
    <x v="197"/>
    <n v="2"/>
    <s v="ADET"/>
    <n v="0"/>
    <n v="40"/>
    <n v="18"/>
    <n v="-14"/>
    <n v="0"/>
    <n v="0"/>
    <n v="45.3"/>
    <x v="23"/>
    <n v="90.6"/>
    <x v="7"/>
  </r>
  <r>
    <x v="0"/>
    <s v="Matteo Giolo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0"/>
    <s v="Matteo Giolo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0"/>
    <s v="Matteo Giolo"/>
    <x v="1"/>
    <x v="197"/>
    <x v="197"/>
    <n v="2"/>
    <s v="ADET"/>
    <n v="0"/>
    <n v="40"/>
    <n v="18"/>
    <n v="-14"/>
    <n v="0"/>
    <n v="0"/>
    <n v="45.3"/>
    <x v="23"/>
    <n v="90.6"/>
    <x v="7"/>
  </r>
  <r>
    <x v="6"/>
    <s v="Stefan Zaugg"/>
    <x v="1"/>
    <x v="101"/>
    <x v="101"/>
    <n v="2"/>
    <s v="KG"/>
    <n v="0"/>
    <n v="30"/>
    <n v="21.5"/>
    <n v="6"/>
    <n v="0"/>
    <n v="708.84"/>
    <n v="118.14"/>
    <x v="36"/>
    <n v="236.28"/>
    <x v="3"/>
  </r>
  <r>
    <x v="1"/>
    <s v="Laurent MONTAGNER"/>
    <x v="1"/>
    <x v="101"/>
    <x v="101"/>
    <n v="2"/>
    <s v="KG"/>
    <n v="0"/>
    <n v="30"/>
    <n v="21.5"/>
    <n v="6"/>
    <n v="0"/>
    <n v="708.84"/>
    <n v="118.14"/>
    <x v="36"/>
    <n v="236.28"/>
    <x v="3"/>
  </r>
  <r>
    <x v="18"/>
    <s v="Stina Alm"/>
    <x v="1"/>
    <x v="163"/>
    <x v="163"/>
    <n v="1.6"/>
    <s v="METRE"/>
    <n v="0"/>
    <n v="100"/>
    <n v="1.9999999999999432"/>
    <n v="-6.4000000000000057"/>
    <n v="0"/>
    <n v="0"/>
    <n v="111"/>
    <x v="23"/>
    <n v="177.60000000000002"/>
    <x v="7"/>
  </r>
  <r>
    <x v="17"/>
    <s v="Soner Kayıkçı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0"/>
    <s v="Matteo Giolo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0"/>
    <s v="Matteo Giolo"/>
    <x v="1"/>
    <x v="184"/>
    <x v="184"/>
    <n v="1"/>
    <s v="ADET"/>
    <n v="0"/>
    <n v="3"/>
    <n v="7"/>
    <n v="2"/>
    <n v="3"/>
    <n v="4955.04"/>
    <n v="2477.52"/>
    <x v="43"/>
    <n v="2477.52"/>
    <x v="7"/>
  </r>
  <r>
    <x v="0"/>
    <s v="Matteo Giolo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0"/>
    <s v="Matteo Giolo"/>
    <x v="1"/>
    <x v="203"/>
    <x v="203"/>
    <n v="0.5"/>
    <s v="ADET"/>
    <n v="0"/>
    <n v="100"/>
    <n v="41"/>
    <n v="-89.5"/>
    <n v="0"/>
    <n v="0"/>
    <n v="60"/>
    <x v="29"/>
    <n v="30"/>
    <x v="1"/>
  </r>
  <r>
    <x v="0"/>
    <s v="Matteo Giolo"/>
    <x v="1"/>
    <x v="256"/>
    <x v="256"/>
    <n v="2"/>
    <s v="ADET"/>
    <n v="0"/>
    <n v="228"/>
    <n v="0"/>
    <n v="-186"/>
    <n v="0"/>
    <n v="0"/>
    <n v="6"/>
    <x v="18"/>
    <n v="12"/>
    <x v="1"/>
  </r>
  <r>
    <x v="16"/>
    <s v="Laurent MONTAGNER"/>
    <x v="1"/>
    <x v="126"/>
    <x v="126"/>
    <n v="4"/>
    <s v="ADET"/>
    <n v="0"/>
    <n v="1000"/>
    <n v="0"/>
    <n v="-964"/>
    <n v="0"/>
    <n v="0"/>
    <n v="1.2"/>
    <x v="2"/>
    <n v="4.8"/>
    <x v="1"/>
  </r>
  <r>
    <x v="6"/>
    <s v="Stefan Zaugg"/>
    <x v="1"/>
    <x v="37"/>
    <x v="37"/>
    <n v="9"/>
    <s v="ADET"/>
    <n v="0"/>
    <n v="48"/>
    <n v="-2.1316282072803006E-14"/>
    <n v="23.620000000000005"/>
    <n v="0"/>
    <n v="2362.0000000000005"/>
    <n v="100"/>
    <x v="2"/>
    <n v="900"/>
    <x v="3"/>
  </r>
  <r>
    <x v="1"/>
    <s v="Laurent MONTAGNER"/>
    <x v="1"/>
    <x v="37"/>
    <x v="37"/>
    <n v="4"/>
    <s v="ADET"/>
    <n v="0"/>
    <n v="48"/>
    <n v="-2.1316282072803006E-14"/>
    <n v="23.620000000000005"/>
    <n v="0"/>
    <n v="2362.0000000000005"/>
    <n v="100"/>
    <x v="2"/>
    <n v="400"/>
    <x v="3"/>
  </r>
  <r>
    <x v="5"/>
    <s v="Matteo Giolo"/>
    <x v="1"/>
    <x v="37"/>
    <x v="37"/>
    <n v="2"/>
    <s v="ADET"/>
    <n v="0"/>
    <n v="48"/>
    <n v="-2.1316282072803006E-14"/>
    <n v="23.620000000000005"/>
    <n v="0"/>
    <n v="2362.0000000000005"/>
    <n v="100"/>
    <x v="2"/>
    <n v="200"/>
    <x v="3"/>
  </r>
  <r>
    <x v="8"/>
    <s v="Jan Urbanek"/>
    <x v="1"/>
    <x v="36"/>
    <x v="36"/>
    <n v="0.5"/>
    <s v="ADET"/>
    <n v="0"/>
    <n v="12"/>
    <n v="3"/>
    <n v="-3"/>
    <n v="0"/>
    <n v="0"/>
    <n v="130"/>
    <x v="14"/>
    <n v="65"/>
    <x v="3"/>
  </r>
  <r>
    <x v="3"/>
    <s v="Jan Urbanek"/>
    <x v="1"/>
    <x v="37"/>
    <x v="37"/>
    <n v="2"/>
    <s v="ADET"/>
    <n v="0"/>
    <n v="48"/>
    <n v="-2.1316282072803006E-14"/>
    <n v="23.620000000000005"/>
    <n v="0"/>
    <n v="2362.0000000000005"/>
    <n v="100"/>
    <x v="2"/>
    <n v="200"/>
    <x v="3"/>
  </r>
  <r>
    <x v="4"/>
    <s v="Jan Urbanek"/>
    <x v="1"/>
    <x v="37"/>
    <x v="37"/>
    <n v="2.02"/>
    <s v="ADET"/>
    <n v="0"/>
    <n v="48"/>
    <n v="-2.1316282072803006E-14"/>
    <n v="23.620000000000005"/>
    <n v="0"/>
    <n v="2362.0000000000005"/>
    <n v="100"/>
    <x v="2"/>
    <n v="202"/>
    <x v="3"/>
  </r>
  <r>
    <x v="7"/>
    <s v="Stina Alm"/>
    <x v="1"/>
    <x v="37"/>
    <x v="37"/>
    <n v="3"/>
    <s v="ADET"/>
    <n v="0"/>
    <n v="48"/>
    <n v="-2.1316282072803006E-14"/>
    <n v="23.620000000000005"/>
    <n v="0"/>
    <n v="2362.0000000000005"/>
    <n v="100"/>
    <x v="2"/>
    <n v="300"/>
    <x v="3"/>
  </r>
  <r>
    <x v="18"/>
    <s v="Stina Alm"/>
    <x v="1"/>
    <x v="36"/>
    <x v="36"/>
    <n v="0.5"/>
    <s v="ADET"/>
    <n v="0"/>
    <n v="12"/>
    <n v="3"/>
    <n v="-3"/>
    <n v="0"/>
    <n v="0"/>
    <n v="130"/>
    <x v="14"/>
    <n v="65"/>
    <x v="3"/>
  </r>
  <r>
    <x v="19"/>
    <s v="Laurent MONTAGNER"/>
    <x v="1"/>
    <x v="36"/>
    <x v="36"/>
    <n v="0.5"/>
    <s v="ADET"/>
    <n v="0"/>
    <n v="12"/>
    <n v="3"/>
    <n v="-3"/>
    <n v="0"/>
    <n v="0"/>
    <n v="130"/>
    <x v="14"/>
    <n v="65"/>
    <x v="3"/>
  </r>
  <r>
    <x v="18"/>
    <s v="Stina Alm"/>
    <x v="1"/>
    <x v="37"/>
    <x v="37"/>
    <n v="3"/>
    <s v="ADET"/>
    <n v="0"/>
    <n v="48"/>
    <n v="-2.1316282072803006E-14"/>
    <n v="23.620000000000005"/>
    <n v="0"/>
    <n v="2362.0000000000005"/>
    <n v="100"/>
    <x v="2"/>
    <n v="300"/>
    <x v="3"/>
  </r>
  <r>
    <x v="17"/>
    <s v="Soner Kayıkçı"/>
    <x v="1"/>
    <x v="37"/>
    <x v="37"/>
    <n v="2.02"/>
    <s v="ADET"/>
    <n v="0"/>
    <n v="48"/>
    <n v="-2.1316282072803006E-14"/>
    <n v="23.620000000000005"/>
    <n v="0"/>
    <n v="2362.0000000000005"/>
    <n v="100"/>
    <x v="2"/>
    <n v="202"/>
    <x v="3"/>
  </r>
  <r>
    <x v="19"/>
    <s v="Laurent MONTAGNER"/>
    <x v="1"/>
    <x v="37"/>
    <x v="37"/>
    <n v="4"/>
    <s v="ADET"/>
    <n v="0"/>
    <n v="48"/>
    <n v="-2.1316282072803006E-14"/>
    <n v="23.620000000000005"/>
    <n v="0"/>
    <n v="2362.0000000000005"/>
    <n v="100"/>
    <x v="2"/>
    <n v="400"/>
    <x v="3"/>
  </r>
  <r>
    <x v="4"/>
    <s v="Jan Urbanek"/>
    <x v="1"/>
    <x v="112"/>
    <x v="112"/>
    <n v="0.1"/>
    <s v="KG"/>
    <n v="0"/>
    <n v="32"/>
    <n v="60"/>
    <n v="-31.4"/>
    <n v="0"/>
    <n v="0"/>
    <n v="110"/>
    <x v="37"/>
    <n v="11"/>
    <x v="3"/>
  </r>
  <r>
    <x v="4"/>
    <s v="Jan Urbanek"/>
    <x v="1"/>
    <x v="36"/>
    <x v="36"/>
    <n v="0.5"/>
    <s v="ADET"/>
    <n v="0"/>
    <n v="12"/>
    <n v="3"/>
    <n v="-3"/>
    <n v="0"/>
    <n v="0"/>
    <n v="130"/>
    <x v="14"/>
    <n v="65"/>
    <x v="3"/>
  </r>
  <r>
    <x v="3"/>
    <s v="Jan Urbanek"/>
    <x v="1"/>
    <x v="36"/>
    <x v="36"/>
    <n v="0.5"/>
    <s v="ADET"/>
    <n v="0"/>
    <n v="12"/>
    <n v="3"/>
    <n v="-3"/>
    <n v="0"/>
    <n v="0"/>
    <n v="130"/>
    <x v="14"/>
    <n v="65"/>
    <x v="3"/>
  </r>
  <r>
    <x v="2"/>
    <s v="Jan Urbanek"/>
    <x v="1"/>
    <x v="37"/>
    <x v="37"/>
    <n v="2.02"/>
    <s v="ADET"/>
    <n v="0"/>
    <n v="48"/>
    <n v="-2.1316282072803006E-14"/>
    <n v="23.620000000000005"/>
    <n v="0"/>
    <n v="2362.0000000000005"/>
    <n v="100"/>
    <x v="2"/>
    <n v="202"/>
    <x v="3"/>
  </r>
  <r>
    <x v="8"/>
    <s v="Jan Urbanek"/>
    <x v="1"/>
    <x v="112"/>
    <x v="112"/>
    <n v="0.1"/>
    <s v="KG"/>
    <n v="0"/>
    <n v="32"/>
    <n v="60"/>
    <n v="-31.4"/>
    <n v="0"/>
    <n v="0"/>
    <n v="110"/>
    <x v="37"/>
    <n v="11"/>
    <x v="3"/>
  </r>
  <r>
    <x v="8"/>
    <s v="Jan Urbanek"/>
    <x v="1"/>
    <x v="37"/>
    <x v="37"/>
    <n v="2.02"/>
    <s v="ADET"/>
    <n v="0"/>
    <n v="48"/>
    <n v="-2.1316282072803006E-14"/>
    <n v="23.620000000000005"/>
    <n v="0"/>
    <n v="2362.0000000000005"/>
    <n v="100"/>
    <x v="2"/>
    <n v="202"/>
    <x v="3"/>
  </r>
  <r>
    <x v="2"/>
    <s v="Jan Urbanek"/>
    <x v="1"/>
    <x v="112"/>
    <x v="112"/>
    <n v="0.1"/>
    <s v="KG"/>
    <n v="0"/>
    <n v="32"/>
    <n v="60"/>
    <n v="-31.4"/>
    <n v="0"/>
    <n v="0"/>
    <n v="110"/>
    <x v="37"/>
    <n v="11"/>
    <x v="3"/>
  </r>
  <r>
    <x v="2"/>
    <s v="Jan Urbanek"/>
    <x v="1"/>
    <x v="36"/>
    <x v="36"/>
    <n v="0.5"/>
    <s v="ADET"/>
    <n v="0"/>
    <n v="12"/>
    <n v="3"/>
    <n v="-3"/>
    <n v="0"/>
    <n v="0"/>
    <n v="130"/>
    <x v="14"/>
    <n v="65"/>
    <x v="3"/>
  </r>
  <r>
    <x v="11"/>
    <s v="Jan Urbanek"/>
    <x v="1"/>
    <x v="276"/>
    <x v="276"/>
    <n v="2"/>
    <s v="ADET"/>
    <n v="0"/>
    <n v="306"/>
    <n v="11"/>
    <n v="-281"/>
    <n v="0"/>
    <n v="0"/>
    <n v="210"/>
    <x v="29"/>
    <n v="420"/>
    <x v="7"/>
  </r>
  <r>
    <x v="6"/>
    <s v="Stefan Zaugg"/>
    <x v="1"/>
    <x v="277"/>
    <x v="277"/>
    <n v="1"/>
    <s v="ADET"/>
    <n v="0"/>
    <n v="4"/>
    <n v="2"/>
    <n v="-2"/>
    <n v="0"/>
    <n v="0"/>
    <n v="1802.17"/>
    <x v="3"/>
    <n v="1802.17"/>
    <x v="4"/>
  </r>
  <r>
    <x v="9"/>
    <s v="Stefan Zaugg"/>
    <x v="1"/>
    <x v="277"/>
    <x v="277"/>
    <n v="1"/>
    <s v="ADET"/>
    <n v="0"/>
    <n v="4"/>
    <n v="2"/>
    <n v="-2"/>
    <n v="0"/>
    <n v="0"/>
    <n v="1802.17"/>
    <x v="3"/>
    <n v="1802.17"/>
    <x v="4"/>
  </r>
  <r>
    <x v="10"/>
    <s v="Murat Taşdemir"/>
    <x v="1"/>
    <x v="276"/>
    <x v="276"/>
    <n v="2"/>
    <s v="ADET"/>
    <n v="0"/>
    <n v="306"/>
    <n v="11"/>
    <n v="-281"/>
    <n v="0"/>
    <n v="0"/>
    <n v="210"/>
    <x v="29"/>
    <n v="420"/>
    <x v="7"/>
  </r>
  <r>
    <x v="4"/>
    <s v="Jan Urbanek"/>
    <x v="1"/>
    <x v="276"/>
    <x v="276"/>
    <n v="2"/>
    <s v="ADET"/>
    <n v="0"/>
    <n v="306"/>
    <n v="11"/>
    <n v="-281"/>
    <n v="0"/>
    <n v="0"/>
    <n v="210"/>
    <x v="29"/>
    <n v="420"/>
    <x v="7"/>
  </r>
  <r>
    <x v="3"/>
    <s v="Jan Urbanek"/>
    <x v="1"/>
    <x v="276"/>
    <x v="276"/>
    <n v="1"/>
    <s v="ADET"/>
    <n v="0"/>
    <n v="306"/>
    <n v="11"/>
    <n v="-281"/>
    <n v="0"/>
    <n v="0"/>
    <n v="210"/>
    <x v="29"/>
    <n v="210"/>
    <x v="7"/>
  </r>
  <r>
    <x v="3"/>
    <s v="Jan Urbanek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4"/>
    <s v="Jan Urbanek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0"/>
    <s v="Murat Taşdemir"/>
    <x v="1"/>
    <x v="221"/>
    <x v="221"/>
    <n v="1"/>
    <s v="ADET"/>
    <n v="0"/>
    <n v="0"/>
    <n v="7"/>
    <n v="19"/>
    <n v="0"/>
    <n v="760"/>
    <n v="40"/>
    <x v="68"/>
    <n v="40"/>
    <x v="7"/>
  </r>
  <r>
    <x v="12"/>
    <s v="Stefan Zaugg"/>
    <x v="1"/>
    <x v="221"/>
    <x v="221"/>
    <n v="1"/>
    <s v="ADET"/>
    <n v="0"/>
    <n v="0"/>
    <n v="7"/>
    <n v="19"/>
    <n v="0"/>
    <n v="760"/>
    <n v="40"/>
    <x v="68"/>
    <n v="40"/>
    <x v="7"/>
  </r>
  <r>
    <x v="2"/>
    <s v="Jan Urbanek"/>
    <x v="1"/>
    <x v="209"/>
    <x v="209"/>
    <n v="60"/>
    <s v="M2"/>
    <n v="0"/>
    <n v="58.5"/>
    <n v="21.929999999999836"/>
    <n v="320.25"/>
    <n v="54.25"/>
    <n v="70589.50499999999"/>
    <n v="220.42"/>
    <x v="61"/>
    <n v="13225.199999999999"/>
    <x v="8"/>
  </r>
  <r>
    <x v="2"/>
    <s v="Jan Urbanek"/>
    <x v="1"/>
    <x v="221"/>
    <x v="221"/>
    <n v="1"/>
    <s v="ADET"/>
    <n v="0"/>
    <n v="0"/>
    <n v="7"/>
    <n v="19"/>
    <n v="0"/>
    <n v="760"/>
    <n v="40"/>
    <x v="68"/>
    <n v="40"/>
    <x v="7"/>
  </r>
  <r>
    <x v="3"/>
    <s v="Jan Urbanek"/>
    <x v="1"/>
    <x v="221"/>
    <x v="221"/>
    <n v="1"/>
    <s v="ADET"/>
    <n v="0"/>
    <n v="0"/>
    <n v="7"/>
    <n v="19"/>
    <n v="0"/>
    <n v="760"/>
    <n v="40"/>
    <x v="68"/>
    <n v="40"/>
    <x v="7"/>
  </r>
  <r>
    <x v="4"/>
    <s v="Jan Urbanek"/>
    <x v="1"/>
    <x v="209"/>
    <x v="209"/>
    <n v="60"/>
    <s v="M2"/>
    <n v="0"/>
    <n v="58.5"/>
    <n v="21.929999999999836"/>
    <n v="320.25"/>
    <n v="54.25"/>
    <n v="70589.50499999999"/>
    <n v="220.42"/>
    <x v="61"/>
    <n v="13225.199999999999"/>
    <x v="8"/>
  </r>
  <r>
    <x v="3"/>
    <s v="Jan Urbanek"/>
    <x v="1"/>
    <x v="209"/>
    <x v="209"/>
    <n v="60"/>
    <s v="M2"/>
    <n v="0"/>
    <n v="58.5"/>
    <n v="21.929999999999836"/>
    <n v="320.25"/>
    <n v="54.25"/>
    <n v="70589.50499999999"/>
    <n v="220.42"/>
    <x v="61"/>
    <n v="13225.199999999999"/>
    <x v="8"/>
  </r>
  <r>
    <x v="5"/>
    <s v="Matteo Giolo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1"/>
    <s v="Laurent MONTAGNER"/>
    <x v="1"/>
    <x v="207"/>
    <x v="207"/>
    <n v="3"/>
    <s v="ADET"/>
    <n v="0"/>
    <n v="85"/>
    <n v="31"/>
    <n v="-17"/>
    <n v="0"/>
    <n v="0"/>
    <n v="120"/>
    <x v="69"/>
    <n v="360"/>
    <x v="4"/>
  </r>
  <r>
    <x v="0"/>
    <s v="Matteo Giolo"/>
    <x v="1"/>
    <x v="208"/>
    <x v="208"/>
    <n v="3"/>
    <s v="ADET"/>
    <n v="0"/>
    <n v="81"/>
    <n v="5"/>
    <n v="-23"/>
    <n v="0"/>
    <n v="0"/>
    <n v="188"/>
    <x v="2"/>
    <n v="564"/>
    <x v="4"/>
  </r>
  <r>
    <x v="1"/>
    <s v="Laurent MONTAGNER"/>
    <x v="1"/>
    <x v="208"/>
    <x v="208"/>
    <n v="3"/>
    <s v="ADET"/>
    <n v="0"/>
    <n v="81"/>
    <n v="5"/>
    <n v="-23"/>
    <n v="0"/>
    <n v="0"/>
    <n v="188"/>
    <x v="2"/>
    <n v="564"/>
    <x v="4"/>
  </r>
  <r>
    <x v="0"/>
    <s v="Matteo Giolo"/>
    <x v="1"/>
    <x v="207"/>
    <x v="207"/>
    <n v="4"/>
    <s v="ADET"/>
    <n v="0"/>
    <n v="85"/>
    <n v="31"/>
    <n v="-17"/>
    <n v="0"/>
    <n v="0"/>
    <n v="120"/>
    <x v="69"/>
    <n v="480"/>
    <x v="4"/>
  </r>
  <r>
    <x v="0"/>
    <s v="Matteo Giolo"/>
    <x v="1"/>
    <x v="209"/>
    <x v="209"/>
    <n v="45"/>
    <s v="M2"/>
    <n v="0"/>
    <n v="58.5"/>
    <n v="21.929999999999836"/>
    <n v="320.25"/>
    <n v="54.25"/>
    <n v="70589.50499999999"/>
    <n v="220.42"/>
    <x v="61"/>
    <n v="9918.9"/>
    <x v="8"/>
  </r>
  <r>
    <x v="0"/>
    <s v="Matteo Giolo"/>
    <x v="1"/>
    <x v="221"/>
    <x v="221"/>
    <n v="1"/>
    <s v="ADET"/>
    <n v="0"/>
    <n v="0"/>
    <n v="7"/>
    <n v="19"/>
    <n v="0"/>
    <n v="760"/>
    <n v="40"/>
    <x v="68"/>
    <n v="40"/>
    <x v="7"/>
  </r>
  <r>
    <x v="6"/>
    <s v="Stefan Zaugg"/>
    <x v="1"/>
    <x v="207"/>
    <x v="207"/>
    <n v="4"/>
    <s v="ADET"/>
    <n v="0"/>
    <n v="85"/>
    <n v="31"/>
    <n v="-17"/>
    <n v="0"/>
    <n v="0"/>
    <n v="120"/>
    <x v="69"/>
    <n v="480"/>
    <x v="4"/>
  </r>
  <r>
    <x v="5"/>
    <s v="Matteo Giolo"/>
    <x v="1"/>
    <x v="207"/>
    <x v="207"/>
    <n v="3"/>
    <s v="ADET"/>
    <n v="0"/>
    <n v="85"/>
    <n v="31"/>
    <n v="-17"/>
    <n v="0"/>
    <n v="0"/>
    <n v="120"/>
    <x v="69"/>
    <n v="360"/>
    <x v="4"/>
  </r>
  <r>
    <x v="5"/>
    <s v="Matteo Giolo"/>
    <x v="1"/>
    <x v="208"/>
    <x v="208"/>
    <n v="3"/>
    <s v="ADET"/>
    <n v="0"/>
    <n v="81"/>
    <n v="5"/>
    <n v="-23"/>
    <n v="0"/>
    <n v="0"/>
    <n v="188"/>
    <x v="2"/>
    <n v="564"/>
    <x v="4"/>
  </r>
  <r>
    <x v="6"/>
    <s v="Stefan Zaugg"/>
    <x v="1"/>
    <x v="220"/>
    <x v="220"/>
    <n v="8"/>
    <s v="ADET"/>
    <n v="0"/>
    <n v="0"/>
    <n v="0"/>
    <n v="16"/>
    <n v="0"/>
    <n v="5.6"/>
    <n v="0.35"/>
    <x v="55"/>
    <n v="2.8"/>
    <x v="1"/>
  </r>
  <r>
    <x v="5"/>
    <s v="Matteo Giolo"/>
    <x v="1"/>
    <x v="221"/>
    <x v="221"/>
    <n v="1"/>
    <s v="ADET"/>
    <n v="0"/>
    <n v="0"/>
    <n v="7"/>
    <n v="19"/>
    <n v="0"/>
    <n v="760"/>
    <n v="40"/>
    <x v="68"/>
    <n v="40"/>
    <x v="7"/>
  </r>
  <r>
    <x v="4"/>
    <s v="Jan Urbanek"/>
    <x v="1"/>
    <x v="221"/>
    <x v="221"/>
    <n v="1"/>
    <s v="ADET"/>
    <n v="0"/>
    <n v="0"/>
    <n v="7"/>
    <n v="19"/>
    <n v="0"/>
    <n v="760"/>
    <n v="40"/>
    <x v="68"/>
    <n v="40"/>
    <x v="7"/>
  </r>
  <r>
    <x v="0"/>
    <s v="Matteo Giolo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6"/>
    <s v="Stefan Zaugg"/>
    <x v="1"/>
    <x v="208"/>
    <x v="208"/>
    <n v="3"/>
    <s v="ADET"/>
    <n v="0"/>
    <n v="81"/>
    <n v="5"/>
    <n v="-23"/>
    <n v="0"/>
    <n v="0"/>
    <n v="188"/>
    <x v="2"/>
    <n v="564"/>
    <x v="4"/>
  </r>
  <r>
    <x v="7"/>
    <s v="Stina Alm"/>
    <x v="1"/>
    <x v="208"/>
    <x v="208"/>
    <n v="3"/>
    <s v="ADET"/>
    <n v="0"/>
    <n v="81"/>
    <n v="5"/>
    <n v="-23"/>
    <n v="0"/>
    <n v="0"/>
    <n v="188"/>
    <x v="2"/>
    <n v="564"/>
    <x v="4"/>
  </r>
  <r>
    <x v="6"/>
    <s v="Stefan Zaugg"/>
    <x v="1"/>
    <x v="209"/>
    <x v="209"/>
    <n v="41.5"/>
    <s v="M2"/>
    <n v="0"/>
    <n v="58.5"/>
    <n v="21.929999999999836"/>
    <n v="320.25"/>
    <n v="54.25"/>
    <n v="70589.50499999999"/>
    <n v="220.42"/>
    <x v="61"/>
    <n v="9147.43"/>
    <x v="8"/>
  </r>
  <r>
    <x v="7"/>
    <s v="Stina Alm"/>
    <x v="1"/>
    <x v="221"/>
    <x v="221"/>
    <n v="1"/>
    <s v="ADET"/>
    <n v="0"/>
    <n v="0"/>
    <n v="7"/>
    <n v="19"/>
    <n v="0"/>
    <n v="760"/>
    <n v="40"/>
    <x v="68"/>
    <n v="40"/>
    <x v="7"/>
  </r>
  <r>
    <x v="16"/>
    <s v="Laurent MONTAGNER"/>
    <x v="1"/>
    <x v="207"/>
    <x v="207"/>
    <n v="3"/>
    <s v="ADET"/>
    <n v="0"/>
    <n v="85"/>
    <n v="31"/>
    <n v="-17"/>
    <n v="0"/>
    <n v="0"/>
    <n v="120"/>
    <x v="69"/>
    <n v="360"/>
    <x v="4"/>
  </r>
  <r>
    <x v="16"/>
    <s v="Laurent MONTAGNER"/>
    <x v="1"/>
    <x v="221"/>
    <x v="221"/>
    <n v="1"/>
    <s v="ADET"/>
    <n v="0"/>
    <n v="0"/>
    <n v="7"/>
    <n v="19"/>
    <n v="0"/>
    <n v="760"/>
    <n v="40"/>
    <x v="68"/>
    <n v="40"/>
    <x v="7"/>
  </r>
  <r>
    <x v="0"/>
    <s v="Matteo Giolo"/>
    <x v="1"/>
    <x v="279"/>
    <x v="279"/>
    <n v="1"/>
    <s v="ADET"/>
    <n v="0"/>
    <n v="39"/>
    <n v="2"/>
    <n v="-19"/>
    <n v="0"/>
    <n v="0"/>
    <n v="65"/>
    <x v="12"/>
    <n v="65"/>
    <x v="4"/>
  </r>
  <r>
    <x v="17"/>
    <s v="Soner Kayıkçı"/>
    <x v="1"/>
    <x v="208"/>
    <x v="208"/>
    <n v="3"/>
    <s v="ADET"/>
    <n v="0"/>
    <n v="81"/>
    <n v="5"/>
    <n v="-23"/>
    <n v="0"/>
    <n v="0"/>
    <n v="188"/>
    <x v="2"/>
    <n v="564"/>
    <x v="4"/>
  </r>
  <r>
    <x v="16"/>
    <s v="Laurent MONTAGNER"/>
    <x v="1"/>
    <x v="208"/>
    <x v="208"/>
    <n v="4"/>
    <s v="ADET"/>
    <n v="0"/>
    <n v="81"/>
    <n v="5"/>
    <n v="-23"/>
    <n v="0"/>
    <n v="0"/>
    <n v="188"/>
    <x v="2"/>
    <n v="752"/>
    <x v="4"/>
  </r>
  <r>
    <x v="7"/>
    <s v="Stina Alm"/>
    <x v="1"/>
    <x v="279"/>
    <x v="279"/>
    <n v="1"/>
    <s v="ADET"/>
    <n v="0"/>
    <n v="39"/>
    <n v="2"/>
    <n v="-19"/>
    <n v="0"/>
    <n v="0"/>
    <n v="65"/>
    <x v="12"/>
    <n v="65"/>
    <x v="4"/>
  </r>
  <r>
    <x v="5"/>
    <s v="Matteo Giolo"/>
    <x v="1"/>
    <x v="279"/>
    <x v="279"/>
    <n v="1"/>
    <s v="ADET"/>
    <n v="0"/>
    <n v="39"/>
    <n v="2"/>
    <n v="-19"/>
    <n v="0"/>
    <n v="0"/>
    <n v="65"/>
    <x v="12"/>
    <n v="65"/>
    <x v="4"/>
  </r>
  <r>
    <x v="1"/>
    <s v="Laurent MONTAGNER"/>
    <x v="1"/>
    <x v="279"/>
    <x v="279"/>
    <n v="1"/>
    <s v="ADET"/>
    <n v="0"/>
    <n v="39"/>
    <n v="2"/>
    <n v="-19"/>
    <n v="0"/>
    <n v="0"/>
    <n v="65"/>
    <x v="12"/>
    <n v="65"/>
    <x v="4"/>
  </r>
  <r>
    <x v="6"/>
    <s v="Stefan Zaugg"/>
    <x v="1"/>
    <x v="280"/>
    <x v="280"/>
    <n v="0.9"/>
    <s v="METRE"/>
    <n v="0"/>
    <n v="0"/>
    <n v="23.20000000000001"/>
    <n v="1.8"/>
    <n v="0"/>
    <n v="360"/>
    <n v="200"/>
    <x v="79"/>
    <n v="180"/>
    <x v="2"/>
  </r>
  <r>
    <x v="19"/>
    <s v="Laurent MONTAGNER"/>
    <x v="1"/>
    <x v="207"/>
    <x v="207"/>
    <n v="3"/>
    <s v="ADET"/>
    <n v="0"/>
    <n v="85"/>
    <n v="31"/>
    <n v="-17"/>
    <n v="0"/>
    <n v="0"/>
    <n v="120"/>
    <x v="69"/>
    <n v="360"/>
    <x v="4"/>
  </r>
  <r>
    <x v="18"/>
    <s v="Stina Alm"/>
    <x v="1"/>
    <x v="208"/>
    <x v="208"/>
    <n v="3"/>
    <s v="ADET"/>
    <n v="0"/>
    <n v="81"/>
    <n v="5"/>
    <n v="-23"/>
    <n v="0"/>
    <n v="0"/>
    <n v="188"/>
    <x v="2"/>
    <n v="564"/>
    <x v="4"/>
  </r>
  <r>
    <x v="19"/>
    <s v="Laurent MONTAGNER"/>
    <x v="1"/>
    <x v="208"/>
    <x v="208"/>
    <n v="3"/>
    <s v="ADET"/>
    <n v="0"/>
    <n v="81"/>
    <n v="5"/>
    <n v="-23"/>
    <n v="0"/>
    <n v="0"/>
    <n v="188"/>
    <x v="2"/>
    <n v="564"/>
    <x v="4"/>
  </r>
  <r>
    <x v="18"/>
    <s v="Stina Alm"/>
    <x v="1"/>
    <x v="221"/>
    <x v="221"/>
    <n v="1"/>
    <s v="ADET"/>
    <n v="0"/>
    <n v="0"/>
    <n v="7"/>
    <n v="19"/>
    <n v="0"/>
    <n v="760"/>
    <n v="40"/>
    <x v="68"/>
    <n v="40"/>
    <x v="7"/>
  </r>
  <r>
    <x v="17"/>
    <s v="Soner Kayıkçı"/>
    <x v="1"/>
    <x v="221"/>
    <x v="221"/>
    <n v="1"/>
    <s v="ADET"/>
    <n v="0"/>
    <n v="0"/>
    <n v="7"/>
    <n v="19"/>
    <n v="0"/>
    <n v="760"/>
    <n v="40"/>
    <x v="68"/>
    <n v="40"/>
    <x v="7"/>
  </r>
  <r>
    <x v="19"/>
    <s v="Laurent MONTAGNER"/>
    <x v="1"/>
    <x v="221"/>
    <x v="221"/>
    <n v="1"/>
    <s v="ADET"/>
    <n v="0"/>
    <n v="0"/>
    <n v="7"/>
    <n v="19"/>
    <n v="0"/>
    <n v="760"/>
    <n v="40"/>
    <x v="68"/>
    <n v="40"/>
    <x v="7"/>
  </r>
  <r>
    <x v="19"/>
    <s v="Laurent MONTAGNER"/>
    <x v="1"/>
    <x v="281"/>
    <x v="281"/>
    <n v="0.16"/>
    <s v="ADET"/>
    <n v="0"/>
    <n v="80"/>
    <n v="56.840000000000018"/>
    <n v="-79.680000000000007"/>
    <n v="0"/>
    <n v="0"/>
    <n v="9.5"/>
    <x v="29"/>
    <n v="1.52"/>
    <x v="1"/>
  </r>
  <r>
    <x v="2"/>
    <s v="Jan Urbanek"/>
    <x v="1"/>
    <x v="282"/>
    <x v="282"/>
    <n v="1"/>
    <s v="ADET"/>
    <n v="0"/>
    <n v="24"/>
    <n v="4"/>
    <n v="-17"/>
    <n v="0"/>
    <n v="0"/>
    <n v="625"/>
    <x v="14"/>
    <n v="625"/>
    <x v="1"/>
  </r>
  <r>
    <x v="3"/>
    <s v="Jan Urbanek"/>
    <x v="1"/>
    <x v="279"/>
    <x v="279"/>
    <n v="2"/>
    <s v="ADET"/>
    <n v="0"/>
    <n v="39"/>
    <n v="2"/>
    <n v="-19"/>
    <n v="0"/>
    <n v="0"/>
    <n v="65"/>
    <x v="12"/>
    <n v="130"/>
    <x v="4"/>
  </r>
  <r>
    <x v="2"/>
    <s v="Jan Urbanek"/>
    <x v="1"/>
    <x v="279"/>
    <x v="279"/>
    <n v="1"/>
    <s v="ADET"/>
    <n v="0"/>
    <n v="39"/>
    <n v="2"/>
    <n v="-19"/>
    <n v="0"/>
    <n v="0"/>
    <n v="65"/>
    <x v="12"/>
    <n v="65"/>
    <x v="4"/>
  </r>
  <r>
    <x v="2"/>
    <s v="Jan Urbanek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3"/>
    <s v="Jan Urbanek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2"/>
    <s v="Jan Urbanek"/>
    <x v="1"/>
    <x v="264"/>
    <x v="264"/>
    <n v="2"/>
    <s v="ADET"/>
    <n v="0"/>
    <n v="3"/>
    <n v="0"/>
    <n v="13"/>
    <n v="0"/>
    <n v="702"/>
    <n v="54"/>
    <x v="14"/>
    <n v="108"/>
    <x v="1"/>
  </r>
  <r>
    <x v="2"/>
    <s v="Jan Urbanek"/>
    <x v="1"/>
    <x v="265"/>
    <x v="265"/>
    <n v="1"/>
    <s v="ADET"/>
    <n v="0"/>
    <n v="14"/>
    <n v="8"/>
    <n v="-1"/>
    <n v="0"/>
    <n v="0"/>
    <n v="270"/>
    <x v="29"/>
    <n v="270"/>
    <x v="7"/>
  </r>
  <r>
    <x v="2"/>
    <s v="Jan Urbanek"/>
    <x v="1"/>
    <x v="266"/>
    <x v="266"/>
    <n v="10"/>
    <s v="ADET"/>
    <n v="0"/>
    <n v="0"/>
    <n v="0"/>
    <n v="56"/>
    <n v="0"/>
    <n v="0"/>
    <n v="0"/>
    <x v="6"/>
    <n v="0"/>
    <x v="1"/>
  </r>
  <r>
    <x v="0"/>
    <s v="Matteo Giolo"/>
    <x v="1"/>
    <x v="266"/>
    <x v="266"/>
    <n v="14"/>
    <s v="ADET"/>
    <n v="0"/>
    <n v="0"/>
    <n v="0"/>
    <n v="56"/>
    <n v="0"/>
    <n v="0"/>
    <n v="0"/>
    <x v="6"/>
    <n v="0"/>
    <x v="1"/>
  </r>
  <r>
    <x v="19"/>
    <s v="Laurent MONTAGNER"/>
    <x v="1"/>
    <x v="95"/>
    <x v="95"/>
    <n v="2"/>
    <s v="ADET"/>
    <n v="0"/>
    <n v="222"/>
    <n v="2"/>
    <n v="-166"/>
    <n v="0"/>
    <n v="0"/>
    <n v="11.5"/>
    <x v="2"/>
    <n v="23"/>
    <x v="4"/>
  </r>
  <r>
    <x v="19"/>
    <s v="Laurent MONTAGNER"/>
    <x v="1"/>
    <x v="96"/>
    <x v="96"/>
    <n v="1.2"/>
    <s v="ADET"/>
    <n v="0"/>
    <n v="5"/>
    <n v="0.29999999999999449"/>
    <n v="9.6499999999999986"/>
    <n v="0"/>
    <n v="15656.159999999998"/>
    <n v="1622.4"/>
    <x v="32"/>
    <n v="1946.88"/>
    <x v="3"/>
  </r>
  <r>
    <x v="19"/>
    <s v="Laurent MONTAGNER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5"/>
    <s v="Matteo Giolo"/>
    <x v="1"/>
    <x v="110"/>
    <x v="110"/>
    <n v="2"/>
    <s v="ADET"/>
    <n v="0"/>
    <n v="2"/>
    <n v="8"/>
    <n v="6"/>
    <n v="5"/>
    <n v="18914.400000000001"/>
    <n v="3152.4"/>
    <x v="43"/>
    <n v="6304.8"/>
    <x v="7"/>
  </r>
  <r>
    <x v="7"/>
    <s v="Stina Alm"/>
    <x v="1"/>
    <x v="211"/>
    <x v="211"/>
    <n v="0.5"/>
    <s v="ADET"/>
    <n v="0"/>
    <n v="0"/>
    <n v="-9.7699626167013776E-15"/>
    <n v="13.000000000000007"/>
    <n v="11"/>
    <n v="23833.290000000012"/>
    <n v="1833.33"/>
    <x v="61"/>
    <n v="916.66499999999996"/>
    <x v="8"/>
  </r>
  <r>
    <x v="6"/>
    <s v="Stefan Zaugg"/>
    <x v="1"/>
    <x v="212"/>
    <x v="212"/>
    <n v="1.5"/>
    <s v="ADET"/>
    <n v="0"/>
    <n v="72"/>
    <n v="2"/>
    <n v="-43.5"/>
    <n v="0"/>
    <n v="0"/>
    <n v="5"/>
    <x v="2"/>
    <n v="7.5"/>
    <x v="1"/>
  </r>
  <r>
    <x v="6"/>
    <s v="Stefan Zaugg"/>
    <x v="1"/>
    <x v="211"/>
    <x v="211"/>
    <n v="0.8"/>
    <s v="ADET"/>
    <n v="0"/>
    <n v="0"/>
    <n v="-9.7699626167013776E-15"/>
    <n v="13.000000000000007"/>
    <n v="11"/>
    <n v="23833.290000000012"/>
    <n v="1833.33"/>
    <x v="61"/>
    <n v="1466.664"/>
    <x v="8"/>
  </r>
  <r>
    <x v="5"/>
    <s v="Matteo Giolo"/>
    <x v="1"/>
    <x v="211"/>
    <x v="211"/>
    <n v="1.5"/>
    <s v="ADET"/>
    <n v="0"/>
    <n v="0"/>
    <n v="-9.7699626167013776E-15"/>
    <n v="13.000000000000007"/>
    <n v="11"/>
    <n v="23833.290000000012"/>
    <n v="1833.33"/>
    <x v="61"/>
    <n v="2749.9949999999999"/>
    <x v="8"/>
  </r>
  <r>
    <x v="7"/>
    <s v="Stina Alm"/>
    <x v="1"/>
    <x v="212"/>
    <x v="212"/>
    <n v="1.5"/>
    <s v="ADET"/>
    <n v="0"/>
    <n v="72"/>
    <n v="2"/>
    <n v="-43.5"/>
    <n v="0"/>
    <n v="0"/>
    <n v="5"/>
    <x v="2"/>
    <n v="7.5"/>
    <x v="1"/>
  </r>
  <r>
    <x v="1"/>
    <s v="Laurent MONTAGNER"/>
    <x v="1"/>
    <x v="212"/>
    <x v="212"/>
    <n v="1.5"/>
    <s v="ADET"/>
    <n v="0"/>
    <n v="72"/>
    <n v="2"/>
    <n v="-43.5"/>
    <n v="0"/>
    <n v="0"/>
    <n v="5"/>
    <x v="2"/>
    <n v="7.5"/>
    <x v="1"/>
  </r>
  <r>
    <x v="1"/>
    <s v="Laurent MONTAGNER"/>
    <x v="1"/>
    <x v="214"/>
    <x v="214"/>
    <n v="6"/>
    <s v="ADET"/>
    <n v="0"/>
    <n v="118"/>
    <n v="18"/>
    <n v="-11"/>
    <n v="0"/>
    <n v="0"/>
    <n v="14.5"/>
    <x v="2"/>
    <n v="87"/>
    <x v="1"/>
  </r>
  <r>
    <x v="0"/>
    <s v="Matteo Giolo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1"/>
    <s v="Laurent MONTAGNER"/>
    <x v="1"/>
    <x v="213"/>
    <x v="213"/>
    <n v="3.22"/>
    <s v="ADET"/>
    <n v="0"/>
    <n v="111"/>
    <n v="4.2632564145606011E-14"/>
    <n v="-52.539999999999992"/>
    <n v="0"/>
    <n v="0"/>
    <n v="36"/>
    <x v="2"/>
    <n v="115.92"/>
    <x v="1"/>
  </r>
  <r>
    <x v="0"/>
    <s v="Matteo Giolo"/>
    <x v="1"/>
    <x v="215"/>
    <x v="215"/>
    <n v="3"/>
    <s v="ADET"/>
    <n v="0"/>
    <n v="200"/>
    <n v="70"/>
    <n v="-165"/>
    <n v="0"/>
    <n v="0"/>
    <n v="10"/>
    <x v="14"/>
    <n v="30"/>
    <x v="1"/>
  </r>
  <r>
    <x v="7"/>
    <s v="Stina Alm"/>
    <x v="1"/>
    <x v="216"/>
    <x v="216"/>
    <n v="7"/>
    <s v="ADET"/>
    <n v="0"/>
    <n v="400"/>
    <n v="225"/>
    <n v="-292"/>
    <n v="0"/>
    <n v="0"/>
    <n v="12"/>
    <x v="14"/>
    <n v="84"/>
    <x v="1"/>
  </r>
  <r>
    <x v="6"/>
    <s v="Stefan Zaugg"/>
    <x v="1"/>
    <x v="283"/>
    <x v="283"/>
    <n v="0.8"/>
    <s v="METRE"/>
    <n v="0"/>
    <n v="20"/>
    <n v="2.6645352591003757E-15"/>
    <n v="-10.4"/>
    <n v="0"/>
    <n v="0"/>
    <n v="38.33"/>
    <x v="42"/>
    <n v="30.664000000000001"/>
    <x v="1"/>
  </r>
  <r>
    <x v="1"/>
    <s v="Laurent MONTAGNER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7"/>
    <s v="Stina Alm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3"/>
    <s v="Jan Urbanek"/>
    <x v="1"/>
    <x v="212"/>
    <x v="212"/>
    <n v="1.5"/>
    <s v="ADET"/>
    <n v="0"/>
    <n v="72"/>
    <n v="2"/>
    <n v="-43.5"/>
    <n v="0"/>
    <n v="0"/>
    <n v="5"/>
    <x v="2"/>
    <n v="7.5"/>
    <x v="1"/>
  </r>
  <r>
    <x v="4"/>
    <s v="Jan Urbanek"/>
    <x v="1"/>
    <x v="214"/>
    <x v="214"/>
    <n v="6"/>
    <s v="ADET"/>
    <n v="0"/>
    <n v="118"/>
    <n v="18"/>
    <n v="-11"/>
    <n v="0"/>
    <n v="0"/>
    <n v="14.5"/>
    <x v="2"/>
    <n v="87"/>
    <x v="1"/>
  </r>
  <r>
    <x v="3"/>
    <s v="Jan Urbanek"/>
    <x v="1"/>
    <x v="214"/>
    <x v="214"/>
    <n v="6"/>
    <s v="ADET"/>
    <n v="0"/>
    <n v="118"/>
    <n v="18"/>
    <n v="-11"/>
    <n v="0"/>
    <n v="0"/>
    <n v="14.5"/>
    <x v="2"/>
    <n v="87"/>
    <x v="1"/>
  </r>
  <r>
    <x v="2"/>
    <s v="Jan Urbanek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2"/>
    <s v="Jan Urbanek"/>
    <x v="1"/>
    <x v="215"/>
    <x v="215"/>
    <n v="3"/>
    <s v="ADET"/>
    <n v="0"/>
    <n v="200"/>
    <n v="70"/>
    <n v="-165"/>
    <n v="0"/>
    <n v="0"/>
    <n v="10"/>
    <x v="14"/>
    <n v="30"/>
    <x v="1"/>
  </r>
  <r>
    <x v="4"/>
    <s v="Jan Urbanek"/>
    <x v="1"/>
    <x v="216"/>
    <x v="216"/>
    <n v="7"/>
    <s v="ADET"/>
    <n v="0"/>
    <n v="400"/>
    <n v="225"/>
    <n v="-292"/>
    <n v="0"/>
    <n v="0"/>
    <n v="12"/>
    <x v="14"/>
    <n v="84"/>
    <x v="1"/>
  </r>
  <r>
    <x v="0"/>
    <s v="Matteo Giolo"/>
    <x v="1"/>
    <x v="110"/>
    <x v="110"/>
    <n v="2"/>
    <s v="ADET"/>
    <n v="0"/>
    <n v="2"/>
    <n v="8"/>
    <n v="6"/>
    <n v="5"/>
    <n v="18914.400000000001"/>
    <n v="3152.4"/>
    <x v="43"/>
    <n v="6304.8"/>
    <x v="7"/>
  </r>
  <r>
    <x v="0"/>
    <s v="Matteo Giolo"/>
    <x v="1"/>
    <x v="211"/>
    <x v="211"/>
    <n v="1.8"/>
    <s v="ADET"/>
    <n v="0"/>
    <n v="0"/>
    <n v="-9.7699626167013776E-15"/>
    <n v="13.000000000000007"/>
    <n v="11"/>
    <n v="23833.290000000012"/>
    <n v="1833.33"/>
    <x v="61"/>
    <n v="3299.9940000000001"/>
    <x v="8"/>
  </r>
  <r>
    <x v="1"/>
    <s v="Laurent MONTAGNER"/>
    <x v="1"/>
    <x v="211"/>
    <x v="211"/>
    <n v="1"/>
    <s v="ADET"/>
    <n v="0"/>
    <n v="0"/>
    <n v="-9.7699626167013776E-15"/>
    <n v="13.000000000000007"/>
    <n v="11"/>
    <n v="23833.290000000012"/>
    <n v="1833.33"/>
    <x v="61"/>
    <n v="1833.33"/>
    <x v="8"/>
  </r>
  <r>
    <x v="0"/>
    <s v="Matteo Giolo"/>
    <x v="1"/>
    <x v="212"/>
    <x v="212"/>
    <n v="1.5"/>
    <s v="ADET"/>
    <n v="0"/>
    <n v="72"/>
    <n v="2"/>
    <n v="-43.5"/>
    <n v="0"/>
    <n v="0"/>
    <n v="5"/>
    <x v="2"/>
    <n v="7.5"/>
    <x v="1"/>
  </r>
  <r>
    <x v="0"/>
    <s v="Matteo Giolo"/>
    <x v="1"/>
    <x v="216"/>
    <x v="216"/>
    <n v="7"/>
    <s v="ADET"/>
    <n v="0"/>
    <n v="400"/>
    <n v="225"/>
    <n v="-292"/>
    <n v="0"/>
    <n v="0"/>
    <n v="12"/>
    <x v="14"/>
    <n v="84"/>
    <x v="1"/>
  </r>
  <r>
    <x v="0"/>
    <s v="Matteo Giolo"/>
    <x v="1"/>
    <x v="284"/>
    <x v="284"/>
    <n v="1"/>
    <s v="ADET"/>
    <n v="0"/>
    <n v="28"/>
    <n v="12"/>
    <n v="-17"/>
    <n v="0"/>
    <n v="0"/>
    <n v="15"/>
    <x v="29"/>
    <n v="15"/>
    <x v="7"/>
  </r>
  <r>
    <x v="19"/>
    <s v="Laurent MONTAGNER"/>
    <x v="1"/>
    <x v="211"/>
    <x v="211"/>
    <n v="1"/>
    <s v="ADET"/>
    <n v="0"/>
    <n v="0"/>
    <n v="-9.7699626167013776E-15"/>
    <n v="13.000000000000007"/>
    <n v="11"/>
    <n v="23833.290000000012"/>
    <n v="1833.33"/>
    <x v="61"/>
    <n v="1833.33"/>
    <x v="8"/>
  </r>
  <r>
    <x v="19"/>
    <s v="Laurent MONTAGNER"/>
    <x v="1"/>
    <x v="212"/>
    <x v="212"/>
    <n v="1.5"/>
    <s v="ADET"/>
    <n v="0"/>
    <n v="72"/>
    <n v="2"/>
    <n v="-43.5"/>
    <n v="0"/>
    <n v="0"/>
    <n v="5"/>
    <x v="2"/>
    <n v="7.5"/>
    <x v="1"/>
  </r>
  <r>
    <x v="16"/>
    <s v="Laurent MONTAGNER"/>
    <x v="1"/>
    <x v="212"/>
    <x v="212"/>
    <n v="1.5"/>
    <s v="ADET"/>
    <n v="0"/>
    <n v="72"/>
    <n v="2"/>
    <n v="-43.5"/>
    <n v="0"/>
    <n v="0"/>
    <n v="5"/>
    <x v="2"/>
    <n v="7.5"/>
    <x v="1"/>
  </r>
  <r>
    <x v="19"/>
    <s v="Laurent MONTAGNER"/>
    <x v="1"/>
    <x v="214"/>
    <x v="214"/>
    <n v="6"/>
    <s v="ADET"/>
    <n v="0"/>
    <n v="118"/>
    <n v="18"/>
    <n v="-11"/>
    <n v="0"/>
    <n v="0"/>
    <n v="14.5"/>
    <x v="2"/>
    <n v="87"/>
    <x v="1"/>
  </r>
  <r>
    <x v="0"/>
    <s v="Matteo Giolo"/>
    <x v="1"/>
    <x v="214"/>
    <x v="214"/>
    <n v="6"/>
    <s v="ADET"/>
    <n v="0"/>
    <n v="118"/>
    <n v="18"/>
    <n v="-11"/>
    <n v="0"/>
    <n v="0"/>
    <n v="14.5"/>
    <x v="2"/>
    <n v="87"/>
    <x v="1"/>
  </r>
  <r>
    <x v="5"/>
    <s v="Matteo Giolo"/>
    <x v="1"/>
    <x v="214"/>
    <x v="214"/>
    <n v="5"/>
    <s v="ADET"/>
    <n v="0"/>
    <n v="118"/>
    <n v="18"/>
    <n v="-11"/>
    <n v="0"/>
    <n v="0"/>
    <n v="14.5"/>
    <x v="2"/>
    <n v="72.5"/>
    <x v="1"/>
  </r>
  <r>
    <x v="6"/>
    <s v="Stefan Zaugg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5"/>
    <s v="Matteo Giolo"/>
    <x v="1"/>
    <x v="213"/>
    <x v="213"/>
    <n v="3.17"/>
    <s v="ADET"/>
    <n v="0"/>
    <n v="111"/>
    <n v="4.2632564145606011E-14"/>
    <n v="-52.539999999999992"/>
    <n v="0"/>
    <n v="0"/>
    <n v="36"/>
    <x v="2"/>
    <n v="114.12"/>
    <x v="1"/>
  </r>
  <r>
    <x v="6"/>
    <s v="Stefan Zaugg"/>
    <x v="1"/>
    <x v="215"/>
    <x v="215"/>
    <n v="2"/>
    <s v="ADET"/>
    <n v="0"/>
    <n v="200"/>
    <n v="70"/>
    <n v="-165"/>
    <n v="0"/>
    <n v="0"/>
    <n v="10"/>
    <x v="14"/>
    <n v="20"/>
    <x v="1"/>
  </r>
  <r>
    <x v="0"/>
    <s v="Matteo Giolo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0"/>
    <s v="Matteo Giolo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5"/>
    <s v="Matteo Giolo"/>
    <x v="1"/>
    <x v="284"/>
    <x v="284"/>
    <n v="1"/>
    <s v="ADET"/>
    <n v="0"/>
    <n v="28"/>
    <n v="12"/>
    <n v="-17"/>
    <n v="0"/>
    <n v="0"/>
    <n v="15"/>
    <x v="29"/>
    <n v="15"/>
    <x v="7"/>
  </r>
  <r>
    <x v="1"/>
    <s v="Laurent MONTAGNER"/>
    <x v="1"/>
    <x v="285"/>
    <x v="285"/>
    <n v="7"/>
    <s v="ADET"/>
    <n v="0"/>
    <n v="150"/>
    <n v="78"/>
    <n v="-48"/>
    <n v="0"/>
    <n v="0"/>
    <n v="20.83"/>
    <x v="14"/>
    <n v="145.81"/>
    <x v="1"/>
  </r>
  <r>
    <x v="7"/>
    <s v="Stina Alm"/>
    <x v="1"/>
    <x v="285"/>
    <x v="285"/>
    <n v="7"/>
    <s v="ADET"/>
    <n v="0"/>
    <n v="150"/>
    <n v="78"/>
    <n v="-48"/>
    <n v="0"/>
    <n v="0"/>
    <n v="20.83"/>
    <x v="14"/>
    <n v="145.81"/>
    <x v="1"/>
  </r>
  <r>
    <x v="6"/>
    <s v="Stefan Zaugg"/>
    <x v="1"/>
    <x v="286"/>
    <x v="286"/>
    <n v="11"/>
    <s v="ADET"/>
    <n v="0"/>
    <n v="3000"/>
    <n v="0"/>
    <n v="-2847"/>
    <n v="0"/>
    <n v="0"/>
    <n v="0.7"/>
    <x v="2"/>
    <n v="7.6999999999999993"/>
    <x v="1"/>
  </r>
  <r>
    <x v="7"/>
    <s v="Stina Alm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"/>
    <s v="Laurent MONTAGNER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7"/>
    <s v="Soner Kayıkçı"/>
    <x v="1"/>
    <x v="214"/>
    <x v="214"/>
    <n v="6"/>
    <s v="ADET"/>
    <n v="0"/>
    <n v="118"/>
    <n v="18"/>
    <n v="-11"/>
    <n v="0"/>
    <n v="0"/>
    <n v="14.5"/>
    <x v="2"/>
    <n v="87"/>
    <x v="1"/>
  </r>
  <r>
    <x v="16"/>
    <s v="Laurent MONTAGNER"/>
    <x v="1"/>
    <x v="214"/>
    <x v="214"/>
    <n v="6"/>
    <s v="ADET"/>
    <n v="0"/>
    <n v="118"/>
    <n v="18"/>
    <n v="-11"/>
    <n v="0"/>
    <n v="0"/>
    <n v="14.5"/>
    <x v="2"/>
    <n v="87"/>
    <x v="1"/>
  </r>
  <r>
    <x v="4"/>
    <s v="Jan Urbanek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3"/>
    <s v="Jan Urbanek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4"/>
    <s v="Jan Urbanek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3"/>
    <s v="Jan Urbanek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2"/>
    <s v="Jan Urbanek"/>
    <x v="1"/>
    <x v="284"/>
    <x v="284"/>
    <n v="1"/>
    <s v="ADET"/>
    <n v="0"/>
    <n v="28"/>
    <n v="12"/>
    <n v="-17"/>
    <n v="0"/>
    <n v="0"/>
    <n v="15"/>
    <x v="29"/>
    <n v="15"/>
    <x v="7"/>
  </r>
  <r>
    <x v="9"/>
    <s v="Stefan Zaugg"/>
    <x v="1"/>
    <x v="283"/>
    <x v="283"/>
    <n v="0.8"/>
    <s v="METRE"/>
    <n v="0"/>
    <n v="20"/>
    <n v="2.6645352591003757E-15"/>
    <n v="-10.4"/>
    <n v="0"/>
    <n v="0"/>
    <n v="38.33"/>
    <x v="42"/>
    <n v="30.664000000000001"/>
    <x v="1"/>
  </r>
  <r>
    <x v="14"/>
    <s v="Matteo Giolo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14"/>
    <s v="Matteo Giolo"/>
    <x v="1"/>
    <x v="285"/>
    <x v="285"/>
    <n v="7"/>
    <s v="ADET"/>
    <n v="0"/>
    <n v="150"/>
    <n v="78"/>
    <n v="-48"/>
    <n v="0"/>
    <n v="0"/>
    <n v="20.83"/>
    <x v="14"/>
    <n v="145.81"/>
    <x v="1"/>
  </r>
  <r>
    <x v="9"/>
    <s v="Stefan Zaugg"/>
    <x v="1"/>
    <x v="286"/>
    <x v="286"/>
    <n v="11"/>
    <s v="ADET"/>
    <n v="0"/>
    <n v="3000"/>
    <n v="0"/>
    <n v="-2847"/>
    <n v="0"/>
    <n v="0"/>
    <n v="0.7"/>
    <x v="2"/>
    <n v="7.6999999999999993"/>
    <x v="1"/>
  </r>
  <r>
    <x v="14"/>
    <s v="Matteo Giolo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2"/>
    <s v="Stefan Zaugg"/>
    <x v="1"/>
    <x v="286"/>
    <x v="286"/>
    <n v="11"/>
    <s v="ADET"/>
    <n v="0"/>
    <n v="3000"/>
    <n v="0"/>
    <n v="-2847"/>
    <n v="0"/>
    <n v="0"/>
    <n v="0.7"/>
    <x v="2"/>
    <n v="7.6999999999999993"/>
    <x v="1"/>
  </r>
  <r>
    <x v="6"/>
    <s v="Stefan Zaugg"/>
    <x v="1"/>
    <x v="214"/>
    <x v="214"/>
    <n v="6"/>
    <s v="ADET"/>
    <n v="0"/>
    <n v="118"/>
    <n v="18"/>
    <n v="-11"/>
    <n v="0"/>
    <n v="0"/>
    <n v="14.5"/>
    <x v="2"/>
    <n v="87"/>
    <x v="1"/>
  </r>
  <r>
    <x v="7"/>
    <s v="Stina Alm"/>
    <x v="1"/>
    <x v="214"/>
    <x v="214"/>
    <n v="6"/>
    <s v="ADET"/>
    <n v="0"/>
    <n v="118"/>
    <n v="18"/>
    <n v="-11"/>
    <n v="0"/>
    <n v="0"/>
    <n v="14.5"/>
    <x v="2"/>
    <n v="87"/>
    <x v="1"/>
  </r>
  <r>
    <x v="7"/>
    <s v="Stina Alm"/>
    <x v="1"/>
    <x v="213"/>
    <x v="213"/>
    <n v="3.17"/>
    <s v="ADET"/>
    <n v="0"/>
    <n v="111"/>
    <n v="4.2632564145606011E-14"/>
    <n v="-52.539999999999992"/>
    <n v="0"/>
    <n v="0"/>
    <n v="36"/>
    <x v="2"/>
    <n v="114.12"/>
    <x v="1"/>
  </r>
  <r>
    <x v="6"/>
    <s v="Stefan Zaugg"/>
    <x v="1"/>
    <x v="216"/>
    <x v="216"/>
    <n v="5"/>
    <s v="ADET"/>
    <n v="5"/>
    <n v="400"/>
    <n v="225"/>
    <n v="-292"/>
    <n v="0"/>
    <n v="0"/>
    <n v="12"/>
    <x v="14"/>
    <n v="60"/>
    <x v="1"/>
  </r>
  <r>
    <x v="5"/>
    <s v="Matteo Giolo"/>
    <x v="1"/>
    <x v="216"/>
    <x v="216"/>
    <n v="8"/>
    <s v="ADET"/>
    <n v="0"/>
    <n v="400"/>
    <n v="225"/>
    <n v="-292"/>
    <n v="0"/>
    <n v="0"/>
    <n v="12"/>
    <x v="14"/>
    <n v="96"/>
    <x v="1"/>
  </r>
  <r>
    <x v="5"/>
    <s v="Matteo Giolo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5"/>
    <s v="Matteo Giolo"/>
    <x v="1"/>
    <x v="285"/>
    <x v="285"/>
    <n v="7"/>
    <s v="ADET"/>
    <n v="0"/>
    <n v="150"/>
    <n v="78"/>
    <n v="-48"/>
    <n v="0"/>
    <n v="0"/>
    <n v="20.83"/>
    <x v="14"/>
    <n v="145.81"/>
    <x v="1"/>
  </r>
  <r>
    <x v="5"/>
    <s v="Matteo Giolo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8"/>
    <s v="Stina Alm"/>
    <x v="1"/>
    <x v="211"/>
    <x v="211"/>
    <n v="0.5"/>
    <s v="ADET"/>
    <n v="0"/>
    <n v="0"/>
    <n v="-9.7699626167013776E-15"/>
    <n v="13.000000000000007"/>
    <n v="11"/>
    <n v="23833.290000000012"/>
    <n v="1833.33"/>
    <x v="61"/>
    <n v="916.66499999999996"/>
    <x v="8"/>
  </r>
  <r>
    <x v="17"/>
    <s v="Soner Kayıkçı"/>
    <x v="1"/>
    <x v="211"/>
    <x v="211"/>
    <n v="1.8"/>
    <s v="ADET"/>
    <n v="0"/>
    <n v="0"/>
    <n v="-9.7699626167013776E-15"/>
    <n v="13.000000000000007"/>
    <n v="11"/>
    <n v="23833.290000000012"/>
    <n v="1833.33"/>
    <x v="61"/>
    <n v="3299.9940000000001"/>
    <x v="8"/>
  </r>
  <r>
    <x v="16"/>
    <s v="Laurent MONTAGNER"/>
    <x v="1"/>
    <x v="211"/>
    <x v="211"/>
    <n v="0.8"/>
    <s v="ADET"/>
    <n v="0"/>
    <n v="0"/>
    <n v="-9.7699626167013776E-15"/>
    <n v="13.000000000000007"/>
    <n v="11"/>
    <n v="23833.290000000012"/>
    <n v="1833.33"/>
    <x v="61"/>
    <n v="1466.664"/>
    <x v="8"/>
  </r>
  <r>
    <x v="18"/>
    <s v="Stina Alm"/>
    <x v="1"/>
    <x v="212"/>
    <x v="212"/>
    <n v="1.5"/>
    <s v="ADET"/>
    <n v="0"/>
    <n v="72"/>
    <n v="2"/>
    <n v="-43.5"/>
    <n v="0"/>
    <n v="0"/>
    <n v="5"/>
    <x v="2"/>
    <n v="7.5"/>
    <x v="1"/>
  </r>
  <r>
    <x v="17"/>
    <s v="Soner Kayıkçı"/>
    <x v="1"/>
    <x v="212"/>
    <x v="212"/>
    <n v="1.5"/>
    <s v="ADET"/>
    <n v="0"/>
    <n v="72"/>
    <n v="2"/>
    <n v="-43.5"/>
    <n v="0"/>
    <n v="0"/>
    <n v="5"/>
    <x v="2"/>
    <n v="7.5"/>
    <x v="1"/>
  </r>
  <r>
    <x v="18"/>
    <s v="Stina Alm"/>
    <x v="1"/>
    <x v="214"/>
    <x v="214"/>
    <n v="6"/>
    <s v="ADET"/>
    <n v="0"/>
    <n v="118"/>
    <n v="18"/>
    <n v="-11"/>
    <n v="0"/>
    <n v="0"/>
    <n v="14.5"/>
    <x v="2"/>
    <n v="87"/>
    <x v="1"/>
  </r>
  <r>
    <x v="8"/>
    <s v="Jan Urbanek"/>
    <x v="1"/>
    <x v="216"/>
    <x v="216"/>
    <n v="7"/>
    <s v="ADET"/>
    <n v="0"/>
    <n v="400"/>
    <n v="225"/>
    <n v="-292"/>
    <n v="0"/>
    <n v="0"/>
    <n v="12"/>
    <x v="14"/>
    <n v="84"/>
    <x v="1"/>
  </r>
  <r>
    <x v="2"/>
    <s v="Jan Urbanek"/>
    <x v="1"/>
    <x v="287"/>
    <x v="287"/>
    <n v="1"/>
    <s v="ADET"/>
    <n v="0"/>
    <n v="6"/>
    <n v="7"/>
    <n v="2"/>
    <n v="6"/>
    <n v="3200"/>
    <n v="1600"/>
    <x v="2"/>
    <n v="1600"/>
    <x v="4"/>
  </r>
  <r>
    <x v="3"/>
    <s v="Jan Urbanek"/>
    <x v="1"/>
    <x v="287"/>
    <x v="287"/>
    <n v="1"/>
    <s v="ADET"/>
    <n v="0"/>
    <n v="6"/>
    <n v="7"/>
    <n v="2"/>
    <n v="6"/>
    <n v="3200"/>
    <n v="1600"/>
    <x v="2"/>
    <n v="1600"/>
    <x v="4"/>
  </r>
  <r>
    <x v="3"/>
    <s v="Jan Urbanek"/>
    <x v="1"/>
    <x v="288"/>
    <x v="288"/>
    <n v="2"/>
    <s v="ADET"/>
    <n v="0"/>
    <n v="34"/>
    <n v="27"/>
    <n v="-6"/>
    <n v="0"/>
    <n v="0"/>
    <n v="500"/>
    <x v="26"/>
    <n v="1000"/>
    <x v="2"/>
  </r>
  <r>
    <x v="11"/>
    <s v="Jan Urbanek"/>
    <x v="1"/>
    <x v="282"/>
    <x v="282"/>
    <n v="1"/>
    <s v="ADET"/>
    <n v="0"/>
    <n v="24"/>
    <n v="4"/>
    <n v="-17"/>
    <n v="0"/>
    <n v="0"/>
    <n v="625"/>
    <x v="14"/>
    <n v="625"/>
    <x v="1"/>
  </r>
  <r>
    <x v="6"/>
    <s v="Stefan Zaugg"/>
    <x v="1"/>
    <x v="221"/>
    <x v="221"/>
    <n v="1"/>
    <s v="ADET"/>
    <n v="0"/>
    <n v="0"/>
    <n v="7"/>
    <n v="19"/>
    <n v="0"/>
    <n v="760"/>
    <n v="40"/>
    <x v="68"/>
    <n v="40"/>
    <x v="7"/>
  </r>
  <r>
    <x v="1"/>
    <s v="Laurent MONTAGNER"/>
    <x v="1"/>
    <x v="281"/>
    <x v="281"/>
    <n v="0.16"/>
    <s v="ADET"/>
    <n v="0"/>
    <n v="80"/>
    <n v="56.840000000000018"/>
    <n v="-79.680000000000007"/>
    <n v="0"/>
    <n v="0"/>
    <n v="9.5"/>
    <x v="29"/>
    <n v="1.52"/>
    <x v="1"/>
  </r>
  <r>
    <x v="6"/>
    <s v="Stefan Zaugg"/>
    <x v="1"/>
    <x v="282"/>
    <x v="282"/>
    <n v="1"/>
    <s v="ADET"/>
    <n v="1"/>
    <n v="24"/>
    <n v="4"/>
    <n v="-17"/>
    <n v="0"/>
    <n v="0"/>
    <n v="625"/>
    <x v="14"/>
    <n v="625"/>
    <x v="1"/>
  </r>
  <r>
    <x v="6"/>
    <s v="Stefan Zaugg"/>
    <x v="1"/>
    <x v="279"/>
    <x v="279"/>
    <n v="1"/>
    <s v="ADET"/>
    <n v="0"/>
    <n v="39"/>
    <n v="2"/>
    <n v="-19"/>
    <n v="0"/>
    <n v="0"/>
    <n v="65"/>
    <x v="12"/>
    <n v="65"/>
    <x v="4"/>
  </r>
  <r>
    <x v="8"/>
    <s v="Jan Urbanek"/>
    <x v="1"/>
    <x v="282"/>
    <x v="282"/>
    <n v="1"/>
    <s v="ADET"/>
    <n v="0"/>
    <n v="24"/>
    <n v="4"/>
    <n v="-17"/>
    <n v="0"/>
    <n v="0"/>
    <n v="625"/>
    <x v="14"/>
    <n v="625"/>
    <x v="1"/>
  </r>
  <r>
    <x v="2"/>
    <s v="Jan Urbanek"/>
    <x v="1"/>
    <x v="288"/>
    <x v="288"/>
    <n v="2"/>
    <s v="ADET"/>
    <n v="0"/>
    <n v="34"/>
    <n v="27"/>
    <n v="-6"/>
    <n v="0"/>
    <n v="0"/>
    <n v="500"/>
    <x v="26"/>
    <n v="1000"/>
    <x v="2"/>
  </r>
  <r>
    <x v="3"/>
    <s v="Jan Urbanek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3"/>
    <s v="Jan Urbanek"/>
    <x v="1"/>
    <x v="290"/>
    <x v="290"/>
    <n v="1"/>
    <s v="ADET"/>
    <n v="0"/>
    <n v="30"/>
    <n v="3"/>
    <n v="-16"/>
    <n v="0"/>
    <n v="0"/>
    <n v="372.91"/>
    <x v="67"/>
    <n v="372.91"/>
    <x v="4"/>
  </r>
  <r>
    <x v="4"/>
    <s v="Jan Urbanek"/>
    <x v="1"/>
    <x v="290"/>
    <x v="290"/>
    <n v="1"/>
    <s v="ADET"/>
    <n v="0"/>
    <n v="30"/>
    <n v="3"/>
    <n v="-16"/>
    <n v="0"/>
    <n v="0"/>
    <n v="372.91"/>
    <x v="67"/>
    <n v="372.91"/>
    <x v="4"/>
  </r>
  <r>
    <x v="3"/>
    <s v="Jan Urbanek"/>
    <x v="1"/>
    <x v="291"/>
    <x v="291"/>
    <n v="1"/>
    <s v="ADET"/>
    <n v="0"/>
    <n v="27"/>
    <n v="3"/>
    <n v="-13"/>
    <n v="0"/>
    <n v="0"/>
    <n v="372.91"/>
    <x v="67"/>
    <n v="372.91"/>
    <x v="4"/>
  </r>
  <r>
    <x v="4"/>
    <s v="Jan Urbanek"/>
    <x v="1"/>
    <x v="291"/>
    <x v="291"/>
    <n v="1"/>
    <s v="ADET"/>
    <n v="0"/>
    <n v="27"/>
    <n v="3"/>
    <n v="-13"/>
    <n v="0"/>
    <n v="0"/>
    <n v="372.91"/>
    <x v="67"/>
    <n v="372.91"/>
    <x v="4"/>
  </r>
  <r>
    <x v="0"/>
    <s v="Matteo Giolo"/>
    <x v="1"/>
    <x v="276"/>
    <x v="276"/>
    <n v="2"/>
    <s v="ADET"/>
    <n v="0"/>
    <n v="306"/>
    <n v="11"/>
    <n v="-281"/>
    <n v="0"/>
    <n v="0"/>
    <n v="210"/>
    <x v="29"/>
    <n v="420"/>
    <x v="7"/>
  </r>
  <r>
    <x v="7"/>
    <s v="Stina Alm"/>
    <x v="1"/>
    <x v="292"/>
    <x v="292"/>
    <n v="2"/>
    <s v="ADET"/>
    <n v="0"/>
    <n v="0"/>
    <n v="93"/>
    <n v="26"/>
    <n v="0"/>
    <n v="351"/>
    <n v="13.5"/>
    <x v="14"/>
    <n v="27"/>
    <x v="1"/>
  </r>
  <r>
    <x v="6"/>
    <s v="Stefan Zaugg"/>
    <x v="1"/>
    <x v="292"/>
    <x v="292"/>
    <n v="1"/>
    <s v="ADET"/>
    <n v="0"/>
    <n v="0"/>
    <n v="93"/>
    <n v="26"/>
    <n v="0"/>
    <n v="351"/>
    <n v="13.5"/>
    <x v="14"/>
    <n v="13.5"/>
    <x v="1"/>
  </r>
  <r>
    <x v="0"/>
    <s v="Matteo Giolo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9"/>
    <s v="Stefan Zaugg"/>
    <x v="1"/>
    <x v="292"/>
    <x v="292"/>
    <n v="1"/>
    <s v="ADET"/>
    <n v="0"/>
    <n v="0"/>
    <n v="93"/>
    <n v="26"/>
    <n v="0"/>
    <n v="351"/>
    <n v="13.5"/>
    <x v="14"/>
    <n v="13.5"/>
    <x v="1"/>
  </r>
  <r>
    <x v="12"/>
    <s v="Stefan Zaugg"/>
    <x v="1"/>
    <x v="292"/>
    <x v="292"/>
    <n v="1"/>
    <s v="ADET"/>
    <n v="0"/>
    <n v="0"/>
    <n v="93"/>
    <n v="26"/>
    <n v="0"/>
    <n v="351"/>
    <n v="13.5"/>
    <x v="14"/>
    <n v="13.5"/>
    <x v="1"/>
  </r>
  <r>
    <x v="14"/>
    <s v="Matteo Giolo"/>
    <x v="1"/>
    <x v="292"/>
    <x v="292"/>
    <n v="2"/>
    <s v="ADET"/>
    <n v="0"/>
    <n v="0"/>
    <n v="93"/>
    <n v="26"/>
    <n v="0"/>
    <n v="351"/>
    <n v="13.5"/>
    <x v="14"/>
    <n v="27"/>
    <x v="1"/>
  </r>
  <r>
    <x v="8"/>
    <s v="Jan Urbanek"/>
    <x v="1"/>
    <x v="290"/>
    <x v="290"/>
    <n v="1"/>
    <s v="ADET"/>
    <n v="0"/>
    <n v="30"/>
    <n v="3"/>
    <n v="-16"/>
    <n v="0"/>
    <n v="0"/>
    <n v="372.91"/>
    <x v="67"/>
    <n v="372.91"/>
    <x v="4"/>
  </r>
  <r>
    <x v="5"/>
    <s v="Matteo Giolo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4"/>
    <s v="Matteo Giolo"/>
    <x v="1"/>
    <x v="276"/>
    <x v="276"/>
    <n v="2"/>
    <s v="ADET"/>
    <n v="0"/>
    <n v="306"/>
    <n v="11"/>
    <n v="-281"/>
    <n v="0"/>
    <n v="0"/>
    <n v="210"/>
    <x v="29"/>
    <n v="420"/>
    <x v="7"/>
  </r>
  <r>
    <x v="2"/>
    <s v="Jan Urbanek"/>
    <x v="1"/>
    <x v="276"/>
    <x v="276"/>
    <n v="2"/>
    <s v="ADET"/>
    <n v="0"/>
    <n v="306"/>
    <n v="11"/>
    <n v="-281"/>
    <n v="0"/>
    <n v="0"/>
    <n v="210"/>
    <x v="29"/>
    <n v="420"/>
    <x v="7"/>
  </r>
  <r>
    <x v="2"/>
    <s v="Jan Urbanek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9"/>
    <s v="Stefan Zaugg"/>
    <x v="1"/>
    <x v="293"/>
    <x v="293"/>
    <n v="12"/>
    <s v="ADET"/>
    <n v="0"/>
    <n v="0"/>
    <n v="0"/>
    <n v="33"/>
    <n v="0"/>
    <n v="3.96"/>
    <n v="0.12"/>
    <x v="80"/>
    <n v="1.44"/>
    <x v="7"/>
  </r>
  <r>
    <x v="4"/>
    <s v="Jan Urbanek"/>
    <x v="1"/>
    <x v="74"/>
    <x v="74"/>
    <n v="2"/>
    <s v="ADET"/>
    <n v="0"/>
    <n v="809"/>
    <n v="0"/>
    <n v="-768"/>
    <n v="0"/>
    <n v="0"/>
    <n v="2.4"/>
    <x v="2"/>
    <n v="4.8"/>
    <x v="1"/>
  </r>
  <r>
    <x v="6"/>
    <s v="Stefan Zaugg"/>
    <x v="1"/>
    <x v="61"/>
    <x v="61"/>
    <n v="3"/>
    <s v="METRE"/>
    <n v="0"/>
    <n v="100"/>
    <n v="26"/>
    <n v="-85"/>
    <n v="0"/>
    <n v="0"/>
    <n v="49.1"/>
    <x v="23"/>
    <n v="147.30000000000001"/>
    <x v="7"/>
  </r>
  <r>
    <x v="5"/>
    <s v="Matteo Giolo"/>
    <x v="1"/>
    <x v="74"/>
    <x v="74"/>
    <n v="2"/>
    <s v="ADET"/>
    <n v="0"/>
    <n v="809"/>
    <n v="0"/>
    <n v="-768"/>
    <n v="0"/>
    <n v="0"/>
    <n v="2.4"/>
    <x v="2"/>
    <n v="4.8"/>
    <x v="1"/>
  </r>
  <r>
    <x v="6"/>
    <s v="Stefan Zaugg"/>
    <x v="1"/>
    <x v="74"/>
    <x v="74"/>
    <n v="2"/>
    <s v="ADET"/>
    <n v="0"/>
    <n v="809"/>
    <n v="0"/>
    <n v="-768"/>
    <n v="0"/>
    <n v="0"/>
    <n v="2.4"/>
    <x v="2"/>
    <n v="4.8"/>
    <x v="1"/>
  </r>
  <r>
    <x v="6"/>
    <s v="Stefan Zaugg"/>
    <x v="1"/>
    <x v="293"/>
    <x v="293"/>
    <n v="12"/>
    <s v="ADET"/>
    <n v="0"/>
    <n v="0"/>
    <n v="0"/>
    <n v="33"/>
    <n v="0"/>
    <n v="3.96"/>
    <n v="0.12"/>
    <x v="80"/>
    <n v="1.44"/>
    <x v="7"/>
  </r>
  <r>
    <x v="15"/>
    <s v="Hayriye Güven"/>
    <x v="1"/>
    <x v="294"/>
    <x v="294"/>
    <n v="1"/>
    <s v="ADET"/>
    <n v="0"/>
    <n v="3"/>
    <n v="2"/>
    <n v="0"/>
    <n v="1"/>
    <n v="0"/>
    <n v="4484.26"/>
    <x v="31"/>
    <n v="4484.26"/>
    <x v="7"/>
  </r>
  <r>
    <x v="12"/>
    <s v="Stefan Zaugg"/>
    <x v="1"/>
    <x v="295"/>
    <x v="295"/>
    <n v="1"/>
    <s v="ADET"/>
    <n v="0"/>
    <n v="2"/>
    <n v="1"/>
    <n v="2"/>
    <n v="0"/>
    <n v="19880.7"/>
    <n v="9940.35"/>
    <x v="76"/>
    <n v="9940.35"/>
    <x v="7"/>
  </r>
  <r>
    <x v="14"/>
    <s v="Matteo Giolo"/>
    <x v="1"/>
    <x v="294"/>
    <x v="294"/>
    <n v="1"/>
    <s v="ADET"/>
    <n v="0"/>
    <n v="3"/>
    <n v="2"/>
    <n v="0"/>
    <n v="1"/>
    <n v="0"/>
    <n v="4484.26"/>
    <x v="31"/>
    <n v="4484.26"/>
    <x v="7"/>
  </r>
  <r>
    <x v="8"/>
    <s v="Jan Urbanek"/>
    <x v="1"/>
    <x v="295"/>
    <x v="295"/>
    <n v="1"/>
    <s v="ADET"/>
    <n v="0"/>
    <n v="2"/>
    <n v="1"/>
    <n v="2"/>
    <n v="0"/>
    <n v="19880.7"/>
    <n v="9940.35"/>
    <x v="76"/>
    <n v="9940.35"/>
    <x v="7"/>
  </r>
  <r>
    <x v="2"/>
    <s v="Jan Urbanek"/>
    <x v="1"/>
    <x v="296"/>
    <x v="296"/>
    <n v="6"/>
    <s v="ADET"/>
    <n v="0"/>
    <n v="84"/>
    <n v="195.89999999999986"/>
    <n v="-24.600000000000023"/>
    <n v="0"/>
    <n v="0"/>
    <n v="29"/>
    <x v="2"/>
    <n v="174"/>
    <x v="1"/>
  </r>
  <r>
    <x v="4"/>
    <s v="Jan Urbanek"/>
    <x v="1"/>
    <x v="297"/>
    <x v="297"/>
    <n v="4"/>
    <s v="ADET"/>
    <n v="0"/>
    <n v="996"/>
    <n v="0"/>
    <n v="-980"/>
    <n v="0"/>
    <n v="0"/>
    <n v="1.8"/>
    <x v="2"/>
    <n v="7.2"/>
    <x v="1"/>
  </r>
  <r>
    <x v="13"/>
    <s v="Volkan Batkan"/>
    <x v="1"/>
    <x v="293"/>
    <x v="293"/>
    <n v="9"/>
    <s v="ADET"/>
    <n v="0"/>
    <n v="0"/>
    <n v="0"/>
    <n v="33"/>
    <n v="0"/>
    <n v="3.96"/>
    <n v="0.12"/>
    <x v="80"/>
    <n v="1.08"/>
    <x v="7"/>
  </r>
  <r>
    <x v="8"/>
    <s v="Jan Urbanek"/>
    <x v="1"/>
    <x v="296"/>
    <x v="296"/>
    <n v="6"/>
    <s v="ADET"/>
    <n v="0"/>
    <n v="84"/>
    <n v="195.89999999999986"/>
    <n v="-24.600000000000023"/>
    <n v="0"/>
    <n v="0"/>
    <n v="29"/>
    <x v="2"/>
    <n v="174"/>
    <x v="1"/>
  </r>
  <r>
    <x v="8"/>
    <s v="Jan Urbanek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8"/>
    <s v="Jan Urbanek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8"/>
    <s v="Jan Urbanek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5"/>
    <s v="Matteo Giolo"/>
    <x v="1"/>
    <x v="294"/>
    <x v="294"/>
    <n v="1"/>
    <s v="ADET"/>
    <n v="0"/>
    <n v="3"/>
    <n v="2"/>
    <n v="0"/>
    <n v="1"/>
    <n v="0"/>
    <n v="4484.26"/>
    <x v="31"/>
    <n v="4484.26"/>
    <x v="7"/>
  </r>
  <r>
    <x v="5"/>
    <s v="Matteo Giolo"/>
    <x v="1"/>
    <x v="296"/>
    <x v="296"/>
    <n v="4.3499999999999996"/>
    <s v="ADET"/>
    <n v="0"/>
    <n v="84"/>
    <n v="195.89999999999986"/>
    <n v="-24.600000000000023"/>
    <n v="0"/>
    <n v="0"/>
    <n v="29"/>
    <x v="2"/>
    <n v="126.14999999999999"/>
    <x v="1"/>
  </r>
  <r>
    <x v="7"/>
    <s v="Stina Alm"/>
    <x v="1"/>
    <x v="200"/>
    <x v="200"/>
    <n v="1"/>
    <s v="ADET"/>
    <n v="0"/>
    <n v="6"/>
    <n v="0"/>
    <n v="8.25"/>
    <n v="0"/>
    <n v="165"/>
    <n v="20"/>
    <x v="14"/>
    <n v="20"/>
    <x v="1"/>
  </r>
  <r>
    <x v="7"/>
    <s v="Stina Alm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5"/>
    <s v="Matteo Giolo"/>
    <x v="1"/>
    <x v="227"/>
    <x v="227"/>
    <n v="3.65"/>
    <s v="ADET"/>
    <n v="0"/>
    <n v="62"/>
    <n v="0.27000000000000668"/>
    <n v="-15.030000000000001"/>
    <n v="0"/>
    <n v="0"/>
    <n v="28"/>
    <x v="2"/>
    <n v="102.2"/>
    <x v="1"/>
  </r>
  <r>
    <x v="7"/>
    <s v="Stina Alm"/>
    <x v="1"/>
    <x v="253"/>
    <x v="253"/>
    <n v="1.35"/>
    <s v="ADET"/>
    <n v="0"/>
    <n v="104"/>
    <n v="3.5527136788005009E-15"/>
    <n v="-81.349999999999994"/>
    <n v="0"/>
    <n v="0"/>
    <n v="22"/>
    <x v="2"/>
    <n v="29.700000000000003"/>
    <x v="1"/>
  </r>
  <r>
    <x v="7"/>
    <s v="Stina Alm"/>
    <x v="1"/>
    <x v="301"/>
    <x v="301"/>
    <n v="1"/>
    <s v="ADET"/>
    <n v="0"/>
    <n v="30"/>
    <n v="20"/>
    <n v="-7"/>
    <n v="0"/>
    <n v="0"/>
    <n v="62.5"/>
    <x v="1"/>
    <n v="62.5"/>
    <x v="1"/>
  </r>
  <r>
    <x v="6"/>
    <s v="Stefan Zaugg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7"/>
    <s v="Stina Alm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8"/>
    <s v="Stina Alm"/>
    <x v="1"/>
    <x v="199"/>
    <x v="199"/>
    <n v="16"/>
    <s v="ADET"/>
    <n v="0"/>
    <n v="200"/>
    <n v="343"/>
    <n v="-8"/>
    <n v="0"/>
    <n v="0"/>
    <n v="9"/>
    <x v="2"/>
    <n v="144"/>
    <x v="1"/>
  </r>
  <r>
    <x v="17"/>
    <s v="Soner Kayıkçı"/>
    <x v="1"/>
    <x v="199"/>
    <x v="199"/>
    <n v="12"/>
    <s v="ADET"/>
    <n v="0"/>
    <n v="200"/>
    <n v="343"/>
    <n v="-8"/>
    <n v="0"/>
    <n v="0"/>
    <n v="9"/>
    <x v="2"/>
    <n v="108"/>
    <x v="1"/>
  </r>
  <r>
    <x v="16"/>
    <s v="Laurent MONTAGNER"/>
    <x v="1"/>
    <x v="199"/>
    <x v="199"/>
    <n v="8"/>
    <s v="ADET"/>
    <n v="0"/>
    <n v="200"/>
    <n v="343"/>
    <n v="-8"/>
    <n v="0"/>
    <n v="0"/>
    <n v="9"/>
    <x v="2"/>
    <n v="72"/>
    <x v="1"/>
  </r>
  <r>
    <x v="18"/>
    <s v="Stina Alm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18"/>
    <s v="Stina Alm"/>
    <x v="1"/>
    <x v="201"/>
    <x v="201"/>
    <n v="0.7"/>
    <s v="ADET"/>
    <n v="0"/>
    <n v="0"/>
    <n v="-1.2878587085651816E-14"/>
    <n v="6.9999999999999991"/>
    <n v="0"/>
    <n v="489.99999999999994"/>
    <n v="70"/>
    <x v="2"/>
    <n v="49"/>
    <x v="1"/>
  </r>
  <r>
    <x v="16"/>
    <s v="Laurent MONTAGNER"/>
    <x v="1"/>
    <x v="201"/>
    <x v="201"/>
    <n v="0.75"/>
    <s v="ADET"/>
    <n v="0"/>
    <n v="0"/>
    <n v="-1.2878587085651816E-14"/>
    <n v="6.9999999999999991"/>
    <n v="0"/>
    <n v="489.99999999999994"/>
    <n v="70"/>
    <x v="2"/>
    <n v="52.5"/>
    <x v="1"/>
  </r>
  <r>
    <x v="7"/>
    <s v="Stina Alm"/>
    <x v="1"/>
    <x v="201"/>
    <x v="201"/>
    <n v="0.7"/>
    <s v="ADET"/>
    <n v="0"/>
    <n v="0"/>
    <n v="-1.2878587085651816E-14"/>
    <n v="6.9999999999999991"/>
    <n v="0"/>
    <n v="489.99999999999994"/>
    <n v="70"/>
    <x v="2"/>
    <n v="49"/>
    <x v="1"/>
  </r>
  <r>
    <x v="7"/>
    <s v="Stina Alm"/>
    <x v="1"/>
    <x v="227"/>
    <x v="227"/>
    <n v="3.3900000000000006"/>
    <s v="ADET"/>
    <n v="0"/>
    <n v="62"/>
    <n v="0.27000000000000668"/>
    <n v="-15.030000000000001"/>
    <n v="0"/>
    <n v="0"/>
    <n v="28"/>
    <x v="2"/>
    <n v="94.920000000000016"/>
    <x v="1"/>
  </r>
  <r>
    <x v="1"/>
    <s v="Laurent MONTAGNER"/>
    <x v="1"/>
    <x v="227"/>
    <x v="227"/>
    <n v="4.04"/>
    <s v="ADET"/>
    <n v="0"/>
    <n v="62"/>
    <n v="0.27000000000000668"/>
    <n v="-15.030000000000001"/>
    <n v="0"/>
    <n v="0"/>
    <n v="28"/>
    <x v="2"/>
    <n v="113.12"/>
    <x v="1"/>
  </r>
  <r>
    <x v="1"/>
    <s v="Laurent MONTAGNER"/>
    <x v="1"/>
    <x v="253"/>
    <x v="253"/>
    <n v="1.61"/>
    <s v="ADET"/>
    <n v="0"/>
    <n v="104"/>
    <n v="3.5527136788005009E-15"/>
    <n v="-81.349999999999994"/>
    <n v="0"/>
    <n v="0"/>
    <n v="22"/>
    <x v="2"/>
    <n v="35.42"/>
    <x v="1"/>
  </r>
  <r>
    <x v="1"/>
    <s v="Laurent MONTAGNER"/>
    <x v="1"/>
    <x v="301"/>
    <x v="301"/>
    <n v="1"/>
    <s v="ADET"/>
    <n v="0"/>
    <n v="30"/>
    <n v="20"/>
    <n v="-7"/>
    <n v="0"/>
    <n v="0"/>
    <n v="62.5"/>
    <x v="1"/>
    <n v="62.5"/>
    <x v="1"/>
  </r>
  <r>
    <x v="1"/>
    <s v="Laurent MONTAGNER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6"/>
    <s v="Laurent MONTAGNER"/>
    <x v="1"/>
    <x v="200"/>
    <x v="200"/>
    <n v="2"/>
    <s v="ADET"/>
    <n v="0"/>
    <n v="6"/>
    <n v="0"/>
    <n v="8.25"/>
    <n v="0"/>
    <n v="165"/>
    <n v="20"/>
    <x v="14"/>
    <n v="40"/>
    <x v="1"/>
  </r>
  <r>
    <x v="17"/>
    <s v="Soner Kayıkçı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16"/>
    <s v="Laurent MONTAGNER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5"/>
    <s v="Matteo Giolo"/>
    <x v="1"/>
    <x v="253"/>
    <x v="253"/>
    <n v="1.46"/>
    <s v="ADET"/>
    <n v="0"/>
    <n v="104"/>
    <n v="3.5527136788005009E-15"/>
    <n v="-81.349999999999994"/>
    <n v="0"/>
    <n v="0"/>
    <n v="22"/>
    <x v="2"/>
    <n v="32.119999999999997"/>
    <x v="1"/>
  </r>
  <r>
    <x v="6"/>
    <s v="Stefan Zaugg"/>
    <x v="1"/>
    <x v="301"/>
    <x v="301"/>
    <n v="1"/>
    <s v="ADET"/>
    <n v="0"/>
    <n v="30"/>
    <n v="20"/>
    <n v="-7"/>
    <n v="0"/>
    <n v="0"/>
    <n v="62.5"/>
    <x v="1"/>
    <n v="62.5"/>
    <x v="1"/>
  </r>
  <r>
    <x v="0"/>
    <s v="Matteo Giolo"/>
    <x v="1"/>
    <x v="301"/>
    <x v="301"/>
    <n v="1"/>
    <s v="ADET"/>
    <n v="0"/>
    <n v="30"/>
    <n v="20"/>
    <n v="-7"/>
    <n v="0"/>
    <n v="0"/>
    <n v="62.5"/>
    <x v="1"/>
    <n v="62.5"/>
    <x v="1"/>
  </r>
  <r>
    <x v="5"/>
    <s v="Matteo Giolo"/>
    <x v="1"/>
    <x v="301"/>
    <x v="301"/>
    <n v="1"/>
    <s v="ADET"/>
    <n v="0"/>
    <n v="30"/>
    <n v="20"/>
    <n v="-7"/>
    <n v="0"/>
    <n v="0"/>
    <n v="62.5"/>
    <x v="1"/>
    <n v="62.5"/>
    <x v="1"/>
  </r>
  <r>
    <x v="5"/>
    <s v="Matteo Giolo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8"/>
    <s v="Stina Alm"/>
    <x v="1"/>
    <x v="200"/>
    <x v="200"/>
    <n v="1"/>
    <s v="ADET"/>
    <n v="0"/>
    <n v="6"/>
    <n v="0"/>
    <n v="8.25"/>
    <n v="0"/>
    <n v="165"/>
    <n v="20"/>
    <x v="14"/>
    <n v="20"/>
    <x v="1"/>
  </r>
  <r>
    <x v="5"/>
    <s v="Matteo Giolo"/>
    <x v="1"/>
    <x v="303"/>
    <x v="303"/>
    <n v="2"/>
    <s v="ADET"/>
    <n v="0"/>
    <n v="26"/>
    <n v="46"/>
    <n v="-8"/>
    <n v="0"/>
    <n v="0"/>
    <n v="12"/>
    <x v="14"/>
    <n v="24"/>
    <x v="1"/>
  </r>
  <r>
    <x v="6"/>
    <s v="Stefan Zaugg"/>
    <x v="1"/>
    <x v="303"/>
    <x v="303"/>
    <n v="1"/>
    <s v="ADET"/>
    <n v="0"/>
    <n v="26"/>
    <n v="46"/>
    <n v="-8"/>
    <n v="0"/>
    <n v="0"/>
    <n v="12"/>
    <x v="14"/>
    <n v="12"/>
    <x v="1"/>
  </r>
  <r>
    <x v="17"/>
    <s v="Soner Kayıkçı"/>
    <x v="1"/>
    <x v="295"/>
    <x v="295"/>
    <n v="1"/>
    <s v="ADET"/>
    <n v="0"/>
    <n v="2"/>
    <n v="1"/>
    <n v="2"/>
    <n v="0"/>
    <n v="19880.7"/>
    <n v="9940.35"/>
    <x v="76"/>
    <n v="9940.35"/>
    <x v="7"/>
  </r>
  <r>
    <x v="18"/>
    <s v="Stina Alm"/>
    <x v="1"/>
    <x v="296"/>
    <x v="296"/>
    <n v="6.35"/>
    <s v="ADET"/>
    <n v="0"/>
    <n v="84"/>
    <n v="195.89999999999986"/>
    <n v="-24.600000000000023"/>
    <n v="0"/>
    <n v="0"/>
    <n v="29"/>
    <x v="2"/>
    <n v="184.14999999999998"/>
    <x v="1"/>
  </r>
  <r>
    <x v="18"/>
    <s v="Stina Alm"/>
    <x v="1"/>
    <x v="304"/>
    <x v="304"/>
    <n v="2"/>
    <s v="ADET"/>
    <n v="0"/>
    <n v="20"/>
    <n v="7"/>
    <n v="-10"/>
    <n v="0"/>
    <n v="0"/>
    <n v="60"/>
    <x v="1"/>
    <n v="120"/>
    <x v="1"/>
  </r>
  <r>
    <x v="12"/>
    <s v="Stefan Zaugg"/>
    <x v="1"/>
    <x v="296"/>
    <x v="296"/>
    <n v="3"/>
    <s v="ADET"/>
    <n v="3"/>
    <n v="84"/>
    <n v="195.89999999999986"/>
    <n v="-24.600000000000023"/>
    <n v="0"/>
    <n v="0"/>
    <n v="29"/>
    <x v="2"/>
    <n v="87"/>
    <x v="1"/>
  </r>
  <r>
    <x v="13"/>
    <s v="Volkan Batkan"/>
    <x v="1"/>
    <x v="296"/>
    <x v="296"/>
    <n v="4"/>
    <s v="ADET"/>
    <n v="4"/>
    <n v="84"/>
    <n v="195.89999999999986"/>
    <n v="-24.600000000000023"/>
    <n v="0"/>
    <n v="0"/>
    <n v="29"/>
    <x v="2"/>
    <n v="116"/>
    <x v="1"/>
  </r>
  <r>
    <x v="2"/>
    <s v="Jan Urbanek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8"/>
    <s v="Jan Urbanek"/>
    <x v="1"/>
    <x v="305"/>
    <x v="305"/>
    <n v="1"/>
    <s v="ADET"/>
    <n v="0"/>
    <n v="26"/>
    <n v="3"/>
    <n v="-12"/>
    <n v="0"/>
    <n v="0"/>
    <n v="360.05"/>
    <x v="67"/>
    <n v="360.05"/>
    <x v="4"/>
  </r>
  <r>
    <x v="4"/>
    <s v="Jan Urbanek"/>
    <x v="1"/>
    <x v="306"/>
    <x v="306"/>
    <n v="4.4000000000000004"/>
    <s v="ADET"/>
    <n v="0"/>
    <n v="85"/>
    <n v="3.6500000000000106"/>
    <n v="12.549999999999997"/>
    <n v="0"/>
    <n v="4368.7804999999989"/>
    <n v="348.11"/>
    <x v="11"/>
    <n v="1531.6840000000002"/>
    <x v="3"/>
  </r>
  <r>
    <x v="3"/>
    <s v="Jan Urbanek"/>
    <x v="1"/>
    <x v="306"/>
    <x v="306"/>
    <n v="4.1500000000000004"/>
    <s v="ADET"/>
    <n v="0"/>
    <n v="85"/>
    <n v="3.6500000000000106"/>
    <n v="12.549999999999997"/>
    <n v="0"/>
    <n v="4368.7804999999989"/>
    <n v="348.11"/>
    <x v="11"/>
    <n v="1444.6565000000003"/>
    <x v="3"/>
  </r>
  <r>
    <x v="7"/>
    <s v="Stina Alm"/>
    <x v="1"/>
    <x v="296"/>
    <x v="296"/>
    <n v="6.35"/>
    <s v="ADET"/>
    <n v="0"/>
    <n v="84"/>
    <n v="195.89999999999986"/>
    <n v="-24.600000000000023"/>
    <n v="0"/>
    <n v="0"/>
    <n v="29"/>
    <x v="2"/>
    <n v="184.14999999999998"/>
    <x v="1"/>
  </r>
  <r>
    <x v="7"/>
    <s v="Stina Alm"/>
    <x v="1"/>
    <x v="304"/>
    <x v="304"/>
    <n v="2"/>
    <s v="ADET"/>
    <n v="0"/>
    <n v="20"/>
    <n v="7"/>
    <n v="-10"/>
    <n v="0"/>
    <n v="0"/>
    <n v="60"/>
    <x v="1"/>
    <n v="120"/>
    <x v="1"/>
  </r>
  <r>
    <x v="1"/>
    <s v="Laurent MONTAGNER"/>
    <x v="1"/>
    <x v="303"/>
    <x v="303"/>
    <n v="2"/>
    <s v="ADET"/>
    <n v="0"/>
    <n v="26"/>
    <n v="46"/>
    <n v="-8"/>
    <n v="0"/>
    <n v="0"/>
    <n v="12"/>
    <x v="14"/>
    <n v="24"/>
    <x v="1"/>
  </r>
  <r>
    <x v="7"/>
    <s v="Stina Alm"/>
    <x v="1"/>
    <x v="303"/>
    <x v="303"/>
    <n v="2"/>
    <s v="ADET"/>
    <n v="0"/>
    <n v="26"/>
    <n v="46"/>
    <n v="-8"/>
    <n v="0"/>
    <n v="0"/>
    <n v="12"/>
    <x v="14"/>
    <n v="24"/>
    <x v="1"/>
  </r>
  <r>
    <x v="4"/>
    <s v="Jan Urbanek"/>
    <x v="1"/>
    <x v="295"/>
    <x v="295"/>
    <n v="1"/>
    <s v="ADET"/>
    <n v="0"/>
    <n v="2"/>
    <n v="1"/>
    <n v="2"/>
    <n v="0"/>
    <n v="19880.7"/>
    <n v="9940.35"/>
    <x v="76"/>
    <n v="9940.35"/>
    <x v="7"/>
  </r>
  <r>
    <x v="4"/>
    <s v="Jan Urbanek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8"/>
    <s v="Jan Urbanek"/>
    <x v="1"/>
    <x v="297"/>
    <x v="297"/>
    <n v="4"/>
    <s v="ADET"/>
    <n v="0"/>
    <n v="996"/>
    <n v="0"/>
    <n v="-980"/>
    <n v="0"/>
    <n v="0"/>
    <n v="1.8"/>
    <x v="2"/>
    <n v="7.2"/>
    <x v="1"/>
  </r>
  <r>
    <x v="4"/>
    <s v="Jan Urbanek"/>
    <x v="1"/>
    <x v="305"/>
    <x v="305"/>
    <n v="1"/>
    <s v="ADET"/>
    <n v="0"/>
    <n v="26"/>
    <n v="3"/>
    <n v="-12"/>
    <n v="0"/>
    <n v="0"/>
    <n v="360.05"/>
    <x v="67"/>
    <n v="360.05"/>
    <x v="4"/>
  </r>
  <r>
    <x v="3"/>
    <s v="Jan Urbanek"/>
    <x v="1"/>
    <x v="305"/>
    <x v="305"/>
    <n v="1"/>
    <s v="ADET"/>
    <n v="0"/>
    <n v="26"/>
    <n v="3"/>
    <n v="-12"/>
    <n v="0"/>
    <n v="0"/>
    <n v="360.05"/>
    <x v="67"/>
    <n v="360.05"/>
    <x v="4"/>
  </r>
  <r>
    <x v="8"/>
    <s v="Jan Urbanek"/>
    <x v="1"/>
    <x v="306"/>
    <x v="306"/>
    <n v="4.4000000000000004"/>
    <s v="ADET"/>
    <n v="0"/>
    <n v="85"/>
    <n v="3.6500000000000106"/>
    <n v="12.549999999999997"/>
    <n v="0"/>
    <n v="4368.7804999999989"/>
    <n v="348.11"/>
    <x v="11"/>
    <n v="1531.6840000000002"/>
    <x v="3"/>
  </r>
  <r>
    <x v="3"/>
    <s v="Jan Urbanek"/>
    <x v="1"/>
    <x v="296"/>
    <x v="296"/>
    <n v="6"/>
    <s v="ADET"/>
    <n v="6"/>
    <n v="84"/>
    <n v="195.89999999999986"/>
    <n v="-24.600000000000023"/>
    <n v="0"/>
    <n v="0"/>
    <n v="29"/>
    <x v="2"/>
    <n v="174"/>
    <x v="1"/>
  </r>
  <r>
    <x v="4"/>
    <s v="Jan Urbanek"/>
    <x v="1"/>
    <x v="296"/>
    <x v="296"/>
    <n v="6"/>
    <s v="ADET"/>
    <n v="0"/>
    <n v="84"/>
    <n v="195.89999999999986"/>
    <n v="-24.600000000000023"/>
    <n v="0"/>
    <n v="0"/>
    <n v="29"/>
    <x v="2"/>
    <n v="174"/>
    <x v="1"/>
  </r>
  <r>
    <x v="2"/>
    <s v="Jan Urbanek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3"/>
    <s v="Jan Urbanek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4"/>
    <s v="Jan Urbanek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2"/>
    <s v="Jan Urbanek"/>
    <x v="1"/>
    <x v="305"/>
    <x v="305"/>
    <n v="1"/>
    <s v="ADET"/>
    <n v="0"/>
    <n v="26"/>
    <n v="3"/>
    <n v="-12"/>
    <n v="0"/>
    <n v="0"/>
    <n v="360.05"/>
    <x v="67"/>
    <n v="360.05"/>
    <x v="4"/>
  </r>
  <r>
    <x v="2"/>
    <s v="Jan Urbanek"/>
    <x v="1"/>
    <x v="306"/>
    <x v="306"/>
    <n v="4.4000000000000004"/>
    <s v="ADET"/>
    <n v="0"/>
    <n v="85"/>
    <n v="3.6500000000000106"/>
    <n v="12.549999999999997"/>
    <n v="0"/>
    <n v="4368.7804999999989"/>
    <n v="348.11"/>
    <x v="11"/>
    <n v="1531.6840000000002"/>
    <x v="3"/>
  </r>
  <r>
    <x v="3"/>
    <s v="Jan Urbanek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8"/>
    <s v="Jan Urbanek"/>
    <x v="1"/>
    <x v="301"/>
    <x v="301"/>
    <n v="2"/>
    <s v="ADET"/>
    <n v="0"/>
    <n v="30"/>
    <n v="20"/>
    <n v="-7"/>
    <n v="0"/>
    <n v="0"/>
    <n v="62.5"/>
    <x v="1"/>
    <n v="125"/>
    <x v="1"/>
  </r>
  <r>
    <x v="9"/>
    <s v="Stefan Zaugg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10"/>
    <s v="Murat Taşdemir"/>
    <x v="1"/>
    <x v="253"/>
    <x v="253"/>
    <n v="1.46"/>
    <s v="ADET"/>
    <n v="0"/>
    <n v="104"/>
    <n v="3.5527136788005009E-15"/>
    <n v="-81.349999999999994"/>
    <n v="0"/>
    <n v="0"/>
    <n v="22"/>
    <x v="2"/>
    <n v="32.119999999999997"/>
    <x v="1"/>
  </r>
  <r>
    <x v="13"/>
    <s v="Volkan Batkan"/>
    <x v="1"/>
    <x v="301"/>
    <x v="301"/>
    <n v="2"/>
    <s v="ADET"/>
    <n v="0"/>
    <n v="30"/>
    <n v="20"/>
    <n v="-7"/>
    <n v="0"/>
    <n v="0"/>
    <n v="62.5"/>
    <x v="1"/>
    <n v="125"/>
    <x v="1"/>
  </r>
  <r>
    <x v="9"/>
    <s v="Stefan Zaugg"/>
    <x v="1"/>
    <x v="301"/>
    <x v="301"/>
    <n v="1"/>
    <s v="ADET"/>
    <n v="0"/>
    <n v="30"/>
    <n v="20"/>
    <n v="-7"/>
    <n v="0"/>
    <n v="0"/>
    <n v="62.5"/>
    <x v="1"/>
    <n v="62.5"/>
    <x v="1"/>
  </r>
  <r>
    <x v="10"/>
    <s v="Murat Taşdemir"/>
    <x v="1"/>
    <x v="301"/>
    <x v="301"/>
    <n v="1"/>
    <s v="ADET"/>
    <n v="0"/>
    <n v="30"/>
    <n v="20"/>
    <n v="-7"/>
    <n v="0"/>
    <n v="0"/>
    <n v="62.5"/>
    <x v="1"/>
    <n v="62.5"/>
    <x v="1"/>
  </r>
  <r>
    <x v="2"/>
    <s v="Jan Urbanek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2"/>
    <s v="Jan Urbanek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8"/>
    <s v="Jan Urbanek"/>
    <x v="1"/>
    <x v="284"/>
    <x v="284"/>
    <n v="1"/>
    <s v="ADET"/>
    <n v="0"/>
    <n v="28"/>
    <n v="12"/>
    <n v="-17"/>
    <n v="0"/>
    <n v="0"/>
    <n v="15"/>
    <x v="29"/>
    <n v="15"/>
    <x v="7"/>
  </r>
  <r>
    <x v="8"/>
    <s v="Jan Urbanek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10"/>
    <s v="Murat Taşdemir"/>
    <x v="1"/>
    <x v="285"/>
    <x v="285"/>
    <n v="9"/>
    <s v="ADET"/>
    <n v="0"/>
    <n v="150"/>
    <n v="78"/>
    <n v="-48"/>
    <n v="0"/>
    <n v="0"/>
    <n v="20.83"/>
    <x v="14"/>
    <n v="187.46999999999997"/>
    <x v="1"/>
  </r>
  <r>
    <x v="13"/>
    <s v="Volkan Batkan"/>
    <x v="1"/>
    <x v="308"/>
    <x v="308"/>
    <n v="1"/>
    <s v="ADET"/>
    <n v="1"/>
    <n v="1"/>
    <n v="5"/>
    <n v="0"/>
    <n v="0"/>
    <n v="0"/>
    <n v="250"/>
    <x v="62"/>
    <n v="250"/>
    <x v="4"/>
  </r>
  <r>
    <x v="13"/>
    <s v="Volkan Batkan"/>
    <x v="1"/>
    <x v="284"/>
    <x v="284"/>
    <n v="1"/>
    <s v="ADET"/>
    <n v="1"/>
    <n v="28"/>
    <n v="12"/>
    <n v="-17"/>
    <n v="0"/>
    <n v="0"/>
    <n v="15"/>
    <x v="29"/>
    <n v="15"/>
    <x v="7"/>
  </r>
  <r>
    <x v="18"/>
    <s v="Stina Alm"/>
    <x v="1"/>
    <x v="213"/>
    <x v="213"/>
    <n v="3.17"/>
    <s v="ADET"/>
    <n v="0"/>
    <n v="111"/>
    <n v="4.2632564145606011E-14"/>
    <n v="-52.539999999999992"/>
    <n v="0"/>
    <n v="0"/>
    <n v="36"/>
    <x v="2"/>
    <n v="114.12"/>
    <x v="1"/>
  </r>
  <r>
    <x v="17"/>
    <s v="Soner Kayıkçı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16"/>
    <s v="Laurent MONTAGNER"/>
    <x v="1"/>
    <x v="213"/>
    <x v="213"/>
    <n v="3.17"/>
    <s v="ADET"/>
    <n v="0"/>
    <n v="111"/>
    <n v="4.2632564145606011E-14"/>
    <n v="-52.539999999999992"/>
    <n v="0"/>
    <n v="0"/>
    <n v="36"/>
    <x v="2"/>
    <n v="114.12"/>
    <x v="1"/>
  </r>
  <r>
    <x v="19"/>
    <s v="Laurent MONTAGNER"/>
    <x v="1"/>
    <x v="219"/>
    <x v="219"/>
    <n v="5"/>
    <s v="M2"/>
    <n v="0"/>
    <n v="0"/>
    <n v="-1.4210854715202004E-14"/>
    <n v="52"/>
    <n v="0"/>
    <n v="28423.200000000001"/>
    <n v="546.6"/>
    <x v="71"/>
    <n v="2733"/>
    <x v="8"/>
  </r>
  <r>
    <x v="5"/>
    <s v="Matteo Giolo"/>
    <x v="1"/>
    <x v="265"/>
    <x v="265"/>
    <n v="1"/>
    <s v="ADET"/>
    <n v="0"/>
    <n v="14"/>
    <n v="8"/>
    <n v="-1"/>
    <n v="0"/>
    <n v="0"/>
    <n v="270"/>
    <x v="29"/>
    <n v="270"/>
    <x v="7"/>
  </r>
  <r>
    <x v="16"/>
    <s v="Laurent MONTAGNER"/>
    <x v="1"/>
    <x v="96"/>
    <x v="96"/>
    <n v="0.89999999999999991"/>
    <s v="ADET"/>
    <n v="0"/>
    <n v="5"/>
    <n v="0.29999999999999449"/>
    <n v="9.6499999999999986"/>
    <n v="0"/>
    <n v="15656.159999999998"/>
    <n v="1622.4"/>
    <x v="32"/>
    <n v="1460.1599999999999"/>
    <x v="3"/>
  </r>
  <r>
    <x v="17"/>
    <s v="Soner Kayıkçı"/>
    <x v="1"/>
    <x v="96"/>
    <x v="96"/>
    <n v="0.7"/>
    <s v="ADET"/>
    <n v="0"/>
    <n v="5"/>
    <n v="0.29999999999999449"/>
    <n v="9.6499999999999986"/>
    <n v="0"/>
    <n v="15656.159999999998"/>
    <n v="1622.4"/>
    <x v="32"/>
    <n v="1135.68"/>
    <x v="3"/>
  </r>
  <r>
    <x v="16"/>
    <s v="Laurent MONTAGNER"/>
    <x v="1"/>
    <x v="254"/>
    <x v="254"/>
    <n v="9"/>
    <s v="METRE"/>
    <n v="0"/>
    <n v="0"/>
    <n v="344"/>
    <n v="54"/>
    <n v="0"/>
    <n v="1102.68"/>
    <n v="20.420000000000002"/>
    <x v="61"/>
    <n v="183.78000000000003"/>
    <x v="8"/>
  </r>
  <r>
    <x v="17"/>
    <s v="Soner Kayıkçı"/>
    <x v="1"/>
    <x v="254"/>
    <x v="254"/>
    <n v="9"/>
    <s v="METRE"/>
    <n v="0"/>
    <n v="0"/>
    <n v="344"/>
    <n v="54"/>
    <n v="0"/>
    <n v="1102.68"/>
    <n v="20.420000000000002"/>
    <x v="61"/>
    <n v="183.78000000000003"/>
    <x v="8"/>
  </r>
  <r>
    <x v="2"/>
    <s v="Jan Urbanek"/>
    <x v="1"/>
    <x v="217"/>
    <x v="217"/>
    <n v="6"/>
    <s v="METRE"/>
    <n v="0"/>
    <n v="100"/>
    <n v="50"/>
    <n v="-16"/>
    <n v="0"/>
    <n v="0"/>
    <n v="46"/>
    <x v="70"/>
    <n v="276"/>
    <x v="7"/>
  </r>
  <r>
    <x v="2"/>
    <s v="Jan Urbanek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4"/>
    <s v="Jan Urbanek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8"/>
    <s v="Jan Urbanek"/>
    <x v="1"/>
    <x v="264"/>
    <x v="264"/>
    <n v="2"/>
    <s v="ADET"/>
    <n v="0"/>
    <n v="3"/>
    <n v="0"/>
    <n v="13"/>
    <n v="0"/>
    <n v="702"/>
    <n v="54"/>
    <x v="14"/>
    <n v="108"/>
    <x v="1"/>
  </r>
  <r>
    <x v="8"/>
    <s v="Jan Urbanek"/>
    <x v="1"/>
    <x v="265"/>
    <x v="265"/>
    <n v="1"/>
    <s v="ADET"/>
    <n v="0"/>
    <n v="14"/>
    <n v="8"/>
    <n v="-1"/>
    <n v="0"/>
    <n v="0"/>
    <n v="270"/>
    <x v="29"/>
    <n v="270"/>
    <x v="7"/>
  </r>
  <r>
    <x v="8"/>
    <s v="Jan Urbanek"/>
    <x v="1"/>
    <x v="266"/>
    <x v="266"/>
    <n v="6"/>
    <s v="ADET"/>
    <n v="0"/>
    <n v="0"/>
    <n v="0"/>
    <n v="56"/>
    <n v="0"/>
    <n v="0"/>
    <n v="0"/>
    <x v="6"/>
    <n v="0"/>
    <x v="1"/>
  </r>
  <r>
    <x v="6"/>
    <s v="Stefan Zaugg"/>
    <x v="1"/>
    <x v="309"/>
    <x v="309"/>
    <n v="2"/>
    <s v="ADET"/>
    <n v="2"/>
    <n v="6"/>
    <n v="8"/>
    <n v="-6"/>
    <n v="0"/>
    <n v="0"/>
    <n v="225"/>
    <x v="14"/>
    <n v="450"/>
    <x v="1"/>
  </r>
  <r>
    <x v="7"/>
    <s v="Stina Alm"/>
    <x v="1"/>
    <x v="265"/>
    <x v="265"/>
    <n v="1"/>
    <s v="ADET"/>
    <n v="0"/>
    <n v="14"/>
    <n v="8"/>
    <n v="-1"/>
    <n v="0"/>
    <n v="0"/>
    <n v="270"/>
    <x v="29"/>
    <n v="270"/>
    <x v="7"/>
  </r>
  <r>
    <x v="18"/>
    <s v="Stina Alm"/>
    <x v="1"/>
    <x v="95"/>
    <x v="95"/>
    <n v="2"/>
    <s v="ADET"/>
    <n v="0"/>
    <n v="222"/>
    <n v="2"/>
    <n v="-166"/>
    <n v="0"/>
    <n v="0"/>
    <n v="11.5"/>
    <x v="2"/>
    <n v="23"/>
    <x v="4"/>
  </r>
  <r>
    <x v="18"/>
    <s v="Stina Alm"/>
    <x v="1"/>
    <x v="96"/>
    <x v="96"/>
    <n v="0.85000000000000009"/>
    <s v="ADET"/>
    <n v="0"/>
    <n v="5"/>
    <n v="0.29999999999999449"/>
    <n v="9.6499999999999986"/>
    <n v="0"/>
    <n v="15656.159999999998"/>
    <n v="1622.4"/>
    <x v="32"/>
    <n v="1379.0400000000002"/>
    <x v="3"/>
  </r>
  <r>
    <x v="18"/>
    <s v="Stina Alm"/>
    <x v="1"/>
    <x v="254"/>
    <x v="254"/>
    <n v="9"/>
    <s v="METRE"/>
    <n v="0"/>
    <n v="0"/>
    <n v="344"/>
    <n v="54"/>
    <n v="0"/>
    <n v="1102.68"/>
    <n v="20.420000000000002"/>
    <x v="61"/>
    <n v="183.78000000000003"/>
    <x v="8"/>
  </r>
  <r>
    <x v="2"/>
    <s v="Jan Urbanek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2"/>
    <s v="Jan Urbanek"/>
    <x v="1"/>
    <x v="290"/>
    <x v="290"/>
    <n v="1"/>
    <s v="ADET"/>
    <n v="0"/>
    <n v="30"/>
    <n v="3"/>
    <n v="-16"/>
    <n v="0"/>
    <n v="0"/>
    <n v="372.91"/>
    <x v="67"/>
    <n v="372.91"/>
    <x v="4"/>
  </r>
  <r>
    <x v="2"/>
    <s v="Jan Urbanek"/>
    <x v="1"/>
    <x v="291"/>
    <x v="291"/>
    <n v="1"/>
    <s v="ADET"/>
    <n v="0"/>
    <n v="27"/>
    <n v="3"/>
    <n v="-13"/>
    <n v="0"/>
    <n v="0"/>
    <n v="372.91"/>
    <x v="67"/>
    <n v="372.91"/>
    <x v="4"/>
  </r>
  <r>
    <x v="5"/>
    <s v="Matteo Giolo"/>
    <x v="1"/>
    <x v="292"/>
    <x v="292"/>
    <n v="3"/>
    <s v="ADET"/>
    <n v="0"/>
    <n v="0"/>
    <n v="93"/>
    <n v="26"/>
    <n v="0"/>
    <n v="351"/>
    <n v="13.5"/>
    <x v="14"/>
    <n v="40.5"/>
    <x v="1"/>
  </r>
  <r>
    <x v="8"/>
    <s v="Jan Urbanek"/>
    <x v="1"/>
    <x v="276"/>
    <x v="276"/>
    <n v="2"/>
    <s v="ADET"/>
    <n v="0"/>
    <n v="306"/>
    <n v="11"/>
    <n v="-281"/>
    <n v="0"/>
    <n v="0"/>
    <n v="210"/>
    <x v="29"/>
    <n v="420"/>
    <x v="7"/>
  </r>
  <r>
    <x v="8"/>
    <s v="Jan Urbanek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8"/>
    <s v="Jan Urbanek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8"/>
    <s v="Jan Urbanek"/>
    <x v="1"/>
    <x v="291"/>
    <x v="291"/>
    <n v="1"/>
    <s v="ADET"/>
    <n v="0"/>
    <n v="27"/>
    <n v="3"/>
    <n v="-13"/>
    <n v="0"/>
    <n v="0"/>
    <n v="372.91"/>
    <x v="67"/>
    <n v="372.91"/>
    <x v="4"/>
  </r>
  <r>
    <x v="7"/>
    <s v="Stina Alm"/>
    <x v="1"/>
    <x v="276"/>
    <x v="276"/>
    <n v="2"/>
    <s v="ADET"/>
    <n v="0"/>
    <n v="306"/>
    <n v="11"/>
    <n v="-281"/>
    <n v="0"/>
    <n v="0"/>
    <n v="210"/>
    <x v="29"/>
    <n v="420"/>
    <x v="7"/>
  </r>
  <r>
    <x v="5"/>
    <s v="Matteo Giolo"/>
    <x v="1"/>
    <x v="276"/>
    <x v="276"/>
    <n v="2"/>
    <s v="ADET"/>
    <n v="0"/>
    <n v="306"/>
    <n v="11"/>
    <n v="-281"/>
    <n v="0"/>
    <n v="0"/>
    <n v="210"/>
    <x v="29"/>
    <n v="420"/>
    <x v="7"/>
  </r>
  <r>
    <x v="19"/>
    <s v="Laurent MONTAGNER"/>
    <x v="1"/>
    <x v="160"/>
    <x v="160"/>
    <n v="7"/>
    <s v="ADET"/>
    <n v="0"/>
    <n v="39"/>
    <n v="36"/>
    <n v="63"/>
    <n v="0"/>
    <n v="6615"/>
    <n v="105"/>
    <x v="58"/>
    <n v="735"/>
    <x v="4"/>
  </r>
  <r>
    <x v="16"/>
    <s v="Laurent MONTAGNER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9"/>
    <s v="Laurent MONTAGNER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17"/>
    <s v="Soner Kayıkçı"/>
    <x v="1"/>
    <x v="162"/>
    <x v="162"/>
    <n v="0.25"/>
    <s v="METRE"/>
    <n v="0"/>
    <n v="52"/>
    <n v="38.61999999999999"/>
    <n v="-47.39"/>
    <n v="0"/>
    <n v="0"/>
    <n v="126.36"/>
    <x v="59"/>
    <n v="31.59"/>
    <x v="4"/>
  </r>
  <r>
    <x v="19"/>
    <s v="Laurent MONTAGNER"/>
    <x v="1"/>
    <x v="163"/>
    <x v="163"/>
    <n v="6.6"/>
    <s v="METRE"/>
    <n v="0"/>
    <n v="100"/>
    <n v="1.9999999999999432"/>
    <n v="-6.4000000000000057"/>
    <n v="0"/>
    <n v="0"/>
    <n v="111"/>
    <x v="23"/>
    <n v="732.59999999999991"/>
    <x v="7"/>
  </r>
  <r>
    <x v="17"/>
    <s v="Soner Kayıkçı"/>
    <x v="1"/>
    <x v="183"/>
    <x v="183"/>
    <n v="1"/>
    <s v="ADET"/>
    <n v="0"/>
    <n v="26"/>
    <n v="8"/>
    <n v="-22"/>
    <n v="0"/>
    <n v="0"/>
    <n v="368.07"/>
    <x v="65"/>
    <n v="368.07"/>
    <x v="7"/>
  </r>
  <r>
    <x v="17"/>
    <s v="Soner Kayıkçı"/>
    <x v="1"/>
    <x v="203"/>
    <x v="203"/>
    <n v="0.5"/>
    <s v="ADET"/>
    <n v="0"/>
    <n v="100"/>
    <n v="41"/>
    <n v="-89.5"/>
    <n v="0"/>
    <n v="0"/>
    <n v="60"/>
    <x v="29"/>
    <n v="30"/>
    <x v="1"/>
  </r>
  <r>
    <x v="7"/>
    <s v="Stina Alm"/>
    <x v="1"/>
    <x v="256"/>
    <x v="256"/>
    <n v="2"/>
    <s v="ADET"/>
    <n v="0"/>
    <n v="228"/>
    <n v="0"/>
    <n v="-186"/>
    <n v="0"/>
    <n v="0"/>
    <n v="6"/>
    <x v="18"/>
    <n v="12"/>
    <x v="1"/>
  </r>
  <r>
    <x v="6"/>
    <s v="Stefan Zaugg"/>
    <x v="1"/>
    <x v="310"/>
    <x v="310"/>
    <n v="16"/>
    <s v="ADET"/>
    <n v="0"/>
    <n v="150"/>
    <n v="0"/>
    <n v="194"/>
    <n v="0"/>
    <n v="5383.5"/>
    <n v="27.75"/>
    <x v="82"/>
    <n v="444"/>
    <x v="6"/>
  </r>
  <r>
    <x v="5"/>
    <s v="Matteo Giolo"/>
    <x v="1"/>
    <x v="310"/>
    <x v="310"/>
    <n v="21"/>
    <s v="ADET"/>
    <n v="0"/>
    <n v="150"/>
    <n v="0"/>
    <n v="194"/>
    <n v="0"/>
    <n v="5383.5"/>
    <n v="27.75"/>
    <x v="82"/>
    <n v="582.75"/>
    <x v="6"/>
  </r>
  <r>
    <x v="7"/>
    <s v="Stina Alm"/>
    <x v="1"/>
    <x v="311"/>
    <x v="311"/>
    <n v="5"/>
    <s v="METRE"/>
    <n v="0"/>
    <n v="0"/>
    <n v="165"/>
    <n v="-289"/>
    <n v="400"/>
    <n v="0"/>
    <n v="5"/>
    <x v="49"/>
    <n v="25"/>
    <x v="1"/>
  </r>
  <r>
    <x v="4"/>
    <s v="Jan Urbanek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1"/>
    <s v="Laurent MONTAGNER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6"/>
    <s v="Stefan Zaugg"/>
    <x v="1"/>
    <x v="163"/>
    <x v="163"/>
    <n v="5.0999999999999996"/>
    <s v="METRE"/>
    <n v="0"/>
    <n v="100"/>
    <n v="1.9999999999999432"/>
    <n v="-6.4000000000000057"/>
    <n v="0"/>
    <n v="0"/>
    <n v="111"/>
    <x v="23"/>
    <n v="566.09999999999991"/>
    <x v="7"/>
  </r>
  <r>
    <x v="5"/>
    <s v="Matteo Giolo"/>
    <x v="1"/>
    <x v="163"/>
    <x v="163"/>
    <n v="8"/>
    <s v="METRE"/>
    <n v="0"/>
    <n v="100"/>
    <n v="1.9999999999999432"/>
    <n v="-6.4000000000000057"/>
    <n v="0"/>
    <n v="0"/>
    <n v="111"/>
    <x v="23"/>
    <n v="888"/>
    <x v="7"/>
  </r>
  <r>
    <x v="5"/>
    <s v="Matteo Giolo"/>
    <x v="1"/>
    <x v="203"/>
    <x v="203"/>
    <n v="1"/>
    <s v="ADET"/>
    <n v="0"/>
    <n v="100"/>
    <n v="41"/>
    <n v="-89.5"/>
    <n v="0"/>
    <n v="0"/>
    <n v="60"/>
    <x v="29"/>
    <n v="60"/>
    <x v="1"/>
  </r>
  <r>
    <x v="6"/>
    <s v="Stefan Zaugg"/>
    <x v="1"/>
    <x v="256"/>
    <x v="256"/>
    <n v="2"/>
    <s v="ADET"/>
    <n v="0"/>
    <n v="228"/>
    <n v="0"/>
    <n v="-186"/>
    <n v="0"/>
    <n v="0"/>
    <n v="6"/>
    <x v="18"/>
    <n v="12"/>
    <x v="1"/>
  </r>
  <r>
    <x v="17"/>
    <s v="Soner Kayıkçı"/>
    <x v="1"/>
    <x v="127"/>
    <x v="127"/>
    <n v="2.7"/>
    <s v="ADET"/>
    <n v="0"/>
    <n v="14"/>
    <n v="6.7999999999999972"/>
    <n v="7.7000000000000028"/>
    <n v="12"/>
    <n v="2532.1450000000009"/>
    <n v="328.85"/>
    <x v="47"/>
    <n v="887.8950000000001"/>
    <x v="3"/>
  </r>
  <r>
    <x v="0"/>
    <s v="Matteo Giolo"/>
    <x v="1"/>
    <x v="202"/>
    <x v="202"/>
    <n v="5"/>
    <s v="ADET"/>
    <n v="0"/>
    <n v="234"/>
    <n v="30"/>
    <n v="-169"/>
    <n v="0"/>
    <n v="0"/>
    <n v="15.21"/>
    <x v="23"/>
    <n v="76.050000000000011"/>
    <x v="7"/>
  </r>
  <r>
    <x v="0"/>
    <s v="Matteo Giolo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0"/>
    <s v="Matteo Giolo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9"/>
    <s v="Laurent MONTAGNER"/>
    <x v="1"/>
    <x v="199"/>
    <x v="199"/>
    <n v="16"/>
    <s v="ADET"/>
    <n v="0"/>
    <n v="200"/>
    <n v="343"/>
    <n v="-8"/>
    <n v="0"/>
    <n v="0"/>
    <n v="9"/>
    <x v="2"/>
    <n v="144"/>
    <x v="1"/>
  </r>
  <r>
    <x v="19"/>
    <s v="Laurent MONTAGNER"/>
    <x v="1"/>
    <x v="200"/>
    <x v="200"/>
    <n v="1"/>
    <s v="ADET"/>
    <n v="0"/>
    <n v="6"/>
    <n v="0"/>
    <n v="8.25"/>
    <n v="0"/>
    <n v="165"/>
    <n v="20"/>
    <x v="14"/>
    <n v="20"/>
    <x v="1"/>
  </r>
  <r>
    <x v="19"/>
    <s v="Laurent MONTAGNER"/>
    <x v="1"/>
    <x v="201"/>
    <x v="201"/>
    <n v="0.8"/>
    <s v="ADET"/>
    <n v="0"/>
    <n v="0"/>
    <n v="-1.2878587085651816E-14"/>
    <n v="6.9999999999999991"/>
    <n v="0"/>
    <n v="489.99999999999994"/>
    <n v="70"/>
    <x v="2"/>
    <n v="56"/>
    <x v="1"/>
  </r>
  <r>
    <x v="19"/>
    <s v="Laurent MONTAGNER"/>
    <x v="1"/>
    <x v="227"/>
    <x v="227"/>
    <n v="4.04"/>
    <s v="ADET"/>
    <n v="0"/>
    <n v="62"/>
    <n v="0.27000000000000668"/>
    <n v="-15.030000000000001"/>
    <n v="0"/>
    <n v="0"/>
    <n v="28"/>
    <x v="2"/>
    <n v="113.12"/>
    <x v="1"/>
  </r>
  <r>
    <x v="17"/>
    <s v="Soner Kayıkçı"/>
    <x v="1"/>
    <x v="227"/>
    <x v="227"/>
    <n v="2.5"/>
    <s v="ADET"/>
    <n v="0"/>
    <n v="62"/>
    <n v="0.27000000000000668"/>
    <n v="-15.030000000000001"/>
    <n v="0"/>
    <n v="0"/>
    <n v="28"/>
    <x v="2"/>
    <n v="70"/>
    <x v="1"/>
  </r>
  <r>
    <x v="16"/>
    <s v="Laurent MONTAGNER"/>
    <x v="1"/>
    <x v="227"/>
    <x v="227"/>
    <n v="3.65"/>
    <s v="ADET"/>
    <n v="0"/>
    <n v="62"/>
    <n v="0.27000000000000668"/>
    <n v="-15.030000000000001"/>
    <n v="0"/>
    <n v="0"/>
    <n v="28"/>
    <x v="2"/>
    <n v="102.2"/>
    <x v="1"/>
  </r>
  <r>
    <x v="2"/>
    <s v="Jan Urbanek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3"/>
    <s v="Jan Urbanek"/>
    <x v="1"/>
    <x v="301"/>
    <x v="301"/>
    <n v="1"/>
    <s v="ADET"/>
    <n v="0"/>
    <n v="30"/>
    <n v="20"/>
    <n v="-7"/>
    <n v="0"/>
    <n v="0"/>
    <n v="62.5"/>
    <x v="1"/>
    <n v="62.5"/>
    <x v="1"/>
  </r>
  <r>
    <x v="4"/>
    <s v="Jan Urbanek"/>
    <x v="1"/>
    <x v="301"/>
    <x v="301"/>
    <n v="2"/>
    <s v="ADET"/>
    <n v="0"/>
    <n v="30"/>
    <n v="20"/>
    <n v="-7"/>
    <n v="0"/>
    <n v="0"/>
    <n v="62.5"/>
    <x v="1"/>
    <n v="125"/>
    <x v="1"/>
  </r>
  <r>
    <x v="4"/>
    <s v="Jan Urbanek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5"/>
    <s v="Hayriye Güven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0"/>
    <s v="Murat Taşdemir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8"/>
    <s v="Stina Alm"/>
    <x v="1"/>
    <x v="227"/>
    <x v="227"/>
    <n v="3.3900000000000006"/>
    <s v="ADET"/>
    <n v="0"/>
    <n v="62"/>
    <n v="0.27000000000000668"/>
    <n v="-15.030000000000001"/>
    <n v="0"/>
    <n v="0"/>
    <n v="28"/>
    <x v="2"/>
    <n v="94.920000000000016"/>
    <x v="1"/>
  </r>
  <r>
    <x v="8"/>
    <s v="Jan Urbanek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8"/>
    <s v="Jan Urbanek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3"/>
    <s v="Volkan Batkan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12"/>
    <s v="Stefan Zaugg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11"/>
    <s v="Jan Urbanek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7"/>
    <s v="Stina Alm"/>
    <x v="1"/>
    <x v="176"/>
    <x v="176"/>
    <n v="1"/>
    <s v="ADET"/>
    <n v="0"/>
    <n v="9"/>
    <n v="8"/>
    <n v="-1"/>
    <n v="5"/>
    <n v="0"/>
    <n v="1200"/>
    <x v="56"/>
    <n v="1200"/>
    <x v="4"/>
  </r>
  <r>
    <x v="6"/>
    <s v="Stefan Zaugg"/>
    <x v="1"/>
    <x v="164"/>
    <x v="164"/>
    <n v="24"/>
    <s v="ADET"/>
    <n v="0"/>
    <n v="2700"/>
    <n v="0"/>
    <n v="-2314"/>
    <n v="0"/>
    <n v="0"/>
    <n v="1.55"/>
    <x v="29"/>
    <n v="37.200000000000003"/>
    <x v="7"/>
  </r>
  <r>
    <x v="1"/>
    <s v="Laurent MONTAGNER"/>
    <x v="1"/>
    <x v="164"/>
    <x v="164"/>
    <n v="24"/>
    <s v="ADET"/>
    <n v="0"/>
    <n v="2700"/>
    <n v="0"/>
    <n v="-2314"/>
    <n v="0"/>
    <n v="0"/>
    <n v="1.55"/>
    <x v="29"/>
    <n v="37.200000000000003"/>
    <x v="7"/>
  </r>
  <r>
    <x v="7"/>
    <s v="Stina Alm"/>
    <x v="1"/>
    <x v="164"/>
    <x v="164"/>
    <n v="26"/>
    <s v="ADET"/>
    <n v="0"/>
    <n v="2700"/>
    <n v="0"/>
    <n v="-2314"/>
    <n v="0"/>
    <n v="0"/>
    <n v="1.55"/>
    <x v="29"/>
    <n v="40.300000000000004"/>
    <x v="7"/>
  </r>
  <r>
    <x v="16"/>
    <s v="Laurent MONTAGNER"/>
    <x v="1"/>
    <x v="55"/>
    <x v="55"/>
    <n v="8"/>
    <s v="ADET"/>
    <n v="0"/>
    <n v="250"/>
    <n v="3"/>
    <n v="-166"/>
    <n v="0"/>
    <n v="0"/>
    <n v="2"/>
    <x v="6"/>
    <n v="16"/>
    <x v="1"/>
  </r>
  <r>
    <x v="18"/>
    <s v="Stina Alm"/>
    <x v="1"/>
    <x v="176"/>
    <x v="176"/>
    <n v="1"/>
    <s v="ADET"/>
    <n v="0"/>
    <n v="9"/>
    <n v="8"/>
    <n v="-1"/>
    <n v="5"/>
    <n v="0"/>
    <n v="1200"/>
    <x v="56"/>
    <n v="1200"/>
    <x v="4"/>
  </r>
  <r>
    <x v="18"/>
    <s v="Stina Alm"/>
    <x v="1"/>
    <x v="177"/>
    <x v="177"/>
    <n v="13"/>
    <s v="M2"/>
    <n v="0"/>
    <n v="35.700000000000003"/>
    <n v="9.1250000000001279"/>
    <n v="-44.859999999999985"/>
    <n v="95.16"/>
    <n v="0"/>
    <n v="300.55"/>
    <x v="61"/>
    <n v="3907.15"/>
    <x v="8"/>
  </r>
  <r>
    <x v="0"/>
    <s v="Matteo Giolo"/>
    <x v="1"/>
    <x v="190"/>
    <x v="190"/>
    <n v="3"/>
    <s v="ADET"/>
    <n v="0"/>
    <n v="24"/>
    <n v="30"/>
    <n v="-24"/>
    <n v="50"/>
    <n v="0"/>
    <n v="37"/>
    <x v="12"/>
    <n v="111"/>
    <x v="4"/>
  </r>
  <r>
    <x v="1"/>
    <s v="Laurent MONTAGNER"/>
    <x v="1"/>
    <x v="190"/>
    <x v="190"/>
    <n v="3"/>
    <s v="ADET"/>
    <n v="0"/>
    <n v="24"/>
    <n v="30"/>
    <n v="-24"/>
    <n v="50"/>
    <n v="0"/>
    <n v="37"/>
    <x v="12"/>
    <n v="111"/>
    <x v="4"/>
  </r>
  <r>
    <x v="7"/>
    <s v="Stina Alm"/>
    <x v="1"/>
    <x v="195"/>
    <x v="195"/>
    <n v="0.5"/>
    <s v="ADET"/>
    <n v="0"/>
    <n v="0"/>
    <n v="0.5"/>
    <n v="55"/>
    <n v="10"/>
    <n v="36666.85"/>
    <n v="666.67"/>
    <x v="61"/>
    <n v="333.33499999999998"/>
    <x v="8"/>
  </r>
  <r>
    <x v="6"/>
    <s v="Stefan Zaugg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5"/>
    <s v="Matteo Giolo"/>
    <x v="1"/>
    <x v="196"/>
    <x v="196"/>
    <n v="0.2"/>
    <s v="METRE"/>
    <n v="0"/>
    <n v="0"/>
    <n v="93.799999999999955"/>
    <n v="5.0999999999999996"/>
    <n v="0"/>
    <n v="34.526999999999994"/>
    <n v="6.77"/>
    <x v="68"/>
    <n v="1.3540000000000001"/>
    <x v="7"/>
  </r>
  <r>
    <x v="7"/>
    <s v="Stina Alm"/>
    <x v="1"/>
    <x v="313"/>
    <x v="313"/>
    <n v="0.6"/>
    <s v="M2"/>
    <n v="0"/>
    <n v="0"/>
    <n v="30.759999999999991"/>
    <n v="4.4399999999999995"/>
    <n v="0"/>
    <n v="7762.0523999999996"/>
    <n v="1748.21"/>
    <x v="61"/>
    <n v="1048.9259999999999"/>
    <x v="8"/>
  </r>
  <r>
    <x v="1"/>
    <s v="Laurent MONTAGNER"/>
    <x v="1"/>
    <x v="314"/>
    <x v="314"/>
    <n v="35"/>
    <s v="ADET"/>
    <n v="0"/>
    <n v="442"/>
    <n v="0"/>
    <n v="-64"/>
    <n v="0"/>
    <n v="0"/>
    <n v="9.35"/>
    <x v="5"/>
    <n v="327.25"/>
    <x v="1"/>
  </r>
  <r>
    <x v="5"/>
    <s v="Matteo Giolo"/>
    <x v="1"/>
    <x v="314"/>
    <x v="314"/>
    <n v="35"/>
    <s v="ADET"/>
    <n v="0"/>
    <n v="442"/>
    <n v="0"/>
    <n v="-64"/>
    <n v="0"/>
    <n v="0"/>
    <n v="9.35"/>
    <x v="5"/>
    <n v="327.25"/>
    <x v="1"/>
  </r>
  <r>
    <x v="6"/>
    <s v="Stefan Zaugg"/>
    <x v="1"/>
    <x v="315"/>
    <x v="315"/>
    <n v="2"/>
    <s v="ADET"/>
    <n v="2"/>
    <n v="15"/>
    <n v="14"/>
    <n v="-4"/>
    <n v="15"/>
    <n v="0"/>
    <n v="65.709999999999994"/>
    <x v="43"/>
    <n v="131.41999999999999"/>
    <x v="7"/>
  </r>
  <r>
    <x v="18"/>
    <s v="Stina Alm"/>
    <x v="1"/>
    <x v="195"/>
    <x v="195"/>
    <n v="0.5"/>
    <s v="ADET"/>
    <n v="0"/>
    <n v="0"/>
    <n v="0.5"/>
    <n v="55"/>
    <n v="10"/>
    <n v="36666.85"/>
    <n v="666.67"/>
    <x v="61"/>
    <n v="333.33499999999998"/>
    <x v="8"/>
  </r>
  <r>
    <x v="17"/>
    <s v="Soner Kayıkçı"/>
    <x v="1"/>
    <x v="195"/>
    <x v="195"/>
    <n v="6"/>
    <s v="ADET"/>
    <n v="0"/>
    <n v="0"/>
    <n v="0.5"/>
    <n v="55"/>
    <n v="10"/>
    <n v="36666.85"/>
    <n v="666.67"/>
    <x v="61"/>
    <n v="4000.0199999999995"/>
    <x v="8"/>
  </r>
  <r>
    <x v="16"/>
    <s v="Laurent MONTAGNER"/>
    <x v="1"/>
    <x v="195"/>
    <x v="195"/>
    <n v="13.5"/>
    <s v="ADET"/>
    <n v="0"/>
    <n v="0"/>
    <n v="0.5"/>
    <n v="55"/>
    <n v="10"/>
    <n v="36666.85"/>
    <n v="666.67"/>
    <x v="61"/>
    <n v="9000.0450000000001"/>
    <x v="8"/>
  </r>
  <r>
    <x v="6"/>
    <s v="Stefan Zaugg"/>
    <x v="1"/>
    <x v="316"/>
    <x v="316"/>
    <n v="8"/>
    <s v="ADET"/>
    <n v="0"/>
    <n v="92"/>
    <n v="0"/>
    <n v="-68"/>
    <n v="0"/>
    <n v="0"/>
    <n v="33"/>
    <x v="14"/>
    <n v="264"/>
    <x v="1"/>
  </r>
  <r>
    <x v="7"/>
    <s v="Stina Alm"/>
    <x v="1"/>
    <x v="314"/>
    <x v="314"/>
    <n v="35"/>
    <s v="ADET"/>
    <n v="0"/>
    <n v="442"/>
    <n v="0"/>
    <n v="-64"/>
    <n v="0"/>
    <n v="0"/>
    <n v="9.35"/>
    <x v="5"/>
    <n v="327.25"/>
    <x v="1"/>
  </r>
  <r>
    <x v="5"/>
    <s v="Matteo Giolo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9"/>
    <s v="Laurent MONTAGNER"/>
    <x v="1"/>
    <x v="196"/>
    <x v="196"/>
    <n v="0.2"/>
    <s v="METRE"/>
    <n v="0"/>
    <n v="0"/>
    <n v="93.799999999999955"/>
    <n v="5.0999999999999996"/>
    <n v="0"/>
    <n v="34.526999999999994"/>
    <n v="6.77"/>
    <x v="68"/>
    <n v="1.3540000000000001"/>
    <x v="7"/>
  </r>
  <r>
    <x v="18"/>
    <s v="Stina Alm"/>
    <x v="1"/>
    <x v="261"/>
    <x v="261"/>
    <n v="3"/>
    <s v="ADET"/>
    <n v="0"/>
    <n v="35"/>
    <n v="24"/>
    <n v="10"/>
    <n v="0"/>
    <n v="17500"/>
    <n v="1750"/>
    <x v="77"/>
    <n v="5250"/>
    <x v="7"/>
  </r>
  <r>
    <x v="17"/>
    <s v="Soner Kayıkçı"/>
    <x v="1"/>
    <x v="269"/>
    <x v="269"/>
    <n v="2.8"/>
    <s v="KG"/>
    <n v="0"/>
    <n v="110"/>
    <n v="57.22000000000007"/>
    <n v="-78.660000000000025"/>
    <n v="0"/>
    <n v="0"/>
    <n v="40"/>
    <x v="2"/>
    <n v="112"/>
    <x v="1"/>
  </r>
  <r>
    <x v="13"/>
    <s v="Volkan Batkan"/>
    <x v="1"/>
    <x v="269"/>
    <x v="269"/>
    <n v="3"/>
    <s v="KG"/>
    <n v="3"/>
    <n v="110"/>
    <n v="57.22000000000007"/>
    <n v="-78.660000000000025"/>
    <n v="0"/>
    <n v="0"/>
    <n v="40"/>
    <x v="2"/>
    <n v="120"/>
    <x v="1"/>
  </r>
  <r>
    <x v="8"/>
    <s v="Jan Urbanek"/>
    <x v="1"/>
    <x v="259"/>
    <x v="259"/>
    <n v="9"/>
    <s v="METRE"/>
    <n v="0"/>
    <n v="480"/>
    <n v="0"/>
    <n v="-408"/>
    <n v="0"/>
    <n v="0"/>
    <n v="4"/>
    <x v="6"/>
    <n v="36"/>
    <x v="8"/>
  </r>
  <r>
    <x v="8"/>
    <s v="Jan Urbanek"/>
    <x v="1"/>
    <x v="261"/>
    <x v="261"/>
    <n v="3"/>
    <s v="ADET"/>
    <n v="0"/>
    <n v="35"/>
    <n v="24"/>
    <n v="10"/>
    <n v="0"/>
    <n v="17500"/>
    <n v="1750"/>
    <x v="77"/>
    <n v="5250"/>
    <x v="7"/>
  </r>
  <r>
    <x v="8"/>
    <s v="Jan Urbanek"/>
    <x v="1"/>
    <x v="317"/>
    <x v="317"/>
    <n v="1"/>
    <s v="ADET"/>
    <n v="0"/>
    <n v="4"/>
    <n v="2"/>
    <n v="0"/>
    <n v="0"/>
    <n v="0"/>
    <n v="2249.17"/>
    <x v="83"/>
    <n v="2249.17"/>
    <x v="2"/>
  </r>
  <r>
    <x v="8"/>
    <s v="Jan Urbanek"/>
    <x v="1"/>
    <x v="270"/>
    <x v="270"/>
    <n v="1"/>
    <s v="ADET"/>
    <n v="0"/>
    <n v="15"/>
    <n v="11"/>
    <n v="-1"/>
    <n v="0"/>
    <n v="0"/>
    <n v="237.5"/>
    <x v="1"/>
    <n v="237.5"/>
    <x v="1"/>
  </r>
  <r>
    <x v="8"/>
    <s v="Jan Urbanek"/>
    <x v="1"/>
    <x v="271"/>
    <x v="271"/>
    <n v="2"/>
    <s v="ADET"/>
    <n v="0"/>
    <n v="288"/>
    <n v="94"/>
    <n v="-260"/>
    <n v="0"/>
    <n v="0"/>
    <n v="4"/>
    <x v="29"/>
    <n v="8"/>
    <x v="7"/>
  </r>
  <r>
    <x v="8"/>
    <s v="Jan Urbanek"/>
    <x v="1"/>
    <x v="272"/>
    <x v="272"/>
    <n v="1"/>
    <s v="ADET"/>
    <n v="0"/>
    <n v="23"/>
    <n v="8"/>
    <n v="-50"/>
    <n v="40"/>
    <n v="0"/>
    <n v="312"/>
    <x v="56"/>
    <n v="312"/>
    <x v="2"/>
  </r>
  <r>
    <x v="8"/>
    <s v="Jan Urbanek"/>
    <x v="1"/>
    <x v="273"/>
    <x v="273"/>
    <n v="1"/>
    <s v="ADET"/>
    <n v="0"/>
    <n v="25"/>
    <n v="3"/>
    <n v="-11"/>
    <n v="0"/>
    <n v="0"/>
    <n v="360.05"/>
    <x v="67"/>
    <n v="360.05"/>
    <x v="4"/>
  </r>
  <r>
    <x v="17"/>
    <s v="Soner Kayıkçı"/>
    <x v="1"/>
    <x v="177"/>
    <x v="177"/>
    <n v="15"/>
    <s v="M2"/>
    <n v="0"/>
    <n v="35.700000000000003"/>
    <n v="9.1250000000001279"/>
    <n v="-44.859999999999985"/>
    <n v="95.16"/>
    <n v="0"/>
    <n v="300.55"/>
    <x v="61"/>
    <n v="4508.25"/>
    <x v="8"/>
  </r>
  <r>
    <x v="18"/>
    <s v="Stina Alm"/>
    <x v="1"/>
    <x v="164"/>
    <x v="164"/>
    <n v="26"/>
    <s v="ADET"/>
    <n v="0"/>
    <n v="2700"/>
    <n v="0"/>
    <n v="-2314"/>
    <n v="0"/>
    <n v="0"/>
    <n v="1.55"/>
    <x v="29"/>
    <n v="40.300000000000004"/>
    <x v="7"/>
  </r>
  <r>
    <x v="7"/>
    <s v="Stina Alm"/>
    <x v="1"/>
    <x v="318"/>
    <x v="318"/>
    <n v="2"/>
    <s v="ADET"/>
    <n v="0"/>
    <n v="35"/>
    <n v="14"/>
    <n v="-26"/>
    <n v="15"/>
    <n v="0"/>
    <n v="43.75"/>
    <x v="8"/>
    <n v="87.5"/>
    <x v="1"/>
  </r>
  <r>
    <x v="5"/>
    <s v="Matteo Giolo"/>
    <x v="1"/>
    <x v="319"/>
    <x v="319"/>
    <n v="1"/>
    <s v="ADET"/>
    <n v="0"/>
    <n v="9"/>
    <n v="8"/>
    <n v="4"/>
    <n v="0"/>
    <n v="1950.24"/>
    <n v="487.56"/>
    <x v="53"/>
    <n v="487.56"/>
    <x v="2"/>
  </r>
  <r>
    <x v="8"/>
    <s v="Jan Urbanek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8"/>
    <s v="Jan Urbanek"/>
    <x v="1"/>
    <x v="320"/>
    <x v="320"/>
    <n v="3"/>
    <s v="ADET"/>
    <n v="0"/>
    <n v="200"/>
    <n v="0"/>
    <n v="-188"/>
    <n v="0"/>
    <n v="0"/>
    <n v="10"/>
    <x v="14"/>
    <n v="30"/>
    <x v="1"/>
  </r>
  <r>
    <x v="0"/>
    <s v="Matteo Giolo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19"/>
    <s v="Laurent MONTAGNER"/>
    <x v="1"/>
    <x v="55"/>
    <x v="55"/>
    <n v="8"/>
    <s v="ADET"/>
    <n v="0"/>
    <n v="250"/>
    <n v="3"/>
    <n v="-166"/>
    <n v="0"/>
    <n v="0"/>
    <n v="2"/>
    <x v="6"/>
    <n v="16"/>
    <x v="1"/>
  </r>
  <r>
    <x v="16"/>
    <s v="Laurent MONTAGNER"/>
    <x v="1"/>
    <x v="176"/>
    <x v="176"/>
    <n v="1"/>
    <s v="ADET"/>
    <n v="0"/>
    <n v="9"/>
    <n v="8"/>
    <n v="-1"/>
    <n v="5"/>
    <n v="0"/>
    <n v="1200"/>
    <x v="56"/>
    <n v="1200"/>
    <x v="4"/>
  </r>
  <r>
    <x v="16"/>
    <s v="Laurent MONTAGNER"/>
    <x v="1"/>
    <x v="164"/>
    <x v="164"/>
    <n v="26"/>
    <s v="ADET"/>
    <n v="0"/>
    <n v="2700"/>
    <n v="0"/>
    <n v="-2314"/>
    <n v="0"/>
    <n v="0"/>
    <n v="1.55"/>
    <x v="29"/>
    <n v="40.300000000000004"/>
    <x v="7"/>
  </r>
  <r>
    <x v="17"/>
    <s v="Soner Kayıkçı"/>
    <x v="1"/>
    <x v="164"/>
    <x v="164"/>
    <n v="14"/>
    <s v="ADET"/>
    <n v="0"/>
    <n v="2700"/>
    <n v="0"/>
    <n v="-2314"/>
    <n v="0"/>
    <n v="0"/>
    <n v="1.55"/>
    <x v="29"/>
    <n v="21.7"/>
    <x v="7"/>
  </r>
  <r>
    <x v="19"/>
    <s v="Laurent MONTAGNER"/>
    <x v="1"/>
    <x v="164"/>
    <x v="164"/>
    <n v="24"/>
    <s v="ADET"/>
    <n v="0"/>
    <n v="2700"/>
    <n v="0"/>
    <n v="-2314"/>
    <n v="0"/>
    <n v="0"/>
    <n v="1.55"/>
    <x v="29"/>
    <n v="37.200000000000003"/>
    <x v="7"/>
  </r>
  <r>
    <x v="7"/>
    <s v="Stina Alm"/>
    <x v="1"/>
    <x v="321"/>
    <x v="321"/>
    <n v="1"/>
    <s v="ADET"/>
    <n v="0"/>
    <n v="0"/>
    <n v="0"/>
    <n v="7.5"/>
    <n v="0"/>
    <n v="285"/>
    <n v="38"/>
    <x v="2"/>
    <n v="38"/>
    <x v="3"/>
  </r>
  <r>
    <x v="6"/>
    <s v="Stefan Zaugg"/>
    <x v="1"/>
    <x v="322"/>
    <x v="322"/>
    <n v="4"/>
    <s v="METRE"/>
    <n v="0"/>
    <n v="0"/>
    <n v="27"/>
    <n v="30.5"/>
    <n v="0"/>
    <n v="396.5"/>
    <n v="13"/>
    <x v="6"/>
    <n v="52"/>
    <x v="7"/>
  </r>
  <r>
    <x v="5"/>
    <s v="Matteo Giolo"/>
    <x v="1"/>
    <x v="322"/>
    <x v="322"/>
    <n v="1.5"/>
    <s v="METRE"/>
    <n v="0"/>
    <n v="0"/>
    <n v="27"/>
    <n v="30.5"/>
    <n v="0"/>
    <n v="396.5"/>
    <n v="13"/>
    <x v="6"/>
    <n v="19.5"/>
    <x v="7"/>
  </r>
  <r>
    <x v="5"/>
    <s v="Matteo Giolo"/>
    <x v="1"/>
    <x v="318"/>
    <x v="318"/>
    <n v="2"/>
    <s v="ADET"/>
    <n v="0"/>
    <n v="35"/>
    <n v="14"/>
    <n v="-26"/>
    <n v="15"/>
    <n v="0"/>
    <n v="43.75"/>
    <x v="8"/>
    <n v="87.5"/>
    <x v="1"/>
  </r>
  <r>
    <x v="0"/>
    <s v="Matteo Giolo"/>
    <x v="1"/>
    <x v="319"/>
    <x v="319"/>
    <n v="1"/>
    <s v="ADET"/>
    <n v="0"/>
    <n v="9"/>
    <n v="8"/>
    <n v="4"/>
    <n v="0"/>
    <n v="1950.24"/>
    <n v="487.56"/>
    <x v="53"/>
    <n v="487.56"/>
    <x v="2"/>
  </r>
  <r>
    <x v="4"/>
    <s v="Jan Urbanek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4"/>
    <s v="Jan Urbanek"/>
    <x v="1"/>
    <x v="320"/>
    <x v="320"/>
    <n v="3"/>
    <s v="ADET"/>
    <n v="0"/>
    <n v="200"/>
    <n v="0"/>
    <n v="-188"/>
    <n v="0"/>
    <n v="0"/>
    <n v="10"/>
    <x v="14"/>
    <n v="30"/>
    <x v="1"/>
  </r>
  <r>
    <x v="17"/>
    <s v="Soner Kayıkçı"/>
    <x v="1"/>
    <x v="176"/>
    <x v="176"/>
    <n v="1"/>
    <s v="ADET"/>
    <n v="0"/>
    <n v="9"/>
    <n v="8"/>
    <n v="-1"/>
    <n v="5"/>
    <n v="0"/>
    <n v="1200"/>
    <x v="56"/>
    <n v="1200"/>
    <x v="4"/>
  </r>
  <r>
    <x v="16"/>
    <s v="Laurent MONTAGNER"/>
    <x v="1"/>
    <x v="178"/>
    <x v="178"/>
    <n v="16"/>
    <s v="ADET"/>
    <n v="0"/>
    <n v="0"/>
    <n v="0"/>
    <n v="124"/>
    <n v="0"/>
    <n v="217"/>
    <n v="1.75"/>
    <x v="2"/>
    <n v="28"/>
    <x v="1"/>
  </r>
  <r>
    <x v="2"/>
    <s v="Jan Urbanek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0"/>
    <s v="Matteo Giolo"/>
    <x v="1"/>
    <x v="294"/>
    <x v="294"/>
    <n v="1"/>
    <s v="ADET"/>
    <n v="0"/>
    <n v="3"/>
    <n v="2"/>
    <n v="0"/>
    <n v="1"/>
    <n v="0"/>
    <n v="4484.26"/>
    <x v="31"/>
    <n v="4484.26"/>
    <x v="7"/>
  </r>
  <r>
    <x v="0"/>
    <s v="Matteo Giolo"/>
    <x v="1"/>
    <x v="296"/>
    <x v="296"/>
    <n v="6"/>
    <s v="ADET"/>
    <n v="0"/>
    <n v="84"/>
    <n v="195.89999999999986"/>
    <n v="-24.600000000000023"/>
    <n v="0"/>
    <n v="0"/>
    <n v="29"/>
    <x v="2"/>
    <n v="174"/>
    <x v="1"/>
  </r>
  <r>
    <x v="19"/>
    <s v="Laurent MONTAGNER"/>
    <x v="1"/>
    <x v="304"/>
    <x v="304"/>
    <n v="2"/>
    <s v="ADET"/>
    <n v="2"/>
    <n v="20"/>
    <n v="7"/>
    <n v="-10"/>
    <n v="0"/>
    <n v="0"/>
    <n v="60"/>
    <x v="1"/>
    <n v="120"/>
    <x v="1"/>
  </r>
  <r>
    <x v="19"/>
    <s v="Laurent MONTAGNER"/>
    <x v="1"/>
    <x v="303"/>
    <x v="303"/>
    <n v="2"/>
    <s v="ADET"/>
    <n v="0"/>
    <n v="26"/>
    <n v="46"/>
    <n v="-8"/>
    <n v="0"/>
    <n v="0"/>
    <n v="12"/>
    <x v="14"/>
    <n v="24"/>
    <x v="1"/>
  </r>
  <r>
    <x v="16"/>
    <s v="Laurent MONTAGNER"/>
    <x v="1"/>
    <x v="303"/>
    <x v="303"/>
    <n v="2"/>
    <s v="ADET"/>
    <n v="0"/>
    <n v="26"/>
    <n v="46"/>
    <n v="-8"/>
    <n v="0"/>
    <n v="0"/>
    <n v="12"/>
    <x v="14"/>
    <n v="24"/>
    <x v="1"/>
  </r>
  <r>
    <x v="16"/>
    <s v="Laurent MONTAGNER"/>
    <x v="1"/>
    <x v="127"/>
    <x v="127"/>
    <n v="1.5"/>
    <s v="ADET"/>
    <n v="0"/>
    <n v="14"/>
    <n v="6.7999999999999972"/>
    <n v="7.7000000000000028"/>
    <n v="12"/>
    <n v="2532.1450000000009"/>
    <n v="328.85"/>
    <x v="47"/>
    <n v="493.27500000000003"/>
    <x v="3"/>
  </r>
  <r>
    <x v="16"/>
    <s v="Laurent MONTAGNER"/>
    <x v="1"/>
    <x v="163"/>
    <x v="163"/>
    <n v="5.5"/>
    <s v="METRE"/>
    <n v="0"/>
    <n v="100"/>
    <n v="1.9999999999999432"/>
    <n v="-6.4000000000000057"/>
    <n v="0"/>
    <n v="0"/>
    <n v="111"/>
    <x v="23"/>
    <n v="610.5"/>
    <x v="7"/>
  </r>
  <r>
    <x v="18"/>
    <s v="Stina Alm"/>
    <x v="1"/>
    <x v="184"/>
    <x v="184"/>
    <n v="1"/>
    <s v="ADET"/>
    <n v="0"/>
    <n v="3"/>
    <n v="7"/>
    <n v="2"/>
    <n v="3"/>
    <n v="4955.04"/>
    <n v="2477.52"/>
    <x v="43"/>
    <n v="2477.52"/>
    <x v="7"/>
  </r>
  <r>
    <x v="16"/>
    <s v="Laurent MONTAGNER"/>
    <x v="1"/>
    <x v="184"/>
    <x v="184"/>
    <n v="1"/>
    <s v="ADET"/>
    <n v="0"/>
    <n v="3"/>
    <n v="7"/>
    <n v="2"/>
    <n v="3"/>
    <n v="4955.04"/>
    <n v="2477.52"/>
    <x v="43"/>
    <n v="2477.52"/>
    <x v="7"/>
  </r>
  <r>
    <x v="18"/>
    <s v="Stina Alm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18"/>
    <s v="Stina Alm"/>
    <x v="1"/>
    <x v="203"/>
    <x v="203"/>
    <n v="1"/>
    <s v="ADET"/>
    <n v="0"/>
    <n v="100"/>
    <n v="41"/>
    <n v="-89.5"/>
    <n v="0"/>
    <n v="0"/>
    <n v="60"/>
    <x v="29"/>
    <n v="60"/>
    <x v="1"/>
  </r>
  <r>
    <x v="1"/>
    <s v="Laurent MONTAGNER"/>
    <x v="1"/>
    <x v="312"/>
    <x v="312"/>
    <n v="9"/>
    <s v="ADET"/>
    <n v="0"/>
    <n v="148"/>
    <n v="59"/>
    <n v="-33"/>
    <n v="0"/>
    <n v="0"/>
    <n v="24.17"/>
    <x v="1"/>
    <n v="217.53000000000003"/>
    <x v="1"/>
  </r>
  <r>
    <x v="7"/>
    <s v="Stina Alm"/>
    <x v="1"/>
    <x v="312"/>
    <x v="312"/>
    <n v="4"/>
    <s v="ADET"/>
    <n v="0"/>
    <n v="148"/>
    <n v="59"/>
    <n v="-33"/>
    <n v="0"/>
    <n v="0"/>
    <n v="24.17"/>
    <x v="1"/>
    <n v="96.68"/>
    <x v="1"/>
  </r>
  <r>
    <x v="1"/>
    <s v="Laurent MONTAGNER"/>
    <x v="1"/>
    <x v="310"/>
    <x v="310"/>
    <n v="21"/>
    <s v="ADET"/>
    <n v="0"/>
    <n v="150"/>
    <n v="0"/>
    <n v="194"/>
    <n v="0"/>
    <n v="5383.5"/>
    <n v="27.75"/>
    <x v="82"/>
    <n v="582.75"/>
    <x v="6"/>
  </r>
  <r>
    <x v="7"/>
    <s v="Stina Alm"/>
    <x v="1"/>
    <x v="310"/>
    <x v="310"/>
    <n v="21"/>
    <s v="ADET"/>
    <n v="0"/>
    <n v="150"/>
    <n v="0"/>
    <n v="194"/>
    <n v="0"/>
    <n v="5383.5"/>
    <n v="27.75"/>
    <x v="82"/>
    <n v="582.75"/>
    <x v="6"/>
  </r>
  <r>
    <x v="6"/>
    <s v="Stefan Zaugg"/>
    <x v="1"/>
    <x v="311"/>
    <x v="311"/>
    <n v="5"/>
    <s v="METRE"/>
    <n v="0"/>
    <n v="0"/>
    <n v="165"/>
    <n v="-289"/>
    <n v="400"/>
    <n v="0"/>
    <n v="5"/>
    <x v="49"/>
    <n v="25"/>
    <x v="1"/>
  </r>
  <r>
    <x v="1"/>
    <s v="Laurent MONTAGNER"/>
    <x v="1"/>
    <x v="292"/>
    <x v="292"/>
    <n v="5"/>
    <s v="ADET"/>
    <n v="0"/>
    <n v="0"/>
    <n v="93"/>
    <n v="26"/>
    <n v="0"/>
    <n v="351"/>
    <n v="13.5"/>
    <x v="14"/>
    <n v="67.5"/>
    <x v="1"/>
  </r>
  <r>
    <x v="6"/>
    <s v="Stefan Zaugg"/>
    <x v="1"/>
    <x v="278"/>
    <x v="278"/>
    <n v="1"/>
    <s v="ADET"/>
    <n v="1"/>
    <n v="4"/>
    <n v="8"/>
    <n v="0"/>
    <n v="9"/>
    <n v="0"/>
    <n v="266.39999999999998"/>
    <x v="43"/>
    <n v="266.39999999999998"/>
    <x v="7"/>
  </r>
  <r>
    <x v="7"/>
    <s v="Stina Alm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8"/>
    <s v="Stina Alm"/>
    <x v="1"/>
    <x v="276"/>
    <x v="276"/>
    <n v="2"/>
    <s v="ADET"/>
    <n v="0"/>
    <n v="306"/>
    <n v="11"/>
    <n v="-281"/>
    <n v="0"/>
    <n v="0"/>
    <n v="210"/>
    <x v="29"/>
    <n v="420"/>
    <x v="7"/>
  </r>
  <r>
    <x v="18"/>
    <s v="Stina Alm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0"/>
    <s v="Murat Taşdemir"/>
    <x v="1"/>
    <x v="323"/>
    <x v="323"/>
    <n v="2"/>
    <s v="ADET"/>
    <n v="0"/>
    <n v="30"/>
    <n v="3"/>
    <n v="-28"/>
    <n v="0"/>
    <n v="0"/>
    <n v="90"/>
    <x v="14"/>
    <n v="180"/>
    <x v="1"/>
  </r>
  <r>
    <x v="14"/>
    <s v="Matteo Giolo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0"/>
    <s v="Murat Taşdemir"/>
    <x v="1"/>
    <x v="290"/>
    <x v="290"/>
    <n v="1"/>
    <s v="ADET"/>
    <n v="0"/>
    <n v="30"/>
    <n v="3"/>
    <n v="-16"/>
    <n v="0"/>
    <n v="0"/>
    <n v="372.91"/>
    <x v="67"/>
    <n v="372.91"/>
    <x v="4"/>
  </r>
  <r>
    <x v="14"/>
    <s v="Matteo Giolo"/>
    <x v="1"/>
    <x v="291"/>
    <x v="291"/>
    <n v="1"/>
    <s v="ADET"/>
    <n v="0"/>
    <n v="27"/>
    <n v="3"/>
    <n v="-13"/>
    <n v="0"/>
    <n v="0"/>
    <n v="372.91"/>
    <x v="67"/>
    <n v="372.91"/>
    <x v="4"/>
  </r>
  <r>
    <x v="13"/>
    <s v="Volkan Batkan"/>
    <x v="1"/>
    <x v="291"/>
    <x v="291"/>
    <n v="1"/>
    <s v="ADET"/>
    <n v="0"/>
    <n v="27"/>
    <n v="3"/>
    <n v="-13"/>
    <n v="0"/>
    <n v="0"/>
    <n v="372.91"/>
    <x v="67"/>
    <n v="372.91"/>
    <x v="4"/>
  </r>
  <r>
    <x v="19"/>
    <s v="Laurent MONTAGNER"/>
    <x v="1"/>
    <x v="276"/>
    <x v="276"/>
    <n v="2"/>
    <s v="ADET"/>
    <n v="2"/>
    <n v="306"/>
    <n v="11"/>
    <n v="-281"/>
    <n v="0"/>
    <n v="0"/>
    <n v="210"/>
    <x v="29"/>
    <n v="420"/>
    <x v="7"/>
  </r>
  <r>
    <x v="17"/>
    <s v="Soner Kayıkçı"/>
    <x v="1"/>
    <x v="276"/>
    <x v="276"/>
    <n v="2"/>
    <s v="ADET"/>
    <n v="0"/>
    <n v="306"/>
    <n v="11"/>
    <n v="-281"/>
    <n v="0"/>
    <n v="0"/>
    <n v="210"/>
    <x v="29"/>
    <n v="420"/>
    <x v="7"/>
  </r>
  <r>
    <x v="16"/>
    <s v="Laurent MONTAGNER"/>
    <x v="1"/>
    <x v="276"/>
    <x v="276"/>
    <n v="2"/>
    <s v="ADET"/>
    <n v="0"/>
    <n v="306"/>
    <n v="11"/>
    <n v="-281"/>
    <n v="0"/>
    <n v="0"/>
    <n v="210"/>
    <x v="29"/>
    <n v="420"/>
    <x v="7"/>
  </r>
  <r>
    <x v="18"/>
    <s v="Stina Alm"/>
    <x v="1"/>
    <x v="292"/>
    <x v="292"/>
    <n v="2"/>
    <s v="ADET"/>
    <n v="0"/>
    <n v="0"/>
    <n v="93"/>
    <n v="26"/>
    <n v="0"/>
    <n v="351"/>
    <n v="13.5"/>
    <x v="14"/>
    <n v="27"/>
    <x v="1"/>
  </r>
  <r>
    <x v="19"/>
    <s v="Laurent MONTAGNER"/>
    <x v="1"/>
    <x v="292"/>
    <x v="292"/>
    <n v="5"/>
    <s v="ADET"/>
    <n v="0"/>
    <n v="0"/>
    <n v="93"/>
    <n v="26"/>
    <n v="0"/>
    <n v="351"/>
    <n v="13.5"/>
    <x v="14"/>
    <n v="67.5"/>
    <x v="1"/>
  </r>
  <r>
    <x v="10"/>
    <s v="Murat Taşdemir"/>
    <x v="1"/>
    <x v="292"/>
    <x v="292"/>
    <n v="2"/>
    <s v="ADET"/>
    <n v="0"/>
    <n v="0"/>
    <n v="93"/>
    <n v="26"/>
    <n v="0"/>
    <n v="351"/>
    <n v="13.5"/>
    <x v="14"/>
    <n v="27"/>
    <x v="1"/>
  </r>
  <r>
    <x v="8"/>
    <s v="Jan Urbanek"/>
    <x v="1"/>
    <x v="275"/>
    <x v="275"/>
    <n v="27"/>
    <s v="MT"/>
    <n v="0"/>
    <n v="200"/>
    <n v="86"/>
    <n v="220"/>
    <n v="0"/>
    <n v="23100"/>
    <n v="105"/>
    <x v="78"/>
    <n v="2835"/>
    <x v="6"/>
  </r>
  <r>
    <x v="0"/>
    <s v="Matteo Giolo"/>
    <x v="1"/>
    <x v="261"/>
    <x v="261"/>
    <n v="3"/>
    <s v="ADET"/>
    <n v="0"/>
    <n v="35"/>
    <n v="24"/>
    <n v="10"/>
    <n v="0"/>
    <n v="17500"/>
    <n v="1750"/>
    <x v="77"/>
    <n v="5250"/>
    <x v="7"/>
  </r>
  <r>
    <x v="4"/>
    <s v="Jan Urbanek"/>
    <x v="1"/>
    <x v="269"/>
    <x v="269"/>
    <n v="2.8"/>
    <s v="KG"/>
    <n v="0"/>
    <n v="110"/>
    <n v="57.22000000000007"/>
    <n v="-78.660000000000025"/>
    <n v="0"/>
    <n v="0"/>
    <n v="40"/>
    <x v="2"/>
    <n v="112"/>
    <x v="1"/>
  </r>
  <r>
    <x v="4"/>
    <s v="Jan Urbanek"/>
    <x v="1"/>
    <x v="317"/>
    <x v="317"/>
    <n v="1"/>
    <s v="ADET"/>
    <n v="0"/>
    <n v="4"/>
    <n v="2"/>
    <n v="0"/>
    <n v="0"/>
    <n v="0"/>
    <n v="2249.17"/>
    <x v="83"/>
    <n v="2249.17"/>
    <x v="2"/>
  </r>
  <r>
    <x v="4"/>
    <s v="Jan Urbanek"/>
    <x v="1"/>
    <x v="271"/>
    <x v="271"/>
    <n v="2"/>
    <s v="ADET"/>
    <n v="0"/>
    <n v="288"/>
    <n v="94"/>
    <n v="-260"/>
    <n v="0"/>
    <n v="0"/>
    <n v="4"/>
    <x v="29"/>
    <n v="8"/>
    <x v="7"/>
  </r>
  <r>
    <x v="3"/>
    <s v="Jan Urbanek"/>
    <x v="1"/>
    <x v="271"/>
    <x v="271"/>
    <n v="2"/>
    <s v="ADET"/>
    <n v="0"/>
    <n v="288"/>
    <n v="94"/>
    <n v="-260"/>
    <n v="0"/>
    <n v="0"/>
    <n v="4"/>
    <x v="29"/>
    <n v="8"/>
    <x v="7"/>
  </r>
  <r>
    <x v="2"/>
    <s v="Jan Urbanek"/>
    <x v="1"/>
    <x v="275"/>
    <x v="275"/>
    <n v="22"/>
    <s v="MT"/>
    <n v="0"/>
    <n v="200"/>
    <n v="86"/>
    <n v="220"/>
    <n v="0"/>
    <n v="23100"/>
    <n v="105"/>
    <x v="78"/>
    <n v="2310"/>
    <x v="6"/>
  </r>
  <r>
    <x v="0"/>
    <s v="Matteo Giolo"/>
    <x v="1"/>
    <x v="269"/>
    <x v="269"/>
    <n v="2.8"/>
    <s v="KG"/>
    <n v="0"/>
    <n v="110"/>
    <n v="57.22000000000007"/>
    <n v="-78.660000000000025"/>
    <n v="0"/>
    <n v="0"/>
    <n v="40"/>
    <x v="2"/>
    <n v="112"/>
    <x v="1"/>
  </r>
  <r>
    <x v="0"/>
    <s v="Matteo Giolo"/>
    <x v="1"/>
    <x v="270"/>
    <x v="270"/>
    <n v="1"/>
    <s v="ADET"/>
    <n v="0"/>
    <n v="15"/>
    <n v="11"/>
    <n v="-1"/>
    <n v="0"/>
    <n v="0"/>
    <n v="237.5"/>
    <x v="1"/>
    <n v="237.5"/>
    <x v="1"/>
  </r>
  <r>
    <x v="16"/>
    <s v="Laurent MONTAGNER"/>
    <x v="1"/>
    <x v="261"/>
    <x v="261"/>
    <n v="3"/>
    <s v="ADET"/>
    <n v="0"/>
    <n v="35"/>
    <n v="24"/>
    <n v="10"/>
    <n v="0"/>
    <n v="17500"/>
    <n v="1750"/>
    <x v="77"/>
    <n v="5250"/>
    <x v="7"/>
  </r>
  <r>
    <x v="14"/>
    <s v="Matteo Giolo"/>
    <x v="1"/>
    <x v="269"/>
    <x v="269"/>
    <n v="3.6100000000000003"/>
    <s v="KG"/>
    <n v="0"/>
    <n v="110"/>
    <n v="57.22000000000007"/>
    <n v="-78.660000000000025"/>
    <n v="0"/>
    <n v="0"/>
    <n v="40"/>
    <x v="2"/>
    <n v="144.4"/>
    <x v="1"/>
  </r>
  <r>
    <x v="11"/>
    <s v="Jan Urbanek"/>
    <x v="1"/>
    <x v="272"/>
    <x v="272"/>
    <n v="1"/>
    <s v="ADET"/>
    <n v="0"/>
    <n v="23"/>
    <n v="8"/>
    <n v="-50"/>
    <n v="40"/>
    <n v="0"/>
    <n v="312"/>
    <x v="56"/>
    <n v="312"/>
    <x v="2"/>
  </r>
  <r>
    <x v="14"/>
    <s v="Matteo Giolo"/>
    <x v="1"/>
    <x v="272"/>
    <x v="272"/>
    <n v="1"/>
    <s v="ADET"/>
    <n v="0"/>
    <n v="23"/>
    <n v="8"/>
    <n v="-50"/>
    <n v="40"/>
    <n v="0"/>
    <n v="312"/>
    <x v="56"/>
    <n v="312"/>
    <x v="2"/>
  </r>
  <r>
    <x v="11"/>
    <s v="Jan Urbanek"/>
    <x v="1"/>
    <x v="273"/>
    <x v="273"/>
    <n v="1"/>
    <s v="ADET"/>
    <n v="0"/>
    <n v="25"/>
    <n v="3"/>
    <n v="-11"/>
    <n v="0"/>
    <n v="0"/>
    <n v="360.05"/>
    <x v="67"/>
    <n v="360.05"/>
    <x v="4"/>
  </r>
  <r>
    <x v="0"/>
    <s v="Matteo Giolo"/>
    <x v="1"/>
    <x v="271"/>
    <x v="271"/>
    <n v="2"/>
    <s v="ADET"/>
    <n v="0"/>
    <n v="288"/>
    <n v="94"/>
    <n v="-260"/>
    <n v="0"/>
    <n v="0"/>
    <n v="4"/>
    <x v="29"/>
    <n v="8"/>
    <x v="7"/>
  </r>
  <r>
    <x v="16"/>
    <s v="Laurent MONTAGNER"/>
    <x v="1"/>
    <x v="260"/>
    <x v="260"/>
    <n v="15"/>
    <s v="ADET"/>
    <n v="0"/>
    <n v="350"/>
    <n v="210"/>
    <n v="-245"/>
    <n v="0"/>
    <n v="0"/>
    <n v="4"/>
    <x v="14"/>
    <n v="60"/>
    <x v="1"/>
  </r>
  <r>
    <x v="16"/>
    <s v="Laurent MONTAGNER"/>
    <x v="1"/>
    <x v="274"/>
    <x v="274"/>
    <n v="30"/>
    <s v="ADET"/>
    <n v="0"/>
    <n v="200"/>
    <n v="61"/>
    <n v="-140"/>
    <n v="0"/>
    <n v="0"/>
    <n v="12"/>
    <x v="14"/>
    <n v="360"/>
    <x v="1"/>
  </r>
  <r>
    <x v="18"/>
    <s v="Stina Alm"/>
    <x v="1"/>
    <x v="196"/>
    <x v="196"/>
    <n v="0.2"/>
    <s v="METRE"/>
    <n v="0"/>
    <n v="0"/>
    <n v="93.799999999999955"/>
    <n v="5.0999999999999996"/>
    <n v="0"/>
    <n v="34.526999999999994"/>
    <n v="6.77"/>
    <x v="68"/>
    <n v="1.3540000000000001"/>
    <x v="7"/>
  </r>
  <r>
    <x v="17"/>
    <s v="Soner Kayıkçı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18"/>
    <s v="Stina Alm"/>
    <x v="1"/>
    <x v="197"/>
    <x v="197"/>
    <n v="2"/>
    <s v="ADET"/>
    <n v="0"/>
    <n v="40"/>
    <n v="18"/>
    <n v="-14"/>
    <n v="0"/>
    <n v="0"/>
    <n v="45.3"/>
    <x v="23"/>
    <n v="90.6"/>
    <x v="7"/>
  </r>
  <r>
    <x v="17"/>
    <s v="Soner Kayıkçı"/>
    <x v="1"/>
    <x v="197"/>
    <x v="197"/>
    <n v="2"/>
    <s v="ADET"/>
    <n v="0"/>
    <n v="40"/>
    <n v="18"/>
    <n v="-14"/>
    <n v="0"/>
    <n v="0"/>
    <n v="45.3"/>
    <x v="23"/>
    <n v="90.6"/>
    <x v="7"/>
  </r>
  <r>
    <x v="0"/>
    <s v="Matteo Giolo"/>
    <x v="1"/>
    <x v="314"/>
    <x v="314"/>
    <n v="16"/>
    <s v="ADET"/>
    <n v="0"/>
    <n v="442"/>
    <n v="0"/>
    <n v="-64"/>
    <n v="0"/>
    <n v="0"/>
    <n v="9.35"/>
    <x v="5"/>
    <n v="149.6"/>
    <x v="1"/>
  </r>
  <r>
    <x v="0"/>
    <s v="Matteo Giolo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6"/>
    <s v="Laurent MONTAGNER"/>
    <x v="1"/>
    <x v="324"/>
    <x v="324"/>
    <n v="4"/>
    <s v="ADET"/>
    <n v="0"/>
    <n v="0"/>
    <n v="0"/>
    <n v="4"/>
    <n v="0"/>
    <n v="40"/>
    <n v="10"/>
    <x v="68"/>
    <n v="40"/>
    <x v="7"/>
  </r>
  <r>
    <x v="8"/>
    <s v="Jan Urbanek"/>
    <x v="1"/>
    <x v="314"/>
    <x v="314"/>
    <n v="16"/>
    <s v="ADET"/>
    <n v="0"/>
    <n v="442"/>
    <n v="0"/>
    <n v="-64"/>
    <n v="0"/>
    <n v="0"/>
    <n v="9.35"/>
    <x v="5"/>
    <n v="149.6"/>
    <x v="1"/>
  </r>
  <r>
    <x v="8"/>
    <s v="Jan Urbanek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7"/>
    <s v="Stina Alm"/>
    <x v="1"/>
    <x v="196"/>
    <x v="196"/>
    <n v="0.2"/>
    <s v="METRE"/>
    <n v="0"/>
    <n v="0"/>
    <n v="93.799999999999955"/>
    <n v="5.0999999999999996"/>
    <n v="0"/>
    <n v="34.526999999999994"/>
    <n v="6.77"/>
    <x v="68"/>
    <n v="1.3540000000000001"/>
    <x v="7"/>
  </r>
  <r>
    <x v="18"/>
    <s v="Stina Alm"/>
    <x v="1"/>
    <x v="218"/>
    <x v="218"/>
    <n v="6"/>
    <s v="ADET"/>
    <n v="0"/>
    <n v="105"/>
    <n v="56"/>
    <n v="-8"/>
    <n v="0"/>
    <n v="0"/>
    <n v="72.599999999999994"/>
    <x v="2"/>
    <n v="435.59999999999997"/>
    <x v="4"/>
  </r>
  <r>
    <x v="17"/>
    <s v="Soner Kayıkçı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17"/>
    <s v="Soner Kayıkçı"/>
    <x v="1"/>
    <x v="264"/>
    <x v="264"/>
    <n v="2"/>
    <s v="ADET"/>
    <n v="0"/>
    <n v="3"/>
    <n v="0"/>
    <n v="13"/>
    <n v="0"/>
    <n v="702"/>
    <n v="54"/>
    <x v="14"/>
    <n v="108"/>
    <x v="1"/>
  </r>
  <r>
    <x v="11"/>
    <s v="Jan Urbanek"/>
    <x v="1"/>
    <x v="264"/>
    <x v="264"/>
    <n v="2"/>
    <s v="ADET"/>
    <n v="0"/>
    <n v="3"/>
    <n v="0"/>
    <n v="13"/>
    <n v="0"/>
    <n v="702"/>
    <n v="54"/>
    <x v="14"/>
    <n v="108"/>
    <x v="1"/>
  </r>
  <r>
    <x v="11"/>
    <s v="Jan Urbanek"/>
    <x v="1"/>
    <x v="265"/>
    <x v="265"/>
    <n v="1"/>
    <s v="ADET"/>
    <n v="0"/>
    <n v="14"/>
    <n v="8"/>
    <n v="-1"/>
    <n v="0"/>
    <n v="0"/>
    <n v="270"/>
    <x v="29"/>
    <n v="270"/>
    <x v="7"/>
  </r>
  <r>
    <x v="11"/>
    <s v="Jan Urbanek"/>
    <x v="1"/>
    <x v="266"/>
    <x v="266"/>
    <n v="10"/>
    <s v="ADET"/>
    <n v="0"/>
    <n v="0"/>
    <n v="0"/>
    <n v="56"/>
    <n v="0"/>
    <n v="0"/>
    <n v="0"/>
    <x v="6"/>
    <n v="0"/>
    <x v="1"/>
  </r>
  <r>
    <x v="9"/>
    <s v="Stefan Zaugg"/>
    <x v="1"/>
    <x v="325"/>
    <x v="325"/>
    <n v="1"/>
    <s v="ADET"/>
    <n v="1"/>
    <n v="0"/>
    <n v="5"/>
    <n v="2"/>
    <n v="2"/>
    <n v="7992"/>
    <n v="3996"/>
    <x v="43"/>
    <n v="3996"/>
    <x v="7"/>
  </r>
  <r>
    <x v="0"/>
    <s v="Matteo Giolo"/>
    <x v="1"/>
    <x v="264"/>
    <x v="264"/>
    <n v="2"/>
    <s v="ADET"/>
    <n v="0"/>
    <n v="3"/>
    <n v="0"/>
    <n v="13"/>
    <n v="0"/>
    <n v="702"/>
    <n v="54"/>
    <x v="14"/>
    <n v="108"/>
    <x v="1"/>
  </r>
  <r>
    <x v="0"/>
    <s v="Matteo Giolo"/>
    <x v="1"/>
    <x v="265"/>
    <x v="265"/>
    <n v="1"/>
    <s v="ADET"/>
    <n v="0"/>
    <n v="14"/>
    <n v="8"/>
    <n v="-1"/>
    <n v="0"/>
    <n v="0"/>
    <n v="270"/>
    <x v="29"/>
    <n v="270"/>
    <x v="7"/>
  </r>
  <r>
    <x v="17"/>
    <s v="Soner Kayıkçı"/>
    <x v="1"/>
    <x v="95"/>
    <x v="95"/>
    <n v="2"/>
    <s v="ADET"/>
    <n v="0"/>
    <n v="222"/>
    <n v="2"/>
    <n v="-166"/>
    <n v="0"/>
    <n v="0"/>
    <n v="11.5"/>
    <x v="2"/>
    <n v="23"/>
    <x v="4"/>
  </r>
  <r>
    <x v="16"/>
    <s v="Laurent MONTAGNER"/>
    <x v="1"/>
    <x v="217"/>
    <x v="217"/>
    <n v="6"/>
    <s v="METRE"/>
    <n v="0"/>
    <n v="100"/>
    <n v="50"/>
    <n v="-16"/>
    <n v="0"/>
    <n v="0"/>
    <n v="46"/>
    <x v="70"/>
    <n v="276"/>
    <x v="7"/>
  </r>
  <r>
    <x v="17"/>
    <s v="Soner Kayıkçı"/>
    <x v="1"/>
    <x v="215"/>
    <x v="215"/>
    <n v="6"/>
    <s v="ADET"/>
    <n v="0"/>
    <n v="200"/>
    <n v="70"/>
    <n v="-165"/>
    <n v="0"/>
    <n v="0"/>
    <n v="10"/>
    <x v="14"/>
    <n v="60"/>
    <x v="1"/>
  </r>
  <r>
    <x v="3"/>
    <s v="Jan Urbanek"/>
    <x v="1"/>
    <x v="216"/>
    <x v="216"/>
    <n v="7"/>
    <s v="ADET"/>
    <n v="0"/>
    <n v="400"/>
    <n v="225"/>
    <n v="-292"/>
    <n v="0"/>
    <n v="0"/>
    <n v="12"/>
    <x v="14"/>
    <n v="84"/>
    <x v="1"/>
  </r>
  <r>
    <x v="3"/>
    <s v="Jan Urbanek"/>
    <x v="1"/>
    <x v="284"/>
    <x v="284"/>
    <n v="1"/>
    <s v="ADET"/>
    <n v="0"/>
    <n v="28"/>
    <n v="12"/>
    <n v="-17"/>
    <n v="0"/>
    <n v="0"/>
    <n v="15"/>
    <x v="29"/>
    <n v="15"/>
    <x v="7"/>
  </r>
  <r>
    <x v="4"/>
    <s v="Jan Urbanek"/>
    <x v="1"/>
    <x v="284"/>
    <x v="284"/>
    <n v="1"/>
    <s v="ADET"/>
    <n v="0"/>
    <n v="28"/>
    <n v="12"/>
    <n v="-17"/>
    <n v="0"/>
    <n v="0"/>
    <n v="15"/>
    <x v="29"/>
    <n v="15"/>
    <x v="7"/>
  </r>
  <r>
    <x v="4"/>
    <s v="Jan Urbanek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3"/>
    <s v="Jan Urbanek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11"/>
    <s v="Jan Urbanek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11"/>
    <s v="Jan Urbanek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9"/>
    <s v="Laurent MONTAGNER"/>
    <x v="1"/>
    <x v="213"/>
    <x v="213"/>
    <n v="3.2199999999999998"/>
    <s v="ADET"/>
    <n v="0"/>
    <n v="111"/>
    <n v="4.2632564145606011E-14"/>
    <n v="-52.539999999999992"/>
    <n v="0"/>
    <n v="0"/>
    <n v="36"/>
    <x v="2"/>
    <n v="115.91999999999999"/>
    <x v="1"/>
  </r>
  <r>
    <x v="19"/>
    <s v="Laurent MONTAGNER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16"/>
    <s v="Laurent MONTAGNER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11"/>
    <s v="Jan Urbanek"/>
    <x v="1"/>
    <x v="284"/>
    <x v="284"/>
    <n v="1"/>
    <s v="ADET"/>
    <n v="0"/>
    <n v="28"/>
    <n v="12"/>
    <n v="-17"/>
    <n v="0"/>
    <n v="0"/>
    <n v="15"/>
    <x v="29"/>
    <n v="15"/>
    <x v="7"/>
  </r>
  <r>
    <x v="17"/>
    <s v="Soner Kayıkçı"/>
    <x v="1"/>
    <x v="216"/>
    <x v="216"/>
    <n v="7"/>
    <s v="ADET"/>
    <n v="0"/>
    <n v="400"/>
    <n v="225"/>
    <n v="-292"/>
    <n v="0"/>
    <n v="0"/>
    <n v="12"/>
    <x v="14"/>
    <n v="84"/>
    <x v="1"/>
  </r>
  <r>
    <x v="16"/>
    <s v="Laurent MONTAGNER"/>
    <x v="1"/>
    <x v="216"/>
    <x v="216"/>
    <n v="15"/>
    <s v="ADET"/>
    <n v="0"/>
    <n v="400"/>
    <n v="225"/>
    <n v="-292"/>
    <n v="0"/>
    <n v="0"/>
    <n v="12"/>
    <x v="14"/>
    <n v="180"/>
    <x v="1"/>
  </r>
  <r>
    <x v="17"/>
    <s v="Soner Kayıkçı"/>
    <x v="1"/>
    <x v="308"/>
    <x v="308"/>
    <n v="1"/>
    <s v="ADET"/>
    <n v="0"/>
    <n v="1"/>
    <n v="5"/>
    <n v="0"/>
    <n v="0"/>
    <n v="0"/>
    <n v="250"/>
    <x v="62"/>
    <n v="250"/>
    <x v="4"/>
  </r>
  <r>
    <x v="16"/>
    <s v="Laurent MONTAGNER"/>
    <x v="1"/>
    <x v="284"/>
    <x v="284"/>
    <n v="1"/>
    <s v="ADET"/>
    <n v="0"/>
    <n v="28"/>
    <n v="12"/>
    <n v="-17"/>
    <n v="0"/>
    <n v="0"/>
    <n v="15"/>
    <x v="29"/>
    <n v="15"/>
    <x v="7"/>
  </r>
  <r>
    <x v="10"/>
    <s v="Murat Taşdemir"/>
    <x v="1"/>
    <x v="299"/>
    <x v="299"/>
    <n v="2.5000000000000001E-2"/>
    <s v="GR"/>
    <n v="0"/>
    <n v="150"/>
    <n v="0"/>
    <n v="-149.76499999999999"/>
    <n v="0"/>
    <n v="0"/>
    <n v="1.8"/>
    <x v="29"/>
    <n v="4.5000000000000005E-2"/>
    <x v="1"/>
  </r>
  <r>
    <x v="10"/>
    <s v="Murat Taşdemir"/>
    <x v="1"/>
    <x v="305"/>
    <x v="305"/>
    <n v="1"/>
    <s v="ADET"/>
    <n v="0"/>
    <n v="26"/>
    <n v="3"/>
    <n v="-12"/>
    <n v="0"/>
    <n v="0"/>
    <n v="360.05"/>
    <x v="67"/>
    <n v="360.05"/>
    <x v="4"/>
  </r>
  <r>
    <x v="5"/>
    <s v="Matteo Giolo"/>
    <x v="1"/>
    <x v="304"/>
    <x v="304"/>
    <n v="2"/>
    <s v="ADET"/>
    <n v="0"/>
    <n v="20"/>
    <n v="7"/>
    <n v="-10"/>
    <n v="0"/>
    <n v="0"/>
    <n v="60"/>
    <x v="1"/>
    <n v="120"/>
    <x v="1"/>
  </r>
  <r>
    <x v="10"/>
    <s v="Murat Taşdemir"/>
    <x v="1"/>
    <x v="326"/>
    <x v="326"/>
    <n v="1"/>
    <s v="ADET"/>
    <n v="0"/>
    <n v="5"/>
    <n v="0"/>
    <n v="-4"/>
    <n v="0"/>
    <n v="0"/>
    <n v="225"/>
    <x v="1"/>
    <n v="225"/>
    <x v="1"/>
  </r>
  <r>
    <x v="13"/>
    <s v="Volkan Batkan"/>
    <x v="1"/>
    <x v="297"/>
    <x v="297"/>
    <n v="4"/>
    <s v="ADET"/>
    <n v="0"/>
    <n v="996"/>
    <n v="0"/>
    <n v="-980"/>
    <n v="0"/>
    <n v="0"/>
    <n v="1.8"/>
    <x v="2"/>
    <n v="7.2"/>
    <x v="1"/>
  </r>
  <r>
    <x v="10"/>
    <s v="Murat Taşdemir"/>
    <x v="1"/>
    <x v="327"/>
    <x v="327"/>
    <n v="1"/>
    <s v="ADET"/>
    <n v="0"/>
    <n v="4"/>
    <n v="4"/>
    <n v="0"/>
    <n v="0"/>
    <n v="0"/>
    <n v="3256.79"/>
    <x v="3"/>
    <n v="3256.79"/>
    <x v="2"/>
  </r>
  <r>
    <x v="9"/>
    <s v="Stefan Zaugg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7"/>
    <s v="Soner Kayıkçı"/>
    <x v="1"/>
    <x v="296"/>
    <x v="296"/>
    <n v="6"/>
    <s v="ADET"/>
    <n v="0"/>
    <n v="84"/>
    <n v="195.89999999999986"/>
    <n v="-24.600000000000023"/>
    <n v="0"/>
    <n v="0"/>
    <n v="29"/>
    <x v="2"/>
    <n v="174"/>
    <x v="1"/>
  </r>
  <r>
    <x v="16"/>
    <s v="Laurent MONTAGNER"/>
    <x v="1"/>
    <x v="304"/>
    <x v="304"/>
    <n v="2"/>
    <s v="ADET"/>
    <n v="0"/>
    <n v="20"/>
    <n v="7"/>
    <n v="-10"/>
    <n v="0"/>
    <n v="0"/>
    <n v="60"/>
    <x v="1"/>
    <n v="120"/>
    <x v="1"/>
  </r>
  <r>
    <x v="11"/>
    <s v="Jan Urbanek"/>
    <x v="1"/>
    <x v="296"/>
    <x v="296"/>
    <n v="6"/>
    <s v="ADET"/>
    <n v="0"/>
    <n v="84"/>
    <n v="195.89999999999986"/>
    <n v="-24.600000000000023"/>
    <n v="0"/>
    <n v="0"/>
    <n v="29"/>
    <x v="2"/>
    <n v="174"/>
    <x v="1"/>
  </r>
  <r>
    <x v="14"/>
    <s v="Matteo Giolo"/>
    <x v="1"/>
    <x v="296"/>
    <x v="296"/>
    <n v="6.35"/>
    <s v="ADET"/>
    <n v="0"/>
    <n v="84"/>
    <n v="195.89999999999986"/>
    <n v="-24.600000000000023"/>
    <n v="0"/>
    <n v="0"/>
    <n v="29"/>
    <x v="2"/>
    <n v="184.14999999999998"/>
    <x v="1"/>
  </r>
  <r>
    <x v="14"/>
    <s v="Matteo Giolo"/>
    <x v="1"/>
    <x v="304"/>
    <x v="304"/>
    <n v="2"/>
    <s v="ADET"/>
    <n v="0"/>
    <n v="20"/>
    <n v="7"/>
    <n v="-10"/>
    <n v="0"/>
    <n v="0"/>
    <n v="60"/>
    <x v="1"/>
    <n v="120"/>
    <x v="1"/>
  </r>
  <r>
    <x v="9"/>
    <s v="Stefan Zaugg"/>
    <x v="1"/>
    <x v="303"/>
    <x v="303"/>
    <n v="1"/>
    <s v="ADET"/>
    <n v="0"/>
    <n v="26"/>
    <n v="46"/>
    <n v="-8"/>
    <n v="0"/>
    <n v="0"/>
    <n v="12"/>
    <x v="14"/>
    <n v="12"/>
    <x v="1"/>
  </r>
  <r>
    <x v="14"/>
    <s v="Matteo Giolo"/>
    <x v="1"/>
    <x v="303"/>
    <x v="303"/>
    <n v="2"/>
    <s v="ADET"/>
    <n v="0"/>
    <n v="26"/>
    <n v="46"/>
    <n v="-8"/>
    <n v="0"/>
    <n v="0"/>
    <n v="12"/>
    <x v="14"/>
    <n v="24"/>
    <x v="1"/>
  </r>
  <r>
    <x v="11"/>
    <s v="Jan Urbanek"/>
    <x v="1"/>
    <x v="328"/>
    <x v="328"/>
    <n v="1"/>
    <s v="ADET"/>
    <n v="0"/>
    <n v="0"/>
    <n v="1"/>
    <n v="1"/>
    <n v="2"/>
    <n v="11481.54"/>
    <n v="11481.54"/>
    <x v="43"/>
    <n v="11481.54"/>
    <x v="7"/>
  </r>
  <r>
    <x v="14"/>
    <s v="Matteo Giolo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3"/>
    <s v="Volkan Batkan"/>
    <x v="1"/>
    <x v="305"/>
    <x v="305"/>
    <n v="1"/>
    <s v="ADET"/>
    <n v="0"/>
    <n v="26"/>
    <n v="3"/>
    <n v="-12"/>
    <n v="0"/>
    <n v="0"/>
    <n v="360.05"/>
    <x v="67"/>
    <n v="360.05"/>
    <x v="4"/>
  </r>
  <r>
    <x v="9"/>
    <s v="Stefan Zaugg"/>
    <x v="1"/>
    <x v="306"/>
    <x v="306"/>
    <n v="6.55"/>
    <s v="ADET"/>
    <n v="0"/>
    <n v="85"/>
    <n v="3.6500000000000106"/>
    <n v="12.549999999999997"/>
    <n v="0"/>
    <n v="4368.7804999999989"/>
    <n v="348.11"/>
    <x v="11"/>
    <n v="2280.1205"/>
    <x v="3"/>
  </r>
  <r>
    <x v="12"/>
    <s v="Stefan Zaugg"/>
    <x v="1"/>
    <x v="306"/>
    <x v="306"/>
    <n v="6.55"/>
    <s v="ADET"/>
    <n v="0"/>
    <n v="85"/>
    <n v="3.6500000000000106"/>
    <n v="12.549999999999997"/>
    <n v="0"/>
    <n v="4368.7804999999989"/>
    <n v="348.11"/>
    <x v="11"/>
    <n v="2280.1205"/>
    <x v="3"/>
  </r>
  <r>
    <x v="14"/>
    <s v="Matteo Giolo"/>
    <x v="1"/>
    <x v="306"/>
    <x v="306"/>
    <n v="5.85"/>
    <s v="ADET"/>
    <n v="0"/>
    <n v="85"/>
    <n v="3.6500000000000106"/>
    <n v="12.549999999999997"/>
    <n v="0"/>
    <n v="4368.7804999999989"/>
    <n v="348.11"/>
    <x v="11"/>
    <n v="2036.4434999999999"/>
    <x v="3"/>
  </r>
  <r>
    <x v="10"/>
    <s v="Murat Taşdemir"/>
    <x v="1"/>
    <x v="303"/>
    <x v="303"/>
    <n v="2"/>
    <s v="ADET"/>
    <n v="0"/>
    <n v="26"/>
    <n v="46"/>
    <n v="-8"/>
    <n v="0"/>
    <n v="0"/>
    <n v="12"/>
    <x v="14"/>
    <n v="24"/>
    <x v="1"/>
  </r>
  <r>
    <x v="11"/>
    <s v="Jan Urbanek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12"/>
    <s v="Stefan Zaugg"/>
    <x v="1"/>
    <x v="298"/>
    <x v="298"/>
    <n v="0.1"/>
    <s v="ADET"/>
    <n v="0.1"/>
    <n v="33"/>
    <n v="6.0999999999999988"/>
    <n v="-32.299999999999997"/>
    <n v="0"/>
    <n v="0"/>
    <n v="25"/>
    <x v="2"/>
    <n v="2.5"/>
    <x v="1"/>
  </r>
  <r>
    <x v="13"/>
    <s v="Volkan Batkan"/>
    <x v="1"/>
    <x v="298"/>
    <x v="298"/>
    <n v="0.1"/>
    <s v="ADET"/>
    <n v="0.1"/>
    <n v="33"/>
    <n v="6.0999999999999988"/>
    <n v="-32.299999999999997"/>
    <n v="0"/>
    <n v="0"/>
    <n v="25"/>
    <x v="2"/>
    <n v="2.5"/>
    <x v="1"/>
  </r>
  <r>
    <x v="9"/>
    <s v="Stefan Zaugg"/>
    <x v="1"/>
    <x v="327"/>
    <x v="327"/>
    <n v="1"/>
    <s v="ADET"/>
    <n v="0"/>
    <n v="4"/>
    <n v="4"/>
    <n v="0"/>
    <n v="0"/>
    <n v="0"/>
    <n v="3256.79"/>
    <x v="3"/>
    <n v="3256.79"/>
    <x v="2"/>
  </r>
  <r>
    <x v="12"/>
    <s v="Stefan Zaugg"/>
    <x v="1"/>
    <x v="327"/>
    <x v="327"/>
    <n v="1"/>
    <s v="ADET"/>
    <n v="0"/>
    <n v="4"/>
    <n v="4"/>
    <n v="0"/>
    <n v="0"/>
    <n v="0"/>
    <n v="3256.79"/>
    <x v="3"/>
    <n v="3256.79"/>
    <x v="2"/>
  </r>
  <r>
    <x v="11"/>
    <s v="Jan Urbanek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7"/>
    <s v="Stina Alm"/>
    <x v="1"/>
    <x v="197"/>
    <x v="197"/>
    <n v="2"/>
    <s v="ADET"/>
    <n v="0"/>
    <n v="40"/>
    <n v="18"/>
    <n v="-14"/>
    <n v="0"/>
    <n v="0"/>
    <n v="45.3"/>
    <x v="23"/>
    <n v="90.6"/>
    <x v="7"/>
  </r>
  <r>
    <x v="6"/>
    <s v="Stefan Zaugg"/>
    <x v="1"/>
    <x v="313"/>
    <x v="313"/>
    <n v="0.3"/>
    <s v="M2"/>
    <n v="0"/>
    <n v="0"/>
    <n v="30.759999999999991"/>
    <n v="4.4399999999999995"/>
    <n v="0"/>
    <n v="7762.0523999999996"/>
    <n v="1748.21"/>
    <x v="61"/>
    <n v="524.46299999999997"/>
    <x v="8"/>
  </r>
  <r>
    <x v="5"/>
    <s v="Matteo Giolo"/>
    <x v="1"/>
    <x v="313"/>
    <x v="313"/>
    <n v="0.6"/>
    <s v="M2"/>
    <n v="0"/>
    <n v="0"/>
    <n v="30.759999999999991"/>
    <n v="4.4399999999999995"/>
    <n v="0"/>
    <n v="7762.0523999999996"/>
    <n v="1748.21"/>
    <x v="61"/>
    <n v="1048.9259999999999"/>
    <x v="8"/>
  </r>
  <r>
    <x v="7"/>
    <s v="Stina Alm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6"/>
    <s v="Laurent MONTAGNER"/>
    <x v="1"/>
    <x v="196"/>
    <x v="196"/>
    <n v="0.30000000000000004"/>
    <s v="METRE"/>
    <n v="0"/>
    <n v="0"/>
    <n v="93.799999999999955"/>
    <n v="5.0999999999999996"/>
    <n v="0"/>
    <n v="34.526999999999994"/>
    <n v="6.77"/>
    <x v="68"/>
    <n v="2.0310000000000001"/>
    <x v="7"/>
  </r>
  <r>
    <x v="16"/>
    <s v="Laurent MONTAGNER"/>
    <x v="1"/>
    <x v="197"/>
    <x v="197"/>
    <n v="2"/>
    <s v="ADET"/>
    <n v="0"/>
    <n v="40"/>
    <n v="18"/>
    <n v="-14"/>
    <n v="0"/>
    <n v="0"/>
    <n v="45.3"/>
    <x v="23"/>
    <n v="90.6"/>
    <x v="7"/>
  </r>
  <r>
    <x v="4"/>
    <s v="Jan Urbanek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8"/>
    <s v="Jan Urbanek"/>
    <x v="1"/>
    <x v="313"/>
    <x v="313"/>
    <n v="0.36"/>
    <s v="M2"/>
    <n v="0"/>
    <n v="0"/>
    <n v="30.759999999999991"/>
    <n v="4.4399999999999995"/>
    <n v="0"/>
    <n v="7762.0523999999996"/>
    <n v="1748.21"/>
    <x v="61"/>
    <n v="629.35559999999998"/>
    <x v="8"/>
  </r>
  <r>
    <x v="2"/>
    <s v="Jan Urbanek"/>
    <x v="1"/>
    <x v="314"/>
    <x v="314"/>
    <n v="16"/>
    <s v="ADET"/>
    <n v="0"/>
    <n v="442"/>
    <n v="0"/>
    <n v="-64"/>
    <n v="0"/>
    <n v="0"/>
    <n v="9.35"/>
    <x v="5"/>
    <n v="149.6"/>
    <x v="1"/>
  </r>
  <r>
    <x v="13"/>
    <s v="Volkan Batkan"/>
    <x v="1"/>
    <x v="313"/>
    <x v="313"/>
    <n v="0.36"/>
    <s v="M2"/>
    <n v="0"/>
    <n v="0"/>
    <n v="30.759999999999991"/>
    <n v="4.4399999999999995"/>
    <n v="0"/>
    <n v="7762.0523999999996"/>
    <n v="1748.21"/>
    <x v="61"/>
    <n v="629.35559999999998"/>
    <x v="8"/>
  </r>
  <r>
    <x v="14"/>
    <s v="Matteo Giolo"/>
    <x v="1"/>
    <x v="313"/>
    <x v="313"/>
    <n v="0.6"/>
    <s v="M2"/>
    <n v="0"/>
    <n v="0"/>
    <n v="30.759999999999991"/>
    <n v="4.4399999999999995"/>
    <n v="0"/>
    <n v="7762.0523999999996"/>
    <n v="1748.21"/>
    <x v="61"/>
    <n v="1048.9259999999999"/>
    <x v="8"/>
  </r>
  <r>
    <x v="10"/>
    <s v="Murat Taşdemir"/>
    <x v="1"/>
    <x v="314"/>
    <x v="314"/>
    <n v="20"/>
    <s v="ADET"/>
    <n v="0"/>
    <n v="442"/>
    <n v="0"/>
    <n v="-64"/>
    <n v="0"/>
    <n v="0"/>
    <n v="9.35"/>
    <x v="5"/>
    <n v="187"/>
    <x v="1"/>
  </r>
  <r>
    <x v="17"/>
    <s v="Soner Kayıkçı"/>
    <x v="1"/>
    <x v="314"/>
    <x v="314"/>
    <n v="16"/>
    <s v="ADET"/>
    <n v="0"/>
    <n v="442"/>
    <n v="0"/>
    <n v="-64"/>
    <n v="0"/>
    <n v="0"/>
    <n v="9.35"/>
    <x v="5"/>
    <n v="149.6"/>
    <x v="1"/>
  </r>
  <r>
    <x v="16"/>
    <s v="Laurent MONTAGNER"/>
    <x v="1"/>
    <x v="314"/>
    <x v="314"/>
    <n v="20"/>
    <s v="ADET"/>
    <n v="0"/>
    <n v="442"/>
    <n v="0"/>
    <n v="-64"/>
    <n v="0"/>
    <n v="0"/>
    <n v="9.35"/>
    <x v="5"/>
    <n v="187"/>
    <x v="1"/>
  </r>
  <r>
    <x v="16"/>
    <s v="Laurent MONTAGNER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3"/>
    <s v="Volkan Batkan"/>
    <x v="1"/>
    <x v="314"/>
    <x v="314"/>
    <n v="16"/>
    <s v="ADET"/>
    <n v="0"/>
    <n v="442"/>
    <n v="0"/>
    <n v="-64"/>
    <n v="0"/>
    <n v="0"/>
    <n v="9.35"/>
    <x v="5"/>
    <n v="149.6"/>
    <x v="1"/>
  </r>
  <r>
    <x v="11"/>
    <s v="Jan Urbanek"/>
    <x v="1"/>
    <x v="314"/>
    <x v="314"/>
    <n v="16"/>
    <s v="ADET"/>
    <n v="0"/>
    <n v="442"/>
    <n v="0"/>
    <n v="-64"/>
    <n v="0"/>
    <n v="0"/>
    <n v="9.35"/>
    <x v="5"/>
    <n v="149.6"/>
    <x v="1"/>
  </r>
  <r>
    <x v="13"/>
    <s v="Volkan Batkan"/>
    <x v="1"/>
    <x v="317"/>
    <x v="317"/>
    <n v="1"/>
    <s v="ADET"/>
    <n v="0"/>
    <n v="4"/>
    <n v="2"/>
    <n v="0"/>
    <n v="0"/>
    <n v="0"/>
    <n v="2249.17"/>
    <x v="83"/>
    <n v="2249.17"/>
    <x v="2"/>
  </r>
  <r>
    <x v="13"/>
    <s v="Volkan Batkan"/>
    <x v="1"/>
    <x v="271"/>
    <x v="271"/>
    <n v="2"/>
    <s v="ADET"/>
    <n v="0"/>
    <n v="288"/>
    <n v="94"/>
    <n v="-260"/>
    <n v="0"/>
    <n v="0"/>
    <n v="4"/>
    <x v="29"/>
    <n v="8"/>
    <x v="7"/>
  </r>
  <r>
    <x v="18"/>
    <s v="Stina Alm"/>
    <x v="1"/>
    <x v="269"/>
    <x v="269"/>
    <n v="3.6100000000000003"/>
    <s v="KG"/>
    <n v="0"/>
    <n v="110"/>
    <n v="57.22000000000007"/>
    <n v="-78.660000000000025"/>
    <n v="0"/>
    <n v="0"/>
    <n v="40"/>
    <x v="2"/>
    <n v="144.4"/>
    <x v="1"/>
  </r>
  <r>
    <x v="19"/>
    <s v="Laurent MONTAGNER"/>
    <x v="1"/>
    <x v="269"/>
    <x v="269"/>
    <n v="4.07"/>
    <s v="KG"/>
    <n v="4.07"/>
    <n v="110"/>
    <n v="57.22000000000007"/>
    <n v="-78.660000000000025"/>
    <n v="0"/>
    <n v="0"/>
    <n v="40"/>
    <x v="2"/>
    <n v="162.80000000000001"/>
    <x v="1"/>
  </r>
  <r>
    <x v="14"/>
    <s v="Matteo Giolo"/>
    <x v="1"/>
    <x v="270"/>
    <x v="270"/>
    <n v="1"/>
    <s v="ADET"/>
    <n v="0"/>
    <n v="15"/>
    <n v="11"/>
    <n v="-1"/>
    <n v="0"/>
    <n v="0"/>
    <n v="237.5"/>
    <x v="1"/>
    <n v="237.5"/>
    <x v="1"/>
  </r>
  <r>
    <x v="11"/>
    <s v="Jan Urbanek"/>
    <x v="1"/>
    <x v="271"/>
    <x v="271"/>
    <n v="2"/>
    <s v="ADET"/>
    <n v="0"/>
    <n v="288"/>
    <n v="94"/>
    <n v="-260"/>
    <n v="0"/>
    <n v="0"/>
    <n v="4"/>
    <x v="29"/>
    <n v="8"/>
    <x v="7"/>
  </r>
  <r>
    <x v="14"/>
    <s v="Matteo Giolo"/>
    <x v="1"/>
    <x v="271"/>
    <x v="271"/>
    <n v="2"/>
    <s v="ADET"/>
    <n v="0"/>
    <n v="288"/>
    <n v="94"/>
    <n v="-260"/>
    <n v="0"/>
    <n v="0"/>
    <n v="4"/>
    <x v="29"/>
    <n v="8"/>
    <x v="7"/>
  </r>
  <r>
    <x v="14"/>
    <s v="Matteo Giolo"/>
    <x v="1"/>
    <x v="273"/>
    <x v="273"/>
    <n v="1"/>
    <s v="ADET"/>
    <n v="0"/>
    <n v="25"/>
    <n v="3"/>
    <n v="-11"/>
    <n v="0"/>
    <n v="0"/>
    <n v="360.05"/>
    <x v="67"/>
    <n v="360.05"/>
    <x v="4"/>
  </r>
  <r>
    <x v="9"/>
    <s v="Stefan Zaugg"/>
    <x v="1"/>
    <x v="275"/>
    <x v="275"/>
    <n v="22"/>
    <s v="MT"/>
    <n v="0"/>
    <n v="200"/>
    <n v="86"/>
    <n v="220"/>
    <n v="0"/>
    <n v="23100"/>
    <n v="105"/>
    <x v="78"/>
    <n v="2310"/>
    <x v="6"/>
  </r>
  <r>
    <x v="12"/>
    <s v="Stefan Zaugg"/>
    <x v="1"/>
    <x v="275"/>
    <x v="275"/>
    <n v="22"/>
    <s v="MT"/>
    <n v="0"/>
    <n v="200"/>
    <n v="86"/>
    <n v="220"/>
    <n v="0"/>
    <n v="23100"/>
    <n v="105"/>
    <x v="78"/>
    <n v="2310"/>
    <x v="6"/>
  </r>
  <r>
    <x v="12"/>
    <s v="Stefan Zaugg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1"/>
    <s v="Jan Urbanek"/>
    <x v="1"/>
    <x v="305"/>
    <x v="305"/>
    <n v="1"/>
    <s v="ADET"/>
    <n v="0"/>
    <n v="26"/>
    <n v="3"/>
    <n v="-12"/>
    <n v="0"/>
    <n v="0"/>
    <n v="360.05"/>
    <x v="67"/>
    <n v="360.05"/>
    <x v="4"/>
  </r>
  <r>
    <x v="14"/>
    <s v="Matteo Giolo"/>
    <x v="1"/>
    <x v="305"/>
    <x v="305"/>
    <n v="1"/>
    <s v="ADET"/>
    <n v="0"/>
    <n v="26"/>
    <n v="3"/>
    <n v="-12"/>
    <n v="0"/>
    <n v="0"/>
    <n v="360.05"/>
    <x v="67"/>
    <n v="360.05"/>
    <x v="4"/>
  </r>
  <r>
    <x v="11"/>
    <s v="Jan Urbanek"/>
    <x v="1"/>
    <x v="306"/>
    <x v="306"/>
    <n v="4.4000000000000004"/>
    <s v="ADET"/>
    <n v="0"/>
    <n v="85"/>
    <n v="3.6500000000000106"/>
    <n v="12.549999999999997"/>
    <n v="0"/>
    <n v="4368.7804999999989"/>
    <n v="348.11"/>
    <x v="11"/>
    <n v="1531.6840000000002"/>
    <x v="3"/>
  </r>
  <r>
    <x v="11"/>
    <s v="Jan Urbanek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14"/>
    <s v="Matteo Giolo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13"/>
    <s v="Volkan Batkan"/>
    <x v="1"/>
    <x v="300"/>
    <x v="300"/>
    <n v="7"/>
    <s v="KG"/>
    <n v="0"/>
    <n v="65"/>
    <n v="0"/>
    <n v="54"/>
    <n v="0"/>
    <n v="60477.3"/>
    <n v="1119.95"/>
    <x v="81"/>
    <n v="7839.6500000000005"/>
    <x v="3"/>
  </r>
  <r>
    <x v="12"/>
    <s v="Stefan Zaugg"/>
    <x v="1"/>
    <x v="300"/>
    <x v="300"/>
    <n v="5"/>
    <s v="KG"/>
    <n v="0"/>
    <n v="65"/>
    <n v="0"/>
    <n v="54"/>
    <n v="0"/>
    <n v="60477.3"/>
    <n v="1119.95"/>
    <x v="81"/>
    <n v="5599.75"/>
    <x v="3"/>
  </r>
  <r>
    <x v="14"/>
    <s v="Matteo Giolo"/>
    <x v="1"/>
    <x v="329"/>
    <x v="329"/>
    <n v="1"/>
    <s v="ADET"/>
    <n v="0"/>
    <n v="3"/>
    <n v="8"/>
    <n v="11"/>
    <n v="0"/>
    <n v="20020"/>
    <n v="1820"/>
    <x v="84"/>
    <n v="1820"/>
    <x v="9"/>
  </r>
  <r>
    <x v="9"/>
    <s v="Stefan Zaugg"/>
    <x v="1"/>
    <x v="300"/>
    <x v="300"/>
    <n v="5"/>
    <s v="KG"/>
    <n v="0"/>
    <n v="65"/>
    <n v="0"/>
    <n v="54"/>
    <n v="0"/>
    <n v="60477.3"/>
    <n v="1119.95"/>
    <x v="81"/>
    <n v="5599.75"/>
    <x v="3"/>
  </r>
  <r>
    <x v="10"/>
    <s v="Murat Taşdemir"/>
    <x v="1"/>
    <x v="300"/>
    <x v="300"/>
    <n v="7"/>
    <s v="KG"/>
    <n v="0"/>
    <n v="65"/>
    <n v="0"/>
    <n v="54"/>
    <n v="0"/>
    <n v="60477.3"/>
    <n v="1119.95"/>
    <x v="81"/>
    <n v="7839.6500000000005"/>
    <x v="3"/>
  </r>
  <r>
    <x v="11"/>
    <s v="Jan Urbanek"/>
    <x v="1"/>
    <x v="329"/>
    <x v="329"/>
    <n v="1"/>
    <s v="ADET"/>
    <n v="0"/>
    <n v="3"/>
    <n v="8"/>
    <n v="11"/>
    <n v="0"/>
    <n v="20020"/>
    <n v="1820"/>
    <x v="84"/>
    <n v="1820"/>
    <x v="9"/>
  </r>
  <r>
    <x v="7"/>
    <s v="Stina Alm"/>
    <x v="1"/>
    <x v="330"/>
    <x v="330"/>
    <n v="1"/>
    <s v="M2"/>
    <n v="0"/>
    <n v="0"/>
    <n v="26.754999999999999"/>
    <n v="1"/>
    <n v="0"/>
    <n v="882.72"/>
    <n v="882.72"/>
    <x v="61"/>
    <n v="882.72"/>
    <x v="8"/>
  </r>
  <r>
    <x v="0"/>
    <s v="Matteo Giolo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"/>
    <s v="Laurent MONTAGNER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0"/>
    <s v="Matteo Giolo"/>
    <x v="1"/>
    <x v="305"/>
    <x v="305"/>
    <n v="1"/>
    <s v="ADET"/>
    <n v="0"/>
    <n v="26"/>
    <n v="3"/>
    <n v="-12"/>
    <n v="0"/>
    <n v="0"/>
    <n v="360.05"/>
    <x v="67"/>
    <n v="360.05"/>
    <x v="4"/>
  </r>
  <r>
    <x v="5"/>
    <s v="Matteo Giolo"/>
    <x v="1"/>
    <x v="306"/>
    <x v="306"/>
    <n v="4.3499999999999988"/>
    <s v="ADET"/>
    <n v="0"/>
    <n v="85"/>
    <n v="3.6500000000000106"/>
    <n v="12.549999999999997"/>
    <n v="0"/>
    <n v="4368.7804999999989"/>
    <n v="348.11"/>
    <x v="11"/>
    <n v="1514.2784999999997"/>
    <x v="3"/>
  </r>
  <r>
    <x v="7"/>
    <s v="Stina Alm"/>
    <x v="1"/>
    <x v="306"/>
    <x v="306"/>
    <n v="5.85"/>
    <s v="ADET"/>
    <n v="0"/>
    <n v="85"/>
    <n v="3.6500000000000106"/>
    <n v="12.549999999999997"/>
    <n v="0"/>
    <n v="4368.7804999999989"/>
    <n v="348.11"/>
    <x v="11"/>
    <n v="2036.4434999999999"/>
    <x v="3"/>
  </r>
  <r>
    <x v="6"/>
    <s v="Stefan Zaugg"/>
    <x v="1"/>
    <x v="306"/>
    <x v="306"/>
    <n v="8.0500000000000007"/>
    <s v="ADET"/>
    <n v="0"/>
    <n v="85"/>
    <n v="3.6500000000000106"/>
    <n v="12.549999999999997"/>
    <n v="0"/>
    <n v="4368.7804999999989"/>
    <n v="348.11"/>
    <x v="11"/>
    <n v="2802.2855000000004"/>
    <x v="3"/>
  </r>
  <r>
    <x v="6"/>
    <s v="Stefan Zaugg"/>
    <x v="1"/>
    <x v="300"/>
    <x v="300"/>
    <n v="5"/>
    <s v="KG"/>
    <n v="0"/>
    <n v="65"/>
    <n v="0"/>
    <n v="54"/>
    <n v="0"/>
    <n v="60477.3"/>
    <n v="1119.95"/>
    <x v="81"/>
    <n v="5599.75"/>
    <x v="3"/>
  </r>
  <r>
    <x v="13"/>
    <s v="Volkan Batkan"/>
    <x v="1"/>
    <x v="306"/>
    <x v="306"/>
    <n v="4.25"/>
    <s v="ADET"/>
    <n v="0"/>
    <n v="85"/>
    <n v="3.6500000000000106"/>
    <n v="12.549999999999997"/>
    <n v="0"/>
    <n v="4368.7804999999989"/>
    <n v="348.11"/>
    <x v="11"/>
    <n v="1479.4675"/>
    <x v="3"/>
  </r>
  <r>
    <x v="15"/>
    <s v="Hayriye Güven"/>
    <x v="1"/>
    <x v="329"/>
    <x v="329"/>
    <n v="1"/>
    <s v="ADET"/>
    <n v="0"/>
    <n v="3"/>
    <n v="8"/>
    <n v="11"/>
    <n v="0"/>
    <n v="20020"/>
    <n v="1820"/>
    <x v="84"/>
    <n v="1820"/>
    <x v="9"/>
  </r>
  <r>
    <x v="10"/>
    <s v="Murat Taşdemir"/>
    <x v="1"/>
    <x v="329"/>
    <x v="329"/>
    <n v="1"/>
    <s v="ADET"/>
    <n v="0"/>
    <n v="3"/>
    <n v="8"/>
    <n v="11"/>
    <n v="0"/>
    <n v="20020"/>
    <n v="1820"/>
    <x v="84"/>
    <n v="1820"/>
    <x v="9"/>
  </r>
  <r>
    <x v="6"/>
    <s v="Stefan Zaugg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5"/>
    <s v="Matteo Giolo"/>
    <x v="1"/>
    <x v="299"/>
    <x v="299"/>
    <n v="2.5000000000000001E-2"/>
    <s v="GR"/>
    <n v="0"/>
    <n v="150"/>
    <n v="0"/>
    <n v="-149.76499999999999"/>
    <n v="0"/>
    <n v="0"/>
    <n v="1.8"/>
    <x v="29"/>
    <n v="4.5000000000000005E-2"/>
    <x v="1"/>
  </r>
  <r>
    <x v="5"/>
    <s v="Matteo Giolo"/>
    <x v="1"/>
    <x v="305"/>
    <x v="305"/>
    <n v="1"/>
    <s v="ADET"/>
    <n v="0"/>
    <n v="26"/>
    <n v="3"/>
    <n v="-12"/>
    <n v="0"/>
    <n v="0"/>
    <n v="360.05"/>
    <x v="67"/>
    <n v="360.05"/>
    <x v="4"/>
  </r>
  <r>
    <x v="0"/>
    <s v="Matteo Giolo"/>
    <x v="1"/>
    <x v="306"/>
    <x v="306"/>
    <n v="4.4000000000000004"/>
    <s v="ADET"/>
    <n v="0"/>
    <n v="85"/>
    <n v="3.6500000000000106"/>
    <n v="12.549999999999997"/>
    <n v="0"/>
    <n v="4368.7804999999989"/>
    <n v="348.11"/>
    <x v="11"/>
    <n v="1531.6840000000002"/>
    <x v="3"/>
  </r>
  <r>
    <x v="0"/>
    <s v="Matteo Giolo"/>
    <x v="1"/>
    <x v="331"/>
    <x v="331"/>
    <n v="4"/>
    <s v="ADET"/>
    <n v="0"/>
    <n v="64.5"/>
    <n v="20"/>
    <n v="-14.5"/>
    <n v="0"/>
    <n v="0"/>
    <n v="200"/>
    <x v="16"/>
    <n v="800"/>
    <x v="2"/>
  </r>
  <r>
    <x v="11"/>
    <s v="Jan Urbanek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1"/>
    <s v="Jan Urbanek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11"/>
    <s v="Jan Urbanek"/>
    <x v="1"/>
    <x v="290"/>
    <x v="290"/>
    <n v="1"/>
    <s v="ADET"/>
    <n v="0"/>
    <n v="30"/>
    <n v="3"/>
    <n v="-16"/>
    <n v="0"/>
    <n v="0"/>
    <n v="372.91"/>
    <x v="67"/>
    <n v="372.91"/>
    <x v="4"/>
  </r>
  <r>
    <x v="16"/>
    <s v="Laurent MONTAGNER"/>
    <x v="1"/>
    <x v="292"/>
    <x v="292"/>
    <n v="2"/>
    <s v="ADET"/>
    <n v="0"/>
    <n v="0"/>
    <n v="93"/>
    <n v="26"/>
    <n v="0"/>
    <n v="351"/>
    <n v="13.5"/>
    <x v="14"/>
    <n v="27"/>
    <x v="1"/>
  </r>
  <r>
    <x v="10"/>
    <s v="Murat Taşdemir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0"/>
    <s v="Murat Taşdemir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13"/>
    <s v="Volkan Batkan"/>
    <x v="1"/>
    <x v="290"/>
    <x v="290"/>
    <n v="1"/>
    <s v="ADET"/>
    <n v="0"/>
    <n v="30"/>
    <n v="3"/>
    <n v="-16"/>
    <n v="0"/>
    <n v="0"/>
    <n v="372.91"/>
    <x v="67"/>
    <n v="372.91"/>
    <x v="4"/>
  </r>
  <r>
    <x v="10"/>
    <s v="Murat Taşdemir"/>
    <x v="1"/>
    <x v="291"/>
    <x v="291"/>
    <n v="1"/>
    <s v="ADET"/>
    <n v="0"/>
    <n v="27"/>
    <n v="3"/>
    <n v="-13"/>
    <n v="0"/>
    <n v="0"/>
    <n v="372.91"/>
    <x v="67"/>
    <n v="372.91"/>
    <x v="4"/>
  </r>
  <r>
    <x v="13"/>
    <s v="Volkan Batkan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14"/>
    <s v="Matteo Giolo"/>
    <x v="1"/>
    <x v="332"/>
    <x v="332"/>
    <n v="430"/>
    <s v="ADET"/>
    <n v="0"/>
    <n v="8000"/>
    <n v="11449"/>
    <n v="-1313"/>
    <n v="0"/>
    <n v="0"/>
    <n v="0.54"/>
    <x v="1"/>
    <n v="232.20000000000002"/>
    <x v="1"/>
  </r>
  <r>
    <x v="14"/>
    <s v="Matteo Giolo"/>
    <x v="1"/>
    <x v="333"/>
    <x v="333"/>
    <n v="3"/>
    <s v="ADET"/>
    <n v="0"/>
    <n v="11"/>
    <n v="19"/>
    <n v="22"/>
    <n v="0"/>
    <n v="67584"/>
    <n v="3072"/>
    <x v="85"/>
    <n v="9216"/>
    <x v="2"/>
  </r>
  <r>
    <x v="11"/>
    <s v="Jan Urbanek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11"/>
    <s v="Jan Urbanek"/>
    <x v="1"/>
    <x v="333"/>
    <x v="333"/>
    <n v="4"/>
    <s v="ADET"/>
    <n v="0"/>
    <n v="11"/>
    <n v="19"/>
    <n v="22"/>
    <n v="0"/>
    <n v="67584"/>
    <n v="3072"/>
    <x v="85"/>
    <n v="12288"/>
    <x v="2"/>
  </r>
  <r>
    <x v="11"/>
    <s v="Jan Urbanek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0"/>
    <s v="Matteo Giolo"/>
    <x v="1"/>
    <x v="290"/>
    <x v="290"/>
    <n v="1"/>
    <s v="ADET"/>
    <n v="0"/>
    <n v="30"/>
    <n v="3"/>
    <n v="-16"/>
    <n v="0"/>
    <n v="0"/>
    <n v="372.91"/>
    <x v="67"/>
    <n v="372.91"/>
    <x v="4"/>
  </r>
  <r>
    <x v="14"/>
    <s v="Matteo Giolo"/>
    <x v="1"/>
    <x v="290"/>
    <x v="290"/>
    <n v="1"/>
    <s v="ADET"/>
    <n v="0"/>
    <n v="30"/>
    <n v="3"/>
    <n v="-16"/>
    <n v="0"/>
    <n v="0"/>
    <n v="372.91"/>
    <x v="67"/>
    <n v="372.91"/>
    <x v="4"/>
  </r>
  <r>
    <x v="11"/>
    <s v="Jan Urbanek"/>
    <x v="1"/>
    <x v="291"/>
    <x v="291"/>
    <n v="1"/>
    <s v="ADET"/>
    <n v="0"/>
    <n v="27"/>
    <n v="3"/>
    <n v="-13"/>
    <n v="0"/>
    <n v="0"/>
    <n v="372.91"/>
    <x v="67"/>
    <n v="372.91"/>
    <x v="4"/>
  </r>
  <r>
    <x v="9"/>
    <s v="Stefan Zaugg"/>
    <x v="1"/>
    <x v="332"/>
    <x v="332"/>
    <n v="210"/>
    <s v="ADET"/>
    <n v="0"/>
    <n v="8000"/>
    <n v="11449"/>
    <n v="-1313"/>
    <n v="0"/>
    <n v="0"/>
    <n v="0.54"/>
    <x v="1"/>
    <n v="113.4"/>
    <x v="1"/>
  </r>
  <r>
    <x v="12"/>
    <s v="Stefan Zaugg"/>
    <x v="1"/>
    <x v="332"/>
    <x v="332"/>
    <n v="165"/>
    <s v="ADET"/>
    <n v="0"/>
    <n v="8000"/>
    <n v="11449"/>
    <n v="-1313"/>
    <n v="0"/>
    <n v="0"/>
    <n v="0.54"/>
    <x v="1"/>
    <n v="89.100000000000009"/>
    <x v="1"/>
  </r>
  <r>
    <x v="11"/>
    <s v="Jan Urbanek"/>
    <x v="1"/>
    <x v="335"/>
    <x v="335"/>
    <n v="1"/>
    <s v="ADET"/>
    <n v="0"/>
    <n v="19"/>
    <n v="15"/>
    <n v="-6"/>
    <n v="0"/>
    <n v="0"/>
    <n v="41.67"/>
    <x v="86"/>
    <n v="41.67"/>
    <x v="2"/>
  </r>
  <r>
    <x v="5"/>
    <s v="Matteo Giolo"/>
    <x v="1"/>
    <x v="332"/>
    <x v="332"/>
    <n v="498"/>
    <s v="ADET"/>
    <n v="0"/>
    <n v="8000"/>
    <n v="11449"/>
    <n v="-1313"/>
    <n v="0"/>
    <n v="0"/>
    <n v="0.54"/>
    <x v="1"/>
    <n v="268.92"/>
    <x v="1"/>
  </r>
  <r>
    <x v="6"/>
    <s v="Stefan Zaugg"/>
    <x v="1"/>
    <x v="332"/>
    <x v="332"/>
    <n v="210"/>
    <s v="ADET"/>
    <n v="0"/>
    <n v="8000"/>
    <n v="11449"/>
    <n v="-1313"/>
    <n v="0"/>
    <n v="0"/>
    <n v="0.54"/>
    <x v="1"/>
    <n v="113.4"/>
    <x v="1"/>
  </r>
  <r>
    <x v="1"/>
    <s v="Laurent MONTAGNER"/>
    <x v="1"/>
    <x v="336"/>
    <x v="336"/>
    <n v="2"/>
    <s v="ADET"/>
    <n v="2"/>
    <n v="33"/>
    <n v="5"/>
    <n v="-13"/>
    <n v="0"/>
    <n v="0"/>
    <n v="354.91"/>
    <x v="67"/>
    <n v="709.82"/>
    <x v="2"/>
  </r>
  <r>
    <x v="0"/>
    <s v="Matteo Giolo"/>
    <x v="1"/>
    <x v="335"/>
    <x v="335"/>
    <n v="1"/>
    <s v="ADET"/>
    <n v="0"/>
    <n v="19"/>
    <n v="15"/>
    <n v="-6"/>
    <n v="0"/>
    <n v="0"/>
    <n v="41.67"/>
    <x v="86"/>
    <n v="41.67"/>
    <x v="2"/>
  </r>
  <r>
    <x v="0"/>
    <s v="Matteo Giolo"/>
    <x v="1"/>
    <x v="336"/>
    <x v="336"/>
    <n v="2"/>
    <s v="ADET"/>
    <n v="0"/>
    <n v="33"/>
    <n v="5"/>
    <n v="-13"/>
    <n v="0"/>
    <n v="0"/>
    <n v="354.91"/>
    <x v="67"/>
    <n v="709.82"/>
    <x v="2"/>
  </r>
  <r>
    <x v="2"/>
    <s v="Jan Urbanek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2"/>
    <s v="Jan Urbanek"/>
    <x v="1"/>
    <x v="333"/>
    <x v="333"/>
    <n v="4"/>
    <s v="ADET"/>
    <n v="0"/>
    <n v="11"/>
    <n v="19"/>
    <n v="22"/>
    <n v="0"/>
    <n v="67584"/>
    <n v="3072"/>
    <x v="85"/>
    <n v="12288"/>
    <x v="2"/>
  </r>
  <r>
    <x v="2"/>
    <s v="Jan Urbanek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8"/>
    <s v="Jan Urbanek"/>
    <x v="1"/>
    <x v="335"/>
    <x v="335"/>
    <n v="1"/>
    <s v="ADET"/>
    <n v="0"/>
    <n v="19"/>
    <n v="15"/>
    <n v="-6"/>
    <n v="0"/>
    <n v="0"/>
    <n v="41.67"/>
    <x v="86"/>
    <n v="41.67"/>
    <x v="2"/>
  </r>
  <r>
    <x v="13"/>
    <s v="Volkan Batkan"/>
    <x v="1"/>
    <x v="336"/>
    <x v="336"/>
    <n v="2"/>
    <s v="ADET"/>
    <n v="0"/>
    <n v="33"/>
    <n v="5"/>
    <n v="-13"/>
    <n v="0"/>
    <n v="0"/>
    <n v="354.91"/>
    <x v="67"/>
    <n v="709.82"/>
    <x v="2"/>
  </r>
  <r>
    <x v="8"/>
    <s v="Jan Urbanek"/>
    <x v="1"/>
    <x v="336"/>
    <x v="336"/>
    <n v="2"/>
    <s v="ADET"/>
    <n v="0"/>
    <n v="33"/>
    <n v="5"/>
    <n v="-13"/>
    <n v="0"/>
    <n v="0"/>
    <n v="354.91"/>
    <x v="67"/>
    <n v="709.82"/>
    <x v="2"/>
  </r>
  <r>
    <x v="10"/>
    <s v="Murat Taşdemir"/>
    <x v="1"/>
    <x v="332"/>
    <x v="332"/>
    <n v="525"/>
    <s v="ADET"/>
    <n v="0"/>
    <n v="8000"/>
    <n v="11449"/>
    <n v="-1313"/>
    <n v="0"/>
    <n v="0"/>
    <n v="0.54"/>
    <x v="1"/>
    <n v="283.5"/>
    <x v="1"/>
  </r>
  <r>
    <x v="9"/>
    <s v="Stefan Zaugg"/>
    <x v="1"/>
    <x v="337"/>
    <x v="337"/>
    <n v="2"/>
    <s v="ADET"/>
    <n v="0"/>
    <n v="5"/>
    <n v="4"/>
    <n v="1"/>
    <n v="0"/>
    <n v="400"/>
    <n v="400"/>
    <x v="15"/>
    <n v="800"/>
    <x v="7"/>
  </r>
  <r>
    <x v="10"/>
    <s v="Murat Taşdemir"/>
    <x v="1"/>
    <x v="335"/>
    <x v="335"/>
    <n v="1"/>
    <s v="ADET"/>
    <n v="0"/>
    <n v="19"/>
    <n v="15"/>
    <n v="-6"/>
    <n v="0"/>
    <n v="0"/>
    <n v="41.67"/>
    <x v="86"/>
    <n v="41.67"/>
    <x v="2"/>
  </r>
  <r>
    <x v="12"/>
    <s v="Stefan Zaugg"/>
    <x v="1"/>
    <x v="338"/>
    <x v="338"/>
    <n v="3"/>
    <s v="ADET"/>
    <n v="0"/>
    <n v="22"/>
    <n v="18"/>
    <n v="-13"/>
    <n v="0"/>
    <n v="0"/>
    <n v="19.600000000000001"/>
    <x v="87"/>
    <n v="58.800000000000004"/>
    <x v="7"/>
  </r>
  <r>
    <x v="13"/>
    <s v="Volkan Batkan"/>
    <x v="1"/>
    <x v="338"/>
    <x v="338"/>
    <n v="3"/>
    <s v="ADET"/>
    <n v="0"/>
    <n v="22"/>
    <n v="18"/>
    <n v="-13"/>
    <n v="0"/>
    <n v="0"/>
    <n v="19.600000000000001"/>
    <x v="87"/>
    <n v="58.800000000000004"/>
    <x v="7"/>
  </r>
  <r>
    <x v="7"/>
    <s v="Stina Alm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7"/>
    <s v="Stina Alm"/>
    <x v="1"/>
    <x v="290"/>
    <x v="290"/>
    <n v="1"/>
    <s v="ADET"/>
    <n v="0"/>
    <n v="30"/>
    <n v="3"/>
    <n v="-16"/>
    <n v="0"/>
    <n v="0"/>
    <n v="372.91"/>
    <x v="67"/>
    <n v="372.91"/>
    <x v="4"/>
  </r>
  <r>
    <x v="10"/>
    <s v="Murat Taşdemir"/>
    <x v="1"/>
    <x v="279"/>
    <x v="279"/>
    <n v="1"/>
    <s v="ADET"/>
    <n v="0"/>
    <n v="39"/>
    <n v="2"/>
    <n v="-19"/>
    <n v="0"/>
    <n v="0"/>
    <n v="65"/>
    <x v="12"/>
    <n v="65"/>
    <x v="4"/>
  </r>
  <r>
    <x v="4"/>
    <s v="Jan Urbanek"/>
    <x v="1"/>
    <x v="282"/>
    <x v="282"/>
    <n v="1"/>
    <s v="ADET"/>
    <n v="0"/>
    <n v="24"/>
    <n v="4"/>
    <n v="-17"/>
    <n v="0"/>
    <n v="0"/>
    <n v="625"/>
    <x v="14"/>
    <n v="625"/>
    <x v="1"/>
  </r>
  <r>
    <x v="3"/>
    <s v="Jan Urbanek"/>
    <x v="1"/>
    <x v="282"/>
    <x v="282"/>
    <n v="1"/>
    <s v="ADET"/>
    <n v="0"/>
    <n v="24"/>
    <n v="4"/>
    <n v="-17"/>
    <n v="0"/>
    <n v="0"/>
    <n v="625"/>
    <x v="14"/>
    <n v="625"/>
    <x v="1"/>
  </r>
  <r>
    <x v="4"/>
    <s v="Jan Urbanek"/>
    <x v="1"/>
    <x v="279"/>
    <x v="279"/>
    <n v="1"/>
    <s v="ADET"/>
    <n v="0"/>
    <n v="39"/>
    <n v="2"/>
    <n v="-19"/>
    <n v="0"/>
    <n v="0"/>
    <n v="65"/>
    <x v="12"/>
    <n v="65"/>
    <x v="4"/>
  </r>
  <r>
    <x v="4"/>
    <s v="Jan Urbanek"/>
    <x v="1"/>
    <x v="287"/>
    <x v="287"/>
    <n v="1"/>
    <s v="ADET"/>
    <n v="0"/>
    <n v="6"/>
    <n v="7"/>
    <n v="2"/>
    <n v="6"/>
    <n v="3200"/>
    <n v="1600"/>
    <x v="2"/>
    <n v="1600"/>
    <x v="4"/>
  </r>
  <r>
    <x v="9"/>
    <s v="Stefan Zaugg"/>
    <x v="1"/>
    <x v="279"/>
    <x v="279"/>
    <n v="1"/>
    <s v="ADET"/>
    <n v="0"/>
    <n v="39"/>
    <n v="2"/>
    <n v="-19"/>
    <n v="0"/>
    <n v="0"/>
    <n v="65"/>
    <x v="12"/>
    <n v="65"/>
    <x v="4"/>
  </r>
  <r>
    <x v="14"/>
    <s v="Matteo Giolo"/>
    <x v="1"/>
    <x v="279"/>
    <x v="279"/>
    <n v="1"/>
    <s v="ADET"/>
    <n v="0"/>
    <n v="39"/>
    <n v="2"/>
    <n v="-19"/>
    <n v="0"/>
    <n v="0"/>
    <n v="65"/>
    <x v="12"/>
    <n v="65"/>
    <x v="4"/>
  </r>
  <r>
    <x v="12"/>
    <s v="Stefan Zaugg"/>
    <x v="1"/>
    <x v="279"/>
    <x v="279"/>
    <n v="1"/>
    <s v="ADET"/>
    <n v="0"/>
    <n v="39"/>
    <n v="2"/>
    <n v="-19"/>
    <n v="0"/>
    <n v="0"/>
    <n v="65"/>
    <x v="12"/>
    <n v="65"/>
    <x v="4"/>
  </r>
  <r>
    <x v="11"/>
    <s v="Jan Urbanek"/>
    <x v="1"/>
    <x v="279"/>
    <x v="279"/>
    <n v="1"/>
    <s v="ADET"/>
    <n v="0"/>
    <n v="39"/>
    <n v="2"/>
    <n v="-19"/>
    <n v="0"/>
    <n v="0"/>
    <n v="65"/>
    <x v="12"/>
    <n v="65"/>
    <x v="4"/>
  </r>
  <r>
    <x v="9"/>
    <s v="Stefan Zaugg"/>
    <x v="1"/>
    <x v="280"/>
    <x v="280"/>
    <n v="0.9"/>
    <s v="METRE"/>
    <n v="0"/>
    <n v="0"/>
    <n v="23.20000000000001"/>
    <n v="1.8"/>
    <n v="0"/>
    <n v="360"/>
    <n v="200"/>
    <x v="79"/>
    <n v="180"/>
    <x v="2"/>
  </r>
  <r>
    <x v="17"/>
    <s v="Soner Kayıkçı"/>
    <x v="1"/>
    <x v="282"/>
    <x v="282"/>
    <n v="1"/>
    <s v="ADET"/>
    <n v="0"/>
    <n v="24"/>
    <n v="4"/>
    <n v="-17"/>
    <n v="0"/>
    <n v="0"/>
    <n v="625"/>
    <x v="14"/>
    <n v="625"/>
    <x v="1"/>
  </r>
  <r>
    <x v="17"/>
    <s v="Soner Kayıkçı"/>
    <x v="1"/>
    <x v="279"/>
    <x v="279"/>
    <n v="1"/>
    <s v="ADET"/>
    <n v="0"/>
    <n v="39"/>
    <n v="2"/>
    <n v="-19"/>
    <n v="0"/>
    <n v="0"/>
    <n v="65"/>
    <x v="12"/>
    <n v="65"/>
    <x v="4"/>
  </r>
  <r>
    <x v="19"/>
    <s v="Laurent MONTAGNER"/>
    <x v="1"/>
    <x v="279"/>
    <x v="279"/>
    <n v="1"/>
    <s v="ADET"/>
    <n v="0"/>
    <n v="39"/>
    <n v="2"/>
    <n v="-19"/>
    <n v="0"/>
    <n v="0"/>
    <n v="65"/>
    <x v="12"/>
    <n v="65"/>
    <x v="4"/>
  </r>
  <r>
    <x v="17"/>
    <s v="Soner Kayıkçı"/>
    <x v="1"/>
    <x v="287"/>
    <x v="287"/>
    <n v="1"/>
    <s v="ADET"/>
    <n v="0"/>
    <n v="6"/>
    <n v="7"/>
    <n v="2"/>
    <n v="6"/>
    <n v="3200"/>
    <n v="1600"/>
    <x v="2"/>
    <n v="1600"/>
    <x v="4"/>
  </r>
  <r>
    <x v="4"/>
    <s v="Jan Urbanek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6"/>
    <s v="Stefan Zaugg"/>
    <x v="1"/>
    <x v="331"/>
    <x v="331"/>
    <n v="4"/>
    <s v="ADET"/>
    <n v="4"/>
    <n v="64.5"/>
    <n v="20"/>
    <n v="-14.5"/>
    <n v="0"/>
    <n v="0"/>
    <n v="200"/>
    <x v="16"/>
    <n v="800"/>
    <x v="2"/>
  </r>
  <r>
    <x v="7"/>
    <s v="Stina Alm"/>
    <x v="1"/>
    <x v="331"/>
    <x v="331"/>
    <n v="4"/>
    <s v="ADET"/>
    <n v="0"/>
    <n v="64.5"/>
    <n v="20"/>
    <n v="-14.5"/>
    <n v="0"/>
    <n v="0"/>
    <n v="200"/>
    <x v="16"/>
    <n v="800"/>
    <x v="2"/>
  </r>
  <r>
    <x v="4"/>
    <s v="Jan Urbanek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2"/>
    <s v="Jan Urbanek"/>
    <x v="1"/>
    <x v="329"/>
    <x v="329"/>
    <n v="1"/>
    <s v="ADET"/>
    <n v="0"/>
    <n v="3"/>
    <n v="8"/>
    <n v="11"/>
    <n v="0"/>
    <n v="20020"/>
    <n v="1820"/>
    <x v="84"/>
    <n v="1820"/>
    <x v="9"/>
  </r>
  <r>
    <x v="3"/>
    <s v="Jan Urbanek"/>
    <x v="1"/>
    <x v="331"/>
    <x v="331"/>
    <n v="4"/>
    <s v="ADET"/>
    <n v="0"/>
    <n v="64.5"/>
    <n v="20"/>
    <n v="-14.5"/>
    <n v="0"/>
    <n v="0"/>
    <n v="200"/>
    <x v="16"/>
    <n v="800"/>
    <x v="2"/>
  </r>
  <r>
    <x v="4"/>
    <s v="Jan Urbanek"/>
    <x v="1"/>
    <x v="331"/>
    <x v="331"/>
    <n v="4"/>
    <s v="ADET"/>
    <n v="0"/>
    <n v="64.5"/>
    <n v="20"/>
    <n v="-14.5"/>
    <n v="0"/>
    <n v="0"/>
    <n v="200"/>
    <x v="16"/>
    <n v="800"/>
    <x v="2"/>
  </r>
  <r>
    <x v="9"/>
    <s v="Stefan Zaugg"/>
    <x v="1"/>
    <x v="331"/>
    <x v="331"/>
    <n v="4"/>
    <s v="ADET"/>
    <n v="4"/>
    <n v="64.5"/>
    <n v="20"/>
    <n v="-14.5"/>
    <n v="0"/>
    <n v="0"/>
    <n v="200"/>
    <x v="16"/>
    <n v="800"/>
    <x v="2"/>
  </r>
  <r>
    <x v="14"/>
    <s v="Matteo Giolo"/>
    <x v="1"/>
    <x v="331"/>
    <x v="331"/>
    <n v="4"/>
    <s v="ADET"/>
    <n v="0"/>
    <n v="64.5"/>
    <n v="20"/>
    <n v="-14.5"/>
    <n v="0"/>
    <n v="0"/>
    <n v="200"/>
    <x v="16"/>
    <n v="800"/>
    <x v="2"/>
  </r>
  <r>
    <x v="11"/>
    <s v="Jan Urbanek"/>
    <x v="1"/>
    <x v="340"/>
    <x v="340"/>
    <n v="4"/>
    <s v="ADET"/>
    <n v="0"/>
    <n v="45"/>
    <n v="6"/>
    <n v="-5"/>
    <n v="0"/>
    <n v="0"/>
    <n v="313.76"/>
    <x v="67"/>
    <n v="1255.04"/>
    <x v="2"/>
  </r>
  <r>
    <x v="10"/>
    <s v="Murat Taşdemir"/>
    <x v="1"/>
    <x v="306"/>
    <x v="306"/>
    <n v="3.6"/>
    <s v="ADET"/>
    <n v="0"/>
    <n v="85"/>
    <n v="3.6500000000000106"/>
    <n v="12.549999999999997"/>
    <n v="0"/>
    <n v="4368.7804999999989"/>
    <n v="348.11"/>
    <x v="11"/>
    <n v="1253.1960000000001"/>
    <x v="3"/>
  </r>
  <r>
    <x v="11"/>
    <s v="Jan Urbanek"/>
    <x v="1"/>
    <x v="331"/>
    <x v="331"/>
    <n v="4"/>
    <s v="ADET"/>
    <n v="0"/>
    <n v="64.5"/>
    <n v="20"/>
    <n v="-14.5"/>
    <n v="0"/>
    <n v="0"/>
    <n v="200"/>
    <x v="16"/>
    <n v="800"/>
    <x v="2"/>
  </r>
  <r>
    <x v="0"/>
    <s v="Matteo Giolo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1"/>
    <s v="Laurent MONTAGNER"/>
    <x v="1"/>
    <x v="306"/>
    <x v="306"/>
    <n v="5.299999999999998"/>
    <s v="ADET"/>
    <n v="0"/>
    <n v="85"/>
    <n v="3.6500000000000106"/>
    <n v="12.549999999999997"/>
    <n v="0"/>
    <n v="4368.7804999999989"/>
    <n v="348.11"/>
    <x v="11"/>
    <n v="1844.9829999999995"/>
    <x v="3"/>
  </r>
  <r>
    <x v="0"/>
    <s v="Matteo Giolo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5"/>
    <s v="Matteo Giolo"/>
    <x v="1"/>
    <x v="300"/>
    <x v="300"/>
    <n v="7"/>
    <s v="KG"/>
    <n v="0"/>
    <n v="65"/>
    <n v="0"/>
    <n v="54"/>
    <n v="0"/>
    <n v="60477.3"/>
    <n v="1119.95"/>
    <x v="81"/>
    <n v="7839.6500000000005"/>
    <x v="3"/>
  </r>
  <r>
    <x v="1"/>
    <s v="Laurent MONTAGNER"/>
    <x v="1"/>
    <x v="300"/>
    <x v="300"/>
    <n v="8"/>
    <s v="KG"/>
    <n v="0"/>
    <n v="65"/>
    <n v="0"/>
    <n v="54"/>
    <n v="0"/>
    <n v="60477.3"/>
    <n v="1119.95"/>
    <x v="81"/>
    <n v="8959.6"/>
    <x v="3"/>
  </r>
  <r>
    <x v="0"/>
    <s v="Matteo Giolo"/>
    <x v="1"/>
    <x v="329"/>
    <x v="329"/>
    <n v="1"/>
    <s v="ADET"/>
    <n v="0"/>
    <n v="3"/>
    <n v="8"/>
    <n v="11"/>
    <n v="0"/>
    <n v="20020"/>
    <n v="1820"/>
    <x v="84"/>
    <n v="1820"/>
    <x v="9"/>
  </r>
  <r>
    <x v="1"/>
    <s v="Laurent MONTAGNER"/>
    <x v="1"/>
    <x v="329"/>
    <x v="329"/>
    <n v="1"/>
    <s v="ADET"/>
    <n v="1"/>
    <n v="3"/>
    <n v="8"/>
    <n v="11"/>
    <n v="0"/>
    <n v="20020"/>
    <n v="1820"/>
    <x v="84"/>
    <n v="1820"/>
    <x v="9"/>
  </r>
  <r>
    <x v="0"/>
    <s v="Matteo Giolo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0"/>
    <s v="Matteo Giolo"/>
    <x v="1"/>
    <x v="340"/>
    <x v="340"/>
    <n v="4"/>
    <s v="ADET"/>
    <n v="0"/>
    <n v="45"/>
    <n v="6"/>
    <n v="-5"/>
    <n v="0"/>
    <n v="0"/>
    <n v="313.76"/>
    <x v="67"/>
    <n v="1255.04"/>
    <x v="2"/>
  </r>
  <r>
    <x v="3"/>
    <s v="Jan Urbanek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4"/>
    <s v="Jan Urbanek"/>
    <x v="1"/>
    <x v="329"/>
    <x v="329"/>
    <n v="1"/>
    <s v="ADET"/>
    <n v="0"/>
    <n v="3"/>
    <n v="8"/>
    <n v="11"/>
    <n v="0"/>
    <n v="20020"/>
    <n v="1820"/>
    <x v="84"/>
    <n v="1820"/>
    <x v="9"/>
  </r>
  <r>
    <x v="3"/>
    <s v="Jan Urbanek"/>
    <x v="1"/>
    <x v="329"/>
    <x v="329"/>
    <n v="1"/>
    <s v="ADET"/>
    <n v="0"/>
    <n v="3"/>
    <n v="8"/>
    <n v="11"/>
    <n v="0"/>
    <n v="20020"/>
    <n v="1820"/>
    <x v="84"/>
    <n v="1820"/>
    <x v="9"/>
  </r>
  <r>
    <x v="12"/>
    <s v="Stefan Zaugg"/>
    <x v="1"/>
    <x v="301"/>
    <x v="301"/>
    <n v="1"/>
    <s v="ADET"/>
    <n v="0"/>
    <n v="30"/>
    <n v="20"/>
    <n v="-7"/>
    <n v="0"/>
    <n v="0"/>
    <n v="62.5"/>
    <x v="1"/>
    <n v="62.5"/>
    <x v="1"/>
  </r>
  <r>
    <x v="9"/>
    <s v="Stefan Zaugg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8"/>
    <s v="Stina Alm"/>
    <x v="1"/>
    <x v="253"/>
    <x v="253"/>
    <n v="1.35"/>
    <s v="ADET"/>
    <n v="0"/>
    <n v="104"/>
    <n v="3.5527136788005009E-15"/>
    <n v="-81.349999999999994"/>
    <n v="0"/>
    <n v="0"/>
    <n v="22"/>
    <x v="2"/>
    <n v="29.700000000000003"/>
    <x v="1"/>
  </r>
  <r>
    <x v="17"/>
    <s v="Soner Kayıkçı"/>
    <x v="1"/>
    <x v="284"/>
    <x v="284"/>
    <n v="1"/>
    <s v="ADET"/>
    <n v="0"/>
    <n v="28"/>
    <n v="12"/>
    <n v="-17"/>
    <n v="0"/>
    <n v="0"/>
    <n v="15"/>
    <x v="29"/>
    <n v="15"/>
    <x v="7"/>
  </r>
  <r>
    <x v="10"/>
    <s v="Murat Taşdemir"/>
    <x v="1"/>
    <x v="307"/>
    <x v="307"/>
    <n v="55"/>
    <s v="M2"/>
    <n v="0"/>
    <n v="136.5"/>
    <n v="5.4999999999998863"/>
    <n v="175"/>
    <n v="110.5"/>
    <n v="35026.25"/>
    <n v="200.15"/>
    <x v="61"/>
    <n v="11008.25"/>
    <x v="8"/>
  </r>
  <r>
    <x v="18"/>
    <s v="Stina Alm"/>
    <x v="1"/>
    <x v="216"/>
    <x v="216"/>
    <n v="7"/>
    <s v="ADET"/>
    <n v="0"/>
    <n v="400"/>
    <n v="225"/>
    <n v="-292"/>
    <n v="0"/>
    <n v="0"/>
    <n v="12"/>
    <x v="14"/>
    <n v="84"/>
    <x v="1"/>
  </r>
  <r>
    <x v="18"/>
    <s v="Stina Alm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18"/>
    <s v="Stina Alm"/>
    <x v="1"/>
    <x v="285"/>
    <x v="285"/>
    <n v="7"/>
    <s v="ADET"/>
    <n v="0"/>
    <n v="150"/>
    <n v="78"/>
    <n v="-48"/>
    <n v="0"/>
    <n v="0"/>
    <n v="20.83"/>
    <x v="14"/>
    <n v="145.81"/>
    <x v="1"/>
  </r>
  <r>
    <x v="18"/>
    <s v="Stina Alm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3"/>
    <s v="Volkan Batkan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9"/>
    <s v="Stefan Zaugg"/>
    <x v="1"/>
    <x v="307"/>
    <x v="307"/>
    <n v="6"/>
    <s v="M2"/>
    <n v="0"/>
    <n v="136.5"/>
    <n v="5.4999999999998863"/>
    <n v="175"/>
    <n v="110.5"/>
    <n v="35026.25"/>
    <n v="200.15"/>
    <x v="61"/>
    <n v="1200.9000000000001"/>
    <x v="8"/>
  </r>
  <r>
    <x v="13"/>
    <s v="Volkan Batkan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9"/>
    <s v="Stefan Zaugg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2"/>
    <s v="Stefan Zaugg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6"/>
    <s v="Laurent MONTAGNER"/>
    <x v="1"/>
    <x v="218"/>
    <x v="218"/>
    <n v="7"/>
    <s v="ADET"/>
    <n v="0"/>
    <n v="105"/>
    <n v="56"/>
    <n v="-8"/>
    <n v="0"/>
    <n v="0"/>
    <n v="72.599999999999994"/>
    <x v="2"/>
    <n v="508.19999999999993"/>
    <x v="4"/>
  </r>
  <r>
    <x v="17"/>
    <s v="Soner Kayıkçı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18"/>
    <s v="Stina Alm"/>
    <x v="1"/>
    <x v="219"/>
    <x v="219"/>
    <n v="3"/>
    <s v="M2"/>
    <n v="0"/>
    <n v="0"/>
    <n v="-1.4210854715202004E-14"/>
    <n v="52"/>
    <n v="0"/>
    <n v="28423.200000000001"/>
    <n v="546.6"/>
    <x v="71"/>
    <n v="1639.8000000000002"/>
    <x v="8"/>
  </r>
  <r>
    <x v="13"/>
    <s v="Volkan Batkan"/>
    <x v="1"/>
    <x v="264"/>
    <x v="264"/>
    <n v="2"/>
    <s v="ADET"/>
    <n v="0"/>
    <n v="3"/>
    <n v="0"/>
    <n v="13"/>
    <n v="0"/>
    <n v="702"/>
    <n v="54"/>
    <x v="14"/>
    <n v="108"/>
    <x v="1"/>
  </r>
  <r>
    <x v="14"/>
    <s v="Matteo Giolo"/>
    <x v="1"/>
    <x v="265"/>
    <x v="265"/>
    <n v="1"/>
    <s v="ADET"/>
    <n v="0"/>
    <n v="14"/>
    <n v="8"/>
    <n v="-1"/>
    <n v="0"/>
    <n v="0"/>
    <n v="270"/>
    <x v="29"/>
    <n v="270"/>
    <x v="7"/>
  </r>
  <r>
    <x v="12"/>
    <s v="Stefan Zaugg"/>
    <x v="1"/>
    <x v="265"/>
    <x v="265"/>
    <n v="1"/>
    <s v="ADET"/>
    <n v="1"/>
    <n v="14"/>
    <n v="8"/>
    <n v="-1"/>
    <n v="0"/>
    <n v="0"/>
    <n v="270"/>
    <x v="29"/>
    <n v="270"/>
    <x v="7"/>
  </r>
  <r>
    <x v="10"/>
    <s v="Murat Taşdemir"/>
    <x v="1"/>
    <x v="325"/>
    <x v="325"/>
    <n v="1"/>
    <s v="ADET"/>
    <n v="0"/>
    <n v="0"/>
    <n v="5"/>
    <n v="2"/>
    <n v="2"/>
    <n v="7992"/>
    <n v="3996"/>
    <x v="43"/>
    <n v="3996"/>
    <x v="7"/>
  </r>
  <r>
    <x v="10"/>
    <s v="Murat Taşdemir"/>
    <x v="1"/>
    <x v="265"/>
    <x v="265"/>
    <n v="1"/>
    <s v="ADET"/>
    <n v="0"/>
    <n v="14"/>
    <n v="8"/>
    <n v="-1"/>
    <n v="0"/>
    <n v="0"/>
    <n v="270"/>
    <x v="29"/>
    <n v="270"/>
    <x v="7"/>
  </r>
  <r>
    <x v="10"/>
    <s v="Murat Taşdemir"/>
    <x v="1"/>
    <x v="342"/>
    <x v="342"/>
    <n v="1"/>
    <s v="ADET"/>
    <n v="0"/>
    <n v="1"/>
    <n v="0"/>
    <n v="1"/>
    <n v="0"/>
    <n v="65075.75"/>
    <n v="65075.75"/>
    <x v="15"/>
    <n v="65075.75"/>
    <x v="2"/>
  </r>
  <r>
    <x v="15"/>
    <s v="Hayriye Güven"/>
    <x v="1"/>
    <x v="325"/>
    <x v="325"/>
    <n v="1"/>
    <s v="ADET"/>
    <n v="0"/>
    <n v="0"/>
    <n v="5"/>
    <n v="2"/>
    <n v="2"/>
    <n v="7992"/>
    <n v="3996"/>
    <x v="43"/>
    <n v="3996"/>
    <x v="7"/>
  </r>
  <r>
    <x v="14"/>
    <s v="Matteo Giolo"/>
    <x v="1"/>
    <x v="343"/>
    <x v="343"/>
    <n v="0.2"/>
    <s v="KG"/>
    <n v="0"/>
    <n v="0"/>
    <n v="0"/>
    <n v="0.60000000000000009"/>
    <n v="0"/>
    <n v="126.49200000000002"/>
    <n v="210.82"/>
    <x v="8"/>
    <n v="42.164000000000001"/>
    <x v="3"/>
  </r>
  <r>
    <x v="5"/>
    <s v="Matteo Giolo"/>
    <x v="1"/>
    <x v="342"/>
    <x v="342"/>
    <n v="1"/>
    <s v="ADET"/>
    <n v="0"/>
    <n v="1"/>
    <n v="0"/>
    <n v="1"/>
    <n v="0"/>
    <n v="65075.75"/>
    <n v="65075.75"/>
    <x v="15"/>
    <n v="65075.75"/>
    <x v="2"/>
  </r>
  <r>
    <x v="7"/>
    <s v="Stina Alm"/>
    <x v="1"/>
    <x v="343"/>
    <x v="343"/>
    <n v="0.2"/>
    <s v="KG"/>
    <n v="0"/>
    <n v="0"/>
    <n v="0"/>
    <n v="0.60000000000000009"/>
    <n v="0"/>
    <n v="126.49200000000002"/>
    <n v="210.82"/>
    <x v="8"/>
    <n v="42.164000000000001"/>
    <x v="3"/>
  </r>
  <r>
    <x v="11"/>
    <s v="Jan Urbanek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13"/>
    <s v="Volkan Batkan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0"/>
    <s v="Matteo Giolo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6"/>
    <s v="Stefan Zaugg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"/>
    <s v="Laurent MONTAGNER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4"/>
    <s v="Jan Urbanek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2"/>
    <s v="Jan Urbanek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0"/>
    <s v="Matteo Giolo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4"/>
    <s v="Jan Urbanek"/>
    <x v="1"/>
    <x v="348"/>
    <x v="348"/>
    <n v="2"/>
    <s v="ADET"/>
    <n v="0"/>
    <n v="250"/>
    <n v="250"/>
    <n v="-236"/>
    <n v="0"/>
    <n v="0"/>
    <n v="1.08"/>
    <x v="23"/>
    <n v="2.16"/>
    <x v="7"/>
  </r>
  <r>
    <x v="3"/>
    <s v="Jan Urbanek"/>
    <x v="1"/>
    <x v="348"/>
    <x v="348"/>
    <n v="2"/>
    <s v="ADET"/>
    <n v="0"/>
    <n v="250"/>
    <n v="250"/>
    <n v="-236"/>
    <n v="0"/>
    <n v="0"/>
    <n v="1.08"/>
    <x v="23"/>
    <n v="2.16"/>
    <x v="7"/>
  </r>
  <r>
    <x v="4"/>
    <s v="Jan Urbanek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3"/>
    <s v="Jan Urbanek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10"/>
    <s v="Murat Taşdemir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3"/>
    <s v="Volkan Batkan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4"/>
    <s v="Matteo Giolo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6"/>
    <s v="Stefan Zaugg"/>
    <x v="1"/>
    <x v="307"/>
    <x v="307"/>
    <n v="6"/>
    <s v="M2"/>
    <n v="0"/>
    <n v="136.5"/>
    <n v="5.4999999999998863"/>
    <n v="175"/>
    <n v="110.5"/>
    <n v="35026.25"/>
    <n v="200.15"/>
    <x v="61"/>
    <n v="1200.9000000000001"/>
    <x v="8"/>
  </r>
  <r>
    <x v="5"/>
    <s v="Matteo Giolo"/>
    <x v="1"/>
    <x v="307"/>
    <x v="307"/>
    <n v="55"/>
    <s v="M2"/>
    <n v="0"/>
    <n v="136.5"/>
    <n v="5.4999999999998863"/>
    <n v="175"/>
    <n v="110.5"/>
    <n v="35026.25"/>
    <n v="200.15"/>
    <x v="61"/>
    <n v="11008.25"/>
    <x v="8"/>
  </r>
  <r>
    <x v="8"/>
    <s v="Jan Urbanek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8"/>
    <s v="Jan Urbanek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2"/>
    <s v="Jan Urbanek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10"/>
    <s v="Murat Taşdemir"/>
    <x v="1"/>
    <x v="283"/>
    <x v="283"/>
    <n v="1"/>
    <s v="METRE"/>
    <n v="0"/>
    <n v="20"/>
    <n v="2.6645352591003757E-15"/>
    <n v="-10.4"/>
    <n v="0"/>
    <n v="0"/>
    <n v="38.33"/>
    <x v="42"/>
    <n v="38.33"/>
    <x v="1"/>
  </r>
  <r>
    <x v="13"/>
    <s v="Volkan Batkan"/>
    <x v="1"/>
    <x v="286"/>
    <x v="286"/>
    <n v="11"/>
    <s v="ADET"/>
    <n v="0"/>
    <n v="3000"/>
    <n v="0"/>
    <n v="-2847"/>
    <n v="0"/>
    <n v="0"/>
    <n v="0.7"/>
    <x v="2"/>
    <n v="7.6999999999999993"/>
    <x v="1"/>
  </r>
  <r>
    <x v="10"/>
    <s v="Murat Taşdemir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0"/>
    <s v="Murat Taşdemir"/>
    <x v="1"/>
    <x v="284"/>
    <x v="284"/>
    <n v="2"/>
    <s v="ADET"/>
    <n v="0"/>
    <n v="28"/>
    <n v="12"/>
    <n v="-17"/>
    <n v="0"/>
    <n v="0"/>
    <n v="15"/>
    <x v="29"/>
    <n v="30"/>
    <x v="7"/>
  </r>
  <r>
    <x v="17"/>
    <s v="Soner Kayıkçı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19"/>
    <s v="Laurent MONTAGNER"/>
    <x v="1"/>
    <x v="285"/>
    <x v="285"/>
    <n v="7"/>
    <s v="ADET"/>
    <n v="0"/>
    <n v="150"/>
    <n v="78"/>
    <n v="-48"/>
    <n v="0"/>
    <n v="0"/>
    <n v="20.83"/>
    <x v="14"/>
    <n v="145.81"/>
    <x v="1"/>
  </r>
  <r>
    <x v="16"/>
    <s v="Laurent MONTAGNER"/>
    <x v="1"/>
    <x v="285"/>
    <x v="285"/>
    <n v="3"/>
    <s v="ADET"/>
    <n v="0"/>
    <n v="150"/>
    <n v="78"/>
    <n v="-48"/>
    <n v="0"/>
    <n v="0"/>
    <n v="20.83"/>
    <x v="14"/>
    <n v="62.489999999999995"/>
    <x v="1"/>
  </r>
  <r>
    <x v="17"/>
    <s v="Soner Kayıkçı"/>
    <x v="1"/>
    <x v="286"/>
    <x v="286"/>
    <n v="11"/>
    <s v="ADET"/>
    <n v="0"/>
    <n v="3000"/>
    <n v="0"/>
    <n v="-2847"/>
    <n v="0"/>
    <n v="0"/>
    <n v="0.7"/>
    <x v="2"/>
    <n v="7.6999999999999993"/>
    <x v="1"/>
  </r>
  <r>
    <x v="19"/>
    <s v="Laurent MONTAGNER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9"/>
    <s v="Laurent MONTAGNER"/>
    <x v="1"/>
    <x v="284"/>
    <x v="284"/>
    <n v="2"/>
    <s v="ADET"/>
    <n v="2"/>
    <n v="28"/>
    <n v="12"/>
    <n v="-17"/>
    <n v="0"/>
    <n v="0"/>
    <n v="15"/>
    <x v="29"/>
    <n v="30"/>
    <x v="7"/>
  </r>
  <r>
    <x v="17"/>
    <s v="Soner Kayıkçı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10"/>
    <s v="Murat Taşdemir"/>
    <x v="1"/>
    <x v="349"/>
    <x v="349"/>
    <n v="3"/>
    <s v="ADET"/>
    <n v="0"/>
    <n v="55"/>
    <n v="17"/>
    <n v="-24"/>
    <n v="0"/>
    <n v="0"/>
    <n v="199.45"/>
    <x v="53"/>
    <n v="598.34999999999991"/>
    <x v="1"/>
  </r>
  <r>
    <x v="13"/>
    <s v="Volkan Batkan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10"/>
    <s v="Murat Taşdemir"/>
    <x v="1"/>
    <x v="350"/>
    <x v="350"/>
    <n v="0.09"/>
    <s v="KG"/>
    <n v="0"/>
    <n v="2.5"/>
    <n v="-6.106226635438361E-16"/>
    <n v="-0.61999999999999944"/>
    <n v="0"/>
    <n v="0"/>
    <n v="2400"/>
    <x v="29"/>
    <n v="216"/>
    <x v="1"/>
  </r>
  <r>
    <x v="19"/>
    <s v="Laurent MONTAGNER"/>
    <x v="1"/>
    <x v="253"/>
    <x v="253"/>
    <n v="1.61"/>
    <s v="ADET"/>
    <n v="0"/>
    <n v="104"/>
    <n v="3.5527136788005009E-15"/>
    <n v="-81.349999999999994"/>
    <n v="0"/>
    <n v="0"/>
    <n v="22"/>
    <x v="2"/>
    <n v="35.42"/>
    <x v="1"/>
  </r>
  <r>
    <x v="19"/>
    <s v="Laurent MONTAGNER"/>
    <x v="1"/>
    <x v="301"/>
    <x v="301"/>
    <n v="1"/>
    <s v="ADET"/>
    <n v="0"/>
    <n v="30"/>
    <n v="20"/>
    <n v="-7"/>
    <n v="0"/>
    <n v="0"/>
    <n v="62.5"/>
    <x v="1"/>
    <n v="62.5"/>
    <x v="1"/>
  </r>
  <r>
    <x v="11"/>
    <s v="Jan Urbanek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2"/>
    <s v="Jan Urbanek"/>
    <x v="1"/>
    <x v="301"/>
    <x v="301"/>
    <n v="1"/>
    <s v="ADET"/>
    <n v="0"/>
    <n v="30"/>
    <n v="20"/>
    <n v="-7"/>
    <n v="0"/>
    <n v="0"/>
    <n v="62.5"/>
    <x v="1"/>
    <n v="62.5"/>
    <x v="1"/>
  </r>
  <r>
    <x v="2"/>
    <s v="Jan Urbanek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4"/>
    <s v="Matteo Giolo"/>
    <x v="1"/>
    <x v="253"/>
    <x v="253"/>
    <n v="1.35"/>
    <s v="ADET"/>
    <n v="0"/>
    <n v="104"/>
    <n v="3.5527136788005009E-15"/>
    <n v="-81.349999999999994"/>
    <n v="0"/>
    <n v="0"/>
    <n v="22"/>
    <x v="2"/>
    <n v="29.700000000000003"/>
    <x v="1"/>
  </r>
  <r>
    <x v="14"/>
    <s v="Matteo Giolo"/>
    <x v="1"/>
    <x v="301"/>
    <x v="301"/>
    <n v="1"/>
    <s v="ADET"/>
    <n v="0"/>
    <n v="30"/>
    <n v="20"/>
    <n v="-7"/>
    <n v="0"/>
    <n v="0"/>
    <n v="62.5"/>
    <x v="1"/>
    <n v="62.5"/>
    <x v="1"/>
  </r>
  <r>
    <x v="11"/>
    <s v="Jan Urbanek"/>
    <x v="1"/>
    <x v="301"/>
    <x v="301"/>
    <n v="1"/>
    <s v="ADET"/>
    <n v="0"/>
    <n v="30"/>
    <n v="20"/>
    <n v="-7"/>
    <n v="0"/>
    <n v="0"/>
    <n v="62.5"/>
    <x v="1"/>
    <n v="62.5"/>
    <x v="1"/>
  </r>
  <r>
    <x v="11"/>
    <s v="Jan Urbanek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4"/>
    <s v="Matteo Giolo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7"/>
    <s v="Soner Kayıkçı"/>
    <x v="1"/>
    <x v="301"/>
    <x v="301"/>
    <n v="2"/>
    <s v="ADET"/>
    <n v="0"/>
    <n v="30"/>
    <n v="20"/>
    <n v="-7"/>
    <n v="0"/>
    <n v="0"/>
    <n v="62.5"/>
    <x v="1"/>
    <n v="125"/>
    <x v="1"/>
  </r>
  <r>
    <x v="16"/>
    <s v="Laurent MONTAGNER"/>
    <x v="1"/>
    <x v="301"/>
    <x v="301"/>
    <n v="1"/>
    <s v="ADET"/>
    <n v="0"/>
    <n v="30"/>
    <n v="20"/>
    <n v="-7"/>
    <n v="0"/>
    <n v="0"/>
    <n v="62.5"/>
    <x v="1"/>
    <n v="62.5"/>
    <x v="1"/>
  </r>
  <r>
    <x v="17"/>
    <s v="Soner Kayıkçı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8"/>
    <s v="Stina Alm"/>
    <x v="1"/>
    <x v="301"/>
    <x v="301"/>
    <n v="1"/>
    <s v="ADET"/>
    <n v="0"/>
    <n v="30"/>
    <n v="20"/>
    <n v="-7"/>
    <n v="0"/>
    <n v="0"/>
    <n v="62.5"/>
    <x v="1"/>
    <n v="62.5"/>
    <x v="1"/>
  </r>
  <r>
    <x v="18"/>
    <s v="Stina Alm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4"/>
    <s v="Matteo Giolo"/>
    <x v="1"/>
    <x v="349"/>
    <x v="349"/>
    <n v="4"/>
    <s v="ADET"/>
    <n v="0"/>
    <n v="55"/>
    <n v="17"/>
    <n v="-24"/>
    <n v="0"/>
    <n v="0"/>
    <n v="199.45"/>
    <x v="53"/>
    <n v="797.8"/>
    <x v="1"/>
  </r>
  <r>
    <x v="5"/>
    <s v="Matteo Giolo"/>
    <x v="1"/>
    <x v="349"/>
    <x v="349"/>
    <n v="10"/>
    <s v="ADET"/>
    <n v="0"/>
    <n v="55"/>
    <n v="17"/>
    <n v="-24"/>
    <n v="0"/>
    <n v="0"/>
    <n v="199.45"/>
    <x v="53"/>
    <n v="1994.5"/>
    <x v="1"/>
  </r>
  <r>
    <x v="7"/>
    <s v="Stina Alm"/>
    <x v="1"/>
    <x v="349"/>
    <x v="349"/>
    <n v="4"/>
    <s v="ADET"/>
    <n v="0"/>
    <n v="55"/>
    <n v="17"/>
    <n v="-24"/>
    <n v="0"/>
    <n v="0"/>
    <n v="199.45"/>
    <x v="53"/>
    <n v="797.8"/>
    <x v="1"/>
  </r>
  <r>
    <x v="5"/>
    <s v="Matteo Giolo"/>
    <x v="1"/>
    <x v="350"/>
    <x v="350"/>
    <n v="0.09"/>
    <s v="KG"/>
    <n v="0"/>
    <n v="2.5"/>
    <n v="-6.106226635438361E-16"/>
    <n v="-0.61999999999999944"/>
    <n v="0"/>
    <n v="0"/>
    <n v="2400"/>
    <x v="29"/>
    <n v="216"/>
    <x v="1"/>
  </r>
  <r>
    <x v="5"/>
    <s v="Matteo Giolo"/>
    <x v="1"/>
    <x v="351"/>
    <x v="351"/>
    <n v="1"/>
    <s v="ADET"/>
    <n v="0"/>
    <n v="12"/>
    <n v="3"/>
    <n v="-6"/>
    <n v="0"/>
    <n v="0"/>
    <n v="1723.12"/>
    <x v="67"/>
    <n v="1723.12"/>
    <x v="4"/>
  </r>
  <r>
    <x v="7"/>
    <s v="Stina Alm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6"/>
    <s v="Laurent MONTAGNER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9"/>
    <s v="Stefan Zaugg"/>
    <x v="1"/>
    <x v="350"/>
    <x v="350"/>
    <n v="0.06"/>
    <s v="KG"/>
    <n v="0"/>
    <n v="2.5"/>
    <n v="-6.106226635438361E-16"/>
    <n v="-0.61999999999999944"/>
    <n v="0"/>
    <n v="0"/>
    <n v="2400"/>
    <x v="29"/>
    <n v="144"/>
    <x v="1"/>
  </r>
  <r>
    <x v="12"/>
    <s v="Stefan Zaugg"/>
    <x v="1"/>
    <x v="270"/>
    <x v="270"/>
    <n v="1"/>
    <s v="ADET"/>
    <n v="1"/>
    <n v="15"/>
    <n v="11"/>
    <n v="-1"/>
    <n v="0"/>
    <n v="0"/>
    <n v="237.5"/>
    <x v="1"/>
    <n v="237.5"/>
    <x v="1"/>
  </r>
  <r>
    <x v="10"/>
    <s v="Murat Taşdemir"/>
    <x v="1"/>
    <x v="272"/>
    <x v="272"/>
    <n v="1"/>
    <s v="ADET"/>
    <n v="0"/>
    <n v="23"/>
    <n v="8"/>
    <n v="-50"/>
    <n v="40"/>
    <n v="0"/>
    <n v="312"/>
    <x v="56"/>
    <n v="312"/>
    <x v="2"/>
  </r>
  <r>
    <x v="10"/>
    <s v="Murat Taşdemir"/>
    <x v="1"/>
    <x v="353"/>
    <x v="353"/>
    <n v="1"/>
    <s v="ADET"/>
    <n v="0"/>
    <n v="7"/>
    <n v="4"/>
    <n v="-4"/>
    <n v="0"/>
    <n v="0"/>
    <n v="8495.43"/>
    <x v="53"/>
    <n v="8495.43"/>
    <x v="2"/>
  </r>
  <r>
    <x v="10"/>
    <s v="Murat Taşdemir"/>
    <x v="1"/>
    <x v="273"/>
    <x v="273"/>
    <n v="1"/>
    <s v="ADET"/>
    <n v="0"/>
    <n v="25"/>
    <n v="3"/>
    <n v="-11"/>
    <n v="0"/>
    <n v="0"/>
    <n v="360.05"/>
    <x v="67"/>
    <n v="360.05"/>
    <x v="4"/>
  </r>
  <r>
    <x v="11"/>
    <s v="Jan Urbanek"/>
    <x v="1"/>
    <x v="275"/>
    <x v="275"/>
    <n v="22"/>
    <s v="MT"/>
    <n v="0"/>
    <n v="200"/>
    <n v="86"/>
    <n v="220"/>
    <n v="0"/>
    <n v="23100"/>
    <n v="105"/>
    <x v="78"/>
    <n v="2310"/>
    <x v="6"/>
  </r>
  <r>
    <x v="14"/>
    <s v="Matteo Giolo"/>
    <x v="1"/>
    <x v="275"/>
    <x v="275"/>
    <n v="22"/>
    <s v="MT"/>
    <n v="0"/>
    <n v="200"/>
    <n v="86"/>
    <n v="220"/>
    <n v="0"/>
    <n v="23100"/>
    <n v="105"/>
    <x v="78"/>
    <n v="2310"/>
    <x v="6"/>
  </r>
  <r>
    <x v="11"/>
    <s v="Jan Urbanek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12"/>
    <s v="Stefan Zaugg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5"/>
    <s v="Matteo Giolo"/>
    <x v="1"/>
    <x v="272"/>
    <x v="272"/>
    <n v="1"/>
    <s v="ADET"/>
    <n v="0"/>
    <n v="23"/>
    <n v="8"/>
    <n v="-50"/>
    <n v="40"/>
    <n v="0"/>
    <n v="312"/>
    <x v="56"/>
    <n v="312"/>
    <x v="2"/>
  </r>
  <r>
    <x v="5"/>
    <s v="Matteo Giolo"/>
    <x v="1"/>
    <x v="353"/>
    <x v="353"/>
    <n v="1"/>
    <s v="ADET"/>
    <n v="0"/>
    <n v="7"/>
    <n v="4"/>
    <n v="-4"/>
    <n v="0"/>
    <n v="0"/>
    <n v="8495.43"/>
    <x v="53"/>
    <n v="8495.43"/>
    <x v="2"/>
  </r>
  <r>
    <x v="7"/>
    <s v="Stina Alm"/>
    <x v="1"/>
    <x v="273"/>
    <x v="273"/>
    <n v="1"/>
    <s v="ADET"/>
    <n v="0"/>
    <n v="25"/>
    <n v="3"/>
    <n v="-11"/>
    <n v="0"/>
    <n v="0"/>
    <n v="360.05"/>
    <x v="67"/>
    <n v="360.05"/>
    <x v="4"/>
  </r>
  <r>
    <x v="1"/>
    <s v="Laurent MONTAGNER"/>
    <x v="1"/>
    <x v="273"/>
    <x v="273"/>
    <n v="1"/>
    <s v="ADET"/>
    <n v="1"/>
    <n v="25"/>
    <n v="3"/>
    <n v="-11"/>
    <n v="0"/>
    <n v="0"/>
    <n v="360.05"/>
    <x v="67"/>
    <n v="360.05"/>
    <x v="4"/>
  </r>
  <r>
    <x v="5"/>
    <s v="Matteo Giolo"/>
    <x v="1"/>
    <x v="273"/>
    <x v="273"/>
    <n v="1"/>
    <s v="ADET"/>
    <n v="0"/>
    <n v="25"/>
    <n v="3"/>
    <n v="-11"/>
    <n v="0"/>
    <n v="0"/>
    <n v="360.05"/>
    <x v="67"/>
    <n v="360.05"/>
    <x v="4"/>
  </r>
  <r>
    <x v="6"/>
    <s v="Stefan Zaugg"/>
    <x v="1"/>
    <x v="275"/>
    <x v="275"/>
    <n v="22"/>
    <s v="MT"/>
    <n v="0"/>
    <n v="200"/>
    <n v="86"/>
    <n v="220"/>
    <n v="0"/>
    <n v="23100"/>
    <n v="105"/>
    <x v="78"/>
    <n v="2310"/>
    <x v="6"/>
  </r>
  <r>
    <x v="1"/>
    <s v="Laurent MONTAGNER"/>
    <x v="1"/>
    <x v="275"/>
    <x v="275"/>
    <n v="25"/>
    <s v="MT"/>
    <n v="0"/>
    <n v="200"/>
    <n v="86"/>
    <n v="220"/>
    <n v="0"/>
    <n v="23100"/>
    <n v="105"/>
    <x v="78"/>
    <n v="2625"/>
    <x v="6"/>
  </r>
  <r>
    <x v="5"/>
    <s v="Matteo Giolo"/>
    <x v="1"/>
    <x v="275"/>
    <x v="275"/>
    <n v="25"/>
    <s v="MT"/>
    <n v="0"/>
    <n v="200"/>
    <n v="86"/>
    <n v="220"/>
    <n v="0"/>
    <n v="23100"/>
    <n v="105"/>
    <x v="78"/>
    <n v="2625"/>
    <x v="6"/>
  </r>
  <r>
    <x v="13"/>
    <s v="Volkan Batkan"/>
    <x v="1"/>
    <x v="273"/>
    <x v="273"/>
    <n v="1"/>
    <s v="ADET"/>
    <n v="0"/>
    <n v="25"/>
    <n v="3"/>
    <n v="-11"/>
    <n v="0"/>
    <n v="0"/>
    <n v="360.05"/>
    <x v="67"/>
    <n v="360.05"/>
    <x v="4"/>
  </r>
  <r>
    <x v="14"/>
    <s v="Matteo Giolo"/>
    <x v="1"/>
    <x v="314"/>
    <x v="314"/>
    <n v="35"/>
    <s v="ADET"/>
    <n v="0"/>
    <n v="442"/>
    <n v="0"/>
    <n v="-64"/>
    <n v="0"/>
    <n v="0"/>
    <n v="9.35"/>
    <x v="5"/>
    <n v="327.25"/>
    <x v="1"/>
  </r>
  <r>
    <x v="14"/>
    <s v="Matteo Giolo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3"/>
    <s v="Volkan Batkan"/>
    <x v="1"/>
    <x v="355"/>
    <x v="355"/>
    <n v="40"/>
    <s v="ADET"/>
    <n v="0"/>
    <n v="1000"/>
    <n v="439.00000000000023"/>
    <n v="-860"/>
    <n v="0"/>
    <n v="0"/>
    <n v="0.5"/>
    <x v="2"/>
    <n v="20"/>
    <x v="1"/>
  </r>
  <r>
    <x v="9"/>
    <s v="Stefan Zaugg"/>
    <x v="1"/>
    <x v="355"/>
    <x v="355"/>
    <n v="50"/>
    <s v="ADET"/>
    <n v="0"/>
    <n v="1000"/>
    <n v="439.00000000000023"/>
    <n v="-860"/>
    <n v="0"/>
    <n v="0"/>
    <n v="0.5"/>
    <x v="2"/>
    <n v="25"/>
    <x v="1"/>
  </r>
  <r>
    <x v="4"/>
    <s v="Jan Urbanek"/>
    <x v="1"/>
    <x v="313"/>
    <x v="313"/>
    <n v="0.36"/>
    <s v="M2"/>
    <n v="0"/>
    <n v="0"/>
    <n v="30.759999999999991"/>
    <n v="4.4399999999999995"/>
    <n v="0"/>
    <n v="7762.0523999999996"/>
    <n v="1748.21"/>
    <x v="61"/>
    <n v="629.35559999999998"/>
    <x v="8"/>
  </r>
  <r>
    <x v="3"/>
    <s v="Jan Urbanek"/>
    <x v="1"/>
    <x v="314"/>
    <x v="314"/>
    <n v="16"/>
    <s v="ADET"/>
    <n v="0"/>
    <n v="442"/>
    <n v="0"/>
    <n v="-64"/>
    <n v="0"/>
    <n v="0"/>
    <n v="9.35"/>
    <x v="5"/>
    <n v="149.6"/>
    <x v="1"/>
  </r>
  <r>
    <x v="4"/>
    <s v="Jan Urbanek"/>
    <x v="1"/>
    <x v="314"/>
    <x v="314"/>
    <n v="16"/>
    <s v="ADET"/>
    <n v="0"/>
    <n v="442"/>
    <n v="0"/>
    <n v="-64"/>
    <n v="0"/>
    <n v="0"/>
    <n v="9.35"/>
    <x v="5"/>
    <n v="149.6"/>
    <x v="1"/>
  </r>
  <r>
    <x v="3"/>
    <s v="Jan Urbanek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2"/>
    <s v="Jan Urbanek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9"/>
    <s v="Stefan Zaugg"/>
    <x v="1"/>
    <x v="316"/>
    <x v="316"/>
    <n v="8"/>
    <s v="ADET"/>
    <n v="0"/>
    <n v="92"/>
    <n v="0"/>
    <n v="-68"/>
    <n v="0"/>
    <n v="0"/>
    <n v="33"/>
    <x v="14"/>
    <n v="264"/>
    <x v="1"/>
  </r>
  <r>
    <x v="12"/>
    <s v="Stefan Zaugg"/>
    <x v="1"/>
    <x v="316"/>
    <x v="316"/>
    <n v="8"/>
    <s v="ADET"/>
    <n v="0"/>
    <n v="92"/>
    <n v="0"/>
    <n v="-68"/>
    <n v="0"/>
    <n v="0"/>
    <n v="33"/>
    <x v="14"/>
    <n v="264"/>
    <x v="1"/>
  </r>
  <r>
    <x v="12"/>
    <s v="Stefan Zaugg"/>
    <x v="1"/>
    <x v="313"/>
    <x v="313"/>
    <n v="0.3"/>
    <s v="M2"/>
    <n v="0"/>
    <n v="0"/>
    <n v="30.759999999999991"/>
    <n v="4.4399999999999995"/>
    <n v="0"/>
    <n v="7762.0523999999996"/>
    <n v="1748.21"/>
    <x v="61"/>
    <n v="524.46299999999997"/>
    <x v="8"/>
  </r>
  <r>
    <x v="17"/>
    <s v="Soner Kayıkçı"/>
    <x v="1"/>
    <x v="313"/>
    <x v="313"/>
    <n v="0.36"/>
    <s v="M2"/>
    <n v="0"/>
    <n v="0"/>
    <n v="30.759999999999991"/>
    <n v="4.4399999999999995"/>
    <n v="0"/>
    <n v="7762.0523999999996"/>
    <n v="1748.21"/>
    <x v="61"/>
    <n v="629.35559999999998"/>
    <x v="8"/>
  </r>
  <r>
    <x v="10"/>
    <s v="Murat Taşdemir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"/>
    <s v="Laurent MONTAGNER"/>
    <x v="1"/>
    <x v="356"/>
    <x v="356"/>
    <n v="4.5"/>
    <s v="METRE"/>
    <n v="0"/>
    <n v="100"/>
    <n v="185.5"/>
    <n v="-88.5"/>
    <n v="0"/>
    <n v="0"/>
    <n v="57.6"/>
    <x v="23"/>
    <n v="259.2"/>
    <x v="7"/>
  </r>
  <r>
    <x v="18"/>
    <s v="Stina Alm"/>
    <x v="1"/>
    <x v="313"/>
    <x v="313"/>
    <n v="0.6"/>
    <s v="M2"/>
    <n v="0"/>
    <n v="0"/>
    <n v="30.759999999999991"/>
    <n v="4.4399999999999995"/>
    <n v="0"/>
    <n v="7762.0523999999996"/>
    <n v="1748.21"/>
    <x v="61"/>
    <n v="1048.9259999999999"/>
    <x v="8"/>
  </r>
  <r>
    <x v="19"/>
    <s v="Laurent MONTAGNER"/>
    <x v="1"/>
    <x v="314"/>
    <x v="314"/>
    <n v="35"/>
    <s v="ADET"/>
    <n v="0"/>
    <n v="442"/>
    <n v="0"/>
    <n v="-64"/>
    <n v="0"/>
    <n v="0"/>
    <n v="9.35"/>
    <x v="5"/>
    <n v="327.25"/>
    <x v="1"/>
  </r>
  <r>
    <x v="18"/>
    <s v="Stina Alm"/>
    <x v="1"/>
    <x v="314"/>
    <x v="314"/>
    <n v="35"/>
    <s v="ADET"/>
    <n v="0"/>
    <n v="442"/>
    <n v="0"/>
    <n v="-64"/>
    <n v="0"/>
    <n v="0"/>
    <n v="9.35"/>
    <x v="5"/>
    <n v="327.25"/>
    <x v="1"/>
  </r>
  <r>
    <x v="17"/>
    <s v="Soner Kayıkçı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8"/>
    <s v="Stina Alm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11"/>
    <s v="Jan Urbanek"/>
    <x v="1"/>
    <x v="315"/>
    <x v="315"/>
    <n v="2"/>
    <s v="ADET"/>
    <n v="0"/>
    <n v="15"/>
    <n v="14"/>
    <n v="-4"/>
    <n v="15"/>
    <n v="0"/>
    <n v="65.709999999999994"/>
    <x v="43"/>
    <n v="131.41999999999999"/>
    <x v="7"/>
  </r>
  <r>
    <x v="6"/>
    <s v="Stefan Zaugg"/>
    <x v="1"/>
    <x v="355"/>
    <x v="355"/>
    <n v="50"/>
    <s v="ADET"/>
    <n v="0"/>
    <n v="1000"/>
    <n v="439.00000000000023"/>
    <n v="-860"/>
    <n v="0"/>
    <n v="0"/>
    <n v="0.5"/>
    <x v="2"/>
    <n v="25"/>
    <x v="1"/>
  </r>
  <r>
    <x v="1"/>
    <s v="Laurent MONTAGNER"/>
    <x v="1"/>
    <x v="357"/>
    <x v="357"/>
    <n v="2"/>
    <s v="ADET"/>
    <n v="0"/>
    <n v="2"/>
    <n v="8"/>
    <n v="24"/>
    <n v="0"/>
    <n v="1357.92"/>
    <n v="56.58"/>
    <x v="67"/>
    <n v="113.16"/>
    <x v="2"/>
  </r>
  <r>
    <x v="5"/>
    <s v="Matteo Giolo"/>
    <x v="1"/>
    <x v="357"/>
    <x v="357"/>
    <n v="2"/>
    <s v="ADET"/>
    <n v="0"/>
    <n v="2"/>
    <n v="8"/>
    <n v="24"/>
    <n v="0"/>
    <n v="1357.92"/>
    <n v="56.58"/>
    <x v="67"/>
    <n v="113.16"/>
    <x v="2"/>
  </r>
  <r>
    <x v="2"/>
    <s v="Jan Urbanek"/>
    <x v="1"/>
    <x v="357"/>
    <x v="357"/>
    <n v="2"/>
    <s v="ADET"/>
    <n v="0"/>
    <n v="2"/>
    <n v="8"/>
    <n v="24"/>
    <n v="0"/>
    <n v="1357.92"/>
    <n v="56.58"/>
    <x v="67"/>
    <n v="113.16"/>
    <x v="2"/>
  </r>
  <r>
    <x v="4"/>
    <s v="Jan Urbanek"/>
    <x v="1"/>
    <x v="357"/>
    <x v="357"/>
    <n v="2"/>
    <s v="ADET"/>
    <n v="0"/>
    <n v="2"/>
    <n v="8"/>
    <n v="24"/>
    <n v="0"/>
    <n v="1357.92"/>
    <n v="56.58"/>
    <x v="67"/>
    <n v="113.16"/>
    <x v="2"/>
  </r>
  <r>
    <x v="4"/>
    <s v="Jan Urbanek"/>
    <x v="1"/>
    <x v="358"/>
    <x v="358"/>
    <n v="16"/>
    <s v="KG"/>
    <n v="0"/>
    <n v="63"/>
    <n v="1.4210854715202004E-14"/>
    <n v="133"/>
    <n v="0"/>
    <n v="146019.37000000002"/>
    <n v="1097.8900000000001"/>
    <x v="81"/>
    <n v="17566.240000000002"/>
    <x v="3"/>
  </r>
  <r>
    <x v="4"/>
    <s v="Jan Urbanek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3"/>
    <s v="Jan Urbanek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2"/>
    <s v="Jan Urbanek"/>
    <x v="1"/>
    <x v="360"/>
    <x v="360"/>
    <n v="4"/>
    <s v="ADET"/>
    <n v="0"/>
    <n v="0"/>
    <n v="0"/>
    <n v="24"/>
    <n v="0"/>
    <n v="21.12"/>
    <n v="0.88"/>
    <x v="68"/>
    <n v="3.52"/>
    <x v="7"/>
  </r>
  <r>
    <x v="6"/>
    <s v="Stefan Zaugg"/>
    <x v="1"/>
    <x v="358"/>
    <x v="358"/>
    <n v="14"/>
    <s v="KG"/>
    <n v="0"/>
    <n v="63"/>
    <n v="1.4210854715202004E-14"/>
    <n v="133"/>
    <n v="0"/>
    <n v="146019.37000000002"/>
    <n v="1097.8900000000001"/>
    <x v="81"/>
    <n v="15370.460000000001"/>
    <x v="3"/>
  </r>
  <r>
    <x v="5"/>
    <s v="Matteo Giolo"/>
    <x v="1"/>
    <x v="358"/>
    <x v="358"/>
    <n v="18"/>
    <s v="KG"/>
    <n v="0"/>
    <n v="63"/>
    <n v="1.4210854715202004E-14"/>
    <n v="133"/>
    <n v="0"/>
    <n v="146019.37000000002"/>
    <n v="1097.8900000000001"/>
    <x v="81"/>
    <n v="19762.02"/>
    <x v="3"/>
  </r>
  <r>
    <x v="5"/>
    <s v="Matteo Giolo"/>
    <x v="1"/>
    <x v="361"/>
    <x v="361"/>
    <n v="4"/>
    <s v="METRE"/>
    <n v="0"/>
    <n v="100"/>
    <n v="84"/>
    <n v="-32"/>
    <n v="0"/>
    <n v="0"/>
    <n v="14.85"/>
    <x v="23"/>
    <n v="59.4"/>
    <x v="7"/>
  </r>
  <r>
    <x v="6"/>
    <s v="Stefan Zaugg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7"/>
    <s v="Stina Alm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5"/>
    <s v="Matteo Giolo"/>
    <x v="1"/>
    <x v="362"/>
    <x v="362"/>
    <n v="1"/>
    <s v="ADET"/>
    <n v="0"/>
    <n v="12"/>
    <n v="14"/>
    <n v="2"/>
    <n v="0"/>
    <n v="233.34"/>
    <n v="116.67"/>
    <x v="86"/>
    <n v="116.67"/>
    <x v="2"/>
  </r>
  <r>
    <x v="12"/>
    <s v="Stefan Zaugg"/>
    <x v="1"/>
    <x v="287"/>
    <x v="287"/>
    <n v="1"/>
    <s v="ADET"/>
    <n v="1"/>
    <n v="6"/>
    <n v="7"/>
    <n v="2"/>
    <n v="6"/>
    <n v="3200"/>
    <n v="1600"/>
    <x v="2"/>
    <n v="1600"/>
    <x v="4"/>
  </r>
  <r>
    <x v="11"/>
    <s v="Jan Urbanek"/>
    <x v="1"/>
    <x v="287"/>
    <x v="287"/>
    <n v="1"/>
    <s v="ADET"/>
    <n v="0"/>
    <n v="6"/>
    <n v="7"/>
    <n v="2"/>
    <n v="6"/>
    <n v="3200"/>
    <n v="1600"/>
    <x v="2"/>
    <n v="1600"/>
    <x v="4"/>
  </r>
  <r>
    <x v="14"/>
    <s v="Matteo Giolo"/>
    <x v="1"/>
    <x v="287"/>
    <x v="287"/>
    <n v="1"/>
    <s v="ADET"/>
    <n v="0"/>
    <n v="6"/>
    <n v="7"/>
    <n v="2"/>
    <n v="6"/>
    <n v="3200"/>
    <n v="1600"/>
    <x v="2"/>
    <n v="1600"/>
    <x v="4"/>
  </r>
  <r>
    <x v="9"/>
    <s v="Stefan Zaugg"/>
    <x v="1"/>
    <x v="288"/>
    <x v="288"/>
    <n v="1"/>
    <s v="ADET"/>
    <n v="0"/>
    <n v="34"/>
    <n v="27"/>
    <n v="-6"/>
    <n v="0"/>
    <n v="0"/>
    <n v="500"/>
    <x v="26"/>
    <n v="500"/>
    <x v="2"/>
  </r>
  <r>
    <x v="12"/>
    <s v="Stefan Zaugg"/>
    <x v="1"/>
    <x v="288"/>
    <x v="288"/>
    <n v="2"/>
    <s v="ADET"/>
    <n v="0"/>
    <n v="34"/>
    <n v="27"/>
    <n v="-6"/>
    <n v="0"/>
    <n v="0"/>
    <n v="500"/>
    <x v="26"/>
    <n v="1000"/>
    <x v="2"/>
  </r>
  <r>
    <x v="9"/>
    <s v="Stefan Zaugg"/>
    <x v="1"/>
    <x v="363"/>
    <x v="363"/>
    <n v="1"/>
    <s v="ADET"/>
    <n v="0"/>
    <n v="23"/>
    <n v="17"/>
    <n v="-8"/>
    <n v="0"/>
    <n v="0"/>
    <n v="750"/>
    <x v="26"/>
    <n v="750"/>
    <x v="2"/>
  </r>
  <r>
    <x v="9"/>
    <s v="Stefan Zaugg"/>
    <x v="1"/>
    <x v="364"/>
    <x v="364"/>
    <n v="1"/>
    <s v="ADET"/>
    <n v="0"/>
    <n v="5"/>
    <n v="4"/>
    <n v="2"/>
    <n v="0"/>
    <n v="3357.76"/>
    <n v="1678.88"/>
    <x v="67"/>
    <n v="1678.88"/>
    <x v="4"/>
  </r>
  <r>
    <x v="18"/>
    <s v="Stina Alm"/>
    <x v="1"/>
    <x v="287"/>
    <x v="287"/>
    <n v="1"/>
    <s v="ADET"/>
    <n v="0"/>
    <n v="6"/>
    <n v="7"/>
    <n v="2"/>
    <n v="6"/>
    <n v="3200"/>
    <n v="1600"/>
    <x v="2"/>
    <n v="1600"/>
    <x v="4"/>
  </r>
  <r>
    <x v="9"/>
    <s v="Stefan Zaugg"/>
    <x v="1"/>
    <x v="287"/>
    <x v="287"/>
    <n v="1"/>
    <s v="ADET"/>
    <n v="1"/>
    <n v="6"/>
    <n v="7"/>
    <n v="2"/>
    <n v="6"/>
    <n v="3200"/>
    <n v="1600"/>
    <x v="2"/>
    <n v="1600"/>
    <x v="4"/>
  </r>
  <r>
    <x v="10"/>
    <s v="Murat Taşdemir"/>
    <x v="1"/>
    <x v="287"/>
    <x v="287"/>
    <n v="1"/>
    <s v="ADET"/>
    <n v="0"/>
    <n v="6"/>
    <n v="7"/>
    <n v="2"/>
    <n v="6"/>
    <n v="3200"/>
    <n v="1600"/>
    <x v="2"/>
    <n v="1600"/>
    <x v="4"/>
  </r>
  <r>
    <x v="5"/>
    <s v="Matteo Giolo"/>
    <x v="1"/>
    <x v="287"/>
    <x v="287"/>
    <n v="1"/>
    <s v="ADET"/>
    <n v="0"/>
    <n v="6"/>
    <n v="7"/>
    <n v="2"/>
    <n v="6"/>
    <n v="3200"/>
    <n v="1600"/>
    <x v="2"/>
    <n v="1600"/>
    <x v="4"/>
  </r>
  <r>
    <x v="8"/>
    <s v="Jan Urbanek"/>
    <x v="1"/>
    <x v="279"/>
    <x v="279"/>
    <n v="1"/>
    <s v="ADET"/>
    <n v="0"/>
    <n v="39"/>
    <n v="2"/>
    <n v="-19"/>
    <n v="0"/>
    <n v="0"/>
    <n v="65"/>
    <x v="12"/>
    <n v="65"/>
    <x v="4"/>
  </r>
  <r>
    <x v="8"/>
    <s v="Jan Urbanek"/>
    <x v="1"/>
    <x v="287"/>
    <x v="287"/>
    <n v="1"/>
    <s v="ADET"/>
    <n v="0"/>
    <n v="6"/>
    <n v="7"/>
    <n v="2"/>
    <n v="6"/>
    <n v="3200"/>
    <n v="1600"/>
    <x v="2"/>
    <n v="1600"/>
    <x v="4"/>
  </r>
  <r>
    <x v="13"/>
    <s v="Volkan Batkan"/>
    <x v="1"/>
    <x v="279"/>
    <x v="279"/>
    <n v="1"/>
    <s v="ADET"/>
    <n v="0"/>
    <n v="39"/>
    <n v="2"/>
    <n v="-19"/>
    <n v="0"/>
    <n v="0"/>
    <n v="65"/>
    <x v="12"/>
    <n v="65"/>
    <x v="4"/>
  </r>
  <r>
    <x v="16"/>
    <s v="Laurent MONTAGNER"/>
    <x v="1"/>
    <x v="279"/>
    <x v="279"/>
    <n v="1"/>
    <s v="ADET"/>
    <n v="0"/>
    <n v="39"/>
    <n v="2"/>
    <n v="-19"/>
    <n v="0"/>
    <n v="0"/>
    <n v="65"/>
    <x v="12"/>
    <n v="65"/>
    <x v="4"/>
  </r>
  <r>
    <x v="11"/>
    <s v="Jan Urbanek"/>
    <x v="1"/>
    <x v="288"/>
    <x v="288"/>
    <n v="2"/>
    <s v="ADET"/>
    <n v="0"/>
    <n v="34"/>
    <n v="27"/>
    <n v="-6"/>
    <n v="0"/>
    <n v="0"/>
    <n v="500"/>
    <x v="26"/>
    <n v="1000"/>
    <x v="2"/>
  </r>
  <r>
    <x v="14"/>
    <s v="Matteo Giolo"/>
    <x v="1"/>
    <x v="288"/>
    <x v="288"/>
    <n v="2"/>
    <s v="ADET"/>
    <n v="0"/>
    <n v="34"/>
    <n v="27"/>
    <n v="-6"/>
    <n v="0"/>
    <n v="0"/>
    <n v="500"/>
    <x v="26"/>
    <n v="1000"/>
    <x v="2"/>
  </r>
  <r>
    <x v="13"/>
    <s v="Volkan Batkan"/>
    <x v="1"/>
    <x v="363"/>
    <x v="363"/>
    <n v="1"/>
    <s v="ADET"/>
    <n v="0"/>
    <n v="23"/>
    <n v="17"/>
    <n v="-8"/>
    <n v="0"/>
    <n v="0"/>
    <n v="750"/>
    <x v="26"/>
    <n v="750"/>
    <x v="2"/>
  </r>
  <r>
    <x v="12"/>
    <s v="Stefan Zaugg"/>
    <x v="1"/>
    <x v="363"/>
    <x v="363"/>
    <n v="1"/>
    <s v="ADET"/>
    <n v="0"/>
    <n v="23"/>
    <n v="17"/>
    <n v="-8"/>
    <n v="0"/>
    <n v="0"/>
    <n v="750"/>
    <x v="26"/>
    <n v="750"/>
    <x v="2"/>
  </r>
  <r>
    <x v="11"/>
    <s v="Jan Urbanek"/>
    <x v="1"/>
    <x v="363"/>
    <x v="363"/>
    <n v="1"/>
    <s v="ADET"/>
    <n v="0"/>
    <n v="23"/>
    <n v="17"/>
    <n v="-8"/>
    <n v="0"/>
    <n v="0"/>
    <n v="750"/>
    <x v="26"/>
    <n v="750"/>
    <x v="2"/>
  </r>
  <r>
    <x v="14"/>
    <s v="Matteo Giolo"/>
    <x v="1"/>
    <x v="363"/>
    <x v="363"/>
    <n v="1"/>
    <s v="ADET"/>
    <n v="0"/>
    <n v="23"/>
    <n v="17"/>
    <n v="-8"/>
    <n v="0"/>
    <n v="0"/>
    <n v="750"/>
    <x v="26"/>
    <n v="750"/>
    <x v="2"/>
  </r>
  <r>
    <x v="13"/>
    <s v="Volkan Batkan"/>
    <x v="1"/>
    <x v="288"/>
    <x v="288"/>
    <n v="2"/>
    <s v="ADET"/>
    <n v="0"/>
    <n v="34"/>
    <n v="27"/>
    <n v="-6"/>
    <n v="0"/>
    <n v="0"/>
    <n v="500"/>
    <x v="26"/>
    <n v="1000"/>
    <x v="2"/>
  </r>
  <r>
    <x v="13"/>
    <s v="Volkan Batkan"/>
    <x v="1"/>
    <x v="364"/>
    <x v="364"/>
    <n v="1"/>
    <s v="ADET"/>
    <n v="1"/>
    <n v="5"/>
    <n v="4"/>
    <n v="2"/>
    <n v="0"/>
    <n v="3357.76"/>
    <n v="1678.88"/>
    <x v="67"/>
    <n v="1678.88"/>
    <x v="4"/>
  </r>
  <r>
    <x v="0"/>
    <s v="Matteo Giolo"/>
    <x v="1"/>
    <x v="287"/>
    <x v="287"/>
    <n v="1"/>
    <s v="ADET"/>
    <n v="0"/>
    <n v="6"/>
    <n v="7"/>
    <n v="2"/>
    <n v="6"/>
    <n v="3200"/>
    <n v="1600"/>
    <x v="2"/>
    <n v="1600"/>
    <x v="4"/>
  </r>
  <r>
    <x v="0"/>
    <s v="Matteo Giolo"/>
    <x v="1"/>
    <x v="288"/>
    <x v="288"/>
    <n v="2"/>
    <s v="ADET"/>
    <n v="0"/>
    <n v="34"/>
    <n v="27"/>
    <n v="-6"/>
    <n v="0"/>
    <n v="0"/>
    <n v="500"/>
    <x v="26"/>
    <n v="1000"/>
    <x v="2"/>
  </r>
  <r>
    <x v="0"/>
    <s v="Matteo Giolo"/>
    <x v="1"/>
    <x v="363"/>
    <x v="363"/>
    <n v="1"/>
    <s v="ADET"/>
    <n v="0"/>
    <n v="23"/>
    <n v="17"/>
    <n v="-8"/>
    <n v="0"/>
    <n v="0"/>
    <n v="750"/>
    <x v="26"/>
    <n v="750"/>
    <x v="2"/>
  </r>
  <r>
    <x v="0"/>
    <s v="Matteo Giolo"/>
    <x v="1"/>
    <x v="364"/>
    <x v="364"/>
    <n v="1"/>
    <s v="ADET"/>
    <n v="0"/>
    <n v="5"/>
    <n v="4"/>
    <n v="2"/>
    <n v="0"/>
    <n v="3357.76"/>
    <n v="1678.88"/>
    <x v="67"/>
    <n v="1678.88"/>
    <x v="4"/>
  </r>
  <r>
    <x v="0"/>
    <s v="Matteo Giolo"/>
    <x v="1"/>
    <x v="365"/>
    <x v="365"/>
    <n v="1"/>
    <s v="ADET"/>
    <n v="0"/>
    <n v="6"/>
    <n v="8"/>
    <n v="-3"/>
    <n v="10"/>
    <n v="0"/>
    <n v="583.77"/>
    <x v="88"/>
    <n v="583.77"/>
    <x v="1"/>
  </r>
  <r>
    <x v="8"/>
    <s v="Jan Urbanek"/>
    <x v="1"/>
    <x v="288"/>
    <x v="288"/>
    <n v="2"/>
    <s v="ADET"/>
    <n v="0"/>
    <n v="34"/>
    <n v="27"/>
    <n v="-6"/>
    <n v="0"/>
    <n v="0"/>
    <n v="500"/>
    <x v="26"/>
    <n v="1000"/>
    <x v="2"/>
  </r>
  <r>
    <x v="8"/>
    <s v="Jan Urbanek"/>
    <x v="1"/>
    <x v="363"/>
    <x v="363"/>
    <n v="1"/>
    <s v="ADET"/>
    <n v="0"/>
    <n v="23"/>
    <n v="17"/>
    <n v="-8"/>
    <n v="0"/>
    <n v="0"/>
    <n v="750"/>
    <x v="26"/>
    <n v="750"/>
    <x v="2"/>
  </r>
  <r>
    <x v="8"/>
    <s v="Jan Urbanek"/>
    <x v="1"/>
    <x v="365"/>
    <x v="365"/>
    <n v="1"/>
    <s v="ADET"/>
    <n v="0"/>
    <n v="6"/>
    <n v="8"/>
    <n v="-3"/>
    <n v="10"/>
    <n v="0"/>
    <n v="583.77"/>
    <x v="88"/>
    <n v="583.77"/>
    <x v="1"/>
  </r>
  <r>
    <x v="8"/>
    <s v="Jan Urbanek"/>
    <x v="1"/>
    <x v="366"/>
    <x v="366"/>
    <n v="1"/>
    <s v="ADET"/>
    <n v="0"/>
    <n v="20.5"/>
    <n v="5"/>
    <n v="-9.5"/>
    <n v="0"/>
    <n v="0"/>
    <n v="175"/>
    <x v="56"/>
    <n v="175"/>
    <x v="1"/>
  </r>
  <r>
    <x v="0"/>
    <s v="Matteo Giolo"/>
    <x v="1"/>
    <x v="366"/>
    <x v="366"/>
    <n v="1"/>
    <s v="ADET"/>
    <n v="0"/>
    <n v="20.5"/>
    <n v="5"/>
    <n v="-9.5"/>
    <n v="0"/>
    <n v="0"/>
    <n v="175"/>
    <x v="56"/>
    <n v="175"/>
    <x v="1"/>
  </r>
  <r>
    <x v="0"/>
    <s v="Matteo Giolo"/>
    <x v="1"/>
    <x v="367"/>
    <x v="367"/>
    <n v="1"/>
    <s v="ADET"/>
    <n v="0"/>
    <n v="14"/>
    <n v="15"/>
    <n v="-1"/>
    <n v="0"/>
    <n v="0"/>
    <n v="400"/>
    <x v="86"/>
    <n v="400"/>
    <x v="2"/>
  </r>
  <r>
    <x v="5"/>
    <s v="Matteo Giolo"/>
    <x v="1"/>
    <x v="367"/>
    <x v="367"/>
    <n v="1"/>
    <s v="ADET"/>
    <n v="0"/>
    <n v="14"/>
    <n v="15"/>
    <n v="-1"/>
    <n v="0"/>
    <n v="0"/>
    <n v="400"/>
    <x v="86"/>
    <n v="400"/>
    <x v="2"/>
  </r>
  <r>
    <x v="0"/>
    <s v="Matteo Giolo"/>
    <x v="1"/>
    <x v="368"/>
    <x v="368"/>
    <n v="2"/>
    <s v="ADET"/>
    <n v="0"/>
    <n v="0"/>
    <n v="0"/>
    <n v="14"/>
    <n v="0"/>
    <n v="0"/>
    <n v="0"/>
    <x v="6"/>
    <n v="0"/>
    <x v="7"/>
  </r>
  <r>
    <x v="7"/>
    <s v="Stina Alm"/>
    <x v="1"/>
    <x v="287"/>
    <x v="287"/>
    <n v="1"/>
    <s v="ADET"/>
    <n v="0"/>
    <n v="6"/>
    <n v="7"/>
    <n v="2"/>
    <n v="6"/>
    <n v="3200"/>
    <n v="1600"/>
    <x v="2"/>
    <n v="1600"/>
    <x v="4"/>
  </r>
  <r>
    <x v="6"/>
    <s v="Stefan Zaugg"/>
    <x v="1"/>
    <x v="288"/>
    <x v="288"/>
    <n v="1"/>
    <s v="ADET"/>
    <n v="0"/>
    <n v="34"/>
    <n v="27"/>
    <n v="-6"/>
    <n v="0"/>
    <n v="0"/>
    <n v="500"/>
    <x v="26"/>
    <n v="500"/>
    <x v="2"/>
  </r>
  <r>
    <x v="5"/>
    <s v="Matteo Giolo"/>
    <x v="1"/>
    <x v="288"/>
    <x v="288"/>
    <n v="2"/>
    <s v="ADET"/>
    <n v="0"/>
    <n v="34"/>
    <n v="27"/>
    <n v="-6"/>
    <n v="0"/>
    <n v="0"/>
    <n v="500"/>
    <x v="26"/>
    <n v="1000"/>
    <x v="2"/>
  </r>
  <r>
    <x v="6"/>
    <s v="Stefan Zaugg"/>
    <x v="1"/>
    <x v="363"/>
    <x v="363"/>
    <n v="1"/>
    <s v="ADET"/>
    <n v="0"/>
    <n v="23"/>
    <n v="17"/>
    <n v="-8"/>
    <n v="0"/>
    <n v="0"/>
    <n v="750"/>
    <x v="26"/>
    <n v="750"/>
    <x v="2"/>
  </r>
  <r>
    <x v="7"/>
    <s v="Stina Alm"/>
    <x v="1"/>
    <x v="365"/>
    <x v="365"/>
    <n v="1"/>
    <s v="ADET"/>
    <n v="0"/>
    <n v="6"/>
    <n v="8"/>
    <n v="-3"/>
    <n v="10"/>
    <n v="0"/>
    <n v="583.77"/>
    <x v="88"/>
    <n v="583.77"/>
    <x v="1"/>
  </r>
  <r>
    <x v="5"/>
    <s v="Matteo Giolo"/>
    <x v="1"/>
    <x v="365"/>
    <x v="365"/>
    <n v="1"/>
    <s v="ADET"/>
    <n v="0"/>
    <n v="6"/>
    <n v="8"/>
    <n v="-3"/>
    <n v="10"/>
    <n v="0"/>
    <n v="583.77"/>
    <x v="88"/>
    <n v="583.77"/>
    <x v="1"/>
  </r>
  <r>
    <x v="4"/>
    <s v="Jan Urbanek"/>
    <x v="1"/>
    <x v="288"/>
    <x v="288"/>
    <n v="2"/>
    <s v="ADET"/>
    <n v="0"/>
    <n v="34"/>
    <n v="27"/>
    <n v="-6"/>
    <n v="0"/>
    <n v="0"/>
    <n v="500"/>
    <x v="26"/>
    <n v="1000"/>
    <x v="2"/>
  </r>
  <r>
    <x v="3"/>
    <s v="Jan Urbanek"/>
    <x v="1"/>
    <x v="363"/>
    <x v="363"/>
    <n v="1"/>
    <s v="ADET"/>
    <n v="0"/>
    <n v="23"/>
    <n v="17"/>
    <n v="-8"/>
    <n v="0"/>
    <n v="0"/>
    <n v="750"/>
    <x v="26"/>
    <n v="750"/>
    <x v="2"/>
  </r>
  <r>
    <x v="4"/>
    <s v="Jan Urbanek"/>
    <x v="1"/>
    <x v="363"/>
    <x v="363"/>
    <n v="1"/>
    <s v="ADET"/>
    <n v="0"/>
    <n v="23"/>
    <n v="17"/>
    <n v="-8"/>
    <n v="0"/>
    <n v="0"/>
    <n v="750"/>
    <x v="26"/>
    <n v="750"/>
    <x v="2"/>
  </r>
  <r>
    <x v="2"/>
    <s v="Jan Urbanek"/>
    <x v="1"/>
    <x v="364"/>
    <x v="364"/>
    <n v="1"/>
    <s v="ADET"/>
    <n v="0"/>
    <n v="5"/>
    <n v="4"/>
    <n v="2"/>
    <n v="0"/>
    <n v="3357.76"/>
    <n v="1678.88"/>
    <x v="67"/>
    <n v="1678.88"/>
    <x v="4"/>
  </r>
  <r>
    <x v="3"/>
    <s v="Jan Urbanek"/>
    <x v="1"/>
    <x v="364"/>
    <x v="364"/>
    <n v="1"/>
    <s v="ADET"/>
    <n v="0"/>
    <n v="5"/>
    <n v="4"/>
    <n v="2"/>
    <n v="0"/>
    <n v="3357.76"/>
    <n v="1678.88"/>
    <x v="67"/>
    <n v="1678.88"/>
    <x v="4"/>
  </r>
  <r>
    <x v="3"/>
    <s v="Jan Urbanek"/>
    <x v="1"/>
    <x v="365"/>
    <x v="365"/>
    <n v="1"/>
    <s v="ADET"/>
    <n v="0"/>
    <n v="6"/>
    <n v="8"/>
    <n v="-3"/>
    <n v="10"/>
    <n v="0"/>
    <n v="583.77"/>
    <x v="88"/>
    <n v="583.77"/>
    <x v="1"/>
  </r>
  <r>
    <x v="4"/>
    <s v="Jan Urbanek"/>
    <x v="1"/>
    <x v="365"/>
    <x v="365"/>
    <n v="1"/>
    <s v="ADET"/>
    <n v="0"/>
    <n v="6"/>
    <n v="8"/>
    <n v="-3"/>
    <n v="10"/>
    <n v="0"/>
    <n v="583.77"/>
    <x v="88"/>
    <n v="583.77"/>
    <x v="1"/>
  </r>
  <r>
    <x v="6"/>
    <s v="Stefan Zaugg"/>
    <x v="1"/>
    <x v="369"/>
    <x v="369"/>
    <n v="2"/>
    <s v="ADET"/>
    <n v="0"/>
    <n v="216"/>
    <n v="118"/>
    <n v="-190"/>
    <n v="0"/>
    <n v="0"/>
    <n v="3.95"/>
    <x v="29"/>
    <n v="7.9"/>
    <x v="7"/>
  </r>
  <r>
    <x v="5"/>
    <s v="Matteo Giolo"/>
    <x v="1"/>
    <x v="369"/>
    <x v="369"/>
    <n v="2"/>
    <s v="ADET"/>
    <n v="0"/>
    <n v="216"/>
    <n v="118"/>
    <n v="-190"/>
    <n v="0"/>
    <n v="0"/>
    <n v="3.95"/>
    <x v="29"/>
    <n v="7.9"/>
    <x v="7"/>
  </r>
  <r>
    <x v="5"/>
    <s v="Matteo Giolo"/>
    <x v="1"/>
    <x v="366"/>
    <x v="366"/>
    <n v="1"/>
    <s v="ADET"/>
    <n v="0"/>
    <n v="20.5"/>
    <n v="5"/>
    <n v="-9.5"/>
    <n v="0"/>
    <n v="0"/>
    <n v="175"/>
    <x v="56"/>
    <n v="175"/>
    <x v="1"/>
  </r>
  <r>
    <x v="0"/>
    <s v="Matteo Giolo"/>
    <x v="1"/>
    <x v="357"/>
    <x v="357"/>
    <n v="2"/>
    <s v="ADET"/>
    <n v="0"/>
    <n v="2"/>
    <n v="8"/>
    <n v="24"/>
    <n v="0"/>
    <n v="1357.92"/>
    <n v="56.58"/>
    <x v="67"/>
    <n v="113.16"/>
    <x v="2"/>
  </r>
  <r>
    <x v="8"/>
    <s v="Jan Urbanek"/>
    <x v="1"/>
    <x v="357"/>
    <x v="357"/>
    <n v="2"/>
    <s v="ADET"/>
    <n v="0"/>
    <n v="2"/>
    <n v="8"/>
    <n v="24"/>
    <n v="0"/>
    <n v="1357.92"/>
    <n v="56.58"/>
    <x v="67"/>
    <n v="113.16"/>
    <x v="2"/>
  </r>
  <r>
    <x v="7"/>
    <s v="Stina Alm"/>
    <x v="1"/>
    <x v="370"/>
    <x v="370"/>
    <n v="1"/>
    <s v="ADET"/>
    <n v="0"/>
    <n v="6"/>
    <n v="7"/>
    <n v="-3"/>
    <n v="10"/>
    <n v="0"/>
    <n v="750"/>
    <x v="38"/>
    <n v="750"/>
    <x v="4"/>
  </r>
  <r>
    <x v="7"/>
    <s v="Stina Alm"/>
    <x v="1"/>
    <x v="371"/>
    <x v="371"/>
    <n v="10"/>
    <s v="ADET"/>
    <n v="0"/>
    <n v="574"/>
    <n v="98"/>
    <n v="-260"/>
    <n v="0"/>
    <n v="0"/>
    <n v="6.67"/>
    <x v="89"/>
    <n v="66.7"/>
    <x v="7"/>
  </r>
  <r>
    <x v="14"/>
    <s v="Matteo Giolo"/>
    <x v="1"/>
    <x v="357"/>
    <x v="357"/>
    <n v="2"/>
    <s v="ADET"/>
    <n v="0"/>
    <n v="2"/>
    <n v="8"/>
    <n v="24"/>
    <n v="0"/>
    <n v="1357.92"/>
    <n v="56.58"/>
    <x v="67"/>
    <n v="113.16"/>
    <x v="2"/>
  </r>
  <r>
    <x v="10"/>
    <s v="Murat Taşdemir"/>
    <x v="1"/>
    <x v="358"/>
    <x v="358"/>
    <n v="18"/>
    <s v="KG"/>
    <n v="0"/>
    <n v="63"/>
    <n v="1.4210854715202004E-14"/>
    <n v="133"/>
    <n v="0"/>
    <n v="146019.37000000002"/>
    <n v="1097.8900000000001"/>
    <x v="81"/>
    <n v="19762.02"/>
    <x v="3"/>
  </r>
  <r>
    <x v="9"/>
    <s v="Stefan Zaugg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0"/>
    <s v="Murat Taşdemir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1"/>
    <s v="Jan Urbanek"/>
    <x v="1"/>
    <x v="360"/>
    <x v="360"/>
    <n v="4"/>
    <s v="ADET"/>
    <n v="0"/>
    <n v="0"/>
    <n v="0"/>
    <n v="24"/>
    <n v="0"/>
    <n v="21.12"/>
    <n v="0.88"/>
    <x v="68"/>
    <n v="3.52"/>
    <x v="7"/>
  </r>
  <r>
    <x v="11"/>
    <s v="Jan Urbanek"/>
    <x v="1"/>
    <x v="370"/>
    <x v="370"/>
    <n v="1"/>
    <s v="ADET"/>
    <n v="0"/>
    <n v="6"/>
    <n v="7"/>
    <n v="-3"/>
    <n v="10"/>
    <n v="0"/>
    <n v="750"/>
    <x v="38"/>
    <n v="750"/>
    <x v="4"/>
  </r>
  <r>
    <x v="12"/>
    <s v="Stefan Zaugg"/>
    <x v="1"/>
    <x v="371"/>
    <x v="371"/>
    <n v="22"/>
    <s v="ADET"/>
    <n v="0"/>
    <n v="574"/>
    <n v="98"/>
    <n v="-260"/>
    <n v="0"/>
    <n v="0"/>
    <n v="6.67"/>
    <x v="89"/>
    <n v="146.74"/>
    <x v="7"/>
  </r>
  <r>
    <x v="11"/>
    <s v="Jan Urbanek"/>
    <x v="1"/>
    <x v="371"/>
    <x v="371"/>
    <n v="14"/>
    <s v="ADET"/>
    <n v="0"/>
    <n v="574"/>
    <n v="98"/>
    <n v="-260"/>
    <n v="0"/>
    <n v="0"/>
    <n v="6.67"/>
    <x v="89"/>
    <n v="93.38"/>
    <x v="7"/>
  </r>
  <r>
    <x v="11"/>
    <s v="Jan Urbanek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3"/>
    <s v="Jan Urbanek"/>
    <x v="1"/>
    <x v="362"/>
    <x v="362"/>
    <n v="1"/>
    <s v="ADET"/>
    <n v="0"/>
    <n v="12"/>
    <n v="14"/>
    <n v="2"/>
    <n v="0"/>
    <n v="233.34"/>
    <n v="116.67"/>
    <x v="86"/>
    <n v="116.67"/>
    <x v="2"/>
  </r>
  <r>
    <x v="4"/>
    <s v="Jan Urbanek"/>
    <x v="1"/>
    <x v="362"/>
    <x v="362"/>
    <n v="1"/>
    <s v="ADET"/>
    <n v="0"/>
    <n v="12"/>
    <n v="14"/>
    <n v="2"/>
    <n v="0"/>
    <n v="233.34"/>
    <n v="116.67"/>
    <x v="86"/>
    <n v="116.67"/>
    <x v="2"/>
  </r>
  <r>
    <x v="2"/>
    <s v="Jan Urbanek"/>
    <x v="1"/>
    <x v="370"/>
    <x v="370"/>
    <n v="1"/>
    <s v="ADET"/>
    <n v="0"/>
    <n v="6"/>
    <n v="7"/>
    <n v="-3"/>
    <n v="10"/>
    <n v="0"/>
    <n v="750"/>
    <x v="38"/>
    <n v="750"/>
    <x v="4"/>
  </r>
  <r>
    <x v="2"/>
    <s v="Jan Urbanek"/>
    <x v="1"/>
    <x v="371"/>
    <x v="371"/>
    <n v="14"/>
    <s v="ADET"/>
    <n v="0"/>
    <n v="574"/>
    <n v="98"/>
    <n v="-260"/>
    <n v="0"/>
    <n v="0"/>
    <n v="6.67"/>
    <x v="89"/>
    <n v="93.38"/>
    <x v="7"/>
  </r>
  <r>
    <x v="2"/>
    <s v="Jan Urbanek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2"/>
    <s v="Jan Urbanek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8"/>
    <s v="Jan Urbanek"/>
    <x v="1"/>
    <x v="360"/>
    <x v="360"/>
    <n v="2"/>
    <s v="ADET"/>
    <n v="0"/>
    <n v="0"/>
    <n v="0"/>
    <n v="24"/>
    <n v="0"/>
    <n v="21.12"/>
    <n v="0.88"/>
    <x v="68"/>
    <n v="1.76"/>
    <x v="7"/>
  </r>
  <r>
    <x v="7"/>
    <s v="Stina Alm"/>
    <x v="1"/>
    <x v="358"/>
    <x v="358"/>
    <n v="18"/>
    <s v="KG"/>
    <n v="0"/>
    <n v="63"/>
    <n v="1.4210854715202004E-14"/>
    <n v="133"/>
    <n v="0"/>
    <n v="146019.37000000002"/>
    <n v="1097.8900000000001"/>
    <x v="81"/>
    <n v="19762.02"/>
    <x v="3"/>
  </r>
  <r>
    <x v="1"/>
    <s v="Laurent MONTAGNER"/>
    <x v="1"/>
    <x v="361"/>
    <x v="361"/>
    <n v="8"/>
    <s v="METRE"/>
    <n v="0"/>
    <n v="100"/>
    <n v="84"/>
    <n v="-32"/>
    <n v="0"/>
    <n v="0"/>
    <n v="14.85"/>
    <x v="23"/>
    <n v="118.8"/>
    <x v="7"/>
  </r>
  <r>
    <x v="0"/>
    <s v="Matteo Giolo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"/>
    <s v="Laurent MONTAGNER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5"/>
    <s v="Matteo Giolo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5"/>
    <s v="Matteo Giolo"/>
    <x v="1"/>
    <x v="370"/>
    <x v="370"/>
    <n v="1"/>
    <s v="ADET"/>
    <n v="0"/>
    <n v="6"/>
    <n v="7"/>
    <n v="-3"/>
    <n v="10"/>
    <n v="0"/>
    <n v="750"/>
    <x v="38"/>
    <n v="750"/>
    <x v="4"/>
  </r>
  <r>
    <x v="6"/>
    <s v="Stefan Zaugg"/>
    <x v="1"/>
    <x v="371"/>
    <x v="371"/>
    <n v="22"/>
    <s v="ADET"/>
    <n v="0"/>
    <n v="574"/>
    <n v="98"/>
    <n v="-260"/>
    <n v="0"/>
    <n v="0"/>
    <n v="6.67"/>
    <x v="89"/>
    <n v="146.74"/>
    <x v="7"/>
  </r>
  <r>
    <x v="1"/>
    <s v="Laurent MONTAGNER"/>
    <x v="1"/>
    <x v="371"/>
    <x v="371"/>
    <n v="18"/>
    <s v="ADET"/>
    <n v="0"/>
    <n v="574"/>
    <n v="98"/>
    <n v="-260"/>
    <n v="0"/>
    <n v="0"/>
    <n v="6.67"/>
    <x v="89"/>
    <n v="120.06"/>
    <x v="7"/>
  </r>
  <r>
    <x v="0"/>
    <s v="Matteo Giolo"/>
    <x v="1"/>
    <x v="373"/>
    <x v="373"/>
    <n v="1"/>
    <s v="ADET"/>
    <n v="0"/>
    <n v="11"/>
    <n v="4"/>
    <n v="-4"/>
    <n v="0"/>
    <n v="0"/>
    <n v="1678.88"/>
    <x v="67"/>
    <n v="1678.88"/>
    <x v="4"/>
  </r>
  <r>
    <x v="0"/>
    <s v="Matteo Giolo"/>
    <x v="1"/>
    <x v="374"/>
    <x v="374"/>
    <n v="1"/>
    <s v="ADET"/>
    <n v="0"/>
    <n v="8"/>
    <n v="9"/>
    <n v="-31"/>
    <n v="36"/>
    <n v="0"/>
    <n v="101.4"/>
    <x v="90"/>
    <n v="101.4"/>
    <x v="7"/>
  </r>
  <r>
    <x v="13"/>
    <s v="Volkan Batkan"/>
    <x v="1"/>
    <x v="365"/>
    <x v="365"/>
    <n v="1"/>
    <s v="ADET"/>
    <n v="1"/>
    <n v="6"/>
    <n v="8"/>
    <n v="-3"/>
    <n v="10"/>
    <n v="0"/>
    <n v="583.77"/>
    <x v="88"/>
    <n v="583.77"/>
    <x v="1"/>
  </r>
  <r>
    <x v="11"/>
    <s v="Jan Urbanek"/>
    <x v="1"/>
    <x v="369"/>
    <x v="369"/>
    <n v="2"/>
    <s v="ADET"/>
    <n v="0"/>
    <n v="216"/>
    <n v="118"/>
    <n v="-190"/>
    <n v="0"/>
    <n v="0"/>
    <n v="3.95"/>
    <x v="29"/>
    <n v="7.9"/>
    <x v="7"/>
  </r>
  <r>
    <x v="13"/>
    <s v="Volkan Batkan"/>
    <x v="1"/>
    <x v="367"/>
    <x v="367"/>
    <n v="1"/>
    <s v="ADET"/>
    <n v="1"/>
    <n v="14"/>
    <n v="15"/>
    <n v="-1"/>
    <n v="0"/>
    <n v="0"/>
    <n v="400"/>
    <x v="86"/>
    <n v="400"/>
    <x v="2"/>
  </r>
  <r>
    <x v="8"/>
    <s v="Jan Urbanek"/>
    <x v="1"/>
    <x v="367"/>
    <x v="367"/>
    <n v="1"/>
    <s v="ADET"/>
    <n v="0"/>
    <n v="14"/>
    <n v="15"/>
    <n v="-1"/>
    <n v="0"/>
    <n v="0"/>
    <n v="400"/>
    <x v="86"/>
    <n v="400"/>
    <x v="2"/>
  </r>
  <r>
    <x v="8"/>
    <s v="Jan Urbanek"/>
    <x v="1"/>
    <x v="368"/>
    <x v="368"/>
    <n v="2"/>
    <s v="ADET"/>
    <n v="0"/>
    <n v="0"/>
    <n v="0"/>
    <n v="14"/>
    <n v="0"/>
    <n v="0"/>
    <n v="0"/>
    <x v="6"/>
    <n v="0"/>
    <x v="7"/>
  </r>
  <r>
    <x v="8"/>
    <s v="Jan Urbanek"/>
    <x v="1"/>
    <x v="369"/>
    <x v="369"/>
    <n v="2"/>
    <s v="ADET"/>
    <n v="0"/>
    <n v="216"/>
    <n v="118"/>
    <n v="-190"/>
    <n v="0"/>
    <n v="0"/>
    <n v="3.95"/>
    <x v="29"/>
    <n v="7.9"/>
    <x v="7"/>
  </r>
  <r>
    <x v="7"/>
    <s v="Stina Alm"/>
    <x v="1"/>
    <x v="374"/>
    <x v="374"/>
    <n v="1"/>
    <s v="ADET"/>
    <n v="0"/>
    <n v="8"/>
    <n v="9"/>
    <n v="-31"/>
    <n v="36"/>
    <n v="0"/>
    <n v="101.4"/>
    <x v="90"/>
    <n v="101.4"/>
    <x v="7"/>
  </r>
  <r>
    <x v="0"/>
    <s v="Matteo Giolo"/>
    <x v="1"/>
    <x v="375"/>
    <x v="375"/>
    <n v="6"/>
    <s v="ADET"/>
    <n v="0"/>
    <n v="0"/>
    <n v="0"/>
    <n v="42"/>
    <n v="0"/>
    <n v="15.12"/>
    <n v="0.36"/>
    <x v="5"/>
    <n v="2.16"/>
    <x v="1"/>
  </r>
  <r>
    <x v="11"/>
    <s v="Jan Urbanek"/>
    <x v="1"/>
    <x v="364"/>
    <x v="364"/>
    <n v="1"/>
    <s v="ADET"/>
    <n v="0"/>
    <n v="5"/>
    <n v="4"/>
    <n v="2"/>
    <n v="0"/>
    <n v="3357.76"/>
    <n v="1678.88"/>
    <x v="67"/>
    <n v="1678.88"/>
    <x v="4"/>
  </r>
  <r>
    <x v="11"/>
    <s v="Jan Urbanek"/>
    <x v="1"/>
    <x v="365"/>
    <x v="365"/>
    <n v="1"/>
    <s v="ADET"/>
    <n v="0"/>
    <n v="6"/>
    <n v="8"/>
    <n v="-3"/>
    <n v="10"/>
    <n v="0"/>
    <n v="583.77"/>
    <x v="88"/>
    <n v="583.77"/>
    <x v="1"/>
  </r>
  <r>
    <x v="13"/>
    <s v="Volkan Batkan"/>
    <x v="1"/>
    <x v="369"/>
    <x v="369"/>
    <n v="2"/>
    <s v="ADET"/>
    <n v="0"/>
    <n v="216"/>
    <n v="118"/>
    <n v="-190"/>
    <n v="0"/>
    <n v="0"/>
    <n v="3.95"/>
    <x v="29"/>
    <n v="7.9"/>
    <x v="7"/>
  </r>
  <r>
    <x v="9"/>
    <s v="Stefan Zaugg"/>
    <x v="1"/>
    <x v="369"/>
    <x v="369"/>
    <n v="2"/>
    <s v="ADET"/>
    <n v="0"/>
    <n v="216"/>
    <n v="118"/>
    <n v="-190"/>
    <n v="0"/>
    <n v="0"/>
    <n v="3.95"/>
    <x v="29"/>
    <n v="7.9"/>
    <x v="7"/>
  </r>
  <r>
    <x v="12"/>
    <s v="Stefan Zaugg"/>
    <x v="1"/>
    <x v="369"/>
    <x v="369"/>
    <n v="2"/>
    <s v="ADET"/>
    <n v="0"/>
    <n v="216"/>
    <n v="118"/>
    <n v="-190"/>
    <n v="0"/>
    <n v="0"/>
    <n v="3.95"/>
    <x v="29"/>
    <n v="7.9"/>
    <x v="7"/>
  </r>
  <r>
    <x v="5"/>
    <s v="Matteo Giolo"/>
    <x v="1"/>
    <x v="363"/>
    <x v="363"/>
    <n v="1"/>
    <s v="ADET"/>
    <n v="0"/>
    <n v="23"/>
    <n v="17"/>
    <n v="-8"/>
    <n v="0"/>
    <n v="0"/>
    <n v="750"/>
    <x v="26"/>
    <n v="750"/>
    <x v="2"/>
  </r>
  <r>
    <x v="6"/>
    <s v="Stefan Zaugg"/>
    <x v="1"/>
    <x v="364"/>
    <x v="364"/>
    <n v="1"/>
    <s v="ADET"/>
    <n v="0"/>
    <n v="5"/>
    <n v="4"/>
    <n v="2"/>
    <n v="0"/>
    <n v="3357.76"/>
    <n v="1678.88"/>
    <x v="67"/>
    <n v="1678.88"/>
    <x v="4"/>
  </r>
  <r>
    <x v="2"/>
    <s v="Jan Urbanek"/>
    <x v="1"/>
    <x v="363"/>
    <x v="363"/>
    <n v="1"/>
    <s v="ADET"/>
    <n v="0"/>
    <n v="23"/>
    <n v="17"/>
    <n v="-8"/>
    <n v="0"/>
    <n v="0"/>
    <n v="750"/>
    <x v="26"/>
    <n v="750"/>
    <x v="2"/>
  </r>
  <r>
    <x v="2"/>
    <s v="Jan Urbanek"/>
    <x v="1"/>
    <x v="365"/>
    <x v="365"/>
    <n v="1"/>
    <s v="ADET"/>
    <n v="0"/>
    <n v="6"/>
    <n v="8"/>
    <n v="-3"/>
    <n v="10"/>
    <n v="0"/>
    <n v="583.77"/>
    <x v="88"/>
    <n v="583.77"/>
    <x v="1"/>
  </r>
  <r>
    <x v="2"/>
    <s v="Jan Urbanek"/>
    <x v="1"/>
    <x v="369"/>
    <x v="369"/>
    <n v="2"/>
    <s v="ADET"/>
    <n v="0"/>
    <n v="216"/>
    <n v="118"/>
    <n v="-190"/>
    <n v="0"/>
    <n v="0"/>
    <n v="3.95"/>
    <x v="29"/>
    <n v="7.9"/>
    <x v="7"/>
  </r>
  <r>
    <x v="4"/>
    <s v="Jan Urbanek"/>
    <x v="1"/>
    <x v="369"/>
    <x v="369"/>
    <n v="2"/>
    <s v="ADET"/>
    <n v="0"/>
    <n v="216"/>
    <n v="118"/>
    <n v="-190"/>
    <n v="0"/>
    <n v="0"/>
    <n v="3.95"/>
    <x v="29"/>
    <n v="7.9"/>
    <x v="7"/>
  </r>
  <r>
    <x v="3"/>
    <s v="Jan Urbanek"/>
    <x v="1"/>
    <x v="369"/>
    <x v="369"/>
    <n v="2"/>
    <s v="ADET"/>
    <n v="0"/>
    <n v="216"/>
    <n v="118"/>
    <n v="-190"/>
    <n v="0"/>
    <n v="0"/>
    <n v="3.95"/>
    <x v="29"/>
    <n v="7.9"/>
    <x v="7"/>
  </r>
  <r>
    <x v="2"/>
    <s v="Jan Urbanek"/>
    <x v="1"/>
    <x v="366"/>
    <x v="366"/>
    <n v="1"/>
    <s v="ADET"/>
    <n v="0"/>
    <n v="20.5"/>
    <n v="5"/>
    <n v="-9.5"/>
    <n v="0"/>
    <n v="0"/>
    <n v="175"/>
    <x v="56"/>
    <n v="175"/>
    <x v="1"/>
  </r>
  <r>
    <x v="0"/>
    <s v="Matteo Giolo"/>
    <x v="1"/>
    <x v="369"/>
    <x v="369"/>
    <n v="2"/>
    <s v="ADET"/>
    <n v="0"/>
    <n v="216"/>
    <n v="118"/>
    <n v="-190"/>
    <n v="0"/>
    <n v="0"/>
    <n v="3.95"/>
    <x v="29"/>
    <n v="7.9"/>
    <x v="7"/>
  </r>
  <r>
    <x v="1"/>
    <s v="Laurent MONTAGNER"/>
    <x v="1"/>
    <x v="366"/>
    <x v="366"/>
    <n v="1"/>
    <s v="ADET"/>
    <n v="0"/>
    <n v="20.5"/>
    <n v="5"/>
    <n v="-9.5"/>
    <n v="0"/>
    <n v="0"/>
    <n v="175"/>
    <x v="56"/>
    <n v="175"/>
    <x v="1"/>
  </r>
  <r>
    <x v="7"/>
    <s v="Stina Alm"/>
    <x v="1"/>
    <x v="367"/>
    <x v="367"/>
    <n v="1"/>
    <s v="ADET"/>
    <n v="0"/>
    <n v="14"/>
    <n v="15"/>
    <n v="-1"/>
    <n v="0"/>
    <n v="0"/>
    <n v="400"/>
    <x v="86"/>
    <n v="400"/>
    <x v="2"/>
  </r>
  <r>
    <x v="5"/>
    <s v="Matteo Giolo"/>
    <x v="1"/>
    <x v="374"/>
    <x v="374"/>
    <n v="1"/>
    <s v="ADET"/>
    <n v="0"/>
    <n v="8"/>
    <n v="9"/>
    <n v="-31"/>
    <n v="36"/>
    <n v="0"/>
    <n v="101.4"/>
    <x v="90"/>
    <n v="101.4"/>
    <x v="7"/>
  </r>
  <r>
    <x v="10"/>
    <s v="Murat Taşdemir"/>
    <x v="1"/>
    <x v="376"/>
    <x v="376"/>
    <n v="5"/>
    <s v="METRE"/>
    <n v="0"/>
    <n v="0"/>
    <n v="90"/>
    <n v="10"/>
    <n v="0"/>
    <n v="80"/>
    <n v="8"/>
    <x v="17"/>
    <n v="40"/>
    <x v="1"/>
  </r>
  <r>
    <x v="0"/>
    <s v="Matteo Giolo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0"/>
    <s v="Matteo Giolo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"/>
    <s v="Laurent MONTAGNER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4"/>
    <s v="Matteo Giolo"/>
    <x v="1"/>
    <x v="307"/>
    <x v="307"/>
    <n v="50"/>
    <s v="M2"/>
    <n v="0"/>
    <n v="136.5"/>
    <n v="5.4999999999998863"/>
    <n v="175"/>
    <n v="110.5"/>
    <n v="35026.25"/>
    <n v="200.15"/>
    <x v="61"/>
    <n v="10007.5"/>
    <x v="8"/>
  </r>
  <r>
    <x v="11"/>
    <s v="Jan Urbanek"/>
    <x v="1"/>
    <x v="307"/>
    <x v="307"/>
    <n v="15"/>
    <s v="M2"/>
    <n v="0"/>
    <n v="136.5"/>
    <n v="5.4999999999998863"/>
    <n v="175"/>
    <n v="110.5"/>
    <n v="35026.25"/>
    <n v="200.15"/>
    <x v="61"/>
    <n v="3002.25"/>
    <x v="8"/>
  </r>
  <r>
    <x v="11"/>
    <s v="Jan Urbanek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5"/>
    <s v="Matteo Giolo"/>
    <x v="1"/>
    <x v="376"/>
    <x v="376"/>
    <n v="5"/>
    <s v="METRE"/>
    <n v="0"/>
    <n v="0"/>
    <n v="90"/>
    <n v="10"/>
    <n v="0"/>
    <n v="80"/>
    <n v="8"/>
    <x v="17"/>
    <n v="40"/>
    <x v="1"/>
  </r>
  <r>
    <x v="4"/>
    <s v="Jan Urbanek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3"/>
    <s v="Jan Urbanek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6"/>
    <s v="Stefan Zaugg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9"/>
    <s v="Laurent MONTAGNER"/>
    <x v="1"/>
    <x v="188"/>
    <x v="188"/>
    <n v="1"/>
    <s v="ADET"/>
    <n v="1"/>
    <n v="11"/>
    <n v="3"/>
    <n v="-6"/>
    <n v="0"/>
    <n v="0"/>
    <n v="252"/>
    <x v="66"/>
    <n v="252"/>
    <x v="1"/>
  </r>
  <r>
    <x v="19"/>
    <s v="Laurent MONTAGNER"/>
    <x v="1"/>
    <x v="262"/>
    <x v="262"/>
    <n v="2"/>
    <s v="ADET"/>
    <n v="2"/>
    <n v="6"/>
    <n v="4"/>
    <n v="0"/>
    <n v="0"/>
    <n v="0"/>
    <n v="260"/>
    <x v="14"/>
    <n v="520"/>
    <x v="1"/>
  </r>
  <r>
    <x v="19"/>
    <s v="Laurent MONTAGNER"/>
    <x v="1"/>
    <x v="250"/>
    <x v="250"/>
    <n v="0.30000000000000004"/>
    <s v="METRE"/>
    <n v="0"/>
    <n v="50"/>
    <n v="-5.5511151231257827E-15"/>
    <n v="-47.386000000000003"/>
    <n v="0"/>
    <n v="0"/>
    <n v="10.61"/>
    <x v="75"/>
    <n v="3.1830000000000003"/>
    <x v="7"/>
  </r>
  <r>
    <x v="0"/>
    <s v="Matteo Giolo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5"/>
    <s v="Matteo Giolo"/>
    <x v="1"/>
    <x v="187"/>
    <x v="187"/>
    <n v="2"/>
    <s v="ADET"/>
    <n v="0"/>
    <n v="24"/>
    <n v="18.499999999999979"/>
    <n v="3.899999999999995"/>
    <n v="0"/>
    <n v="467.99999999999943"/>
    <n v="120"/>
    <x v="2"/>
    <n v="240"/>
    <x v="3"/>
  </r>
  <r>
    <x v="7"/>
    <s v="Stina Alm"/>
    <x v="1"/>
    <x v="188"/>
    <x v="188"/>
    <n v="1"/>
    <s v="ADET"/>
    <n v="0"/>
    <n v="11"/>
    <n v="3"/>
    <n v="-6"/>
    <n v="0"/>
    <n v="0"/>
    <n v="252"/>
    <x v="66"/>
    <n v="252"/>
    <x v="1"/>
  </r>
  <r>
    <x v="5"/>
    <s v="Matteo Giolo"/>
    <x v="1"/>
    <x v="250"/>
    <x v="250"/>
    <n v="0.30000000000000004"/>
    <s v="METRE"/>
    <n v="0"/>
    <n v="50"/>
    <n v="-5.5511151231257827E-15"/>
    <n v="-47.386000000000003"/>
    <n v="0"/>
    <n v="0"/>
    <n v="10.61"/>
    <x v="75"/>
    <n v="3.1830000000000003"/>
    <x v="7"/>
  </r>
  <r>
    <x v="7"/>
    <s v="Stina Alm"/>
    <x v="1"/>
    <x v="251"/>
    <x v="251"/>
    <n v="2"/>
    <s v="ADET"/>
    <n v="0"/>
    <n v="91"/>
    <n v="17.799999999999997"/>
    <n v="-74.5"/>
    <n v="0"/>
    <n v="0"/>
    <n v="85"/>
    <x v="18"/>
    <n v="170"/>
    <x v="1"/>
  </r>
  <r>
    <x v="18"/>
    <s v="Stina Alm"/>
    <x v="1"/>
    <x v="134"/>
    <x v="134"/>
    <n v="27"/>
    <s v="METRE"/>
    <n v="0"/>
    <n v="150"/>
    <n v="50"/>
    <n v="71"/>
    <n v="0"/>
    <n v="22720"/>
    <n v="320"/>
    <x v="21"/>
    <n v="8640"/>
    <x v="6"/>
  </r>
  <r>
    <x v="18"/>
    <s v="Stina Alm"/>
    <x v="1"/>
    <x v="141"/>
    <x v="141"/>
    <n v="2"/>
    <s v="ADET"/>
    <n v="0"/>
    <n v="23"/>
    <n v="22"/>
    <n v="-9"/>
    <n v="10"/>
    <n v="0"/>
    <n v="71.77"/>
    <x v="43"/>
    <n v="143.54"/>
    <x v="7"/>
  </r>
  <r>
    <x v="18"/>
    <s v="Stina Alm"/>
    <x v="1"/>
    <x v="135"/>
    <x v="135"/>
    <n v="1"/>
    <s v="ADET"/>
    <n v="0"/>
    <n v="7"/>
    <n v="4"/>
    <n v="5"/>
    <n v="0"/>
    <n v="11000"/>
    <n v="2200"/>
    <x v="52"/>
    <n v="2200"/>
    <x v="4"/>
  </r>
  <r>
    <x v="18"/>
    <s v="Stina Alm"/>
    <x v="1"/>
    <x v="187"/>
    <x v="187"/>
    <n v="1.7"/>
    <s v="ADET"/>
    <n v="0"/>
    <n v="24"/>
    <n v="18.499999999999979"/>
    <n v="3.899999999999995"/>
    <n v="0"/>
    <n v="467.99999999999943"/>
    <n v="120"/>
    <x v="2"/>
    <n v="204"/>
    <x v="3"/>
  </r>
  <r>
    <x v="18"/>
    <s v="Stina Alm"/>
    <x v="1"/>
    <x v="188"/>
    <x v="188"/>
    <n v="1"/>
    <s v="ADET"/>
    <n v="0"/>
    <n v="11"/>
    <n v="3"/>
    <n v="-6"/>
    <n v="0"/>
    <n v="0"/>
    <n v="252"/>
    <x v="66"/>
    <n v="252"/>
    <x v="1"/>
  </r>
  <r>
    <x v="16"/>
    <s v="Laurent MONTAGNER"/>
    <x v="1"/>
    <x v="188"/>
    <x v="188"/>
    <n v="1"/>
    <s v="ADET"/>
    <n v="0"/>
    <n v="11"/>
    <n v="3"/>
    <n v="-6"/>
    <n v="0"/>
    <n v="0"/>
    <n v="252"/>
    <x v="66"/>
    <n v="252"/>
    <x v="1"/>
  </r>
  <r>
    <x v="18"/>
    <s v="Stina Alm"/>
    <x v="1"/>
    <x v="250"/>
    <x v="250"/>
    <n v="0.1"/>
    <s v="METRE"/>
    <n v="0"/>
    <n v="50"/>
    <n v="-5.5511151231257827E-15"/>
    <n v="-47.386000000000003"/>
    <n v="0"/>
    <n v="0"/>
    <n v="10.61"/>
    <x v="75"/>
    <n v="1.0609999999999999"/>
    <x v="7"/>
  </r>
  <r>
    <x v="18"/>
    <s v="Stina Alm"/>
    <x v="1"/>
    <x v="251"/>
    <x v="251"/>
    <n v="2"/>
    <s v="ADET"/>
    <n v="0"/>
    <n v="91"/>
    <n v="17.799999999999997"/>
    <n v="-74.5"/>
    <n v="0"/>
    <n v="0"/>
    <n v="85"/>
    <x v="18"/>
    <n v="170"/>
    <x v="1"/>
  </r>
  <r>
    <x v="16"/>
    <s v="Laurent MONTAGNER"/>
    <x v="1"/>
    <x v="250"/>
    <x v="250"/>
    <n v="0.2"/>
    <s v="METRE"/>
    <n v="0"/>
    <n v="50"/>
    <n v="-5.5511151231257827E-15"/>
    <n v="-47.386000000000003"/>
    <n v="0"/>
    <n v="0"/>
    <n v="10.61"/>
    <x v="75"/>
    <n v="2.1219999999999999"/>
    <x v="7"/>
  </r>
  <r>
    <x v="17"/>
    <s v="Soner Kayıkçı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6"/>
    <s v="Stefan Zaugg"/>
    <x v="1"/>
    <x v="379"/>
    <x v="379"/>
    <n v="0.5"/>
    <s v="ADET"/>
    <n v="0"/>
    <n v="0"/>
    <n v="6.0999999999999979"/>
    <n v="8.8000000000000007"/>
    <n v="5"/>
    <n v="6056.1600000000008"/>
    <n v="688.2"/>
    <x v="35"/>
    <n v="344.1"/>
    <x v="6"/>
  </r>
  <r>
    <x v="17"/>
    <s v="Soner Kayıkçı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0"/>
    <s v="Matteo Giolo"/>
    <x v="1"/>
    <x v="379"/>
    <x v="379"/>
    <n v="0.5"/>
    <s v="ADET"/>
    <n v="0"/>
    <n v="0"/>
    <n v="6.0999999999999979"/>
    <n v="8.8000000000000007"/>
    <n v="5"/>
    <n v="6056.1600000000008"/>
    <n v="688.2"/>
    <x v="35"/>
    <n v="344.1"/>
    <x v="6"/>
  </r>
  <r>
    <x v="4"/>
    <s v="Jan Urbanek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8"/>
    <s v="Jan Urbanek"/>
    <x v="1"/>
    <x v="379"/>
    <x v="379"/>
    <n v="1.5"/>
    <s v="ADET"/>
    <n v="0"/>
    <n v="0"/>
    <n v="6.0999999999999979"/>
    <n v="8.8000000000000007"/>
    <n v="5"/>
    <n v="6056.1600000000008"/>
    <n v="688.2"/>
    <x v="35"/>
    <n v="1032.3000000000002"/>
    <x v="6"/>
  </r>
  <r>
    <x v="4"/>
    <s v="Jan Urbanek"/>
    <x v="1"/>
    <x v="380"/>
    <x v="380"/>
    <n v="0.5"/>
    <s v="ADET"/>
    <n v="0"/>
    <n v="100"/>
    <n v="0"/>
    <n v="-90.5"/>
    <n v="0"/>
    <n v="0"/>
    <n v="13.5"/>
    <x v="2"/>
    <n v="6.75"/>
    <x v="1"/>
  </r>
  <r>
    <x v="3"/>
    <s v="Jan Urbanek"/>
    <x v="1"/>
    <x v="380"/>
    <x v="380"/>
    <n v="0.5"/>
    <s v="ADET"/>
    <n v="0"/>
    <n v="100"/>
    <n v="0"/>
    <n v="-90.5"/>
    <n v="0"/>
    <n v="0"/>
    <n v="13.5"/>
    <x v="2"/>
    <n v="6.75"/>
    <x v="1"/>
  </r>
  <r>
    <x v="6"/>
    <s v="Stefan Zaugg"/>
    <x v="1"/>
    <x v="380"/>
    <x v="380"/>
    <n v="0.5"/>
    <s v="ADET"/>
    <n v="0"/>
    <n v="100"/>
    <n v="0"/>
    <n v="-90.5"/>
    <n v="0"/>
    <n v="0"/>
    <n v="13.5"/>
    <x v="2"/>
    <n v="6.75"/>
    <x v="1"/>
  </r>
  <r>
    <x v="5"/>
    <s v="Matteo Giolo"/>
    <x v="1"/>
    <x v="380"/>
    <x v="380"/>
    <n v="0.5"/>
    <s v="ADET"/>
    <n v="0"/>
    <n v="100"/>
    <n v="0"/>
    <n v="-90.5"/>
    <n v="0"/>
    <n v="0"/>
    <n v="13.5"/>
    <x v="2"/>
    <n v="6.75"/>
    <x v="1"/>
  </r>
  <r>
    <x v="7"/>
    <s v="Stina Alm"/>
    <x v="1"/>
    <x v="380"/>
    <x v="380"/>
    <n v="0.5"/>
    <s v="ADET"/>
    <n v="0"/>
    <n v="100"/>
    <n v="0"/>
    <n v="-90.5"/>
    <n v="0"/>
    <n v="0"/>
    <n v="13.5"/>
    <x v="2"/>
    <n v="6.75"/>
    <x v="1"/>
  </r>
  <r>
    <x v="0"/>
    <s v="Matteo Giolo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7"/>
    <s v="Stina Alm"/>
    <x v="1"/>
    <x v="382"/>
    <x v="382"/>
    <n v="50"/>
    <s v="M2"/>
    <n v="0"/>
    <n v="0"/>
    <n v="9.2500000000000568"/>
    <n v="50"/>
    <n v="0"/>
    <n v="9727"/>
    <n v="194.54"/>
    <x v="61"/>
    <n v="9727"/>
    <x v="8"/>
  </r>
  <r>
    <x v="1"/>
    <s v="Laurent MONTAGNER"/>
    <x v="1"/>
    <x v="383"/>
    <x v="383"/>
    <n v="2"/>
    <s v="ADET"/>
    <n v="0"/>
    <n v="0"/>
    <n v="-3.1086244689504383E-14"/>
    <n v="46.999999999999993"/>
    <n v="4"/>
    <n v="48958.02"/>
    <n v="1041.6600000000001"/>
    <x v="61"/>
    <n v="2083.3200000000002"/>
    <x v="8"/>
  </r>
  <r>
    <x v="7"/>
    <s v="Stina Alm"/>
    <x v="1"/>
    <x v="383"/>
    <x v="383"/>
    <n v="5"/>
    <s v="ADET"/>
    <n v="0"/>
    <n v="0"/>
    <n v="-3.1086244689504383E-14"/>
    <n v="46.999999999999993"/>
    <n v="4"/>
    <n v="48958.02"/>
    <n v="1041.6600000000001"/>
    <x v="61"/>
    <n v="5208.3"/>
    <x v="8"/>
  </r>
  <r>
    <x v="1"/>
    <s v="Laurent MONTAGNER"/>
    <x v="1"/>
    <x v="384"/>
    <x v="384"/>
    <n v="120"/>
    <s v="METRE"/>
    <n v="0"/>
    <n v="0"/>
    <n v="0"/>
    <n v="1760"/>
    <n v="0"/>
    <n v="0"/>
    <n v="0"/>
    <x v="6"/>
    <n v="0"/>
    <x v="6"/>
  </r>
  <r>
    <x v="7"/>
    <s v="Stina Alm"/>
    <x v="1"/>
    <x v="384"/>
    <x v="384"/>
    <n v="120"/>
    <s v="METRE"/>
    <n v="0"/>
    <n v="0"/>
    <n v="0"/>
    <n v="1760"/>
    <n v="0"/>
    <n v="0"/>
    <n v="0"/>
    <x v="6"/>
    <n v="0"/>
    <x v="6"/>
  </r>
  <r>
    <x v="6"/>
    <s v="Stefan Zaugg"/>
    <x v="1"/>
    <x v="385"/>
    <x v="385"/>
    <n v="2"/>
    <s v="ADET"/>
    <n v="0"/>
    <n v="48"/>
    <n v="2"/>
    <n v="-44"/>
    <n v="0"/>
    <n v="0"/>
    <n v="428.46"/>
    <x v="67"/>
    <n v="856.92"/>
    <x v="4"/>
  </r>
  <r>
    <x v="7"/>
    <s v="Stina Alm"/>
    <x v="1"/>
    <x v="386"/>
    <x v="386"/>
    <n v="0.124"/>
    <s v="M3"/>
    <n v="0"/>
    <n v="0"/>
    <n v="4.5430000000000224"/>
    <n v="1.4260000000000006"/>
    <n v="0"/>
    <n v="27807.000000000011"/>
    <n v="19500"/>
    <x v="91"/>
    <n v="2418"/>
    <x v="8"/>
  </r>
  <r>
    <x v="8"/>
    <s v="Jan Urbanek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2"/>
    <s v="Jan Urbanek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7"/>
    <s v="Stina Alm"/>
    <x v="1"/>
    <x v="379"/>
    <x v="379"/>
    <n v="1"/>
    <s v="ADET"/>
    <n v="0"/>
    <n v="0"/>
    <n v="6.0999999999999979"/>
    <n v="8.8000000000000007"/>
    <n v="5"/>
    <n v="6056.1600000000008"/>
    <n v="688.2"/>
    <x v="35"/>
    <n v="688.2"/>
    <x v="6"/>
  </r>
  <r>
    <x v="6"/>
    <s v="Stefan Zaugg"/>
    <x v="1"/>
    <x v="387"/>
    <x v="387"/>
    <n v="6"/>
    <s v="ADET"/>
    <n v="0"/>
    <n v="2080"/>
    <n v="84"/>
    <n v="-2052"/>
    <n v="0"/>
    <n v="0"/>
    <n v="0.28999999999999998"/>
    <x v="6"/>
    <n v="1.7399999999999998"/>
    <x v="1"/>
  </r>
  <r>
    <x v="8"/>
    <s v="Jan Urbanek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5"/>
    <s v="Matteo Giolo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6"/>
    <s v="Stefan Zaugg"/>
    <x v="1"/>
    <x v="384"/>
    <x v="384"/>
    <n v="20"/>
    <s v="METRE"/>
    <n v="0"/>
    <n v="0"/>
    <n v="0"/>
    <n v="1760"/>
    <n v="0"/>
    <n v="0"/>
    <n v="0"/>
    <x v="6"/>
    <n v="0"/>
    <x v="6"/>
  </r>
  <r>
    <x v="6"/>
    <s v="Stefan Zaugg"/>
    <x v="1"/>
    <x v="386"/>
    <x v="386"/>
    <n v="0.105"/>
    <s v="M3"/>
    <n v="0.105"/>
    <n v="0"/>
    <n v="4.5430000000000224"/>
    <n v="1.4260000000000006"/>
    <n v="0"/>
    <n v="27807.000000000011"/>
    <n v="19500"/>
    <x v="91"/>
    <n v="2047.5"/>
    <x v="8"/>
  </r>
  <r>
    <x v="14"/>
    <s v="Matteo Giolo"/>
    <x v="1"/>
    <x v="350"/>
    <x v="350"/>
    <n v="0.09"/>
    <s v="KG"/>
    <n v="0"/>
    <n v="2.5"/>
    <n v="-6.106226635438361E-16"/>
    <n v="-0.61999999999999944"/>
    <n v="0"/>
    <n v="0"/>
    <n v="2400"/>
    <x v="29"/>
    <n v="216"/>
    <x v="1"/>
  </r>
  <r>
    <x v="12"/>
    <s v="Stefan Zaugg"/>
    <x v="1"/>
    <x v="350"/>
    <x v="350"/>
    <n v="0.06"/>
    <s v="KG"/>
    <n v="0"/>
    <n v="2.5"/>
    <n v="-6.106226635438361E-16"/>
    <n v="-0.61999999999999944"/>
    <n v="0"/>
    <n v="0"/>
    <n v="2400"/>
    <x v="29"/>
    <n v="144"/>
    <x v="1"/>
  </r>
  <r>
    <x v="6"/>
    <s v="Stefan Zaugg"/>
    <x v="1"/>
    <x v="350"/>
    <x v="350"/>
    <n v="0.06"/>
    <s v="KG"/>
    <n v="0"/>
    <n v="2.5"/>
    <n v="-6.106226635438361E-16"/>
    <n v="-0.61999999999999944"/>
    <n v="0"/>
    <n v="0"/>
    <n v="2400"/>
    <x v="29"/>
    <n v="144"/>
    <x v="1"/>
  </r>
  <r>
    <x v="7"/>
    <s v="Stina Alm"/>
    <x v="1"/>
    <x v="350"/>
    <x v="350"/>
    <n v="0.09"/>
    <s v="KG"/>
    <n v="0"/>
    <n v="2.5"/>
    <n v="-6.106226635438361E-16"/>
    <n v="-0.61999999999999944"/>
    <n v="0"/>
    <n v="0"/>
    <n v="2400"/>
    <x v="29"/>
    <n v="216"/>
    <x v="1"/>
  </r>
  <r>
    <x v="1"/>
    <s v="Laurent MONTAGNER"/>
    <x v="1"/>
    <x v="350"/>
    <x v="350"/>
    <n v="0.30000000000000004"/>
    <s v="KG"/>
    <n v="0"/>
    <n v="2.5"/>
    <n v="-6.106226635438361E-16"/>
    <n v="-0.61999999999999944"/>
    <n v="0"/>
    <n v="0"/>
    <n v="2400"/>
    <x v="29"/>
    <n v="720.00000000000011"/>
    <x v="1"/>
  </r>
  <r>
    <x v="1"/>
    <s v="Laurent MONTAGNER"/>
    <x v="1"/>
    <x v="351"/>
    <x v="351"/>
    <n v="1"/>
    <s v="ADET"/>
    <n v="1"/>
    <n v="12"/>
    <n v="3"/>
    <n v="-6"/>
    <n v="0"/>
    <n v="0"/>
    <n v="1723.12"/>
    <x v="67"/>
    <n v="1723.12"/>
    <x v="4"/>
  </r>
  <r>
    <x v="7"/>
    <s v="Stina Alm"/>
    <x v="1"/>
    <x v="351"/>
    <x v="351"/>
    <n v="1"/>
    <s v="ADET"/>
    <n v="0"/>
    <n v="12"/>
    <n v="3"/>
    <n v="-6"/>
    <n v="0"/>
    <n v="0"/>
    <n v="1723.12"/>
    <x v="67"/>
    <n v="1723.12"/>
    <x v="4"/>
  </r>
  <r>
    <x v="0"/>
    <s v="Matteo Giolo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3"/>
    <s v="Jan Urbanek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4"/>
    <s v="Jan Urbanek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8"/>
    <s v="Jan Urbanek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"/>
    <s v="Laurent MONTAGNER"/>
    <x v="1"/>
    <x v="388"/>
    <x v="388"/>
    <n v="1"/>
    <s v="ADET"/>
    <n v="0"/>
    <n v="0"/>
    <n v="0"/>
    <n v="15"/>
    <n v="0"/>
    <n v="0"/>
    <n v="0"/>
    <x v="6"/>
    <n v="0"/>
    <x v="2"/>
  </r>
  <r>
    <x v="7"/>
    <s v="Stina Alm"/>
    <x v="1"/>
    <x v="388"/>
    <x v="388"/>
    <n v="1"/>
    <s v="ADET"/>
    <n v="0"/>
    <n v="0"/>
    <n v="0"/>
    <n v="15"/>
    <n v="0"/>
    <n v="0"/>
    <n v="0"/>
    <x v="6"/>
    <n v="0"/>
    <x v="2"/>
  </r>
  <r>
    <x v="0"/>
    <s v="Matteo Giolo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6"/>
    <s v="Stefan Zaugg"/>
    <x v="1"/>
    <x v="389"/>
    <x v="389"/>
    <n v="1"/>
    <s v="ADET"/>
    <n v="1"/>
    <n v="2"/>
    <n v="2"/>
    <n v="-2"/>
    <n v="0"/>
    <n v="0"/>
    <n v="400"/>
    <x v="92"/>
    <n v="400"/>
    <x v="4"/>
  </r>
  <r>
    <x v="6"/>
    <s v="Stefan Zaugg"/>
    <x v="1"/>
    <x v="352"/>
    <x v="352"/>
    <n v="1"/>
    <s v="ADET"/>
    <n v="1"/>
    <n v="0"/>
    <n v="10"/>
    <n v="9"/>
    <n v="5"/>
    <n v="53946.090000000004"/>
    <n v="5994.01"/>
    <x v="43"/>
    <n v="5994.01"/>
    <x v="7"/>
  </r>
  <r>
    <x v="5"/>
    <s v="Matteo Giolo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8"/>
    <s v="Jan Urbanek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4"/>
    <s v="Jan Urbanek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3"/>
    <s v="Jan Urbanek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4"/>
    <s v="Matteo Giolo"/>
    <x v="1"/>
    <x v="351"/>
    <x v="351"/>
    <n v="1"/>
    <s v="ADET"/>
    <n v="0"/>
    <n v="12"/>
    <n v="3"/>
    <n v="-6"/>
    <n v="0"/>
    <n v="0"/>
    <n v="1723.12"/>
    <x v="67"/>
    <n v="1723.12"/>
    <x v="4"/>
  </r>
  <r>
    <x v="14"/>
    <s v="Matteo Giolo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2"/>
    <s v="Stefan Zaugg"/>
    <x v="1"/>
    <x v="388"/>
    <x v="388"/>
    <n v="1"/>
    <s v="ADET"/>
    <n v="0"/>
    <n v="0"/>
    <n v="0"/>
    <n v="15"/>
    <n v="0"/>
    <n v="0"/>
    <n v="0"/>
    <x v="6"/>
    <n v="0"/>
    <x v="2"/>
  </r>
  <r>
    <x v="14"/>
    <s v="Matteo Giolo"/>
    <x v="1"/>
    <x v="388"/>
    <x v="388"/>
    <n v="1"/>
    <s v="ADET"/>
    <n v="0"/>
    <n v="0"/>
    <n v="0"/>
    <n v="15"/>
    <n v="0"/>
    <n v="0"/>
    <n v="0"/>
    <x v="6"/>
    <n v="0"/>
    <x v="2"/>
  </r>
  <r>
    <x v="3"/>
    <s v="Jan Urbanek"/>
    <x v="1"/>
    <x v="388"/>
    <x v="388"/>
    <n v="1"/>
    <s v="ADET"/>
    <n v="0"/>
    <n v="0"/>
    <n v="0"/>
    <n v="15"/>
    <n v="0"/>
    <n v="0"/>
    <n v="0"/>
    <x v="6"/>
    <n v="0"/>
    <x v="2"/>
  </r>
  <r>
    <x v="4"/>
    <s v="Jan Urbanek"/>
    <x v="1"/>
    <x v="388"/>
    <x v="388"/>
    <n v="1"/>
    <s v="ADET"/>
    <n v="0"/>
    <n v="0"/>
    <n v="0"/>
    <n v="15"/>
    <n v="0"/>
    <n v="0"/>
    <n v="0"/>
    <x v="6"/>
    <n v="0"/>
    <x v="2"/>
  </r>
  <r>
    <x v="2"/>
    <s v="Jan Urbanek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17"/>
    <s v="Soner Kayıkçı"/>
    <x v="1"/>
    <x v="178"/>
    <x v="178"/>
    <n v="12"/>
    <s v="ADET"/>
    <n v="0"/>
    <n v="0"/>
    <n v="0"/>
    <n v="124"/>
    <n v="0"/>
    <n v="217"/>
    <n v="1.75"/>
    <x v="2"/>
    <n v="21"/>
    <x v="1"/>
  </r>
  <r>
    <x v="12"/>
    <s v="Stefan Zaugg"/>
    <x v="1"/>
    <x v="365"/>
    <x v="365"/>
    <n v="1"/>
    <s v="ADET"/>
    <n v="1"/>
    <n v="6"/>
    <n v="8"/>
    <n v="-3"/>
    <n v="10"/>
    <n v="0"/>
    <n v="583.77"/>
    <x v="88"/>
    <n v="583.77"/>
    <x v="1"/>
  </r>
  <r>
    <x v="14"/>
    <s v="Matteo Giolo"/>
    <x v="1"/>
    <x v="365"/>
    <x v="365"/>
    <n v="1"/>
    <s v="ADET"/>
    <n v="0"/>
    <n v="6"/>
    <n v="8"/>
    <n v="-3"/>
    <n v="10"/>
    <n v="0"/>
    <n v="583.77"/>
    <x v="88"/>
    <n v="583.77"/>
    <x v="1"/>
  </r>
  <r>
    <x v="12"/>
    <s v="Stefan Zaugg"/>
    <x v="1"/>
    <x v="366"/>
    <x v="366"/>
    <n v="2"/>
    <s v="ADET"/>
    <n v="2"/>
    <n v="20.5"/>
    <n v="5"/>
    <n v="-9.5"/>
    <n v="0"/>
    <n v="0"/>
    <n v="175"/>
    <x v="56"/>
    <n v="350"/>
    <x v="1"/>
  </r>
  <r>
    <x v="14"/>
    <s v="Matteo Giolo"/>
    <x v="1"/>
    <x v="367"/>
    <x v="367"/>
    <n v="1"/>
    <s v="ADET"/>
    <n v="0"/>
    <n v="14"/>
    <n v="15"/>
    <n v="-1"/>
    <n v="0"/>
    <n v="0"/>
    <n v="400"/>
    <x v="86"/>
    <n v="400"/>
    <x v="2"/>
  </r>
  <r>
    <x v="11"/>
    <s v="Jan Urbanek"/>
    <x v="1"/>
    <x v="367"/>
    <x v="367"/>
    <n v="1"/>
    <s v="ADET"/>
    <n v="0"/>
    <n v="14"/>
    <n v="15"/>
    <n v="-1"/>
    <n v="0"/>
    <n v="0"/>
    <n v="400"/>
    <x v="86"/>
    <n v="400"/>
    <x v="2"/>
  </r>
  <r>
    <x v="11"/>
    <s v="Jan Urbanek"/>
    <x v="1"/>
    <x v="368"/>
    <x v="368"/>
    <n v="2"/>
    <s v="ADET"/>
    <n v="0"/>
    <n v="0"/>
    <n v="0"/>
    <n v="14"/>
    <n v="0"/>
    <n v="0"/>
    <n v="0"/>
    <x v="6"/>
    <n v="0"/>
    <x v="7"/>
  </r>
  <r>
    <x v="11"/>
    <s v="Jan Urbanek"/>
    <x v="1"/>
    <x v="373"/>
    <x v="373"/>
    <n v="1"/>
    <s v="ADET"/>
    <n v="0"/>
    <n v="11"/>
    <n v="4"/>
    <n v="-4"/>
    <n v="0"/>
    <n v="0"/>
    <n v="1678.88"/>
    <x v="67"/>
    <n v="1678.88"/>
    <x v="4"/>
  </r>
  <r>
    <x v="11"/>
    <s v="Jan Urbanek"/>
    <x v="1"/>
    <x v="375"/>
    <x v="375"/>
    <n v="6"/>
    <s v="ADET"/>
    <n v="0"/>
    <n v="0"/>
    <n v="0"/>
    <n v="42"/>
    <n v="0"/>
    <n v="15.12"/>
    <n v="0.36"/>
    <x v="5"/>
    <n v="2.16"/>
    <x v="1"/>
  </r>
  <r>
    <x v="4"/>
    <s v="Jan Urbanek"/>
    <x v="1"/>
    <x v="366"/>
    <x v="366"/>
    <n v="1"/>
    <s v="ADET"/>
    <n v="0"/>
    <n v="20.5"/>
    <n v="5"/>
    <n v="-9.5"/>
    <n v="0"/>
    <n v="0"/>
    <n v="175"/>
    <x v="56"/>
    <n v="175"/>
    <x v="1"/>
  </r>
  <r>
    <x v="2"/>
    <s v="Jan Urbanek"/>
    <x v="1"/>
    <x v="367"/>
    <x v="367"/>
    <n v="1"/>
    <s v="ADET"/>
    <n v="0"/>
    <n v="14"/>
    <n v="15"/>
    <n v="-1"/>
    <n v="0"/>
    <n v="0"/>
    <n v="400"/>
    <x v="86"/>
    <n v="400"/>
    <x v="2"/>
  </r>
  <r>
    <x v="2"/>
    <s v="Jan Urbanek"/>
    <x v="1"/>
    <x v="368"/>
    <x v="368"/>
    <n v="2"/>
    <s v="ADET"/>
    <n v="0"/>
    <n v="0"/>
    <n v="0"/>
    <n v="14"/>
    <n v="0"/>
    <n v="0"/>
    <n v="0"/>
    <x v="6"/>
    <n v="0"/>
    <x v="7"/>
  </r>
  <r>
    <x v="2"/>
    <s v="Jan Urbanek"/>
    <x v="1"/>
    <x v="373"/>
    <x v="373"/>
    <n v="1"/>
    <s v="ADET"/>
    <n v="0"/>
    <n v="11"/>
    <n v="4"/>
    <n v="-4"/>
    <n v="0"/>
    <n v="0"/>
    <n v="1678.88"/>
    <x v="67"/>
    <n v="1678.88"/>
    <x v="4"/>
  </r>
  <r>
    <x v="4"/>
    <s v="Jan Urbanek"/>
    <x v="1"/>
    <x v="374"/>
    <x v="374"/>
    <n v="1"/>
    <s v="ADET"/>
    <n v="0"/>
    <n v="8"/>
    <n v="9"/>
    <n v="-31"/>
    <n v="36"/>
    <n v="0"/>
    <n v="101.4"/>
    <x v="90"/>
    <n v="101.4"/>
    <x v="7"/>
  </r>
  <r>
    <x v="6"/>
    <s v="Stefan Zaugg"/>
    <x v="1"/>
    <x v="373"/>
    <x v="373"/>
    <n v="1"/>
    <s v="ADET"/>
    <n v="0"/>
    <n v="11"/>
    <n v="4"/>
    <n v="-4"/>
    <n v="0"/>
    <n v="0"/>
    <n v="1678.88"/>
    <x v="67"/>
    <n v="1678.88"/>
    <x v="4"/>
  </r>
  <r>
    <x v="10"/>
    <s v="Murat Taşdemir"/>
    <x v="1"/>
    <x v="365"/>
    <x v="365"/>
    <n v="1"/>
    <s v="ADET"/>
    <n v="0"/>
    <n v="6"/>
    <n v="8"/>
    <n v="-3"/>
    <n v="10"/>
    <n v="0"/>
    <n v="583.77"/>
    <x v="88"/>
    <n v="583.77"/>
    <x v="1"/>
  </r>
  <r>
    <x v="10"/>
    <s v="Murat Taşdemir"/>
    <x v="1"/>
    <x v="367"/>
    <x v="367"/>
    <n v="1"/>
    <s v="ADET"/>
    <n v="0"/>
    <n v="14"/>
    <n v="15"/>
    <n v="-1"/>
    <n v="0"/>
    <n v="0"/>
    <n v="400"/>
    <x v="86"/>
    <n v="400"/>
    <x v="2"/>
  </r>
  <r>
    <x v="5"/>
    <s v="Matteo Giolo"/>
    <x v="1"/>
    <x v="311"/>
    <x v="311"/>
    <n v="5"/>
    <s v="METRE"/>
    <n v="0"/>
    <n v="0"/>
    <n v="165"/>
    <n v="-289"/>
    <n v="400"/>
    <n v="0"/>
    <n v="5"/>
    <x v="49"/>
    <n v="25"/>
    <x v="1"/>
  </r>
  <r>
    <x v="2"/>
    <s v="Jan Urbanek"/>
    <x v="1"/>
    <x v="256"/>
    <x v="256"/>
    <n v="3"/>
    <s v="ADET"/>
    <n v="0"/>
    <n v="228"/>
    <n v="0"/>
    <n v="-186"/>
    <n v="0"/>
    <n v="0"/>
    <n v="6"/>
    <x v="18"/>
    <n v="18"/>
    <x v="1"/>
  </r>
  <r>
    <x v="3"/>
    <s v="Jan Urbanek"/>
    <x v="1"/>
    <x v="256"/>
    <x v="256"/>
    <n v="2"/>
    <s v="ADET"/>
    <n v="0"/>
    <n v="228"/>
    <n v="0"/>
    <n v="-186"/>
    <n v="0"/>
    <n v="0"/>
    <n v="6"/>
    <x v="18"/>
    <n v="12"/>
    <x v="1"/>
  </r>
  <r>
    <x v="4"/>
    <s v="Jan Urbanek"/>
    <x v="1"/>
    <x v="256"/>
    <x v="256"/>
    <n v="3"/>
    <s v="ADET"/>
    <n v="0"/>
    <n v="228"/>
    <n v="0"/>
    <n v="-186"/>
    <n v="0"/>
    <n v="0"/>
    <n v="6"/>
    <x v="18"/>
    <n v="18"/>
    <x v="1"/>
  </r>
  <r>
    <x v="2"/>
    <s v="Jan Urbanek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3"/>
    <s v="Jan Urbanek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16"/>
    <s v="Laurent MONTAGNER"/>
    <x v="1"/>
    <x v="158"/>
    <x v="158"/>
    <n v="1"/>
    <s v="METRE"/>
    <n v="0"/>
    <n v="0"/>
    <n v="3.0000000000000142"/>
    <n v="11"/>
    <n v="0"/>
    <n v="5399.35"/>
    <n v="490.85"/>
    <x v="57"/>
    <n v="490.85"/>
    <x v="6"/>
  </r>
  <r>
    <x v="17"/>
    <s v="Soner Kayıkçı"/>
    <x v="1"/>
    <x v="158"/>
    <x v="158"/>
    <n v="3"/>
    <s v="METRE"/>
    <n v="0"/>
    <n v="0"/>
    <n v="3.0000000000000142"/>
    <n v="11"/>
    <n v="0"/>
    <n v="5399.35"/>
    <n v="490.85"/>
    <x v="57"/>
    <n v="1472.5500000000002"/>
    <x v="6"/>
  </r>
  <r>
    <x v="16"/>
    <s v="Laurent MONTAGNER"/>
    <x v="1"/>
    <x v="162"/>
    <x v="162"/>
    <n v="0.23"/>
    <s v="METRE"/>
    <n v="0"/>
    <n v="52"/>
    <n v="38.61999999999999"/>
    <n v="-47.39"/>
    <n v="0"/>
    <n v="0"/>
    <n v="126.36"/>
    <x v="59"/>
    <n v="29.062800000000003"/>
    <x v="4"/>
  </r>
  <r>
    <x v="0"/>
    <s v="Matteo Giolo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0"/>
    <s v="Matteo Giolo"/>
    <x v="1"/>
    <x v="310"/>
    <x v="310"/>
    <n v="16"/>
    <s v="ADET"/>
    <n v="0"/>
    <n v="150"/>
    <n v="0"/>
    <n v="194"/>
    <n v="0"/>
    <n v="5383.5"/>
    <n v="27.75"/>
    <x v="82"/>
    <n v="444"/>
    <x v="6"/>
  </r>
  <r>
    <x v="5"/>
    <s v="Matteo Giolo"/>
    <x v="1"/>
    <x v="371"/>
    <x v="371"/>
    <n v="20"/>
    <s v="ADET"/>
    <n v="0"/>
    <n v="574"/>
    <n v="98"/>
    <n v="-260"/>
    <n v="0"/>
    <n v="0"/>
    <n v="6.67"/>
    <x v="89"/>
    <n v="133.4"/>
    <x v="7"/>
  </r>
  <r>
    <x v="0"/>
    <s v="Matteo Giolo"/>
    <x v="1"/>
    <x v="390"/>
    <x v="390"/>
    <n v="2"/>
    <s v="ADET"/>
    <n v="0"/>
    <n v="9"/>
    <n v="6"/>
    <n v="11"/>
    <n v="0"/>
    <n v="831.71"/>
    <n v="75.61"/>
    <x v="67"/>
    <n v="151.22"/>
    <x v="2"/>
  </r>
  <r>
    <x v="3"/>
    <s v="Jan Urbanek"/>
    <x v="1"/>
    <x v="358"/>
    <x v="358"/>
    <n v="16"/>
    <s v="KG"/>
    <n v="0"/>
    <n v="63"/>
    <n v="1.4210854715202004E-14"/>
    <n v="133"/>
    <n v="0"/>
    <n v="146019.37000000002"/>
    <n v="1097.8900000000001"/>
    <x v="81"/>
    <n v="17566.240000000002"/>
    <x v="3"/>
  </r>
  <r>
    <x v="2"/>
    <s v="Jan Urbanek"/>
    <x v="1"/>
    <x v="358"/>
    <x v="358"/>
    <n v="16"/>
    <s v="KG"/>
    <n v="0"/>
    <n v="63"/>
    <n v="1.4210854715202004E-14"/>
    <n v="133"/>
    <n v="0"/>
    <n v="146019.37000000002"/>
    <n v="1097.8900000000001"/>
    <x v="81"/>
    <n v="17566.240000000002"/>
    <x v="3"/>
  </r>
  <r>
    <x v="8"/>
    <s v="Jan Urbanek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4"/>
    <s v="Jan Urbanek"/>
    <x v="1"/>
    <x v="391"/>
    <x v="391"/>
    <n v="1"/>
    <s v="ADET"/>
    <n v="1"/>
    <n v="6"/>
    <n v="3"/>
    <n v="-6"/>
    <n v="0"/>
    <n v="0"/>
    <n v="12124.73"/>
    <x v="65"/>
    <n v="12124.73"/>
    <x v="2"/>
  </r>
  <r>
    <x v="4"/>
    <s v="Jan Urbanek"/>
    <x v="1"/>
    <x v="360"/>
    <x v="360"/>
    <n v="2"/>
    <s v="ADET"/>
    <n v="0"/>
    <n v="0"/>
    <n v="0"/>
    <n v="24"/>
    <n v="0"/>
    <n v="21.12"/>
    <n v="0.88"/>
    <x v="68"/>
    <n v="1.76"/>
    <x v="7"/>
  </r>
  <r>
    <x v="3"/>
    <s v="Jan Urbanek"/>
    <x v="1"/>
    <x v="360"/>
    <x v="360"/>
    <n v="4"/>
    <s v="ADET"/>
    <n v="0"/>
    <n v="0"/>
    <n v="0"/>
    <n v="24"/>
    <n v="0"/>
    <n v="21.12"/>
    <n v="0.88"/>
    <x v="68"/>
    <n v="3.52"/>
    <x v="7"/>
  </r>
  <r>
    <x v="0"/>
    <s v="Matteo Giolo"/>
    <x v="1"/>
    <x v="358"/>
    <x v="358"/>
    <n v="16"/>
    <s v="KG"/>
    <n v="0"/>
    <n v="63"/>
    <n v="1.4210854715202004E-14"/>
    <n v="133"/>
    <n v="0"/>
    <n v="146019.37000000002"/>
    <n v="1097.8900000000001"/>
    <x v="81"/>
    <n v="17566.240000000002"/>
    <x v="3"/>
  </r>
  <r>
    <x v="1"/>
    <s v="Laurent MONTAGNER"/>
    <x v="1"/>
    <x v="358"/>
    <x v="358"/>
    <n v="18"/>
    <s v="KG"/>
    <n v="0"/>
    <n v="63"/>
    <n v="1.4210854715202004E-14"/>
    <n v="133"/>
    <n v="0"/>
    <n v="146019.37000000002"/>
    <n v="1097.8900000000001"/>
    <x v="81"/>
    <n v="19762.02"/>
    <x v="3"/>
  </r>
  <r>
    <x v="7"/>
    <s v="Stina Alm"/>
    <x v="1"/>
    <x v="361"/>
    <x v="361"/>
    <n v="12"/>
    <s v="METRE"/>
    <n v="0"/>
    <n v="100"/>
    <n v="84"/>
    <n v="-32"/>
    <n v="0"/>
    <n v="0"/>
    <n v="14.85"/>
    <x v="23"/>
    <n v="178.2"/>
    <x v="7"/>
  </r>
  <r>
    <x v="0"/>
    <s v="Matteo Giolo"/>
    <x v="1"/>
    <x v="360"/>
    <x v="360"/>
    <n v="6"/>
    <s v="ADET"/>
    <n v="0"/>
    <n v="0"/>
    <n v="0"/>
    <n v="24"/>
    <n v="0"/>
    <n v="21.12"/>
    <n v="0.88"/>
    <x v="68"/>
    <n v="5.28"/>
    <x v="7"/>
  </r>
  <r>
    <x v="0"/>
    <s v="Matteo Giolo"/>
    <x v="1"/>
    <x v="362"/>
    <x v="362"/>
    <n v="1"/>
    <s v="ADET"/>
    <n v="0"/>
    <n v="12"/>
    <n v="14"/>
    <n v="2"/>
    <n v="0"/>
    <n v="233.34"/>
    <n v="116.67"/>
    <x v="86"/>
    <n v="116.67"/>
    <x v="2"/>
  </r>
  <r>
    <x v="0"/>
    <s v="Matteo Giolo"/>
    <x v="1"/>
    <x v="371"/>
    <x v="371"/>
    <n v="14"/>
    <s v="ADET"/>
    <n v="0"/>
    <n v="574"/>
    <n v="98"/>
    <n v="-260"/>
    <n v="0"/>
    <n v="0"/>
    <n v="6.67"/>
    <x v="89"/>
    <n v="93.38"/>
    <x v="7"/>
  </r>
  <r>
    <x v="5"/>
    <s v="Matteo Giolo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10"/>
    <s v="Murat Taşdemir"/>
    <x v="1"/>
    <x v="370"/>
    <x v="370"/>
    <n v="1"/>
    <s v="ADET"/>
    <n v="0"/>
    <n v="6"/>
    <n v="7"/>
    <n v="-3"/>
    <n v="10"/>
    <n v="0"/>
    <n v="750"/>
    <x v="38"/>
    <n v="750"/>
    <x v="4"/>
  </r>
  <r>
    <x v="13"/>
    <s v="Volkan Batkan"/>
    <x v="1"/>
    <x v="371"/>
    <x v="371"/>
    <n v="20"/>
    <s v="ADET"/>
    <n v="0"/>
    <n v="574"/>
    <n v="98"/>
    <n v="-260"/>
    <n v="0"/>
    <n v="0"/>
    <n v="6.67"/>
    <x v="89"/>
    <n v="133.4"/>
    <x v="7"/>
  </r>
  <r>
    <x v="15"/>
    <s v="Hayriye Güven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11"/>
    <s v="Jan Urbanek"/>
    <x v="1"/>
    <x v="390"/>
    <x v="390"/>
    <n v="2"/>
    <s v="ADET"/>
    <n v="0"/>
    <n v="9"/>
    <n v="6"/>
    <n v="11"/>
    <n v="0"/>
    <n v="831.71"/>
    <n v="75.61"/>
    <x v="67"/>
    <n v="151.22"/>
    <x v="2"/>
  </r>
  <r>
    <x v="8"/>
    <s v="Jan Urbanek"/>
    <x v="1"/>
    <x v="362"/>
    <x v="362"/>
    <n v="1"/>
    <s v="ADET"/>
    <n v="0"/>
    <n v="12"/>
    <n v="14"/>
    <n v="2"/>
    <n v="0"/>
    <n v="233.34"/>
    <n v="116.67"/>
    <x v="86"/>
    <n v="116.67"/>
    <x v="2"/>
  </r>
  <r>
    <x v="8"/>
    <s v="Jan Urbanek"/>
    <x v="1"/>
    <x v="371"/>
    <x v="371"/>
    <n v="14"/>
    <s v="ADET"/>
    <n v="0"/>
    <n v="574"/>
    <n v="98"/>
    <n v="-260"/>
    <n v="0"/>
    <n v="0"/>
    <n v="6.67"/>
    <x v="89"/>
    <n v="93.38"/>
    <x v="7"/>
  </r>
  <r>
    <x v="18"/>
    <s v="Stina Alm"/>
    <x v="1"/>
    <x v="67"/>
    <x v="67"/>
    <n v="5.5"/>
    <s v="METRE"/>
    <n v="0"/>
    <n v="200"/>
    <n v="39.999999999999773"/>
    <n v="-58.699999999999989"/>
    <n v="0"/>
    <n v="0"/>
    <n v="22.5"/>
    <x v="17"/>
    <n v="123.75"/>
    <x v="4"/>
  </r>
  <r>
    <x v="19"/>
    <s v="Laurent MONTAGNER"/>
    <x v="1"/>
    <x v="67"/>
    <x v="67"/>
    <n v="10"/>
    <s v="METRE"/>
    <n v="0"/>
    <n v="200"/>
    <n v="39.999999999999773"/>
    <n v="-58.699999999999989"/>
    <n v="0"/>
    <n v="0"/>
    <n v="22.5"/>
    <x v="17"/>
    <n v="225"/>
    <x v="4"/>
  </r>
  <r>
    <x v="18"/>
    <s v="Stina Alm"/>
    <x v="1"/>
    <x v="71"/>
    <x v="71"/>
    <n v="2"/>
    <s v="ADET"/>
    <n v="0"/>
    <n v="40"/>
    <n v="18"/>
    <n v="-14"/>
    <n v="0"/>
    <n v="0"/>
    <n v="55"/>
    <x v="23"/>
    <n v="110"/>
    <x v="7"/>
  </r>
  <r>
    <x v="17"/>
    <s v="Soner Kayıkçı"/>
    <x v="1"/>
    <x v="71"/>
    <x v="71"/>
    <n v="2"/>
    <s v="ADET"/>
    <n v="0"/>
    <n v="40"/>
    <n v="18"/>
    <n v="-14"/>
    <n v="0"/>
    <n v="0"/>
    <n v="55"/>
    <x v="23"/>
    <n v="110"/>
    <x v="7"/>
  </r>
  <r>
    <x v="18"/>
    <s v="Stina Alm"/>
    <x v="1"/>
    <x v="166"/>
    <x v="166"/>
    <n v="1"/>
    <s v="ADET"/>
    <n v="0"/>
    <n v="52"/>
    <n v="2"/>
    <n v="-33"/>
    <n v="0"/>
    <n v="0"/>
    <n v="34"/>
    <x v="2"/>
    <n v="34"/>
    <x v="4"/>
  </r>
  <r>
    <x v="19"/>
    <s v="Laurent MONTAGNER"/>
    <x v="1"/>
    <x v="166"/>
    <x v="166"/>
    <n v="1"/>
    <s v="ADET"/>
    <n v="0"/>
    <n v="52"/>
    <n v="2"/>
    <n v="-33"/>
    <n v="0"/>
    <n v="0"/>
    <n v="34"/>
    <x v="2"/>
    <n v="34"/>
    <x v="4"/>
  </r>
  <r>
    <x v="18"/>
    <s v="Stina Alm"/>
    <x v="1"/>
    <x v="72"/>
    <x v="72"/>
    <n v="1"/>
    <s v="ADET"/>
    <n v="0"/>
    <n v="0"/>
    <n v="246"/>
    <n v="7"/>
    <n v="0"/>
    <n v="37.94"/>
    <n v="5.42"/>
    <x v="1"/>
    <n v="5.42"/>
    <x v="1"/>
  </r>
  <r>
    <x v="0"/>
    <s v="Matteo Giolo"/>
    <x v="1"/>
    <x v="311"/>
    <x v="311"/>
    <n v="5"/>
    <s v="METRE"/>
    <n v="0"/>
    <n v="0"/>
    <n v="165"/>
    <n v="-289"/>
    <n v="400"/>
    <n v="0"/>
    <n v="5"/>
    <x v="49"/>
    <n v="25"/>
    <x v="1"/>
  </r>
  <r>
    <x v="0"/>
    <s v="Matteo Giolo"/>
    <x v="1"/>
    <x v="392"/>
    <x v="392"/>
    <n v="30"/>
    <s v="ADET"/>
    <n v="0"/>
    <n v="880"/>
    <n v="414"/>
    <n v="-82"/>
    <n v="0"/>
    <n v="0"/>
    <n v="2.1"/>
    <x v="2"/>
    <n v="63"/>
    <x v="1"/>
  </r>
  <r>
    <x v="8"/>
    <s v="Jan Urbanek"/>
    <x v="1"/>
    <x v="256"/>
    <x v="256"/>
    <n v="3"/>
    <s v="ADET"/>
    <n v="0"/>
    <n v="228"/>
    <n v="0"/>
    <n v="-186"/>
    <n v="0"/>
    <n v="0"/>
    <n v="6"/>
    <x v="18"/>
    <n v="18"/>
    <x v="1"/>
  </r>
  <r>
    <x v="8"/>
    <s v="Jan Urbanek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8"/>
    <s v="Jan Urbanek"/>
    <x v="0"/>
    <x v="393"/>
    <x v="393"/>
    <n v="1"/>
    <s v="ADET"/>
    <n v="0"/>
    <n v="26"/>
    <n v="3"/>
    <n v="-20"/>
    <n v="0"/>
    <n v="0"/>
    <n v="2800"/>
    <x v="93"/>
    <n v="2800"/>
    <x v="2"/>
  </r>
  <r>
    <x v="8"/>
    <s v="Jan Urbanek"/>
    <x v="1"/>
    <x v="310"/>
    <x v="310"/>
    <n v="16"/>
    <s v="ADET"/>
    <n v="0"/>
    <n v="150"/>
    <n v="0"/>
    <n v="194"/>
    <n v="0"/>
    <n v="5383.5"/>
    <n v="27.75"/>
    <x v="82"/>
    <n v="444"/>
    <x v="6"/>
  </r>
  <r>
    <x v="8"/>
    <s v="Jan Urbanek"/>
    <x v="1"/>
    <x v="311"/>
    <x v="311"/>
    <n v="9"/>
    <s v="METRE"/>
    <n v="0"/>
    <n v="0"/>
    <n v="165"/>
    <n v="-289"/>
    <n v="400"/>
    <n v="0"/>
    <n v="5"/>
    <x v="49"/>
    <n v="45"/>
    <x v="1"/>
  </r>
  <r>
    <x v="8"/>
    <s v="Jan Urbanek"/>
    <x v="1"/>
    <x v="392"/>
    <x v="392"/>
    <n v="44"/>
    <s v="ADET"/>
    <n v="0"/>
    <n v="880"/>
    <n v="414"/>
    <n v="-82"/>
    <n v="0"/>
    <n v="0"/>
    <n v="2.1"/>
    <x v="2"/>
    <n v="92.4"/>
    <x v="1"/>
  </r>
  <r>
    <x v="6"/>
    <s v="Stefan Zaugg"/>
    <x v="1"/>
    <x v="312"/>
    <x v="312"/>
    <n v="8"/>
    <s v="ADET"/>
    <n v="0"/>
    <n v="148"/>
    <n v="59"/>
    <n v="-33"/>
    <n v="0"/>
    <n v="0"/>
    <n v="24.17"/>
    <x v="1"/>
    <n v="193.36"/>
    <x v="1"/>
  </r>
  <r>
    <x v="5"/>
    <s v="Matteo Giolo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7"/>
    <s v="Stina Alm"/>
    <x v="0"/>
    <x v="393"/>
    <x v="393"/>
    <n v="1"/>
    <s v="ADET"/>
    <n v="0"/>
    <n v="26"/>
    <n v="3"/>
    <n v="-20"/>
    <n v="0"/>
    <n v="0"/>
    <n v="2800"/>
    <x v="93"/>
    <n v="2800"/>
    <x v="2"/>
  </r>
  <r>
    <x v="1"/>
    <s v="Laurent MONTAGNER"/>
    <x v="1"/>
    <x v="311"/>
    <x v="311"/>
    <n v="5"/>
    <s v="METRE"/>
    <n v="0"/>
    <n v="0"/>
    <n v="165"/>
    <n v="-289"/>
    <n v="400"/>
    <n v="0"/>
    <n v="5"/>
    <x v="49"/>
    <n v="25"/>
    <x v="1"/>
  </r>
  <r>
    <x v="6"/>
    <s v="Stefan Zaugg"/>
    <x v="1"/>
    <x v="392"/>
    <x v="392"/>
    <n v="30"/>
    <s v="ADET"/>
    <n v="0"/>
    <n v="880"/>
    <n v="414"/>
    <n v="-82"/>
    <n v="0"/>
    <n v="0"/>
    <n v="2.1"/>
    <x v="2"/>
    <n v="63"/>
    <x v="1"/>
  </r>
  <r>
    <x v="5"/>
    <s v="Matteo Giolo"/>
    <x v="1"/>
    <x v="392"/>
    <x v="392"/>
    <n v="40"/>
    <s v="ADET"/>
    <n v="0"/>
    <n v="880"/>
    <n v="414"/>
    <n v="-82"/>
    <n v="0"/>
    <n v="0"/>
    <n v="2.1"/>
    <x v="2"/>
    <n v="84"/>
    <x v="1"/>
  </r>
  <r>
    <x v="3"/>
    <s v="Jan Urbanek"/>
    <x v="1"/>
    <x v="310"/>
    <x v="310"/>
    <n v="16"/>
    <s v="ADET"/>
    <n v="0"/>
    <n v="150"/>
    <n v="0"/>
    <n v="194"/>
    <n v="0"/>
    <n v="5383.5"/>
    <n v="27.75"/>
    <x v="82"/>
    <n v="444"/>
    <x v="6"/>
  </r>
  <r>
    <x v="4"/>
    <s v="Jan Urbanek"/>
    <x v="1"/>
    <x v="310"/>
    <x v="310"/>
    <n v="16"/>
    <s v="ADET"/>
    <n v="0"/>
    <n v="150"/>
    <n v="0"/>
    <n v="194"/>
    <n v="0"/>
    <n v="5383.5"/>
    <n v="27.75"/>
    <x v="82"/>
    <n v="444"/>
    <x v="6"/>
  </r>
  <r>
    <x v="2"/>
    <s v="Jan Urbanek"/>
    <x v="1"/>
    <x v="311"/>
    <x v="311"/>
    <n v="5"/>
    <s v="METRE"/>
    <n v="0"/>
    <n v="0"/>
    <n v="165"/>
    <n v="-289"/>
    <n v="400"/>
    <n v="0"/>
    <n v="5"/>
    <x v="49"/>
    <n v="25"/>
    <x v="1"/>
  </r>
  <r>
    <x v="4"/>
    <s v="Jan Urbanek"/>
    <x v="0"/>
    <x v="393"/>
    <x v="393"/>
    <n v="1"/>
    <s v="ADET"/>
    <n v="0"/>
    <n v="26"/>
    <n v="3"/>
    <n v="-20"/>
    <n v="0"/>
    <n v="0"/>
    <n v="2800"/>
    <x v="93"/>
    <n v="2800"/>
    <x v="2"/>
  </r>
  <r>
    <x v="2"/>
    <s v="Jan Urbanek"/>
    <x v="1"/>
    <x v="310"/>
    <x v="310"/>
    <n v="16"/>
    <s v="ADET"/>
    <n v="0"/>
    <n v="150"/>
    <n v="0"/>
    <n v="194"/>
    <n v="0"/>
    <n v="5383.5"/>
    <n v="27.75"/>
    <x v="82"/>
    <n v="444"/>
    <x v="6"/>
  </r>
  <r>
    <x v="3"/>
    <s v="Jan Urbanek"/>
    <x v="1"/>
    <x v="311"/>
    <x v="311"/>
    <n v="5"/>
    <s v="METRE"/>
    <n v="0"/>
    <n v="0"/>
    <n v="165"/>
    <n v="-289"/>
    <n v="400"/>
    <n v="0"/>
    <n v="5"/>
    <x v="49"/>
    <n v="25"/>
    <x v="1"/>
  </r>
  <r>
    <x v="4"/>
    <s v="Jan Urbanek"/>
    <x v="1"/>
    <x v="311"/>
    <x v="311"/>
    <n v="9"/>
    <s v="METRE"/>
    <n v="0"/>
    <n v="0"/>
    <n v="165"/>
    <n v="-289"/>
    <n v="400"/>
    <n v="0"/>
    <n v="5"/>
    <x v="49"/>
    <n v="45"/>
    <x v="1"/>
  </r>
  <r>
    <x v="2"/>
    <s v="Jan Urbanek"/>
    <x v="1"/>
    <x v="392"/>
    <x v="392"/>
    <n v="38"/>
    <s v="ADET"/>
    <n v="0"/>
    <n v="880"/>
    <n v="414"/>
    <n v="-82"/>
    <n v="0"/>
    <n v="0"/>
    <n v="2.1"/>
    <x v="2"/>
    <n v="79.8"/>
    <x v="1"/>
  </r>
  <r>
    <x v="3"/>
    <s v="Jan Urbanek"/>
    <x v="1"/>
    <x v="392"/>
    <x v="392"/>
    <n v="38"/>
    <s v="ADET"/>
    <n v="0"/>
    <n v="880"/>
    <n v="414"/>
    <n v="-82"/>
    <n v="0"/>
    <n v="0"/>
    <n v="2.1"/>
    <x v="2"/>
    <n v="79.8"/>
    <x v="1"/>
  </r>
  <r>
    <x v="1"/>
    <s v="Laurent MONTAGNER"/>
    <x v="1"/>
    <x v="392"/>
    <x v="392"/>
    <n v="52"/>
    <s v="ADET"/>
    <n v="0"/>
    <n v="880"/>
    <n v="414"/>
    <n v="-82"/>
    <n v="0"/>
    <n v="0"/>
    <n v="2.1"/>
    <x v="2"/>
    <n v="109.2"/>
    <x v="1"/>
  </r>
  <r>
    <x v="2"/>
    <s v="Jan Urbanek"/>
    <x v="1"/>
    <x v="394"/>
    <x v="394"/>
    <n v="1"/>
    <s v="ADET"/>
    <n v="0"/>
    <n v="2"/>
    <n v="8"/>
    <n v="5"/>
    <n v="3"/>
    <n v="30287.5"/>
    <n v="6057.5"/>
    <x v="43"/>
    <n v="6057.5"/>
    <x v="7"/>
  </r>
  <r>
    <x v="2"/>
    <s v="Jan Urbanek"/>
    <x v="1"/>
    <x v="395"/>
    <x v="395"/>
    <n v="4"/>
    <s v="ADET"/>
    <n v="0"/>
    <n v="46"/>
    <n v="12"/>
    <n v="-14"/>
    <n v="0"/>
    <n v="0"/>
    <n v="100"/>
    <x v="92"/>
    <n v="400"/>
    <x v="2"/>
  </r>
  <r>
    <x v="4"/>
    <s v="Jan Urbanek"/>
    <x v="1"/>
    <x v="395"/>
    <x v="395"/>
    <n v="4"/>
    <s v="ADET"/>
    <n v="0"/>
    <n v="46"/>
    <n v="12"/>
    <n v="-14"/>
    <n v="0"/>
    <n v="0"/>
    <n v="100"/>
    <x v="92"/>
    <n v="400"/>
    <x v="2"/>
  </r>
  <r>
    <x v="11"/>
    <s v="Jan Urbanek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5"/>
    <s v="Matteo Giolo"/>
    <x v="1"/>
    <x v="396"/>
    <x v="396"/>
    <n v="105"/>
    <s v="ADET"/>
    <n v="0"/>
    <n v="7500"/>
    <n v="0"/>
    <n v="-5570"/>
    <n v="0"/>
    <n v="0"/>
    <n v="0.8"/>
    <x v="23"/>
    <n v="84"/>
    <x v="1"/>
  </r>
  <r>
    <x v="1"/>
    <s v="Laurent MONTAGNER"/>
    <x v="1"/>
    <x v="396"/>
    <x v="396"/>
    <n v="80"/>
    <s v="ADET"/>
    <n v="0"/>
    <n v="7500"/>
    <n v="0"/>
    <n v="-5570"/>
    <n v="0"/>
    <n v="0"/>
    <n v="0.8"/>
    <x v="23"/>
    <n v="64"/>
    <x v="1"/>
  </r>
  <r>
    <x v="5"/>
    <s v="Matteo Giolo"/>
    <x v="1"/>
    <x v="397"/>
    <x v="397"/>
    <n v="3.38"/>
    <s v="ADET"/>
    <n v="0"/>
    <n v="46"/>
    <n v="85.879999999999981"/>
    <n v="-11.119999999999997"/>
    <n v="0"/>
    <n v="0"/>
    <n v="55"/>
    <x v="2"/>
    <n v="185.9"/>
    <x v="1"/>
  </r>
  <r>
    <x v="17"/>
    <s v="Soner Kayıkçı"/>
    <x v="1"/>
    <x v="70"/>
    <x v="70"/>
    <n v="4"/>
    <s v="ADET"/>
    <n v="0"/>
    <n v="100"/>
    <n v="138"/>
    <n v="-84"/>
    <n v="0"/>
    <n v="0"/>
    <n v="8"/>
    <x v="5"/>
    <n v="32"/>
    <x v="4"/>
  </r>
  <r>
    <x v="16"/>
    <s v="Laurent MONTAGNER"/>
    <x v="1"/>
    <x v="67"/>
    <x v="67"/>
    <n v="5.65"/>
    <s v="METRE"/>
    <n v="0"/>
    <n v="200"/>
    <n v="39.999999999999773"/>
    <n v="-58.699999999999989"/>
    <n v="0"/>
    <n v="0"/>
    <n v="22.5"/>
    <x v="17"/>
    <n v="127.12500000000001"/>
    <x v="4"/>
  </r>
  <r>
    <x v="16"/>
    <s v="Laurent MONTAGNER"/>
    <x v="1"/>
    <x v="71"/>
    <x v="71"/>
    <n v="2"/>
    <s v="ADET"/>
    <n v="0"/>
    <n v="40"/>
    <n v="18"/>
    <n v="-14"/>
    <n v="0"/>
    <n v="0"/>
    <n v="55"/>
    <x v="23"/>
    <n v="110"/>
    <x v="7"/>
  </r>
  <r>
    <x v="17"/>
    <s v="Soner Kayıkçı"/>
    <x v="1"/>
    <x v="258"/>
    <x v="258"/>
    <n v="15"/>
    <s v="ADET"/>
    <n v="0"/>
    <n v="31"/>
    <n v="20"/>
    <n v="14"/>
    <n v="0"/>
    <n v="1225"/>
    <n v="87.5"/>
    <x v="1"/>
    <n v="1312.5"/>
    <x v="1"/>
  </r>
  <r>
    <x v="0"/>
    <s v="Matteo Giolo"/>
    <x v="1"/>
    <x v="396"/>
    <x v="396"/>
    <n v="110"/>
    <s v="ADET"/>
    <n v="0"/>
    <n v="7500"/>
    <n v="0"/>
    <n v="-5570"/>
    <n v="0"/>
    <n v="0"/>
    <n v="0.8"/>
    <x v="23"/>
    <n v="88"/>
    <x v="1"/>
  </r>
  <r>
    <x v="0"/>
    <s v="Matteo Giolo"/>
    <x v="1"/>
    <x v="397"/>
    <x v="397"/>
    <n v="4.25"/>
    <s v="ADET"/>
    <n v="0"/>
    <n v="46"/>
    <n v="85.879999999999981"/>
    <n v="-11.119999999999997"/>
    <n v="0"/>
    <n v="0"/>
    <n v="55"/>
    <x v="2"/>
    <n v="233.75"/>
    <x v="1"/>
  </r>
  <r>
    <x v="19"/>
    <s v="Laurent MONTAGNER"/>
    <x v="1"/>
    <x v="72"/>
    <x v="72"/>
    <n v="1"/>
    <s v="ADET"/>
    <n v="0"/>
    <n v="0"/>
    <n v="246"/>
    <n v="7"/>
    <n v="0"/>
    <n v="37.94"/>
    <n v="5.42"/>
    <x v="1"/>
    <n v="5.42"/>
    <x v="1"/>
  </r>
  <r>
    <x v="16"/>
    <s v="Laurent MONTAGNER"/>
    <x v="1"/>
    <x v="398"/>
    <x v="398"/>
    <n v="2"/>
    <s v="METRE"/>
    <n v="0"/>
    <n v="100"/>
    <n v="4.5474735088646412E-13"/>
    <n v="-97"/>
    <n v="0"/>
    <n v="0"/>
    <n v="24"/>
    <x v="68"/>
    <n v="48"/>
    <x v="7"/>
  </r>
  <r>
    <x v="6"/>
    <s v="Stefan Zaugg"/>
    <x v="1"/>
    <x v="396"/>
    <x v="396"/>
    <n v="110"/>
    <s v="ADET"/>
    <n v="0"/>
    <n v="7500"/>
    <n v="0"/>
    <n v="-5570"/>
    <n v="0"/>
    <n v="0"/>
    <n v="0.8"/>
    <x v="23"/>
    <n v="88"/>
    <x v="1"/>
  </r>
  <r>
    <x v="7"/>
    <s v="Stina Alm"/>
    <x v="1"/>
    <x v="396"/>
    <x v="396"/>
    <n v="80"/>
    <s v="ADET"/>
    <n v="0"/>
    <n v="7500"/>
    <n v="0"/>
    <n v="-5570"/>
    <n v="0"/>
    <n v="0"/>
    <n v="0.8"/>
    <x v="23"/>
    <n v="64"/>
    <x v="1"/>
  </r>
  <r>
    <x v="7"/>
    <s v="Stina Alm"/>
    <x v="1"/>
    <x v="397"/>
    <x v="397"/>
    <n v="1"/>
    <s v="ADET"/>
    <n v="0"/>
    <n v="46"/>
    <n v="85.879999999999981"/>
    <n v="-11.119999999999997"/>
    <n v="0"/>
    <n v="0"/>
    <n v="55"/>
    <x v="2"/>
    <n v="55"/>
    <x v="1"/>
  </r>
  <r>
    <x v="3"/>
    <s v="Jan Urbanek"/>
    <x v="1"/>
    <x v="396"/>
    <x v="396"/>
    <n v="110"/>
    <s v="ADET"/>
    <n v="0"/>
    <n v="7500"/>
    <n v="0"/>
    <n v="-5570"/>
    <n v="0"/>
    <n v="0"/>
    <n v="0.8"/>
    <x v="23"/>
    <n v="88"/>
    <x v="1"/>
  </r>
  <r>
    <x v="4"/>
    <s v="Jan Urbanek"/>
    <x v="1"/>
    <x v="396"/>
    <x v="396"/>
    <n v="110"/>
    <s v="ADET"/>
    <n v="0"/>
    <n v="7500"/>
    <n v="0"/>
    <n v="-5570"/>
    <n v="0"/>
    <n v="0"/>
    <n v="0.8"/>
    <x v="23"/>
    <n v="88"/>
    <x v="1"/>
  </r>
  <r>
    <x v="4"/>
    <s v="Jan Urbanek"/>
    <x v="1"/>
    <x v="397"/>
    <x v="397"/>
    <n v="4.25"/>
    <s v="ADET"/>
    <n v="0"/>
    <n v="46"/>
    <n v="85.879999999999981"/>
    <n v="-11.119999999999997"/>
    <n v="0"/>
    <n v="0"/>
    <n v="55"/>
    <x v="2"/>
    <n v="233.75"/>
    <x v="1"/>
  </r>
  <r>
    <x v="6"/>
    <s v="Stefan Zaugg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7"/>
    <s v="Stina Alm"/>
    <x v="1"/>
    <x v="399"/>
    <x v="399"/>
    <n v="0.5"/>
    <s v="KG"/>
    <n v="0"/>
    <n v="72"/>
    <n v="7"/>
    <n v="-51.5"/>
    <n v="0"/>
    <n v="0"/>
    <n v="212.93"/>
    <x v="71"/>
    <n v="106.465"/>
    <x v="8"/>
  </r>
  <r>
    <x v="7"/>
    <s v="Stina Alm"/>
    <x v="1"/>
    <x v="400"/>
    <x v="400"/>
    <n v="65"/>
    <s v="ADET"/>
    <n v="0"/>
    <n v="5000"/>
    <n v="0"/>
    <n v="-3820"/>
    <n v="0"/>
    <n v="0"/>
    <n v="0.6"/>
    <x v="2"/>
    <n v="39"/>
    <x v="1"/>
  </r>
  <r>
    <x v="3"/>
    <s v="Jan Urbanek"/>
    <x v="1"/>
    <x v="401"/>
    <x v="401"/>
    <n v="2"/>
    <s v="ADET"/>
    <n v="0"/>
    <n v="0"/>
    <n v="64"/>
    <n v="40"/>
    <n v="0"/>
    <n v="274.8"/>
    <n v="6.87"/>
    <x v="23"/>
    <n v="13.74"/>
    <x v="7"/>
  </r>
  <r>
    <x v="16"/>
    <s v="Laurent MONTAGNER"/>
    <x v="1"/>
    <x v="180"/>
    <x v="180"/>
    <n v="50"/>
    <s v="METRE"/>
    <n v="0"/>
    <n v="0"/>
    <n v="1804.0000000000018"/>
    <n v="300"/>
    <n v="0"/>
    <n v="2904"/>
    <n v="9.68"/>
    <x v="63"/>
    <n v="484"/>
    <x v="8"/>
  </r>
  <r>
    <x v="17"/>
    <s v="Soner Kayıkçı"/>
    <x v="1"/>
    <x v="180"/>
    <x v="180"/>
    <n v="50"/>
    <s v="METRE"/>
    <n v="0"/>
    <n v="0"/>
    <n v="1804.0000000000018"/>
    <n v="300"/>
    <n v="0"/>
    <n v="2904"/>
    <n v="9.68"/>
    <x v="63"/>
    <n v="484"/>
    <x v="8"/>
  </r>
  <r>
    <x v="16"/>
    <s v="Laurent MONTAGNER"/>
    <x v="1"/>
    <x v="181"/>
    <x v="181"/>
    <n v="9.6300000000000008"/>
    <s v="KG"/>
    <n v="0"/>
    <n v="0"/>
    <n v="260.61000000000013"/>
    <n v="97.560000000000016"/>
    <n v="0"/>
    <n v="13285.720800000003"/>
    <n v="136.18"/>
    <x v="64"/>
    <n v="1311.4134000000001"/>
    <x v="3"/>
  </r>
  <r>
    <x v="17"/>
    <s v="Soner Kayıkçı"/>
    <x v="1"/>
    <x v="181"/>
    <x v="181"/>
    <n v="7"/>
    <s v="KG"/>
    <n v="0"/>
    <n v="0"/>
    <n v="260.61000000000013"/>
    <n v="97.560000000000016"/>
    <n v="0"/>
    <n v="13285.720800000003"/>
    <n v="136.18"/>
    <x v="64"/>
    <n v="953.26"/>
    <x v="3"/>
  </r>
  <r>
    <x v="5"/>
    <s v="Matteo Giolo"/>
    <x v="1"/>
    <x v="242"/>
    <x v="242"/>
    <n v="1"/>
    <s v="ADET"/>
    <n v="0"/>
    <n v="16"/>
    <n v="8"/>
    <n v="-3"/>
    <n v="0"/>
    <n v="0"/>
    <n v="224.46"/>
    <x v="23"/>
    <n v="224.46"/>
    <x v="7"/>
  </r>
  <r>
    <x v="18"/>
    <s v="Stina Alm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19"/>
    <s v="Laurent MONTAGNER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5"/>
    <s v="Matteo Giolo"/>
    <x v="1"/>
    <x v="386"/>
    <x v="386"/>
    <n v="0.14400000000000002"/>
    <s v="M3"/>
    <n v="0"/>
    <n v="0"/>
    <n v="4.5430000000000224"/>
    <n v="1.4260000000000006"/>
    <n v="0"/>
    <n v="27807.000000000011"/>
    <n v="19500"/>
    <x v="91"/>
    <n v="2808.0000000000005"/>
    <x v="8"/>
  </r>
  <r>
    <x v="8"/>
    <s v="Jan Urbanek"/>
    <x v="1"/>
    <x v="380"/>
    <x v="380"/>
    <n v="0.5"/>
    <s v="ADET"/>
    <n v="0"/>
    <n v="100"/>
    <n v="0"/>
    <n v="-90.5"/>
    <n v="0"/>
    <n v="0"/>
    <n v="13.5"/>
    <x v="2"/>
    <n v="6.75"/>
    <x v="1"/>
  </r>
  <r>
    <x v="8"/>
    <s v="Jan Urbanek"/>
    <x v="1"/>
    <x v="384"/>
    <x v="384"/>
    <n v="120"/>
    <s v="METRE"/>
    <n v="0"/>
    <n v="0"/>
    <n v="0"/>
    <n v="1760"/>
    <n v="0"/>
    <n v="0"/>
    <n v="0"/>
    <x v="6"/>
    <n v="0"/>
    <x v="6"/>
  </r>
  <r>
    <x v="3"/>
    <s v="Jan Urbanek"/>
    <x v="1"/>
    <x v="379"/>
    <x v="379"/>
    <n v="0.5"/>
    <s v="ADET"/>
    <n v="0"/>
    <n v="0"/>
    <n v="6.0999999999999979"/>
    <n v="8.8000000000000007"/>
    <n v="5"/>
    <n v="6056.1600000000008"/>
    <n v="688.2"/>
    <x v="35"/>
    <n v="344.1"/>
    <x v="6"/>
  </r>
  <r>
    <x v="4"/>
    <s v="Jan Urbanek"/>
    <x v="1"/>
    <x v="379"/>
    <x v="379"/>
    <n v="1.5"/>
    <s v="ADET"/>
    <n v="0"/>
    <n v="0"/>
    <n v="6.0999999999999979"/>
    <n v="8.8000000000000007"/>
    <n v="5"/>
    <n v="6056.1600000000008"/>
    <n v="688.2"/>
    <x v="35"/>
    <n v="1032.3000000000002"/>
    <x v="6"/>
  </r>
  <r>
    <x v="6"/>
    <s v="Stefan Zaugg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5"/>
    <s v="Matteo Giolo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0"/>
    <s v="Matteo Giolo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3"/>
    <s v="Jan Urbanek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8"/>
    <s v="Jan Urbanek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11"/>
    <s v="Jan Urbanek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14"/>
    <s v="Matteo Giolo"/>
    <x v="1"/>
    <x v="250"/>
    <x v="250"/>
    <n v="0.1"/>
    <s v="METRE"/>
    <n v="0"/>
    <n v="50"/>
    <n v="-5.5511151231257827E-15"/>
    <n v="-47.386000000000003"/>
    <n v="0"/>
    <n v="0"/>
    <n v="10.61"/>
    <x v="75"/>
    <n v="1.0609999999999999"/>
    <x v="7"/>
  </r>
  <r>
    <x v="14"/>
    <s v="Matteo Giolo"/>
    <x v="1"/>
    <x v="251"/>
    <x v="251"/>
    <n v="2"/>
    <s v="ADET"/>
    <n v="0"/>
    <n v="91"/>
    <n v="17.799999999999997"/>
    <n v="-74.5"/>
    <n v="0"/>
    <n v="0"/>
    <n v="85"/>
    <x v="18"/>
    <n v="170"/>
    <x v="1"/>
  </r>
  <r>
    <x v="11"/>
    <s v="Jan Urbanek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9"/>
    <s v="Stefan Zaugg"/>
    <x v="1"/>
    <x v="379"/>
    <x v="379"/>
    <n v="0.5"/>
    <s v="ADET"/>
    <n v="0"/>
    <n v="0"/>
    <n v="6.0999999999999979"/>
    <n v="8.8000000000000007"/>
    <n v="5"/>
    <n v="6056.1600000000008"/>
    <n v="688.2"/>
    <x v="35"/>
    <n v="344.1"/>
    <x v="6"/>
  </r>
  <r>
    <x v="12"/>
    <s v="Stefan Zaugg"/>
    <x v="1"/>
    <x v="379"/>
    <x v="379"/>
    <n v="0.8"/>
    <s v="ADET"/>
    <n v="0"/>
    <n v="0"/>
    <n v="6.0999999999999979"/>
    <n v="8.8000000000000007"/>
    <n v="5"/>
    <n v="6056.1600000000008"/>
    <n v="688.2"/>
    <x v="35"/>
    <n v="550.56000000000006"/>
    <x v="6"/>
  </r>
  <r>
    <x v="2"/>
    <s v="Jan Urbanek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3"/>
    <s v="Jan Urbanek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2"/>
    <s v="Jan Urbanek"/>
    <x v="1"/>
    <x v="379"/>
    <x v="379"/>
    <n v="0.5"/>
    <s v="ADET"/>
    <n v="0"/>
    <n v="0"/>
    <n v="6.0999999999999979"/>
    <n v="8.8000000000000007"/>
    <n v="5"/>
    <n v="6056.1600000000008"/>
    <n v="688.2"/>
    <x v="35"/>
    <n v="344.1"/>
    <x v="6"/>
  </r>
  <r>
    <x v="2"/>
    <s v="Jan Urbanek"/>
    <x v="1"/>
    <x v="380"/>
    <x v="380"/>
    <n v="0.5"/>
    <s v="ADET"/>
    <n v="0"/>
    <n v="100"/>
    <n v="0"/>
    <n v="-90.5"/>
    <n v="0"/>
    <n v="0"/>
    <n v="13.5"/>
    <x v="2"/>
    <n v="6.75"/>
    <x v="1"/>
  </r>
  <r>
    <x v="0"/>
    <s v="Matteo Giolo"/>
    <x v="1"/>
    <x v="380"/>
    <x v="380"/>
    <n v="0.5"/>
    <s v="ADET"/>
    <n v="0"/>
    <n v="100"/>
    <n v="0"/>
    <n v="-90.5"/>
    <n v="0"/>
    <n v="0"/>
    <n v="13.5"/>
    <x v="2"/>
    <n v="6.75"/>
    <x v="1"/>
  </r>
  <r>
    <x v="1"/>
    <s v="Laurent MONTAGNER"/>
    <x v="1"/>
    <x v="380"/>
    <x v="380"/>
    <n v="0.5"/>
    <s v="ADET"/>
    <n v="0"/>
    <n v="100"/>
    <n v="0"/>
    <n v="-90.5"/>
    <n v="0"/>
    <n v="0"/>
    <n v="13.5"/>
    <x v="2"/>
    <n v="6.75"/>
    <x v="1"/>
  </r>
  <r>
    <x v="0"/>
    <s v="Matteo Giolo"/>
    <x v="1"/>
    <x v="384"/>
    <x v="384"/>
    <n v="120"/>
    <s v="METRE"/>
    <n v="0"/>
    <n v="0"/>
    <n v="0"/>
    <n v="1760"/>
    <n v="0"/>
    <n v="0"/>
    <n v="0"/>
    <x v="6"/>
    <n v="0"/>
    <x v="6"/>
  </r>
  <r>
    <x v="0"/>
    <s v="Matteo Giolo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2"/>
    <s v="Jan Urbanek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4"/>
    <s v="Jan Urbanek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2"/>
    <s v="Jan Urbanek"/>
    <x v="1"/>
    <x v="384"/>
    <x v="384"/>
    <n v="120"/>
    <s v="METRE"/>
    <n v="0"/>
    <n v="0"/>
    <n v="0"/>
    <n v="1760"/>
    <n v="0"/>
    <n v="0"/>
    <n v="0"/>
    <x v="6"/>
    <n v="0"/>
    <x v="6"/>
  </r>
  <r>
    <x v="3"/>
    <s v="Jan Urbanek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5"/>
    <s v="Matteo Giolo"/>
    <x v="1"/>
    <x v="321"/>
    <x v="321"/>
    <n v="1"/>
    <s v="ADET"/>
    <n v="0"/>
    <n v="0"/>
    <n v="0"/>
    <n v="7.5"/>
    <n v="0"/>
    <n v="285"/>
    <n v="38"/>
    <x v="2"/>
    <n v="38"/>
    <x v="3"/>
  </r>
  <r>
    <x v="1"/>
    <s v="Laurent MONTAGNER"/>
    <x v="1"/>
    <x v="322"/>
    <x v="322"/>
    <n v="1.5"/>
    <s v="METRE"/>
    <n v="0"/>
    <n v="0"/>
    <n v="27"/>
    <n v="30.5"/>
    <n v="0"/>
    <n v="396.5"/>
    <n v="13"/>
    <x v="6"/>
    <n v="19.5"/>
    <x v="7"/>
  </r>
  <r>
    <x v="7"/>
    <s v="Stina Alm"/>
    <x v="1"/>
    <x v="322"/>
    <x v="322"/>
    <n v="1.5"/>
    <s v="METRE"/>
    <n v="0"/>
    <n v="0"/>
    <n v="27"/>
    <n v="30.5"/>
    <n v="0"/>
    <n v="396.5"/>
    <n v="13"/>
    <x v="6"/>
    <n v="19.5"/>
    <x v="7"/>
  </r>
  <r>
    <x v="6"/>
    <s v="Stefan Zaugg"/>
    <x v="1"/>
    <x v="319"/>
    <x v="319"/>
    <n v="1"/>
    <s v="ADET"/>
    <n v="1"/>
    <n v="9"/>
    <n v="8"/>
    <n v="4"/>
    <n v="0"/>
    <n v="1950.24"/>
    <n v="487.56"/>
    <x v="53"/>
    <n v="487.56"/>
    <x v="2"/>
  </r>
  <r>
    <x v="7"/>
    <s v="Stina Alm"/>
    <x v="1"/>
    <x v="319"/>
    <x v="319"/>
    <n v="1"/>
    <s v="ADET"/>
    <n v="0"/>
    <n v="9"/>
    <n v="8"/>
    <n v="4"/>
    <n v="0"/>
    <n v="1950.24"/>
    <n v="487.56"/>
    <x v="53"/>
    <n v="487.56"/>
    <x v="2"/>
  </r>
  <r>
    <x v="2"/>
    <s v="Jan Urbanek"/>
    <x v="1"/>
    <x v="318"/>
    <x v="318"/>
    <n v="2"/>
    <s v="ADET"/>
    <n v="0"/>
    <n v="35"/>
    <n v="14"/>
    <n v="-26"/>
    <n v="15"/>
    <n v="0"/>
    <n v="43.75"/>
    <x v="8"/>
    <n v="87.5"/>
    <x v="1"/>
  </r>
  <r>
    <x v="2"/>
    <s v="Jan Urbanek"/>
    <x v="1"/>
    <x v="319"/>
    <x v="319"/>
    <n v="1"/>
    <s v="ADET"/>
    <n v="0"/>
    <n v="9"/>
    <n v="8"/>
    <n v="4"/>
    <n v="0"/>
    <n v="1950.24"/>
    <n v="487.56"/>
    <x v="53"/>
    <n v="487.56"/>
    <x v="2"/>
  </r>
  <r>
    <x v="3"/>
    <s v="Jan Urbanek"/>
    <x v="1"/>
    <x v="319"/>
    <x v="319"/>
    <n v="1"/>
    <s v="ADET"/>
    <n v="0"/>
    <n v="9"/>
    <n v="8"/>
    <n v="4"/>
    <n v="0"/>
    <n v="1950.24"/>
    <n v="487.56"/>
    <x v="53"/>
    <n v="487.56"/>
    <x v="2"/>
  </r>
  <r>
    <x v="4"/>
    <s v="Jan Urbanek"/>
    <x v="1"/>
    <x v="319"/>
    <x v="319"/>
    <n v="1"/>
    <s v="ADET"/>
    <n v="0"/>
    <n v="9"/>
    <n v="8"/>
    <n v="4"/>
    <n v="0"/>
    <n v="1950.24"/>
    <n v="487.56"/>
    <x v="53"/>
    <n v="487.56"/>
    <x v="2"/>
  </r>
  <r>
    <x v="1"/>
    <s v="Laurent MONTAGNER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7"/>
    <s v="Stina Alm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6"/>
    <s v="Stefan Zaugg"/>
    <x v="1"/>
    <x v="403"/>
    <x v="403"/>
    <n v="1"/>
    <s v="ADET"/>
    <n v="0"/>
    <n v="8"/>
    <n v="4"/>
    <n v="-1"/>
    <n v="0"/>
    <n v="0"/>
    <n v="1723.12"/>
    <x v="67"/>
    <n v="1723.12"/>
    <x v="4"/>
  </r>
  <r>
    <x v="0"/>
    <s v="Matteo Giolo"/>
    <x v="1"/>
    <x v="318"/>
    <x v="318"/>
    <n v="2"/>
    <s v="ADET"/>
    <n v="0"/>
    <n v="35"/>
    <n v="14"/>
    <n v="-26"/>
    <n v="15"/>
    <n v="0"/>
    <n v="43.75"/>
    <x v="8"/>
    <n v="87.5"/>
    <x v="1"/>
  </r>
  <r>
    <x v="1"/>
    <s v="Laurent MONTAGNER"/>
    <x v="1"/>
    <x v="318"/>
    <x v="318"/>
    <n v="2"/>
    <s v="ADET"/>
    <n v="2"/>
    <n v="35"/>
    <n v="14"/>
    <n v="-26"/>
    <n v="15"/>
    <n v="0"/>
    <n v="43.75"/>
    <x v="8"/>
    <n v="87.5"/>
    <x v="1"/>
  </r>
  <r>
    <x v="3"/>
    <s v="Jan Urbanek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4"/>
    <s v="Jan Urbanek"/>
    <x v="1"/>
    <x v="318"/>
    <x v="318"/>
    <n v="2"/>
    <s v="ADET"/>
    <n v="0"/>
    <n v="35"/>
    <n v="14"/>
    <n v="-26"/>
    <n v="15"/>
    <n v="0"/>
    <n v="43.75"/>
    <x v="8"/>
    <n v="87.5"/>
    <x v="1"/>
  </r>
  <r>
    <x v="3"/>
    <s v="Jan Urbanek"/>
    <x v="1"/>
    <x v="318"/>
    <x v="318"/>
    <n v="2"/>
    <s v="ADET"/>
    <n v="0"/>
    <n v="35"/>
    <n v="14"/>
    <n v="-26"/>
    <n v="15"/>
    <n v="0"/>
    <n v="43.75"/>
    <x v="8"/>
    <n v="87.5"/>
    <x v="1"/>
  </r>
  <r>
    <x v="0"/>
    <s v="Matteo Giolo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0"/>
    <s v="Matteo Giolo"/>
    <x v="1"/>
    <x v="404"/>
    <x v="404"/>
    <n v="2"/>
    <s v="ADET"/>
    <n v="0"/>
    <n v="3"/>
    <n v="12"/>
    <n v="25"/>
    <n v="0"/>
    <n v="11103.25"/>
    <n v="444.13"/>
    <x v="65"/>
    <n v="888.26"/>
    <x v="2"/>
  </r>
  <r>
    <x v="0"/>
    <s v="Matteo Giolo"/>
    <x v="1"/>
    <x v="405"/>
    <x v="405"/>
    <n v="1"/>
    <s v="ADET"/>
    <n v="0"/>
    <n v="5"/>
    <n v="4"/>
    <n v="2"/>
    <n v="0"/>
    <n v="3446.24"/>
    <n v="1723.12"/>
    <x v="67"/>
    <n v="1723.12"/>
    <x v="4"/>
  </r>
  <r>
    <x v="8"/>
    <s v="Jan Urbanek"/>
    <x v="1"/>
    <x v="319"/>
    <x v="319"/>
    <n v="1"/>
    <s v="ADET"/>
    <n v="0"/>
    <n v="9"/>
    <n v="8"/>
    <n v="4"/>
    <n v="0"/>
    <n v="1950.24"/>
    <n v="487.56"/>
    <x v="53"/>
    <n v="487.56"/>
    <x v="2"/>
  </r>
  <r>
    <x v="0"/>
    <s v="Matteo Giolo"/>
    <x v="1"/>
    <x v="403"/>
    <x v="403"/>
    <n v="1"/>
    <s v="ADET"/>
    <n v="0"/>
    <n v="8"/>
    <n v="4"/>
    <n v="-1"/>
    <n v="0"/>
    <n v="0"/>
    <n v="1723.12"/>
    <x v="67"/>
    <n v="1723.12"/>
    <x v="4"/>
  </r>
  <r>
    <x v="6"/>
    <s v="Stefan Zaugg"/>
    <x v="1"/>
    <x v="405"/>
    <x v="405"/>
    <n v="1"/>
    <s v="ADET"/>
    <n v="0"/>
    <n v="5"/>
    <n v="4"/>
    <n v="2"/>
    <n v="0"/>
    <n v="3446.24"/>
    <n v="1723.12"/>
    <x v="67"/>
    <n v="1723.12"/>
    <x v="4"/>
  </r>
  <r>
    <x v="8"/>
    <s v="Jan Urbanek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3"/>
    <s v="Jan Urbanek"/>
    <x v="1"/>
    <x v="405"/>
    <x v="405"/>
    <n v="1"/>
    <s v="ADET"/>
    <n v="0"/>
    <n v="5"/>
    <n v="4"/>
    <n v="2"/>
    <n v="0"/>
    <n v="3446.24"/>
    <n v="1723.12"/>
    <x v="67"/>
    <n v="1723.12"/>
    <x v="4"/>
  </r>
  <r>
    <x v="10"/>
    <s v="Murat Taşdemir"/>
    <x v="1"/>
    <x v="257"/>
    <x v="257"/>
    <n v="2.46"/>
    <s v="ADET"/>
    <n v="0"/>
    <n v="75"/>
    <n v="42.700000000000159"/>
    <n v="-48.04"/>
    <n v="0"/>
    <n v="0"/>
    <n v="15"/>
    <x v="2"/>
    <n v="36.9"/>
    <x v="1"/>
  </r>
  <r>
    <x v="18"/>
    <s v="Stina Alm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7"/>
    <s v="Soner Kayıkçı"/>
    <x v="1"/>
    <x v="150"/>
    <x v="150"/>
    <n v="2"/>
    <s v="ADET"/>
    <n v="0"/>
    <n v="69"/>
    <n v="22"/>
    <n v="-38"/>
    <n v="0"/>
    <n v="0"/>
    <n v="640"/>
    <x v="29"/>
    <n v="1280"/>
    <x v="7"/>
  </r>
  <r>
    <x v="16"/>
    <s v="Laurent MONTAGNER"/>
    <x v="1"/>
    <x v="406"/>
    <x v="406"/>
    <n v="3"/>
    <s v="METRE"/>
    <n v="0"/>
    <n v="118"/>
    <n v="21"/>
    <n v="-115"/>
    <n v="0"/>
    <n v="0"/>
    <n v="14.33"/>
    <x v="23"/>
    <n v="42.99"/>
    <x v="7"/>
  </r>
  <r>
    <x v="17"/>
    <s v="Soner Kayıkçı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6"/>
    <s v="Laurent MONTAGNER"/>
    <x v="1"/>
    <x v="228"/>
    <x v="228"/>
    <n v="1"/>
    <s v="ADET"/>
    <n v="0"/>
    <n v="18"/>
    <n v="10"/>
    <n v="-5"/>
    <n v="0"/>
    <n v="0"/>
    <n v="1094.4000000000001"/>
    <x v="23"/>
    <n v="1094.4000000000001"/>
    <x v="7"/>
  </r>
  <r>
    <x v="16"/>
    <s v="Laurent MONTAGNER"/>
    <x v="1"/>
    <x v="230"/>
    <x v="230"/>
    <n v="0.2"/>
    <s v="METRE"/>
    <n v="0"/>
    <n v="50"/>
    <n v="2.8310687127941492E-15"/>
    <n v="-47.8"/>
    <n v="0"/>
    <n v="0"/>
    <n v="25.41"/>
    <x v="23"/>
    <n v="5.0820000000000007"/>
    <x v="7"/>
  </r>
  <r>
    <x v="16"/>
    <s v="Laurent MONTAGNER"/>
    <x v="1"/>
    <x v="231"/>
    <x v="231"/>
    <n v="1"/>
    <s v="ADET"/>
    <n v="0"/>
    <n v="4"/>
    <n v="2"/>
    <n v="0"/>
    <n v="2"/>
    <n v="0"/>
    <n v="1667.14"/>
    <x v="20"/>
    <n v="1667.14"/>
    <x v="2"/>
  </r>
  <r>
    <x v="16"/>
    <s v="Laurent MONTAGNER"/>
    <x v="1"/>
    <x v="232"/>
    <x v="232"/>
    <n v="3"/>
    <s v="ADET"/>
    <n v="0"/>
    <n v="38"/>
    <n v="25"/>
    <n v="-2"/>
    <n v="20"/>
    <n v="0"/>
    <n v="245"/>
    <x v="12"/>
    <n v="735"/>
    <x v="4"/>
  </r>
  <r>
    <x v="17"/>
    <s v="Soner Kayıkçı"/>
    <x v="1"/>
    <x v="232"/>
    <x v="232"/>
    <n v="3"/>
    <s v="ADET"/>
    <n v="0"/>
    <n v="38"/>
    <n v="25"/>
    <n v="-2"/>
    <n v="20"/>
    <n v="0"/>
    <n v="245"/>
    <x v="12"/>
    <n v="735"/>
    <x v="4"/>
  </r>
  <r>
    <x v="18"/>
    <s v="Stina Alm"/>
    <x v="1"/>
    <x v="151"/>
    <x v="151"/>
    <n v="2"/>
    <s v="ADET"/>
    <n v="0"/>
    <n v="238"/>
    <n v="90"/>
    <n v="-200"/>
    <n v="0"/>
    <n v="0"/>
    <n v="4"/>
    <x v="29"/>
    <n v="8"/>
    <x v="7"/>
  </r>
  <r>
    <x v="19"/>
    <s v="Laurent MONTAGNER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3"/>
    <s v="Volkan Batkan"/>
    <x v="1"/>
    <x v="407"/>
    <x v="407"/>
    <n v="1"/>
    <s v="ADET"/>
    <n v="1"/>
    <n v="49"/>
    <n v="1.6000000000000014"/>
    <n v="-37.599999999999994"/>
    <n v="0"/>
    <n v="0"/>
    <n v="60"/>
    <x v="8"/>
    <n v="60"/>
    <x v="1"/>
  </r>
  <r>
    <x v="16"/>
    <s v="Laurent MONTAGNER"/>
    <x v="1"/>
    <x v="150"/>
    <x v="150"/>
    <n v="3"/>
    <s v="ADET"/>
    <n v="0"/>
    <n v="69"/>
    <n v="22"/>
    <n v="-38"/>
    <n v="0"/>
    <n v="0"/>
    <n v="640"/>
    <x v="29"/>
    <n v="1920"/>
    <x v="7"/>
  </r>
  <r>
    <x v="19"/>
    <s v="Laurent MONTAGNER"/>
    <x v="1"/>
    <x v="152"/>
    <x v="152"/>
    <n v="1"/>
    <s v="ADET"/>
    <n v="1"/>
    <n v="10"/>
    <n v="12"/>
    <n v="-1"/>
    <n v="4"/>
    <n v="0"/>
    <n v="1600"/>
    <x v="56"/>
    <n v="1600"/>
    <x v="7"/>
  </r>
  <r>
    <x v="19"/>
    <s v="Laurent MONTAGNER"/>
    <x v="1"/>
    <x v="232"/>
    <x v="232"/>
    <n v="3"/>
    <s v="ADET"/>
    <n v="0"/>
    <n v="38"/>
    <n v="25"/>
    <n v="-2"/>
    <n v="20"/>
    <n v="0"/>
    <n v="245"/>
    <x v="12"/>
    <n v="735"/>
    <x v="4"/>
  </r>
  <r>
    <x v="19"/>
    <s v="Laurent MONTAGNER"/>
    <x v="1"/>
    <x v="244"/>
    <x v="244"/>
    <n v="1"/>
    <s v="ADET"/>
    <n v="0"/>
    <n v="114"/>
    <n v="0"/>
    <n v="-109"/>
    <n v="0"/>
    <n v="0"/>
    <n v="10"/>
    <x v="6"/>
    <n v="10"/>
    <x v="4"/>
  </r>
  <r>
    <x v="19"/>
    <s v="Laurent MONTAGNER"/>
    <x v="1"/>
    <x v="245"/>
    <x v="245"/>
    <n v="1"/>
    <s v="ADET"/>
    <n v="0"/>
    <n v="4"/>
    <n v="22"/>
    <n v="-5"/>
    <n v="20"/>
    <n v="0"/>
    <n v="65"/>
    <x v="22"/>
    <n v="65"/>
    <x v="4"/>
  </r>
  <r>
    <x v="11"/>
    <s v="Jan Urbanek"/>
    <x v="1"/>
    <x v="407"/>
    <x v="407"/>
    <n v="1"/>
    <s v="ADET"/>
    <n v="0"/>
    <n v="49"/>
    <n v="1.6000000000000014"/>
    <n v="-37.599999999999994"/>
    <n v="0"/>
    <n v="0"/>
    <n v="60"/>
    <x v="8"/>
    <n v="60"/>
    <x v="1"/>
  </r>
  <r>
    <x v="10"/>
    <s v="Murat Taşdemir"/>
    <x v="1"/>
    <x v="408"/>
    <x v="408"/>
    <n v="6"/>
    <s v="ADET"/>
    <n v="0"/>
    <n v="0"/>
    <n v="0"/>
    <n v="54"/>
    <n v="0"/>
    <n v="67.5"/>
    <n v="1.25"/>
    <x v="29"/>
    <n v="7.5"/>
    <x v="7"/>
  </r>
  <r>
    <x v="18"/>
    <s v="Stina Alm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7"/>
    <s v="Soner Kayıkçı"/>
    <x v="1"/>
    <x v="230"/>
    <x v="230"/>
    <n v="0.1"/>
    <s v="METRE"/>
    <n v="0"/>
    <n v="50"/>
    <n v="2.8310687127941492E-15"/>
    <n v="-47.8"/>
    <n v="0"/>
    <n v="0"/>
    <n v="25.41"/>
    <x v="23"/>
    <n v="2.5410000000000004"/>
    <x v="7"/>
  </r>
  <r>
    <x v="18"/>
    <s v="Stina Alm"/>
    <x v="1"/>
    <x v="231"/>
    <x v="231"/>
    <n v="1"/>
    <s v="ADET"/>
    <n v="0"/>
    <n v="4"/>
    <n v="2"/>
    <n v="0"/>
    <n v="2"/>
    <n v="0"/>
    <n v="1667.14"/>
    <x v="20"/>
    <n v="1667.14"/>
    <x v="2"/>
  </r>
  <r>
    <x v="18"/>
    <s v="Stina Alm"/>
    <x v="1"/>
    <x v="232"/>
    <x v="232"/>
    <n v="3"/>
    <s v="ADET"/>
    <n v="0"/>
    <n v="38"/>
    <n v="25"/>
    <n v="-2"/>
    <n v="20"/>
    <n v="0"/>
    <n v="245"/>
    <x v="12"/>
    <n v="735"/>
    <x v="4"/>
  </r>
  <r>
    <x v="18"/>
    <s v="Stina Alm"/>
    <x v="1"/>
    <x v="245"/>
    <x v="245"/>
    <n v="1"/>
    <s v="ADET"/>
    <n v="0"/>
    <n v="4"/>
    <n v="22"/>
    <n v="-5"/>
    <n v="20"/>
    <n v="0"/>
    <n v="65"/>
    <x v="22"/>
    <n v="65"/>
    <x v="4"/>
  </r>
  <r>
    <x v="16"/>
    <s v="Laurent MONTAGNER"/>
    <x v="1"/>
    <x v="245"/>
    <x v="245"/>
    <n v="1"/>
    <s v="ADET"/>
    <n v="0"/>
    <n v="4"/>
    <n v="22"/>
    <n v="-5"/>
    <n v="20"/>
    <n v="0"/>
    <n v="65"/>
    <x v="22"/>
    <n v="65"/>
    <x v="4"/>
  </r>
  <r>
    <x v="17"/>
    <s v="Soner Kayıkçı"/>
    <x v="1"/>
    <x v="245"/>
    <x v="245"/>
    <n v="1"/>
    <s v="ADET"/>
    <n v="0"/>
    <n v="4"/>
    <n v="22"/>
    <n v="-5"/>
    <n v="20"/>
    <n v="0"/>
    <n v="65"/>
    <x v="22"/>
    <n v="65"/>
    <x v="4"/>
  </r>
  <r>
    <x v="14"/>
    <s v="Matteo Giolo"/>
    <x v="1"/>
    <x v="409"/>
    <x v="409"/>
    <n v="2"/>
    <s v="ADET"/>
    <n v="0"/>
    <n v="30"/>
    <n v="0"/>
    <n v="-10"/>
    <n v="0"/>
    <n v="0"/>
    <n v="60"/>
    <x v="14"/>
    <n v="120"/>
    <x v="1"/>
  </r>
  <r>
    <x v="11"/>
    <s v="Jan Urbanek"/>
    <x v="1"/>
    <x v="408"/>
    <x v="408"/>
    <n v="6"/>
    <s v="ADET"/>
    <n v="0"/>
    <n v="0"/>
    <n v="0"/>
    <n v="54"/>
    <n v="0"/>
    <n v="67.5"/>
    <n v="1.25"/>
    <x v="29"/>
    <n v="7.5"/>
    <x v="7"/>
  </r>
  <r>
    <x v="11"/>
    <s v="Jan Urbanek"/>
    <x v="1"/>
    <x v="184"/>
    <x v="184"/>
    <n v="1"/>
    <s v="ADET"/>
    <n v="0"/>
    <n v="3"/>
    <n v="7"/>
    <n v="2"/>
    <n v="3"/>
    <n v="4955.04"/>
    <n v="2477.52"/>
    <x v="43"/>
    <n v="2477.52"/>
    <x v="7"/>
  </r>
  <r>
    <x v="12"/>
    <s v="Stefan Zaugg"/>
    <x v="1"/>
    <x v="184"/>
    <x v="184"/>
    <n v="1"/>
    <s v="ADET"/>
    <n v="1"/>
    <n v="3"/>
    <n v="7"/>
    <n v="2"/>
    <n v="3"/>
    <n v="4955.04"/>
    <n v="2477.52"/>
    <x v="43"/>
    <n v="2477.52"/>
    <x v="7"/>
  </r>
  <r>
    <x v="9"/>
    <s v="Stefan Zaugg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9"/>
    <s v="Stefan Zaugg"/>
    <x v="1"/>
    <x v="183"/>
    <x v="183"/>
    <n v="1"/>
    <s v="ADET"/>
    <n v="1"/>
    <n v="26"/>
    <n v="8"/>
    <n v="-22"/>
    <n v="0"/>
    <n v="0"/>
    <n v="368.07"/>
    <x v="65"/>
    <n v="368.07"/>
    <x v="7"/>
  </r>
  <r>
    <x v="9"/>
    <s v="Stefan Zaugg"/>
    <x v="1"/>
    <x v="203"/>
    <x v="203"/>
    <n v="0.5"/>
    <s v="ADET"/>
    <n v="0"/>
    <n v="100"/>
    <n v="41"/>
    <n v="-89.5"/>
    <n v="0"/>
    <n v="0"/>
    <n v="60"/>
    <x v="29"/>
    <n v="30"/>
    <x v="1"/>
  </r>
  <r>
    <x v="12"/>
    <s v="Stefan Zaugg"/>
    <x v="1"/>
    <x v="203"/>
    <x v="203"/>
    <n v="0.5"/>
    <s v="ADET"/>
    <n v="0"/>
    <n v="100"/>
    <n v="41"/>
    <n v="-89.5"/>
    <n v="0"/>
    <n v="0"/>
    <n v="60"/>
    <x v="29"/>
    <n v="30"/>
    <x v="1"/>
  </r>
  <r>
    <x v="14"/>
    <s v="Matteo Giolo"/>
    <x v="1"/>
    <x v="203"/>
    <x v="203"/>
    <n v="1"/>
    <s v="ADET"/>
    <n v="0"/>
    <n v="100"/>
    <n v="41"/>
    <n v="-89.5"/>
    <n v="0"/>
    <n v="0"/>
    <n v="60"/>
    <x v="29"/>
    <n v="60"/>
    <x v="1"/>
  </r>
  <r>
    <x v="12"/>
    <s v="Stefan Zaugg"/>
    <x v="1"/>
    <x v="243"/>
    <x v="243"/>
    <n v="0.51"/>
    <s v="ADET"/>
    <n v="0.51"/>
    <n v="20"/>
    <n v="116.6640000000002"/>
    <n v="-11.16"/>
    <n v="0"/>
    <n v="0"/>
    <n v="185"/>
    <x v="2"/>
    <n v="94.350000000000009"/>
    <x v="1"/>
  </r>
  <r>
    <x v="9"/>
    <s v="Stefan Zaugg"/>
    <x v="1"/>
    <x v="256"/>
    <x v="256"/>
    <n v="1"/>
    <s v="ADET"/>
    <n v="0"/>
    <n v="228"/>
    <n v="0"/>
    <n v="-186"/>
    <n v="0"/>
    <n v="0"/>
    <n v="6"/>
    <x v="18"/>
    <n v="6"/>
    <x v="1"/>
  </r>
  <r>
    <x v="12"/>
    <s v="Stefan Zaugg"/>
    <x v="1"/>
    <x v="256"/>
    <x v="256"/>
    <n v="1"/>
    <s v="ADET"/>
    <n v="0"/>
    <n v="228"/>
    <n v="0"/>
    <n v="-186"/>
    <n v="0"/>
    <n v="0"/>
    <n v="6"/>
    <x v="18"/>
    <n v="6"/>
    <x v="1"/>
  </r>
  <r>
    <x v="9"/>
    <s v="Stefan Zaugg"/>
    <x v="1"/>
    <x v="312"/>
    <x v="312"/>
    <n v="8"/>
    <s v="ADET"/>
    <n v="0"/>
    <n v="148"/>
    <n v="59"/>
    <n v="-33"/>
    <n v="0"/>
    <n v="0"/>
    <n v="24.17"/>
    <x v="1"/>
    <n v="193.36"/>
    <x v="1"/>
  </r>
  <r>
    <x v="12"/>
    <s v="Stefan Zaugg"/>
    <x v="1"/>
    <x v="312"/>
    <x v="312"/>
    <n v="8"/>
    <s v="ADET"/>
    <n v="0"/>
    <n v="148"/>
    <n v="59"/>
    <n v="-33"/>
    <n v="0"/>
    <n v="0"/>
    <n v="24.17"/>
    <x v="1"/>
    <n v="193.36"/>
    <x v="1"/>
  </r>
  <r>
    <x v="11"/>
    <s v="Jan Urbanek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14"/>
    <s v="Matteo Giolo"/>
    <x v="1"/>
    <x v="312"/>
    <x v="312"/>
    <n v="4"/>
    <s v="ADET"/>
    <n v="0"/>
    <n v="148"/>
    <n v="59"/>
    <n v="-33"/>
    <n v="0"/>
    <n v="0"/>
    <n v="24.17"/>
    <x v="1"/>
    <n v="96.68"/>
    <x v="1"/>
  </r>
  <r>
    <x v="12"/>
    <s v="Stefan Zaugg"/>
    <x v="1"/>
    <x v="310"/>
    <x v="310"/>
    <n v="16"/>
    <s v="ADET"/>
    <n v="0"/>
    <n v="150"/>
    <n v="0"/>
    <n v="194"/>
    <n v="0"/>
    <n v="5383.5"/>
    <n v="27.75"/>
    <x v="82"/>
    <n v="444"/>
    <x v="6"/>
  </r>
  <r>
    <x v="11"/>
    <s v="Jan Urbanek"/>
    <x v="1"/>
    <x v="310"/>
    <x v="310"/>
    <n v="16"/>
    <s v="ADET"/>
    <n v="0"/>
    <n v="150"/>
    <n v="0"/>
    <n v="194"/>
    <n v="0"/>
    <n v="5383.5"/>
    <n v="27.75"/>
    <x v="82"/>
    <n v="444"/>
    <x v="6"/>
  </r>
  <r>
    <x v="2"/>
    <s v="Jan Urbanek"/>
    <x v="0"/>
    <x v="393"/>
    <x v="393"/>
    <n v="1"/>
    <s v="ADET"/>
    <n v="0"/>
    <n v="26"/>
    <n v="3"/>
    <n v="-20"/>
    <n v="0"/>
    <n v="0"/>
    <n v="2800"/>
    <x v="93"/>
    <n v="2800"/>
    <x v="2"/>
  </r>
  <r>
    <x v="4"/>
    <s v="Jan Urbanek"/>
    <x v="1"/>
    <x v="392"/>
    <x v="392"/>
    <n v="44"/>
    <s v="ADET"/>
    <n v="0"/>
    <n v="880"/>
    <n v="414"/>
    <n v="-82"/>
    <n v="0"/>
    <n v="0"/>
    <n v="2.1"/>
    <x v="2"/>
    <n v="92.4"/>
    <x v="1"/>
  </r>
  <r>
    <x v="5"/>
    <s v="Matteo Giolo"/>
    <x v="1"/>
    <x v="235"/>
    <x v="235"/>
    <n v="0.73"/>
    <s v="ADET"/>
    <n v="0"/>
    <n v="14"/>
    <n v="9.9999999999999929"/>
    <n v="2.5700000000000003"/>
    <n v="0"/>
    <n v="552.55000000000007"/>
    <n v="215"/>
    <x v="2"/>
    <n v="156.94999999999999"/>
    <x v="1"/>
  </r>
  <r>
    <x v="5"/>
    <s v="Matteo Giolo"/>
    <x v="1"/>
    <x v="226"/>
    <x v="226"/>
    <n v="9.6300000000000008"/>
    <s v="KG"/>
    <n v="0"/>
    <n v="0"/>
    <n v="297.61000000000007"/>
    <n v="97.560000000000016"/>
    <n v="0"/>
    <n v="13285.720800000003"/>
    <n v="136.18"/>
    <x v="64"/>
    <n v="1311.4134000000001"/>
    <x v="3"/>
  </r>
  <r>
    <x v="7"/>
    <s v="Stina Alm"/>
    <x v="1"/>
    <x v="234"/>
    <x v="234"/>
    <n v="30"/>
    <s v="ADET"/>
    <n v="0"/>
    <n v="800"/>
    <n v="0"/>
    <n v="-414"/>
    <n v="0"/>
    <n v="0"/>
    <n v="13.75"/>
    <x v="1"/>
    <n v="412.5"/>
    <x v="1"/>
  </r>
  <r>
    <x v="7"/>
    <s v="Stina Alm"/>
    <x v="1"/>
    <x v="235"/>
    <x v="235"/>
    <n v="0.67"/>
    <s v="ADET"/>
    <n v="0"/>
    <n v="14"/>
    <n v="9.9999999999999929"/>
    <n v="2.5700000000000003"/>
    <n v="0"/>
    <n v="552.55000000000007"/>
    <n v="215"/>
    <x v="2"/>
    <n v="144.05000000000001"/>
    <x v="1"/>
  </r>
  <r>
    <x v="16"/>
    <s v="Laurent MONTAGNER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17"/>
    <s v="Soner Kayıkçı"/>
    <x v="1"/>
    <x v="234"/>
    <x v="234"/>
    <n v="28"/>
    <s v="ADET"/>
    <n v="0"/>
    <n v="800"/>
    <n v="0"/>
    <n v="-414"/>
    <n v="0"/>
    <n v="0"/>
    <n v="13.75"/>
    <x v="1"/>
    <n v="385"/>
    <x v="1"/>
  </r>
  <r>
    <x v="5"/>
    <s v="Matteo Giolo"/>
    <x v="1"/>
    <x v="234"/>
    <x v="234"/>
    <n v="33"/>
    <s v="ADET"/>
    <n v="0"/>
    <n v="800"/>
    <n v="0"/>
    <n v="-414"/>
    <n v="0"/>
    <n v="0"/>
    <n v="13.75"/>
    <x v="1"/>
    <n v="453.75"/>
    <x v="1"/>
  </r>
  <r>
    <x v="6"/>
    <s v="Stefan Zaugg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6"/>
    <s v="Stefan Zaugg"/>
    <x v="1"/>
    <x v="236"/>
    <x v="236"/>
    <n v="0.7"/>
    <s v="ADET"/>
    <n v="0"/>
    <n v="272"/>
    <n v="4.2999999999999972"/>
    <n v="-233.2"/>
    <n v="0"/>
    <n v="0"/>
    <n v="30"/>
    <x v="2"/>
    <n v="21"/>
    <x v="1"/>
  </r>
  <r>
    <x v="2"/>
    <s v="Jan Urbanek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10"/>
    <s v="Murat Taşdemir"/>
    <x v="1"/>
    <x v="250"/>
    <x v="250"/>
    <n v="0.30000000000000004"/>
    <s v="METRE"/>
    <n v="0"/>
    <n v="50"/>
    <n v="-5.5511151231257827E-15"/>
    <n v="-47.386000000000003"/>
    <n v="0"/>
    <n v="0"/>
    <n v="10.61"/>
    <x v="75"/>
    <n v="3.1830000000000003"/>
    <x v="7"/>
  </r>
  <r>
    <x v="10"/>
    <s v="Murat Taşdemir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13"/>
    <s v="Volkan Batkan"/>
    <x v="1"/>
    <x v="379"/>
    <x v="379"/>
    <n v="1.5"/>
    <s v="ADET"/>
    <n v="0"/>
    <n v="0"/>
    <n v="6.0999999999999979"/>
    <n v="8.8000000000000007"/>
    <n v="5"/>
    <n v="6056.1600000000008"/>
    <n v="688.2"/>
    <x v="35"/>
    <n v="1032.3000000000002"/>
    <x v="6"/>
  </r>
  <r>
    <x v="14"/>
    <s v="Matteo Giolo"/>
    <x v="1"/>
    <x v="379"/>
    <x v="379"/>
    <n v="1"/>
    <s v="ADET"/>
    <n v="0"/>
    <n v="0"/>
    <n v="6.0999999999999979"/>
    <n v="8.8000000000000007"/>
    <n v="5"/>
    <n v="6056.1600000000008"/>
    <n v="688.2"/>
    <x v="35"/>
    <n v="688.2"/>
    <x v="6"/>
  </r>
  <r>
    <x v="8"/>
    <s v="Jan Urbanek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9"/>
    <s v="Stefan Zaugg"/>
    <x v="1"/>
    <x v="250"/>
    <x v="250"/>
    <n v="0.10200000000000001"/>
    <s v="METRE"/>
    <n v="0"/>
    <n v="50"/>
    <n v="-5.5511151231257827E-15"/>
    <n v="-47.386000000000003"/>
    <n v="0"/>
    <n v="0"/>
    <n v="10.61"/>
    <x v="75"/>
    <n v="1.08222"/>
    <x v="7"/>
  </r>
  <r>
    <x v="12"/>
    <s v="Stefan Zaugg"/>
    <x v="1"/>
    <x v="250"/>
    <x v="250"/>
    <n v="0.10200000000000001"/>
    <s v="METRE"/>
    <n v="0"/>
    <n v="50"/>
    <n v="-5.5511151231257827E-15"/>
    <n v="-47.386000000000003"/>
    <n v="0"/>
    <n v="0"/>
    <n v="10.61"/>
    <x v="75"/>
    <n v="1.08222"/>
    <x v="7"/>
  </r>
  <r>
    <x v="13"/>
    <s v="Volkan Batkan"/>
    <x v="1"/>
    <x v="250"/>
    <x v="250"/>
    <n v="0.10100000000000001"/>
    <s v="METRE"/>
    <n v="0"/>
    <n v="50"/>
    <n v="-5.5511151231257827E-15"/>
    <n v="-47.386000000000003"/>
    <n v="0"/>
    <n v="0"/>
    <n v="10.61"/>
    <x v="75"/>
    <n v="1.07161"/>
    <x v="7"/>
  </r>
  <r>
    <x v="9"/>
    <s v="Stefan Zaugg"/>
    <x v="1"/>
    <x v="410"/>
    <x v="410"/>
    <n v="1"/>
    <s v="ADET"/>
    <n v="1"/>
    <n v="5"/>
    <n v="4"/>
    <n v="-5"/>
    <n v="0"/>
    <n v="0"/>
    <n v="5112.92"/>
    <x v="94"/>
    <n v="5112.92"/>
    <x v="1"/>
  </r>
  <r>
    <x v="11"/>
    <s v="Jan Urbanek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13"/>
    <s v="Volkan Batkan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19"/>
    <s v="Laurent MONTAGNER"/>
    <x v="1"/>
    <x v="147"/>
    <x v="147"/>
    <n v="1.5"/>
    <s v="METRE"/>
    <n v="0"/>
    <n v="6400"/>
    <n v="186.49999999999994"/>
    <n v="-6392"/>
    <n v="0"/>
    <n v="0"/>
    <n v="2.1"/>
    <x v="6"/>
    <n v="3.1500000000000004"/>
    <x v="7"/>
  </r>
  <r>
    <x v="17"/>
    <s v="Soner Kayıkçı"/>
    <x v="1"/>
    <x v="147"/>
    <x v="147"/>
    <n v="1"/>
    <s v="METRE"/>
    <n v="0"/>
    <n v="6400"/>
    <n v="186.49999999999994"/>
    <n v="-6392"/>
    <n v="0"/>
    <n v="0"/>
    <n v="2.1"/>
    <x v="6"/>
    <n v="2.1"/>
    <x v="7"/>
  </r>
  <r>
    <x v="17"/>
    <s v="Soner Kayıkçı"/>
    <x v="1"/>
    <x v="145"/>
    <x v="145"/>
    <n v="0.01"/>
    <s v="ADET"/>
    <n v="0"/>
    <n v="6"/>
    <n v="22.53"/>
    <n v="-5.5"/>
    <n v="0"/>
    <n v="0"/>
    <n v="133"/>
    <x v="55"/>
    <n v="1.33"/>
    <x v="3"/>
  </r>
  <r>
    <x v="19"/>
    <s v="Laurent MONTAGNER"/>
    <x v="1"/>
    <x v="145"/>
    <x v="145"/>
    <n v="0.01"/>
    <s v="ADET"/>
    <n v="0"/>
    <n v="6"/>
    <n v="22.53"/>
    <n v="-5.5"/>
    <n v="0"/>
    <n v="0"/>
    <n v="133"/>
    <x v="55"/>
    <n v="1.33"/>
    <x v="3"/>
  </r>
  <r>
    <x v="16"/>
    <s v="Laurent MONTAGNER"/>
    <x v="1"/>
    <x v="146"/>
    <x v="146"/>
    <n v="5"/>
    <s v="ADET"/>
    <n v="0"/>
    <n v="84"/>
    <n v="36"/>
    <n v="22"/>
    <n v="0"/>
    <n v="440"/>
    <n v="20"/>
    <x v="2"/>
    <n v="100"/>
    <x v="4"/>
  </r>
  <r>
    <x v="16"/>
    <s v="Laurent MONTAGNER"/>
    <x v="1"/>
    <x v="194"/>
    <x v="194"/>
    <n v="6"/>
    <s v="METRE"/>
    <n v="0"/>
    <n v="140"/>
    <n v="0"/>
    <n v="-122"/>
    <n v="0"/>
    <n v="0"/>
    <n v="25.42"/>
    <x v="23"/>
    <n v="152.52000000000001"/>
    <x v="7"/>
  </r>
  <r>
    <x v="18"/>
    <s v="Stina Alm"/>
    <x v="1"/>
    <x v="233"/>
    <x v="233"/>
    <n v="1"/>
    <s v="ADET"/>
    <n v="0"/>
    <n v="0"/>
    <n v="1"/>
    <n v="9"/>
    <n v="0"/>
    <n v="13877.91"/>
    <n v="1541.99"/>
    <x v="73"/>
    <n v="1541.99"/>
    <x v="2"/>
  </r>
  <r>
    <x v="11"/>
    <s v="Jan Urbanek"/>
    <x v="1"/>
    <x v="411"/>
    <x v="411"/>
    <n v="1"/>
    <s v="ADET"/>
    <n v="0"/>
    <n v="18"/>
    <n v="10"/>
    <n v="-5"/>
    <n v="0"/>
    <n v="0"/>
    <n v="115.6"/>
    <x v="23"/>
    <n v="115.6"/>
    <x v="7"/>
  </r>
  <r>
    <x v="14"/>
    <s v="Matteo Giolo"/>
    <x v="1"/>
    <x v="411"/>
    <x v="411"/>
    <n v="1"/>
    <s v="ADET"/>
    <n v="0"/>
    <n v="18"/>
    <n v="10"/>
    <n v="-5"/>
    <n v="0"/>
    <n v="0"/>
    <n v="115.6"/>
    <x v="23"/>
    <n v="115.6"/>
    <x v="7"/>
  </r>
  <r>
    <x v="14"/>
    <s v="Matteo Giolo"/>
    <x v="1"/>
    <x v="412"/>
    <x v="412"/>
    <n v="1"/>
    <s v="ADET"/>
    <n v="0"/>
    <n v="35"/>
    <n v="61"/>
    <n v="-12"/>
    <n v="0"/>
    <n v="0"/>
    <n v="19.07"/>
    <x v="23"/>
    <n v="19.07"/>
    <x v="7"/>
  </r>
  <r>
    <x v="18"/>
    <s v="Stina Alm"/>
    <x v="1"/>
    <x v="145"/>
    <x v="145"/>
    <n v="0.12000000000000001"/>
    <s v="ADET"/>
    <n v="0"/>
    <n v="6"/>
    <n v="22.53"/>
    <n v="-5.5"/>
    <n v="0"/>
    <n v="0"/>
    <n v="133"/>
    <x v="55"/>
    <n v="15.96"/>
    <x v="3"/>
  </r>
  <r>
    <x v="18"/>
    <s v="Stina Alm"/>
    <x v="1"/>
    <x v="146"/>
    <x v="146"/>
    <n v="4"/>
    <s v="ADET"/>
    <n v="0"/>
    <n v="84"/>
    <n v="36"/>
    <n v="22"/>
    <n v="0"/>
    <n v="440"/>
    <n v="20"/>
    <x v="2"/>
    <n v="80"/>
    <x v="4"/>
  </r>
  <r>
    <x v="17"/>
    <s v="Soner Kayıkçı"/>
    <x v="1"/>
    <x v="146"/>
    <x v="146"/>
    <n v="6"/>
    <s v="ADET"/>
    <n v="0"/>
    <n v="84"/>
    <n v="36"/>
    <n v="22"/>
    <n v="0"/>
    <n v="440"/>
    <n v="20"/>
    <x v="2"/>
    <n v="120"/>
    <x v="4"/>
  </r>
  <r>
    <x v="18"/>
    <s v="Stina Alm"/>
    <x v="1"/>
    <x v="170"/>
    <x v="170"/>
    <n v="1"/>
    <s v="ADET"/>
    <n v="0"/>
    <n v="5"/>
    <n v="10"/>
    <n v="7"/>
    <n v="0"/>
    <n v="85641.010000000009"/>
    <n v="12234.43"/>
    <x v="15"/>
    <n v="12234.43"/>
    <x v="7"/>
  </r>
  <r>
    <x v="18"/>
    <s v="Stina Alm"/>
    <x v="1"/>
    <x v="210"/>
    <x v="210"/>
    <n v="4"/>
    <s v="ADET"/>
    <n v="0"/>
    <n v="133"/>
    <n v="46"/>
    <n v="-49"/>
    <n v="0"/>
    <n v="0"/>
    <n v="3.75"/>
    <x v="1"/>
    <n v="15"/>
    <x v="1"/>
  </r>
  <r>
    <x v="13"/>
    <s v="Volkan Batkan"/>
    <x v="1"/>
    <x v="413"/>
    <x v="413"/>
    <n v="4"/>
    <s v="ADET"/>
    <n v="0"/>
    <n v="0"/>
    <n v="4"/>
    <n v="16"/>
    <n v="0"/>
    <n v="1440"/>
    <n v="90"/>
    <x v="95"/>
    <n v="360"/>
    <x v="11"/>
  </r>
  <r>
    <x v="9"/>
    <s v="Stefan Zaugg"/>
    <x v="1"/>
    <x v="414"/>
    <x v="414"/>
    <n v="1"/>
    <s v="ADET"/>
    <n v="0"/>
    <n v="27"/>
    <n v="4"/>
    <n v="-20"/>
    <n v="0"/>
    <n v="0"/>
    <n v="287.01"/>
    <x v="67"/>
    <n v="287.01"/>
    <x v="4"/>
  </r>
  <r>
    <x v="12"/>
    <s v="Stefan Zaugg"/>
    <x v="1"/>
    <x v="414"/>
    <x v="414"/>
    <n v="1"/>
    <s v="ADET"/>
    <n v="1"/>
    <n v="27"/>
    <n v="4"/>
    <n v="-20"/>
    <n v="0"/>
    <n v="0"/>
    <n v="287.01"/>
    <x v="67"/>
    <n v="287.01"/>
    <x v="4"/>
  </r>
  <r>
    <x v="13"/>
    <s v="Volkan Batkan"/>
    <x v="1"/>
    <x v="414"/>
    <x v="414"/>
    <n v="1"/>
    <s v="ADET"/>
    <n v="1"/>
    <n v="27"/>
    <n v="4"/>
    <n v="-20"/>
    <n v="0"/>
    <n v="0"/>
    <n v="287.01"/>
    <x v="67"/>
    <n v="287.01"/>
    <x v="4"/>
  </r>
  <r>
    <x v="9"/>
    <s v="Stefan Zaugg"/>
    <x v="1"/>
    <x v="415"/>
    <x v="415"/>
    <n v="1"/>
    <s v="ADET"/>
    <n v="0"/>
    <n v="27"/>
    <n v="4"/>
    <n v="-20"/>
    <n v="0"/>
    <n v="0"/>
    <n v="287.01"/>
    <x v="67"/>
    <n v="287.01"/>
    <x v="4"/>
  </r>
  <r>
    <x v="10"/>
    <s v="Murat Taşdemir"/>
    <x v="1"/>
    <x v="409"/>
    <x v="409"/>
    <n v="2"/>
    <s v="ADET"/>
    <n v="0"/>
    <n v="30"/>
    <n v="0"/>
    <n v="-10"/>
    <n v="0"/>
    <n v="0"/>
    <n v="60"/>
    <x v="14"/>
    <n v="120"/>
    <x v="1"/>
  </r>
  <r>
    <x v="11"/>
    <s v="Jan Urbanek"/>
    <x v="1"/>
    <x v="416"/>
    <x v="416"/>
    <n v="1"/>
    <s v="ADET"/>
    <n v="0"/>
    <n v="19"/>
    <n v="17"/>
    <n v="0"/>
    <n v="0"/>
    <n v="0"/>
    <n v="113.64"/>
    <x v="96"/>
    <n v="113.64"/>
    <x v="12"/>
  </r>
  <r>
    <x v="14"/>
    <s v="Matteo Giolo"/>
    <x v="1"/>
    <x v="416"/>
    <x v="416"/>
    <n v="1"/>
    <s v="ADET"/>
    <n v="0"/>
    <n v="19"/>
    <n v="17"/>
    <n v="0"/>
    <n v="0"/>
    <n v="0"/>
    <n v="113.64"/>
    <x v="96"/>
    <n v="113.64"/>
    <x v="12"/>
  </r>
  <r>
    <x v="9"/>
    <s v="Stefan Zaugg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12"/>
    <s v="Stefan Zaugg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14"/>
    <s v="Matteo Giolo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13"/>
    <s v="Volkan Batkan"/>
    <x v="1"/>
    <x v="418"/>
    <x v="418"/>
    <n v="2"/>
    <s v="ADET"/>
    <n v="2"/>
    <n v="4"/>
    <n v="12"/>
    <n v="-4"/>
    <n v="0"/>
    <n v="0"/>
    <n v="1028.73"/>
    <x v="67"/>
    <n v="2057.46"/>
    <x v="4"/>
  </r>
  <r>
    <x v="13"/>
    <s v="Volkan Batkan"/>
    <x v="1"/>
    <x v="419"/>
    <x v="419"/>
    <n v="3"/>
    <s v="ADET"/>
    <n v="3"/>
    <n v="42"/>
    <n v="20"/>
    <n v="1"/>
    <n v="0"/>
    <n v="348.7"/>
    <n v="348.7"/>
    <x v="67"/>
    <n v="1046.0999999999999"/>
    <x v="2"/>
  </r>
  <r>
    <x v="10"/>
    <s v="Murat Taşdemir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0"/>
    <s v="Murat Taşdemir"/>
    <x v="1"/>
    <x v="247"/>
    <x v="247"/>
    <n v="7.5"/>
    <s v="METRE"/>
    <n v="0"/>
    <n v="60"/>
    <n v="52"/>
    <n v="14.5"/>
    <n v="80"/>
    <n v="710.5"/>
    <n v="49"/>
    <x v="35"/>
    <n v="367.5"/>
    <x v="6"/>
  </r>
  <r>
    <x v="9"/>
    <s v="Stefan Zaugg"/>
    <x v="1"/>
    <x v="407"/>
    <x v="407"/>
    <n v="1"/>
    <s v="ADET"/>
    <n v="1"/>
    <n v="49"/>
    <n v="1.6000000000000014"/>
    <n v="-37.599999999999994"/>
    <n v="0"/>
    <n v="0"/>
    <n v="60"/>
    <x v="8"/>
    <n v="60"/>
    <x v="1"/>
  </r>
  <r>
    <x v="12"/>
    <s v="Stefan Zaugg"/>
    <x v="1"/>
    <x v="407"/>
    <x v="407"/>
    <n v="1"/>
    <s v="ADET"/>
    <n v="1"/>
    <n v="49"/>
    <n v="1.6000000000000014"/>
    <n v="-37.599999999999994"/>
    <n v="0"/>
    <n v="0"/>
    <n v="60"/>
    <x v="8"/>
    <n v="60"/>
    <x v="1"/>
  </r>
  <r>
    <x v="14"/>
    <s v="Matteo Giolo"/>
    <x v="1"/>
    <x v="407"/>
    <x v="407"/>
    <n v="1.35"/>
    <s v="ADET"/>
    <n v="0"/>
    <n v="49"/>
    <n v="1.6000000000000014"/>
    <n v="-37.599999999999994"/>
    <n v="0"/>
    <n v="0"/>
    <n v="60"/>
    <x v="8"/>
    <n v="81"/>
    <x v="1"/>
  </r>
  <r>
    <x v="13"/>
    <s v="Volkan Batkan"/>
    <x v="1"/>
    <x v="408"/>
    <x v="408"/>
    <n v="6"/>
    <s v="ADET"/>
    <n v="0"/>
    <n v="0"/>
    <n v="0"/>
    <n v="54"/>
    <n v="0"/>
    <n v="67.5"/>
    <n v="1.25"/>
    <x v="29"/>
    <n v="7.5"/>
    <x v="7"/>
  </r>
  <r>
    <x v="11"/>
    <s v="Jan Urbanek"/>
    <x v="1"/>
    <x v="414"/>
    <x v="414"/>
    <n v="1"/>
    <s v="ADET"/>
    <n v="0"/>
    <n v="27"/>
    <n v="4"/>
    <n v="-20"/>
    <n v="0"/>
    <n v="0"/>
    <n v="287.01"/>
    <x v="67"/>
    <n v="287.01"/>
    <x v="4"/>
  </r>
  <r>
    <x v="11"/>
    <s v="Jan Urbanek"/>
    <x v="1"/>
    <x v="415"/>
    <x v="415"/>
    <n v="1"/>
    <s v="ADET"/>
    <n v="0"/>
    <n v="27"/>
    <n v="4"/>
    <n v="-20"/>
    <n v="0"/>
    <n v="0"/>
    <n v="287.01"/>
    <x v="67"/>
    <n v="287.01"/>
    <x v="4"/>
  </r>
  <r>
    <x v="14"/>
    <s v="Matteo Giolo"/>
    <x v="1"/>
    <x v="420"/>
    <x v="420"/>
    <n v="2"/>
    <s v="ADET"/>
    <n v="0"/>
    <n v="115"/>
    <n v="28"/>
    <n v="-71"/>
    <n v="0"/>
    <n v="0"/>
    <n v="250"/>
    <x v="1"/>
    <n v="500"/>
    <x v="1"/>
  </r>
  <r>
    <x v="10"/>
    <s v="Murat Taşdemir"/>
    <x v="1"/>
    <x v="416"/>
    <x v="416"/>
    <n v="1"/>
    <s v="ADET"/>
    <n v="0"/>
    <n v="19"/>
    <n v="17"/>
    <n v="0"/>
    <n v="0"/>
    <n v="0"/>
    <n v="113.64"/>
    <x v="96"/>
    <n v="113.64"/>
    <x v="12"/>
  </r>
  <r>
    <x v="13"/>
    <s v="Volkan Batkan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10"/>
    <s v="Murat Taşdemir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11"/>
    <s v="Jan Urbanek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4"/>
    <s v="Matteo Giolo"/>
    <x v="1"/>
    <x v="419"/>
    <x v="419"/>
    <n v="4"/>
    <s v="ADET"/>
    <n v="0"/>
    <n v="42"/>
    <n v="20"/>
    <n v="1"/>
    <n v="0"/>
    <n v="348.7"/>
    <n v="348.7"/>
    <x v="67"/>
    <n v="1394.8"/>
    <x v="2"/>
  </r>
  <r>
    <x v="0"/>
    <s v="Matteo Giolo"/>
    <x v="1"/>
    <x v="247"/>
    <x v="247"/>
    <n v="9"/>
    <s v="METRE"/>
    <n v="0"/>
    <n v="60"/>
    <n v="52"/>
    <n v="14.5"/>
    <n v="80"/>
    <n v="710.5"/>
    <n v="49"/>
    <x v="35"/>
    <n v="441"/>
    <x v="6"/>
  </r>
  <r>
    <x v="18"/>
    <s v="Stina Alm"/>
    <x v="1"/>
    <x v="175"/>
    <x v="175"/>
    <n v="1"/>
    <s v="ADET"/>
    <n v="0"/>
    <n v="0"/>
    <n v="0"/>
    <n v="3"/>
    <n v="0"/>
    <n v="40950.03"/>
    <n v="13650.01"/>
    <x v="43"/>
    <n v="13650.01"/>
    <x v="7"/>
  </r>
  <r>
    <x v="18"/>
    <s v="Stina Alm"/>
    <x v="1"/>
    <x v="173"/>
    <x v="173"/>
    <n v="3"/>
    <s v="ADET"/>
    <n v="0"/>
    <n v="24"/>
    <n v="22"/>
    <n v="-31"/>
    <n v="50"/>
    <n v="0"/>
    <n v="44"/>
    <x v="60"/>
    <n v="132"/>
    <x v="7"/>
  </r>
  <r>
    <x v="17"/>
    <s v="Soner Kayıkçı"/>
    <x v="1"/>
    <x v="174"/>
    <x v="174"/>
    <n v="2"/>
    <s v="ADET"/>
    <n v="0"/>
    <n v="22"/>
    <n v="18"/>
    <n v="-6"/>
    <n v="10"/>
    <n v="0"/>
    <n v="400"/>
    <x v="56"/>
    <n v="800"/>
    <x v="7"/>
  </r>
  <r>
    <x v="18"/>
    <s v="Stina Alm"/>
    <x v="1"/>
    <x v="180"/>
    <x v="180"/>
    <n v="50"/>
    <s v="METRE"/>
    <n v="0"/>
    <n v="0"/>
    <n v="1804.0000000000018"/>
    <n v="300"/>
    <n v="0"/>
    <n v="2904"/>
    <n v="9.68"/>
    <x v="63"/>
    <n v="484"/>
    <x v="8"/>
  </r>
  <r>
    <x v="19"/>
    <s v="Laurent MONTAGNER"/>
    <x v="1"/>
    <x v="180"/>
    <x v="180"/>
    <n v="50"/>
    <s v="METRE"/>
    <n v="50"/>
    <n v="0"/>
    <n v="1804.0000000000018"/>
    <n v="300"/>
    <n v="0"/>
    <n v="2904"/>
    <n v="9.68"/>
    <x v="63"/>
    <n v="484"/>
    <x v="8"/>
  </r>
  <r>
    <x v="18"/>
    <s v="Stina Alm"/>
    <x v="1"/>
    <x v="181"/>
    <x v="181"/>
    <n v="8.89"/>
    <s v="KG"/>
    <n v="0"/>
    <n v="0"/>
    <n v="260.61000000000013"/>
    <n v="97.560000000000016"/>
    <n v="0"/>
    <n v="13285.720800000003"/>
    <n v="136.18"/>
    <x v="64"/>
    <n v="1210.6402"/>
    <x v="3"/>
  </r>
  <r>
    <x v="19"/>
    <s v="Laurent MONTAGNER"/>
    <x v="1"/>
    <x v="181"/>
    <x v="181"/>
    <n v="10.62"/>
    <s v="KG"/>
    <n v="10.62"/>
    <n v="0"/>
    <n v="260.61000000000013"/>
    <n v="97.560000000000016"/>
    <n v="0"/>
    <n v="13285.720800000003"/>
    <n v="136.18"/>
    <x v="64"/>
    <n v="1446.2316000000001"/>
    <x v="3"/>
  </r>
  <r>
    <x v="18"/>
    <s v="Stina Alm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9"/>
    <s v="Laurent MONTAGNER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8"/>
    <s v="Stina Alm"/>
    <x v="1"/>
    <x v="240"/>
    <x v="240"/>
    <n v="5"/>
    <s v="ADET"/>
    <n v="0"/>
    <n v="85"/>
    <n v="34"/>
    <n v="-18"/>
    <n v="40"/>
    <n v="0"/>
    <n v="74"/>
    <x v="12"/>
    <n v="370"/>
    <x v="4"/>
  </r>
  <r>
    <x v="17"/>
    <s v="Soner Kayıkçı"/>
    <x v="1"/>
    <x v="240"/>
    <x v="240"/>
    <n v="6"/>
    <s v="ADET"/>
    <n v="0"/>
    <n v="85"/>
    <n v="34"/>
    <n v="-18"/>
    <n v="40"/>
    <n v="0"/>
    <n v="74"/>
    <x v="12"/>
    <n v="444"/>
    <x v="4"/>
  </r>
  <r>
    <x v="19"/>
    <s v="Laurent MONTAGNER"/>
    <x v="1"/>
    <x v="240"/>
    <x v="240"/>
    <n v="6"/>
    <s v="ADET"/>
    <n v="0"/>
    <n v="85"/>
    <n v="34"/>
    <n v="-18"/>
    <n v="40"/>
    <n v="0"/>
    <n v="74"/>
    <x v="12"/>
    <n v="444"/>
    <x v="4"/>
  </r>
  <r>
    <x v="18"/>
    <s v="Stina Alm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8"/>
    <s v="Stina Alm"/>
    <x v="1"/>
    <x v="242"/>
    <x v="242"/>
    <n v="1"/>
    <s v="ADET"/>
    <n v="0"/>
    <n v="16"/>
    <n v="8"/>
    <n v="-3"/>
    <n v="0"/>
    <n v="0"/>
    <n v="224.46"/>
    <x v="23"/>
    <n v="224.46"/>
    <x v="7"/>
  </r>
  <r>
    <x v="16"/>
    <s v="Laurent MONTAGNER"/>
    <x v="1"/>
    <x v="172"/>
    <x v="172"/>
    <n v="0.7"/>
    <s v="ADET"/>
    <n v="0"/>
    <n v="24"/>
    <n v="-3.5527136788005009E-14"/>
    <n v="-7.6000000000000014"/>
    <n v="0"/>
    <n v="0"/>
    <n v="120"/>
    <x v="2"/>
    <n v="84"/>
    <x v="3"/>
  </r>
  <r>
    <x v="17"/>
    <s v="Soner Kayıkçı"/>
    <x v="1"/>
    <x v="172"/>
    <x v="172"/>
    <n v="1"/>
    <s v="ADET"/>
    <n v="0"/>
    <n v="24"/>
    <n v="-3.5527136788005009E-14"/>
    <n v="-7.6000000000000014"/>
    <n v="0"/>
    <n v="0"/>
    <n v="120"/>
    <x v="2"/>
    <n v="120"/>
    <x v="3"/>
  </r>
  <r>
    <x v="16"/>
    <s v="Laurent MONTAGNER"/>
    <x v="1"/>
    <x v="240"/>
    <x v="240"/>
    <n v="6"/>
    <s v="ADET"/>
    <n v="0"/>
    <n v="85"/>
    <n v="34"/>
    <n v="-18"/>
    <n v="40"/>
    <n v="0"/>
    <n v="74"/>
    <x v="12"/>
    <n v="444"/>
    <x v="4"/>
  </r>
  <r>
    <x v="16"/>
    <s v="Laurent MONTAGNER"/>
    <x v="1"/>
    <x v="242"/>
    <x v="242"/>
    <n v="1"/>
    <s v="ADET"/>
    <n v="0"/>
    <n v="16"/>
    <n v="8"/>
    <n v="-3"/>
    <n v="0"/>
    <n v="0"/>
    <n v="224.46"/>
    <x v="23"/>
    <n v="224.46"/>
    <x v="7"/>
  </r>
  <r>
    <x v="17"/>
    <s v="Soner Kayıkçı"/>
    <x v="1"/>
    <x v="173"/>
    <x v="173"/>
    <n v="3"/>
    <s v="ADET"/>
    <n v="0"/>
    <n v="24"/>
    <n v="22"/>
    <n v="-31"/>
    <n v="50"/>
    <n v="0"/>
    <n v="44"/>
    <x v="60"/>
    <n v="132"/>
    <x v="7"/>
  </r>
  <r>
    <x v="17"/>
    <s v="Soner Kayıkçı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7"/>
    <s v="Soner Kayıkçı"/>
    <x v="1"/>
    <x v="242"/>
    <x v="242"/>
    <n v="1"/>
    <s v="ADET"/>
    <n v="0"/>
    <n v="16"/>
    <n v="8"/>
    <n v="-3"/>
    <n v="0"/>
    <n v="0"/>
    <n v="224.46"/>
    <x v="23"/>
    <n v="224.46"/>
    <x v="7"/>
  </r>
  <r>
    <x v="4"/>
    <s v="Jan Urbanek"/>
    <x v="1"/>
    <x v="401"/>
    <x v="401"/>
    <n v="2"/>
    <s v="ADET"/>
    <n v="0"/>
    <n v="0"/>
    <n v="64"/>
    <n v="40"/>
    <n v="0"/>
    <n v="274.8"/>
    <n v="6.87"/>
    <x v="23"/>
    <n v="13.74"/>
    <x v="7"/>
  </r>
  <r>
    <x v="4"/>
    <s v="Jan Urbanek"/>
    <x v="1"/>
    <x v="400"/>
    <x v="400"/>
    <n v="60"/>
    <s v="ADET"/>
    <n v="0"/>
    <n v="5000"/>
    <n v="0"/>
    <n v="-3820"/>
    <n v="0"/>
    <n v="0"/>
    <n v="0.6"/>
    <x v="2"/>
    <n v="36"/>
    <x v="1"/>
  </r>
  <r>
    <x v="8"/>
    <s v="Jan Urbanek"/>
    <x v="1"/>
    <x v="396"/>
    <x v="396"/>
    <n v="110"/>
    <s v="ADET"/>
    <n v="0"/>
    <n v="7500"/>
    <n v="0"/>
    <n v="-5570"/>
    <n v="0"/>
    <n v="0"/>
    <n v="0.8"/>
    <x v="23"/>
    <n v="88"/>
    <x v="1"/>
  </r>
  <r>
    <x v="8"/>
    <s v="Jan Urbanek"/>
    <x v="1"/>
    <x v="397"/>
    <x v="397"/>
    <n v="4.25"/>
    <s v="ADET"/>
    <n v="0"/>
    <n v="46"/>
    <n v="85.879999999999981"/>
    <n v="-11.119999999999997"/>
    <n v="0"/>
    <n v="0"/>
    <n v="55"/>
    <x v="2"/>
    <n v="233.75"/>
    <x v="1"/>
  </r>
  <r>
    <x v="0"/>
    <s v="Matteo Giolo"/>
    <x v="1"/>
    <x v="401"/>
    <x v="401"/>
    <n v="2"/>
    <s v="ADET"/>
    <n v="0"/>
    <n v="0"/>
    <n v="64"/>
    <n v="40"/>
    <n v="0"/>
    <n v="274.8"/>
    <n v="6.87"/>
    <x v="23"/>
    <n v="13.74"/>
    <x v="7"/>
  </r>
  <r>
    <x v="0"/>
    <s v="Matteo Giolo"/>
    <x v="1"/>
    <x v="400"/>
    <x v="400"/>
    <n v="60"/>
    <s v="ADET"/>
    <n v="0"/>
    <n v="5000"/>
    <n v="0"/>
    <n v="-3820"/>
    <n v="0"/>
    <n v="0"/>
    <n v="0.6"/>
    <x v="2"/>
    <n v="36"/>
    <x v="1"/>
  </r>
  <r>
    <x v="12"/>
    <s v="Stefan Zaugg"/>
    <x v="1"/>
    <x v="411"/>
    <x v="411"/>
    <n v="1"/>
    <s v="ADET"/>
    <n v="1"/>
    <n v="18"/>
    <n v="10"/>
    <n v="-5"/>
    <n v="0"/>
    <n v="0"/>
    <n v="115.6"/>
    <x v="23"/>
    <n v="115.6"/>
    <x v="7"/>
  </r>
  <r>
    <x v="13"/>
    <s v="Volkan Batkan"/>
    <x v="1"/>
    <x v="411"/>
    <x v="411"/>
    <n v="1"/>
    <s v="ADET"/>
    <n v="1"/>
    <n v="18"/>
    <n v="10"/>
    <n v="-5"/>
    <n v="0"/>
    <n v="0"/>
    <n v="115.6"/>
    <x v="23"/>
    <n v="115.6"/>
    <x v="7"/>
  </r>
  <r>
    <x v="11"/>
    <s v="Jan Urbanek"/>
    <x v="1"/>
    <x v="412"/>
    <x v="412"/>
    <n v="2"/>
    <s v="ADET"/>
    <n v="0"/>
    <n v="35"/>
    <n v="61"/>
    <n v="-12"/>
    <n v="0"/>
    <n v="0"/>
    <n v="19.07"/>
    <x v="23"/>
    <n v="38.14"/>
    <x v="7"/>
  </r>
  <r>
    <x v="16"/>
    <s v="Laurent MONTAGNER"/>
    <x v="1"/>
    <x v="210"/>
    <x v="210"/>
    <n v="4"/>
    <s v="ADET"/>
    <n v="0"/>
    <n v="133"/>
    <n v="46"/>
    <n v="-49"/>
    <n v="0"/>
    <n v="0"/>
    <n v="3.75"/>
    <x v="1"/>
    <n v="15"/>
    <x v="1"/>
  </r>
  <r>
    <x v="17"/>
    <s v="Soner Kayıkçı"/>
    <x v="1"/>
    <x v="210"/>
    <x v="210"/>
    <n v="6"/>
    <s v="ADET"/>
    <n v="0"/>
    <n v="133"/>
    <n v="46"/>
    <n v="-49"/>
    <n v="0"/>
    <n v="0"/>
    <n v="3.75"/>
    <x v="1"/>
    <n v="22.5"/>
    <x v="1"/>
  </r>
  <r>
    <x v="19"/>
    <s v="Laurent MONTAGNER"/>
    <x v="1"/>
    <x v="233"/>
    <x v="233"/>
    <n v="1"/>
    <s v="ADET"/>
    <n v="0"/>
    <n v="0"/>
    <n v="1"/>
    <n v="9"/>
    <n v="0"/>
    <n v="13877.91"/>
    <n v="1541.99"/>
    <x v="73"/>
    <n v="1541.99"/>
    <x v="2"/>
  </r>
  <r>
    <x v="16"/>
    <s v="Laurent MONTAGNER"/>
    <x v="1"/>
    <x v="233"/>
    <x v="233"/>
    <n v="1"/>
    <s v="ADET"/>
    <n v="0"/>
    <n v="0"/>
    <n v="1"/>
    <n v="9"/>
    <n v="0"/>
    <n v="13877.91"/>
    <n v="1541.99"/>
    <x v="73"/>
    <n v="1541.99"/>
    <x v="2"/>
  </r>
  <r>
    <x v="11"/>
    <s v="Jan Urbanek"/>
    <x v="1"/>
    <x v="421"/>
    <x v="421"/>
    <n v="1"/>
    <s v="ADET"/>
    <n v="0"/>
    <n v="37"/>
    <n v="2"/>
    <n v="-17"/>
    <n v="0"/>
    <n v="0"/>
    <n v="82.6"/>
    <x v="12"/>
    <n v="82.6"/>
    <x v="4"/>
  </r>
  <r>
    <x v="9"/>
    <s v="Stefan Zaugg"/>
    <x v="1"/>
    <x v="422"/>
    <x v="422"/>
    <n v="5.5"/>
    <s v="ADET"/>
    <n v="0"/>
    <n v="0"/>
    <n v="24.049999999999969"/>
    <n v="147.72000000000003"/>
    <n v="34"/>
    <n v="249893.49240000005"/>
    <n v="1691.67"/>
    <x v="61"/>
    <n v="9304.1850000000013"/>
    <x v="8"/>
  </r>
  <r>
    <x v="13"/>
    <s v="Volkan Batkan"/>
    <x v="1"/>
    <x v="423"/>
    <x v="423"/>
    <n v="8"/>
    <s v="ADET"/>
    <n v="0"/>
    <n v="524"/>
    <n v="352"/>
    <n v="-374"/>
    <n v="0"/>
    <n v="0"/>
    <n v="8.1"/>
    <x v="60"/>
    <n v="64.8"/>
    <x v="7"/>
  </r>
  <r>
    <x v="10"/>
    <s v="Murat Taşdemir"/>
    <x v="1"/>
    <x v="411"/>
    <x v="411"/>
    <n v="1"/>
    <s v="ADET"/>
    <n v="0"/>
    <n v="18"/>
    <n v="10"/>
    <n v="-5"/>
    <n v="0"/>
    <n v="0"/>
    <n v="115.6"/>
    <x v="23"/>
    <n v="115.6"/>
    <x v="7"/>
  </r>
  <r>
    <x v="9"/>
    <s v="Stefan Zaugg"/>
    <x v="1"/>
    <x v="412"/>
    <x v="412"/>
    <n v="1"/>
    <s v="ADET"/>
    <n v="0"/>
    <n v="35"/>
    <n v="61"/>
    <n v="-12"/>
    <n v="0"/>
    <n v="0"/>
    <n v="19.07"/>
    <x v="23"/>
    <n v="19.07"/>
    <x v="7"/>
  </r>
  <r>
    <x v="10"/>
    <s v="Murat Taşdemir"/>
    <x v="1"/>
    <x v="421"/>
    <x v="421"/>
    <n v="1"/>
    <s v="ADET"/>
    <n v="0"/>
    <n v="37"/>
    <n v="2"/>
    <n v="-17"/>
    <n v="0"/>
    <n v="0"/>
    <n v="82.6"/>
    <x v="12"/>
    <n v="82.6"/>
    <x v="4"/>
  </r>
  <r>
    <x v="9"/>
    <s v="Stefan Zaugg"/>
    <x v="1"/>
    <x v="424"/>
    <x v="424"/>
    <n v="13.5"/>
    <s v="ADET"/>
    <n v="13.5"/>
    <n v="180"/>
    <n v="80"/>
    <n v="32"/>
    <n v="0"/>
    <n v="7680"/>
    <n v="240"/>
    <x v="2"/>
    <n v="3240"/>
    <x v="1"/>
  </r>
  <r>
    <x v="12"/>
    <s v="Stefan Zaugg"/>
    <x v="1"/>
    <x v="424"/>
    <x v="424"/>
    <n v="9.5"/>
    <s v="ADET"/>
    <n v="9.5"/>
    <n v="180"/>
    <n v="80"/>
    <n v="32"/>
    <n v="0"/>
    <n v="7680"/>
    <n v="240"/>
    <x v="2"/>
    <n v="2280"/>
    <x v="1"/>
  </r>
  <r>
    <x v="14"/>
    <s v="Matteo Giolo"/>
    <x v="1"/>
    <x v="424"/>
    <x v="424"/>
    <n v="9.5"/>
    <s v="ADET"/>
    <n v="0"/>
    <n v="180"/>
    <n v="80"/>
    <n v="32"/>
    <n v="0"/>
    <n v="7680"/>
    <n v="240"/>
    <x v="2"/>
    <n v="2280"/>
    <x v="1"/>
  </r>
  <r>
    <x v="13"/>
    <s v="Volkan Batkan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0"/>
    <s v="Murat Taşdemir"/>
    <x v="1"/>
    <x v="425"/>
    <x v="425"/>
    <n v="1"/>
    <s v="ADET"/>
    <n v="0"/>
    <n v="0"/>
    <n v="0"/>
    <n v="2"/>
    <n v="0"/>
    <n v="0"/>
    <n v="0"/>
    <x v="6"/>
    <n v="0"/>
    <x v="2"/>
  </r>
  <r>
    <x v="9"/>
    <s v="Stefan Zaugg"/>
    <x v="1"/>
    <x v="423"/>
    <x v="423"/>
    <n v="8"/>
    <s v="ADET"/>
    <n v="0"/>
    <n v="524"/>
    <n v="352"/>
    <n v="-374"/>
    <n v="0"/>
    <n v="0"/>
    <n v="8.1"/>
    <x v="60"/>
    <n v="64.8"/>
    <x v="7"/>
  </r>
  <r>
    <x v="6"/>
    <s v="Stefan Zaugg"/>
    <x v="1"/>
    <x v="412"/>
    <x v="412"/>
    <n v="1"/>
    <s v="ADET"/>
    <n v="0"/>
    <n v="35"/>
    <n v="61"/>
    <n v="-12"/>
    <n v="0"/>
    <n v="0"/>
    <n v="19.07"/>
    <x v="23"/>
    <n v="19.07"/>
    <x v="7"/>
  </r>
  <r>
    <x v="5"/>
    <s v="Matteo Giolo"/>
    <x v="1"/>
    <x v="412"/>
    <x v="412"/>
    <n v="1"/>
    <s v="ADET"/>
    <n v="0"/>
    <n v="35"/>
    <n v="61"/>
    <n v="-12"/>
    <n v="0"/>
    <n v="0"/>
    <n v="19.07"/>
    <x v="23"/>
    <n v="19.07"/>
    <x v="7"/>
  </r>
  <r>
    <x v="1"/>
    <s v="Laurent MONTAGNER"/>
    <x v="1"/>
    <x v="424"/>
    <x v="424"/>
    <n v="14"/>
    <s v="ADET"/>
    <n v="0"/>
    <n v="180"/>
    <n v="80"/>
    <n v="32"/>
    <n v="0"/>
    <n v="7680"/>
    <n v="240"/>
    <x v="2"/>
    <n v="3360"/>
    <x v="1"/>
  </r>
  <r>
    <x v="7"/>
    <s v="Stina Alm"/>
    <x v="1"/>
    <x v="424"/>
    <x v="424"/>
    <n v="9.5"/>
    <s v="ADET"/>
    <n v="0"/>
    <n v="180"/>
    <n v="80"/>
    <n v="32"/>
    <n v="0"/>
    <n v="7680"/>
    <n v="240"/>
    <x v="2"/>
    <n v="2280"/>
    <x v="1"/>
  </r>
  <r>
    <x v="0"/>
    <s v="Matteo Giolo"/>
    <x v="1"/>
    <x v="426"/>
    <x v="426"/>
    <n v="2.4700000000000002"/>
    <s v="KG"/>
    <n v="0"/>
    <n v="0"/>
    <n v="154.9500000000001"/>
    <n v="21.899999999999991"/>
    <n v="60"/>
    <n v="4265.0249999999987"/>
    <n v="194.75"/>
    <x v="8"/>
    <n v="481.03250000000003"/>
    <x v="3"/>
  </r>
  <r>
    <x v="14"/>
    <s v="Matteo Giolo"/>
    <x v="1"/>
    <x v="427"/>
    <x v="427"/>
    <n v="1"/>
    <s v="ADET"/>
    <n v="0"/>
    <n v="6"/>
    <n v="9"/>
    <n v="0"/>
    <n v="7"/>
    <n v="0"/>
    <n v="1535.25"/>
    <x v="24"/>
    <n v="1535.25"/>
    <x v="7"/>
  </r>
  <r>
    <x v="7"/>
    <s v="Stina Alm"/>
    <x v="1"/>
    <x v="411"/>
    <x v="411"/>
    <n v="1"/>
    <s v="ADET"/>
    <n v="0"/>
    <n v="18"/>
    <n v="10"/>
    <n v="-5"/>
    <n v="0"/>
    <n v="0"/>
    <n v="115.6"/>
    <x v="23"/>
    <n v="115.6"/>
    <x v="7"/>
  </r>
  <r>
    <x v="1"/>
    <s v="Laurent MONTAGNER"/>
    <x v="1"/>
    <x v="412"/>
    <x v="412"/>
    <n v="1"/>
    <s v="ADET"/>
    <n v="0"/>
    <n v="35"/>
    <n v="61"/>
    <n v="-12"/>
    <n v="0"/>
    <n v="0"/>
    <n v="19.07"/>
    <x v="23"/>
    <n v="19.07"/>
    <x v="7"/>
  </r>
  <r>
    <x v="7"/>
    <s v="Stina Alm"/>
    <x v="1"/>
    <x v="412"/>
    <x v="412"/>
    <n v="1"/>
    <s v="ADET"/>
    <n v="0"/>
    <n v="35"/>
    <n v="61"/>
    <n v="-12"/>
    <n v="0"/>
    <n v="0"/>
    <n v="19.07"/>
    <x v="23"/>
    <n v="19.07"/>
    <x v="7"/>
  </r>
  <r>
    <x v="0"/>
    <s v="Matteo Giolo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8"/>
    <s v="Jan Urbanek"/>
    <x v="1"/>
    <x v="401"/>
    <x v="401"/>
    <n v="2"/>
    <s v="ADET"/>
    <n v="0"/>
    <n v="0"/>
    <n v="64"/>
    <n v="40"/>
    <n v="0"/>
    <n v="274.8"/>
    <n v="6.87"/>
    <x v="23"/>
    <n v="13.74"/>
    <x v="7"/>
  </r>
  <r>
    <x v="8"/>
    <s v="Jan Urbanek"/>
    <x v="1"/>
    <x v="400"/>
    <x v="400"/>
    <n v="60"/>
    <s v="ADET"/>
    <n v="0"/>
    <n v="5000"/>
    <n v="0"/>
    <n v="-3820"/>
    <n v="0"/>
    <n v="0"/>
    <n v="0.6"/>
    <x v="2"/>
    <n v="36"/>
    <x v="1"/>
  </r>
  <r>
    <x v="8"/>
    <s v="Jan Urbanek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13"/>
    <s v="Volkan Batkan"/>
    <x v="1"/>
    <x v="398"/>
    <x v="398"/>
    <n v="1"/>
    <s v="METRE"/>
    <n v="0"/>
    <n v="100"/>
    <n v="4.5474735088646412E-13"/>
    <n v="-97"/>
    <n v="0"/>
    <n v="0"/>
    <n v="24"/>
    <x v="68"/>
    <n v="24"/>
    <x v="7"/>
  </r>
  <r>
    <x v="13"/>
    <s v="Volkan Batkan"/>
    <x v="1"/>
    <x v="396"/>
    <x v="396"/>
    <n v="110"/>
    <s v="ADET"/>
    <n v="0"/>
    <n v="7500"/>
    <n v="0"/>
    <n v="-5570"/>
    <n v="0"/>
    <n v="0"/>
    <n v="0.8"/>
    <x v="23"/>
    <n v="88"/>
    <x v="1"/>
  </r>
  <r>
    <x v="2"/>
    <s v="Jan Urbanek"/>
    <x v="1"/>
    <x v="396"/>
    <x v="396"/>
    <n v="110"/>
    <s v="ADET"/>
    <n v="0"/>
    <n v="7500"/>
    <n v="0"/>
    <n v="-5570"/>
    <n v="0"/>
    <n v="0"/>
    <n v="0.8"/>
    <x v="23"/>
    <n v="88"/>
    <x v="1"/>
  </r>
  <r>
    <x v="2"/>
    <s v="Jan Urbanek"/>
    <x v="1"/>
    <x v="397"/>
    <x v="397"/>
    <n v="4.25"/>
    <s v="ADET"/>
    <n v="0"/>
    <n v="46"/>
    <n v="85.879999999999981"/>
    <n v="-11.119999999999997"/>
    <n v="0"/>
    <n v="0"/>
    <n v="55"/>
    <x v="2"/>
    <n v="233.75"/>
    <x v="1"/>
  </r>
  <r>
    <x v="6"/>
    <s v="Stefan Zaugg"/>
    <x v="1"/>
    <x v="401"/>
    <x v="401"/>
    <n v="4"/>
    <s v="ADET"/>
    <n v="0"/>
    <n v="0"/>
    <n v="64"/>
    <n v="40"/>
    <n v="0"/>
    <n v="274.8"/>
    <n v="6.87"/>
    <x v="23"/>
    <n v="27.48"/>
    <x v="7"/>
  </r>
  <r>
    <x v="5"/>
    <s v="Matteo Giolo"/>
    <x v="1"/>
    <x v="401"/>
    <x v="401"/>
    <n v="2"/>
    <s v="ADET"/>
    <n v="0"/>
    <n v="0"/>
    <n v="64"/>
    <n v="40"/>
    <n v="0"/>
    <n v="274.8"/>
    <n v="6.87"/>
    <x v="23"/>
    <n v="13.74"/>
    <x v="7"/>
  </r>
  <r>
    <x v="6"/>
    <s v="Stefan Zaugg"/>
    <x v="1"/>
    <x v="400"/>
    <x v="400"/>
    <n v="60"/>
    <s v="ADET"/>
    <n v="0"/>
    <n v="5000"/>
    <n v="0"/>
    <n v="-3820"/>
    <n v="0"/>
    <n v="0"/>
    <n v="0.6"/>
    <x v="2"/>
    <n v="36"/>
    <x v="1"/>
  </r>
  <r>
    <x v="5"/>
    <s v="Matteo Giolo"/>
    <x v="1"/>
    <x v="400"/>
    <x v="400"/>
    <n v="65"/>
    <s v="ADET"/>
    <n v="0"/>
    <n v="5000"/>
    <n v="0"/>
    <n v="-3820"/>
    <n v="0"/>
    <n v="0"/>
    <n v="0.6"/>
    <x v="2"/>
    <n v="39"/>
    <x v="1"/>
  </r>
  <r>
    <x v="1"/>
    <s v="Laurent MONTAGNER"/>
    <x v="1"/>
    <x v="400"/>
    <x v="400"/>
    <n v="65"/>
    <s v="ADET"/>
    <n v="0"/>
    <n v="5000"/>
    <n v="0"/>
    <n v="-3820"/>
    <n v="0"/>
    <n v="0"/>
    <n v="0.6"/>
    <x v="2"/>
    <n v="39"/>
    <x v="1"/>
  </r>
  <r>
    <x v="5"/>
    <s v="Matteo Giolo"/>
    <x v="1"/>
    <x v="399"/>
    <x v="399"/>
    <n v="0.5"/>
    <s v="KG"/>
    <n v="0"/>
    <n v="72"/>
    <n v="7"/>
    <n v="-51.5"/>
    <n v="0"/>
    <n v="0"/>
    <n v="212.93"/>
    <x v="71"/>
    <n v="106.465"/>
    <x v="8"/>
  </r>
  <r>
    <x v="1"/>
    <s v="Laurent MONTAGNER"/>
    <x v="1"/>
    <x v="399"/>
    <x v="399"/>
    <n v="0.5"/>
    <s v="KG"/>
    <n v="0"/>
    <n v="72"/>
    <n v="7"/>
    <n v="-51.5"/>
    <n v="0"/>
    <n v="0"/>
    <n v="212.93"/>
    <x v="71"/>
    <n v="106.465"/>
    <x v="8"/>
  </r>
  <r>
    <x v="2"/>
    <s v="Jan Urbanek"/>
    <x v="1"/>
    <x v="400"/>
    <x v="400"/>
    <n v="60"/>
    <s v="ADET"/>
    <n v="0"/>
    <n v="5000"/>
    <n v="0"/>
    <n v="-3820"/>
    <n v="0"/>
    <n v="0"/>
    <n v="0.6"/>
    <x v="2"/>
    <n v="36"/>
    <x v="1"/>
  </r>
  <r>
    <x v="3"/>
    <s v="Jan Urbanek"/>
    <x v="1"/>
    <x v="400"/>
    <x v="400"/>
    <n v="60"/>
    <s v="ADET"/>
    <n v="0"/>
    <n v="5000"/>
    <n v="0"/>
    <n v="-3820"/>
    <n v="0"/>
    <n v="0"/>
    <n v="0.6"/>
    <x v="2"/>
    <n v="36"/>
    <x v="1"/>
  </r>
  <r>
    <x v="3"/>
    <s v="Jan Urbanek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4"/>
    <s v="Jan Urbanek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2"/>
    <s v="Jan Urbanek"/>
    <x v="1"/>
    <x v="428"/>
    <x v="428"/>
    <n v="40"/>
    <s v="ADET"/>
    <n v="0"/>
    <n v="950"/>
    <n v="380"/>
    <n v="-90"/>
    <n v="0"/>
    <n v="0"/>
    <n v="0.4"/>
    <x v="5"/>
    <n v="16"/>
    <x v="1"/>
  </r>
  <r>
    <x v="9"/>
    <s v="Stefan Zaugg"/>
    <x v="1"/>
    <x v="396"/>
    <x v="396"/>
    <n v="110"/>
    <s v="ADET"/>
    <n v="0"/>
    <n v="7500"/>
    <n v="0"/>
    <n v="-5570"/>
    <n v="0"/>
    <n v="0"/>
    <n v="0.8"/>
    <x v="23"/>
    <n v="88"/>
    <x v="1"/>
  </r>
  <r>
    <x v="12"/>
    <s v="Stefan Zaugg"/>
    <x v="1"/>
    <x v="396"/>
    <x v="396"/>
    <n v="110"/>
    <s v="ADET"/>
    <n v="0"/>
    <n v="7500"/>
    <n v="0"/>
    <n v="-5570"/>
    <n v="0"/>
    <n v="0"/>
    <n v="0.8"/>
    <x v="23"/>
    <n v="88"/>
    <x v="1"/>
  </r>
  <r>
    <x v="14"/>
    <s v="Matteo Giolo"/>
    <x v="1"/>
    <x v="429"/>
    <x v="429"/>
    <n v="1"/>
    <s v="ADET"/>
    <n v="0"/>
    <n v="0"/>
    <n v="2"/>
    <n v="8"/>
    <n v="0"/>
    <n v="191760"/>
    <n v="23970"/>
    <x v="98"/>
    <n v="23970"/>
    <x v="2"/>
  </r>
  <r>
    <x v="12"/>
    <s v="Stefan Zaugg"/>
    <x v="1"/>
    <x v="430"/>
    <x v="430"/>
    <n v="2"/>
    <s v="ADET"/>
    <n v="2"/>
    <n v="455"/>
    <n v="23"/>
    <n v="-429"/>
    <n v="0"/>
    <n v="0"/>
    <n v="20"/>
    <x v="6"/>
    <n v="40"/>
    <x v="7"/>
  </r>
  <r>
    <x v="11"/>
    <s v="Jan Urbanek"/>
    <x v="1"/>
    <x v="430"/>
    <x v="430"/>
    <n v="2"/>
    <s v="ADET"/>
    <n v="0"/>
    <n v="455"/>
    <n v="23"/>
    <n v="-429"/>
    <n v="0"/>
    <n v="0"/>
    <n v="20"/>
    <x v="6"/>
    <n v="40"/>
    <x v="7"/>
  </r>
  <r>
    <x v="14"/>
    <s v="Matteo Giolo"/>
    <x v="1"/>
    <x v="430"/>
    <x v="430"/>
    <n v="2"/>
    <s v="ADET"/>
    <n v="0"/>
    <n v="455"/>
    <n v="23"/>
    <n v="-429"/>
    <n v="0"/>
    <n v="0"/>
    <n v="20"/>
    <x v="6"/>
    <n v="40"/>
    <x v="7"/>
  </r>
  <r>
    <x v="13"/>
    <s v="Volkan Batkan"/>
    <x v="1"/>
    <x v="430"/>
    <x v="430"/>
    <n v="2"/>
    <s v="ADET"/>
    <n v="2"/>
    <n v="455"/>
    <n v="23"/>
    <n v="-429"/>
    <n v="0"/>
    <n v="0"/>
    <n v="20"/>
    <x v="6"/>
    <n v="40"/>
    <x v="7"/>
  </r>
  <r>
    <x v="17"/>
    <s v="Soner Kayıkçı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16"/>
    <s v="Laurent MONTAGNER"/>
    <x v="1"/>
    <x v="239"/>
    <x v="239"/>
    <n v="0.5"/>
    <s v="METRE"/>
    <n v="0"/>
    <n v="0"/>
    <n v="36.5"/>
    <n v="9"/>
    <n v="0"/>
    <n v="250.29"/>
    <n v="27.81"/>
    <x v="74"/>
    <n v="13.904999999999999"/>
    <x v="6"/>
  </r>
  <r>
    <x v="7"/>
    <s v="Stina Alm"/>
    <x v="1"/>
    <x v="407"/>
    <x v="407"/>
    <n v="1.35"/>
    <s v="ADET"/>
    <n v="0"/>
    <n v="49"/>
    <n v="1.6000000000000014"/>
    <n v="-37.599999999999994"/>
    <n v="0"/>
    <n v="0"/>
    <n v="60"/>
    <x v="8"/>
    <n v="81"/>
    <x v="1"/>
  </r>
  <r>
    <x v="0"/>
    <s v="Matteo Giolo"/>
    <x v="1"/>
    <x v="408"/>
    <x v="408"/>
    <n v="6"/>
    <s v="ADET"/>
    <n v="0"/>
    <n v="0"/>
    <n v="0"/>
    <n v="54"/>
    <n v="0"/>
    <n v="67.5"/>
    <n v="1.25"/>
    <x v="29"/>
    <n v="7.5"/>
    <x v="7"/>
  </r>
  <r>
    <x v="6"/>
    <s v="Stefan Zaugg"/>
    <x v="1"/>
    <x v="247"/>
    <x v="247"/>
    <n v="6"/>
    <s v="METRE"/>
    <n v="0"/>
    <n v="60"/>
    <n v="52"/>
    <n v="14.5"/>
    <n v="80"/>
    <n v="710.5"/>
    <n v="49"/>
    <x v="35"/>
    <n v="294"/>
    <x v="6"/>
  </r>
  <r>
    <x v="1"/>
    <s v="Laurent MONTAGNER"/>
    <x v="1"/>
    <x v="247"/>
    <x v="247"/>
    <n v="5"/>
    <s v="METRE"/>
    <n v="0"/>
    <n v="60"/>
    <n v="52"/>
    <n v="14.5"/>
    <n v="80"/>
    <n v="710.5"/>
    <n v="49"/>
    <x v="35"/>
    <n v="245"/>
    <x v="6"/>
  </r>
  <r>
    <x v="7"/>
    <s v="Stina Alm"/>
    <x v="1"/>
    <x v="247"/>
    <x v="247"/>
    <n v="7.5"/>
    <s v="METRE"/>
    <n v="0"/>
    <n v="60"/>
    <n v="52"/>
    <n v="14.5"/>
    <n v="80"/>
    <n v="710.5"/>
    <n v="49"/>
    <x v="35"/>
    <n v="367.5"/>
    <x v="6"/>
  </r>
  <r>
    <x v="0"/>
    <s v="Matteo Giolo"/>
    <x v="1"/>
    <x v="407"/>
    <x v="407"/>
    <n v="1"/>
    <s v="ADET"/>
    <n v="0"/>
    <n v="49"/>
    <n v="1.6000000000000014"/>
    <n v="-37.599999999999994"/>
    <n v="0"/>
    <n v="0"/>
    <n v="60"/>
    <x v="8"/>
    <n v="60"/>
    <x v="1"/>
  </r>
  <r>
    <x v="7"/>
    <s v="Stina Alm"/>
    <x v="1"/>
    <x v="409"/>
    <x v="409"/>
    <n v="2"/>
    <s v="ADET"/>
    <n v="0"/>
    <n v="30"/>
    <n v="0"/>
    <n v="-10"/>
    <n v="0"/>
    <n v="0"/>
    <n v="60"/>
    <x v="14"/>
    <n v="120"/>
    <x v="1"/>
  </r>
  <r>
    <x v="5"/>
    <s v="Matteo Giolo"/>
    <x v="1"/>
    <x v="409"/>
    <x v="409"/>
    <n v="8"/>
    <s v="ADET"/>
    <n v="0"/>
    <n v="30"/>
    <n v="0"/>
    <n v="-10"/>
    <n v="0"/>
    <n v="0"/>
    <n v="60"/>
    <x v="14"/>
    <n v="480"/>
    <x v="1"/>
  </r>
  <r>
    <x v="11"/>
    <s v="Jan Urbanek"/>
    <x v="1"/>
    <x v="420"/>
    <x v="420"/>
    <n v="4"/>
    <s v="ADET"/>
    <n v="0"/>
    <n v="115"/>
    <n v="28"/>
    <n v="-71"/>
    <n v="0"/>
    <n v="0"/>
    <n v="250"/>
    <x v="1"/>
    <n v="1000"/>
    <x v="1"/>
  </r>
  <r>
    <x v="11"/>
    <s v="Jan Urbanek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11"/>
    <s v="Jan Urbanek"/>
    <x v="1"/>
    <x v="431"/>
    <x v="431"/>
    <n v="1"/>
    <s v="ADET"/>
    <n v="0"/>
    <n v="19"/>
    <n v="4"/>
    <n v="-12"/>
    <n v="0"/>
    <n v="0"/>
    <n v="85"/>
    <x v="12"/>
    <n v="85"/>
    <x v="4"/>
  </r>
  <r>
    <x v="0"/>
    <s v="Matteo Giolo"/>
    <x v="1"/>
    <x v="420"/>
    <x v="420"/>
    <n v="4"/>
    <s v="ADET"/>
    <n v="0"/>
    <n v="115"/>
    <n v="28"/>
    <n v="-71"/>
    <n v="0"/>
    <n v="0"/>
    <n v="250"/>
    <x v="1"/>
    <n v="1000"/>
    <x v="1"/>
  </r>
  <r>
    <x v="1"/>
    <s v="Laurent MONTAGNER"/>
    <x v="1"/>
    <x v="416"/>
    <x v="416"/>
    <n v="1"/>
    <s v="ADET"/>
    <n v="0"/>
    <n v="19"/>
    <n v="17"/>
    <n v="0"/>
    <n v="0"/>
    <n v="0"/>
    <n v="113.64"/>
    <x v="96"/>
    <n v="113.64"/>
    <x v="12"/>
  </r>
  <r>
    <x v="1"/>
    <s v="Laurent MONTAGNER"/>
    <x v="1"/>
    <x v="417"/>
    <x v="417"/>
    <n v="5.5"/>
    <s v="METRE"/>
    <n v="0"/>
    <n v="100"/>
    <n v="0"/>
    <n v="-227.63999999999987"/>
    <n v="214.64"/>
    <n v="0"/>
    <n v="50.81"/>
    <x v="97"/>
    <n v="279.45500000000004"/>
    <x v="6"/>
  </r>
  <r>
    <x v="7"/>
    <s v="Stina Alm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0"/>
    <s v="Matteo Giolo"/>
    <x v="1"/>
    <x v="431"/>
    <x v="431"/>
    <n v="1"/>
    <s v="ADET"/>
    <n v="0"/>
    <n v="19"/>
    <n v="4"/>
    <n v="-12"/>
    <n v="0"/>
    <n v="0"/>
    <n v="85"/>
    <x v="12"/>
    <n v="85"/>
    <x v="4"/>
  </r>
  <r>
    <x v="5"/>
    <s v="Matteo Giolo"/>
    <x v="1"/>
    <x v="419"/>
    <x v="419"/>
    <n v="4"/>
    <s v="ADET"/>
    <n v="0"/>
    <n v="42"/>
    <n v="20"/>
    <n v="1"/>
    <n v="0"/>
    <n v="348.7"/>
    <n v="348.7"/>
    <x v="67"/>
    <n v="1394.8"/>
    <x v="2"/>
  </r>
  <r>
    <x v="3"/>
    <s v="Jan Urbanek"/>
    <x v="1"/>
    <x v="247"/>
    <x v="247"/>
    <n v="9"/>
    <s v="METRE"/>
    <n v="0"/>
    <n v="60"/>
    <n v="52"/>
    <n v="14.5"/>
    <n v="80"/>
    <n v="710.5"/>
    <n v="49"/>
    <x v="35"/>
    <n v="441"/>
    <x v="6"/>
  </r>
  <r>
    <x v="4"/>
    <s v="Jan Urbanek"/>
    <x v="1"/>
    <x v="247"/>
    <x v="247"/>
    <n v="12"/>
    <s v="METRE"/>
    <n v="0"/>
    <n v="60"/>
    <n v="52"/>
    <n v="14.5"/>
    <n v="80"/>
    <n v="710.5"/>
    <n v="49"/>
    <x v="35"/>
    <n v="588"/>
    <x v="6"/>
  </r>
  <r>
    <x v="8"/>
    <s v="Jan Urbanek"/>
    <x v="1"/>
    <x v="407"/>
    <x v="407"/>
    <n v="1"/>
    <s v="ADET"/>
    <n v="0"/>
    <n v="49"/>
    <n v="1.6000000000000014"/>
    <n v="-37.599999999999994"/>
    <n v="0"/>
    <n v="0"/>
    <n v="60"/>
    <x v="8"/>
    <n v="60"/>
    <x v="1"/>
  </r>
  <r>
    <x v="4"/>
    <s v="Jan Urbanek"/>
    <x v="1"/>
    <x v="408"/>
    <x v="408"/>
    <n v="6"/>
    <s v="ADET"/>
    <n v="0"/>
    <n v="0"/>
    <n v="0"/>
    <n v="54"/>
    <n v="0"/>
    <n v="67.5"/>
    <n v="1.25"/>
    <x v="29"/>
    <n v="7.5"/>
    <x v="7"/>
  </r>
  <r>
    <x v="3"/>
    <s v="Jan Urbanek"/>
    <x v="1"/>
    <x v="408"/>
    <x v="408"/>
    <n v="6"/>
    <s v="ADET"/>
    <n v="0"/>
    <n v="0"/>
    <n v="0"/>
    <n v="54"/>
    <n v="0"/>
    <n v="67.5"/>
    <n v="1.25"/>
    <x v="29"/>
    <n v="7.5"/>
    <x v="7"/>
  </r>
  <r>
    <x v="1"/>
    <s v="Laurent MONTAGNER"/>
    <x v="1"/>
    <x v="420"/>
    <x v="420"/>
    <n v="4"/>
    <s v="ADET"/>
    <n v="4"/>
    <n v="115"/>
    <n v="28"/>
    <n v="-71"/>
    <n v="0"/>
    <n v="0"/>
    <n v="250"/>
    <x v="1"/>
    <n v="1000"/>
    <x v="1"/>
  </r>
  <r>
    <x v="7"/>
    <s v="Stina Alm"/>
    <x v="1"/>
    <x v="420"/>
    <x v="420"/>
    <n v="2"/>
    <s v="ADET"/>
    <n v="0"/>
    <n v="115"/>
    <n v="28"/>
    <n v="-71"/>
    <n v="0"/>
    <n v="0"/>
    <n v="250"/>
    <x v="1"/>
    <n v="500"/>
    <x v="1"/>
  </r>
  <r>
    <x v="5"/>
    <s v="Matteo Giolo"/>
    <x v="1"/>
    <x v="416"/>
    <x v="416"/>
    <n v="1"/>
    <s v="ADET"/>
    <n v="0"/>
    <n v="19"/>
    <n v="17"/>
    <n v="0"/>
    <n v="0"/>
    <n v="0"/>
    <n v="113.64"/>
    <x v="96"/>
    <n v="113.64"/>
    <x v="12"/>
  </r>
  <r>
    <x v="0"/>
    <s v="Matteo Giolo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8"/>
    <s v="Jan Urbanek"/>
    <x v="1"/>
    <x v="247"/>
    <x v="247"/>
    <n v="12"/>
    <s v="METRE"/>
    <n v="0"/>
    <n v="60"/>
    <n v="52"/>
    <n v="14.5"/>
    <n v="80"/>
    <n v="710.5"/>
    <n v="49"/>
    <x v="35"/>
    <n v="588"/>
    <x v="6"/>
  </r>
  <r>
    <x v="0"/>
    <s v="Matteo Giolo"/>
    <x v="1"/>
    <x v="424"/>
    <x v="424"/>
    <n v="18"/>
    <s v="ADET"/>
    <n v="0"/>
    <n v="180"/>
    <n v="80"/>
    <n v="32"/>
    <n v="0"/>
    <n v="7680"/>
    <n v="240"/>
    <x v="2"/>
    <n v="4320"/>
    <x v="1"/>
  </r>
  <r>
    <x v="5"/>
    <s v="Matteo Giolo"/>
    <x v="1"/>
    <x v="426"/>
    <x v="426"/>
    <n v="17.100000000000001"/>
    <s v="KG"/>
    <n v="0"/>
    <n v="0"/>
    <n v="154.9500000000001"/>
    <n v="21.899999999999991"/>
    <n v="60"/>
    <n v="4265.0249999999987"/>
    <n v="194.75"/>
    <x v="8"/>
    <n v="3330.2250000000004"/>
    <x v="3"/>
  </r>
  <r>
    <x v="6"/>
    <s v="Stefan Zaugg"/>
    <x v="1"/>
    <x v="422"/>
    <x v="422"/>
    <n v="5.5"/>
    <s v="ADET"/>
    <n v="0"/>
    <n v="0"/>
    <n v="24.049999999999969"/>
    <n v="147.72000000000003"/>
    <n v="34"/>
    <n v="249893.49240000005"/>
    <n v="1691.67"/>
    <x v="61"/>
    <n v="9304.1850000000013"/>
    <x v="8"/>
  </r>
  <r>
    <x v="9"/>
    <s v="Stefan Zaugg"/>
    <x v="1"/>
    <x v="421"/>
    <x v="421"/>
    <n v="1"/>
    <s v="ADET"/>
    <n v="0"/>
    <n v="37"/>
    <n v="2"/>
    <n v="-17"/>
    <n v="0"/>
    <n v="0"/>
    <n v="82.6"/>
    <x v="12"/>
    <n v="82.6"/>
    <x v="4"/>
  </r>
  <r>
    <x v="12"/>
    <s v="Stefan Zaugg"/>
    <x v="1"/>
    <x v="421"/>
    <x v="421"/>
    <n v="1"/>
    <s v="ADET"/>
    <n v="0"/>
    <n v="37"/>
    <n v="2"/>
    <n v="-17"/>
    <n v="0"/>
    <n v="0"/>
    <n v="82.6"/>
    <x v="12"/>
    <n v="82.6"/>
    <x v="4"/>
  </r>
  <r>
    <x v="14"/>
    <s v="Matteo Giolo"/>
    <x v="1"/>
    <x v="421"/>
    <x v="421"/>
    <n v="1"/>
    <s v="ADET"/>
    <n v="0"/>
    <n v="37"/>
    <n v="2"/>
    <n v="-17"/>
    <n v="0"/>
    <n v="0"/>
    <n v="82.6"/>
    <x v="12"/>
    <n v="82.6"/>
    <x v="4"/>
  </r>
  <r>
    <x v="13"/>
    <s v="Volkan Batkan"/>
    <x v="1"/>
    <x v="421"/>
    <x v="421"/>
    <n v="1"/>
    <s v="ADET"/>
    <n v="0"/>
    <n v="37"/>
    <n v="2"/>
    <n v="-17"/>
    <n v="0"/>
    <n v="0"/>
    <n v="82.6"/>
    <x v="12"/>
    <n v="82.6"/>
    <x v="4"/>
  </r>
  <r>
    <x v="9"/>
    <s v="Stefan Zaugg"/>
    <x v="1"/>
    <x v="432"/>
    <x v="432"/>
    <n v="5"/>
    <s v="ADET"/>
    <n v="0"/>
    <n v="0"/>
    <n v="0"/>
    <n v="10"/>
    <n v="0"/>
    <n v="6.6000000000000005"/>
    <n v="0.66"/>
    <x v="6"/>
    <n v="3.3000000000000003"/>
    <x v="1"/>
  </r>
  <r>
    <x v="10"/>
    <s v="Murat Taşdemir"/>
    <x v="1"/>
    <x v="424"/>
    <x v="424"/>
    <n v="12.5"/>
    <s v="ADET"/>
    <n v="0"/>
    <n v="180"/>
    <n v="80"/>
    <n v="32"/>
    <n v="0"/>
    <n v="7680"/>
    <n v="240"/>
    <x v="2"/>
    <n v="3000"/>
    <x v="1"/>
  </r>
  <r>
    <x v="14"/>
    <s v="Matteo Giolo"/>
    <x v="1"/>
    <x v="426"/>
    <x v="426"/>
    <n v="16.66"/>
    <s v="KG"/>
    <n v="0"/>
    <n v="0"/>
    <n v="154.9500000000001"/>
    <n v="21.899999999999991"/>
    <n v="60"/>
    <n v="4265.0249999999987"/>
    <n v="194.75"/>
    <x v="8"/>
    <n v="3244.5349999999999"/>
    <x v="3"/>
  </r>
  <r>
    <x v="11"/>
    <s v="Jan Urbanek"/>
    <x v="1"/>
    <x v="426"/>
    <x v="426"/>
    <n v="2.4700000000000002"/>
    <s v="KG"/>
    <n v="0"/>
    <n v="0"/>
    <n v="154.9500000000001"/>
    <n v="21.899999999999991"/>
    <n v="60"/>
    <n v="4265.0249999999987"/>
    <n v="194.75"/>
    <x v="8"/>
    <n v="481.03250000000003"/>
    <x v="3"/>
  </r>
  <r>
    <x v="11"/>
    <s v="Jan Urbanek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4"/>
    <s v="Matteo Giolo"/>
    <x v="1"/>
    <x v="422"/>
    <x v="422"/>
    <n v="16.240000000000002"/>
    <s v="ADET"/>
    <n v="0"/>
    <n v="0"/>
    <n v="24.049999999999969"/>
    <n v="147.72000000000003"/>
    <n v="34"/>
    <n v="249893.49240000005"/>
    <n v="1691.67"/>
    <x v="61"/>
    <n v="27472.720800000003"/>
    <x v="8"/>
  </r>
  <r>
    <x v="13"/>
    <s v="Volkan Batkan"/>
    <x v="1"/>
    <x v="433"/>
    <x v="433"/>
    <n v="4"/>
    <s v="ADET"/>
    <n v="0"/>
    <n v="0"/>
    <n v="8"/>
    <n v="-60"/>
    <n v="72"/>
    <n v="0"/>
    <n v="5265.79"/>
    <x v="99"/>
    <n v="21063.16"/>
    <x v="4"/>
  </r>
  <r>
    <x v="12"/>
    <s v="Stefan Zaugg"/>
    <x v="1"/>
    <x v="433"/>
    <x v="433"/>
    <n v="4"/>
    <s v="ADET"/>
    <n v="0"/>
    <n v="0"/>
    <n v="8"/>
    <n v="-60"/>
    <n v="72"/>
    <n v="0"/>
    <n v="5265.79"/>
    <x v="99"/>
    <n v="21063.16"/>
    <x v="4"/>
  </r>
  <r>
    <x v="12"/>
    <s v="Stefan Zaugg"/>
    <x v="1"/>
    <x v="423"/>
    <x v="423"/>
    <n v="8"/>
    <s v="ADET"/>
    <n v="0"/>
    <n v="524"/>
    <n v="352"/>
    <n v="-374"/>
    <n v="0"/>
    <n v="0"/>
    <n v="8.1"/>
    <x v="60"/>
    <n v="64.8"/>
    <x v="7"/>
  </r>
  <r>
    <x v="11"/>
    <s v="Jan Urbanek"/>
    <x v="1"/>
    <x v="423"/>
    <x v="423"/>
    <n v="8"/>
    <s v="ADET"/>
    <n v="0"/>
    <n v="524"/>
    <n v="352"/>
    <n v="-374"/>
    <n v="0"/>
    <n v="0"/>
    <n v="8.1"/>
    <x v="60"/>
    <n v="64.8"/>
    <x v="7"/>
  </r>
  <r>
    <x v="14"/>
    <s v="Matteo Giolo"/>
    <x v="1"/>
    <x v="423"/>
    <x v="423"/>
    <n v="8"/>
    <s v="ADET"/>
    <n v="0"/>
    <n v="524"/>
    <n v="352"/>
    <n v="-374"/>
    <n v="0"/>
    <n v="0"/>
    <n v="8.1"/>
    <x v="60"/>
    <n v="64.8"/>
    <x v="7"/>
  </r>
  <r>
    <x v="10"/>
    <s v="Murat Taşdemir"/>
    <x v="1"/>
    <x v="427"/>
    <x v="427"/>
    <n v="1"/>
    <s v="ADET"/>
    <n v="0"/>
    <n v="6"/>
    <n v="9"/>
    <n v="0"/>
    <n v="7"/>
    <n v="0"/>
    <n v="1535.25"/>
    <x v="24"/>
    <n v="1535.25"/>
    <x v="7"/>
  </r>
  <r>
    <x v="5"/>
    <s v="Matteo Giolo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0"/>
    <s v="Matteo Giolo"/>
    <x v="1"/>
    <x v="423"/>
    <x v="423"/>
    <n v="8"/>
    <s v="ADET"/>
    <n v="0"/>
    <n v="524"/>
    <n v="352"/>
    <n v="-374"/>
    <n v="0"/>
    <n v="0"/>
    <n v="8.1"/>
    <x v="60"/>
    <n v="64.8"/>
    <x v="7"/>
  </r>
  <r>
    <x v="6"/>
    <s v="Stefan Zaugg"/>
    <x v="1"/>
    <x v="427"/>
    <x v="427"/>
    <n v="1"/>
    <s v="ADET"/>
    <n v="1"/>
    <n v="6"/>
    <n v="9"/>
    <n v="0"/>
    <n v="7"/>
    <n v="0"/>
    <n v="1535.25"/>
    <x v="24"/>
    <n v="1535.25"/>
    <x v="7"/>
  </r>
  <r>
    <x v="1"/>
    <s v="Laurent MONTAGNER"/>
    <x v="1"/>
    <x v="427"/>
    <x v="427"/>
    <n v="1"/>
    <s v="ADET"/>
    <n v="1"/>
    <n v="6"/>
    <n v="9"/>
    <n v="0"/>
    <n v="7"/>
    <n v="0"/>
    <n v="1535.25"/>
    <x v="24"/>
    <n v="1535.25"/>
    <x v="7"/>
  </r>
  <r>
    <x v="7"/>
    <s v="Stina Alm"/>
    <x v="1"/>
    <x v="427"/>
    <x v="427"/>
    <n v="1"/>
    <s v="ADET"/>
    <n v="0"/>
    <n v="6"/>
    <n v="9"/>
    <n v="0"/>
    <n v="7"/>
    <n v="0"/>
    <n v="1535.25"/>
    <x v="24"/>
    <n v="1535.25"/>
    <x v="7"/>
  </r>
  <r>
    <x v="4"/>
    <s v="Jan Urbanek"/>
    <x v="1"/>
    <x v="413"/>
    <x v="413"/>
    <n v="4"/>
    <s v="ADET"/>
    <n v="0"/>
    <n v="0"/>
    <n v="4"/>
    <n v="16"/>
    <n v="0"/>
    <n v="1440"/>
    <n v="90"/>
    <x v="95"/>
    <n v="360"/>
    <x v="11"/>
  </r>
  <r>
    <x v="2"/>
    <s v="Jan Urbanek"/>
    <x v="1"/>
    <x v="411"/>
    <x v="411"/>
    <n v="1"/>
    <s v="ADET"/>
    <n v="0"/>
    <n v="18"/>
    <n v="10"/>
    <n v="-5"/>
    <n v="0"/>
    <n v="0"/>
    <n v="115.6"/>
    <x v="23"/>
    <n v="115.6"/>
    <x v="7"/>
  </r>
  <r>
    <x v="2"/>
    <s v="Jan Urbanek"/>
    <x v="1"/>
    <x v="421"/>
    <x v="421"/>
    <n v="1"/>
    <s v="ADET"/>
    <n v="0"/>
    <n v="37"/>
    <n v="2"/>
    <n v="-17"/>
    <n v="0"/>
    <n v="0"/>
    <n v="82.6"/>
    <x v="12"/>
    <n v="82.6"/>
    <x v="4"/>
  </r>
  <r>
    <x v="5"/>
    <s v="Matteo Giolo"/>
    <x v="1"/>
    <x v="236"/>
    <x v="236"/>
    <n v="1.5"/>
    <s v="ADET"/>
    <n v="0"/>
    <n v="272"/>
    <n v="4.2999999999999972"/>
    <n v="-233.2"/>
    <n v="0"/>
    <n v="0"/>
    <n v="30"/>
    <x v="2"/>
    <n v="45"/>
    <x v="1"/>
  </r>
  <r>
    <x v="18"/>
    <s v="Stina Alm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17"/>
    <s v="Soner Kayıkçı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19"/>
    <s v="Laurent MONTAGNER"/>
    <x v="1"/>
    <x v="222"/>
    <x v="222"/>
    <n v="1"/>
    <s v="ADET"/>
    <n v="0"/>
    <n v="4"/>
    <n v="10"/>
    <n v="8"/>
    <n v="0"/>
    <n v="41649.120000000003"/>
    <n v="5206.1400000000003"/>
    <x v="15"/>
    <n v="5206.1400000000003"/>
    <x v="7"/>
  </r>
  <r>
    <x v="16"/>
    <s v="Laurent MONTAGNER"/>
    <x v="1"/>
    <x v="434"/>
    <x v="434"/>
    <n v="3"/>
    <s v="METRE"/>
    <n v="0"/>
    <n v="400"/>
    <n v="32"/>
    <n v="-397"/>
    <n v="0"/>
    <n v="0"/>
    <n v="11.5"/>
    <x v="68"/>
    <n v="34.5"/>
    <x v="7"/>
  </r>
  <r>
    <x v="18"/>
    <s v="Stina Alm"/>
    <x v="1"/>
    <x v="224"/>
    <x v="224"/>
    <n v="88"/>
    <s v="ADET"/>
    <n v="0"/>
    <n v="2750"/>
    <n v="0"/>
    <n v="-747"/>
    <n v="0"/>
    <n v="0"/>
    <n v="0.7"/>
    <x v="2"/>
    <n v="61.599999999999994"/>
    <x v="1"/>
  </r>
  <r>
    <x v="19"/>
    <s v="Laurent MONTAGNER"/>
    <x v="1"/>
    <x v="224"/>
    <x v="224"/>
    <n v="96"/>
    <s v="ADET"/>
    <n v="0"/>
    <n v="2750"/>
    <n v="0"/>
    <n v="-747"/>
    <n v="0"/>
    <n v="0"/>
    <n v="0.7"/>
    <x v="2"/>
    <n v="67.199999999999989"/>
    <x v="1"/>
  </r>
  <r>
    <x v="18"/>
    <s v="Stina Alm"/>
    <x v="1"/>
    <x v="226"/>
    <x v="226"/>
    <n v="8.89"/>
    <s v="KG"/>
    <n v="0"/>
    <n v="0"/>
    <n v="297.61000000000007"/>
    <n v="97.560000000000016"/>
    <n v="0"/>
    <n v="13285.720800000003"/>
    <n v="136.18"/>
    <x v="64"/>
    <n v="1210.6402"/>
    <x v="3"/>
  </r>
  <r>
    <x v="18"/>
    <s v="Stina Alm"/>
    <x v="1"/>
    <x v="234"/>
    <x v="234"/>
    <n v="30"/>
    <s v="ADET"/>
    <n v="0"/>
    <n v="800"/>
    <n v="0"/>
    <n v="-414"/>
    <n v="0"/>
    <n v="0"/>
    <n v="13.75"/>
    <x v="1"/>
    <n v="412.5"/>
    <x v="1"/>
  </r>
  <r>
    <x v="9"/>
    <s v="Stefan Zaugg"/>
    <x v="1"/>
    <x v="435"/>
    <x v="435"/>
    <n v="2.46"/>
    <s v="ADET"/>
    <n v="0"/>
    <n v="235"/>
    <n v="-2.2737367544323206E-13"/>
    <n v="-215.94"/>
    <n v="0"/>
    <n v="0"/>
    <n v="15"/>
    <x v="14"/>
    <n v="36.9"/>
    <x v="1"/>
  </r>
  <r>
    <x v="12"/>
    <s v="Stefan Zaugg"/>
    <x v="1"/>
    <x v="435"/>
    <x v="435"/>
    <n v="1.46"/>
    <s v="ADET"/>
    <n v="0"/>
    <n v="235"/>
    <n v="-2.2737367544323206E-13"/>
    <n v="-215.94"/>
    <n v="0"/>
    <n v="0"/>
    <n v="15"/>
    <x v="14"/>
    <n v="21.9"/>
    <x v="1"/>
  </r>
  <r>
    <x v="0"/>
    <s v="Matteo Giolo"/>
    <x v="1"/>
    <x v="236"/>
    <x v="236"/>
    <n v="3.2"/>
    <s v="ADET"/>
    <n v="0"/>
    <n v="272"/>
    <n v="4.2999999999999972"/>
    <n v="-233.2"/>
    <n v="0"/>
    <n v="0"/>
    <n v="30"/>
    <x v="2"/>
    <n v="96"/>
    <x v="1"/>
  </r>
  <r>
    <x v="1"/>
    <s v="Laurent MONTAGNER"/>
    <x v="1"/>
    <x v="236"/>
    <x v="236"/>
    <n v="1.5"/>
    <s v="ADET"/>
    <n v="0"/>
    <n v="272"/>
    <n v="4.2999999999999972"/>
    <n v="-233.2"/>
    <n v="0"/>
    <n v="0"/>
    <n v="30"/>
    <x v="2"/>
    <n v="45"/>
    <x v="1"/>
  </r>
  <r>
    <x v="16"/>
    <s v="Laurent MONTAGNER"/>
    <x v="1"/>
    <x v="226"/>
    <x v="226"/>
    <n v="9.6300000000000008"/>
    <s v="KG"/>
    <n v="0"/>
    <n v="0"/>
    <n v="297.61000000000007"/>
    <n v="97.560000000000016"/>
    <n v="0"/>
    <n v="13285.720800000003"/>
    <n v="136.18"/>
    <x v="64"/>
    <n v="1311.4134000000001"/>
    <x v="3"/>
  </r>
  <r>
    <x v="17"/>
    <s v="Soner Kayıkçı"/>
    <x v="1"/>
    <x v="226"/>
    <x v="226"/>
    <n v="7"/>
    <s v="KG"/>
    <n v="0"/>
    <n v="0"/>
    <n v="297.61000000000007"/>
    <n v="97.560000000000016"/>
    <n v="0"/>
    <n v="13285.720800000003"/>
    <n v="136.18"/>
    <x v="64"/>
    <n v="953.26"/>
    <x v="3"/>
  </r>
  <r>
    <x v="10"/>
    <s v="Murat Taşdemir"/>
    <x v="1"/>
    <x v="435"/>
    <x v="435"/>
    <n v="2"/>
    <s v="ADET"/>
    <n v="0"/>
    <n v="235"/>
    <n v="-2.2737367544323206E-13"/>
    <n v="-215.94"/>
    <n v="0"/>
    <n v="0"/>
    <n v="15"/>
    <x v="14"/>
    <n v="30"/>
    <x v="1"/>
  </r>
  <r>
    <x v="16"/>
    <s v="Laurent MONTAGNER"/>
    <x v="1"/>
    <x v="224"/>
    <x v="224"/>
    <n v="146"/>
    <s v="ADET"/>
    <n v="0"/>
    <n v="2750"/>
    <n v="0"/>
    <n v="-747"/>
    <n v="0"/>
    <n v="0"/>
    <n v="0.7"/>
    <x v="2"/>
    <n v="102.19999999999999"/>
    <x v="1"/>
  </r>
  <r>
    <x v="17"/>
    <s v="Soner Kayıkçı"/>
    <x v="1"/>
    <x v="224"/>
    <x v="224"/>
    <n v="88"/>
    <s v="ADET"/>
    <n v="0"/>
    <n v="2750"/>
    <n v="0"/>
    <n v="-747"/>
    <n v="0"/>
    <n v="0"/>
    <n v="0.7"/>
    <x v="2"/>
    <n v="61.599999999999994"/>
    <x v="1"/>
  </r>
  <r>
    <x v="13"/>
    <s v="Volkan Batkan"/>
    <x v="1"/>
    <x v="435"/>
    <x v="435"/>
    <n v="3"/>
    <s v="ADET"/>
    <n v="0"/>
    <n v="235"/>
    <n v="-2.2737367544323206E-13"/>
    <n v="-215.94"/>
    <n v="0"/>
    <n v="0"/>
    <n v="15"/>
    <x v="14"/>
    <n v="45"/>
    <x v="1"/>
  </r>
  <r>
    <x v="11"/>
    <s v="Jan Urbanek"/>
    <x v="1"/>
    <x v="436"/>
    <x v="436"/>
    <n v="1"/>
    <s v="ADET"/>
    <n v="0"/>
    <n v="31"/>
    <n v="12"/>
    <n v="-20"/>
    <n v="0"/>
    <n v="0"/>
    <n v="15"/>
    <x v="29"/>
    <n v="15"/>
    <x v="7"/>
  </r>
  <r>
    <x v="10"/>
    <s v="Murat Taşdemir"/>
    <x v="1"/>
    <x v="437"/>
    <x v="437"/>
    <n v="3"/>
    <s v="METRE"/>
    <n v="0"/>
    <n v="60"/>
    <n v="50"/>
    <n v="-50.5"/>
    <n v="0"/>
    <n v="0"/>
    <n v="265"/>
    <x v="51"/>
    <n v="795"/>
    <x v="6"/>
  </r>
  <r>
    <x v="11"/>
    <s v="Jan Urbanek"/>
    <x v="1"/>
    <x v="438"/>
    <x v="438"/>
    <n v="1"/>
    <s v="ADET"/>
    <n v="0"/>
    <n v="136"/>
    <n v="6"/>
    <n v="-119"/>
    <n v="0"/>
    <n v="0"/>
    <n v="39.6"/>
    <x v="29"/>
    <n v="39.6"/>
    <x v="7"/>
  </r>
  <r>
    <x v="11"/>
    <s v="Jan Urbanek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4"/>
    <s v="Matteo Giolo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1"/>
    <s v="Jan Urbanek"/>
    <x v="1"/>
    <x v="440"/>
    <x v="440"/>
    <n v="6"/>
    <s v="ADET"/>
    <n v="0"/>
    <n v="0"/>
    <n v="0"/>
    <n v="54"/>
    <n v="0"/>
    <n v="35.64"/>
    <n v="0.66"/>
    <x v="29"/>
    <n v="3.96"/>
    <x v="7"/>
  </r>
  <r>
    <x v="15"/>
    <s v="Hayriye Güven"/>
    <x v="1"/>
    <x v="441"/>
    <x v="441"/>
    <n v="1"/>
    <s v="ADET"/>
    <n v="0"/>
    <n v="0"/>
    <n v="0"/>
    <n v="1"/>
    <n v="0"/>
    <n v="17633.25"/>
    <n v="17633.25"/>
    <x v="50"/>
    <n v="17633.25"/>
    <x v="2"/>
  </r>
  <r>
    <x v="9"/>
    <s v="Stefan Zaugg"/>
    <x v="1"/>
    <x v="438"/>
    <x v="438"/>
    <n v="2"/>
    <s v="ADET"/>
    <n v="0"/>
    <n v="136"/>
    <n v="6"/>
    <n v="-119"/>
    <n v="0"/>
    <n v="0"/>
    <n v="39.6"/>
    <x v="29"/>
    <n v="79.2"/>
    <x v="7"/>
  </r>
  <r>
    <x v="14"/>
    <s v="Matteo Giolo"/>
    <x v="1"/>
    <x v="438"/>
    <x v="438"/>
    <n v="1"/>
    <s v="ADET"/>
    <n v="0"/>
    <n v="136"/>
    <n v="6"/>
    <n v="-119"/>
    <n v="0"/>
    <n v="0"/>
    <n v="39.6"/>
    <x v="29"/>
    <n v="39.6"/>
    <x v="7"/>
  </r>
  <r>
    <x v="9"/>
    <s v="Stefan Zaugg"/>
    <x v="1"/>
    <x v="442"/>
    <x v="442"/>
    <n v="1"/>
    <s v="ADET"/>
    <n v="0"/>
    <n v="28"/>
    <n v="4"/>
    <n v="-21"/>
    <n v="0"/>
    <n v="0"/>
    <n v="290.62"/>
    <x v="67"/>
    <n v="290.62"/>
    <x v="4"/>
  </r>
  <r>
    <x v="11"/>
    <s v="Jan Urbanek"/>
    <x v="1"/>
    <x v="443"/>
    <x v="443"/>
    <n v="1"/>
    <s v="ADET"/>
    <n v="0"/>
    <n v="27"/>
    <n v="4"/>
    <n v="-20"/>
    <n v="0"/>
    <n v="0"/>
    <n v="290.62"/>
    <x v="67"/>
    <n v="290.62"/>
    <x v="4"/>
  </r>
  <r>
    <x v="10"/>
    <s v="Murat Taşdemir"/>
    <x v="1"/>
    <x v="444"/>
    <x v="444"/>
    <n v="1"/>
    <s v="ADET"/>
    <n v="0"/>
    <n v="10"/>
    <n v="3"/>
    <n v="-4"/>
    <n v="0"/>
    <n v="0"/>
    <n v="1723.12"/>
    <x v="67"/>
    <n v="1723.12"/>
    <x v="4"/>
  </r>
  <r>
    <x v="10"/>
    <s v="Murat Taşdemir"/>
    <x v="1"/>
    <x v="445"/>
    <x v="445"/>
    <n v="1"/>
    <s v="ADET"/>
    <n v="0"/>
    <n v="25"/>
    <n v="3"/>
    <n v="-12"/>
    <n v="0"/>
    <n v="0"/>
    <n v="871.93"/>
    <x v="100"/>
    <n v="871.93"/>
    <x v="2"/>
  </r>
  <r>
    <x v="14"/>
    <s v="Matteo Giolo"/>
    <x v="1"/>
    <x v="446"/>
    <x v="446"/>
    <n v="2"/>
    <s v="ADET"/>
    <n v="0"/>
    <n v="16"/>
    <n v="14"/>
    <n v="-14"/>
    <n v="20"/>
    <n v="0"/>
    <n v="194"/>
    <x v="56"/>
    <n v="388"/>
    <x v="2"/>
  </r>
  <r>
    <x v="15"/>
    <s v="Hayriye Güven"/>
    <x v="1"/>
    <x v="447"/>
    <x v="447"/>
    <n v="1"/>
    <s v="ADET"/>
    <n v="0"/>
    <n v="4"/>
    <n v="7"/>
    <n v="-2"/>
    <n v="10"/>
    <n v="0"/>
    <n v="3097.63"/>
    <x v="88"/>
    <n v="3097.63"/>
    <x v="4"/>
  </r>
  <r>
    <x v="10"/>
    <s v="Murat Taşdemir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3"/>
    <s v="Volkan Batkan"/>
    <x v="1"/>
    <x v="440"/>
    <x v="440"/>
    <n v="6"/>
    <s v="ADET"/>
    <n v="0"/>
    <n v="0"/>
    <n v="0"/>
    <n v="54"/>
    <n v="0"/>
    <n v="35.64"/>
    <n v="0.66"/>
    <x v="29"/>
    <n v="3.96"/>
    <x v="7"/>
  </r>
  <r>
    <x v="13"/>
    <s v="Volkan Batkan"/>
    <x v="1"/>
    <x v="436"/>
    <x v="436"/>
    <n v="1"/>
    <s v="ADET"/>
    <n v="1"/>
    <n v="31"/>
    <n v="12"/>
    <n v="-20"/>
    <n v="0"/>
    <n v="0"/>
    <n v="15"/>
    <x v="29"/>
    <n v="15"/>
    <x v="7"/>
  </r>
  <r>
    <x v="11"/>
    <s v="Jan Urbanek"/>
    <x v="1"/>
    <x v="445"/>
    <x v="445"/>
    <n v="1"/>
    <s v="ADET"/>
    <n v="0"/>
    <n v="25"/>
    <n v="3"/>
    <n v="-12"/>
    <n v="0"/>
    <n v="0"/>
    <n v="871.93"/>
    <x v="100"/>
    <n v="871.93"/>
    <x v="2"/>
  </r>
  <r>
    <x v="0"/>
    <s v="Matteo Giolo"/>
    <x v="1"/>
    <x v="440"/>
    <x v="440"/>
    <n v="6"/>
    <s v="ADET"/>
    <n v="0"/>
    <n v="0"/>
    <n v="0"/>
    <n v="54"/>
    <n v="0"/>
    <n v="35.64"/>
    <n v="0.66"/>
    <x v="29"/>
    <n v="3.96"/>
    <x v="7"/>
  </r>
  <r>
    <x v="0"/>
    <s v="Matteo Giolo"/>
    <x v="1"/>
    <x v="436"/>
    <x v="436"/>
    <n v="1"/>
    <s v="ADET"/>
    <n v="0"/>
    <n v="31"/>
    <n v="12"/>
    <n v="-20"/>
    <n v="0"/>
    <n v="0"/>
    <n v="15"/>
    <x v="29"/>
    <n v="15"/>
    <x v="7"/>
  </r>
  <r>
    <x v="0"/>
    <s v="Matteo Giolo"/>
    <x v="1"/>
    <x v="438"/>
    <x v="438"/>
    <n v="1"/>
    <s v="ADET"/>
    <n v="0"/>
    <n v="136"/>
    <n v="6"/>
    <n v="-119"/>
    <n v="0"/>
    <n v="0"/>
    <n v="39.6"/>
    <x v="29"/>
    <n v="39.6"/>
    <x v="7"/>
  </r>
  <r>
    <x v="0"/>
    <s v="Matteo Giolo"/>
    <x v="1"/>
    <x v="442"/>
    <x v="442"/>
    <n v="1"/>
    <s v="ADET"/>
    <n v="0"/>
    <n v="28"/>
    <n v="4"/>
    <n v="-21"/>
    <n v="0"/>
    <n v="0"/>
    <n v="290.62"/>
    <x v="67"/>
    <n v="290.62"/>
    <x v="4"/>
  </r>
  <r>
    <x v="12"/>
    <s v="Stefan Zaugg"/>
    <x v="1"/>
    <x v="448"/>
    <x v="448"/>
    <n v="17.8"/>
    <s v="KG"/>
    <n v="17.8"/>
    <n v="140"/>
    <n v="139.9599999999997"/>
    <n v="-16.590000000000032"/>
    <n v="80"/>
    <n v="0"/>
    <n v="164.09"/>
    <x v="8"/>
    <n v="2920.8020000000001"/>
    <x v="3"/>
  </r>
  <r>
    <x v="11"/>
    <s v="Jan Urbanek"/>
    <x v="1"/>
    <x v="448"/>
    <x v="448"/>
    <n v="18.8"/>
    <s v="KG"/>
    <n v="0"/>
    <n v="140"/>
    <n v="139.9599999999997"/>
    <n v="-16.590000000000032"/>
    <n v="80"/>
    <n v="0"/>
    <n v="164.09"/>
    <x v="8"/>
    <n v="3084.8920000000003"/>
    <x v="3"/>
  </r>
  <r>
    <x v="14"/>
    <s v="Matteo Giolo"/>
    <x v="1"/>
    <x v="448"/>
    <x v="448"/>
    <n v="22.3"/>
    <s v="KG"/>
    <n v="0"/>
    <n v="140"/>
    <n v="139.9599999999997"/>
    <n v="-16.590000000000032"/>
    <n v="80"/>
    <n v="0"/>
    <n v="164.09"/>
    <x v="8"/>
    <n v="3659.2070000000003"/>
    <x v="3"/>
  </r>
  <r>
    <x v="7"/>
    <s v="Stina Alm"/>
    <x v="1"/>
    <x v="392"/>
    <x v="392"/>
    <n v="52"/>
    <s v="ADET"/>
    <n v="0"/>
    <n v="880"/>
    <n v="414"/>
    <n v="-82"/>
    <n v="0"/>
    <n v="0"/>
    <n v="2.1"/>
    <x v="2"/>
    <n v="109.2"/>
    <x v="1"/>
  </r>
  <r>
    <x v="13"/>
    <s v="Volkan Batkan"/>
    <x v="1"/>
    <x v="203"/>
    <x v="203"/>
    <n v="0.5"/>
    <s v="ADET"/>
    <n v="0"/>
    <n v="100"/>
    <n v="41"/>
    <n v="-89.5"/>
    <n v="0"/>
    <n v="0"/>
    <n v="60"/>
    <x v="29"/>
    <n v="30"/>
    <x v="1"/>
  </r>
  <r>
    <x v="13"/>
    <s v="Volkan Batkan"/>
    <x v="1"/>
    <x v="243"/>
    <x v="243"/>
    <n v="1.5500000000000003"/>
    <s v="ADET"/>
    <n v="1.5500000000000003"/>
    <n v="20"/>
    <n v="116.6640000000002"/>
    <n v="-11.16"/>
    <n v="0"/>
    <n v="0"/>
    <n v="185"/>
    <x v="2"/>
    <n v="286.75000000000006"/>
    <x v="1"/>
  </r>
  <r>
    <x v="13"/>
    <s v="Volkan Batkan"/>
    <x v="1"/>
    <x v="256"/>
    <x v="256"/>
    <n v="2"/>
    <s v="ADET"/>
    <n v="0"/>
    <n v="228"/>
    <n v="0"/>
    <n v="-186"/>
    <n v="0"/>
    <n v="0"/>
    <n v="6"/>
    <x v="18"/>
    <n v="12"/>
    <x v="1"/>
  </r>
  <r>
    <x v="13"/>
    <s v="Volkan Batkan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13"/>
    <s v="Volkan Batkan"/>
    <x v="1"/>
    <x v="310"/>
    <x v="310"/>
    <n v="16"/>
    <s v="ADET"/>
    <n v="0"/>
    <n v="150"/>
    <n v="0"/>
    <n v="194"/>
    <n v="0"/>
    <n v="5383.5"/>
    <n v="27.75"/>
    <x v="82"/>
    <n v="444"/>
    <x v="6"/>
  </r>
  <r>
    <x v="13"/>
    <s v="Volkan Batkan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9"/>
    <s v="Stefan Zaugg"/>
    <x v="1"/>
    <x v="184"/>
    <x v="184"/>
    <n v="1"/>
    <s v="ADET"/>
    <n v="1"/>
    <n v="3"/>
    <n v="7"/>
    <n v="2"/>
    <n v="3"/>
    <n v="4955.04"/>
    <n v="2477.52"/>
    <x v="43"/>
    <n v="2477.52"/>
    <x v="7"/>
  </r>
  <r>
    <x v="10"/>
    <s v="Murat Taşdemir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10"/>
    <s v="Murat Taşdemir"/>
    <x v="1"/>
    <x v="183"/>
    <x v="183"/>
    <n v="1"/>
    <s v="ADET"/>
    <n v="0"/>
    <n v="26"/>
    <n v="8"/>
    <n v="-22"/>
    <n v="0"/>
    <n v="0"/>
    <n v="368.07"/>
    <x v="65"/>
    <n v="368.07"/>
    <x v="7"/>
  </r>
  <r>
    <x v="10"/>
    <s v="Murat Taşdemir"/>
    <x v="1"/>
    <x v="256"/>
    <x v="256"/>
    <n v="2"/>
    <s v="ADET"/>
    <n v="0"/>
    <n v="228"/>
    <n v="0"/>
    <n v="-186"/>
    <n v="0"/>
    <n v="0"/>
    <n v="6"/>
    <x v="18"/>
    <n v="12"/>
    <x v="1"/>
  </r>
  <r>
    <x v="10"/>
    <s v="Murat Taşdemir"/>
    <x v="1"/>
    <x v="312"/>
    <x v="312"/>
    <n v="7"/>
    <s v="ADET"/>
    <n v="0"/>
    <n v="148"/>
    <n v="59"/>
    <n v="-33"/>
    <n v="0"/>
    <n v="0"/>
    <n v="24.17"/>
    <x v="1"/>
    <n v="169.19"/>
    <x v="1"/>
  </r>
  <r>
    <x v="11"/>
    <s v="Jan Urbanek"/>
    <x v="0"/>
    <x v="393"/>
    <x v="393"/>
    <n v="1"/>
    <s v="ADET"/>
    <n v="0"/>
    <n v="26"/>
    <n v="3"/>
    <n v="-20"/>
    <n v="0"/>
    <n v="0"/>
    <n v="2800"/>
    <x v="93"/>
    <n v="2800"/>
    <x v="2"/>
  </r>
  <r>
    <x v="14"/>
    <s v="Matteo Giolo"/>
    <x v="1"/>
    <x v="310"/>
    <x v="310"/>
    <n v="21"/>
    <s v="ADET"/>
    <n v="0"/>
    <n v="150"/>
    <n v="0"/>
    <n v="194"/>
    <n v="0"/>
    <n v="5383.5"/>
    <n v="27.75"/>
    <x v="82"/>
    <n v="582.75"/>
    <x v="6"/>
  </r>
  <r>
    <x v="10"/>
    <s v="Murat Taşdemir"/>
    <x v="1"/>
    <x v="311"/>
    <x v="311"/>
    <n v="5"/>
    <s v="METRE"/>
    <n v="0"/>
    <n v="0"/>
    <n v="165"/>
    <n v="-289"/>
    <n v="400"/>
    <n v="0"/>
    <n v="5"/>
    <x v="49"/>
    <n v="25"/>
    <x v="1"/>
  </r>
  <r>
    <x v="9"/>
    <s v="Stefan Zaugg"/>
    <x v="1"/>
    <x v="311"/>
    <x v="311"/>
    <n v="5"/>
    <s v="METRE"/>
    <n v="0"/>
    <n v="0"/>
    <n v="165"/>
    <n v="-289"/>
    <n v="400"/>
    <n v="0"/>
    <n v="5"/>
    <x v="49"/>
    <n v="25"/>
    <x v="1"/>
  </r>
  <r>
    <x v="12"/>
    <s v="Stefan Zaugg"/>
    <x v="1"/>
    <x v="311"/>
    <x v="311"/>
    <n v="5"/>
    <s v="METRE"/>
    <n v="0"/>
    <n v="0"/>
    <n v="165"/>
    <n v="-289"/>
    <n v="400"/>
    <n v="0"/>
    <n v="5"/>
    <x v="49"/>
    <n v="25"/>
    <x v="1"/>
  </r>
  <r>
    <x v="7"/>
    <s v="Stina Alm"/>
    <x v="1"/>
    <x v="394"/>
    <x v="394"/>
    <n v="1"/>
    <s v="ADET"/>
    <n v="0"/>
    <n v="2"/>
    <n v="8"/>
    <n v="5"/>
    <n v="3"/>
    <n v="30287.5"/>
    <n v="6057.5"/>
    <x v="43"/>
    <n v="6057.5"/>
    <x v="7"/>
  </r>
  <r>
    <x v="6"/>
    <s v="Stefan Zaugg"/>
    <x v="1"/>
    <x v="395"/>
    <x v="395"/>
    <n v="4"/>
    <s v="ADET"/>
    <n v="0"/>
    <n v="46"/>
    <n v="12"/>
    <n v="-14"/>
    <n v="0"/>
    <n v="0"/>
    <n v="100"/>
    <x v="92"/>
    <n v="400"/>
    <x v="2"/>
  </r>
  <r>
    <x v="6"/>
    <s v="Stefan Zaugg"/>
    <x v="1"/>
    <x v="449"/>
    <x v="449"/>
    <n v="4"/>
    <s v="ADET"/>
    <n v="0"/>
    <n v="250"/>
    <n v="302"/>
    <n v="-202"/>
    <n v="0"/>
    <n v="0"/>
    <n v="0.9"/>
    <x v="23"/>
    <n v="3.6"/>
    <x v="7"/>
  </r>
  <r>
    <x v="5"/>
    <s v="Matteo Giolo"/>
    <x v="1"/>
    <x v="449"/>
    <x v="449"/>
    <n v="4"/>
    <s v="ADET"/>
    <n v="0"/>
    <n v="250"/>
    <n v="302"/>
    <n v="-202"/>
    <n v="0"/>
    <n v="0"/>
    <n v="0.9"/>
    <x v="23"/>
    <n v="3.6"/>
    <x v="7"/>
  </r>
  <r>
    <x v="18"/>
    <s v="Stina Alm"/>
    <x v="1"/>
    <x v="243"/>
    <x v="243"/>
    <n v="0.69"/>
    <s v="ADET"/>
    <n v="0"/>
    <n v="20"/>
    <n v="116.6640000000002"/>
    <n v="-11.16"/>
    <n v="0"/>
    <n v="0"/>
    <n v="185"/>
    <x v="2"/>
    <n v="127.64999999999999"/>
    <x v="1"/>
  </r>
  <r>
    <x v="19"/>
    <s v="Laurent MONTAGNER"/>
    <x v="1"/>
    <x v="243"/>
    <x v="243"/>
    <n v="0.80800000000000027"/>
    <s v="ADET"/>
    <n v="0.80800000000000027"/>
    <n v="20"/>
    <n v="116.6640000000002"/>
    <n v="-11.16"/>
    <n v="0"/>
    <n v="0"/>
    <n v="185"/>
    <x v="2"/>
    <n v="149.48000000000005"/>
    <x v="1"/>
  </r>
  <r>
    <x v="18"/>
    <s v="Stina Alm"/>
    <x v="1"/>
    <x v="256"/>
    <x v="256"/>
    <n v="3"/>
    <s v="ADET"/>
    <n v="0"/>
    <n v="228"/>
    <n v="0"/>
    <n v="-186"/>
    <n v="0"/>
    <n v="0"/>
    <n v="6"/>
    <x v="18"/>
    <n v="18"/>
    <x v="1"/>
  </r>
  <r>
    <x v="17"/>
    <s v="Soner Kayıkçı"/>
    <x v="1"/>
    <x v="256"/>
    <x v="256"/>
    <n v="2"/>
    <s v="ADET"/>
    <n v="0"/>
    <n v="228"/>
    <n v="0"/>
    <n v="-186"/>
    <n v="0"/>
    <n v="0"/>
    <n v="6"/>
    <x v="18"/>
    <n v="12"/>
    <x v="1"/>
  </r>
  <r>
    <x v="19"/>
    <s v="Laurent MONTAGNER"/>
    <x v="1"/>
    <x v="256"/>
    <x v="256"/>
    <n v="2"/>
    <s v="ADET"/>
    <n v="0"/>
    <n v="228"/>
    <n v="0"/>
    <n v="-186"/>
    <n v="0"/>
    <n v="0"/>
    <n v="6"/>
    <x v="18"/>
    <n v="12"/>
    <x v="1"/>
  </r>
  <r>
    <x v="17"/>
    <s v="Soner Kayıkçı"/>
    <x v="1"/>
    <x v="312"/>
    <x v="312"/>
    <n v="5"/>
    <s v="ADET"/>
    <n v="0"/>
    <n v="148"/>
    <n v="59"/>
    <n v="-33"/>
    <n v="0"/>
    <n v="0"/>
    <n v="24.17"/>
    <x v="1"/>
    <n v="120.85000000000001"/>
    <x v="1"/>
  </r>
  <r>
    <x v="19"/>
    <s v="Laurent MONTAGNER"/>
    <x v="1"/>
    <x v="312"/>
    <x v="312"/>
    <n v="9"/>
    <s v="ADET"/>
    <n v="0"/>
    <n v="148"/>
    <n v="59"/>
    <n v="-33"/>
    <n v="0"/>
    <n v="0"/>
    <n v="24.17"/>
    <x v="1"/>
    <n v="217.53000000000003"/>
    <x v="1"/>
  </r>
  <r>
    <x v="6"/>
    <s v="Stefan Zaugg"/>
    <x v="1"/>
    <x v="435"/>
    <x v="435"/>
    <n v="2.46"/>
    <s v="ADET"/>
    <n v="0"/>
    <n v="235"/>
    <n v="-2.2737367544323206E-13"/>
    <n v="-215.94"/>
    <n v="0"/>
    <n v="0"/>
    <n v="15"/>
    <x v="14"/>
    <n v="36.9"/>
    <x v="1"/>
  </r>
  <r>
    <x v="5"/>
    <s v="Matteo Giolo"/>
    <x v="1"/>
    <x v="435"/>
    <x v="435"/>
    <n v="1.46"/>
    <s v="ADET"/>
    <n v="0"/>
    <n v="235"/>
    <n v="-2.2737367544323206E-13"/>
    <n v="-215.94"/>
    <n v="0"/>
    <n v="0"/>
    <n v="15"/>
    <x v="14"/>
    <n v="21.9"/>
    <x v="1"/>
  </r>
  <r>
    <x v="5"/>
    <s v="Matteo Giolo"/>
    <x v="1"/>
    <x v="436"/>
    <x v="436"/>
    <n v="1"/>
    <s v="ADET"/>
    <n v="0"/>
    <n v="31"/>
    <n v="12"/>
    <n v="-20"/>
    <n v="0"/>
    <n v="0"/>
    <n v="15"/>
    <x v="29"/>
    <n v="15"/>
    <x v="7"/>
  </r>
  <r>
    <x v="5"/>
    <s v="Matteo Giolo"/>
    <x v="1"/>
    <x v="437"/>
    <x v="437"/>
    <n v="2"/>
    <s v="METRE"/>
    <n v="0"/>
    <n v="60"/>
    <n v="50"/>
    <n v="-50.5"/>
    <n v="0"/>
    <n v="0"/>
    <n v="265"/>
    <x v="51"/>
    <n v="530"/>
    <x v="6"/>
  </r>
  <r>
    <x v="6"/>
    <s v="Stefan Zaugg"/>
    <x v="1"/>
    <x v="438"/>
    <x v="438"/>
    <n v="2"/>
    <s v="ADET"/>
    <n v="0"/>
    <n v="136"/>
    <n v="6"/>
    <n v="-119"/>
    <n v="0"/>
    <n v="0"/>
    <n v="39.6"/>
    <x v="29"/>
    <n v="79.2"/>
    <x v="7"/>
  </r>
  <r>
    <x v="1"/>
    <s v="Laurent MONTAGNER"/>
    <x v="1"/>
    <x v="438"/>
    <x v="438"/>
    <n v="1"/>
    <s v="ADET"/>
    <n v="0"/>
    <n v="136"/>
    <n v="6"/>
    <n v="-119"/>
    <n v="0"/>
    <n v="0"/>
    <n v="39.6"/>
    <x v="29"/>
    <n v="39.6"/>
    <x v="7"/>
  </r>
  <r>
    <x v="5"/>
    <s v="Matteo Giolo"/>
    <x v="1"/>
    <x v="438"/>
    <x v="438"/>
    <n v="2"/>
    <s v="ADET"/>
    <n v="0"/>
    <n v="136"/>
    <n v="6"/>
    <n v="-119"/>
    <n v="0"/>
    <n v="0"/>
    <n v="39.6"/>
    <x v="29"/>
    <n v="79.2"/>
    <x v="7"/>
  </r>
  <r>
    <x v="6"/>
    <s v="Stefan Zaugg"/>
    <x v="1"/>
    <x v="442"/>
    <x v="442"/>
    <n v="1"/>
    <s v="ADET"/>
    <n v="0"/>
    <n v="28"/>
    <n v="4"/>
    <n v="-21"/>
    <n v="0"/>
    <n v="0"/>
    <n v="290.62"/>
    <x v="67"/>
    <n v="290.62"/>
    <x v="4"/>
  </r>
  <r>
    <x v="9"/>
    <s v="Stefan Zaugg"/>
    <x v="1"/>
    <x v="450"/>
    <x v="450"/>
    <n v="2"/>
    <s v="ADET"/>
    <n v="0"/>
    <n v="200"/>
    <n v="88"/>
    <n v="-190"/>
    <n v="0"/>
    <n v="0"/>
    <n v="10"/>
    <x v="14"/>
    <n v="20"/>
    <x v="1"/>
  </r>
  <r>
    <x v="12"/>
    <s v="Stefan Zaugg"/>
    <x v="1"/>
    <x v="450"/>
    <x v="450"/>
    <n v="2"/>
    <s v="ADET"/>
    <n v="0"/>
    <n v="200"/>
    <n v="88"/>
    <n v="-190"/>
    <n v="0"/>
    <n v="0"/>
    <n v="10"/>
    <x v="14"/>
    <n v="20"/>
    <x v="1"/>
  </r>
  <r>
    <x v="13"/>
    <s v="Volkan Batkan"/>
    <x v="1"/>
    <x v="450"/>
    <x v="450"/>
    <n v="2"/>
    <s v="ADET"/>
    <n v="0"/>
    <n v="200"/>
    <n v="88"/>
    <n v="-190"/>
    <n v="0"/>
    <n v="0"/>
    <n v="10"/>
    <x v="14"/>
    <n v="20"/>
    <x v="1"/>
  </r>
  <r>
    <x v="13"/>
    <s v="Volkan Batkan"/>
    <x v="1"/>
    <x v="451"/>
    <x v="451"/>
    <n v="3"/>
    <s v="ADET"/>
    <n v="0"/>
    <n v="400"/>
    <n v="0"/>
    <n v="-388"/>
    <n v="0"/>
    <n v="0"/>
    <n v="10"/>
    <x v="14"/>
    <n v="30"/>
    <x v="1"/>
  </r>
  <r>
    <x v="11"/>
    <s v="Jan Urbanek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3"/>
    <s v="Volkan Batkan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11"/>
    <s v="Jan Urbanek"/>
    <x v="1"/>
    <x v="454"/>
    <x v="454"/>
    <n v="4"/>
    <s v="ADET"/>
    <n v="0"/>
    <n v="0"/>
    <n v="0"/>
    <n v="12"/>
    <n v="0"/>
    <n v="32042.879999999997"/>
    <n v="2670.24"/>
    <x v="101"/>
    <n v="10680.96"/>
    <x v="8"/>
  </r>
  <r>
    <x v="15"/>
    <s v="Hayriye Güven"/>
    <x v="1"/>
    <x v="429"/>
    <x v="429"/>
    <n v="1"/>
    <s v="ADET"/>
    <n v="0"/>
    <n v="0"/>
    <n v="2"/>
    <n v="8"/>
    <n v="0"/>
    <n v="191760"/>
    <n v="23970"/>
    <x v="98"/>
    <n v="23970"/>
    <x v="2"/>
  </r>
  <r>
    <x v="10"/>
    <s v="Murat Taşdemir"/>
    <x v="1"/>
    <x v="430"/>
    <x v="430"/>
    <n v="2"/>
    <s v="ADET"/>
    <n v="0"/>
    <n v="455"/>
    <n v="23"/>
    <n v="-429"/>
    <n v="0"/>
    <n v="0"/>
    <n v="20"/>
    <x v="6"/>
    <n v="40"/>
    <x v="7"/>
  </r>
  <r>
    <x v="9"/>
    <s v="Stefan Zaugg"/>
    <x v="1"/>
    <x v="455"/>
    <x v="455"/>
    <n v="4"/>
    <s v="ADET"/>
    <n v="0"/>
    <n v="40"/>
    <n v="0"/>
    <n v="-28"/>
    <n v="0"/>
    <n v="0"/>
    <n v="33"/>
    <x v="14"/>
    <n v="132"/>
    <x v="1"/>
  </r>
  <r>
    <x v="12"/>
    <s v="Stefan Zaugg"/>
    <x v="1"/>
    <x v="455"/>
    <x v="455"/>
    <n v="4"/>
    <s v="ADET"/>
    <n v="0"/>
    <n v="40"/>
    <n v="0"/>
    <n v="-28"/>
    <n v="0"/>
    <n v="0"/>
    <n v="33"/>
    <x v="14"/>
    <n v="132"/>
    <x v="1"/>
  </r>
  <r>
    <x v="14"/>
    <s v="Matteo Giolo"/>
    <x v="1"/>
    <x v="456"/>
    <x v="456"/>
    <n v="1"/>
    <s v="ADET"/>
    <n v="0"/>
    <n v="12"/>
    <n v="3"/>
    <n v="-6"/>
    <n v="0"/>
    <n v="0"/>
    <n v="1678.88"/>
    <x v="67"/>
    <n v="1678.88"/>
    <x v="4"/>
  </r>
  <r>
    <x v="9"/>
    <s v="Stefan Zaugg"/>
    <x v="1"/>
    <x v="452"/>
    <x v="452"/>
    <n v="0.5"/>
    <s v="ADET"/>
    <n v="0"/>
    <n v="2"/>
    <n v="3.3306690738754696E-16"/>
    <n v="1.4000000000000008"/>
    <n v="0"/>
    <n v="3889.2000000000021"/>
    <n v="2778"/>
    <x v="56"/>
    <n v="1389"/>
    <x v="3"/>
  </r>
  <r>
    <x v="12"/>
    <s v="Stefan Zaugg"/>
    <x v="1"/>
    <x v="457"/>
    <x v="457"/>
    <n v="2"/>
    <s v="ADET"/>
    <n v="0"/>
    <n v="115"/>
    <n v="2"/>
    <n v="-77"/>
    <n v="0"/>
    <n v="0"/>
    <n v="0.44"/>
    <x v="60"/>
    <n v="0.88"/>
    <x v="7"/>
  </r>
  <r>
    <x v="11"/>
    <s v="Jan Urbanek"/>
    <x v="1"/>
    <x v="457"/>
    <x v="457"/>
    <n v="2"/>
    <s v="ADET"/>
    <n v="0"/>
    <n v="115"/>
    <n v="2"/>
    <n v="-77"/>
    <n v="0"/>
    <n v="0"/>
    <n v="0.44"/>
    <x v="60"/>
    <n v="0.88"/>
    <x v="7"/>
  </r>
  <r>
    <x v="11"/>
    <s v="Jan Urbanek"/>
    <x v="1"/>
    <x v="458"/>
    <x v="458"/>
    <n v="2.5"/>
    <s v="KG"/>
    <n v="0"/>
    <n v="139"/>
    <n v="45.500000000000114"/>
    <n v="-124"/>
    <n v="0"/>
    <n v="0"/>
    <n v="233.95"/>
    <x v="8"/>
    <n v="584.875"/>
    <x v="3"/>
  </r>
  <r>
    <x v="9"/>
    <s v="Stefan Zaugg"/>
    <x v="1"/>
    <x v="459"/>
    <x v="459"/>
    <n v="2"/>
    <s v="ADET"/>
    <n v="0"/>
    <n v="0"/>
    <n v="14"/>
    <n v="38"/>
    <n v="0"/>
    <n v="261.06"/>
    <n v="6.87"/>
    <x v="23"/>
    <n v="13.74"/>
    <x v="7"/>
  </r>
  <r>
    <x v="12"/>
    <s v="Stefan Zaugg"/>
    <x v="1"/>
    <x v="459"/>
    <x v="459"/>
    <n v="2"/>
    <s v="ADET"/>
    <n v="0"/>
    <n v="0"/>
    <n v="14"/>
    <n v="38"/>
    <n v="0"/>
    <n v="261.06"/>
    <n v="6.87"/>
    <x v="23"/>
    <n v="13.74"/>
    <x v="7"/>
  </r>
  <r>
    <x v="5"/>
    <s v="Matteo Giolo"/>
    <x v="1"/>
    <x v="429"/>
    <x v="429"/>
    <n v="1"/>
    <s v="ADET"/>
    <n v="0"/>
    <n v="0"/>
    <n v="2"/>
    <n v="8"/>
    <n v="0"/>
    <n v="191760"/>
    <n v="23970"/>
    <x v="98"/>
    <n v="23970"/>
    <x v="2"/>
  </r>
  <r>
    <x v="7"/>
    <s v="Stina Alm"/>
    <x v="1"/>
    <x v="430"/>
    <x v="430"/>
    <n v="2"/>
    <s v="ADET"/>
    <n v="0"/>
    <n v="455"/>
    <n v="23"/>
    <n v="-429"/>
    <n v="0"/>
    <n v="0"/>
    <n v="20"/>
    <x v="6"/>
    <n v="40"/>
    <x v="7"/>
  </r>
  <r>
    <x v="6"/>
    <s v="Stefan Zaugg"/>
    <x v="1"/>
    <x v="455"/>
    <x v="455"/>
    <n v="4"/>
    <s v="ADET"/>
    <n v="0"/>
    <n v="40"/>
    <n v="0"/>
    <n v="-28"/>
    <n v="0"/>
    <n v="0"/>
    <n v="33"/>
    <x v="14"/>
    <n v="132"/>
    <x v="1"/>
  </r>
  <r>
    <x v="5"/>
    <s v="Matteo Giolo"/>
    <x v="1"/>
    <x v="460"/>
    <x v="460"/>
    <n v="1"/>
    <s v="ADET"/>
    <n v="0"/>
    <n v="5"/>
    <n v="0"/>
    <n v="-3"/>
    <n v="0"/>
    <n v="0"/>
    <n v="270"/>
    <x v="2"/>
    <n v="270"/>
    <x v="3"/>
  </r>
  <r>
    <x v="7"/>
    <s v="Stina Alm"/>
    <x v="1"/>
    <x v="456"/>
    <x v="456"/>
    <n v="1"/>
    <s v="ADET"/>
    <n v="0"/>
    <n v="12"/>
    <n v="3"/>
    <n v="-6"/>
    <n v="0"/>
    <n v="0"/>
    <n v="1678.88"/>
    <x v="67"/>
    <n v="1678.88"/>
    <x v="4"/>
  </r>
  <r>
    <x v="6"/>
    <s v="Stefan Zaugg"/>
    <x v="1"/>
    <x v="452"/>
    <x v="452"/>
    <n v="0.5"/>
    <s v="ADET"/>
    <n v="0"/>
    <n v="2"/>
    <n v="3.3306690738754696E-16"/>
    <n v="1.4000000000000008"/>
    <n v="0"/>
    <n v="3889.2000000000021"/>
    <n v="2778"/>
    <x v="56"/>
    <n v="1389"/>
    <x v="3"/>
  </r>
  <r>
    <x v="5"/>
    <s v="Matteo Giolo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5"/>
    <s v="Matteo Giolo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13"/>
    <s v="Volkan Batkan"/>
    <x v="1"/>
    <x v="457"/>
    <x v="457"/>
    <n v="2"/>
    <s v="ADET"/>
    <n v="0"/>
    <n v="115"/>
    <n v="2"/>
    <n v="-77"/>
    <n v="0"/>
    <n v="0"/>
    <n v="0.44"/>
    <x v="60"/>
    <n v="0.88"/>
    <x v="7"/>
  </r>
  <r>
    <x v="13"/>
    <s v="Volkan Batkan"/>
    <x v="1"/>
    <x v="459"/>
    <x v="459"/>
    <n v="2"/>
    <s v="ADET"/>
    <n v="0"/>
    <n v="0"/>
    <n v="14"/>
    <n v="38"/>
    <n v="0"/>
    <n v="261.06"/>
    <n v="6.87"/>
    <x v="23"/>
    <n v="13.74"/>
    <x v="7"/>
  </r>
  <r>
    <x v="10"/>
    <s v="Murat Taşdemir"/>
    <x v="1"/>
    <x v="440"/>
    <x v="440"/>
    <n v="6"/>
    <s v="ADET"/>
    <n v="0"/>
    <n v="0"/>
    <n v="0"/>
    <n v="54"/>
    <n v="0"/>
    <n v="35.64"/>
    <n v="0.66"/>
    <x v="29"/>
    <n v="3.96"/>
    <x v="7"/>
  </r>
  <r>
    <x v="10"/>
    <s v="Murat Taşdemir"/>
    <x v="1"/>
    <x v="436"/>
    <x v="436"/>
    <n v="2"/>
    <s v="ADET"/>
    <n v="0"/>
    <n v="31"/>
    <n v="12"/>
    <n v="-20"/>
    <n v="0"/>
    <n v="0"/>
    <n v="15"/>
    <x v="29"/>
    <n v="30"/>
    <x v="7"/>
  </r>
  <r>
    <x v="14"/>
    <s v="Matteo Giolo"/>
    <x v="1"/>
    <x v="437"/>
    <x v="437"/>
    <n v="2"/>
    <s v="METRE"/>
    <n v="0"/>
    <n v="60"/>
    <n v="50"/>
    <n v="-50.5"/>
    <n v="0"/>
    <n v="0"/>
    <n v="265"/>
    <x v="51"/>
    <n v="530"/>
    <x v="6"/>
  </r>
  <r>
    <x v="10"/>
    <s v="Murat Taşdemir"/>
    <x v="1"/>
    <x v="438"/>
    <x v="438"/>
    <n v="1"/>
    <s v="ADET"/>
    <n v="0"/>
    <n v="136"/>
    <n v="6"/>
    <n v="-119"/>
    <n v="0"/>
    <n v="0"/>
    <n v="39.6"/>
    <x v="29"/>
    <n v="39.6"/>
    <x v="7"/>
  </r>
  <r>
    <x v="9"/>
    <s v="Stefan Zaugg"/>
    <x v="1"/>
    <x v="443"/>
    <x v="443"/>
    <n v="1"/>
    <s v="ADET"/>
    <n v="0"/>
    <n v="27"/>
    <n v="4"/>
    <n v="-20"/>
    <n v="0"/>
    <n v="0"/>
    <n v="290.62"/>
    <x v="67"/>
    <n v="290.62"/>
    <x v="4"/>
  </r>
  <r>
    <x v="10"/>
    <s v="Murat Taşdemir"/>
    <x v="1"/>
    <x v="446"/>
    <x v="446"/>
    <n v="2"/>
    <s v="ADET"/>
    <n v="0"/>
    <n v="16"/>
    <n v="14"/>
    <n v="-14"/>
    <n v="20"/>
    <n v="0"/>
    <n v="194"/>
    <x v="56"/>
    <n v="388"/>
    <x v="2"/>
  </r>
  <r>
    <x v="5"/>
    <s v="Matteo Giolo"/>
    <x v="1"/>
    <x v="445"/>
    <x v="445"/>
    <n v="1"/>
    <s v="ADET"/>
    <n v="0"/>
    <n v="25"/>
    <n v="3"/>
    <n v="-12"/>
    <n v="0"/>
    <n v="0"/>
    <n v="871.93"/>
    <x v="100"/>
    <n v="871.93"/>
    <x v="2"/>
  </r>
  <r>
    <x v="5"/>
    <s v="Matteo Giolo"/>
    <x v="1"/>
    <x v="446"/>
    <x v="446"/>
    <n v="2"/>
    <s v="ADET"/>
    <n v="0"/>
    <n v="16"/>
    <n v="14"/>
    <n v="-14"/>
    <n v="20"/>
    <n v="0"/>
    <n v="194"/>
    <x v="56"/>
    <n v="388"/>
    <x v="2"/>
  </r>
  <r>
    <x v="7"/>
    <s v="Stina Alm"/>
    <x v="1"/>
    <x v="446"/>
    <x v="446"/>
    <n v="2"/>
    <s v="ADET"/>
    <n v="0"/>
    <n v="16"/>
    <n v="14"/>
    <n v="-14"/>
    <n v="20"/>
    <n v="0"/>
    <n v="194"/>
    <x v="56"/>
    <n v="388"/>
    <x v="2"/>
  </r>
  <r>
    <x v="4"/>
    <s v="Jan Urbanek"/>
    <x v="1"/>
    <x v="236"/>
    <x v="236"/>
    <n v="3.2"/>
    <s v="ADET"/>
    <n v="0"/>
    <n v="272"/>
    <n v="4.2999999999999972"/>
    <n v="-233.2"/>
    <n v="0"/>
    <n v="0"/>
    <n v="30"/>
    <x v="2"/>
    <n v="96"/>
    <x v="1"/>
  </r>
  <r>
    <x v="2"/>
    <s v="Jan Urbanek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2"/>
    <s v="Jan Urbanek"/>
    <x v="1"/>
    <x v="440"/>
    <x v="440"/>
    <n v="6"/>
    <s v="ADET"/>
    <n v="0"/>
    <n v="0"/>
    <n v="0"/>
    <n v="54"/>
    <n v="0"/>
    <n v="35.64"/>
    <n v="0.66"/>
    <x v="29"/>
    <n v="3.96"/>
    <x v="7"/>
  </r>
  <r>
    <x v="2"/>
    <s v="Jan Urbanek"/>
    <x v="1"/>
    <x v="436"/>
    <x v="436"/>
    <n v="1"/>
    <s v="ADET"/>
    <n v="0"/>
    <n v="31"/>
    <n v="12"/>
    <n v="-20"/>
    <n v="0"/>
    <n v="0"/>
    <n v="15"/>
    <x v="29"/>
    <n v="15"/>
    <x v="7"/>
  </r>
  <r>
    <x v="0"/>
    <s v="Matteo Giolo"/>
    <x v="1"/>
    <x v="461"/>
    <x v="461"/>
    <n v="2"/>
    <s v="ADET"/>
    <n v="0"/>
    <n v="265"/>
    <n v="94"/>
    <n v="-249"/>
    <n v="0"/>
    <n v="0"/>
    <n v="4"/>
    <x v="29"/>
    <n v="8"/>
    <x v="7"/>
  </r>
  <r>
    <x v="0"/>
    <s v="Matteo Giolo"/>
    <x v="1"/>
    <x v="446"/>
    <x v="446"/>
    <n v="2"/>
    <s v="ADET"/>
    <n v="0"/>
    <n v="16"/>
    <n v="14"/>
    <n v="-14"/>
    <n v="20"/>
    <n v="0"/>
    <n v="194"/>
    <x v="56"/>
    <n v="388"/>
    <x v="2"/>
  </r>
  <r>
    <x v="0"/>
    <s v="Matteo Giolo"/>
    <x v="1"/>
    <x v="447"/>
    <x v="447"/>
    <n v="1"/>
    <s v="ADET"/>
    <n v="0"/>
    <n v="4"/>
    <n v="7"/>
    <n v="-2"/>
    <n v="10"/>
    <n v="0"/>
    <n v="3097.63"/>
    <x v="88"/>
    <n v="3097.63"/>
    <x v="4"/>
  </r>
  <r>
    <x v="0"/>
    <s v="Matteo Giolo"/>
    <x v="1"/>
    <x v="448"/>
    <x v="448"/>
    <n v="18.8"/>
    <s v="KG"/>
    <n v="0"/>
    <n v="140"/>
    <n v="139.9599999999997"/>
    <n v="-16.590000000000032"/>
    <n v="80"/>
    <n v="0"/>
    <n v="164.09"/>
    <x v="8"/>
    <n v="3084.8920000000003"/>
    <x v="3"/>
  </r>
  <r>
    <x v="8"/>
    <s v="Jan Urbanek"/>
    <x v="1"/>
    <x v="440"/>
    <x v="440"/>
    <n v="6"/>
    <s v="ADET"/>
    <n v="0"/>
    <n v="0"/>
    <n v="0"/>
    <n v="54"/>
    <n v="0"/>
    <n v="35.64"/>
    <n v="0.66"/>
    <x v="29"/>
    <n v="3.96"/>
    <x v="7"/>
  </r>
  <r>
    <x v="8"/>
    <s v="Jan Urbanek"/>
    <x v="1"/>
    <x v="436"/>
    <x v="436"/>
    <n v="1"/>
    <s v="ADET"/>
    <n v="0"/>
    <n v="31"/>
    <n v="12"/>
    <n v="-20"/>
    <n v="0"/>
    <n v="0"/>
    <n v="15"/>
    <x v="29"/>
    <n v="15"/>
    <x v="7"/>
  </r>
  <r>
    <x v="8"/>
    <s v="Jan Urbanek"/>
    <x v="1"/>
    <x v="438"/>
    <x v="438"/>
    <n v="1"/>
    <s v="ADET"/>
    <n v="0"/>
    <n v="136"/>
    <n v="6"/>
    <n v="-119"/>
    <n v="0"/>
    <n v="0"/>
    <n v="39.6"/>
    <x v="29"/>
    <n v="39.6"/>
    <x v="7"/>
  </r>
  <r>
    <x v="4"/>
    <s v="Jan Urbanek"/>
    <x v="1"/>
    <x v="436"/>
    <x v="436"/>
    <n v="1"/>
    <s v="ADET"/>
    <n v="0"/>
    <n v="31"/>
    <n v="12"/>
    <n v="-20"/>
    <n v="0"/>
    <n v="0"/>
    <n v="15"/>
    <x v="29"/>
    <n v="15"/>
    <x v="7"/>
  </r>
  <r>
    <x v="4"/>
    <s v="Jan Urbanek"/>
    <x v="1"/>
    <x v="438"/>
    <x v="438"/>
    <n v="1"/>
    <s v="ADET"/>
    <n v="0"/>
    <n v="136"/>
    <n v="6"/>
    <n v="-119"/>
    <n v="0"/>
    <n v="0"/>
    <n v="39.6"/>
    <x v="29"/>
    <n v="39.6"/>
    <x v="7"/>
  </r>
  <r>
    <x v="3"/>
    <s v="Jan Urbanek"/>
    <x v="1"/>
    <x v="438"/>
    <x v="438"/>
    <n v="1"/>
    <s v="ADET"/>
    <n v="0"/>
    <n v="136"/>
    <n v="6"/>
    <n v="-119"/>
    <n v="0"/>
    <n v="0"/>
    <n v="39.6"/>
    <x v="29"/>
    <n v="39.6"/>
    <x v="7"/>
  </r>
  <r>
    <x v="3"/>
    <s v="Jan Urbanek"/>
    <x v="1"/>
    <x v="442"/>
    <x v="442"/>
    <n v="1"/>
    <s v="ADET"/>
    <n v="0"/>
    <n v="28"/>
    <n v="4"/>
    <n v="-21"/>
    <n v="0"/>
    <n v="0"/>
    <n v="290.62"/>
    <x v="67"/>
    <n v="290.62"/>
    <x v="4"/>
  </r>
  <r>
    <x v="2"/>
    <s v="Jan Urbanek"/>
    <x v="1"/>
    <x v="443"/>
    <x v="443"/>
    <n v="1"/>
    <s v="ADET"/>
    <n v="0"/>
    <n v="27"/>
    <n v="4"/>
    <n v="-20"/>
    <n v="0"/>
    <n v="0"/>
    <n v="290.62"/>
    <x v="67"/>
    <n v="290.62"/>
    <x v="4"/>
  </r>
  <r>
    <x v="4"/>
    <s v="Jan Urbanek"/>
    <x v="1"/>
    <x v="461"/>
    <x v="461"/>
    <n v="2"/>
    <s v="ADET"/>
    <n v="0"/>
    <n v="265"/>
    <n v="94"/>
    <n v="-249"/>
    <n v="0"/>
    <n v="0"/>
    <n v="4"/>
    <x v="29"/>
    <n v="8"/>
    <x v="7"/>
  </r>
  <r>
    <x v="4"/>
    <s v="Jan Urbanek"/>
    <x v="1"/>
    <x v="407"/>
    <x v="407"/>
    <n v="1"/>
    <s v="ADET"/>
    <n v="0"/>
    <n v="49"/>
    <n v="1.6000000000000014"/>
    <n v="-37.599999999999994"/>
    <n v="0"/>
    <n v="0"/>
    <n v="60"/>
    <x v="8"/>
    <n v="60"/>
    <x v="1"/>
  </r>
  <r>
    <x v="8"/>
    <s v="Jan Urbanek"/>
    <x v="1"/>
    <x v="408"/>
    <x v="408"/>
    <n v="6"/>
    <s v="ADET"/>
    <n v="0"/>
    <n v="0"/>
    <n v="0"/>
    <n v="54"/>
    <n v="0"/>
    <n v="67.5"/>
    <n v="1.25"/>
    <x v="29"/>
    <n v="7.5"/>
    <x v="7"/>
  </r>
  <r>
    <x v="2"/>
    <s v="Jan Urbanek"/>
    <x v="1"/>
    <x v="414"/>
    <x v="414"/>
    <n v="1"/>
    <s v="ADET"/>
    <n v="0"/>
    <n v="27"/>
    <n v="4"/>
    <n v="-20"/>
    <n v="0"/>
    <n v="0"/>
    <n v="287.01"/>
    <x v="67"/>
    <n v="287.01"/>
    <x v="4"/>
  </r>
  <r>
    <x v="2"/>
    <s v="Jan Urbanek"/>
    <x v="1"/>
    <x v="415"/>
    <x v="415"/>
    <n v="1"/>
    <s v="ADET"/>
    <n v="0"/>
    <n v="27"/>
    <n v="4"/>
    <n v="-20"/>
    <n v="0"/>
    <n v="0"/>
    <n v="287.01"/>
    <x v="67"/>
    <n v="287.01"/>
    <x v="4"/>
  </r>
  <r>
    <x v="8"/>
    <s v="Jan Urbanek"/>
    <x v="1"/>
    <x v="420"/>
    <x v="420"/>
    <n v="4"/>
    <s v="ADET"/>
    <n v="0"/>
    <n v="115"/>
    <n v="28"/>
    <n v="-71"/>
    <n v="0"/>
    <n v="0"/>
    <n v="250"/>
    <x v="1"/>
    <n v="1000"/>
    <x v="1"/>
  </r>
  <r>
    <x v="2"/>
    <s v="Jan Urbanek"/>
    <x v="1"/>
    <x v="416"/>
    <x v="416"/>
    <n v="1"/>
    <s v="ADET"/>
    <n v="0"/>
    <n v="19"/>
    <n v="17"/>
    <n v="0"/>
    <n v="0"/>
    <n v="0"/>
    <n v="113.64"/>
    <x v="96"/>
    <n v="113.64"/>
    <x v="12"/>
  </r>
  <r>
    <x v="2"/>
    <s v="Jan Urbanek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3"/>
    <s v="Jan Urbanek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4"/>
    <s v="Jan Urbanek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8"/>
    <s v="Jan Urbanek"/>
    <x v="1"/>
    <x v="431"/>
    <x v="431"/>
    <n v="1"/>
    <s v="ADET"/>
    <n v="0"/>
    <n v="19"/>
    <n v="4"/>
    <n v="-12"/>
    <n v="0"/>
    <n v="0"/>
    <n v="85"/>
    <x v="12"/>
    <n v="85"/>
    <x v="4"/>
  </r>
  <r>
    <x v="2"/>
    <s v="Jan Urbanek"/>
    <x v="1"/>
    <x v="420"/>
    <x v="420"/>
    <n v="4"/>
    <s v="ADET"/>
    <n v="0"/>
    <n v="115"/>
    <n v="28"/>
    <n v="-71"/>
    <n v="0"/>
    <n v="0"/>
    <n v="250"/>
    <x v="1"/>
    <n v="1000"/>
    <x v="1"/>
  </r>
  <r>
    <x v="4"/>
    <s v="Jan Urbanek"/>
    <x v="1"/>
    <x v="420"/>
    <x v="420"/>
    <n v="4"/>
    <s v="ADET"/>
    <n v="0"/>
    <n v="115"/>
    <n v="28"/>
    <n v="-71"/>
    <n v="0"/>
    <n v="0"/>
    <n v="250"/>
    <x v="1"/>
    <n v="1000"/>
    <x v="1"/>
  </r>
  <r>
    <x v="3"/>
    <s v="Jan Urbanek"/>
    <x v="1"/>
    <x v="420"/>
    <x v="420"/>
    <n v="4"/>
    <s v="ADET"/>
    <n v="0"/>
    <n v="115"/>
    <n v="28"/>
    <n v="-71"/>
    <n v="0"/>
    <n v="0"/>
    <n v="250"/>
    <x v="1"/>
    <n v="1000"/>
    <x v="1"/>
  </r>
  <r>
    <x v="8"/>
    <s v="Jan Urbanek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2"/>
    <s v="Jan Urbanek"/>
    <x v="1"/>
    <x v="431"/>
    <x v="431"/>
    <n v="1"/>
    <s v="ADET"/>
    <n v="0"/>
    <n v="19"/>
    <n v="4"/>
    <n v="-12"/>
    <n v="0"/>
    <n v="0"/>
    <n v="85"/>
    <x v="12"/>
    <n v="85"/>
    <x v="4"/>
  </r>
  <r>
    <x v="4"/>
    <s v="Jan Urbanek"/>
    <x v="1"/>
    <x v="431"/>
    <x v="431"/>
    <n v="1"/>
    <s v="ADET"/>
    <n v="0"/>
    <n v="19"/>
    <n v="4"/>
    <n v="-12"/>
    <n v="0"/>
    <n v="0"/>
    <n v="85"/>
    <x v="12"/>
    <n v="85"/>
    <x v="4"/>
  </r>
  <r>
    <x v="3"/>
    <s v="Jan Urbanek"/>
    <x v="1"/>
    <x v="431"/>
    <x v="431"/>
    <n v="1"/>
    <s v="ADET"/>
    <n v="0"/>
    <n v="19"/>
    <n v="4"/>
    <n v="-12"/>
    <n v="0"/>
    <n v="0"/>
    <n v="85"/>
    <x v="12"/>
    <n v="85"/>
    <x v="4"/>
  </r>
  <r>
    <x v="2"/>
    <s v="Jan Urbanek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"/>
    <s v="Laurent MONTAGNER"/>
    <x v="1"/>
    <x v="409"/>
    <x v="409"/>
    <n v="2"/>
    <s v="ADET"/>
    <n v="0"/>
    <n v="30"/>
    <n v="0"/>
    <n v="-10"/>
    <n v="0"/>
    <n v="0"/>
    <n v="60"/>
    <x v="14"/>
    <n v="120"/>
    <x v="1"/>
  </r>
  <r>
    <x v="0"/>
    <s v="Matteo Giolo"/>
    <x v="1"/>
    <x v="414"/>
    <x v="414"/>
    <n v="1"/>
    <s v="ADET"/>
    <n v="0"/>
    <n v="27"/>
    <n v="4"/>
    <n v="-20"/>
    <n v="0"/>
    <n v="0"/>
    <n v="287.01"/>
    <x v="67"/>
    <n v="287.01"/>
    <x v="4"/>
  </r>
  <r>
    <x v="0"/>
    <s v="Matteo Giolo"/>
    <x v="1"/>
    <x v="415"/>
    <x v="415"/>
    <n v="1"/>
    <s v="ADET"/>
    <n v="0"/>
    <n v="27"/>
    <n v="4"/>
    <n v="-20"/>
    <n v="0"/>
    <n v="0"/>
    <n v="287.01"/>
    <x v="67"/>
    <n v="287.01"/>
    <x v="4"/>
  </r>
  <r>
    <x v="0"/>
    <s v="Matteo Giolo"/>
    <x v="1"/>
    <x v="416"/>
    <x v="416"/>
    <n v="1"/>
    <s v="ADET"/>
    <n v="0"/>
    <n v="19"/>
    <n v="17"/>
    <n v="0"/>
    <n v="0"/>
    <n v="0"/>
    <n v="113.64"/>
    <x v="96"/>
    <n v="113.64"/>
    <x v="12"/>
  </r>
  <r>
    <x v="0"/>
    <s v="Matteo Giolo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2"/>
    <s v="Jan Urbanek"/>
    <x v="1"/>
    <x v="408"/>
    <x v="408"/>
    <n v="6"/>
    <s v="ADET"/>
    <n v="0"/>
    <n v="0"/>
    <n v="0"/>
    <n v="54"/>
    <n v="0"/>
    <n v="67.5"/>
    <n v="1.25"/>
    <x v="29"/>
    <n v="7.5"/>
    <x v="7"/>
  </r>
  <r>
    <x v="3"/>
    <s v="Jan Urbanek"/>
    <x v="1"/>
    <x v="414"/>
    <x v="414"/>
    <n v="1"/>
    <s v="ADET"/>
    <n v="0"/>
    <n v="27"/>
    <n v="4"/>
    <n v="-20"/>
    <n v="0"/>
    <n v="0"/>
    <n v="287.01"/>
    <x v="67"/>
    <n v="287.01"/>
    <x v="4"/>
  </r>
  <r>
    <x v="3"/>
    <s v="Jan Urbanek"/>
    <x v="1"/>
    <x v="415"/>
    <x v="415"/>
    <n v="1"/>
    <s v="ADET"/>
    <n v="0"/>
    <n v="27"/>
    <n v="4"/>
    <n v="-20"/>
    <n v="0"/>
    <n v="0"/>
    <n v="287.01"/>
    <x v="67"/>
    <n v="287.01"/>
    <x v="4"/>
  </r>
  <r>
    <x v="4"/>
    <s v="Jan Urbanek"/>
    <x v="1"/>
    <x v="416"/>
    <x v="416"/>
    <n v="1"/>
    <s v="ADET"/>
    <n v="0"/>
    <n v="19"/>
    <n v="17"/>
    <n v="0"/>
    <n v="0"/>
    <n v="0"/>
    <n v="113.64"/>
    <x v="96"/>
    <n v="113.64"/>
    <x v="12"/>
  </r>
  <r>
    <x v="0"/>
    <s v="Matteo Giolo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"/>
    <s v="Laurent MONTAGNER"/>
    <x v="1"/>
    <x v="422"/>
    <x v="422"/>
    <n v="12"/>
    <s v="ADET"/>
    <n v="0"/>
    <n v="0"/>
    <n v="24.049999999999969"/>
    <n v="147.72000000000003"/>
    <n v="34"/>
    <n v="249893.49240000005"/>
    <n v="1691.67"/>
    <x v="61"/>
    <n v="20300.04"/>
    <x v="8"/>
  </r>
  <r>
    <x v="6"/>
    <s v="Stefan Zaugg"/>
    <x v="1"/>
    <x v="433"/>
    <x v="433"/>
    <n v="4"/>
    <s v="ADET"/>
    <n v="0"/>
    <n v="0"/>
    <n v="8"/>
    <n v="-60"/>
    <n v="72"/>
    <n v="0"/>
    <n v="5265.79"/>
    <x v="99"/>
    <n v="21063.16"/>
    <x v="4"/>
  </r>
  <r>
    <x v="6"/>
    <s v="Stefan Zaugg"/>
    <x v="1"/>
    <x v="423"/>
    <x v="423"/>
    <n v="8"/>
    <s v="ADET"/>
    <n v="0"/>
    <n v="524"/>
    <n v="352"/>
    <n v="-374"/>
    <n v="0"/>
    <n v="0"/>
    <n v="8.1"/>
    <x v="60"/>
    <n v="64.8"/>
    <x v="7"/>
  </r>
  <r>
    <x v="7"/>
    <s v="Stina Alm"/>
    <x v="1"/>
    <x v="423"/>
    <x v="423"/>
    <n v="8"/>
    <s v="ADET"/>
    <n v="0"/>
    <n v="524"/>
    <n v="352"/>
    <n v="-374"/>
    <n v="0"/>
    <n v="0"/>
    <n v="8.1"/>
    <x v="60"/>
    <n v="64.8"/>
    <x v="7"/>
  </r>
  <r>
    <x v="0"/>
    <s v="Matteo Giolo"/>
    <x v="1"/>
    <x v="427"/>
    <x v="427"/>
    <n v="1"/>
    <s v="ADET"/>
    <n v="0"/>
    <n v="6"/>
    <n v="9"/>
    <n v="0"/>
    <n v="7"/>
    <n v="0"/>
    <n v="1535.25"/>
    <x v="24"/>
    <n v="1535.25"/>
    <x v="7"/>
  </r>
  <r>
    <x v="4"/>
    <s v="Jan Urbanek"/>
    <x v="1"/>
    <x v="412"/>
    <x v="412"/>
    <n v="2"/>
    <s v="ADET"/>
    <n v="0"/>
    <n v="35"/>
    <n v="61"/>
    <n v="-12"/>
    <n v="0"/>
    <n v="0"/>
    <n v="19.07"/>
    <x v="23"/>
    <n v="38.14"/>
    <x v="7"/>
  </r>
  <r>
    <x v="4"/>
    <s v="Jan Urbanek"/>
    <x v="1"/>
    <x v="424"/>
    <x v="424"/>
    <n v="26"/>
    <s v="ADET"/>
    <n v="0"/>
    <n v="180"/>
    <n v="80"/>
    <n v="32"/>
    <n v="0"/>
    <n v="7680"/>
    <n v="240"/>
    <x v="2"/>
    <n v="6240"/>
    <x v="1"/>
  </r>
  <r>
    <x v="8"/>
    <s v="Jan Urbanek"/>
    <x v="1"/>
    <x v="424"/>
    <x v="424"/>
    <n v="26"/>
    <s v="ADET"/>
    <n v="0"/>
    <n v="180"/>
    <n v="80"/>
    <n v="32"/>
    <n v="0"/>
    <n v="7680"/>
    <n v="240"/>
    <x v="2"/>
    <n v="6240"/>
    <x v="1"/>
  </r>
  <r>
    <x v="3"/>
    <s v="Jan Urbanek"/>
    <x v="1"/>
    <x v="426"/>
    <x v="426"/>
    <n v="2.4700000000000002"/>
    <s v="KG"/>
    <n v="2.4700000000000002"/>
    <n v="0"/>
    <n v="154.9500000000001"/>
    <n v="21.899999999999991"/>
    <n v="60"/>
    <n v="4265.0249999999987"/>
    <n v="194.75"/>
    <x v="8"/>
    <n v="481.03250000000003"/>
    <x v="3"/>
  </r>
  <r>
    <x v="4"/>
    <s v="Jan Urbanek"/>
    <x v="1"/>
    <x v="426"/>
    <x v="426"/>
    <n v="2.4700000000000002"/>
    <s v="KG"/>
    <n v="0"/>
    <n v="0"/>
    <n v="154.9500000000001"/>
    <n v="21.899999999999991"/>
    <n v="60"/>
    <n v="4265.0249999999987"/>
    <n v="194.75"/>
    <x v="8"/>
    <n v="481.03250000000003"/>
    <x v="3"/>
  </r>
  <r>
    <x v="3"/>
    <s v="Jan Urbanek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4"/>
    <s v="Jan Urbanek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7"/>
    <s v="Stina Alm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11"/>
    <s v="Jan Urbanek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14"/>
    <s v="Matteo Giolo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8"/>
    <s v="Jan Urbanek"/>
    <x v="1"/>
    <x v="423"/>
    <x v="423"/>
    <n v="8"/>
    <s v="ADET"/>
    <n v="0"/>
    <n v="524"/>
    <n v="352"/>
    <n v="-374"/>
    <n v="0"/>
    <n v="0"/>
    <n v="8.1"/>
    <x v="60"/>
    <n v="64.8"/>
    <x v="7"/>
  </r>
  <r>
    <x v="8"/>
    <s v="Jan Urbanek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0"/>
    <s v="Murat Taşdemir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3"/>
    <s v="Jan Urbanek"/>
    <x v="1"/>
    <x v="423"/>
    <x v="423"/>
    <n v="8"/>
    <s v="ADET"/>
    <n v="0"/>
    <n v="524"/>
    <n v="352"/>
    <n v="-374"/>
    <n v="0"/>
    <n v="0"/>
    <n v="8.1"/>
    <x v="60"/>
    <n v="64.8"/>
    <x v="7"/>
  </r>
  <r>
    <x v="4"/>
    <s v="Jan Urbanek"/>
    <x v="1"/>
    <x v="423"/>
    <x v="423"/>
    <n v="8"/>
    <s v="ADET"/>
    <n v="0"/>
    <n v="524"/>
    <n v="352"/>
    <n v="-374"/>
    <n v="0"/>
    <n v="0"/>
    <n v="8.1"/>
    <x v="60"/>
    <n v="64.8"/>
    <x v="7"/>
  </r>
  <r>
    <x v="8"/>
    <s v="Jan Urbanek"/>
    <x v="1"/>
    <x v="427"/>
    <x v="427"/>
    <n v="1"/>
    <s v="ADET"/>
    <n v="0"/>
    <n v="6"/>
    <n v="9"/>
    <n v="0"/>
    <n v="7"/>
    <n v="0"/>
    <n v="1535.25"/>
    <x v="24"/>
    <n v="1535.25"/>
    <x v="7"/>
  </r>
  <r>
    <x v="5"/>
    <s v="Matteo Giolo"/>
    <x v="1"/>
    <x v="411"/>
    <x v="411"/>
    <n v="1"/>
    <s v="ADET"/>
    <n v="0"/>
    <n v="18"/>
    <n v="10"/>
    <n v="-5"/>
    <n v="0"/>
    <n v="0"/>
    <n v="115.6"/>
    <x v="23"/>
    <n v="115.6"/>
    <x v="7"/>
  </r>
  <r>
    <x v="6"/>
    <s v="Stefan Zaugg"/>
    <x v="1"/>
    <x v="421"/>
    <x v="421"/>
    <n v="1"/>
    <s v="ADET"/>
    <n v="0"/>
    <n v="37"/>
    <n v="2"/>
    <n v="-17"/>
    <n v="0"/>
    <n v="0"/>
    <n v="82.6"/>
    <x v="12"/>
    <n v="82.6"/>
    <x v="4"/>
  </r>
  <r>
    <x v="5"/>
    <s v="Matteo Giolo"/>
    <x v="1"/>
    <x v="421"/>
    <x v="421"/>
    <n v="1"/>
    <s v="ADET"/>
    <n v="0"/>
    <n v="37"/>
    <n v="2"/>
    <n v="-17"/>
    <n v="0"/>
    <n v="0"/>
    <n v="82.6"/>
    <x v="12"/>
    <n v="82.6"/>
    <x v="4"/>
  </r>
  <r>
    <x v="7"/>
    <s v="Stina Alm"/>
    <x v="1"/>
    <x v="421"/>
    <x v="421"/>
    <n v="1"/>
    <s v="ADET"/>
    <n v="0"/>
    <n v="37"/>
    <n v="2"/>
    <n v="-17"/>
    <n v="0"/>
    <n v="0"/>
    <n v="82.6"/>
    <x v="12"/>
    <n v="82.6"/>
    <x v="4"/>
  </r>
  <r>
    <x v="6"/>
    <s v="Stefan Zaugg"/>
    <x v="1"/>
    <x v="432"/>
    <x v="432"/>
    <n v="5"/>
    <s v="ADET"/>
    <n v="0"/>
    <n v="0"/>
    <n v="0"/>
    <n v="10"/>
    <n v="0"/>
    <n v="6.6000000000000005"/>
    <n v="0.66"/>
    <x v="6"/>
    <n v="3.3000000000000003"/>
    <x v="1"/>
  </r>
  <r>
    <x v="5"/>
    <s v="Matteo Giolo"/>
    <x v="1"/>
    <x v="424"/>
    <x v="424"/>
    <n v="12.5"/>
    <s v="ADET"/>
    <n v="0"/>
    <n v="180"/>
    <n v="80"/>
    <n v="32"/>
    <n v="0"/>
    <n v="7680"/>
    <n v="240"/>
    <x v="2"/>
    <n v="3000"/>
    <x v="1"/>
  </r>
  <r>
    <x v="3"/>
    <s v="Jan Urbanek"/>
    <x v="1"/>
    <x v="461"/>
    <x v="461"/>
    <n v="2"/>
    <s v="ADET"/>
    <n v="0"/>
    <n v="265"/>
    <n v="94"/>
    <n v="-249"/>
    <n v="0"/>
    <n v="0"/>
    <n v="4"/>
    <x v="29"/>
    <n v="8"/>
    <x v="7"/>
  </r>
  <r>
    <x v="7"/>
    <s v="Stina Alm"/>
    <x v="1"/>
    <x v="448"/>
    <x v="448"/>
    <n v="22.3"/>
    <s v="KG"/>
    <n v="0"/>
    <n v="140"/>
    <n v="139.9599999999997"/>
    <n v="-16.590000000000032"/>
    <n v="80"/>
    <n v="0"/>
    <n v="164.09"/>
    <x v="8"/>
    <n v="3659.2070000000003"/>
    <x v="3"/>
  </r>
  <r>
    <x v="2"/>
    <s v="Jan Urbanek"/>
    <x v="1"/>
    <x v="446"/>
    <x v="446"/>
    <n v="2"/>
    <s v="ADET"/>
    <n v="0"/>
    <n v="16"/>
    <n v="14"/>
    <n v="-14"/>
    <n v="20"/>
    <n v="0"/>
    <n v="194"/>
    <x v="56"/>
    <n v="388"/>
    <x v="2"/>
  </r>
  <r>
    <x v="4"/>
    <s v="Jan Urbanek"/>
    <x v="1"/>
    <x v="446"/>
    <x v="446"/>
    <n v="2"/>
    <s v="ADET"/>
    <n v="0"/>
    <n v="16"/>
    <n v="14"/>
    <n v="-14"/>
    <n v="20"/>
    <n v="0"/>
    <n v="194"/>
    <x v="56"/>
    <n v="388"/>
    <x v="2"/>
  </r>
  <r>
    <x v="8"/>
    <s v="Jan Urbanek"/>
    <x v="1"/>
    <x v="461"/>
    <x v="461"/>
    <n v="2"/>
    <s v="ADET"/>
    <n v="0"/>
    <n v="265"/>
    <n v="94"/>
    <n v="-249"/>
    <n v="0"/>
    <n v="0"/>
    <n v="4"/>
    <x v="29"/>
    <n v="8"/>
    <x v="7"/>
  </r>
  <r>
    <x v="2"/>
    <s v="Jan Urbanek"/>
    <x v="1"/>
    <x v="445"/>
    <x v="445"/>
    <n v="1"/>
    <s v="ADET"/>
    <n v="0"/>
    <n v="25"/>
    <n v="3"/>
    <n v="-12"/>
    <n v="0"/>
    <n v="0"/>
    <n v="871.93"/>
    <x v="100"/>
    <n v="871.93"/>
    <x v="2"/>
  </r>
  <r>
    <x v="8"/>
    <s v="Jan Urbanek"/>
    <x v="1"/>
    <x v="446"/>
    <x v="446"/>
    <n v="2"/>
    <s v="ADET"/>
    <n v="0"/>
    <n v="16"/>
    <n v="14"/>
    <n v="-14"/>
    <n v="20"/>
    <n v="0"/>
    <n v="194"/>
    <x v="56"/>
    <n v="388"/>
    <x v="2"/>
  </r>
  <r>
    <x v="8"/>
    <s v="Jan Urbanek"/>
    <x v="1"/>
    <x v="447"/>
    <x v="447"/>
    <n v="1"/>
    <s v="ADET"/>
    <n v="0"/>
    <n v="4"/>
    <n v="7"/>
    <n v="-2"/>
    <n v="10"/>
    <n v="0"/>
    <n v="3097.63"/>
    <x v="88"/>
    <n v="3097.63"/>
    <x v="4"/>
  </r>
  <r>
    <x v="8"/>
    <s v="Jan Urbanek"/>
    <x v="1"/>
    <x v="448"/>
    <x v="448"/>
    <n v="18.8"/>
    <s v="KG"/>
    <n v="0"/>
    <n v="140"/>
    <n v="139.9599999999997"/>
    <n v="-16.590000000000032"/>
    <n v="80"/>
    <n v="0"/>
    <n v="164.09"/>
    <x v="8"/>
    <n v="3084.8920000000003"/>
    <x v="3"/>
  </r>
  <r>
    <x v="16"/>
    <s v="Laurent MONTAGNER"/>
    <x v="1"/>
    <x v="234"/>
    <x v="234"/>
    <n v="15"/>
    <s v="ADET"/>
    <n v="0"/>
    <n v="800"/>
    <n v="0"/>
    <n v="-414"/>
    <n v="0"/>
    <n v="0"/>
    <n v="13.75"/>
    <x v="1"/>
    <n v="206.25"/>
    <x v="1"/>
  </r>
  <r>
    <x v="16"/>
    <s v="Laurent MONTAGNER"/>
    <x v="1"/>
    <x v="235"/>
    <x v="235"/>
    <n v="0.73"/>
    <s v="ADET"/>
    <n v="0"/>
    <n v="14"/>
    <n v="9.9999999999999929"/>
    <n v="2.5700000000000003"/>
    <n v="0"/>
    <n v="552.55000000000007"/>
    <n v="215"/>
    <x v="2"/>
    <n v="156.94999999999999"/>
    <x v="1"/>
  </r>
  <r>
    <x v="16"/>
    <s v="Laurent MONTAGNER"/>
    <x v="1"/>
    <x v="236"/>
    <x v="236"/>
    <n v="3.5"/>
    <s v="ADET"/>
    <n v="0"/>
    <n v="272"/>
    <n v="4.2999999999999972"/>
    <n v="-233.2"/>
    <n v="0"/>
    <n v="0"/>
    <n v="30"/>
    <x v="2"/>
    <n v="105"/>
    <x v="1"/>
  </r>
  <r>
    <x v="1"/>
    <s v="Laurent MONTAGNER"/>
    <x v="1"/>
    <x v="435"/>
    <x v="435"/>
    <n v="1.61"/>
    <s v="ADET"/>
    <n v="0"/>
    <n v="235"/>
    <n v="-2.2737367544323206E-13"/>
    <n v="-215.94"/>
    <n v="0"/>
    <n v="0"/>
    <n v="15"/>
    <x v="14"/>
    <n v="24.150000000000002"/>
    <x v="1"/>
  </r>
  <r>
    <x v="5"/>
    <s v="Matteo Giolo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7"/>
    <s v="Stina Alm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6"/>
    <s v="Stefan Zaugg"/>
    <x v="1"/>
    <x v="436"/>
    <x v="436"/>
    <n v="2"/>
    <s v="ADET"/>
    <n v="2"/>
    <n v="31"/>
    <n v="12"/>
    <n v="-20"/>
    <n v="0"/>
    <n v="0"/>
    <n v="15"/>
    <x v="29"/>
    <n v="30"/>
    <x v="7"/>
  </r>
  <r>
    <x v="6"/>
    <s v="Stefan Zaugg"/>
    <x v="1"/>
    <x v="443"/>
    <x v="443"/>
    <n v="1"/>
    <s v="ADET"/>
    <n v="0"/>
    <n v="27"/>
    <n v="4"/>
    <n v="-20"/>
    <n v="0"/>
    <n v="0"/>
    <n v="290.62"/>
    <x v="67"/>
    <n v="290.62"/>
    <x v="4"/>
  </r>
  <r>
    <x v="1"/>
    <s v="Laurent MONTAGNER"/>
    <x v="1"/>
    <x v="444"/>
    <x v="444"/>
    <n v="1"/>
    <s v="ADET"/>
    <n v="1"/>
    <n v="10"/>
    <n v="3"/>
    <n v="-4"/>
    <n v="0"/>
    <n v="0"/>
    <n v="1723.12"/>
    <x v="67"/>
    <n v="1723.12"/>
    <x v="4"/>
  </r>
  <r>
    <x v="5"/>
    <s v="Matteo Giolo"/>
    <x v="1"/>
    <x v="444"/>
    <x v="444"/>
    <n v="1"/>
    <s v="ADET"/>
    <n v="0"/>
    <n v="10"/>
    <n v="3"/>
    <n v="-4"/>
    <n v="0"/>
    <n v="0"/>
    <n v="1723.12"/>
    <x v="67"/>
    <n v="1723.12"/>
    <x v="4"/>
  </r>
  <r>
    <x v="0"/>
    <s v="Matteo Giolo"/>
    <x v="1"/>
    <x v="445"/>
    <x v="445"/>
    <n v="1"/>
    <s v="ADET"/>
    <n v="0"/>
    <n v="25"/>
    <n v="3"/>
    <n v="-12"/>
    <n v="0"/>
    <n v="0"/>
    <n v="871.93"/>
    <x v="100"/>
    <n v="871.93"/>
    <x v="2"/>
  </r>
  <r>
    <x v="1"/>
    <s v="Laurent MONTAGNER"/>
    <x v="1"/>
    <x v="447"/>
    <x v="447"/>
    <n v="1"/>
    <s v="ADET"/>
    <n v="1"/>
    <n v="4"/>
    <n v="7"/>
    <n v="-2"/>
    <n v="10"/>
    <n v="0"/>
    <n v="3097.63"/>
    <x v="88"/>
    <n v="3097.63"/>
    <x v="4"/>
  </r>
  <r>
    <x v="5"/>
    <s v="Matteo Giolo"/>
    <x v="1"/>
    <x v="448"/>
    <x v="448"/>
    <n v="23.71"/>
    <s v="KG"/>
    <n v="0"/>
    <n v="140"/>
    <n v="139.9599999999997"/>
    <n v="-16.590000000000032"/>
    <n v="80"/>
    <n v="0"/>
    <n v="164.09"/>
    <x v="8"/>
    <n v="3890.5739000000003"/>
    <x v="3"/>
  </r>
  <r>
    <x v="3"/>
    <s v="Jan Urbanek"/>
    <x v="1"/>
    <x v="236"/>
    <x v="236"/>
    <n v="2.7"/>
    <s v="ADET"/>
    <n v="0"/>
    <n v="272"/>
    <n v="4.2999999999999972"/>
    <n v="-233.2"/>
    <n v="0"/>
    <n v="0"/>
    <n v="30"/>
    <x v="2"/>
    <n v="81"/>
    <x v="1"/>
  </r>
  <r>
    <x v="8"/>
    <s v="Jan Urbanek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2"/>
    <s v="Jan Urbanek"/>
    <x v="1"/>
    <x v="438"/>
    <x v="438"/>
    <n v="1"/>
    <s v="ADET"/>
    <n v="0"/>
    <n v="136"/>
    <n v="6"/>
    <n v="-119"/>
    <n v="0"/>
    <n v="0"/>
    <n v="39.6"/>
    <x v="29"/>
    <n v="39.6"/>
    <x v="7"/>
  </r>
  <r>
    <x v="2"/>
    <s v="Jan Urbanek"/>
    <x v="1"/>
    <x v="442"/>
    <x v="442"/>
    <n v="1"/>
    <s v="ADET"/>
    <n v="0"/>
    <n v="28"/>
    <n v="4"/>
    <n v="-21"/>
    <n v="0"/>
    <n v="0"/>
    <n v="290.62"/>
    <x v="67"/>
    <n v="290.62"/>
    <x v="4"/>
  </r>
  <r>
    <x v="0"/>
    <s v="Matteo Giolo"/>
    <x v="1"/>
    <x v="429"/>
    <x v="429"/>
    <n v="1"/>
    <s v="ADET"/>
    <n v="0"/>
    <n v="0"/>
    <n v="2"/>
    <n v="8"/>
    <n v="0"/>
    <n v="191760"/>
    <n v="23970"/>
    <x v="98"/>
    <n v="23970"/>
    <x v="2"/>
  </r>
  <r>
    <x v="0"/>
    <s v="Matteo Giolo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10"/>
    <s v="Murat Taşdemir"/>
    <x v="1"/>
    <x v="460"/>
    <x v="460"/>
    <n v="1"/>
    <s v="ADET"/>
    <n v="0"/>
    <n v="5"/>
    <n v="0"/>
    <n v="-3"/>
    <n v="0"/>
    <n v="0"/>
    <n v="270"/>
    <x v="2"/>
    <n v="270"/>
    <x v="3"/>
  </r>
  <r>
    <x v="10"/>
    <s v="Murat Taşdemir"/>
    <x v="1"/>
    <x v="452"/>
    <x v="452"/>
    <n v="0.05"/>
    <s v="ADET"/>
    <n v="0"/>
    <n v="2"/>
    <n v="3.3306690738754696E-16"/>
    <n v="1.4000000000000008"/>
    <n v="0"/>
    <n v="3889.2000000000021"/>
    <n v="2778"/>
    <x v="56"/>
    <n v="138.9"/>
    <x v="3"/>
  </r>
  <r>
    <x v="10"/>
    <s v="Murat Taşdemir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0"/>
    <s v="Matteo Giolo"/>
    <x v="1"/>
    <x v="457"/>
    <x v="457"/>
    <n v="2"/>
    <s v="ADET"/>
    <n v="0"/>
    <n v="115"/>
    <n v="2"/>
    <n v="-77"/>
    <n v="0"/>
    <n v="0"/>
    <n v="0.44"/>
    <x v="60"/>
    <n v="0.88"/>
    <x v="7"/>
  </r>
  <r>
    <x v="8"/>
    <s v="Jan Urbanek"/>
    <x v="1"/>
    <x v="451"/>
    <x v="451"/>
    <n v="3"/>
    <s v="ADET"/>
    <n v="0"/>
    <n v="400"/>
    <n v="0"/>
    <n v="-388"/>
    <n v="0"/>
    <n v="0"/>
    <n v="10"/>
    <x v="14"/>
    <n v="30"/>
    <x v="1"/>
  </r>
  <r>
    <x v="7"/>
    <s v="Stina Alm"/>
    <x v="1"/>
    <x v="457"/>
    <x v="457"/>
    <n v="2"/>
    <s v="ADET"/>
    <n v="0"/>
    <n v="115"/>
    <n v="2"/>
    <n v="-77"/>
    <n v="0"/>
    <n v="0"/>
    <n v="0.44"/>
    <x v="60"/>
    <n v="0.88"/>
    <x v="7"/>
  </r>
  <r>
    <x v="3"/>
    <s v="Jan Urbanek"/>
    <x v="1"/>
    <x v="430"/>
    <x v="430"/>
    <n v="2"/>
    <s v="ADET"/>
    <n v="0"/>
    <n v="455"/>
    <n v="23"/>
    <n v="-429"/>
    <n v="0"/>
    <n v="0"/>
    <n v="20"/>
    <x v="6"/>
    <n v="40"/>
    <x v="7"/>
  </r>
  <r>
    <x v="4"/>
    <s v="Jan Urbanek"/>
    <x v="1"/>
    <x v="430"/>
    <x v="430"/>
    <n v="2"/>
    <s v="ADET"/>
    <n v="0"/>
    <n v="455"/>
    <n v="23"/>
    <n v="-429"/>
    <n v="0"/>
    <n v="0"/>
    <n v="20"/>
    <x v="6"/>
    <n v="40"/>
    <x v="7"/>
  </r>
  <r>
    <x v="4"/>
    <s v="Jan Urbanek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3"/>
    <s v="Jan Urbanek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2"/>
    <s v="Jan Urbanek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8"/>
    <s v="Jan Urbanek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0"/>
    <s v="Matteo Giolo"/>
    <x v="1"/>
    <x v="459"/>
    <x v="459"/>
    <n v="2"/>
    <s v="ADET"/>
    <n v="0"/>
    <n v="0"/>
    <n v="14"/>
    <n v="38"/>
    <n v="0"/>
    <n v="261.06"/>
    <n v="6.87"/>
    <x v="23"/>
    <n v="13.74"/>
    <x v="7"/>
  </r>
  <r>
    <x v="5"/>
    <s v="Matteo Giolo"/>
    <x v="1"/>
    <x v="459"/>
    <x v="459"/>
    <n v="2"/>
    <s v="ADET"/>
    <n v="0"/>
    <n v="0"/>
    <n v="14"/>
    <n v="38"/>
    <n v="0"/>
    <n v="261.06"/>
    <n v="6.87"/>
    <x v="23"/>
    <n v="13.74"/>
    <x v="7"/>
  </r>
  <r>
    <x v="2"/>
    <s v="Jan Urbanek"/>
    <x v="1"/>
    <x v="457"/>
    <x v="457"/>
    <n v="2"/>
    <s v="ADET"/>
    <n v="0"/>
    <n v="115"/>
    <n v="2"/>
    <n v="-77"/>
    <n v="0"/>
    <n v="0"/>
    <n v="0.44"/>
    <x v="60"/>
    <n v="0.88"/>
    <x v="7"/>
  </r>
  <r>
    <x v="2"/>
    <s v="Jan Urbanek"/>
    <x v="1"/>
    <x v="458"/>
    <x v="458"/>
    <n v="2.5"/>
    <s v="KG"/>
    <n v="0"/>
    <n v="139"/>
    <n v="45.500000000000114"/>
    <n v="-124"/>
    <n v="0"/>
    <n v="0"/>
    <n v="233.95"/>
    <x v="8"/>
    <n v="584.875"/>
    <x v="3"/>
  </r>
  <r>
    <x v="3"/>
    <s v="Jan Urbanek"/>
    <x v="1"/>
    <x v="459"/>
    <x v="459"/>
    <n v="2"/>
    <s v="ADET"/>
    <n v="0"/>
    <n v="0"/>
    <n v="14"/>
    <n v="38"/>
    <n v="0"/>
    <n v="261.06"/>
    <n v="6.87"/>
    <x v="23"/>
    <n v="13.74"/>
    <x v="7"/>
  </r>
  <r>
    <x v="4"/>
    <s v="Jan Urbanek"/>
    <x v="1"/>
    <x v="459"/>
    <x v="459"/>
    <n v="2"/>
    <s v="ADET"/>
    <n v="0"/>
    <n v="0"/>
    <n v="14"/>
    <n v="38"/>
    <n v="0"/>
    <n v="261.06"/>
    <n v="6.87"/>
    <x v="23"/>
    <n v="13.74"/>
    <x v="7"/>
  </r>
  <r>
    <x v="18"/>
    <s v="Stina Alm"/>
    <x v="1"/>
    <x v="429"/>
    <x v="429"/>
    <n v="1"/>
    <s v="ADET"/>
    <n v="0"/>
    <n v="0"/>
    <n v="2"/>
    <n v="8"/>
    <n v="0"/>
    <n v="191760"/>
    <n v="23970"/>
    <x v="98"/>
    <n v="23970"/>
    <x v="2"/>
  </r>
  <r>
    <x v="19"/>
    <s v="Laurent MONTAGNER"/>
    <x v="1"/>
    <x v="429"/>
    <x v="429"/>
    <n v="1"/>
    <s v="ADET"/>
    <n v="0"/>
    <n v="0"/>
    <n v="2"/>
    <n v="8"/>
    <n v="0"/>
    <n v="191760"/>
    <n v="23970"/>
    <x v="98"/>
    <n v="23970"/>
    <x v="2"/>
  </r>
  <r>
    <x v="14"/>
    <s v="Matteo Giolo"/>
    <x v="1"/>
    <x v="457"/>
    <x v="457"/>
    <n v="2"/>
    <s v="ADET"/>
    <n v="0"/>
    <n v="115"/>
    <n v="2"/>
    <n v="-77"/>
    <n v="0"/>
    <n v="0"/>
    <n v="0.44"/>
    <x v="60"/>
    <n v="0.88"/>
    <x v="7"/>
  </r>
  <r>
    <x v="11"/>
    <s v="Jan Urbanek"/>
    <x v="1"/>
    <x v="459"/>
    <x v="459"/>
    <n v="2"/>
    <s v="ADET"/>
    <n v="0"/>
    <n v="0"/>
    <n v="14"/>
    <n v="38"/>
    <n v="0"/>
    <n v="261.06"/>
    <n v="6.87"/>
    <x v="23"/>
    <n v="13.74"/>
    <x v="7"/>
  </r>
  <r>
    <x v="14"/>
    <s v="Matteo Giolo"/>
    <x v="1"/>
    <x v="459"/>
    <x v="459"/>
    <n v="2"/>
    <s v="ADET"/>
    <n v="0"/>
    <n v="0"/>
    <n v="14"/>
    <n v="38"/>
    <n v="0"/>
    <n v="261.06"/>
    <n v="6.87"/>
    <x v="23"/>
    <n v="13.74"/>
    <x v="7"/>
  </r>
  <r>
    <x v="0"/>
    <s v="Matteo Giolo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"/>
    <s v="Laurent MONTAGNER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"/>
    <s v="Laurent MONTAGNER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3"/>
    <s v="Jan Urbanek"/>
    <x v="1"/>
    <x v="416"/>
    <x v="416"/>
    <n v="1"/>
    <s v="ADET"/>
    <n v="0"/>
    <n v="19"/>
    <n v="17"/>
    <n v="0"/>
    <n v="0"/>
    <n v="0"/>
    <n v="113.64"/>
    <x v="96"/>
    <n v="113.64"/>
    <x v="12"/>
  </r>
  <r>
    <x v="9"/>
    <s v="Stefan Zaugg"/>
    <x v="1"/>
    <x v="416"/>
    <x v="416"/>
    <n v="1"/>
    <s v="ADET"/>
    <n v="0"/>
    <n v="19"/>
    <n v="17"/>
    <n v="0"/>
    <n v="0"/>
    <n v="0"/>
    <n v="113.64"/>
    <x v="96"/>
    <n v="113.64"/>
    <x v="12"/>
  </r>
  <r>
    <x v="8"/>
    <s v="Jan Urbanek"/>
    <x v="1"/>
    <x v="318"/>
    <x v="318"/>
    <n v="2"/>
    <s v="ADET"/>
    <n v="0"/>
    <n v="35"/>
    <n v="14"/>
    <n v="-26"/>
    <n v="15"/>
    <n v="0"/>
    <n v="43.75"/>
    <x v="8"/>
    <n v="87.5"/>
    <x v="1"/>
  </r>
  <r>
    <x v="6"/>
    <s v="Stefan Zaugg"/>
    <x v="1"/>
    <x v="463"/>
    <x v="463"/>
    <n v="1"/>
    <s v="ADET"/>
    <n v="0"/>
    <n v="2"/>
    <n v="-7.1054273576010019E-15"/>
    <n v="1"/>
    <n v="0"/>
    <n v="155"/>
    <n v="155"/>
    <x v="102"/>
    <n v="155"/>
    <x v="1"/>
  </r>
  <r>
    <x v="6"/>
    <s v="Stefan Zaugg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5"/>
    <s v="Matteo Giolo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5"/>
    <s v="Matteo Giolo"/>
    <x v="1"/>
    <x v="404"/>
    <x v="404"/>
    <n v="2"/>
    <s v="ADET"/>
    <n v="0"/>
    <n v="3"/>
    <n v="12"/>
    <n v="25"/>
    <n v="0"/>
    <n v="11103.25"/>
    <n v="444.13"/>
    <x v="65"/>
    <n v="888.26"/>
    <x v="2"/>
  </r>
  <r>
    <x v="7"/>
    <s v="Stina Alm"/>
    <x v="1"/>
    <x v="404"/>
    <x v="404"/>
    <n v="2"/>
    <s v="ADET"/>
    <n v="0"/>
    <n v="3"/>
    <n v="12"/>
    <n v="25"/>
    <n v="0"/>
    <n v="11103.25"/>
    <n v="444.13"/>
    <x v="65"/>
    <n v="888.26"/>
    <x v="2"/>
  </r>
  <r>
    <x v="3"/>
    <s v="Jan Urbanek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4"/>
    <s v="Jan Urbanek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2"/>
    <s v="Jan Urbanek"/>
    <x v="1"/>
    <x v="404"/>
    <x v="404"/>
    <n v="2"/>
    <s v="ADET"/>
    <n v="0"/>
    <n v="3"/>
    <n v="12"/>
    <n v="25"/>
    <n v="0"/>
    <n v="11103.25"/>
    <n v="444.13"/>
    <x v="65"/>
    <n v="888.26"/>
    <x v="2"/>
  </r>
  <r>
    <x v="3"/>
    <s v="Jan Urbanek"/>
    <x v="1"/>
    <x v="403"/>
    <x v="403"/>
    <n v="1"/>
    <s v="ADET"/>
    <n v="0"/>
    <n v="8"/>
    <n v="4"/>
    <n v="-1"/>
    <n v="0"/>
    <n v="0"/>
    <n v="1723.12"/>
    <x v="67"/>
    <n v="1723.12"/>
    <x v="4"/>
  </r>
  <r>
    <x v="14"/>
    <s v="Matteo Giolo"/>
    <x v="1"/>
    <x v="257"/>
    <x v="257"/>
    <n v="2.04"/>
    <s v="ADET"/>
    <n v="0"/>
    <n v="75"/>
    <n v="42.700000000000159"/>
    <n v="-48.04"/>
    <n v="0"/>
    <n v="0"/>
    <n v="15"/>
    <x v="2"/>
    <n v="30.6"/>
    <x v="1"/>
  </r>
  <r>
    <x v="10"/>
    <s v="Murat Taşdemir"/>
    <x v="1"/>
    <x v="321"/>
    <x v="321"/>
    <n v="1"/>
    <s v="ADET"/>
    <n v="0"/>
    <n v="0"/>
    <n v="0"/>
    <n v="7.5"/>
    <n v="0"/>
    <n v="285"/>
    <n v="38"/>
    <x v="2"/>
    <n v="38"/>
    <x v="3"/>
  </r>
  <r>
    <x v="14"/>
    <s v="Matteo Giolo"/>
    <x v="1"/>
    <x v="322"/>
    <x v="322"/>
    <n v="1.5"/>
    <s v="METRE"/>
    <n v="0"/>
    <n v="0"/>
    <n v="27"/>
    <n v="30.5"/>
    <n v="0"/>
    <n v="396.5"/>
    <n v="13"/>
    <x v="6"/>
    <n v="19.5"/>
    <x v="7"/>
  </r>
  <r>
    <x v="11"/>
    <s v="Jan Urbanek"/>
    <x v="1"/>
    <x v="318"/>
    <x v="318"/>
    <n v="2"/>
    <s v="ADET"/>
    <n v="0"/>
    <n v="35"/>
    <n v="14"/>
    <n v="-26"/>
    <n v="15"/>
    <n v="0"/>
    <n v="43.75"/>
    <x v="8"/>
    <n v="87.5"/>
    <x v="1"/>
  </r>
  <r>
    <x v="7"/>
    <s v="Stina Alm"/>
    <x v="1"/>
    <x v="464"/>
    <x v="464"/>
    <n v="1"/>
    <s v="ADET"/>
    <n v="0"/>
    <n v="14"/>
    <n v="3"/>
    <n v="-8"/>
    <n v="0"/>
    <n v="0"/>
    <n v="1678.88"/>
    <x v="67"/>
    <n v="1678.88"/>
    <x v="4"/>
  </r>
  <r>
    <x v="3"/>
    <s v="Jan Urbanek"/>
    <x v="1"/>
    <x v="404"/>
    <x v="404"/>
    <n v="2"/>
    <s v="ADET"/>
    <n v="0"/>
    <n v="3"/>
    <n v="12"/>
    <n v="25"/>
    <n v="0"/>
    <n v="11103.25"/>
    <n v="444.13"/>
    <x v="65"/>
    <n v="888.26"/>
    <x v="2"/>
  </r>
  <r>
    <x v="4"/>
    <s v="Jan Urbanek"/>
    <x v="1"/>
    <x v="404"/>
    <x v="404"/>
    <n v="2"/>
    <s v="ADET"/>
    <n v="0"/>
    <n v="3"/>
    <n v="12"/>
    <n v="25"/>
    <n v="0"/>
    <n v="11103.25"/>
    <n v="444.13"/>
    <x v="65"/>
    <n v="888.26"/>
    <x v="2"/>
  </r>
  <r>
    <x v="2"/>
    <s v="Jan Urbanek"/>
    <x v="1"/>
    <x v="405"/>
    <x v="405"/>
    <n v="1"/>
    <s v="ADET"/>
    <n v="0"/>
    <n v="5"/>
    <n v="4"/>
    <n v="2"/>
    <n v="0"/>
    <n v="3446.24"/>
    <n v="1723.12"/>
    <x v="67"/>
    <n v="1723.12"/>
    <x v="4"/>
  </r>
  <r>
    <x v="0"/>
    <s v="Matteo Giolo"/>
    <x v="1"/>
    <x v="465"/>
    <x v="465"/>
    <n v="2"/>
    <s v="ADET"/>
    <n v="0"/>
    <n v="500"/>
    <n v="500"/>
    <n v="-486"/>
    <n v="0"/>
    <n v="0"/>
    <n v="0.65"/>
    <x v="23"/>
    <n v="1.3"/>
    <x v="7"/>
  </r>
  <r>
    <x v="14"/>
    <s v="Matteo Giolo"/>
    <x v="1"/>
    <x v="321"/>
    <x v="321"/>
    <n v="1"/>
    <s v="ADET"/>
    <n v="0"/>
    <n v="0"/>
    <n v="0"/>
    <n v="7.5"/>
    <n v="0"/>
    <n v="285"/>
    <n v="38"/>
    <x v="2"/>
    <n v="38"/>
    <x v="3"/>
  </r>
  <r>
    <x v="9"/>
    <s v="Stefan Zaugg"/>
    <x v="1"/>
    <x v="322"/>
    <x v="322"/>
    <n v="4"/>
    <s v="METRE"/>
    <n v="0"/>
    <n v="0"/>
    <n v="27"/>
    <n v="30.5"/>
    <n v="0"/>
    <n v="396.5"/>
    <n v="13"/>
    <x v="6"/>
    <n v="52"/>
    <x v="7"/>
  </r>
  <r>
    <x v="10"/>
    <s v="Murat Taşdemir"/>
    <x v="1"/>
    <x v="322"/>
    <x v="322"/>
    <n v="4"/>
    <s v="METRE"/>
    <n v="0"/>
    <n v="0"/>
    <n v="27"/>
    <n v="30.5"/>
    <n v="0"/>
    <n v="396.5"/>
    <n v="13"/>
    <x v="6"/>
    <n v="52"/>
    <x v="7"/>
  </r>
  <r>
    <x v="5"/>
    <s v="Matteo Giolo"/>
    <x v="1"/>
    <x v="466"/>
    <x v="466"/>
    <n v="1"/>
    <s v="ADET"/>
    <n v="0"/>
    <n v="10"/>
    <n v="7"/>
    <n v="-12"/>
    <n v="15"/>
    <n v="0"/>
    <n v="776.15"/>
    <x v="103"/>
    <n v="776.15"/>
    <x v="7"/>
  </r>
  <r>
    <x v="5"/>
    <s v="Matteo Giolo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6"/>
    <s v="Laurent MONTAGNER"/>
    <x v="1"/>
    <x v="321"/>
    <x v="321"/>
    <n v="1"/>
    <s v="ADET"/>
    <n v="0"/>
    <n v="0"/>
    <n v="0"/>
    <n v="7.5"/>
    <n v="0"/>
    <n v="285"/>
    <n v="38"/>
    <x v="2"/>
    <n v="38"/>
    <x v="3"/>
  </r>
  <r>
    <x v="8"/>
    <s v="Jan Urbanek"/>
    <x v="1"/>
    <x v="404"/>
    <x v="404"/>
    <n v="2"/>
    <s v="ADET"/>
    <n v="0"/>
    <n v="3"/>
    <n v="12"/>
    <n v="25"/>
    <n v="0"/>
    <n v="11103.25"/>
    <n v="444.13"/>
    <x v="65"/>
    <n v="888.26"/>
    <x v="2"/>
  </r>
  <r>
    <x v="8"/>
    <s v="Jan Urbanek"/>
    <x v="1"/>
    <x v="430"/>
    <x v="430"/>
    <n v="2"/>
    <s v="ADET"/>
    <n v="0"/>
    <n v="455"/>
    <n v="23"/>
    <n v="-429"/>
    <n v="0"/>
    <n v="0"/>
    <n v="20"/>
    <x v="6"/>
    <n v="40"/>
    <x v="7"/>
  </r>
  <r>
    <x v="3"/>
    <s v="Jan Urbanek"/>
    <x v="1"/>
    <x v="450"/>
    <x v="450"/>
    <n v="2"/>
    <s v="ADET"/>
    <n v="0"/>
    <n v="200"/>
    <n v="88"/>
    <n v="-190"/>
    <n v="0"/>
    <n v="0"/>
    <n v="10"/>
    <x v="14"/>
    <n v="20"/>
    <x v="1"/>
  </r>
  <r>
    <x v="4"/>
    <s v="Jan Urbanek"/>
    <x v="1"/>
    <x v="451"/>
    <x v="451"/>
    <n v="3"/>
    <s v="ADET"/>
    <n v="0"/>
    <n v="400"/>
    <n v="0"/>
    <n v="-388"/>
    <n v="0"/>
    <n v="0"/>
    <n v="10"/>
    <x v="14"/>
    <n v="30"/>
    <x v="1"/>
  </r>
  <r>
    <x v="3"/>
    <s v="Jan Urbanek"/>
    <x v="1"/>
    <x v="452"/>
    <x v="452"/>
    <n v="0.05"/>
    <s v="ADET"/>
    <n v="0"/>
    <n v="2"/>
    <n v="3.3306690738754696E-16"/>
    <n v="1.4000000000000008"/>
    <n v="0"/>
    <n v="3889.2000000000021"/>
    <n v="2778"/>
    <x v="56"/>
    <n v="138.9"/>
    <x v="3"/>
  </r>
  <r>
    <x v="4"/>
    <s v="Jan Urbanek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2"/>
    <s v="Jan Urbanek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6"/>
    <s v="Stefan Zaugg"/>
    <x v="1"/>
    <x v="458"/>
    <x v="458"/>
    <n v="2"/>
    <s v="KG"/>
    <n v="2"/>
    <n v="139"/>
    <n v="45.500000000000114"/>
    <n v="-124"/>
    <n v="0"/>
    <n v="0"/>
    <n v="233.95"/>
    <x v="8"/>
    <n v="467.9"/>
    <x v="3"/>
  </r>
  <r>
    <x v="7"/>
    <s v="Stina Alm"/>
    <x v="1"/>
    <x v="459"/>
    <x v="459"/>
    <n v="2"/>
    <s v="ADET"/>
    <n v="0"/>
    <n v="0"/>
    <n v="14"/>
    <n v="38"/>
    <n v="0"/>
    <n v="261.06"/>
    <n v="6.87"/>
    <x v="23"/>
    <n v="13.74"/>
    <x v="7"/>
  </r>
  <r>
    <x v="2"/>
    <s v="Jan Urbanek"/>
    <x v="1"/>
    <x v="454"/>
    <x v="454"/>
    <n v="4"/>
    <s v="ADET"/>
    <n v="0"/>
    <n v="0"/>
    <n v="0"/>
    <n v="12"/>
    <n v="0"/>
    <n v="32042.879999999997"/>
    <n v="2670.24"/>
    <x v="101"/>
    <n v="10680.96"/>
    <x v="8"/>
  </r>
  <r>
    <x v="10"/>
    <s v="Murat Taşdemir"/>
    <x v="1"/>
    <x v="456"/>
    <x v="456"/>
    <n v="1"/>
    <s v="ADET"/>
    <n v="0"/>
    <n v="12"/>
    <n v="3"/>
    <n v="-6"/>
    <n v="0"/>
    <n v="0"/>
    <n v="1678.88"/>
    <x v="67"/>
    <n v="1678.88"/>
    <x v="4"/>
  </r>
  <r>
    <x v="13"/>
    <s v="Volkan Batkan"/>
    <x v="1"/>
    <x v="452"/>
    <x v="452"/>
    <n v="0.05"/>
    <s v="ADET"/>
    <n v="0"/>
    <n v="2"/>
    <n v="3.3306690738754696E-16"/>
    <n v="1.4000000000000008"/>
    <n v="0"/>
    <n v="3889.2000000000021"/>
    <n v="2778"/>
    <x v="56"/>
    <n v="138.9"/>
    <x v="3"/>
  </r>
  <r>
    <x v="14"/>
    <s v="Matteo Giolo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1"/>
    <s v="Jan Urbanek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14"/>
    <s v="Matteo Giolo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10"/>
    <s v="Murat Taşdemir"/>
    <x v="1"/>
    <x v="468"/>
    <x v="468"/>
    <n v="1"/>
    <s v="METRE"/>
    <n v="0"/>
    <n v="50"/>
    <n v="0"/>
    <n v="-48"/>
    <n v="0"/>
    <n v="0"/>
    <n v="180"/>
    <x v="17"/>
    <n v="180"/>
    <x v="4"/>
  </r>
  <r>
    <x v="9"/>
    <s v="Stefan Zaugg"/>
    <x v="1"/>
    <x v="457"/>
    <x v="457"/>
    <n v="2"/>
    <s v="ADET"/>
    <n v="0"/>
    <n v="115"/>
    <n v="2"/>
    <n v="-77"/>
    <n v="0"/>
    <n v="0"/>
    <n v="0.44"/>
    <x v="60"/>
    <n v="0.88"/>
    <x v="7"/>
  </r>
  <r>
    <x v="10"/>
    <s v="Murat Taşdemir"/>
    <x v="1"/>
    <x v="457"/>
    <x v="457"/>
    <n v="2"/>
    <s v="ADET"/>
    <n v="0"/>
    <n v="115"/>
    <n v="2"/>
    <n v="-77"/>
    <n v="0"/>
    <n v="0"/>
    <n v="0.44"/>
    <x v="60"/>
    <n v="0.88"/>
    <x v="7"/>
  </r>
  <r>
    <x v="10"/>
    <s v="Murat Taşdemir"/>
    <x v="1"/>
    <x v="459"/>
    <x v="459"/>
    <n v="2"/>
    <s v="ADET"/>
    <n v="0"/>
    <n v="0"/>
    <n v="14"/>
    <n v="38"/>
    <n v="0"/>
    <n v="261.06"/>
    <n v="6.87"/>
    <x v="23"/>
    <n v="13.74"/>
    <x v="7"/>
  </r>
  <r>
    <x v="1"/>
    <s v="Laurent MONTAGNER"/>
    <x v="1"/>
    <x v="429"/>
    <x v="429"/>
    <n v="1"/>
    <s v="ADET"/>
    <n v="0"/>
    <n v="0"/>
    <n v="2"/>
    <n v="8"/>
    <n v="0"/>
    <n v="191760"/>
    <n v="23970"/>
    <x v="98"/>
    <n v="23970"/>
    <x v="2"/>
  </r>
  <r>
    <x v="0"/>
    <s v="Matteo Giolo"/>
    <x v="1"/>
    <x v="430"/>
    <x v="430"/>
    <n v="2"/>
    <s v="ADET"/>
    <n v="0"/>
    <n v="455"/>
    <n v="23"/>
    <n v="-429"/>
    <n v="0"/>
    <n v="0"/>
    <n v="20"/>
    <x v="6"/>
    <n v="40"/>
    <x v="7"/>
  </r>
  <r>
    <x v="5"/>
    <s v="Matteo Giolo"/>
    <x v="1"/>
    <x v="430"/>
    <x v="430"/>
    <n v="2"/>
    <s v="ADET"/>
    <n v="0"/>
    <n v="455"/>
    <n v="23"/>
    <n v="-429"/>
    <n v="0"/>
    <n v="0"/>
    <n v="20"/>
    <x v="6"/>
    <n v="40"/>
    <x v="7"/>
  </r>
  <r>
    <x v="6"/>
    <s v="Stefan Zaugg"/>
    <x v="1"/>
    <x v="450"/>
    <x v="450"/>
    <n v="2"/>
    <s v="ADET"/>
    <n v="0"/>
    <n v="200"/>
    <n v="88"/>
    <n v="-190"/>
    <n v="0"/>
    <n v="0"/>
    <n v="10"/>
    <x v="14"/>
    <n v="20"/>
    <x v="1"/>
  </r>
  <r>
    <x v="5"/>
    <s v="Matteo Giolo"/>
    <x v="1"/>
    <x v="456"/>
    <x v="456"/>
    <n v="1"/>
    <s v="ADET"/>
    <n v="0"/>
    <n v="12"/>
    <n v="3"/>
    <n v="-6"/>
    <n v="0"/>
    <n v="0"/>
    <n v="1678.88"/>
    <x v="67"/>
    <n v="1678.88"/>
    <x v="4"/>
  </r>
  <r>
    <x v="7"/>
    <s v="Stina Alm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2"/>
    <s v="Stefan Zaugg"/>
    <x v="1"/>
    <x v="397"/>
    <x v="397"/>
    <n v="1"/>
    <s v="ADET"/>
    <n v="1"/>
    <n v="46"/>
    <n v="85.879999999999981"/>
    <n v="-11.119999999999997"/>
    <n v="0"/>
    <n v="0"/>
    <n v="55"/>
    <x v="2"/>
    <n v="55"/>
    <x v="1"/>
  </r>
  <r>
    <x v="3"/>
    <s v="Jan Urbanek"/>
    <x v="1"/>
    <x v="428"/>
    <x v="428"/>
    <n v="40"/>
    <s v="ADET"/>
    <n v="0"/>
    <n v="950"/>
    <n v="380"/>
    <n v="-90"/>
    <n v="0"/>
    <n v="0"/>
    <n v="0.4"/>
    <x v="5"/>
    <n v="16"/>
    <x v="1"/>
  </r>
  <r>
    <x v="4"/>
    <s v="Jan Urbanek"/>
    <x v="1"/>
    <x v="428"/>
    <x v="428"/>
    <n v="40"/>
    <s v="ADET"/>
    <n v="0"/>
    <n v="950"/>
    <n v="380"/>
    <n v="-90"/>
    <n v="0"/>
    <n v="0"/>
    <n v="0.4"/>
    <x v="5"/>
    <n v="16"/>
    <x v="1"/>
  </r>
  <r>
    <x v="11"/>
    <s v="Jan Urbanek"/>
    <x v="1"/>
    <x v="396"/>
    <x v="396"/>
    <n v="110"/>
    <s v="ADET"/>
    <n v="0"/>
    <n v="7500"/>
    <n v="0"/>
    <n v="-5570"/>
    <n v="0"/>
    <n v="0"/>
    <n v="0.8"/>
    <x v="23"/>
    <n v="88"/>
    <x v="1"/>
  </r>
  <r>
    <x v="7"/>
    <s v="Stina Alm"/>
    <x v="1"/>
    <x v="426"/>
    <x v="426"/>
    <n v="16.66"/>
    <s v="KG"/>
    <n v="0"/>
    <n v="0"/>
    <n v="154.9500000000001"/>
    <n v="21.899999999999991"/>
    <n v="60"/>
    <n v="4265.0249999999987"/>
    <n v="194.75"/>
    <x v="8"/>
    <n v="3244.5349999999999"/>
    <x v="3"/>
  </r>
  <r>
    <x v="7"/>
    <s v="Stina Alm"/>
    <x v="1"/>
    <x v="422"/>
    <x v="422"/>
    <n v="16.240000000000002"/>
    <s v="ADET"/>
    <n v="0"/>
    <n v="0"/>
    <n v="24.049999999999969"/>
    <n v="147.72000000000003"/>
    <n v="34"/>
    <n v="249893.49240000005"/>
    <n v="1691.67"/>
    <x v="61"/>
    <n v="27472.720800000003"/>
    <x v="8"/>
  </r>
  <r>
    <x v="6"/>
    <s v="Stefan Zaugg"/>
    <x v="1"/>
    <x v="469"/>
    <x v="469"/>
    <n v="1"/>
    <s v="ADET"/>
    <n v="0"/>
    <n v="0"/>
    <n v="0"/>
    <n v="1"/>
    <n v="0"/>
    <n v="0"/>
    <n v="0"/>
    <x v="6"/>
    <n v="0"/>
    <x v="2"/>
  </r>
  <r>
    <x v="5"/>
    <s v="Matteo Giolo"/>
    <x v="1"/>
    <x v="427"/>
    <x v="427"/>
    <n v="1"/>
    <s v="ADET"/>
    <n v="0"/>
    <n v="6"/>
    <n v="9"/>
    <n v="0"/>
    <n v="7"/>
    <n v="0"/>
    <n v="1535.25"/>
    <x v="24"/>
    <n v="1535.25"/>
    <x v="7"/>
  </r>
  <r>
    <x v="8"/>
    <s v="Jan Urbanek"/>
    <x v="1"/>
    <x v="413"/>
    <x v="413"/>
    <n v="4"/>
    <s v="ADET"/>
    <n v="0"/>
    <n v="0"/>
    <n v="4"/>
    <n v="16"/>
    <n v="0"/>
    <n v="1440"/>
    <n v="90"/>
    <x v="95"/>
    <n v="360"/>
    <x v="11"/>
  </r>
  <r>
    <x v="8"/>
    <s v="Jan Urbanek"/>
    <x v="1"/>
    <x v="411"/>
    <x v="411"/>
    <n v="1"/>
    <s v="ADET"/>
    <n v="0"/>
    <n v="18"/>
    <n v="10"/>
    <n v="-5"/>
    <n v="0"/>
    <n v="0"/>
    <n v="115.6"/>
    <x v="23"/>
    <n v="115.6"/>
    <x v="7"/>
  </r>
  <r>
    <x v="8"/>
    <s v="Jan Urbanek"/>
    <x v="1"/>
    <x v="412"/>
    <x v="412"/>
    <n v="2"/>
    <s v="ADET"/>
    <n v="0"/>
    <n v="35"/>
    <n v="61"/>
    <n v="-12"/>
    <n v="0"/>
    <n v="0"/>
    <n v="19.07"/>
    <x v="23"/>
    <n v="38.14"/>
    <x v="7"/>
  </r>
  <r>
    <x v="8"/>
    <s v="Jan Urbanek"/>
    <x v="1"/>
    <x v="421"/>
    <x v="421"/>
    <n v="1"/>
    <s v="ADET"/>
    <n v="0"/>
    <n v="37"/>
    <n v="2"/>
    <n v="-17"/>
    <n v="0"/>
    <n v="0"/>
    <n v="82.6"/>
    <x v="12"/>
    <n v="82.6"/>
    <x v="4"/>
  </r>
  <r>
    <x v="2"/>
    <s v="Jan Urbanek"/>
    <x v="1"/>
    <x v="424"/>
    <x v="424"/>
    <n v="18"/>
    <s v="ADET"/>
    <n v="0"/>
    <n v="180"/>
    <n v="80"/>
    <n v="32"/>
    <n v="0"/>
    <n v="7680"/>
    <n v="240"/>
    <x v="2"/>
    <n v="4320"/>
    <x v="1"/>
  </r>
  <r>
    <x v="5"/>
    <s v="Matteo Giolo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11"/>
    <s v="Jan Urbanek"/>
    <x v="1"/>
    <x v="424"/>
    <x v="424"/>
    <n v="18"/>
    <s v="ADET"/>
    <n v="0"/>
    <n v="180"/>
    <n v="80"/>
    <n v="32"/>
    <n v="0"/>
    <n v="7680"/>
    <n v="240"/>
    <x v="2"/>
    <n v="4320"/>
    <x v="1"/>
  </r>
  <r>
    <x v="10"/>
    <s v="Murat Taşdemir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0"/>
    <s v="Murat Taşdemir"/>
    <x v="1"/>
    <x v="423"/>
    <x v="423"/>
    <n v="8"/>
    <s v="ADET"/>
    <n v="0"/>
    <n v="524"/>
    <n v="352"/>
    <n v="-374"/>
    <n v="0"/>
    <n v="0"/>
    <n v="8.1"/>
    <x v="60"/>
    <n v="64.8"/>
    <x v="7"/>
  </r>
  <r>
    <x v="11"/>
    <s v="Jan Urbanek"/>
    <x v="1"/>
    <x v="427"/>
    <x v="427"/>
    <n v="1"/>
    <s v="ADET"/>
    <n v="0"/>
    <n v="6"/>
    <n v="9"/>
    <n v="0"/>
    <n v="7"/>
    <n v="0"/>
    <n v="1535.25"/>
    <x v="24"/>
    <n v="1535.25"/>
    <x v="7"/>
  </r>
  <r>
    <x v="0"/>
    <s v="Matteo Giolo"/>
    <x v="1"/>
    <x v="411"/>
    <x v="411"/>
    <n v="1"/>
    <s v="ADET"/>
    <n v="0"/>
    <n v="18"/>
    <n v="10"/>
    <n v="-5"/>
    <n v="0"/>
    <n v="0"/>
    <n v="115.6"/>
    <x v="23"/>
    <n v="115.6"/>
    <x v="7"/>
  </r>
  <r>
    <x v="11"/>
    <s v="Jan Urbanek"/>
    <x v="1"/>
    <x v="379"/>
    <x v="379"/>
    <n v="0.5"/>
    <s v="ADET"/>
    <n v="0"/>
    <n v="0"/>
    <n v="6.0999999999999979"/>
    <n v="8.8000000000000007"/>
    <n v="5"/>
    <n v="6056.1600000000008"/>
    <n v="688.2"/>
    <x v="35"/>
    <n v="344.1"/>
    <x v="6"/>
  </r>
  <r>
    <x v="9"/>
    <s v="Stefan Zaugg"/>
    <x v="1"/>
    <x v="387"/>
    <x v="387"/>
    <n v="6"/>
    <s v="ADET"/>
    <n v="0"/>
    <n v="2080"/>
    <n v="84"/>
    <n v="-2052"/>
    <n v="0"/>
    <n v="0"/>
    <n v="0.28999999999999998"/>
    <x v="6"/>
    <n v="1.7399999999999998"/>
    <x v="1"/>
  </r>
  <r>
    <x v="12"/>
    <s v="Stefan Zaugg"/>
    <x v="1"/>
    <x v="387"/>
    <x v="387"/>
    <n v="6"/>
    <s v="ADET"/>
    <n v="0"/>
    <n v="2080"/>
    <n v="84"/>
    <n v="-2052"/>
    <n v="0"/>
    <n v="0"/>
    <n v="0.28999999999999998"/>
    <x v="6"/>
    <n v="1.7399999999999998"/>
    <x v="1"/>
  </r>
  <r>
    <x v="0"/>
    <s v="Matteo Giolo"/>
    <x v="1"/>
    <x v="470"/>
    <x v="470"/>
    <n v="2"/>
    <s v="ADET"/>
    <n v="0"/>
    <n v="17"/>
    <n v="16"/>
    <n v="-23"/>
    <n v="30"/>
    <n v="0"/>
    <n v="67.22"/>
    <x v="88"/>
    <n v="134.44"/>
    <x v="4"/>
  </r>
  <r>
    <x v="17"/>
    <s v="Soner Kayıkçı"/>
    <x v="1"/>
    <x v="251"/>
    <x v="251"/>
    <n v="1.5"/>
    <s v="ADET"/>
    <n v="0"/>
    <n v="91"/>
    <n v="17.799999999999997"/>
    <n v="-74.5"/>
    <n v="0"/>
    <n v="0"/>
    <n v="85"/>
    <x v="18"/>
    <n v="127.5"/>
    <x v="1"/>
  </r>
  <r>
    <x v="3"/>
    <s v="Jan Urbanek"/>
    <x v="1"/>
    <x v="384"/>
    <x v="384"/>
    <n v="120"/>
    <s v="METRE"/>
    <n v="0"/>
    <n v="0"/>
    <n v="0"/>
    <n v="1760"/>
    <n v="0"/>
    <n v="0"/>
    <n v="0"/>
    <x v="6"/>
    <n v="0"/>
    <x v="6"/>
  </r>
  <r>
    <x v="4"/>
    <s v="Jan Urbanek"/>
    <x v="1"/>
    <x v="384"/>
    <x v="384"/>
    <n v="120"/>
    <s v="METRE"/>
    <n v="0"/>
    <n v="0"/>
    <n v="0"/>
    <n v="1760"/>
    <n v="0"/>
    <n v="0"/>
    <n v="0"/>
    <x v="6"/>
    <n v="0"/>
    <x v="6"/>
  </r>
  <r>
    <x v="4"/>
    <s v="Jan Urbanek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16"/>
    <s v="Laurent MONTAGNER"/>
    <x v="1"/>
    <x v="387"/>
    <x v="387"/>
    <n v="10"/>
    <s v="ADET"/>
    <n v="0"/>
    <n v="2080"/>
    <n v="84"/>
    <n v="-2052"/>
    <n v="0"/>
    <n v="0"/>
    <n v="0.28999999999999998"/>
    <x v="6"/>
    <n v="2.9"/>
    <x v="1"/>
  </r>
  <r>
    <x v="10"/>
    <s v="Murat Taşdemir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0"/>
    <s v="Matteo Giolo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5"/>
    <s v="Matteo Giolo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0"/>
    <s v="Matteo Giolo"/>
    <x v="1"/>
    <x v="472"/>
    <x v="472"/>
    <n v="1"/>
    <s v="ADET"/>
    <n v="0"/>
    <n v="5"/>
    <n v="7"/>
    <n v="0"/>
    <n v="8"/>
    <n v="0"/>
    <n v="401.17"/>
    <x v="104"/>
    <n v="401.17"/>
    <x v="7"/>
  </r>
  <r>
    <x v="10"/>
    <s v="Murat Taşdemir"/>
    <x v="1"/>
    <x v="380"/>
    <x v="380"/>
    <n v="0.5"/>
    <s v="ADET"/>
    <n v="0"/>
    <n v="100"/>
    <n v="0"/>
    <n v="-90.5"/>
    <n v="0"/>
    <n v="0"/>
    <n v="13.5"/>
    <x v="2"/>
    <n v="6.75"/>
    <x v="1"/>
  </r>
  <r>
    <x v="14"/>
    <s v="Matteo Giolo"/>
    <x v="1"/>
    <x v="396"/>
    <x v="396"/>
    <n v="80"/>
    <s v="ADET"/>
    <n v="0"/>
    <n v="7500"/>
    <n v="0"/>
    <n v="-5570"/>
    <n v="0"/>
    <n v="0"/>
    <n v="0.8"/>
    <x v="23"/>
    <n v="64"/>
    <x v="1"/>
  </r>
  <r>
    <x v="11"/>
    <s v="Jan Urbanek"/>
    <x v="1"/>
    <x v="397"/>
    <x v="397"/>
    <n v="4.25"/>
    <s v="ADET"/>
    <n v="0"/>
    <n v="46"/>
    <n v="85.879999999999981"/>
    <n v="-11.119999999999997"/>
    <n v="0"/>
    <n v="0"/>
    <n v="55"/>
    <x v="2"/>
    <n v="233.75"/>
    <x v="1"/>
  </r>
  <r>
    <x v="0"/>
    <s v="Matteo Giolo"/>
    <x v="1"/>
    <x v="428"/>
    <x v="428"/>
    <n v="40"/>
    <s v="ADET"/>
    <n v="0"/>
    <n v="950"/>
    <n v="380"/>
    <n v="-90"/>
    <n v="0"/>
    <n v="0"/>
    <n v="0.4"/>
    <x v="5"/>
    <n v="16"/>
    <x v="1"/>
  </r>
  <r>
    <x v="10"/>
    <s v="Murat Taşdemir"/>
    <x v="1"/>
    <x v="397"/>
    <x v="397"/>
    <n v="3"/>
    <s v="ADET"/>
    <n v="0"/>
    <n v="46"/>
    <n v="85.879999999999981"/>
    <n v="-11.119999999999997"/>
    <n v="0"/>
    <n v="0"/>
    <n v="55"/>
    <x v="2"/>
    <n v="165"/>
    <x v="1"/>
  </r>
  <r>
    <x v="13"/>
    <s v="Volkan Batkan"/>
    <x v="1"/>
    <x v="397"/>
    <x v="397"/>
    <n v="4.25"/>
    <s v="ADET"/>
    <n v="4.25"/>
    <n v="46"/>
    <n v="85.879999999999981"/>
    <n v="-11.119999999999997"/>
    <n v="0"/>
    <n v="0"/>
    <n v="55"/>
    <x v="2"/>
    <n v="233.75"/>
    <x v="1"/>
  </r>
  <r>
    <x v="0"/>
    <s v="Matteo Giolo"/>
    <x v="1"/>
    <x v="473"/>
    <x v="473"/>
    <n v="1"/>
    <s v="ADET"/>
    <n v="0"/>
    <n v="5"/>
    <n v="7"/>
    <n v="16"/>
    <n v="0"/>
    <n v="56524.800000000003"/>
    <n v="3532.8"/>
    <x v="85"/>
    <n v="3532.8"/>
    <x v="2"/>
  </r>
  <r>
    <x v="2"/>
    <s v="Jan Urbanek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8"/>
    <s v="Jan Urbanek"/>
    <x v="1"/>
    <x v="428"/>
    <x v="428"/>
    <n v="40"/>
    <s v="ADET"/>
    <n v="0"/>
    <n v="950"/>
    <n v="380"/>
    <n v="-90"/>
    <n v="0"/>
    <n v="0"/>
    <n v="0.4"/>
    <x v="5"/>
    <n v="16"/>
    <x v="1"/>
  </r>
  <r>
    <x v="10"/>
    <s v="Murat Taşdemir"/>
    <x v="1"/>
    <x v="396"/>
    <x v="396"/>
    <n v="95"/>
    <s v="ADET"/>
    <n v="0"/>
    <n v="7500"/>
    <n v="0"/>
    <n v="-5570"/>
    <n v="0"/>
    <n v="0"/>
    <n v="0.8"/>
    <x v="23"/>
    <n v="76"/>
    <x v="1"/>
  </r>
  <r>
    <x v="6"/>
    <s v="Stefan Zaugg"/>
    <x v="1"/>
    <x v="428"/>
    <x v="428"/>
    <n v="50"/>
    <s v="ADET"/>
    <n v="0"/>
    <n v="950"/>
    <n v="380"/>
    <n v="-90"/>
    <n v="0"/>
    <n v="0"/>
    <n v="0.4"/>
    <x v="5"/>
    <n v="20"/>
    <x v="1"/>
  </r>
  <r>
    <x v="5"/>
    <s v="Matteo Giolo"/>
    <x v="1"/>
    <x v="428"/>
    <x v="428"/>
    <n v="50"/>
    <s v="ADET"/>
    <n v="0"/>
    <n v="950"/>
    <n v="380"/>
    <n v="-90"/>
    <n v="0"/>
    <n v="0"/>
    <n v="0.4"/>
    <x v="5"/>
    <n v="20"/>
    <x v="1"/>
  </r>
  <r>
    <x v="7"/>
    <s v="Stina Alm"/>
    <x v="1"/>
    <x v="428"/>
    <x v="428"/>
    <n v="50"/>
    <s v="ADET"/>
    <n v="0"/>
    <n v="950"/>
    <n v="380"/>
    <n v="-90"/>
    <n v="0"/>
    <n v="0"/>
    <n v="0.4"/>
    <x v="5"/>
    <n v="20"/>
    <x v="1"/>
  </r>
  <r>
    <x v="5"/>
    <s v="Matteo Giolo"/>
    <x v="1"/>
    <x v="473"/>
    <x v="473"/>
    <n v="3"/>
    <s v="ADET"/>
    <n v="0"/>
    <n v="5"/>
    <n v="7"/>
    <n v="16"/>
    <n v="0"/>
    <n v="56524.800000000003"/>
    <n v="3532.8"/>
    <x v="85"/>
    <n v="10598.400000000001"/>
    <x v="2"/>
  </r>
  <r>
    <x v="9"/>
    <s v="Stefan Zaugg"/>
    <x v="1"/>
    <x v="401"/>
    <x v="401"/>
    <n v="4"/>
    <s v="ADET"/>
    <n v="0"/>
    <n v="0"/>
    <n v="64"/>
    <n v="40"/>
    <n v="0"/>
    <n v="274.8"/>
    <n v="6.87"/>
    <x v="23"/>
    <n v="27.48"/>
    <x v="7"/>
  </r>
  <r>
    <x v="10"/>
    <s v="Murat Taşdemir"/>
    <x v="1"/>
    <x v="401"/>
    <x v="401"/>
    <n v="4"/>
    <s v="ADET"/>
    <n v="0"/>
    <n v="0"/>
    <n v="64"/>
    <n v="40"/>
    <n v="0"/>
    <n v="274.8"/>
    <n v="6.87"/>
    <x v="23"/>
    <n v="27.48"/>
    <x v="7"/>
  </r>
  <r>
    <x v="9"/>
    <s v="Stefan Zaugg"/>
    <x v="1"/>
    <x v="400"/>
    <x v="400"/>
    <n v="60"/>
    <s v="ADET"/>
    <n v="0"/>
    <n v="5000"/>
    <n v="0"/>
    <n v="-3820"/>
    <n v="0"/>
    <n v="0"/>
    <n v="0.6"/>
    <x v="2"/>
    <n v="36"/>
    <x v="1"/>
  </r>
  <r>
    <x v="1"/>
    <s v="Laurent MONTAGNER"/>
    <x v="1"/>
    <x v="428"/>
    <x v="428"/>
    <n v="50"/>
    <s v="ADET"/>
    <n v="0"/>
    <n v="950"/>
    <n v="380"/>
    <n v="-90"/>
    <n v="0"/>
    <n v="0"/>
    <n v="0.4"/>
    <x v="5"/>
    <n v="20"/>
    <x v="1"/>
  </r>
  <r>
    <x v="5"/>
    <s v="Matteo Giolo"/>
    <x v="1"/>
    <x v="474"/>
    <x v="474"/>
    <n v="2"/>
    <s v="ADET"/>
    <n v="0"/>
    <n v="6"/>
    <n v="0"/>
    <n v="0"/>
    <n v="0"/>
    <n v="0"/>
    <n v="4864"/>
    <x v="85"/>
    <n v="9728"/>
    <x v="2"/>
  </r>
  <r>
    <x v="7"/>
    <s v="Stina Alm"/>
    <x v="1"/>
    <x v="473"/>
    <x v="473"/>
    <n v="2"/>
    <s v="ADET"/>
    <n v="0"/>
    <n v="5"/>
    <n v="7"/>
    <n v="16"/>
    <n v="0"/>
    <n v="56524.800000000003"/>
    <n v="3532.8"/>
    <x v="85"/>
    <n v="7065.6"/>
    <x v="2"/>
  </r>
  <r>
    <x v="18"/>
    <s v="Stina Alm"/>
    <x v="1"/>
    <x v="396"/>
    <x v="396"/>
    <n v="80"/>
    <s v="ADET"/>
    <n v="0"/>
    <n v="7500"/>
    <n v="0"/>
    <n v="-5570"/>
    <n v="0"/>
    <n v="0"/>
    <n v="0.8"/>
    <x v="23"/>
    <n v="64"/>
    <x v="1"/>
  </r>
  <r>
    <x v="19"/>
    <s v="Laurent MONTAGNER"/>
    <x v="1"/>
    <x v="396"/>
    <x v="396"/>
    <n v="80"/>
    <s v="ADET"/>
    <n v="0"/>
    <n v="7500"/>
    <n v="0"/>
    <n v="-5570"/>
    <n v="0"/>
    <n v="0"/>
    <n v="0.8"/>
    <x v="23"/>
    <n v="64"/>
    <x v="1"/>
  </r>
  <r>
    <x v="18"/>
    <s v="Stina Alm"/>
    <x v="1"/>
    <x v="397"/>
    <x v="397"/>
    <n v="1"/>
    <s v="ADET"/>
    <n v="0"/>
    <n v="46"/>
    <n v="85.879999999999981"/>
    <n v="-11.119999999999997"/>
    <n v="0"/>
    <n v="0"/>
    <n v="55"/>
    <x v="2"/>
    <n v="55"/>
    <x v="1"/>
  </r>
  <r>
    <x v="11"/>
    <s v="Jan Urbanek"/>
    <x v="1"/>
    <x v="401"/>
    <x v="401"/>
    <n v="2"/>
    <s v="ADET"/>
    <n v="0"/>
    <n v="0"/>
    <n v="64"/>
    <n v="40"/>
    <n v="0"/>
    <n v="274.8"/>
    <n v="6.87"/>
    <x v="23"/>
    <n v="13.74"/>
    <x v="7"/>
  </r>
  <r>
    <x v="12"/>
    <s v="Stefan Zaugg"/>
    <x v="1"/>
    <x v="401"/>
    <x v="401"/>
    <n v="4"/>
    <s v="ADET"/>
    <n v="0"/>
    <n v="0"/>
    <n v="64"/>
    <n v="40"/>
    <n v="0"/>
    <n v="274.8"/>
    <n v="6.87"/>
    <x v="23"/>
    <n v="27.48"/>
    <x v="7"/>
  </r>
  <r>
    <x v="12"/>
    <s v="Stefan Zaugg"/>
    <x v="1"/>
    <x v="400"/>
    <x v="400"/>
    <n v="60"/>
    <s v="ADET"/>
    <n v="0"/>
    <n v="5000"/>
    <n v="0"/>
    <n v="-3820"/>
    <n v="0"/>
    <n v="0"/>
    <n v="0.6"/>
    <x v="2"/>
    <n v="36"/>
    <x v="1"/>
  </r>
  <r>
    <x v="11"/>
    <s v="Jan Urbanek"/>
    <x v="1"/>
    <x v="400"/>
    <x v="400"/>
    <n v="60"/>
    <s v="ADET"/>
    <n v="0"/>
    <n v="5000"/>
    <n v="0"/>
    <n v="-3820"/>
    <n v="0"/>
    <n v="0"/>
    <n v="0.6"/>
    <x v="2"/>
    <n v="36"/>
    <x v="1"/>
  </r>
  <r>
    <x v="0"/>
    <s v="Matteo Giolo"/>
    <x v="1"/>
    <x v="475"/>
    <x v="475"/>
    <n v="1"/>
    <s v="ADET"/>
    <n v="0"/>
    <n v="7"/>
    <n v="2"/>
    <n v="0"/>
    <n v="0"/>
    <n v="0"/>
    <n v="337.5"/>
    <x v="66"/>
    <n v="337.5"/>
    <x v="2"/>
  </r>
  <r>
    <x v="16"/>
    <s v="Laurent MONTAGNER"/>
    <x v="1"/>
    <x v="396"/>
    <x v="396"/>
    <n v="120"/>
    <s v="ADET"/>
    <n v="0"/>
    <n v="7500"/>
    <n v="0"/>
    <n v="-5570"/>
    <n v="0"/>
    <n v="0"/>
    <n v="0.8"/>
    <x v="23"/>
    <n v="96"/>
    <x v="1"/>
  </r>
  <r>
    <x v="17"/>
    <s v="Soner Kayıkçı"/>
    <x v="1"/>
    <x v="396"/>
    <x v="396"/>
    <n v="110"/>
    <s v="ADET"/>
    <n v="0"/>
    <n v="7500"/>
    <n v="0"/>
    <n v="-5570"/>
    <n v="0"/>
    <n v="0"/>
    <n v="0.8"/>
    <x v="23"/>
    <n v="88"/>
    <x v="1"/>
  </r>
  <r>
    <x v="17"/>
    <s v="Soner Kayıkçı"/>
    <x v="1"/>
    <x v="397"/>
    <x v="397"/>
    <n v="4.25"/>
    <s v="ADET"/>
    <n v="0"/>
    <n v="46"/>
    <n v="85.879999999999981"/>
    <n v="-11.119999999999997"/>
    <n v="0"/>
    <n v="0"/>
    <n v="55"/>
    <x v="2"/>
    <n v="233.75"/>
    <x v="1"/>
  </r>
  <r>
    <x v="13"/>
    <s v="Volkan Batkan"/>
    <x v="1"/>
    <x v="401"/>
    <x v="401"/>
    <n v="2"/>
    <s v="ADET"/>
    <n v="0"/>
    <n v="0"/>
    <n v="64"/>
    <n v="40"/>
    <n v="0"/>
    <n v="274.8"/>
    <n v="6.87"/>
    <x v="23"/>
    <n v="13.74"/>
    <x v="7"/>
  </r>
  <r>
    <x v="13"/>
    <s v="Volkan Batkan"/>
    <x v="1"/>
    <x v="400"/>
    <x v="400"/>
    <n v="60"/>
    <s v="ADET"/>
    <n v="0"/>
    <n v="5000"/>
    <n v="0"/>
    <n v="-3820"/>
    <n v="0"/>
    <n v="0"/>
    <n v="0.6"/>
    <x v="2"/>
    <n v="36"/>
    <x v="1"/>
  </r>
  <r>
    <x v="13"/>
    <s v="Volkan Batkan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10"/>
    <s v="Murat Taşdemir"/>
    <x v="1"/>
    <x v="428"/>
    <x v="428"/>
    <n v="50"/>
    <s v="ADET"/>
    <n v="0"/>
    <n v="950"/>
    <n v="380"/>
    <n v="-90"/>
    <n v="0"/>
    <n v="0"/>
    <n v="0.4"/>
    <x v="5"/>
    <n v="20"/>
    <x v="1"/>
  </r>
  <r>
    <x v="14"/>
    <s v="Matteo Giolo"/>
    <x v="1"/>
    <x v="400"/>
    <x v="400"/>
    <n v="65"/>
    <s v="ADET"/>
    <n v="0"/>
    <n v="5000"/>
    <n v="0"/>
    <n v="-3820"/>
    <n v="0"/>
    <n v="0"/>
    <n v="0.6"/>
    <x v="2"/>
    <n v="39"/>
    <x v="1"/>
  </r>
  <r>
    <x v="12"/>
    <s v="Stefan Zaugg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11"/>
    <s v="Jan Urbanek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14"/>
    <s v="Matteo Giolo"/>
    <x v="1"/>
    <x v="399"/>
    <x v="399"/>
    <n v="0.5"/>
    <s v="KG"/>
    <n v="0"/>
    <n v="72"/>
    <n v="7"/>
    <n v="-51.5"/>
    <n v="0"/>
    <n v="0"/>
    <n v="212.93"/>
    <x v="71"/>
    <n v="106.465"/>
    <x v="8"/>
  </r>
  <r>
    <x v="11"/>
    <s v="Jan Urbanek"/>
    <x v="1"/>
    <x v="473"/>
    <x v="473"/>
    <n v="1"/>
    <s v="ADET"/>
    <n v="0"/>
    <n v="5"/>
    <n v="7"/>
    <n v="16"/>
    <n v="0"/>
    <n v="56524.800000000003"/>
    <n v="3532.8"/>
    <x v="85"/>
    <n v="3532.8"/>
    <x v="2"/>
  </r>
  <r>
    <x v="14"/>
    <s v="Matteo Giolo"/>
    <x v="1"/>
    <x v="473"/>
    <x v="473"/>
    <n v="2"/>
    <s v="ADET"/>
    <n v="0"/>
    <n v="5"/>
    <n v="7"/>
    <n v="16"/>
    <n v="0"/>
    <n v="56524.800000000003"/>
    <n v="3532.8"/>
    <x v="85"/>
    <n v="7065.6"/>
    <x v="2"/>
  </r>
  <r>
    <x v="9"/>
    <s v="Stefan Zaugg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9"/>
    <s v="Stefan Zaugg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11"/>
    <s v="Jan Urbanek"/>
    <x v="1"/>
    <x v="428"/>
    <x v="428"/>
    <n v="40"/>
    <s v="ADET"/>
    <n v="0"/>
    <n v="950"/>
    <n v="380"/>
    <n v="-90"/>
    <n v="0"/>
    <n v="0"/>
    <n v="0.4"/>
    <x v="5"/>
    <n v="16"/>
    <x v="1"/>
  </r>
  <r>
    <x v="15"/>
    <s v="Hayriye Güven"/>
    <x v="1"/>
    <x v="477"/>
    <x v="477"/>
    <n v="2"/>
    <s v="ADET"/>
    <n v="0"/>
    <n v="6"/>
    <n v="0"/>
    <n v="-4"/>
    <n v="0"/>
    <n v="0"/>
    <n v="129.16999999999999"/>
    <x v="105"/>
    <n v="258.33999999999997"/>
    <x v="7"/>
  </r>
  <r>
    <x v="10"/>
    <s v="Murat Taşdemir"/>
    <x v="1"/>
    <x v="474"/>
    <x v="474"/>
    <n v="2"/>
    <s v="ADET"/>
    <n v="0"/>
    <n v="6"/>
    <n v="0"/>
    <n v="0"/>
    <n v="0"/>
    <n v="0"/>
    <n v="4864"/>
    <x v="85"/>
    <n v="9728"/>
    <x v="2"/>
  </r>
  <r>
    <x v="11"/>
    <s v="Jan Urbanek"/>
    <x v="1"/>
    <x v="475"/>
    <x v="475"/>
    <n v="1"/>
    <s v="ADET"/>
    <n v="0"/>
    <n v="7"/>
    <n v="2"/>
    <n v="0"/>
    <n v="0"/>
    <n v="0"/>
    <n v="337.5"/>
    <x v="66"/>
    <n v="337.5"/>
    <x v="2"/>
  </r>
  <r>
    <x v="4"/>
    <s v="Jan Urbanek"/>
    <x v="1"/>
    <x v="473"/>
    <x v="473"/>
    <n v="1"/>
    <s v="ADET"/>
    <n v="0"/>
    <n v="5"/>
    <n v="7"/>
    <n v="16"/>
    <n v="0"/>
    <n v="56524.800000000003"/>
    <n v="3532.8"/>
    <x v="85"/>
    <n v="3532.8"/>
    <x v="2"/>
  </r>
  <r>
    <x v="3"/>
    <s v="Jan Urbanek"/>
    <x v="1"/>
    <x v="473"/>
    <x v="473"/>
    <n v="1"/>
    <s v="ADET"/>
    <n v="0"/>
    <n v="5"/>
    <n v="7"/>
    <n v="16"/>
    <n v="0"/>
    <n v="56524.800000000003"/>
    <n v="3532.8"/>
    <x v="85"/>
    <n v="3532.8"/>
    <x v="2"/>
  </r>
  <r>
    <x v="10"/>
    <s v="Murat Taşdemir"/>
    <x v="1"/>
    <x v="400"/>
    <x v="400"/>
    <n v="65"/>
    <s v="ADET"/>
    <n v="0"/>
    <n v="5000"/>
    <n v="0"/>
    <n v="-3820"/>
    <n v="0"/>
    <n v="0"/>
    <n v="0.6"/>
    <x v="2"/>
    <n v="39"/>
    <x v="1"/>
  </r>
  <r>
    <x v="10"/>
    <s v="Murat Taşdemir"/>
    <x v="1"/>
    <x v="399"/>
    <x v="399"/>
    <n v="0.5"/>
    <s v="KG"/>
    <n v="0"/>
    <n v="72"/>
    <n v="7"/>
    <n v="-51.5"/>
    <n v="0"/>
    <n v="0"/>
    <n v="212.93"/>
    <x v="71"/>
    <n v="106.465"/>
    <x v="8"/>
  </r>
  <r>
    <x v="9"/>
    <s v="Stefan Zaugg"/>
    <x v="1"/>
    <x v="428"/>
    <x v="428"/>
    <n v="50"/>
    <s v="ADET"/>
    <n v="0"/>
    <n v="950"/>
    <n v="380"/>
    <n v="-90"/>
    <n v="0"/>
    <n v="0"/>
    <n v="0.4"/>
    <x v="5"/>
    <n v="20"/>
    <x v="1"/>
  </r>
  <r>
    <x v="13"/>
    <s v="Volkan Batkan"/>
    <x v="1"/>
    <x v="428"/>
    <x v="428"/>
    <n v="40"/>
    <s v="ADET"/>
    <n v="0"/>
    <n v="950"/>
    <n v="380"/>
    <n v="-90"/>
    <n v="0"/>
    <n v="0"/>
    <n v="0.4"/>
    <x v="5"/>
    <n v="16"/>
    <x v="1"/>
  </r>
  <r>
    <x v="14"/>
    <s v="Matteo Giolo"/>
    <x v="1"/>
    <x v="428"/>
    <x v="428"/>
    <n v="50"/>
    <s v="ADET"/>
    <n v="0"/>
    <n v="950"/>
    <n v="380"/>
    <n v="-90"/>
    <n v="0"/>
    <n v="0"/>
    <n v="0.4"/>
    <x v="5"/>
    <n v="20"/>
    <x v="1"/>
  </r>
  <r>
    <x v="12"/>
    <s v="Stefan Zaugg"/>
    <x v="1"/>
    <x v="428"/>
    <x v="428"/>
    <n v="50"/>
    <s v="ADET"/>
    <n v="0"/>
    <n v="950"/>
    <n v="380"/>
    <n v="-90"/>
    <n v="0"/>
    <n v="0"/>
    <n v="0.4"/>
    <x v="5"/>
    <n v="20"/>
    <x v="1"/>
  </r>
  <r>
    <x v="13"/>
    <s v="Volkan Batkan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4"/>
    <s v="Matteo Giolo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1"/>
    <s v="Jan Urbanek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14"/>
    <s v="Matteo Giolo"/>
    <x v="1"/>
    <x v="383"/>
    <x v="383"/>
    <n v="5"/>
    <s v="ADET"/>
    <n v="0"/>
    <n v="0"/>
    <n v="-3.1086244689504383E-14"/>
    <n v="46.999999999999993"/>
    <n v="4"/>
    <n v="48958.02"/>
    <n v="1041.6600000000001"/>
    <x v="61"/>
    <n v="5208.3"/>
    <x v="8"/>
  </r>
  <r>
    <x v="11"/>
    <s v="Jan Urbanek"/>
    <x v="1"/>
    <x v="384"/>
    <x v="384"/>
    <n v="120"/>
    <s v="METRE"/>
    <n v="0"/>
    <n v="0"/>
    <n v="0"/>
    <n v="1760"/>
    <n v="0"/>
    <n v="0"/>
    <n v="0"/>
    <x v="6"/>
    <n v="0"/>
    <x v="6"/>
  </r>
  <r>
    <x v="14"/>
    <s v="Matteo Giolo"/>
    <x v="1"/>
    <x v="384"/>
    <x v="384"/>
    <n v="120"/>
    <s v="METRE"/>
    <n v="0"/>
    <n v="0"/>
    <n v="0"/>
    <n v="1760"/>
    <n v="0"/>
    <n v="0"/>
    <n v="0"/>
    <x v="6"/>
    <n v="0"/>
    <x v="6"/>
  </r>
  <r>
    <x v="7"/>
    <s v="Stina Alm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6"/>
    <s v="Stefan Zaugg"/>
    <x v="1"/>
    <x v="472"/>
    <x v="472"/>
    <n v="1"/>
    <s v="ADET"/>
    <n v="1"/>
    <n v="5"/>
    <n v="7"/>
    <n v="0"/>
    <n v="8"/>
    <n v="0"/>
    <n v="401.17"/>
    <x v="104"/>
    <n v="401.17"/>
    <x v="7"/>
  </r>
  <r>
    <x v="5"/>
    <s v="Matteo Giolo"/>
    <x v="1"/>
    <x v="472"/>
    <x v="472"/>
    <n v="1"/>
    <s v="ADET"/>
    <n v="0"/>
    <n v="5"/>
    <n v="7"/>
    <n v="0"/>
    <n v="8"/>
    <n v="0"/>
    <n v="401.17"/>
    <x v="104"/>
    <n v="401.17"/>
    <x v="7"/>
  </r>
  <r>
    <x v="17"/>
    <s v="Soner Kayıkçı"/>
    <x v="1"/>
    <x v="378"/>
    <x v="378"/>
    <n v="6"/>
    <s v="ADET"/>
    <n v="0"/>
    <n v="0"/>
    <n v="0"/>
    <n v="54"/>
    <n v="0"/>
    <n v="37.799999999999997"/>
    <n v="0.7"/>
    <x v="29"/>
    <n v="4.1999999999999993"/>
    <x v="7"/>
  </r>
  <r>
    <x v="18"/>
    <s v="Stina Alm"/>
    <x v="1"/>
    <x v="379"/>
    <x v="379"/>
    <n v="1"/>
    <s v="ADET"/>
    <n v="0"/>
    <n v="0"/>
    <n v="6.0999999999999979"/>
    <n v="8.8000000000000007"/>
    <n v="5"/>
    <n v="6056.1600000000008"/>
    <n v="688.2"/>
    <x v="35"/>
    <n v="688.2"/>
    <x v="6"/>
  </r>
  <r>
    <x v="16"/>
    <s v="Laurent MONTAGNER"/>
    <x v="1"/>
    <x v="379"/>
    <x v="379"/>
    <n v="1"/>
    <s v="ADET"/>
    <n v="0"/>
    <n v="0"/>
    <n v="6.0999999999999979"/>
    <n v="8.8000000000000007"/>
    <n v="5"/>
    <n v="6056.1600000000008"/>
    <n v="688.2"/>
    <x v="35"/>
    <n v="688.2"/>
    <x v="6"/>
  </r>
  <r>
    <x v="17"/>
    <s v="Soner Kayıkçı"/>
    <x v="1"/>
    <x v="379"/>
    <x v="379"/>
    <n v="1.5"/>
    <s v="ADET"/>
    <n v="0"/>
    <n v="0"/>
    <n v="6.0999999999999979"/>
    <n v="8.8000000000000007"/>
    <n v="5"/>
    <n v="6056.1600000000008"/>
    <n v="688.2"/>
    <x v="35"/>
    <n v="1032.3000000000002"/>
    <x v="6"/>
  </r>
  <r>
    <x v="12"/>
    <s v="Stefan Zaugg"/>
    <x v="1"/>
    <x v="380"/>
    <x v="380"/>
    <n v="0.5"/>
    <s v="ADET"/>
    <n v="0"/>
    <n v="100"/>
    <n v="0"/>
    <n v="-90.5"/>
    <n v="0"/>
    <n v="0"/>
    <n v="13.5"/>
    <x v="2"/>
    <n v="6.75"/>
    <x v="1"/>
  </r>
  <r>
    <x v="11"/>
    <s v="Jan Urbanek"/>
    <x v="1"/>
    <x v="380"/>
    <x v="380"/>
    <n v="0.5"/>
    <s v="ADET"/>
    <n v="0"/>
    <n v="100"/>
    <n v="0"/>
    <n v="-90.5"/>
    <n v="0"/>
    <n v="0"/>
    <n v="13.5"/>
    <x v="2"/>
    <n v="6.75"/>
    <x v="1"/>
  </r>
  <r>
    <x v="14"/>
    <s v="Matteo Giolo"/>
    <x v="1"/>
    <x v="380"/>
    <x v="380"/>
    <n v="0.5"/>
    <s v="ADET"/>
    <n v="0"/>
    <n v="100"/>
    <n v="0"/>
    <n v="-90.5"/>
    <n v="0"/>
    <n v="0"/>
    <n v="13.5"/>
    <x v="2"/>
    <n v="6.75"/>
    <x v="1"/>
  </r>
  <r>
    <x v="13"/>
    <s v="Volkan Batkan"/>
    <x v="1"/>
    <x v="380"/>
    <x v="380"/>
    <n v="0.5"/>
    <s v="ADET"/>
    <n v="0"/>
    <n v="100"/>
    <n v="0"/>
    <n v="-90.5"/>
    <n v="0"/>
    <n v="0"/>
    <n v="13.5"/>
    <x v="2"/>
    <n v="6.75"/>
    <x v="1"/>
  </r>
  <r>
    <x v="11"/>
    <s v="Jan Urbanek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9"/>
    <s v="Stefan Zaugg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3"/>
    <s v="Volkan Batkan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10"/>
    <s v="Murat Taşdemir"/>
    <x v="1"/>
    <x v="384"/>
    <x v="384"/>
    <n v="20"/>
    <s v="METRE"/>
    <n v="0"/>
    <n v="0"/>
    <n v="0"/>
    <n v="1760"/>
    <n v="0"/>
    <n v="0"/>
    <n v="0"/>
    <x v="6"/>
    <n v="0"/>
    <x v="6"/>
  </r>
  <r>
    <x v="11"/>
    <s v="Jan Urbanek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4"/>
    <s v="Matteo Giolo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4"/>
    <s v="Matteo Giolo"/>
    <x v="1"/>
    <x v="472"/>
    <x v="472"/>
    <n v="1"/>
    <s v="ADET"/>
    <n v="0"/>
    <n v="5"/>
    <n v="7"/>
    <n v="0"/>
    <n v="8"/>
    <n v="0"/>
    <n v="401.17"/>
    <x v="104"/>
    <n v="401.17"/>
    <x v="7"/>
  </r>
  <r>
    <x v="9"/>
    <s v="Stefan Zaugg"/>
    <x v="1"/>
    <x v="384"/>
    <x v="384"/>
    <n v="20"/>
    <s v="METRE"/>
    <n v="0"/>
    <n v="0"/>
    <n v="0"/>
    <n v="1760"/>
    <n v="0"/>
    <n v="0"/>
    <n v="0"/>
    <x v="6"/>
    <n v="0"/>
    <x v="6"/>
  </r>
  <r>
    <x v="12"/>
    <s v="Stefan Zaugg"/>
    <x v="1"/>
    <x v="384"/>
    <x v="384"/>
    <n v="20"/>
    <s v="METRE"/>
    <n v="0"/>
    <n v="0"/>
    <n v="0"/>
    <n v="1760"/>
    <n v="0"/>
    <n v="0"/>
    <n v="0"/>
    <x v="6"/>
    <n v="0"/>
    <x v="6"/>
  </r>
  <r>
    <x v="13"/>
    <s v="Volkan Batkan"/>
    <x v="1"/>
    <x v="384"/>
    <x v="384"/>
    <n v="120"/>
    <s v="METRE"/>
    <n v="0"/>
    <n v="0"/>
    <n v="0"/>
    <n v="1760"/>
    <n v="0"/>
    <n v="0"/>
    <n v="0"/>
    <x v="6"/>
    <n v="0"/>
    <x v="6"/>
  </r>
  <r>
    <x v="9"/>
    <s v="Stefan Zaugg"/>
    <x v="1"/>
    <x v="386"/>
    <x v="386"/>
    <n v="0.105"/>
    <s v="M3"/>
    <n v="0.105"/>
    <n v="0"/>
    <n v="4.5430000000000224"/>
    <n v="1.4260000000000006"/>
    <n v="0"/>
    <n v="27807.000000000011"/>
    <n v="19500"/>
    <x v="91"/>
    <n v="2047.5"/>
    <x v="8"/>
  </r>
  <r>
    <x v="13"/>
    <s v="Volkan Batkan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2"/>
    <s v="Jan Urbanek"/>
    <x v="1"/>
    <x v="403"/>
    <x v="403"/>
    <n v="1"/>
    <s v="ADET"/>
    <n v="0"/>
    <n v="8"/>
    <n v="4"/>
    <n v="-1"/>
    <n v="0"/>
    <n v="0"/>
    <n v="1723.12"/>
    <x v="67"/>
    <n v="1723.12"/>
    <x v="4"/>
  </r>
  <r>
    <x v="12"/>
    <s v="Stefan Zaugg"/>
    <x v="1"/>
    <x v="257"/>
    <x v="257"/>
    <n v="1.5"/>
    <s v="ADET"/>
    <n v="1.5"/>
    <n v="75"/>
    <n v="42.700000000000159"/>
    <n v="-48.04"/>
    <n v="0"/>
    <n v="0"/>
    <n v="15"/>
    <x v="2"/>
    <n v="22.5"/>
    <x v="1"/>
  </r>
  <r>
    <x v="11"/>
    <s v="Jan Urbanek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13"/>
    <s v="Volkan Batkan"/>
    <x v="1"/>
    <x v="320"/>
    <x v="320"/>
    <n v="3"/>
    <s v="ADET"/>
    <n v="0"/>
    <n v="200"/>
    <n v="0"/>
    <n v="-188"/>
    <n v="0"/>
    <n v="0"/>
    <n v="10"/>
    <x v="14"/>
    <n v="30"/>
    <x v="1"/>
  </r>
  <r>
    <x v="9"/>
    <s v="Stefan Zaugg"/>
    <x v="1"/>
    <x v="321"/>
    <x v="321"/>
    <n v="0.5"/>
    <s v="ADET"/>
    <n v="0"/>
    <n v="0"/>
    <n v="0"/>
    <n v="7.5"/>
    <n v="0"/>
    <n v="285"/>
    <n v="38"/>
    <x v="2"/>
    <n v="19"/>
    <x v="3"/>
  </r>
  <r>
    <x v="12"/>
    <s v="Stefan Zaugg"/>
    <x v="1"/>
    <x v="322"/>
    <x v="322"/>
    <n v="4"/>
    <s v="METRE"/>
    <n v="0"/>
    <n v="0"/>
    <n v="27"/>
    <n v="30.5"/>
    <n v="0"/>
    <n v="396.5"/>
    <n v="13"/>
    <x v="6"/>
    <n v="52"/>
    <x v="7"/>
  </r>
  <r>
    <x v="13"/>
    <s v="Volkan Batkan"/>
    <x v="1"/>
    <x v="322"/>
    <x v="322"/>
    <n v="4"/>
    <s v="METRE"/>
    <n v="0"/>
    <n v="0"/>
    <n v="27"/>
    <n v="30.5"/>
    <n v="0"/>
    <n v="396.5"/>
    <n v="13"/>
    <x v="6"/>
    <n v="52"/>
    <x v="7"/>
  </r>
  <r>
    <x v="12"/>
    <s v="Stefan Zaugg"/>
    <x v="1"/>
    <x v="318"/>
    <x v="318"/>
    <n v="2"/>
    <s v="ADET"/>
    <n v="2"/>
    <n v="35"/>
    <n v="14"/>
    <n v="-26"/>
    <n v="15"/>
    <n v="0"/>
    <n v="43.75"/>
    <x v="8"/>
    <n v="87.5"/>
    <x v="1"/>
  </r>
  <r>
    <x v="14"/>
    <s v="Matteo Giolo"/>
    <x v="1"/>
    <x v="318"/>
    <x v="318"/>
    <n v="2"/>
    <s v="ADET"/>
    <n v="0"/>
    <n v="35"/>
    <n v="14"/>
    <n v="-26"/>
    <n v="15"/>
    <n v="0"/>
    <n v="43.75"/>
    <x v="8"/>
    <n v="87.5"/>
    <x v="1"/>
  </r>
  <r>
    <x v="5"/>
    <s v="Matteo Giolo"/>
    <x v="1"/>
    <x v="464"/>
    <x v="464"/>
    <n v="1"/>
    <s v="ADET"/>
    <n v="0"/>
    <n v="14"/>
    <n v="3"/>
    <n v="-8"/>
    <n v="0"/>
    <n v="0"/>
    <n v="1678.88"/>
    <x v="67"/>
    <n v="1678.88"/>
    <x v="4"/>
  </r>
  <r>
    <x v="7"/>
    <s v="Stina Alm"/>
    <x v="1"/>
    <x v="478"/>
    <x v="478"/>
    <n v="2"/>
    <s v="ADET"/>
    <n v="0"/>
    <n v="29"/>
    <n v="0"/>
    <n v="-27"/>
    <n v="0"/>
    <n v="0"/>
    <n v="213.48"/>
    <x v="67"/>
    <n v="426.96"/>
    <x v="4"/>
  </r>
  <r>
    <x v="7"/>
    <s v="Stina Alm"/>
    <x v="1"/>
    <x v="466"/>
    <x v="466"/>
    <n v="1"/>
    <s v="ADET"/>
    <n v="0"/>
    <n v="10"/>
    <n v="7"/>
    <n v="-12"/>
    <n v="15"/>
    <n v="0"/>
    <n v="776.15"/>
    <x v="103"/>
    <n v="776.15"/>
    <x v="7"/>
  </r>
  <r>
    <x v="7"/>
    <s v="Stina Alm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8"/>
    <s v="Stina Alm"/>
    <x v="1"/>
    <x v="257"/>
    <x v="257"/>
    <n v="2.04"/>
    <s v="ADET"/>
    <n v="0"/>
    <n v="75"/>
    <n v="42.700000000000159"/>
    <n v="-48.04"/>
    <n v="0"/>
    <n v="0"/>
    <n v="15"/>
    <x v="2"/>
    <n v="30.6"/>
    <x v="1"/>
  </r>
  <r>
    <x v="17"/>
    <s v="Soner Kayıkçı"/>
    <x v="1"/>
    <x v="257"/>
    <x v="257"/>
    <n v="2"/>
    <s v="ADET"/>
    <n v="0"/>
    <n v="75"/>
    <n v="42.700000000000159"/>
    <n v="-48.04"/>
    <n v="0"/>
    <n v="0"/>
    <n v="15"/>
    <x v="2"/>
    <n v="30"/>
    <x v="1"/>
  </r>
  <r>
    <x v="17"/>
    <s v="Soner Kayıkçı"/>
    <x v="1"/>
    <x v="320"/>
    <x v="320"/>
    <n v="3"/>
    <s v="ADET"/>
    <n v="0"/>
    <n v="200"/>
    <n v="0"/>
    <n v="-188"/>
    <n v="0"/>
    <n v="0"/>
    <n v="10"/>
    <x v="14"/>
    <n v="30"/>
    <x v="1"/>
  </r>
  <r>
    <x v="18"/>
    <s v="Stina Alm"/>
    <x v="1"/>
    <x v="321"/>
    <x v="321"/>
    <n v="1"/>
    <s v="ADET"/>
    <n v="0"/>
    <n v="0"/>
    <n v="0"/>
    <n v="7.5"/>
    <n v="0"/>
    <n v="285"/>
    <n v="38"/>
    <x v="2"/>
    <n v="38"/>
    <x v="3"/>
  </r>
  <r>
    <x v="18"/>
    <s v="Stina Alm"/>
    <x v="1"/>
    <x v="322"/>
    <x v="322"/>
    <n v="1.5"/>
    <s v="METRE"/>
    <n v="0"/>
    <n v="0"/>
    <n v="27"/>
    <n v="30.5"/>
    <n v="0"/>
    <n v="396.5"/>
    <n v="13"/>
    <x v="6"/>
    <n v="19.5"/>
    <x v="7"/>
  </r>
  <r>
    <x v="18"/>
    <s v="Stina Alm"/>
    <x v="1"/>
    <x v="319"/>
    <x v="319"/>
    <n v="1"/>
    <s v="ADET"/>
    <n v="0"/>
    <n v="9"/>
    <n v="8"/>
    <n v="4"/>
    <n v="0"/>
    <n v="1950.24"/>
    <n v="487.56"/>
    <x v="53"/>
    <n v="487.56"/>
    <x v="2"/>
  </r>
  <r>
    <x v="10"/>
    <s v="Murat Taşdemir"/>
    <x v="1"/>
    <x v="319"/>
    <x v="319"/>
    <n v="1"/>
    <s v="ADET"/>
    <n v="0"/>
    <n v="9"/>
    <n v="8"/>
    <n v="4"/>
    <n v="0"/>
    <n v="1950.24"/>
    <n v="487.56"/>
    <x v="53"/>
    <n v="487.56"/>
    <x v="2"/>
  </r>
  <r>
    <x v="0"/>
    <s v="Matteo Giolo"/>
    <x v="1"/>
    <x v="466"/>
    <x v="466"/>
    <n v="1"/>
    <s v="ADET"/>
    <n v="0"/>
    <n v="10"/>
    <n v="7"/>
    <n v="-12"/>
    <n v="15"/>
    <n v="0"/>
    <n v="776.15"/>
    <x v="103"/>
    <n v="776.15"/>
    <x v="7"/>
  </r>
  <r>
    <x v="16"/>
    <s v="Laurent MONTAGNER"/>
    <x v="1"/>
    <x v="257"/>
    <x v="257"/>
    <n v="2.19"/>
    <s v="ADET"/>
    <n v="0"/>
    <n v="75"/>
    <n v="42.700000000000159"/>
    <n v="-48.04"/>
    <n v="0"/>
    <n v="0"/>
    <n v="15"/>
    <x v="2"/>
    <n v="32.85"/>
    <x v="1"/>
  </r>
  <r>
    <x v="16"/>
    <s v="Laurent MONTAGNER"/>
    <x v="1"/>
    <x v="322"/>
    <x v="322"/>
    <n v="1.5"/>
    <s v="METRE"/>
    <n v="0"/>
    <n v="0"/>
    <n v="27"/>
    <n v="30.5"/>
    <n v="0"/>
    <n v="396.5"/>
    <n v="13"/>
    <x v="6"/>
    <n v="19.5"/>
    <x v="7"/>
  </r>
  <r>
    <x v="17"/>
    <s v="Soner Kayıkçı"/>
    <x v="1"/>
    <x v="318"/>
    <x v="318"/>
    <n v="2"/>
    <s v="ADET"/>
    <n v="0"/>
    <n v="35"/>
    <n v="14"/>
    <n v="-26"/>
    <n v="15"/>
    <n v="0"/>
    <n v="43.75"/>
    <x v="8"/>
    <n v="87.5"/>
    <x v="1"/>
  </r>
  <r>
    <x v="16"/>
    <s v="Laurent MONTAGNER"/>
    <x v="1"/>
    <x v="318"/>
    <x v="318"/>
    <n v="2"/>
    <s v="ADET"/>
    <n v="0"/>
    <n v="35"/>
    <n v="14"/>
    <n v="-26"/>
    <n v="15"/>
    <n v="0"/>
    <n v="43.75"/>
    <x v="8"/>
    <n v="87.5"/>
    <x v="1"/>
  </r>
  <r>
    <x v="14"/>
    <s v="Matteo Giolo"/>
    <x v="1"/>
    <x v="319"/>
    <x v="319"/>
    <n v="1"/>
    <s v="ADET"/>
    <n v="0"/>
    <n v="9"/>
    <n v="8"/>
    <n v="4"/>
    <n v="0"/>
    <n v="1950.24"/>
    <n v="487.56"/>
    <x v="53"/>
    <n v="487.56"/>
    <x v="2"/>
  </r>
  <r>
    <x v="0"/>
    <s v="Matteo Giolo"/>
    <x v="1"/>
    <x v="479"/>
    <x v="479"/>
    <n v="2"/>
    <s v="ADET"/>
    <n v="0"/>
    <n v="500"/>
    <n v="500"/>
    <n v="-486"/>
    <n v="0"/>
    <n v="0"/>
    <n v="0.39"/>
    <x v="23"/>
    <n v="0.78"/>
    <x v="7"/>
  </r>
  <r>
    <x v="0"/>
    <s v="Matteo Giolo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"/>
    <s v="Laurent MONTAGNER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9"/>
    <s v="Laurent MONTAGNER"/>
    <x v="1"/>
    <x v="321"/>
    <x v="321"/>
    <n v="1"/>
    <s v="ADET"/>
    <n v="0"/>
    <n v="0"/>
    <n v="0"/>
    <n v="7.5"/>
    <n v="0"/>
    <n v="285"/>
    <n v="38"/>
    <x v="2"/>
    <n v="38"/>
    <x v="3"/>
  </r>
  <r>
    <x v="19"/>
    <s v="Laurent MONTAGNER"/>
    <x v="1"/>
    <x v="322"/>
    <x v="322"/>
    <n v="1.5"/>
    <s v="METRE"/>
    <n v="0"/>
    <n v="0"/>
    <n v="27"/>
    <n v="30.5"/>
    <n v="0"/>
    <n v="396.5"/>
    <n v="13"/>
    <x v="6"/>
    <n v="19.5"/>
    <x v="7"/>
  </r>
  <r>
    <x v="16"/>
    <s v="Laurent MONTAGNER"/>
    <x v="1"/>
    <x v="319"/>
    <x v="319"/>
    <n v="1"/>
    <s v="ADET"/>
    <n v="0"/>
    <n v="9"/>
    <n v="8"/>
    <n v="4"/>
    <n v="0"/>
    <n v="1950.24"/>
    <n v="487.56"/>
    <x v="53"/>
    <n v="487.56"/>
    <x v="2"/>
  </r>
  <r>
    <x v="11"/>
    <s v="Jan Urbanek"/>
    <x v="1"/>
    <x v="319"/>
    <x v="319"/>
    <n v="1"/>
    <s v="ADET"/>
    <n v="0"/>
    <n v="9"/>
    <n v="8"/>
    <n v="4"/>
    <n v="0"/>
    <n v="1950.24"/>
    <n v="487.56"/>
    <x v="53"/>
    <n v="487.56"/>
    <x v="2"/>
  </r>
  <r>
    <x v="18"/>
    <s v="Stina Alm"/>
    <x v="1"/>
    <x v="318"/>
    <x v="318"/>
    <n v="2"/>
    <s v="ADET"/>
    <n v="0"/>
    <n v="35"/>
    <n v="14"/>
    <n v="-26"/>
    <n v="15"/>
    <n v="0"/>
    <n v="43.75"/>
    <x v="8"/>
    <n v="87.5"/>
    <x v="1"/>
  </r>
  <r>
    <x v="10"/>
    <s v="Murat Taşdemir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0"/>
    <s v="Murat Taşdemir"/>
    <x v="1"/>
    <x v="404"/>
    <x v="404"/>
    <n v="2"/>
    <s v="ADET"/>
    <n v="0"/>
    <n v="3"/>
    <n v="12"/>
    <n v="25"/>
    <n v="0"/>
    <n v="11103.25"/>
    <n v="444.13"/>
    <x v="65"/>
    <n v="888.26"/>
    <x v="2"/>
  </r>
  <r>
    <x v="9"/>
    <s v="Stefan Zaugg"/>
    <x v="1"/>
    <x v="405"/>
    <x v="405"/>
    <n v="1"/>
    <s v="ADET"/>
    <n v="0"/>
    <n v="5"/>
    <n v="4"/>
    <n v="2"/>
    <n v="0"/>
    <n v="3446.24"/>
    <n v="1723.12"/>
    <x v="67"/>
    <n v="1723.12"/>
    <x v="4"/>
  </r>
  <r>
    <x v="10"/>
    <s v="Murat Taşdemir"/>
    <x v="1"/>
    <x v="464"/>
    <x v="464"/>
    <n v="1"/>
    <s v="ADET"/>
    <n v="0"/>
    <n v="14"/>
    <n v="3"/>
    <n v="-8"/>
    <n v="0"/>
    <n v="0"/>
    <n v="1678.88"/>
    <x v="67"/>
    <n v="1678.88"/>
    <x v="4"/>
  </r>
  <r>
    <x v="14"/>
    <s v="Matteo Giolo"/>
    <x v="1"/>
    <x v="480"/>
    <x v="480"/>
    <n v="20"/>
    <s v="KG"/>
    <n v="0"/>
    <n v="21"/>
    <n v="0"/>
    <n v="-1"/>
    <n v="0"/>
    <n v="0"/>
    <n v="1097.9000000000001"/>
    <x v="81"/>
    <n v="21958"/>
    <x v="3"/>
  </r>
  <r>
    <x v="15"/>
    <s v="Hayriye Güven"/>
    <x v="1"/>
    <x v="466"/>
    <x v="466"/>
    <n v="1"/>
    <s v="ADET"/>
    <n v="1"/>
    <n v="10"/>
    <n v="7"/>
    <n v="-12"/>
    <n v="15"/>
    <n v="0"/>
    <n v="776.15"/>
    <x v="103"/>
    <n v="776.15"/>
    <x v="7"/>
  </r>
  <r>
    <x v="10"/>
    <s v="Murat Taşdemir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1"/>
    <s v="Jan Urbanek"/>
    <x v="1"/>
    <x v="403"/>
    <x v="403"/>
    <n v="1"/>
    <s v="ADET"/>
    <n v="0"/>
    <n v="8"/>
    <n v="4"/>
    <n v="-1"/>
    <n v="0"/>
    <n v="0"/>
    <n v="1723.12"/>
    <x v="67"/>
    <n v="1723.12"/>
    <x v="4"/>
  </r>
  <r>
    <x v="10"/>
    <s v="Murat Taşdemir"/>
    <x v="1"/>
    <x v="466"/>
    <x v="466"/>
    <n v="1"/>
    <s v="ADET"/>
    <n v="0"/>
    <n v="10"/>
    <n v="7"/>
    <n v="-12"/>
    <n v="15"/>
    <n v="0"/>
    <n v="776.15"/>
    <x v="103"/>
    <n v="776.15"/>
    <x v="7"/>
  </r>
  <r>
    <x v="2"/>
    <s v="Jan Urbanek"/>
    <x v="1"/>
    <x v="466"/>
    <x v="466"/>
    <n v="1"/>
    <s v="ADET"/>
    <n v="0"/>
    <n v="10"/>
    <n v="7"/>
    <n v="-12"/>
    <n v="15"/>
    <n v="0"/>
    <n v="776.15"/>
    <x v="103"/>
    <n v="776.15"/>
    <x v="7"/>
  </r>
  <r>
    <x v="4"/>
    <s v="Jan Urbanek"/>
    <x v="1"/>
    <x v="465"/>
    <x v="465"/>
    <n v="2"/>
    <s v="ADET"/>
    <n v="0"/>
    <n v="500"/>
    <n v="500"/>
    <n v="-486"/>
    <n v="0"/>
    <n v="0"/>
    <n v="0.65"/>
    <x v="23"/>
    <n v="1.3"/>
    <x v="7"/>
  </r>
  <r>
    <x v="3"/>
    <s v="Jan Urbanek"/>
    <x v="1"/>
    <x v="465"/>
    <x v="465"/>
    <n v="2"/>
    <s v="ADET"/>
    <n v="0"/>
    <n v="500"/>
    <n v="500"/>
    <n v="-486"/>
    <n v="0"/>
    <n v="0"/>
    <n v="0.65"/>
    <x v="23"/>
    <n v="1.3"/>
    <x v="7"/>
  </r>
  <r>
    <x v="2"/>
    <s v="Jan Urbanek"/>
    <x v="1"/>
    <x v="479"/>
    <x v="479"/>
    <n v="2"/>
    <s v="ADET"/>
    <n v="0"/>
    <n v="500"/>
    <n v="500"/>
    <n v="-486"/>
    <n v="0"/>
    <n v="0"/>
    <n v="0.39"/>
    <x v="23"/>
    <n v="0.78"/>
    <x v="7"/>
  </r>
  <r>
    <x v="3"/>
    <s v="Jan Urbanek"/>
    <x v="1"/>
    <x v="479"/>
    <x v="479"/>
    <n v="2"/>
    <s v="ADET"/>
    <n v="0"/>
    <n v="500"/>
    <n v="500"/>
    <n v="-486"/>
    <n v="0"/>
    <n v="0"/>
    <n v="0.39"/>
    <x v="23"/>
    <n v="0.78"/>
    <x v="7"/>
  </r>
  <r>
    <x v="2"/>
    <s v="Jan Urbanek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2"/>
    <s v="Stefan Zaugg"/>
    <x v="1"/>
    <x v="463"/>
    <x v="463"/>
    <n v="1"/>
    <s v="ADET"/>
    <n v="0"/>
    <n v="2"/>
    <n v="-7.1054273576010019E-15"/>
    <n v="1"/>
    <n v="0"/>
    <n v="155"/>
    <n v="155"/>
    <x v="102"/>
    <n v="155"/>
    <x v="1"/>
  </r>
  <r>
    <x v="11"/>
    <s v="Jan Urbanek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14"/>
    <s v="Matteo Giolo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1"/>
    <s v="Jan Urbanek"/>
    <x v="1"/>
    <x v="404"/>
    <x v="404"/>
    <n v="2"/>
    <s v="ADET"/>
    <n v="0"/>
    <n v="3"/>
    <n v="12"/>
    <n v="25"/>
    <n v="0"/>
    <n v="11103.25"/>
    <n v="444.13"/>
    <x v="65"/>
    <n v="888.26"/>
    <x v="2"/>
  </r>
  <r>
    <x v="9"/>
    <s v="Stefan Zaugg"/>
    <x v="1"/>
    <x v="403"/>
    <x v="403"/>
    <n v="1"/>
    <s v="ADET"/>
    <n v="0"/>
    <n v="8"/>
    <n v="4"/>
    <n v="-1"/>
    <n v="0"/>
    <n v="0"/>
    <n v="1723.12"/>
    <x v="67"/>
    <n v="1723.12"/>
    <x v="4"/>
  </r>
  <r>
    <x v="12"/>
    <s v="Stefan Zaugg"/>
    <x v="1"/>
    <x v="481"/>
    <x v="481"/>
    <n v="1"/>
    <s v="ADET"/>
    <n v="1"/>
    <n v="2"/>
    <n v="2"/>
    <n v="-2"/>
    <n v="0"/>
    <n v="0"/>
    <n v="400"/>
    <x v="92"/>
    <n v="400"/>
    <x v="4"/>
  </r>
  <r>
    <x v="10"/>
    <s v="Murat Taşdemir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1"/>
    <s v="Jan Urbanek"/>
    <x v="1"/>
    <x v="470"/>
    <x v="470"/>
    <n v="2"/>
    <s v="ADET"/>
    <n v="0"/>
    <n v="17"/>
    <n v="16"/>
    <n v="-23"/>
    <n v="30"/>
    <n v="0"/>
    <n v="67.22"/>
    <x v="88"/>
    <n v="134.44"/>
    <x v="4"/>
  </r>
  <r>
    <x v="14"/>
    <s v="Matteo Giolo"/>
    <x v="1"/>
    <x v="470"/>
    <x v="470"/>
    <n v="2"/>
    <s v="ADET"/>
    <n v="0"/>
    <n v="17"/>
    <n v="16"/>
    <n v="-23"/>
    <n v="30"/>
    <n v="0"/>
    <n v="67.22"/>
    <x v="88"/>
    <n v="134.44"/>
    <x v="4"/>
  </r>
  <r>
    <x v="10"/>
    <s v="Murat Taşdemir"/>
    <x v="1"/>
    <x v="472"/>
    <x v="472"/>
    <n v="1"/>
    <s v="ADET"/>
    <n v="0"/>
    <n v="5"/>
    <n v="7"/>
    <n v="0"/>
    <n v="8"/>
    <n v="0"/>
    <n v="401.17"/>
    <x v="104"/>
    <n v="401.17"/>
    <x v="7"/>
  </r>
  <r>
    <x v="9"/>
    <s v="Stefan Zaugg"/>
    <x v="1"/>
    <x v="385"/>
    <x v="385"/>
    <n v="2"/>
    <s v="ADET"/>
    <n v="0"/>
    <n v="48"/>
    <n v="2"/>
    <n v="-44"/>
    <n v="0"/>
    <n v="0"/>
    <n v="428.46"/>
    <x v="67"/>
    <n v="856.92"/>
    <x v="4"/>
  </r>
  <r>
    <x v="14"/>
    <s v="Matteo Giolo"/>
    <x v="1"/>
    <x v="386"/>
    <x v="386"/>
    <n v="0.124"/>
    <s v="M3"/>
    <n v="0"/>
    <n v="0"/>
    <n v="4.5430000000000224"/>
    <n v="1.4260000000000006"/>
    <n v="0"/>
    <n v="27807.000000000011"/>
    <n v="19500"/>
    <x v="91"/>
    <n v="2418"/>
    <x v="8"/>
  </r>
  <r>
    <x v="11"/>
    <s v="Jan Urbanek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8"/>
    <s v="Jan Urbanek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1"/>
    <s v="Jan Urbanek"/>
    <x v="1"/>
    <x v="472"/>
    <x v="472"/>
    <n v="1"/>
    <s v="ADET"/>
    <n v="0"/>
    <n v="5"/>
    <n v="7"/>
    <n v="0"/>
    <n v="8"/>
    <n v="0"/>
    <n v="401.17"/>
    <x v="104"/>
    <n v="401.17"/>
    <x v="7"/>
  </r>
  <r>
    <x v="2"/>
    <s v="Jan Urbanek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8"/>
    <s v="Jan Urbanek"/>
    <x v="1"/>
    <x v="470"/>
    <x v="470"/>
    <n v="2"/>
    <s v="ADET"/>
    <n v="0"/>
    <n v="17"/>
    <n v="16"/>
    <n v="-23"/>
    <n v="30"/>
    <n v="0"/>
    <n v="67.22"/>
    <x v="88"/>
    <n v="134.44"/>
    <x v="4"/>
  </r>
  <r>
    <x v="2"/>
    <s v="Jan Urbanek"/>
    <x v="1"/>
    <x v="472"/>
    <x v="472"/>
    <n v="1"/>
    <s v="ADET"/>
    <n v="0"/>
    <n v="5"/>
    <n v="7"/>
    <n v="0"/>
    <n v="8"/>
    <n v="0"/>
    <n v="401.17"/>
    <x v="104"/>
    <n v="401.17"/>
    <x v="7"/>
  </r>
  <r>
    <x v="3"/>
    <s v="Jan Urbanek"/>
    <x v="1"/>
    <x v="472"/>
    <x v="472"/>
    <n v="1"/>
    <s v="ADET"/>
    <n v="0"/>
    <n v="5"/>
    <n v="7"/>
    <n v="0"/>
    <n v="8"/>
    <n v="0"/>
    <n v="401.17"/>
    <x v="104"/>
    <n v="401.17"/>
    <x v="7"/>
  </r>
  <r>
    <x v="0"/>
    <s v="Matteo Giolo"/>
    <x v="1"/>
    <x v="412"/>
    <x v="412"/>
    <n v="2"/>
    <s v="ADET"/>
    <n v="0"/>
    <n v="35"/>
    <n v="61"/>
    <n v="-12"/>
    <n v="0"/>
    <n v="0"/>
    <n v="19.07"/>
    <x v="23"/>
    <n v="38.14"/>
    <x v="7"/>
  </r>
  <r>
    <x v="0"/>
    <s v="Matteo Giolo"/>
    <x v="1"/>
    <x v="421"/>
    <x v="421"/>
    <n v="1"/>
    <s v="ADET"/>
    <n v="0"/>
    <n v="37"/>
    <n v="2"/>
    <n v="-17"/>
    <n v="0"/>
    <n v="0"/>
    <n v="82.6"/>
    <x v="12"/>
    <n v="82.6"/>
    <x v="4"/>
  </r>
  <r>
    <x v="1"/>
    <s v="Laurent MONTAGNER"/>
    <x v="1"/>
    <x v="421"/>
    <x v="421"/>
    <n v="1"/>
    <s v="ADET"/>
    <n v="0"/>
    <n v="37"/>
    <n v="2"/>
    <n v="-17"/>
    <n v="0"/>
    <n v="0"/>
    <n v="82.6"/>
    <x v="12"/>
    <n v="82.6"/>
    <x v="4"/>
  </r>
  <r>
    <x v="5"/>
    <s v="Matteo Giolo"/>
    <x v="1"/>
    <x v="423"/>
    <x v="423"/>
    <n v="8"/>
    <s v="ADET"/>
    <n v="0"/>
    <n v="524"/>
    <n v="352"/>
    <n v="-374"/>
    <n v="0"/>
    <n v="0"/>
    <n v="8.1"/>
    <x v="60"/>
    <n v="64.8"/>
    <x v="7"/>
  </r>
  <r>
    <x v="1"/>
    <s v="Laurent MONTAGNER"/>
    <x v="1"/>
    <x v="423"/>
    <x v="423"/>
    <n v="8"/>
    <s v="ADET"/>
    <n v="0"/>
    <n v="524"/>
    <n v="352"/>
    <n v="-374"/>
    <n v="0"/>
    <n v="0"/>
    <n v="8.1"/>
    <x v="60"/>
    <n v="64.8"/>
    <x v="7"/>
  </r>
  <r>
    <x v="3"/>
    <s v="Jan Urbanek"/>
    <x v="1"/>
    <x v="411"/>
    <x v="411"/>
    <n v="1"/>
    <s v="ADET"/>
    <n v="0"/>
    <n v="18"/>
    <n v="10"/>
    <n v="-5"/>
    <n v="0"/>
    <n v="0"/>
    <n v="115.6"/>
    <x v="23"/>
    <n v="115.6"/>
    <x v="7"/>
  </r>
  <r>
    <x v="4"/>
    <s v="Jan Urbanek"/>
    <x v="1"/>
    <x v="411"/>
    <x v="411"/>
    <n v="1"/>
    <s v="ADET"/>
    <n v="0"/>
    <n v="18"/>
    <n v="10"/>
    <n v="-5"/>
    <n v="0"/>
    <n v="0"/>
    <n v="115.6"/>
    <x v="23"/>
    <n v="115.6"/>
    <x v="7"/>
  </r>
  <r>
    <x v="2"/>
    <s v="Jan Urbanek"/>
    <x v="1"/>
    <x v="412"/>
    <x v="412"/>
    <n v="2"/>
    <s v="ADET"/>
    <n v="0"/>
    <n v="35"/>
    <n v="61"/>
    <n v="-12"/>
    <n v="0"/>
    <n v="0"/>
    <n v="19.07"/>
    <x v="23"/>
    <n v="38.14"/>
    <x v="7"/>
  </r>
  <r>
    <x v="3"/>
    <s v="Jan Urbanek"/>
    <x v="1"/>
    <x v="412"/>
    <x v="412"/>
    <n v="2"/>
    <s v="ADET"/>
    <n v="0"/>
    <n v="35"/>
    <n v="61"/>
    <n v="-12"/>
    <n v="0"/>
    <n v="0"/>
    <n v="19.07"/>
    <x v="23"/>
    <n v="38.14"/>
    <x v="7"/>
  </r>
  <r>
    <x v="4"/>
    <s v="Jan Urbanek"/>
    <x v="1"/>
    <x v="421"/>
    <x v="421"/>
    <n v="1"/>
    <s v="ADET"/>
    <n v="0"/>
    <n v="37"/>
    <n v="2"/>
    <n v="-17"/>
    <n v="0"/>
    <n v="0"/>
    <n v="82.6"/>
    <x v="12"/>
    <n v="82.6"/>
    <x v="4"/>
  </r>
  <r>
    <x v="3"/>
    <s v="Jan Urbanek"/>
    <x v="1"/>
    <x v="421"/>
    <x v="421"/>
    <n v="1"/>
    <s v="ADET"/>
    <n v="0"/>
    <n v="37"/>
    <n v="2"/>
    <n v="-17"/>
    <n v="0"/>
    <n v="0"/>
    <n v="82.6"/>
    <x v="12"/>
    <n v="82.6"/>
    <x v="4"/>
  </r>
  <r>
    <x v="2"/>
    <s v="Jan Urbanek"/>
    <x v="1"/>
    <x v="426"/>
    <x v="426"/>
    <n v="2.4700000000000002"/>
    <s v="KG"/>
    <n v="0"/>
    <n v="0"/>
    <n v="154.9500000000001"/>
    <n v="21.899999999999991"/>
    <n v="60"/>
    <n v="4265.0249999999987"/>
    <n v="194.75"/>
    <x v="8"/>
    <n v="481.03250000000003"/>
    <x v="3"/>
  </r>
  <r>
    <x v="14"/>
    <s v="Matteo Giolo"/>
    <x v="1"/>
    <x v="464"/>
    <x v="464"/>
    <n v="1"/>
    <s v="ADET"/>
    <n v="0"/>
    <n v="14"/>
    <n v="3"/>
    <n v="-8"/>
    <n v="0"/>
    <n v="0"/>
    <n v="1678.88"/>
    <x v="67"/>
    <n v="1678.88"/>
    <x v="4"/>
  </r>
  <r>
    <x v="13"/>
    <s v="Volkan Batkan"/>
    <x v="1"/>
    <x v="466"/>
    <x v="466"/>
    <n v="1"/>
    <s v="ADET"/>
    <n v="1"/>
    <n v="10"/>
    <n v="7"/>
    <n v="-12"/>
    <n v="15"/>
    <n v="0"/>
    <n v="776.15"/>
    <x v="103"/>
    <n v="776.15"/>
    <x v="7"/>
  </r>
  <r>
    <x v="11"/>
    <s v="Jan Urbanek"/>
    <x v="1"/>
    <x v="465"/>
    <x v="465"/>
    <n v="2"/>
    <s v="ADET"/>
    <n v="0"/>
    <n v="500"/>
    <n v="500"/>
    <n v="-486"/>
    <n v="0"/>
    <n v="0"/>
    <n v="0.65"/>
    <x v="23"/>
    <n v="1.3"/>
    <x v="7"/>
  </r>
  <r>
    <x v="11"/>
    <s v="Jan Urbanek"/>
    <x v="1"/>
    <x v="479"/>
    <x v="479"/>
    <n v="2"/>
    <s v="ADET"/>
    <n v="0"/>
    <n v="500"/>
    <n v="500"/>
    <n v="-486"/>
    <n v="0"/>
    <n v="0"/>
    <n v="0.39"/>
    <x v="23"/>
    <n v="0.78"/>
    <x v="7"/>
  </r>
  <r>
    <x v="14"/>
    <s v="Matteo Giolo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8"/>
    <s v="Jan Urbanek"/>
    <x v="1"/>
    <x v="466"/>
    <x v="466"/>
    <n v="1"/>
    <s v="ADET"/>
    <n v="0"/>
    <n v="10"/>
    <n v="7"/>
    <n v="-12"/>
    <n v="15"/>
    <n v="0"/>
    <n v="776.15"/>
    <x v="103"/>
    <n v="776.15"/>
    <x v="7"/>
  </r>
  <r>
    <x v="2"/>
    <s v="Jan Urbanek"/>
    <x v="1"/>
    <x v="465"/>
    <x v="465"/>
    <n v="2"/>
    <s v="ADET"/>
    <n v="0"/>
    <n v="500"/>
    <n v="500"/>
    <n v="-486"/>
    <n v="0"/>
    <n v="0"/>
    <n v="0.65"/>
    <x v="23"/>
    <n v="1.3"/>
    <x v="7"/>
  </r>
  <r>
    <x v="9"/>
    <s v="Stefan Zaugg"/>
    <x v="1"/>
    <x v="463"/>
    <x v="463"/>
    <n v="1"/>
    <s v="ADET"/>
    <n v="0"/>
    <n v="2"/>
    <n v="-7.1054273576010019E-15"/>
    <n v="1"/>
    <n v="0"/>
    <n v="155"/>
    <n v="155"/>
    <x v="102"/>
    <n v="155"/>
    <x v="1"/>
  </r>
  <r>
    <x v="9"/>
    <s v="Stefan Zaugg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2"/>
    <s v="Stefan Zaugg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3"/>
    <s v="Volkan Batkan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2"/>
    <s v="Stefan Zaugg"/>
    <x v="1"/>
    <x v="404"/>
    <x v="404"/>
    <n v="2"/>
    <s v="ADET"/>
    <n v="2"/>
    <n v="3"/>
    <n v="12"/>
    <n v="25"/>
    <n v="0"/>
    <n v="11103.25"/>
    <n v="444.13"/>
    <x v="65"/>
    <n v="888.26"/>
    <x v="2"/>
  </r>
  <r>
    <x v="14"/>
    <s v="Matteo Giolo"/>
    <x v="1"/>
    <x v="404"/>
    <x v="404"/>
    <n v="2"/>
    <s v="ADET"/>
    <n v="0"/>
    <n v="3"/>
    <n v="12"/>
    <n v="25"/>
    <n v="0"/>
    <n v="11103.25"/>
    <n v="444.13"/>
    <x v="65"/>
    <n v="888.26"/>
    <x v="2"/>
  </r>
  <r>
    <x v="13"/>
    <s v="Volkan Batkan"/>
    <x v="1"/>
    <x v="404"/>
    <x v="404"/>
    <n v="2"/>
    <s v="ADET"/>
    <n v="0"/>
    <n v="3"/>
    <n v="12"/>
    <n v="25"/>
    <n v="0"/>
    <n v="11103.25"/>
    <n v="444.13"/>
    <x v="65"/>
    <n v="888.26"/>
    <x v="2"/>
  </r>
  <r>
    <x v="11"/>
    <s v="Jan Urbanek"/>
    <x v="1"/>
    <x v="405"/>
    <x v="405"/>
    <n v="1"/>
    <s v="ADET"/>
    <n v="0"/>
    <n v="5"/>
    <n v="4"/>
    <n v="2"/>
    <n v="0"/>
    <n v="3446.24"/>
    <n v="1723.12"/>
    <x v="67"/>
    <n v="1723.12"/>
    <x v="4"/>
  </r>
  <r>
    <x v="13"/>
    <s v="Volkan Batkan"/>
    <x v="1"/>
    <x v="482"/>
    <x v="482"/>
    <n v="2"/>
    <s v="ADET"/>
    <n v="2"/>
    <n v="4"/>
    <n v="12"/>
    <n v="-4"/>
    <n v="0"/>
    <n v="0"/>
    <n v="1028.21"/>
    <x v="67"/>
    <n v="2056.42"/>
    <x v="4"/>
  </r>
  <r>
    <x v="12"/>
    <s v="Stefan Zaugg"/>
    <x v="1"/>
    <x v="482"/>
    <x v="482"/>
    <n v="2"/>
    <s v="ADET"/>
    <n v="2"/>
    <n v="4"/>
    <n v="12"/>
    <n v="-4"/>
    <n v="0"/>
    <n v="0"/>
    <n v="1028.21"/>
    <x v="67"/>
    <n v="2056.42"/>
    <x v="4"/>
  </r>
  <r>
    <x v="14"/>
    <s v="Matteo Giolo"/>
    <x v="1"/>
    <x v="466"/>
    <x v="466"/>
    <n v="1"/>
    <s v="ADET"/>
    <n v="0"/>
    <n v="10"/>
    <n v="7"/>
    <n v="-12"/>
    <n v="15"/>
    <n v="0"/>
    <n v="776.15"/>
    <x v="103"/>
    <n v="776.15"/>
    <x v="7"/>
  </r>
  <r>
    <x v="11"/>
    <s v="Jan Urbanek"/>
    <x v="1"/>
    <x v="466"/>
    <x v="466"/>
    <n v="1"/>
    <s v="ADET"/>
    <n v="0"/>
    <n v="10"/>
    <n v="7"/>
    <n v="-12"/>
    <n v="15"/>
    <n v="0"/>
    <n v="776.15"/>
    <x v="103"/>
    <n v="776.15"/>
    <x v="7"/>
  </r>
  <r>
    <x v="13"/>
    <s v="Volkan Batkan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1"/>
    <s v="Jan Urbanek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3"/>
    <s v="Jan Urbanek"/>
    <x v="1"/>
    <x v="466"/>
    <x v="466"/>
    <n v="1"/>
    <s v="ADET"/>
    <n v="0"/>
    <n v="10"/>
    <n v="7"/>
    <n v="-12"/>
    <n v="15"/>
    <n v="0"/>
    <n v="776.15"/>
    <x v="103"/>
    <n v="776.15"/>
    <x v="7"/>
  </r>
  <r>
    <x v="4"/>
    <s v="Jan Urbanek"/>
    <x v="1"/>
    <x v="466"/>
    <x v="466"/>
    <n v="1"/>
    <s v="ADET"/>
    <n v="0"/>
    <n v="10"/>
    <n v="7"/>
    <n v="-12"/>
    <n v="15"/>
    <n v="0"/>
    <n v="776.15"/>
    <x v="103"/>
    <n v="776.15"/>
    <x v="7"/>
  </r>
  <r>
    <x v="4"/>
    <s v="Jan Urbanek"/>
    <x v="1"/>
    <x v="479"/>
    <x v="479"/>
    <n v="2"/>
    <s v="ADET"/>
    <n v="0"/>
    <n v="500"/>
    <n v="500"/>
    <n v="-486"/>
    <n v="0"/>
    <n v="0"/>
    <n v="0.39"/>
    <x v="23"/>
    <n v="0.78"/>
    <x v="7"/>
  </r>
  <r>
    <x v="3"/>
    <s v="Jan Urbanek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8"/>
    <s v="Stina Alm"/>
    <x v="1"/>
    <x v="404"/>
    <x v="404"/>
    <n v="2"/>
    <s v="ADET"/>
    <n v="0"/>
    <n v="3"/>
    <n v="12"/>
    <n v="25"/>
    <n v="0"/>
    <n v="11103.25"/>
    <n v="444.13"/>
    <x v="65"/>
    <n v="888.26"/>
    <x v="2"/>
  </r>
  <r>
    <x v="17"/>
    <s v="Soner Kayıkçı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17"/>
    <s v="Soner Kayıkçı"/>
    <x v="1"/>
    <x v="404"/>
    <x v="404"/>
    <n v="2"/>
    <s v="ADET"/>
    <n v="0"/>
    <n v="3"/>
    <n v="12"/>
    <n v="25"/>
    <n v="0"/>
    <n v="11103.25"/>
    <n v="444.13"/>
    <x v="65"/>
    <n v="888.26"/>
    <x v="2"/>
  </r>
  <r>
    <x v="16"/>
    <s v="Laurent MONTAGNER"/>
    <x v="1"/>
    <x v="404"/>
    <x v="404"/>
    <n v="2"/>
    <s v="ADET"/>
    <n v="0"/>
    <n v="3"/>
    <n v="12"/>
    <n v="25"/>
    <n v="0"/>
    <n v="11103.25"/>
    <n v="444.13"/>
    <x v="65"/>
    <n v="888.26"/>
    <x v="2"/>
  </r>
  <r>
    <x v="17"/>
    <s v="Soner Kayıkçı"/>
    <x v="1"/>
    <x v="465"/>
    <x v="465"/>
    <n v="2"/>
    <s v="ADET"/>
    <n v="0"/>
    <n v="500"/>
    <n v="500"/>
    <n v="-486"/>
    <n v="0"/>
    <n v="0"/>
    <n v="0.65"/>
    <x v="23"/>
    <n v="1.3"/>
    <x v="7"/>
  </r>
  <r>
    <x v="17"/>
    <s v="Soner Kayıkçı"/>
    <x v="1"/>
    <x v="319"/>
    <x v="319"/>
    <n v="1"/>
    <s v="ADET"/>
    <n v="0"/>
    <n v="9"/>
    <n v="8"/>
    <n v="4"/>
    <n v="0"/>
    <n v="1950.24"/>
    <n v="487.56"/>
    <x v="53"/>
    <n v="487.56"/>
    <x v="2"/>
  </r>
  <r>
    <x v="16"/>
    <s v="Laurent MONTAGNER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9"/>
    <s v="Laurent MONTAGNER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2"/>
    <s v="Stefan Zaugg"/>
    <x v="1"/>
    <x v="416"/>
    <x v="416"/>
    <n v="1"/>
    <s v="ADET"/>
    <n v="0"/>
    <n v="19"/>
    <n v="17"/>
    <n v="0"/>
    <n v="0"/>
    <n v="0"/>
    <n v="113.64"/>
    <x v="96"/>
    <n v="113.64"/>
    <x v="12"/>
  </r>
  <r>
    <x v="13"/>
    <s v="Volkan Batkan"/>
    <x v="1"/>
    <x v="416"/>
    <x v="416"/>
    <n v="1"/>
    <s v="ADET"/>
    <n v="0"/>
    <n v="19"/>
    <n v="17"/>
    <n v="0"/>
    <n v="0"/>
    <n v="0"/>
    <n v="113.64"/>
    <x v="96"/>
    <n v="113.64"/>
    <x v="12"/>
  </r>
  <r>
    <x v="13"/>
    <s v="Volkan Batkan"/>
    <x v="1"/>
    <x v="483"/>
    <x v="483"/>
    <n v="1"/>
    <s v="ADET"/>
    <n v="0"/>
    <n v="6"/>
    <n v="0"/>
    <n v="-5"/>
    <n v="0"/>
    <n v="0"/>
    <n v="749.17"/>
    <x v="86"/>
    <n v="749.17"/>
    <x v="13"/>
  </r>
  <r>
    <x v="9"/>
    <s v="Stefan Zaugg"/>
    <x v="1"/>
    <x v="419"/>
    <x v="419"/>
    <n v="3"/>
    <s v="ADET"/>
    <n v="3"/>
    <n v="42"/>
    <n v="20"/>
    <n v="1"/>
    <n v="0"/>
    <n v="348.7"/>
    <n v="348.7"/>
    <x v="67"/>
    <n v="1046.0999999999999"/>
    <x v="2"/>
  </r>
  <r>
    <x v="5"/>
    <s v="Matteo Giolo"/>
    <x v="1"/>
    <x v="247"/>
    <x v="247"/>
    <n v="6.5"/>
    <s v="METRE"/>
    <n v="0"/>
    <n v="60"/>
    <n v="52"/>
    <n v="14.5"/>
    <n v="80"/>
    <n v="710.5"/>
    <n v="49"/>
    <x v="35"/>
    <n v="318.5"/>
    <x v="6"/>
  </r>
  <r>
    <x v="5"/>
    <s v="Matteo Giolo"/>
    <x v="1"/>
    <x v="407"/>
    <x v="407"/>
    <n v="1.35"/>
    <s v="ADET"/>
    <n v="0"/>
    <n v="49"/>
    <n v="1.6000000000000014"/>
    <n v="-37.599999999999994"/>
    <n v="0"/>
    <n v="0"/>
    <n v="60"/>
    <x v="8"/>
    <n v="81"/>
    <x v="1"/>
  </r>
  <r>
    <x v="6"/>
    <s v="Stefan Zaugg"/>
    <x v="1"/>
    <x v="415"/>
    <x v="415"/>
    <n v="1"/>
    <s v="ADET"/>
    <n v="0"/>
    <n v="27"/>
    <n v="4"/>
    <n v="-20"/>
    <n v="0"/>
    <n v="0"/>
    <n v="287.01"/>
    <x v="67"/>
    <n v="287.01"/>
    <x v="4"/>
  </r>
  <r>
    <x v="5"/>
    <s v="Matteo Giolo"/>
    <x v="1"/>
    <x v="420"/>
    <x v="420"/>
    <n v="4"/>
    <s v="ADET"/>
    <n v="0"/>
    <n v="115"/>
    <n v="28"/>
    <n v="-71"/>
    <n v="0"/>
    <n v="0"/>
    <n v="250"/>
    <x v="1"/>
    <n v="1000"/>
    <x v="1"/>
  </r>
  <r>
    <x v="6"/>
    <s v="Stefan Zaugg"/>
    <x v="1"/>
    <x v="416"/>
    <x v="416"/>
    <n v="1"/>
    <s v="ADET"/>
    <n v="0"/>
    <n v="19"/>
    <n v="17"/>
    <n v="0"/>
    <n v="0"/>
    <n v="0"/>
    <n v="113.64"/>
    <x v="96"/>
    <n v="113.64"/>
    <x v="12"/>
  </r>
  <r>
    <x v="6"/>
    <s v="Stefan Zaugg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5"/>
    <s v="Matteo Giolo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7"/>
    <s v="Stina Alm"/>
    <x v="1"/>
    <x v="419"/>
    <x v="419"/>
    <n v="4"/>
    <s v="ADET"/>
    <n v="0"/>
    <n v="42"/>
    <n v="20"/>
    <n v="1"/>
    <n v="0"/>
    <n v="348.7"/>
    <n v="348.7"/>
    <x v="67"/>
    <n v="1394.8"/>
    <x v="2"/>
  </r>
  <r>
    <x v="2"/>
    <s v="Jan Urbanek"/>
    <x v="1"/>
    <x v="247"/>
    <x v="247"/>
    <n v="9"/>
    <s v="METRE"/>
    <n v="0"/>
    <n v="60"/>
    <n v="52"/>
    <n v="14.5"/>
    <n v="80"/>
    <n v="710.5"/>
    <n v="49"/>
    <x v="35"/>
    <n v="441"/>
    <x v="6"/>
  </r>
  <r>
    <x v="2"/>
    <s v="Jan Urbanek"/>
    <x v="1"/>
    <x v="407"/>
    <x v="407"/>
    <n v="1"/>
    <s v="ADET"/>
    <n v="0"/>
    <n v="49"/>
    <n v="1.6000000000000014"/>
    <n v="-37.599999999999994"/>
    <n v="0"/>
    <n v="0"/>
    <n v="60"/>
    <x v="8"/>
    <n v="60"/>
    <x v="1"/>
  </r>
  <r>
    <x v="8"/>
    <s v="Jan Urbanek"/>
    <x v="1"/>
    <x v="414"/>
    <x v="414"/>
    <n v="1"/>
    <s v="ADET"/>
    <n v="1"/>
    <n v="27"/>
    <n v="4"/>
    <n v="-20"/>
    <n v="0"/>
    <n v="0"/>
    <n v="287.01"/>
    <x v="67"/>
    <n v="287.01"/>
    <x v="4"/>
  </r>
  <r>
    <x v="8"/>
    <s v="Jan Urbanek"/>
    <x v="1"/>
    <x v="416"/>
    <x v="416"/>
    <n v="1"/>
    <s v="ADET"/>
    <n v="0"/>
    <n v="19"/>
    <n v="17"/>
    <n v="0"/>
    <n v="0"/>
    <n v="0"/>
    <n v="113.64"/>
    <x v="96"/>
    <n v="113.64"/>
    <x v="12"/>
  </r>
  <r>
    <x v="4"/>
    <s v="Jan Urbanek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3"/>
    <s v="Jan Urbanek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6"/>
    <s v="Laurent MONTAGNER"/>
    <x v="1"/>
    <x v="247"/>
    <x v="247"/>
    <n v="5"/>
    <s v="METRE"/>
    <n v="0"/>
    <n v="60"/>
    <n v="52"/>
    <n v="14.5"/>
    <n v="80"/>
    <n v="710.5"/>
    <n v="49"/>
    <x v="35"/>
    <n v="245"/>
    <x v="6"/>
  </r>
  <r>
    <x v="17"/>
    <s v="Soner Kayıkçı"/>
    <x v="1"/>
    <x v="247"/>
    <x v="247"/>
    <n v="12"/>
    <s v="METRE"/>
    <n v="0"/>
    <n v="60"/>
    <n v="52"/>
    <n v="14.5"/>
    <n v="80"/>
    <n v="710.5"/>
    <n v="49"/>
    <x v="35"/>
    <n v="588"/>
    <x v="6"/>
  </r>
  <r>
    <x v="19"/>
    <s v="Laurent MONTAGNER"/>
    <x v="1"/>
    <x v="247"/>
    <x v="247"/>
    <n v="5"/>
    <s v="METRE"/>
    <n v="0"/>
    <n v="60"/>
    <n v="52"/>
    <n v="14.5"/>
    <n v="80"/>
    <n v="710.5"/>
    <n v="49"/>
    <x v="35"/>
    <n v="245"/>
    <x v="6"/>
  </r>
  <r>
    <x v="17"/>
    <s v="Soner Kayıkçı"/>
    <x v="1"/>
    <x v="407"/>
    <x v="407"/>
    <n v="1"/>
    <s v="ADET"/>
    <n v="0"/>
    <n v="49"/>
    <n v="1.6000000000000014"/>
    <n v="-37.599999999999994"/>
    <n v="0"/>
    <n v="0"/>
    <n v="60"/>
    <x v="8"/>
    <n v="60"/>
    <x v="1"/>
  </r>
  <r>
    <x v="2"/>
    <s v="Jan Urbanek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"/>
    <s v="Laurent MONTAGNER"/>
    <x v="1"/>
    <x v="462"/>
    <x v="462"/>
    <n v="2"/>
    <s v="ADET"/>
    <n v="2"/>
    <n v="6"/>
    <n v="8"/>
    <n v="26"/>
    <n v="0"/>
    <n v="41686.58"/>
    <n v="1603.33"/>
    <x v="84"/>
    <n v="3206.66"/>
    <x v="7"/>
  </r>
  <r>
    <x v="0"/>
    <s v="Matteo Giolo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2"/>
    <s v="Jan Urbanek"/>
    <x v="1"/>
    <x v="423"/>
    <x v="423"/>
    <n v="8"/>
    <s v="ADET"/>
    <n v="0"/>
    <n v="524"/>
    <n v="352"/>
    <n v="-374"/>
    <n v="0"/>
    <n v="0"/>
    <n v="8.1"/>
    <x v="60"/>
    <n v="64.8"/>
    <x v="7"/>
  </r>
  <r>
    <x v="2"/>
    <s v="Jan Urbanek"/>
    <x v="1"/>
    <x v="427"/>
    <x v="427"/>
    <n v="1"/>
    <s v="ADET"/>
    <n v="0"/>
    <n v="6"/>
    <n v="9"/>
    <n v="0"/>
    <n v="7"/>
    <n v="0"/>
    <n v="1535.25"/>
    <x v="24"/>
    <n v="1535.25"/>
    <x v="7"/>
  </r>
  <r>
    <x v="8"/>
    <s v="Jan Urbanek"/>
    <x v="1"/>
    <x v="462"/>
    <x v="462"/>
    <n v="4"/>
    <s v="ADET"/>
    <n v="0"/>
    <n v="6"/>
    <n v="8"/>
    <n v="26"/>
    <n v="0"/>
    <n v="41686.58"/>
    <n v="1603.33"/>
    <x v="84"/>
    <n v="6413.32"/>
    <x v="7"/>
  </r>
  <r>
    <x v="17"/>
    <s v="Soner Kayıkçı"/>
    <x v="1"/>
    <x v="413"/>
    <x v="413"/>
    <n v="4"/>
    <s v="ADET"/>
    <n v="0"/>
    <n v="0"/>
    <n v="4"/>
    <n v="16"/>
    <n v="0"/>
    <n v="1440"/>
    <n v="90"/>
    <x v="95"/>
    <n v="360"/>
    <x v="11"/>
  </r>
  <r>
    <x v="18"/>
    <s v="Stina Alm"/>
    <x v="1"/>
    <x v="411"/>
    <x v="411"/>
    <n v="1"/>
    <s v="ADET"/>
    <n v="0"/>
    <n v="18"/>
    <n v="10"/>
    <n v="-5"/>
    <n v="0"/>
    <n v="0"/>
    <n v="115.6"/>
    <x v="23"/>
    <n v="115.6"/>
    <x v="7"/>
  </r>
  <r>
    <x v="18"/>
    <s v="Stina Alm"/>
    <x v="1"/>
    <x v="412"/>
    <x v="412"/>
    <n v="1"/>
    <s v="ADET"/>
    <n v="0"/>
    <n v="35"/>
    <n v="61"/>
    <n v="-12"/>
    <n v="0"/>
    <n v="0"/>
    <n v="19.07"/>
    <x v="23"/>
    <n v="19.07"/>
    <x v="7"/>
  </r>
  <r>
    <x v="17"/>
    <s v="Soner Kayıkçı"/>
    <x v="1"/>
    <x v="412"/>
    <x v="412"/>
    <n v="2"/>
    <s v="ADET"/>
    <n v="0"/>
    <n v="35"/>
    <n v="61"/>
    <n v="-12"/>
    <n v="0"/>
    <n v="0"/>
    <n v="19.07"/>
    <x v="23"/>
    <n v="38.14"/>
    <x v="7"/>
  </r>
  <r>
    <x v="18"/>
    <s v="Stina Alm"/>
    <x v="1"/>
    <x v="424"/>
    <x v="424"/>
    <n v="9.5"/>
    <s v="ADET"/>
    <n v="0"/>
    <n v="180"/>
    <n v="80"/>
    <n v="32"/>
    <n v="0"/>
    <n v="7680"/>
    <n v="240"/>
    <x v="2"/>
    <n v="2280"/>
    <x v="1"/>
  </r>
  <r>
    <x v="17"/>
    <s v="Soner Kayıkçı"/>
    <x v="1"/>
    <x v="426"/>
    <x v="426"/>
    <n v="2.4700000000000002"/>
    <s v="KG"/>
    <n v="0"/>
    <n v="0"/>
    <n v="154.9500000000001"/>
    <n v="21.899999999999991"/>
    <n v="60"/>
    <n v="4265.0249999999987"/>
    <n v="194.75"/>
    <x v="8"/>
    <n v="481.03250000000003"/>
    <x v="3"/>
  </r>
  <r>
    <x v="18"/>
    <s v="Stina Alm"/>
    <x v="1"/>
    <x v="426"/>
    <x v="426"/>
    <n v="16.66"/>
    <s v="KG"/>
    <n v="0"/>
    <n v="0"/>
    <n v="154.9500000000001"/>
    <n v="21.899999999999991"/>
    <n v="60"/>
    <n v="4265.0249999999987"/>
    <n v="194.75"/>
    <x v="8"/>
    <n v="3244.5349999999999"/>
    <x v="3"/>
  </r>
  <r>
    <x v="16"/>
    <s v="Laurent MONTAGNER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17"/>
    <s v="Soner Kayıkçı"/>
    <x v="1"/>
    <x v="422"/>
    <x v="422"/>
    <n v="10"/>
    <s v="ADET"/>
    <n v="0"/>
    <n v="0"/>
    <n v="24.049999999999969"/>
    <n v="147.72000000000003"/>
    <n v="34"/>
    <n v="249893.49240000005"/>
    <n v="1691.67"/>
    <x v="61"/>
    <n v="16916.7"/>
    <x v="8"/>
  </r>
  <r>
    <x v="3"/>
    <s v="Jan Urbanek"/>
    <x v="1"/>
    <x v="427"/>
    <x v="427"/>
    <n v="1"/>
    <s v="ADET"/>
    <n v="0"/>
    <n v="6"/>
    <n v="9"/>
    <n v="0"/>
    <n v="7"/>
    <n v="0"/>
    <n v="1535.25"/>
    <x v="24"/>
    <n v="1535.25"/>
    <x v="7"/>
  </r>
  <r>
    <x v="4"/>
    <s v="Jan Urbanek"/>
    <x v="1"/>
    <x v="427"/>
    <x v="427"/>
    <n v="1"/>
    <s v="ADET"/>
    <n v="0"/>
    <n v="6"/>
    <n v="9"/>
    <n v="0"/>
    <n v="7"/>
    <n v="0"/>
    <n v="1535.25"/>
    <x v="24"/>
    <n v="1535.25"/>
    <x v="7"/>
  </r>
  <r>
    <x v="8"/>
    <s v="Jan Urbanek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1"/>
    <s v="Jan Urbanek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13"/>
    <s v="Volkan Batkan"/>
    <x v="1"/>
    <x v="347"/>
    <x v="347"/>
    <n v="50"/>
    <s v="METRE"/>
    <n v="50"/>
    <n v="0"/>
    <n v="57"/>
    <n v="350"/>
    <n v="0"/>
    <n v="3132.4999999999995"/>
    <n v="8.9499999999999993"/>
    <x v="61"/>
    <n v="447.49999999999994"/>
    <x v="8"/>
  </r>
  <r>
    <x v="11"/>
    <s v="Jan Urbanek"/>
    <x v="1"/>
    <x v="348"/>
    <x v="348"/>
    <n v="2"/>
    <s v="ADET"/>
    <n v="0"/>
    <n v="250"/>
    <n v="250"/>
    <n v="-236"/>
    <n v="0"/>
    <n v="0"/>
    <n v="1.08"/>
    <x v="23"/>
    <n v="2.16"/>
    <x v="7"/>
  </r>
  <r>
    <x v="6"/>
    <s v="Stefan Zaugg"/>
    <x v="1"/>
    <x v="325"/>
    <x v="325"/>
    <n v="1"/>
    <s v="ADET"/>
    <n v="0"/>
    <n v="0"/>
    <n v="5"/>
    <n v="2"/>
    <n v="2"/>
    <n v="7992"/>
    <n v="3996"/>
    <x v="43"/>
    <n v="3996"/>
    <x v="7"/>
  </r>
  <r>
    <x v="5"/>
    <s v="Matteo Giolo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8"/>
    <s v="Jan Urbanek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8"/>
    <s v="Jan Urbanek"/>
    <x v="1"/>
    <x v="348"/>
    <x v="348"/>
    <n v="2"/>
    <s v="ADET"/>
    <n v="0"/>
    <n v="250"/>
    <n v="250"/>
    <n v="-236"/>
    <n v="0"/>
    <n v="0"/>
    <n v="1.08"/>
    <x v="23"/>
    <n v="2.16"/>
    <x v="7"/>
  </r>
  <r>
    <x v="8"/>
    <s v="Jan Urbanek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2"/>
    <s v="Jan Urbanek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2"/>
    <s v="Jan Urbanek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9"/>
    <s v="Laurent MONTAGNER"/>
    <x v="1"/>
    <x v="409"/>
    <x v="409"/>
    <n v="2"/>
    <s v="ADET"/>
    <n v="0"/>
    <n v="30"/>
    <n v="0"/>
    <n v="-10"/>
    <n v="0"/>
    <n v="0"/>
    <n v="60"/>
    <x v="14"/>
    <n v="120"/>
    <x v="1"/>
  </r>
  <r>
    <x v="17"/>
    <s v="Soner Kayıkçı"/>
    <x v="1"/>
    <x v="484"/>
    <x v="484"/>
    <n v="1"/>
    <s v="ADET"/>
    <n v="0"/>
    <n v="4"/>
    <n v="3"/>
    <n v="-3"/>
    <n v="0"/>
    <n v="0"/>
    <n v="200"/>
    <x v="62"/>
    <n v="200"/>
    <x v="4"/>
  </r>
  <r>
    <x v="16"/>
    <s v="Laurent MONTAGNER"/>
    <x v="1"/>
    <x v="420"/>
    <x v="420"/>
    <n v="4"/>
    <s v="ADET"/>
    <n v="0"/>
    <n v="115"/>
    <n v="28"/>
    <n v="-71"/>
    <n v="0"/>
    <n v="0"/>
    <n v="250"/>
    <x v="1"/>
    <n v="1000"/>
    <x v="1"/>
  </r>
  <r>
    <x v="18"/>
    <s v="Stina Alm"/>
    <x v="1"/>
    <x v="409"/>
    <x v="409"/>
    <n v="2"/>
    <s v="ADET"/>
    <n v="0"/>
    <n v="30"/>
    <n v="0"/>
    <n v="-10"/>
    <n v="0"/>
    <n v="0"/>
    <n v="60"/>
    <x v="14"/>
    <n v="120"/>
    <x v="1"/>
  </r>
  <r>
    <x v="8"/>
    <s v="Jan Urbanek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8"/>
    <s v="Stina Alm"/>
    <x v="1"/>
    <x v="247"/>
    <x v="247"/>
    <n v="7.5"/>
    <s v="METRE"/>
    <n v="0"/>
    <n v="60"/>
    <n v="52"/>
    <n v="14.5"/>
    <n v="80"/>
    <n v="710.5"/>
    <n v="49"/>
    <x v="35"/>
    <n v="367.5"/>
    <x v="6"/>
  </r>
  <r>
    <x v="2"/>
    <s v="Jan Urbanek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3"/>
    <s v="Jan Urbanek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11"/>
    <s v="Jan Urbanek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12"/>
    <s v="Stefan Zaugg"/>
    <x v="1"/>
    <x v="485"/>
    <x v="485"/>
    <n v="12"/>
    <s v="ADET"/>
    <n v="0"/>
    <n v="100"/>
    <n v="0"/>
    <n v="-64"/>
    <n v="0"/>
    <n v="0"/>
    <n v="21.45"/>
    <x v="106"/>
    <n v="257.39999999999998"/>
    <x v="1"/>
  </r>
  <r>
    <x v="13"/>
    <s v="Volkan Batkan"/>
    <x v="1"/>
    <x v="485"/>
    <x v="485"/>
    <n v="12"/>
    <s v="ADET"/>
    <n v="0"/>
    <n v="100"/>
    <n v="0"/>
    <n v="-64"/>
    <n v="0"/>
    <n v="0"/>
    <n v="21.45"/>
    <x v="106"/>
    <n v="257.39999999999998"/>
    <x v="1"/>
  </r>
  <r>
    <x v="5"/>
    <s v="Matteo Giolo"/>
    <x v="1"/>
    <x v="328"/>
    <x v="328"/>
    <n v="1"/>
    <s v="ADET"/>
    <n v="0"/>
    <n v="0"/>
    <n v="1"/>
    <n v="1"/>
    <n v="2"/>
    <n v="11481.54"/>
    <n v="11481.54"/>
    <x v="43"/>
    <n v="11481.54"/>
    <x v="7"/>
  </r>
  <r>
    <x v="7"/>
    <s v="Stina Alm"/>
    <x v="1"/>
    <x v="486"/>
    <x v="486"/>
    <n v="13"/>
    <s v="M2"/>
    <n v="0"/>
    <n v="0"/>
    <n v="36.529999999999973"/>
    <n v="13"/>
    <n v="0"/>
    <n v="3908.84"/>
    <n v="300.68"/>
    <x v="61"/>
    <n v="3908.84"/>
    <x v="8"/>
  </r>
  <r>
    <x v="6"/>
    <s v="Stefan Zaugg"/>
    <x v="1"/>
    <x v="327"/>
    <x v="327"/>
    <n v="1"/>
    <s v="ADET"/>
    <n v="0"/>
    <n v="4"/>
    <n v="4"/>
    <n v="0"/>
    <n v="0"/>
    <n v="0"/>
    <n v="3256.79"/>
    <x v="3"/>
    <n v="3256.79"/>
    <x v="2"/>
  </r>
  <r>
    <x v="7"/>
    <s v="Stina Alm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7"/>
    <s v="Stina Alm"/>
    <x v="1"/>
    <x v="305"/>
    <x v="305"/>
    <n v="1"/>
    <s v="ADET"/>
    <n v="0"/>
    <n v="26"/>
    <n v="3"/>
    <n v="-12"/>
    <n v="0"/>
    <n v="0"/>
    <n v="360.05"/>
    <x v="67"/>
    <n v="360.05"/>
    <x v="4"/>
  </r>
  <r>
    <x v="7"/>
    <s v="Stina Alm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7"/>
    <s v="Stina Alm"/>
    <x v="1"/>
    <x v="329"/>
    <x v="329"/>
    <n v="1"/>
    <s v="ADET"/>
    <n v="0"/>
    <n v="3"/>
    <n v="8"/>
    <n v="11"/>
    <n v="0"/>
    <n v="20020"/>
    <n v="1820"/>
    <x v="84"/>
    <n v="1820"/>
    <x v="9"/>
  </r>
  <r>
    <x v="6"/>
    <s v="Stefan Zaugg"/>
    <x v="1"/>
    <x v="329"/>
    <x v="329"/>
    <n v="1"/>
    <s v="ADET"/>
    <n v="1"/>
    <n v="3"/>
    <n v="8"/>
    <n v="11"/>
    <n v="0"/>
    <n v="20020"/>
    <n v="1820"/>
    <x v="84"/>
    <n v="1820"/>
    <x v="9"/>
  </r>
  <r>
    <x v="5"/>
    <s v="Matteo Giolo"/>
    <x v="1"/>
    <x v="329"/>
    <x v="329"/>
    <n v="1"/>
    <s v="ADET"/>
    <n v="0"/>
    <n v="3"/>
    <n v="8"/>
    <n v="11"/>
    <n v="0"/>
    <n v="20020"/>
    <n v="1820"/>
    <x v="84"/>
    <n v="1820"/>
    <x v="9"/>
  </r>
  <r>
    <x v="8"/>
    <s v="Jan Urbanek"/>
    <x v="1"/>
    <x v="331"/>
    <x v="331"/>
    <n v="4"/>
    <s v="ADET"/>
    <n v="0"/>
    <n v="64.5"/>
    <n v="20"/>
    <n v="-14.5"/>
    <n v="0"/>
    <n v="0"/>
    <n v="200"/>
    <x v="16"/>
    <n v="800"/>
    <x v="2"/>
  </r>
  <r>
    <x v="10"/>
    <s v="Murat Taşdemir"/>
    <x v="1"/>
    <x v="340"/>
    <x v="340"/>
    <n v="4"/>
    <s v="ADET"/>
    <n v="0"/>
    <n v="45"/>
    <n v="6"/>
    <n v="-5"/>
    <n v="0"/>
    <n v="0"/>
    <n v="313.76"/>
    <x v="67"/>
    <n v="1255.04"/>
    <x v="2"/>
  </r>
  <r>
    <x v="16"/>
    <s v="Laurent MONTAGNER"/>
    <x v="1"/>
    <x v="300"/>
    <x v="300"/>
    <n v="7"/>
    <s v="KG"/>
    <n v="0"/>
    <n v="65"/>
    <n v="0"/>
    <n v="54"/>
    <n v="0"/>
    <n v="60477.3"/>
    <n v="1119.95"/>
    <x v="81"/>
    <n v="7839.6500000000005"/>
    <x v="3"/>
  </r>
  <r>
    <x v="18"/>
    <s v="Stina Alm"/>
    <x v="1"/>
    <x v="329"/>
    <x v="329"/>
    <n v="1"/>
    <s v="ADET"/>
    <n v="0"/>
    <n v="3"/>
    <n v="8"/>
    <n v="11"/>
    <n v="0"/>
    <n v="20020"/>
    <n v="1820"/>
    <x v="84"/>
    <n v="1820"/>
    <x v="9"/>
  </r>
  <r>
    <x v="6"/>
    <s v="Stefan Zaugg"/>
    <x v="1"/>
    <x v="485"/>
    <x v="485"/>
    <n v="12"/>
    <s v="ADET"/>
    <n v="0"/>
    <n v="100"/>
    <n v="0"/>
    <n v="-64"/>
    <n v="0"/>
    <n v="0"/>
    <n v="21.45"/>
    <x v="106"/>
    <n v="257.39999999999998"/>
    <x v="1"/>
  </r>
  <r>
    <x v="5"/>
    <s v="Matteo Giolo"/>
    <x v="1"/>
    <x v="331"/>
    <x v="331"/>
    <n v="4"/>
    <s v="ADET"/>
    <n v="0"/>
    <n v="64.5"/>
    <n v="20"/>
    <n v="-14.5"/>
    <n v="0"/>
    <n v="0"/>
    <n v="200"/>
    <x v="16"/>
    <n v="800"/>
    <x v="2"/>
  </r>
  <r>
    <x v="8"/>
    <s v="Jan Urbanek"/>
    <x v="1"/>
    <x v="329"/>
    <x v="329"/>
    <n v="1"/>
    <s v="ADET"/>
    <n v="0"/>
    <n v="3"/>
    <n v="8"/>
    <n v="11"/>
    <n v="0"/>
    <n v="20020"/>
    <n v="1820"/>
    <x v="84"/>
    <n v="1820"/>
    <x v="9"/>
  </r>
  <r>
    <x v="2"/>
    <s v="Jan Urbanek"/>
    <x v="1"/>
    <x v="461"/>
    <x v="461"/>
    <n v="2"/>
    <s v="ADET"/>
    <n v="0"/>
    <n v="265"/>
    <n v="94"/>
    <n v="-249"/>
    <n v="0"/>
    <n v="0"/>
    <n v="4"/>
    <x v="29"/>
    <n v="8"/>
    <x v="7"/>
  </r>
  <r>
    <x v="4"/>
    <s v="Jan Urbanek"/>
    <x v="1"/>
    <x v="445"/>
    <x v="445"/>
    <n v="1"/>
    <s v="ADET"/>
    <n v="0"/>
    <n v="25"/>
    <n v="3"/>
    <n v="-12"/>
    <n v="0"/>
    <n v="0"/>
    <n v="871.93"/>
    <x v="100"/>
    <n v="871.93"/>
    <x v="2"/>
  </r>
  <r>
    <x v="3"/>
    <s v="Jan Urbanek"/>
    <x v="1"/>
    <x v="445"/>
    <x v="445"/>
    <n v="1"/>
    <s v="ADET"/>
    <n v="0"/>
    <n v="25"/>
    <n v="3"/>
    <n v="-12"/>
    <n v="0"/>
    <n v="0"/>
    <n v="871.93"/>
    <x v="100"/>
    <n v="871.93"/>
    <x v="2"/>
  </r>
  <r>
    <x v="14"/>
    <s v="Matteo Giolo"/>
    <x v="1"/>
    <x v="444"/>
    <x v="444"/>
    <n v="1"/>
    <s v="ADET"/>
    <n v="0"/>
    <n v="10"/>
    <n v="3"/>
    <n v="-4"/>
    <n v="0"/>
    <n v="0"/>
    <n v="1723.12"/>
    <x v="67"/>
    <n v="1723.12"/>
    <x v="4"/>
  </r>
  <r>
    <x v="11"/>
    <s v="Jan Urbanek"/>
    <x v="1"/>
    <x v="461"/>
    <x v="461"/>
    <n v="2"/>
    <s v="ADET"/>
    <n v="0"/>
    <n v="265"/>
    <n v="94"/>
    <n v="-249"/>
    <n v="0"/>
    <n v="0"/>
    <n v="4"/>
    <x v="29"/>
    <n v="8"/>
    <x v="7"/>
  </r>
  <r>
    <x v="13"/>
    <s v="Volkan Batkan"/>
    <x v="1"/>
    <x v="461"/>
    <x v="461"/>
    <n v="2"/>
    <s v="ADET"/>
    <n v="0"/>
    <n v="265"/>
    <n v="94"/>
    <n v="-249"/>
    <n v="0"/>
    <n v="0"/>
    <n v="4"/>
    <x v="29"/>
    <n v="8"/>
    <x v="7"/>
  </r>
  <r>
    <x v="14"/>
    <s v="Matteo Giolo"/>
    <x v="1"/>
    <x v="487"/>
    <x v="487"/>
    <n v="1"/>
    <s v="ADET"/>
    <n v="0"/>
    <n v="4"/>
    <n v="0"/>
    <n v="-1"/>
    <n v="0"/>
    <n v="0"/>
    <n v="3017.33"/>
    <x v="107"/>
    <n v="3017.33"/>
    <x v="2"/>
  </r>
  <r>
    <x v="13"/>
    <s v="Volkan Batkan"/>
    <x v="1"/>
    <x v="445"/>
    <x v="445"/>
    <n v="1"/>
    <s v="ADET"/>
    <n v="1"/>
    <n v="25"/>
    <n v="3"/>
    <n v="-12"/>
    <n v="0"/>
    <n v="0"/>
    <n v="871.93"/>
    <x v="100"/>
    <n v="871.93"/>
    <x v="2"/>
  </r>
  <r>
    <x v="14"/>
    <s v="Matteo Giolo"/>
    <x v="1"/>
    <x v="445"/>
    <x v="445"/>
    <n v="1"/>
    <s v="ADET"/>
    <n v="0"/>
    <n v="25"/>
    <n v="3"/>
    <n v="-12"/>
    <n v="0"/>
    <n v="0"/>
    <n v="871.93"/>
    <x v="100"/>
    <n v="871.93"/>
    <x v="2"/>
  </r>
  <r>
    <x v="11"/>
    <s v="Jan Urbanek"/>
    <x v="1"/>
    <x v="446"/>
    <x v="446"/>
    <n v="2"/>
    <s v="ADET"/>
    <n v="0"/>
    <n v="16"/>
    <n v="14"/>
    <n v="-14"/>
    <n v="20"/>
    <n v="0"/>
    <n v="194"/>
    <x v="56"/>
    <n v="388"/>
    <x v="2"/>
  </r>
  <r>
    <x v="11"/>
    <s v="Jan Urbanek"/>
    <x v="1"/>
    <x v="447"/>
    <x v="447"/>
    <n v="1"/>
    <s v="ADET"/>
    <n v="0"/>
    <n v="4"/>
    <n v="7"/>
    <n v="-2"/>
    <n v="10"/>
    <n v="0"/>
    <n v="3097.63"/>
    <x v="88"/>
    <n v="3097.63"/>
    <x v="4"/>
  </r>
  <r>
    <x v="14"/>
    <s v="Matteo Giolo"/>
    <x v="1"/>
    <x v="447"/>
    <x v="447"/>
    <n v="1"/>
    <s v="ADET"/>
    <n v="0"/>
    <n v="4"/>
    <n v="7"/>
    <n v="-2"/>
    <n v="10"/>
    <n v="0"/>
    <n v="3097.63"/>
    <x v="88"/>
    <n v="3097.63"/>
    <x v="4"/>
  </r>
  <r>
    <x v="0"/>
    <s v="Matteo Giolo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0"/>
    <s v="Matteo Giolo"/>
    <x v="1"/>
    <x v="443"/>
    <x v="443"/>
    <n v="1"/>
    <s v="ADET"/>
    <n v="0"/>
    <n v="27"/>
    <n v="4"/>
    <n v="-20"/>
    <n v="0"/>
    <n v="0"/>
    <n v="290.62"/>
    <x v="67"/>
    <n v="290.62"/>
    <x v="4"/>
  </r>
  <r>
    <x v="7"/>
    <s v="Stina Alm"/>
    <x v="1"/>
    <x v="444"/>
    <x v="444"/>
    <n v="1"/>
    <s v="ADET"/>
    <n v="0"/>
    <n v="10"/>
    <n v="3"/>
    <n v="-4"/>
    <n v="0"/>
    <n v="0"/>
    <n v="1723.12"/>
    <x v="67"/>
    <n v="1723.12"/>
    <x v="4"/>
  </r>
  <r>
    <x v="7"/>
    <s v="Stina Alm"/>
    <x v="1"/>
    <x v="487"/>
    <x v="487"/>
    <n v="1"/>
    <s v="ADET"/>
    <n v="0"/>
    <n v="4"/>
    <n v="0"/>
    <n v="-1"/>
    <n v="0"/>
    <n v="0"/>
    <n v="3017.33"/>
    <x v="107"/>
    <n v="3017.33"/>
    <x v="2"/>
  </r>
  <r>
    <x v="7"/>
    <s v="Stina Alm"/>
    <x v="1"/>
    <x v="445"/>
    <x v="445"/>
    <n v="1"/>
    <s v="ADET"/>
    <n v="0"/>
    <n v="25"/>
    <n v="3"/>
    <n v="-12"/>
    <n v="0"/>
    <n v="0"/>
    <n v="871.93"/>
    <x v="100"/>
    <n v="871.93"/>
    <x v="2"/>
  </r>
  <r>
    <x v="7"/>
    <s v="Stina Alm"/>
    <x v="1"/>
    <x v="447"/>
    <x v="447"/>
    <n v="1"/>
    <s v="ADET"/>
    <n v="0"/>
    <n v="4"/>
    <n v="7"/>
    <n v="-2"/>
    <n v="10"/>
    <n v="0"/>
    <n v="3097.63"/>
    <x v="88"/>
    <n v="3097.63"/>
    <x v="4"/>
  </r>
  <r>
    <x v="8"/>
    <s v="Jan Urbanek"/>
    <x v="1"/>
    <x v="236"/>
    <x v="236"/>
    <n v="3.2"/>
    <s v="ADET"/>
    <n v="0"/>
    <n v="272"/>
    <n v="4.2999999999999972"/>
    <n v="-233.2"/>
    <n v="0"/>
    <n v="0"/>
    <n v="30"/>
    <x v="2"/>
    <n v="96"/>
    <x v="1"/>
  </r>
  <r>
    <x v="3"/>
    <s v="Jan Urbanek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4"/>
    <s v="Jan Urbanek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6"/>
    <s v="Laurent MONTAGNER"/>
    <x v="1"/>
    <x v="310"/>
    <x v="310"/>
    <n v="21"/>
    <s v="ADET"/>
    <n v="0"/>
    <n v="150"/>
    <n v="0"/>
    <n v="194"/>
    <n v="0"/>
    <n v="5383.5"/>
    <n v="27.75"/>
    <x v="82"/>
    <n v="582.75"/>
    <x v="6"/>
  </r>
  <r>
    <x v="17"/>
    <s v="Soner Kayıkçı"/>
    <x v="1"/>
    <x v="310"/>
    <x v="310"/>
    <n v="16"/>
    <s v="ADET"/>
    <n v="0"/>
    <n v="150"/>
    <n v="0"/>
    <n v="194"/>
    <n v="0"/>
    <n v="5383.5"/>
    <n v="27.75"/>
    <x v="82"/>
    <n v="444"/>
    <x v="6"/>
  </r>
  <r>
    <x v="19"/>
    <s v="Laurent MONTAGNER"/>
    <x v="1"/>
    <x v="310"/>
    <x v="310"/>
    <n v="21"/>
    <s v="ADET"/>
    <n v="0"/>
    <n v="150"/>
    <n v="0"/>
    <n v="194"/>
    <n v="0"/>
    <n v="5383.5"/>
    <n v="27.75"/>
    <x v="82"/>
    <n v="582.75"/>
    <x v="6"/>
  </r>
  <r>
    <x v="18"/>
    <s v="Stina Alm"/>
    <x v="1"/>
    <x v="310"/>
    <x v="310"/>
    <n v="21"/>
    <s v="ADET"/>
    <n v="0"/>
    <n v="150"/>
    <n v="0"/>
    <n v="194"/>
    <n v="0"/>
    <n v="5383.5"/>
    <n v="27.75"/>
    <x v="82"/>
    <n v="582.75"/>
    <x v="6"/>
  </r>
  <r>
    <x v="4"/>
    <s v="Jan Urbanek"/>
    <x v="1"/>
    <x v="394"/>
    <x v="394"/>
    <n v="1"/>
    <s v="ADET"/>
    <n v="0"/>
    <n v="2"/>
    <n v="8"/>
    <n v="5"/>
    <n v="3"/>
    <n v="30287.5"/>
    <n v="6057.5"/>
    <x v="43"/>
    <n v="6057.5"/>
    <x v="7"/>
  </r>
  <r>
    <x v="3"/>
    <s v="Jan Urbanek"/>
    <x v="1"/>
    <x v="394"/>
    <x v="394"/>
    <n v="1"/>
    <s v="ADET"/>
    <n v="0"/>
    <n v="2"/>
    <n v="8"/>
    <n v="5"/>
    <n v="3"/>
    <n v="30287.5"/>
    <n v="6057.5"/>
    <x v="43"/>
    <n v="6057.5"/>
    <x v="7"/>
  </r>
  <r>
    <x v="14"/>
    <s v="Matteo Giolo"/>
    <x v="1"/>
    <x v="184"/>
    <x v="184"/>
    <n v="1"/>
    <s v="ADET"/>
    <n v="0"/>
    <n v="3"/>
    <n v="7"/>
    <n v="2"/>
    <n v="3"/>
    <n v="4955.04"/>
    <n v="2477.52"/>
    <x v="43"/>
    <n v="2477.52"/>
    <x v="7"/>
  </r>
  <r>
    <x v="11"/>
    <s v="Jan Urbanek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14"/>
    <s v="Matteo Giolo"/>
    <x v="1"/>
    <x v="185"/>
    <x v="185"/>
    <n v="4"/>
    <s v="ADET"/>
    <n v="0"/>
    <n v="19"/>
    <n v="32"/>
    <n v="-11"/>
    <n v="20"/>
    <n v="0"/>
    <n v="72.819999999999993"/>
    <x v="43"/>
    <n v="291.27999999999997"/>
    <x v="7"/>
  </r>
  <r>
    <x v="11"/>
    <s v="Jan Urbanek"/>
    <x v="1"/>
    <x v="203"/>
    <x v="203"/>
    <n v="0.5"/>
    <s v="ADET"/>
    <n v="0"/>
    <n v="100"/>
    <n v="41"/>
    <n v="-89.5"/>
    <n v="0"/>
    <n v="0"/>
    <n v="60"/>
    <x v="29"/>
    <n v="30"/>
    <x v="1"/>
  </r>
  <r>
    <x v="11"/>
    <s v="Jan Urbanek"/>
    <x v="1"/>
    <x v="243"/>
    <x v="243"/>
    <n v="0.5099999999999999"/>
    <s v="ADET"/>
    <n v="0"/>
    <n v="20"/>
    <n v="116.6640000000002"/>
    <n v="-11.16"/>
    <n v="0"/>
    <n v="0"/>
    <n v="185"/>
    <x v="2"/>
    <n v="94.34999999999998"/>
    <x v="1"/>
  </r>
  <r>
    <x v="14"/>
    <s v="Matteo Giolo"/>
    <x v="1"/>
    <x v="243"/>
    <x v="243"/>
    <n v="0.69"/>
    <s v="ADET"/>
    <n v="0"/>
    <n v="20"/>
    <n v="116.6640000000002"/>
    <n v="-11.16"/>
    <n v="0"/>
    <n v="0"/>
    <n v="185"/>
    <x v="2"/>
    <n v="127.64999999999999"/>
    <x v="1"/>
  </r>
  <r>
    <x v="11"/>
    <s v="Jan Urbanek"/>
    <x v="1"/>
    <x v="256"/>
    <x v="256"/>
    <n v="3"/>
    <s v="ADET"/>
    <n v="0"/>
    <n v="228"/>
    <n v="0"/>
    <n v="-186"/>
    <n v="0"/>
    <n v="0"/>
    <n v="6"/>
    <x v="18"/>
    <n v="18"/>
    <x v="1"/>
  </r>
  <r>
    <x v="14"/>
    <s v="Matteo Giolo"/>
    <x v="1"/>
    <x v="256"/>
    <x v="256"/>
    <n v="3"/>
    <s v="ADET"/>
    <n v="0"/>
    <n v="228"/>
    <n v="0"/>
    <n v="-186"/>
    <n v="0"/>
    <n v="0"/>
    <n v="6"/>
    <x v="18"/>
    <n v="18"/>
    <x v="1"/>
  </r>
  <r>
    <x v="10"/>
    <s v="Murat Taşdemir"/>
    <x v="0"/>
    <x v="393"/>
    <x v="393"/>
    <n v="1"/>
    <s v="ADET"/>
    <n v="0"/>
    <n v="26"/>
    <n v="3"/>
    <n v="-20"/>
    <n v="0"/>
    <n v="0"/>
    <n v="2800"/>
    <x v="93"/>
    <n v="2800"/>
    <x v="2"/>
  </r>
  <r>
    <x v="9"/>
    <s v="Stefan Zaugg"/>
    <x v="1"/>
    <x v="310"/>
    <x v="310"/>
    <n v="16"/>
    <s v="ADET"/>
    <n v="0"/>
    <n v="150"/>
    <n v="0"/>
    <n v="194"/>
    <n v="0"/>
    <n v="5383.5"/>
    <n v="27.75"/>
    <x v="82"/>
    <n v="444"/>
    <x v="6"/>
  </r>
  <r>
    <x v="10"/>
    <s v="Murat Taşdemir"/>
    <x v="1"/>
    <x v="310"/>
    <x v="310"/>
    <n v="21"/>
    <s v="ADET"/>
    <n v="0"/>
    <n v="150"/>
    <n v="0"/>
    <n v="194"/>
    <n v="0"/>
    <n v="5383.5"/>
    <n v="27.75"/>
    <x v="82"/>
    <n v="582.75"/>
    <x v="6"/>
  </r>
  <r>
    <x v="11"/>
    <s v="Jan Urbanek"/>
    <x v="1"/>
    <x v="311"/>
    <x v="311"/>
    <n v="5"/>
    <s v="METRE"/>
    <n v="0"/>
    <n v="0"/>
    <n v="165"/>
    <n v="-289"/>
    <n v="400"/>
    <n v="0"/>
    <n v="5"/>
    <x v="49"/>
    <n v="25"/>
    <x v="1"/>
  </r>
  <r>
    <x v="14"/>
    <s v="Matteo Giolo"/>
    <x v="1"/>
    <x v="311"/>
    <x v="311"/>
    <n v="5"/>
    <s v="METRE"/>
    <n v="0"/>
    <n v="0"/>
    <n v="165"/>
    <n v="-289"/>
    <n v="400"/>
    <n v="0"/>
    <n v="5"/>
    <x v="49"/>
    <n v="25"/>
    <x v="1"/>
  </r>
  <r>
    <x v="0"/>
    <s v="Matteo Giolo"/>
    <x v="1"/>
    <x v="394"/>
    <x v="394"/>
    <n v="1"/>
    <s v="ADET"/>
    <n v="0"/>
    <n v="2"/>
    <n v="8"/>
    <n v="5"/>
    <n v="3"/>
    <n v="30287.5"/>
    <n v="6057.5"/>
    <x v="43"/>
    <n v="6057.5"/>
    <x v="7"/>
  </r>
  <r>
    <x v="16"/>
    <s v="Laurent MONTAGNER"/>
    <x v="1"/>
    <x v="243"/>
    <x v="243"/>
    <n v="0.7200000000000002"/>
    <s v="ADET"/>
    <n v="0.7200000000000002"/>
    <n v="20"/>
    <n v="116.6640000000002"/>
    <n v="-11.16"/>
    <n v="0"/>
    <n v="0"/>
    <n v="185"/>
    <x v="2"/>
    <n v="133.20000000000005"/>
    <x v="1"/>
  </r>
  <r>
    <x v="17"/>
    <s v="Soner Kayıkçı"/>
    <x v="1"/>
    <x v="243"/>
    <x v="243"/>
    <n v="1.51"/>
    <s v="ADET"/>
    <n v="0"/>
    <n v="20"/>
    <n v="116.6640000000002"/>
    <n v="-11.16"/>
    <n v="0"/>
    <n v="0"/>
    <n v="185"/>
    <x v="2"/>
    <n v="279.35000000000002"/>
    <x v="1"/>
  </r>
  <r>
    <x v="16"/>
    <s v="Laurent MONTAGNER"/>
    <x v="1"/>
    <x v="256"/>
    <x v="256"/>
    <n v="2"/>
    <s v="ADET"/>
    <n v="0"/>
    <n v="228"/>
    <n v="0"/>
    <n v="-186"/>
    <n v="0"/>
    <n v="0"/>
    <n v="6"/>
    <x v="18"/>
    <n v="12"/>
    <x v="1"/>
  </r>
  <r>
    <x v="16"/>
    <s v="Laurent MONTAGNER"/>
    <x v="1"/>
    <x v="312"/>
    <x v="312"/>
    <n v="9"/>
    <s v="ADET"/>
    <n v="0"/>
    <n v="148"/>
    <n v="59"/>
    <n v="-33"/>
    <n v="0"/>
    <n v="0"/>
    <n v="24.17"/>
    <x v="1"/>
    <n v="217.53000000000003"/>
    <x v="1"/>
  </r>
  <r>
    <x v="17"/>
    <s v="Soner Kayıkçı"/>
    <x v="1"/>
    <x v="311"/>
    <x v="311"/>
    <n v="9"/>
    <s v="METRE"/>
    <n v="0"/>
    <n v="0"/>
    <n v="165"/>
    <n v="-289"/>
    <n v="400"/>
    <n v="0"/>
    <n v="5"/>
    <x v="49"/>
    <n v="45"/>
    <x v="1"/>
  </r>
  <r>
    <x v="14"/>
    <s v="Matteo Giolo"/>
    <x v="1"/>
    <x v="392"/>
    <x v="392"/>
    <n v="40"/>
    <s v="ADET"/>
    <n v="0"/>
    <n v="880"/>
    <n v="414"/>
    <n v="-82"/>
    <n v="0"/>
    <n v="0"/>
    <n v="2.1"/>
    <x v="2"/>
    <n v="84"/>
    <x v="1"/>
  </r>
  <r>
    <x v="0"/>
    <s v="Matteo Giolo"/>
    <x v="1"/>
    <x v="395"/>
    <x v="395"/>
    <n v="4"/>
    <s v="ADET"/>
    <n v="0"/>
    <n v="46"/>
    <n v="12"/>
    <n v="-14"/>
    <n v="0"/>
    <n v="0"/>
    <n v="100"/>
    <x v="92"/>
    <n v="400"/>
    <x v="2"/>
  </r>
  <r>
    <x v="0"/>
    <s v="Matteo Giolo"/>
    <x v="1"/>
    <x v="449"/>
    <x v="449"/>
    <n v="6"/>
    <s v="ADET"/>
    <n v="0"/>
    <n v="250"/>
    <n v="302"/>
    <n v="-202"/>
    <n v="0"/>
    <n v="0"/>
    <n v="0.9"/>
    <x v="23"/>
    <n v="5.4"/>
    <x v="7"/>
  </r>
  <r>
    <x v="16"/>
    <s v="Laurent MONTAGNER"/>
    <x v="1"/>
    <x v="311"/>
    <x v="311"/>
    <n v="5"/>
    <s v="METRE"/>
    <n v="0"/>
    <n v="0"/>
    <n v="165"/>
    <n v="-289"/>
    <n v="400"/>
    <n v="0"/>
    <n v="5"/>
    <x v="49"/>
    <n v="25"/>
    <x v="1"/>
  </r>
  <r>
    <x v="6"/>
    <s v="Stefan Zaugg"/>
    <x v="1"/>
    <x v="488"/>
    <x v="488"/>
    <n v="12"/>
    <s v="ADET"/>
    <n v="0"/>
    <n v="178"/>
    <n v="0"/>
    <n v="-142"/>
    <n v="0"/>
    <n v="0"/>
    <n v="3.45"/>
    <x v="106"/>
    <n v="41.400000000000006"/>
    <x v="1"/>
  </r>
  <r>
    <x v="18"/>
    <s v="Stina Alm"/>
    <x v="1"/>
    <x v="312"/>
    <x v="312"/>
    <n v="4"/>
    <s v="ADET"/>
    <n v="0"/>
    <n v="148"/>
    <n v="59"/>
    <n v="-33"/>
    <n v="0"/>
    <n v="0"/>
    <n v="24.17"/>
    <x v="1"/>
    <n v="96.68"/>
    <x v="1"/>
  </r>
  <r>
    <x v="9"/>
    <s v="Stefan Zaugg"/>
    <x v="1"/>
    <x v="392"/>
    <x v="392"/>
    <n v="38"/>
    <s v="ADET"/>
    <n v="0"/>
    <n v="880"/>
    <n v="414"/>
    <n v="-82"/>
    <n v="0"/>
    <n v="0"/>
    <n v="2.1"/>
    <x v="2"/>
    <n v="79.8"/>
    <x v="1"/>
  </r>
  <r>
    <x v="10"/>
    <s v="Murat Taşdemir"/>
    <x v="1"/>
    <x v="392"/>
    <x v="392"/>
    <n v="98"/>
    <s v="ADET"/>
    <n v="0"/>
    <n v="880"/>
    <n v="414"/>
    <n v="-82"/>
    <n v="0"/>
    <n v="0"/>
    <n v="2.1"/>
    <x v="2"/>
    <n v="205.8"/>
    <x v="1"/>
  </r>
  <r>
    <x v="19"/>
    <s v="Laurent MONTAGNER"/>
    <x v="1"/>
    <x v="311"/>
    <x v="311"/>
    <n v="5"/>
    <s v="METRE"/>
    <n v="0"/>
    <n v="0"/>
    <n v="165"/>
    <n v="-289"/>
    <n v="400"/>
    <n v="0"/>
    <n v="5"/>
    <x v="49"/>
    <n v="25"/>
    <x v="1"/>
  </r>
  <r>
    <x v="18"/>
    <s v="Stina Alm"/>
    <x v="1"/>
    <x v="311"/>
    <x v="311"/>
    <n v="5"/>
    <s v="METRE"/>
    <n v="0"/>
    <n v="0"/>
    <n v="165"/>
    <n v="-289"/>
    <n v="400"/>
    <n v="0"/>
    <n v="5"/>
    <x v="49"/>
    <n v="25"/>
    <x v="1"/>
  </r>
  <r>
    <x v="12"/>
    <s v="Stefan Zaugg"/>
    <x v="1"/>
    <x v="392"/>
    <x v="392"/>
    <n v="30"/>
    <s v="ADET"/>
    <n v="0"/>
    <n v="880"/>
    <n v="414"/>
    <n v="-82"/>
    <n v="0"/>
    <n v="0"/>
    <n v="2.1"/>
    <x v="2"/>
    <n v="63"/>
    <x v="1"/>
  </r>
  <r>
    <x v="11"/>
    <s v="Jan Urbanek"/>
    <x v="1"/>
    <x v="392"/>
    <x v="392"/>
    <n v="38"/>
    <s v="ADET"/>
    <n v="0"/>
    <n v="880"/>
    <n v="414"/>
    <n v="-82"/>
    <n v="0"/>
    <n v="0"/>
    <n v="2.1"/>
    <x v="2"/>
    <n v="79.8"/>
    <x v="1"/>
  </r>
  <r>
    <x v="14"/>
    <s v="Matteo Giolo"/>
    <x v="1"/>
    <x v="394"/>
    <x v="394"/>
    <n v="1"/>
    <s v="ADET"/>
    <n v="0"/>
    <n v="2"/>
    <n v="8"/>
    <n v="5"/>
    <n v="3"/>
    <n v="30287.5"/>
    <n v="6057.5"/>
    <x v="43"/>
    <n v="6057.5"/>
    <x v="7"/>
  </r>
  <r>
    <x v="9"/>
    <s v="Stefan Zaugg"/>
    <x v="1"/>
    <x v="395"/>
    <x v="395"/>
    <n v="4"/>
    <s v="ADET"/>
    <n v="0"/>
    <n v="46"/>
    <n v="12"/>
    <n v="-14"/>
    <n v="0"/>
    <n v="0"/>
    <n v="100"/>
    <x v="92"/>
    <n v="400"/>
    <x v="2"/>
  </r>
  <r>
    <x v="12"/>
    <s v="Stefan Zaugg"/>
    <x v="1"/>
    <x v="395"/>
    <x v="395"/>
    <n v="4"/>
    <s v="ADET"/>
    <n v="4"/>
    <n v="46"/>
    <n v="12"/>
    <n v="-14"/>
    <n v="0"/>
    <n v="0"/>
    <n v="100"/>
    <x v="92"/>
    <n v="400"/>
    <x v="2"/>
  </r>
  <r>
    <x v="9"/>
    <s v="Stefan Zaugg"/>
    <x v="1"/>
    <x v="449"/>
    <x v="449"/>
    <n v="4"/>
    <s v="ADET"/>
    <n v="0"/>
    <n v="250"/>
    <n v="302"/>
    <n v="-202"/>
    <n v="0"/>
    <n v="0"/>
    <n v="0.9"/>
    <x v="23"/>
    <n v="3.6"/>
    <x v="7"/>
  </r>
  <r>
    <x v="12"/>
    <s v="Stefan Zaugg"/>
    <x v="1"/>
    <x v="449"/>
    <x v="449"/>
    <n v="4"/>
    <s v="ADET"/>
    <n v="0"/>
    <n v="250"/>
    <n v="302"/>
    <n v="-202"/>
    <n v="0"/>
    <n v="0"/>
    <n v="0.9"/>
    <x v="23"/>
    <n v="3.6"/>
    <x v="7"/>
  </r>
  <r>
    <x v="12"/>
    <s v="Stefan Zaugg"/>
    <x v="1"/>
    <x v="488"/>
    <x v="488"/>
    <n v="12"/>
    <s v="ADET"/>
    <n v="0"/>
    <n v="178"/>
    <n v="0"/>
    <n v="-142"/>
    <n v="0"/>
    <n v="0"/>
    <n v="3.45"/>
    <x v="106"/>
    <n v="41.400000000000006"/>
    <x v="1"/>
  </r>
  <r>
    <x v="12"/>
    <s v="Stefan Zaugg"/>
    <x v="1"/>
    <x v="394"/>
    <x v="394"/>
    <n v="1"/>
    <s v="ADET"/>
    <n v="1"/>
    <n v="2"/>
    <n v="8"/>
    <n v="5"/>
    <n v="3"/>
    <n v="30287.5"/>
    <n v="6057.5"/>
    <x v="43"/>
    <n v="6057.5"/>
    <x v="7"/>
  </r>
  <r>
    <x v="13"/>
    <s v="Volkan Batkan"/>
    <x v="1"/>
    <x v="394"/>
    <x v="394"/>
    <n v="1"/>
    <s v="ADET"/>
    <n v="1"/>
    <n v="2"/>
    <n v="8"/>
    <n v="5"/>
    <n v="3"/>
    <n v="30287.5"/>
    <n v="6057.5"/>
    <x v="43"/>
    <n v="6057.5"/>
    <x v="7"/>
  </r>
  <r>
    <x v="10"/>
    <s v="Murat Taşdemir"/>
    <x v="1"/>
    <x v="449"/>
    <x v="449"/>
    <n v="4"/>
    <s v="ADET"/>
    <n v="0"/>
    <n v="250"/>
    <n v="302"/>
    <n v="-202"/>
    <n v="0"/>
    <n v="0"/>
    <n v="0.9"/>
    <x v="23"/>
    <n v="3.6"/>
    <x v="7"/>
  </r>
  <r>
    <x v="15"/>
    <s v="Hayriye Güven"/>
    <x v="1"/>
    <x v="394"/>
    <x v="394"/>
    <n v="1"/>
    <s v="ADET"/>
    <n v="0"/>
    <n v="2"/>
    <n v="8"/>
    <n v="5"/>
    <n v="3"/>
    <n v="30287.5"/>
    <n v="6057.5"/>
    <x v="43"/>
    <n v="6057.5"/>
    <x v="7"/>
  </r>
  <r>
    <x v="13"/>
    <s v="Volkan Batkan"/>
    <x v="1"/>
    <x v="488"/>
    <x v="488"/>
    <n v="12"/>
    <s v="ADET"/>
    <n v="0"/>
    <n v="178"/>
    <n v="0"/>
    <n v="-142"/>
    <n v="0"/>
    <n v="0"/>
    <n v="3.45"/>
    <x v="106"/>
    <n v="41.400000000000006"/>
    <x v="1"/>
  </r>
  <r>
    <x v="10"/>
    <s v="Murat Taşdemir"/>
    <x v="1"/>
    <x v="489"/>
    <x v="489"/>
    <n v="1"/>
    <s v="ADET"/>
    <n v="0"/>
    <n v="7"/>
    <n v="9"/>
    <n v="-4"/>
    <n v="10"/>
    <n v="0"/>
    <n v="450"/>
    <x v="38"/>
    <n v="450"/>
    <x v="4"/>
  </r>
  <r>
    <x v="8"/>
    <s v="Jan Urbanek"/>
    <x v="1"/>
    <x v="395"/>
    <x v="395"/>
    <n v="4"/>
    <s v="ADET"/>
    <n v="4"/>
    <n v="46"/>
    <n v="12"/>
    <n v="-14"/>
    <n v="0"/>
    <n v="0"/>
    <n v="100"/>
    <x v="92"/>
    <n v="400"/>
    <x v="2"/>
  </r>
  <r>
    <x v="8"/>
    <s v="Jan Urbanek"/>
    <x v="1"/>
    <x v="449"/>
    <x v="449"/>
    <n v="2"/>
    <s v="ADET"/>
    <n v="0"/>
    <n v="250"/>
    <n v="302"/>
    <n v="-202"/>
    <n v="0"/>
    <n v="0"/>
    <n v="0.9"/>
    <x v="23"/>
    <n v="1.8"/>
    <x v="7"/>
  </r>
  <r>
    <x v="11"/>
    <s v="Jan Urbanek"/>
    <x v="1"/>
    <x v="395"/>
    <x v="395"/>
    <n v="4"/>
    <s v="ADET"/>
    <n v="0"/>
    <n v="46"/>
    <n v="12"/>
    <n v="-14"/>
    <n v="0"/>
    <n v="0"/>
    <n v="100"/>
    <x v="92"/>
    <n v="400"/>
    <x v="2"/>
  </r>
  <r>
    <x v="11"/>
    <s v="Jan Urbanek"/>
    <x v="1"/>
    <x v="449"/>
    <x v="449"/>
    <n v="4"/>
    <s v="ADET"/>
    <n v="0"/>
    <n v="250"/>
    <n v="302"/>
    <n v="-202"/>
    <n v="0"/>
    <n v="0"/>
    <n v="0.9"/>
    <x v="23"/>
    <n v="3.6"/>
    <x v="7"/>
  </r>
  <r>
    <x v="14"/>
    <s v="Matteo Giolo"/>
    <x v="1"/>
    <x v="489"/>
    <x v="489"/>
    <n v="1"/>
    <s v="ADET"/>
    <n v="0"/>
    <n v="7"/>
    <n v="9"/>
    <n v="-4"/>
    <n v="10"/>
    <n v="0"/>
    <n v="450"/>
    <x v="38"/>
    <n v="450"/>
    <x v="4"/>
  </r>
  <r>
    <x v="11"/>
    <s v="Jan Urbanek"/>
    <x v="1"/>
    <x v="489"/>
    <x v="489"/>
    <n v="1"/>
    <s v="ADET"/>
    <n v="0"/>
    <n v="7"/>
    <n v="9"/>
    <n v="-4"/>
    <n v="10"/>
    <n v="0"/>
    <n v="450"/>
    <x v="38"/>
    <n v="450"/>
    <x v="4"/>
  </r>
  <r>
    <x v="5"/>
    <s v="Matteo Giolo"/>
    <x v="1"/>
    <x v="290"/>
    <x v="290"/>
    <n v="1"/>
    <s v="ADET"/>
    <n v="0"/>
    <n v="30"/>
    <n v="3"/>
    <n v="-16"/>
    <n v="0"/>
    <n v="0"/>
    <n v="372.91"/>
    <x v="67"/>
    <n v="372.91"/>
    <x v="4"/>
  </r>
  <r>
    <x v="5"/>
    <s v="Matteo Giolo"/>
    <x v="1"/>
    <x v="291"/>
    <x v="291"/>
    <n v="1"/>
    <s v="ADET"/>
    <n v="0"/>
    <n v="27"/>
    <n v="3"/>
    <n v="-13"/>
    <n v="0"/>
    <n v="0"/>
    <n v="372.91"/>
    <x v="67"/>
    <n v="372.91"/>
    <x v="4"/>
  </r>
  <r>
    <x v="7"/>
    <s v="Stina Alm"/>
    <x v="1"/>
    <x v="291"/>
    <x v="291"/>
    <n v="1"/>
    <s v="ADET"/>
    <n v="0"/>
    <n v="27"/>
    <n v="3"/>
    <n v="-13"/>
    <n v="0"/>
    <n v="0"/>
    <n v="372.91"/>
    <x v="67"/>
    <n v="372.91"/>
    <x v="4"/>
  </r>
  <r>
    <x v="0"/>
    <s v="Matteo Giolo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1"/>
    <s v="Laurent MONTAGNER"/>
    <x v="1"/>
    <x v="332"/>
    <x v="332"/>
    <n v="562"/>
    <s v="ADET"/>
    <n v="0"/>
    <n v="8000"/>
    <n v="11449"/>
    <n v="-1313"/>
    <n v="0"/>
    <n v="0"/>
    <n v="0.54"/>
    <x v="1"/>
    <n v="303.48"/>
    <x v="1"/>
  </r>
  <r>
    <x v="0"/>
    <s v="Matteo Giolo"/>
    <x v="1"/>
    <x v="333"/>
    <x v="333"/>
    <n v="4"/>
    <s v="ADET"/>
    <n v="0"/>
    <n v="11"/>
    <n v="19"/>
    <n v="22"/>
    <n v="0"/>
    <n v="67584"/>
    <n v="3072"/>
    <x v="85"/>
    <n v="12288"/>
    <x v="2"/>
  </r>
  <r>
    <x v="0"/>
    <s v="Matteo Giolo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6"/>
    <s v="Stefan Zaugg"/>
    <x v="1"/>
    <x v="337"/>
    <x v="337"/>
    <n v="2"/>
    <s v="ADET"/>
    <n v="0"/>
    <n v="5"/>
    <n v="4"/>
    <n v="1"/>
    <n v="0"/>
    <n v="400"/>
    <n v="400"/>
    <x v="15"/>
    <n v="800"/>
    <x v="7"/>
  </r>
  <r>
    <x v="5"/>
    <s v="Matteo Giolo"/>
    <x v="1"/>
    <x v="335"/>
    <x v="335"/>
    <n v="1"/>
    <s v="ADET"/>
    <n v="0"/>
    <n v="19"/>
    <n v="15"/>
    <n v="-6"/>
    <n v="0"/>
    <n v="0"/>
    <n v="41.67"/>
    <x v="86"/>
    <n v="41.67"/>
    <x v="2"/>
  </r>
  <r>
    <x v="6"/>
    <s v="Stefan Zaugg"/>
    <x v="1"/>
    <x v="338"/>
    <x v="338"/>
    <n v="3"/>
    <s v="ADET"/>
    <n v="0"/>
    <n v="22"/>
    <n v="18"/>
    <n v="-13"/>
    <n v="0"/>
    <n v="0"/>
    <n v="19.600000000000001"/>
    <x v="87"/>
    <n v="58.800000000000004"/>
    <x v="7"/>
  </r>
  <r>
    <x v="4"/>
    <s v="Jan Urbanek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3"/>
    <s v="Jan Urbanek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4"/>
    <s v="Jan Urbanek"/>
    <x v="1"/>
    <x v="333"/>
    <x v="333"/>
    <n v="4"/>
    <s v="ADET"/>
    <n v="0"/>
    <n v="11"/>
    <n v="19"/>
    <n v="22"/>
    <n v="0"/>
    <n v="67584"/>
    <n v="3072"/>
    <x v="85"/>
    <n v="12288"/>
    <x v="2"/>
  </r>
  <r>
    <x v="3"/>
    <s v="Jan Urbanek"/>
    <x v="1"/>
    <x v="333"/>
    <x v="333"/>
    <n v="4"/>
    <s v="ADET"/>
    <n v="0"/>
    <n v="11"/>
    <n v="19"/>
    <n v="22"/>
    <n v="0"/>
    <n v="67584"/>
    <n v="3072"/>
    <x v="85"/>
    <n v="12288"/>
    <x v="2"/>
  </r>
  <r>
    <x v="4"/>
    <s v="Jan Urbanek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3"/>
    <s v="Jan Urbanek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10"/>
    <s v="Murat Taşdemir"/>
    <x v="1"/>
    <x v="336"/>
    <x v="336"/>
    <n v="2"/>
    <s v="ADET"/>
    <n v="0"/>
    <n v="33"/>
    <n v="5"/>
    <n v="-13"/>
    <n v="0"/>
    <n v="0"/>
    <n v="354.91"/>
    <x v="67"/>
    <n v="709.82"/>
    <x v="2"/>
  </r>
  <r>
    <x v="14"/>
    <s v="Matteo Giolo"/>
    <x v="1"/>
    <x v="335"/>
    <x v="335"/>
    <n v="1"/>
    <s v="ADET"/>
    <n v="0"/>
    <n v="19"/>
    <n v="15"/>
    <n v="-6"/>
    <n v="0"/>
    <n v="0"/>
    <n v="41.67"/>
    <x v="86"/>
    <n v="41.67"/>
    <x v="2"/>
  </r>
  <r>
    <x v="0"/>
    <s v="Matteo Giolo"/>
    <x v="1"/>
    <x v="291"/>
    <x v="291"/>
    <n v="1"/>
    <s v="ADET"/>
    <n v="0"/>
    <n v="27"/>
    <n v="3"/>
    <n v="-13"/>
    <n v="0"/>
    <n v="0"/>
    <n v="372.91"/>
    <x v="67"/>
    <n v="372.91"/>
    <x v="4"/>
  </r>
  <r>
    <x v="7"/>
    <s v="Stina Alm"/>
    <x v="1"/>
    <x v="332"/>
    <x v="332"/>
    <n v="430"/>
    <s v="ADET"/>
    <n v="0"/>
    <n v="8000"/>
    <n v="11449"/>
    <n v="-1313"/>
    <n v="0"/>
    <n v="0"/>
    <n v="0.54"/>
    <x v="1"/>
    <n v="232.20000000000002"/>
    <x v="1"/>
  </r>
  <r>
    <x v="7"/>
    <s v="Stina Alm"/>
    <x v="1"/>
    <x v="333"/>
    <x v="333"/>
    <n v="3"/>
    <s v="ADET"/>
    <n v="0"/>
    <n v="11"/>
    <n v="19"/>
    <n v="22"/>
    <n v="0"/>
    <n v="67584"/>
    <n v="3072"/>
    <x v="85"/>
    <n v="9216"/>
    <x v="2"/>
  </r>
  <r>
    <x v="7"/>
    <s v="Stina Alm"/>
    <x v="1"/>
    <x v="335"/>
    <x v="335"/>
    <n v="1"/>
    <s v="ADET"/>
    <n v="0"/>
    <n v="19"/>
    <n v="15"/>
    <n v="-6"/>
    <n v="0"/>
    <n v="0"/>
    <n v="41.67"/>
    <x v="86"/>
    <n v="41.67"/>
    <x v="2"/>
  </r>
  <r>
    <x v="2"/>
    <s v="Jan Urbanek"/>
    <x v="1"/>
    <x v="335"/>
    <x v="335"/>
    <n v="1"/>
    <s v="ADET"/>
    <n v="0"/>
    <n v="19"/>
    <n v="15"/>
    <n v="-6"/>
    <n v="0"/>
    <n v="0"/>
    <n v="41.67"/>
    <x v="86"/>
    <n v="41.67"/>
    <x v="2"/>
  </r>
  <r>
    <x v="3"/>
    <s v="Jan Urbanek"/>
    <x v="1"/>
    <x v="335"/>
    <x v="335"/>
    <n v="1"/>
    <s v="ADET"/>
    <n v="0"/>
    <n v="19"/>
    <n v="15"/>
    <n v="-6"/>
    <n v="0"/>
    <n v="0"/>
    <n v="41.67"/>
    <x v="86"/>
    <n v="41.67"/>
    <x v="2"/>
  </r>
  <r>
    <x v="11"/>
    <s v="Jan Urbanek"/>
    <x v="1"/>
    <x v="336"/>
    <x v="336"/>
    <n v="2"/>
    <s v="ADET"/>
    <n v="0"/>
    <n v="33"/>
    <n v="5"/>
    <n v="-13"/>
    <n v="0"/>
    <n v="0"/>
    <n v="354.91"/>
    <x v="67"/>
    <n v="709.82"/>
    <x v="2"/>
  </r>
  <r>
    <x v="2"/>
    <s v="Jan Urbanek"/>
    <x v="1"/>
    <x v="336"/>
    <x v="336"/>
    <n v="2"/>
    <s v="ADET"/>
    <n v="0"/>
    <n v="33"/>
    <n v="5"/>
    <n v="-13"/>
    <n v="0"/>
    <n v="0"/>
    <n v="354.91"/>
    <x v="67"/>
    <n v="709.82"/>
    <x v="2"/>
  </r>
  <r>
    <x v="3"/>
    <s v="Jan Urbanek"/>
    <x v="1"/>
    <x v="336"/>
    <x v="336"/>
    <n v="2"/>
    <s v="ADET"/>
    <n v="0"/>
    <n v="33"/>
    <n v="5"/>
    <n v="-13"/>
    <n v="0"/>
    <n v="0"/>
    <n v="354.91"/>
    <x v="67"/>
    <n v="709.82"/>
    <x v="2"/>
  </r>
  <r>
    <x v="3"/>
    <s v="Jan Urbanek"/>
    <x v="1"/>
    <x v="440"/>
    <x v="440"/>
    <n v="6"/>
    <s v="ADET"/>
    <n v="0"/>
    <n v="0"/>
    <n v="0"/>
    <n v="54"/>
    <n v="0"/>
    <n v="35.64"/>
    <n v="0.66"/>
    <x v="29"/>
    <n v="3.96"/>
    <x v="7"/>
  </r>
  <r>
    <x v="4"/>
    <s v="Jan Urbanek"/>
    <x v="1"/>
    <x v="440"/>
    <x v="440"/>
    <n v="6"/>
    <s v="ADET"/>
    <n v="0"/>
    <n v="0"/>
    <n v="0"/>
    <n v="54"/>
    <n v="0"/>
    <n v="35.64"/>
    <n v="0.66"/>
    <x v="29"/>
    <n v="3.96"/>
    <x v="7"/>
  </r>
  <r>
    <x v="3"/>
    <s v="Jan Urbanek"/>
    <x v="1"/>
    <x v="443"/>
    <x v="443"/>
    <n v="1"/>
    <s v="ADET"/>
    <n v="0"/>
    <n v="27"/>
    <n v="4"/>
    <n v="-20"/>
    <n v="0"/>
    <n v="0"/>
    <n v="290.62"/>
    <x v="67"/>
    <n v="290.62"/>
    <x v="4"/>
  </r>
  <r>
    <x v="8"/>
    <s v="Jan Urbanek"/>
    <x v="1"/>
    <x v="445"/>
    <x v="445"/>
    <n v="1"/>
    <s v="ADET"/>
    <n v="0"/>
    <n v="25"/>
    <n v="3"/>
    <n v="-12"/>
    <n v="0"/>
    <n v="0"/>
    <n v="871.93"/>
    <x v="100"/>
    <n v="871.93"/>
    <x v="2"/>
  </r>
  <r>
    <x v="18"/>
    <s v="Stina Alm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7"/>
    <s v="Soner Kayıkçı"/>
    <x v="1"/>
    <x v="437"/>
    <x v="437"/>
    <n v="0.5"/>
    <s v="METRE"/>
    <n v="0"/>
    <n v="60"/>
    <n v="50"/>
    <n v="-50.5"/>
    <n v="0"/>
    <n v="0"/>
    <n v="265"/>
    <x v="51"/>
    <n v="132.5"/>
    <x v="6"/>
  </r>
  <r>
    <x v="2"/>
    <s v="Jan Urbanek"/>
    <x v="1"/>
    <x v="447"/>
    <x v="447"/>
    <n v="1"/>
    <s v="ADET"/>
    <n v="0"/>
    <n v="4"/>
    <n v="7"/>
    <n v="-2"/>
    <n v="10"/>
    <n v="0"/>
    <n v="3097.63"/>
    <x v="88"/>
    <n v="3097.63"/>
    <x v="4"/>
  </r>
  <r>
    <x v="3"/>
    <s v="Jan Urbanek"/>
    <x v="1"/>
    <x v="447"/>
    <x v="447"/>
    <n v="1"/>
    <s v="ADET"/>
    <n v="0"/>
    <n v="4"/>
    <n v="7"/>
    <n v="-2"/>
    <n v="10"/>
    <n v="0"/>
    <n v="3097.63"/>
    <x v="88"/>
    <n v="3097.63"/>
    <x v="4"/>
  </r>
  <r>
    <x v="2"/>
    <s v="Jan Urbanek"/>
    <x v="1"/>
    <x v="448"/>
    <x v="448"/>
    <n v="18.8"/>
    <s v="KG"/>
    <n v="0"/>
    <n v="140"/>
    <n v="139.9599999999997"/>
    <n v="-16.590000000000032"/>
    <n v="80"/>
    <n v="0"/>
    <n v="164.09"/>
    <x v="8"/>
    <n v="3084.8920000000003"/>
    <x v="3"/>
  </r>
  <r>
    <x v="18"/>
    <s v="Stina Alm"/>
    <x v="1"/>
    <x v="235"/>
    <x v="235"/>
    <n v="0.67"/>
    <s v="ADET"/>
    <n v="0"/>
    <n v="14"/>
    <n v="9.9999999999999929"/>
    <n v="2.5700000000000003"/>
    <n v="0"/>
    <n v="552.55000000000007"/>
    <n v="215"/>
    <x v="2"/>
    <n v="144.05000000000001"/>
    <x v="1"/>
  </r>
  <r>
    <x v="19"/>
    <s v="Laurent MONTAGNER"/>
    <x v="1"/>
    <x v="235"/>
    <x v="235"/>
    <n v="0.8"/>
    <s v="ADET"/>
    <n v="0"/>
    <n v="14"/>
    <n v="9.9999999999999929"/>
    <n v="2.5700000000000003"/>
    <n v="0"/>
    <n v="552.55000000000007"/>
    <n v="215"/>
    <x v="2"/>
    <n v="172"/>
    <x v="1"/>
  </r>
  <r>
    <x v="18"/>
    <s v="Stina Alm"/>
    <x v="1"/>
    <x v="236"/>
    <x v="236"/>
    <n v="1.5"/>
    <s v="ADET"/>
    <n v="0"/>
    <n v="272"/>
    <n v="4.2999999999999972"/>
    <n v="-233.2"/>
    <n v="0"/>
    <n v="0"/>
    <n v="30"/>
    <x v="2"/>
    <n v="45"/>
    <x v="1"/>
  </r>
  <r>
    <x v="19"/>
    <s v="Laurent MONTAGNER"/>
    <x v="1"/>
    <x v="236"/>
    <x v="236"/>
    <n v="1.5"/>
    <s v="ADET"/>
    <n v="0"/>
    <n v="272"/>
    <n v="4.2999999999999972"/>
    <n v="-233.2"/>
    <n v="0"/>
    <n v="0"/>
    <n v="30"/>
    <x v="2"/>
    <n v="45"/>
    <x v="1"/>
  </r>
  <r>
    <x v="19"/>
    <s v="Laurent MONTAGNER"/>
    <x v="1"/>
    <x v="435"/>
    <x v="435"/>
    <n v="1.61"/>
    <s v="ADET"/>
    <n v="0"/>
    <n v="235"/>
    <n v="-2.2737367544323206E-13"/>
    <n v="-215.94"/>
    <n v="0"/>
    <n v="0"/>
    <n v="15"/>
    <x v="14"/>
    <n v="24.150000000000002"/>
    <x v="1"/>
  </r>
  <r>
    <x v="16"/>
    <s v="Laurent MONTAGNER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7"/>
    <s v="Soner Kayıkçı"/>
    <x v="1"/>
    <x v="439"/>
    <x v="439"/>
    <n v="1"/>
    <s v="ADET"/>
    <n v="0"/>
    <n v="1"/>
    <n v="7"/>
    <n v="12"/>
    <n v="0"/>
    <n v="55600.08"/>
    <n v="4633.34"/>
    <x v="27"/>
    <n v="4633.34"/>
    <x v="2"/>
  </r>
  <r>
    <x v="19"/>
    <s v="Laurent MONTAGNER"/>
    <x v="1"/>
    <x v="439"/>
    <x v="439"/>
    <n v="1"/>
    <s v="ADET"/>
    <n v="1"/>
    <n v="1"/>
    <n v="7"/>
    <n v="12"/>
    <n v="0"/>
    <n v="55600.08"/>
    <n v="4633.34"/>
    <x v="27"/>
    <n v="4633.34"/>
    <x v="2"/>
  </r>
  <r>
    <x v="17"/>
    <s v="Soner Kayıkçı"/>
    <x v="1"/>
    <x v="440"/>
    <x v="440"/>
    <n v="6"/>
    <s v="ADET"/>
    <n v="0"/>
    <n v="0"/>
    <n v="0"/>
    <n v="54"/>
    <n v="0"/>
    <n v="35.64"/>
    <n v="0.66"/>
    <x v="29"/>
    <n v="3.96"/>
    <x v="7"/>
  </r>
  <r>
    <x v="18"/>
    <s v="Stina Alm"/>
    <x v="1"/>
    <x v="437"/>
    <x v="437"/>
    <n v="2"/>
    <s v="METRE"/>
    <n v="0"/>
    <n v="60"/>
    <n v="50"/>
    <n v="-50.5"/>
    <n v="0"/>
    <n v="0"/>
    <n v="265"/>
    <x v="51"/>
    <n v="530"/>
    <x v="6"/>
  </r>
  <r>
    <x v="17"/>
    <s v="Soner Kayıkçı"/>
    <x v="1"/>
    <x v="443"/>
    <x v="443"/>
    <n v="1"/>
    <s v="ADET"/>
    <n v="0"/>
    <n v="27"/>
    <n v="4"/>
    <n v="-20"/>
    <n v="0"/>
    <n v="0"/>
    <n v="290.62"/>
    <x v="67"/>
    <n v="290.62"/>
    <x v="4"/>
  </r>
  <r>
    <x v="18"/>
    <s v="Stina Alm"/>
    <x v="1"/>
    <x v="444"/>
    <x v="444"/>
    <n v="1"/>
    <s v="ADET"/>
    <n v="0"/>
    <n v="10"/>
    <n v="3"/>
    <n v="-4"/>
    <n v="0"/>
    <n v="0"/>
    <n v="1723.12"/>
    <x v="67"/>
    <n v="1723.12"/>
    <x v="4"/>
  </r>
  <r>
    <x v="19"/>
    <s v="Laurent MONTAGNER"/>
    <x v="1"/>
    <x v="444"/>
    <x v="444"/>
    <n v="1"/>
    <s v="ADET"/>
    <n v="1"/>
    <n v="10"/>
    <n v="3"/>
    <n v="-4"/>
    <n v="0"/>
    <n v="0"/>
    <n v="1723.12"/>
    <x v="67"/>
    <n v="1723.12"/>
    <x v="4"/>
  </r>
  <r>
    <x v="4"/>
    <s v="Jan Urbanek"/>
    <x v="1"/>
    <x v="447"/>
    <x v="447"/>
    <n v="1"/>
    <s v="ADET"/>
    <n v="0"/>
    <n v="4"/>
    <n v="7"/>
    <n v="-2"/>
    <n v="10"/>
    <n v="0"/>
    <n v="3097.63"/>
    <x v="88"/>
    <n v="3097.63"/>
    <x v="4"/>
  </r>
  <r>
    <x v="4"/>
    <s v="Jan Urbanek"/>
    <x v="1"/>
    <x v="448"/>
    <x v="448"/>
    <n v="18.8"/>
    <s v="KG"/>
    <n v="0"/>
    <n v="140"/>
    <n v="139.9599999999997"/>
    <n v="-16.590000000000032"/>
    <n v="80"/>
    <n v="0"/>
    <n v="164.09"/>
    <x v="8"/>
    <n v="3084.8920000000003"/>
    <x v="3"/>
  </r>
  <r>
    <x v="17"/>
    <s v="Soner Kayıkçı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17"/>
    <s v="Soner Kayıkçı"/>
    <x v="1"/>
    <x v="236"/>
    <x v="236"/>
    <n v="3.2"/>
    <s v="ADET"/>
    <n v="0"/>
    <n v="272"/>
    <n v="4.2999999999999972"/>
    <n v="-233.2"/>
    <n v="0"/>
    <n v="0"/>
    <n v="30"/>
    <x v="2"/>
    <n v="96"/>
    <x v="1"/>
  </r>
  <r>
    <x v="16"/>
    <s v="Laurent MONTAGNER"/>
    <x v="1"/>
    <x v="436"/>
    <x v="436"/>
    <n v="1"/>
    <s v="ADET"/>
    <n v="0"/>
    <n v="31"/>
    <n v="12"/>
    <n v="-20"/>
    <n v="0"/>
    <n v="0"/>
    <n v="15"/>
    <x v="29"/>
    <n v="15"/>
    <x v="7"/>
  </r>
  <r>
    <x v="3"/>
    <s v="Jan Urbanek"/>
    <x v="1"/>
    <x v="395"/>
    <x v="395"/>
    <n v="4"/>
    <s v="ADET"/>
    <n v="0"/>
    <n v="46"/>
    <n v="12"/>
    <n v="-14"/>
    <n v="0"/>
    <n v="0"/>
    <n v="100"/>
    <x v="92"/>
    <n v="400"/>
    <x v="2"/>
  </r>
  <r>
    <x v="3"/>
    <s v="Jan Urbanek"/>
    <x v="1"/>
    <x v="449"/>
    <x v="449"/>
    <n v="4"/>
    <s v="ADET"/>
    <n v="0"/>
    <n v="250"/>
    <n v="302"/>
    <n v="-202"/>
    <n v="0"/>
    <n v="0"/>
    <n v="0.9"/>
    <x v="23"/>
    <n v="3.6"/>
    <x v="7"/>
  </r>
  <r>
    <x v="10"/>
    <s v="Murat Taşdemir"/>
    <x v="1"/>
    <x v="473"/>
    <x v="473"/>
    <n v="3"/>
    <s v="ADET"/>
    <n v="0"/>
    <n v="5"/>
    <n v="7"/>
    <n v="16"/>
    <n v="0"/>
    <n v="56524.800000000003"/>
    <n v="3532.8"/>
    <x v="85"/>
    <n v="10598.400000000001"/>
    <x v="2"/>
  </r>
  <r>
    <x v="10"/>
    <s v="Murat Taşdemir"/>
    <x v="1"/>
    <x v="490"/>
    <x v="490"/>
    <n v="1"/>
    <s v="ADET"/>
    <n v="0"/>
    <n v="8"/>
    <n v="0"/>
    <n v="-7"/>
    <n v="0"/>
    <n v="0"/>
    <n v="93.6"/>
    <x v="66"/>
    <n v="93.6"/>
    <x v="2"/>
  </r>
  <r>
    <x v="13"/>
    <s v="Volkan Batkan"/>
    <x v="1"/>
    <x v="475"/>
    <x v="475"/>
    <n v="1"/>
    <s v="ADET"/>
    <n v="1"/>
    <n v="7"/>
    <n v="2"/>
    <n v="0"/>
    <n v="0"/>
    <n v="0"/>
    <n v="337.5"/>
    <x v="66"/>
    <n v="337.5"/>
    <x v="2"/>
  </r>
  <r>
    <x v="2"/>
    <s v="Jan Urbanek"/>
    <x v="1"/>
    <x v="473"/>
    <x v="473"/>
    <n v="1"/>
    <s v="ADET"/>
    <n v="0"/>
    <n v="5"/>
    <n v="7"/>
    <n v="16"/>
    <n v="0"/>
    <n v="56524.800000000003"/>
    <n v="3532.8"/>
    <x v="85"/>
    <n v="3532.8"/>
    <x v="2"/>
  </r>
  <r>
    <x v="8"/>
    <s v="Jan Urbanek"/>
    <x v="1"/>
    <x v="473"/>
    <x v="473"/>
    <n v="1"/>
    <s v="ADET"/>
    <n v="0"/>
    <n v="5"/>
    <n v="7"/>
    <n v="16"/>
    <n v="0"/>
    <n v="56524.800000000003"/>
    <n v="3532.8"/>
    <x v="85"/>
    <n v="3532.8"/>
    <x v="2"/>
  </r>
  <r>
    <x v="2"/>
    <s v="Jan Urbanek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6"/>
    <s v="Laurent MONTAGNER"/>
    <x v="1"/>
    <x v="400"/>
    <x v="400"/>
    <n v="65"/>
    <s v="ADET"/>
    <n v="0"/>
    <n v="5000"/>
    <n v="0"/>
    <n v="-3820"/>
    <n v="0"/>
    <n v="0"/>
    <n v="0.6"/>
    <x v="2"/>
    <n v="39"/>
    <x v="1"/>
  </r>
  <r>
    <x v="11"/>
    <s v="Jan Urbanek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2"/>
    <s v="Jan Urbanek"/>
    <x v="1"/>
    <x v="475"/>
    <x v="475"/>
    <n v="1"/>
    <s v="ADET"/>
    <n v="0"/>
    <n v="7"/>
    <n v="2"/>
    <n v="0"/>
    <n v="0"/>
    <n v="0"/>
    <n v="337.5"/>
    <x v="66"/>
    <n v="337.5"/>
    <x v="2"/>
  </r>
  <r>
    <x v="19"/>
    <s v="Laurent MONTAGNER"/>
    <x v="1"/>
    <x v="401"/>
    <x v="401"/>
    <n v="4"/>
    <s v="ADET"/>
    <n v="0"/>
    <n v="0"/>
    <n v="64"/>
    <n v="40"/>
    <n v="0"/>
    <n v="274.8"/>
    <n v="6.87"/>
    <x v="23"/>
    <n v="27.48"/>
    <x v="7"/>
  </r>
  <r>
    <x v="16"/>
    <s v="Laurent MONTAGNER"/>
    <x v="1"/>
    <x v="401"/>
    <x v="401"/>
    <n v="2"/>
    <s v="ADET"/>
    <n v="0"/>
    <n v="0"/>
    <n v="64"/>
    <n v="40"/>
    <n v="0"/>
    <n v="274.8"/>
    <n v="6.87"/>
    <x v="23"/>
    <n v="13.74"/>
    <x v="7"/>
  </r>
  <r>
    <x v="17"/>
    <s v="Soner Kayıkçı"/>
    <x v="1"/>
    <x v="401"/>
    <x v="401"/>
    <n v="2"/>
    <s v="ADET"/>
    <n v="0"/>
    <n v="0"/>
    <n v="64"/>
    <n v="40"/>
    <n v="0"/>
    <n v="274.8"/>
    <n v="6.87"/>
    <x v="23"/>
    <n v="13.74"/>
    <x v="7"/>
  </r>
  <r>
    <x v="18"/>
    <s v="Stina Alm"/>
    <x v="1"/>
    <x v="400"/>
    <x v="400"/>
    <n v="65"/>
    <s v="ADET"/>
    <n v="0"/>
    <n v="5000"/>
    <n v="0"/>
    <n v="-3820"/>
    <n v="0"/>
    <n v="0"/>
    <n v="0.6"/>
    <x v="2"/>
    <n v="39"/>
    <x v="1"/>
  </r>
  <r>
    <x v="17"/>
    <s v="Soner Kayıkçı"/>
    <x v="1"/>
    <x v="400"/>
    <x v="400"/>
    <n v="60"/>
    <s v="ADET"/>
    <n v="0"/>
    <n v="5000"/>
    <n v="0"/>
    <n v="-3820"/>
    <n v="0"/>
    <n v="0"/>
    <n v="0.6"/>
    <x v="2"/>
    <n v="36"/>
    <x v="1"/>
  </r>
  <r>
    <x v="19"/>
    <s v="Laurent MONTAGNER"/>
    <x v="1"/>
    <x v="400"/>
    <x v="400"/>
    <n v="65"/>
    <s v="ADET"/>
    <n v="0"/>
    <n v="5000"/>
    <n v="0"/>
    <n v="-3820"/>
    <n v="0"/>
    <n v="0"/>
    <n v="0.6"/>
    <x v="2"/>
    <n v="39"/>
    <x v="1"/>
  </r>
  <r>
    <x v="18"/>
    <s v="Stina Alm"/>
    <x v="1"/>
    <x v="399"/>
    <x v="399"/>
    <n v="0.5"/>
    <s v="KG"/>
    <n v="0"/>
    <n v="72"/>
    <n v="7"/>
    <n v="-51.5"/>
    <n v="0"/>
    <n v="0"/>
    <n v="212.93"/>
    <x v="71"/>
    <n v="106.465"/>
    <x v="8"/>
  </r>
  <r>
    <x v="19"/>
    <s v="Laurent MONTAGNER"/>
    <x v="1"/>
    <x v="399"/>
    <x v="399"/>
    <n v="0.5"/>
    <s v="KG"/>
    <n v="0"/>
    <n v="72"/>
    <n v="7"/>
    <n v="-51.5"/>
    <n v="0"/>
    <n v="0"/>
    <n v="212.93"/>
    <x v="71"/>
    <n v="106.465"/>
    <x v="8"/>
  </r>
  <r>
    <x v="16"/>
    <s v="Laurent MONTAGNER"/>
    <x v="1"/>
    <x v="428"/>
    <x v="428"/>
    <n v="40"/>
    <s v="ADET"/>
    <n v="0"/>
    <n v="950"/>
    <n v="380"/>
    <n v="-90"/>
    <n v="0"/>
    <n v="0"/>
    <n v="0.4"/>
    <x v="5"/>
    <n v="16"/>
    <x v="1"/>
  </r>
  <r>
    <x v="17"/>
    <s v="Soner Kayıkçı"/>
    <x v="1"/>
    <x v="428"/>
    <x v="428"/>
    <n v="40"/>
    <s v="ADET"/>
    <n v="0"/>
    <n v="950"/>
    <n v="380"/>
    <n v="-90"/>
    <n v="0"/>
    <n v="0"/>
    <n v="0.4"/>
    <x v="5"/>
    <n v="16"/>
    <x v="1"/>
  </r>
  <r>
    <x v="19"/>
    <s v="Laurent MONTAGNER"/>
    <x v="1"/>
    <x v="428"/>
    <x v="428"/>
    <n v="50"/>
    <s v="ADET"/>
    <n v="0"/>
    <n v="950"/>
    <n v="380"/>
    <n v="-90"/>
    <n v="0"/>
    <n v="0"/>
    <n v="0.4"/>
    <x v="5"/>
    <n v="20"/>
    <x v="1"/>
  </r>
  <r>
    <x v="5"/>
    <s v="Matteo Giolo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8"/>
    <s v="Stina Alm"/>
    <x v="1"/>
    <x v="473"/>
    <x v="473"/>
    <n v="2"/>
    <s v="ADET"/>
    <n v="0"/>
    <n v="5"/>
    <n v="7"/>
    <n v="16"/>
    <n v="0"/>
    <n v="56524.800000000003"/>
    <n v="3532.8"/>
    <x v="85"/>
    <n v="7065.6"/>
    <x v="2"/>
  </r>
  <r>
    <x v="19"/>
    <s v="Laurent MONTAGNER"/>
    <x v="1"/>
    <x v="473"/>
    <x v="473"/>
    <n v="3"/>
    <s v="ADET"/>
    <n v="3"/>
    <n v="5"/>
    <n v="7"/>
    <n v="16"/>
    <n v="0"/>
    <n v="56524.800000000003"/>
    <n v="3532.8"/>
    <x v="85"/>
    <n v="10598.400000000001"/>
    <x v="2"/>
  </r>
  <r>
    <x v="17"/>
    <s v="Soner Kayıkçı"/>
    <x v="1"/>
    <x v="475"/>
    <x v="475"/>
    <n v="1"/>
    <s v="ADET"/>
    <n v="0"/>
    <n v="7"/>
    <n v="2"/>
    <n v="0"/>
    <n v="0"/>
    <n v="0"/>
    <n v="337.5"/>
    <x v="66"/>
    <n v="337.5"/>
    <x v="2"/>
  </r>
  <r>
    <x v="18"/>
    <s v="Stina Alm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7"/>
    <s v="Stina Alm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6"/>
    <s v="Stefan Zaugg"/>
    <x v="1"/>
    <x v="491"/>
    <x v="491"/>
    <n v="1"/>
    <s v="ADET"/>
    <n v="1"/>
    <n v="5"/>
    <n v="6"/>
    <n v="-17"/>
    <n v="12"/>
    <n v="0"/>
    <n v="14305.4"/>
    <x v="99"/>
    <n v="14305.4"/>
    <x v="4"/>
  </r>
  <r>
    <x v="11"/>
    <s v="Jan Urbanek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0"/>
    <s v="Matteo Giolo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1"/>
    <s v="Laurent MONTAGNER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0"/>
    <s v="Matteo Giolo"/>
    <x v="1"/>
    <x v="348"/>
    <x v="348"/>
    <n v="2"/>
    <s v="ADET"/>
    <n v="0"/>
    <n v="250"/>
    <n v="250"/>
    <n v="-236"/>
    <n v="0"/>
    <n v="0"/>
    <n v="1.08"/>
    <x v="23"/>
    <n v="2.16"/>
    <x v="7"/>
  </r>
  <r>
    <x v="0"/>
    <s v="Matteo Giolo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8"/>
    <s v="Jan Urbanek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9"/>
    <s v="Stefan Zaugg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2"/>
    <s v="Stefan Zaugg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4"/>
    <s v="Matteo Giolo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3"/>
    <s v="Jan Urbanek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4"/>
    <s v="Jan Urbanek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6"/>
    <s v="Laurent MONTAGNER"/>
    <x v="1"/>
    <x v="265"/>
    <x v="265"/>
    <n v="1"/>
    <s v="ADET"/>
    <n v="0"/>
    <n v="14"/>
    <n v="8"/>
    <n v="-1"/>
    <n v="0"/>
    <n v="0"/>
    <n v="270"/>
    <x v="29"/>
    <n v="270"/>
    <x v="7"/>
  </r>
  <r>
    <x v="17"/>
    <s v="Soner Kayıkçı"/>
    <x v="1"/>
    <x v="325"/>
    <x v="325"/>
    <n v="1"/>
    <s v="ADET"/>
    <n v="0"/>
    <n v="0"/>
    <n v="5"/>
    <n v="2"/>
    <n v="2"/>
    <n v="7992"/>
    <n v="3996"/>
    <x v="43"/>
    <n v="3996"/>
    <x v="7"/>
  </r>
  <r>
    <x v="2"/>
    <s v="Jan Urbanek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2"/>
    <s v="Jan Urbanek"/>
    <x v="1"/>
    <x v="348"/>
    <x v="348"/>
    <n v="2"/>
    <s v="ADET"/>
    <n v="0"/>
    <n v="250"/>
    <n v="250"/>
    <n v="-236"/>
    <n v="0"/>
    <n v="0"/>
    <n v="1.08"/>
    <x v="23"/>
    <n v="2.16"/>
    <x v="7"/>
  </r>
  <r>
    <x v="4"/>
    <s v="Jan Urbanek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8"/>
    <s v="Jan Urbanek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10"/>
    <s v="Murat Taşdemir"/>
    <x v="1"/>
    <x v="492"/>
    <x v="492"/>
    <n v="1"/>
    <s v="ADET"/>
    <n v="0"/>
    <n v="2"/>
    <n v="4"/>
    <n v="0"/>
    <n v="0"/>
    <n v="0"/>
    <n v="3500"/>
    <x v="108"/>
    <n v="3500"/>
    <x v="7"/>
  </r>
  <r>
    <x v="1"/>
    <s v="Laurent MONTAGNER"/>
    <x v="1"/>
    <x v="377"/>
    <x v="377"/>
    <n v="2"/>
    <s v="ADET"/>
    <n v="2"/>
    <n v="9"/>
    <n v="20"/>
    <n v="11"/>
    <n v="0"/>
    <n v="164408.75"/>
    <n v="14946.25"/>
    <x v="58"/>
    <n v="29892.5"/>
    <x v="4"/>
  </r>
  <r>
    <x v="2"/>
    <s v="Jan Urbanek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4"/>
    <s v="Jan Urbanek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3"/>
    <s v="Jan Urbanek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2"/>
    <s v="Jan Urbanek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10"/>
    <s v="Murat Taşdemir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5"/>
    <s v="Matteo Giolo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7"/>
    <s v="Stina Alm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7"/>
    <s v="Stina Alm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5"/>
    <s v="Matteo Giolo"/>
    <x v="1"/>
    <x v="468"/>
    <x v="468"/>
    <n v="1"/>
    <s v="METRE"/>
    <n v="0"/>
    <n v="50"/>
    <n v="0"/>
    <n v="-48"/>
    <n v="0"/>
    <n v="0"/>
    <n v="180"/>
    <x v="17"/>
    <n v="180"/>
    <x v="4"/>
  </r>
  <r>
    <x v="6"/>
    <s v="Stefan Zaugg"/>
    <x v="1"/>
    <x v="457"/>
    <x v="457"/>
    <n v="2"/>
    <s v="ADET"/>
    <n v="0"/>
    <n v="115"/>
    <n v="2"/>
    <n v="-77"/>
    <n v="0"/>
    <n v="0"/>
    <n v="0.44"/>
    <x v="60"/>
    <n v="0.88"/>
    <x v="7"/>
  </r>
  <r>
    <x v="5"/>
    <s v="Matteo Giolo"/>
    <x v="1"/>
    <x v="457"/>
    <x v="457"/>
    <n v="2"/>
    <s v="ADET"/>
    <n v="0"/>
    <n v="115"/>
    <n v="2"/>
    <n v="-77"/>
    <n v="0"/>
    <n v="0"/>
    <n v="0.44"/>
    <x v="60"/>
    <n v="0.88"/>
    <x v="7"/>
  </r>
  <r>
    <x v="1"/>
    <s v="Laurent MONTAGNER"/>
    <x v="1"/>
    <x v="457"/>
    <x v="457"/>
    <n v="2"/>
    <s v="ADET"/>
    <n v="0"/>
    <n v="115"/>
    <n v="2"/>
    <n v="-77"/>
    <n v="0"/>
    <n v="0"/>
    <n v="0.44"/>
    <x v="60"/>
    <n v="0.88"/>
    <x v="7"/>
  </r>
  <r>
    <x v="2"/>
    <s v="Jan Urbanek"/>
    <x v="1"/>
    <x v="430"/>
    <x v="430"/>
    <n v="2"/>
    <s v="ADET"/>
    <n v="0"/>
    <n v="455"/>
    <n v="23"/>
    <n v="-429"/>
    <n v="0"/>
    <n v="0"/>
    <n v="20"/>
    <x v="6"/>
    <n v="40"/>
    <x v="7"/>
  </r>
  <r>
    <x v="8"/>
    <s v="Jan Urbanek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0"/>
    <s v="Matteo Giolo"/>
    <x v="1"/>
    <x v="458"/>
    <x v="458"/>
    <n v="2.5"/>
    <s v="KG"/>
    <n v="0"/>
    <n v="139"/>
    <n v="45.500000000000114"/>
    <n v="-124"/>
    <n v="0"/>
    <n v="0"/>
    <n v="233.95"/>
    <x v="8"/>
    <n v="584.875"/>
    <x v="3"/>
  </r>
  <r>
    <x v="1"/>
    <s v="Laurent MONTAGNER"/>
    <x v="1"/>
    <x v="459"/>
    <x v="459"/>
    <n v="2"/>
    <s v="ADET"/>
    <n v="0"/>
    <n v="0"/>
    <n v="14"/>
    <n v="38"/>
    <n v="0"/>
    <n v="261.06"/>
    <n v="6.87"/>
    <x v="23"/>
    <n v="13.74"/>
    <x v="7"/>
  </r>
  <r>
    <x v="3"/>
    <s v="Jan Urbanek"/>
    <x v="1"/>
    <x v="454"/>
    <x v="454"/>
    <n v="4"/>
    <s v="ADET"/>
    <n v="0"/>
    <n v="0"/>
    <n v="0"/>
    <n v="12"/>
    <n v="0"/>
    <n v="32042.879999999997"/>
    <n v="2670.24"/>
    <x v="101"/>
    <n v="10680.96"/>
    <x v="8"/>
  </r>
  <r>
    <x v="3"/>
    <s v="Jan Urbanek"/>
    <x v="1"/>
    <x v="457"/>
    <x v="457"/>
    <n v="2"/>
    <s v="ADET"/>
    <n v="0"/>
    <n v="115"/>
    <n v="2"/>
    <n v="-77"/>
    <n v="0"/>
    <n v="0"/>
    <n v="0.44"/>
    <x v="60"/>
    <n v="0.88"/>
    <x v="7"/>
  </r>
  <r>
    <x v="4"/>
    <s v="Jan Urbanek"/>
    <x v="1"/>
    <x v="457"/>
    <x v="457"/>
    <n v="2"/>
    <s v="ADET"/>
    <n v="0"/>
    <n v="115"/>
    <n v="2"/>
    <n v="-77"/>
    <n v="0"/>
    <n v="0"/>
    <n v="0.44"/>
    <x v="60"/>
    <n v="0.88"/>
    <x v="7"/>
  </r>
  <r>
    <x v="8"/>
    <s v="Jan Urbanek"/>
    <x v="1"/>
    <x v="458"/>
    <x v="458"/>
    <n v="2.5"/>
    <s v="KG"/>
    <n v="0"/>
    <n v="139"/>
    <n v="45.500000000000114"/>
    <n v="-124"/>
    <n v="0"/>
    <n v="0"/>
    <n v="233.95"/>
    <x v="8"/>
    <n v="584.875"/>
    <x v="3"/>
  </r>
  <r>
    <x v="16"/>
    <s v="Laurent MONTAGNER"/>
    <x v="1"/>
    <x v="430"/>
    <x v="430"/>
    <n v="2"/>
    <s v="ADET"/>
    <n v="0"/>
    <n v="455"/>
    <n v="23"/>
    <n v="-429"/>
    <n v="0"/>
    <n v="0"/>
    <n v="20"/>
    <x v="6"/>
    <n v="40"/>
    <x v="7"/>
  </r>
  <r>
    <x v="17"/>
    <s v="Soner Kayıkçı"/>
    <x v="1"/>
    <x v="430"/>
    <x v="430"/>
    <n v="2"/>
    <s v="ADET"/>
    <n v="0"/>
    <n v="455"/>
    <n v="23"/>
    <n v="-429"/>
    <n v="0"/>
    <n v="0"/>
    <n v="20"/>
    <x v="6"/>
    <n v="40"/>
    <x v="7"/>
  </r>
  <r>
    <x v="16"/>
    <s v="Laurent MONTAGNER"/>
    <x v="1"/>
    <x v="456"/>
    <x v="456"/>
    <n v="1"/>
    <s v="ADET"/>
    <n v="0"/>
    <n v="12"/>
    <n v="3"/>
    <n v="-6"/>
    <n v="0"/>
    <n v="0"/>
    <n v="1678.88"/>
    <x v="67"/>
    <n v="1678.88"/>
    <x v="4"/>
  </r>
  <r>
    <x v="8"/>
    <s v="Jan Urbanek"/>
    <x v="1"/>
    <x v="457"/>
    <x v="457"/>
    <n v="2"/>
    <s v="ADET"/>
    <n v="0"/>
    <n v="115"/>
    <n v="2"/>
    <n v="-77"/>
    <n v="0"/>
    <n v="0"/>
    <n v="0.44"/>
    <x v="60"/>
    <n v="0.88"/>
    <x v="7"/>
  </r>
  <r>
    <x v="8"/>
    <s v="Jan Urbanek"/>
    <x v="1"/>
    <x v="459"/>
    <x v="459"/>
    <n v="2"/>
    <s v="ADET"/>
    <n v="0"/>
    <n v="0"/>
    <n v="14"/>
    <n v="38"/>
    <n v="0"/>
    <n v="261.06"/>
    <n v="6.87"/>
    <x v="23"/>
    <n v="13.74"/>
    <x v="7"/>
  </r>
  <r>
    <x v="16"/>
    <s v="Laurent MONTAGNER"/>
    <x v="1"/>
    <x v="429"/>
    <x v="429"/>
    <n v="1"/>
    <s v="ADET"/>
    <n v="0"/>
    <n v="0"/>
    <n v="2"/>
    <n v="8"/>
    <n v="0"/>
    <n v="191760"/>
    <n v="23970"/>
    <x v="98"/>
    <n v="23970"/>
    <x v="2"/>
  </r>
  <r>
    <x v="16"/>
    <s v="Laurent MONTAGNER"/>
    <x v="1"/>
    <x v="452"/>
    <x v="452"/>
    <n v="1.05"/>
    <s v="ADET"/>
    <n v="0"/>
    <n v="2"/>
    <n v="3.3306690738754696E-16"/>
    <n v="1.4000000000000008"/>
    <n v="0"/>
    <n v="3889.2000000000021"/>
    <n v="2778"/>
    <x v="56"/>
    <n v="2916.9"/>
    <x v="3"/>
  </r>
  <r>
    <x v="4"/>
    <s v="Jan Urbanek"/>
    <x v="1"/>
    <x v="458"/>
    <x v="458"/>
    <n v="2.5"/>
    <s v="KG"/>
    <n v="0"/>
    <n v="139"/>
    <n v="45.500000000000114"/>
    <n v="-124"/>
    <n v="0"/>
    <n v="0"/>
    <n v="233.95"/>
    <x v="8"/>
    <n v="584.875"/>
    <x v="3"/>
  </r>
  <r>
    <x v="2"/>
    <s v="Jan Urbanek"/>
    <x v="1"/>
    <x v="459"/>
    <x v="459"/>
    <n v="2"/>
    <s v="ADET"/>
    <n v="0"/>
    <n v="0"/>
    <n v="14"/>
    <n v="38"/>
    <n v="0"/>
    <n v="261.06"/>
    <n v="6.87"/>
    <x v="23"/>
    <n v="13.74"/>
    <x v="7"/>
  </r>
  <r>
    <x v="17"/>
    <s v="Soner Kayıkçı"/>
    <x v="1"/>
    <x v="453"/>
    <x v="453"/>
    <n v="0.05"/>
    <s v="ADET"/>
    <n v="0"/>
    <n v="2"/>
    <n v="6.106226635438361E-16"/>
    <n v="-0.84999999999999987"/>
    <n v="0"/>
    <n v="0"/>
    <n v="1400"/>
    <x v="56"/>
    <n v="70"/>
    <x v="3"/>
  </r>
  <r>
    <x v="18"/>
    <s v="Stina Alm"/>
    <x v="1"/>
    <x v="430"/>
    <x v="430"/>
    <n v="2"/>
    <s v="ADET"/>
    <n v="0"/>
    <n v="455"/>
    <n v="23"/>
    <n v="-429"/>
    <n v="0"/>
    <n v="0"/>
    <n v="20"/>
    <x v="6"/>
    <n v="40"/>
    <x v="7"/>
  </r>
  <r>
    <x v="17"/>
    <s v="Soner Kayıkçı"/>
    <x v="1"/>
    <x v="451"/>
    <x v="451"/>
    <n v="3"/>
    <s v="ADET"/>
    <n v="0"/>
    <n v="400"/>
    <n v="0"/>
    <n v="-388"/>
    <n v="0"/>
    <n v="0"/>
    <n v="10"/>
    <x v="14"/>
    <n v="30"/>
    <x v="1"/>
  </r>
  <r>
    <x v="18"/>
    <s v="Stina Alm"/>
    <x v="1"/>
    <x v="456"/>
    <x v="456"/>
    <n v="1"/>
    <s v="ADET"/>
    <n v="0"/>
    <n v="12"/>
    <n v="3"/>
    <n v="-6"/>
    <n v="0"/>
    <n v="0"/>
    <n v="1678.88"/>
    <x v="67"/>
    <n v="1678.88"/>
    <x v="4"/>
  </r>
  <r>
    <x v="18"/>
    <s v="Stina Alm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9"/>
    <s v="Laurent MONTAGNER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7"/>
    <s v="Stina Alm"/>
    <x v="1"/>
    <x v="362"/>
    <x v="362"/>
    <n v="1"/>
    <s v="ADET"/>
    <n v="0"/>
    <n v="12"/>
    <n v="14"/>
    <n v="2"/>
    <n v="0"/>
    <n v="233.34"/>
    <n v="116.67"/>
    <x v="86"/>
    <n v="116.67"/>
    <x v="2"/>
  </r>
  <r>
    <x v="0"/>
    <s v="Matteo Giolo"/>
    <x v="1"/>
    <x v="370"/>
    <x v="370"/>
    <n v="1"/>
    <s v="ADET"/>
    <n v="0"/>
    <n v="6"/>
    <n v="7"/>
    <n v="-3"/>
    <n v="10"/>
    <n v="0"/>
    <n v="750"/>
    <x v="38"/>
    <n v="750"/>
    <x v="4"/>
  </r>
  <r>
    <x v="0"/>
    <s v="Matteo Giolo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11"/>
    <s v="Jan Urbanek"/>
    <x v="1"/>
    <x v="357"/>
    <x v="357"/>
    <n v="2"/>
    <s v="ADET"/>
    <n v="0"/>
    <n v="2"/>
    <n v="8"/>
    <n v="24"/>
    <n v="0"/>
    <n v="1357.92"/>
    <n v="56.58"/>
    <x v="67"/>
    <n v="113.16"/>
    <x v="2"/>
  </r>
  <r>
    <x v="14"/>
    <s v="Matteo Giolo"/>
    <x v="1"/>
    <x v="361"/>
    <x v="361"/>
    <n v="16"/>
    <s v="METRE"/>
    <n v="0"/>
    <n v="100"/>
    <n v="84"/>
    <n v="-32"/>
    <n v="0"/>
    <n v="0"/>
    <n v="14.85"/>
    <x v="23"/>
    <n v="237.6"/>
    <x v="7"/>
  </r>
  <r>
    <x v="13"/>
    <s v="Volkan Batkan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2"/>
    <s v="Stefan Zaugg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4"/>
    <s v="Matteo Giolo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1"/>
    <s v="Jan Urbanek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1"/>
    <s v="Jan Urbanek"/>
    <x v="1"/>
    <x v="362"/>
    <x v="362"/>
    <n v="1"/>
    <s v="ADET"/>
    <n v="0"/>
    <n v="12"/>
    <n v="14"/>
    <n v="2"/>
    <n v="0"/>
    <n v="233.34"/>
    <n v="116.67"/>
    <x v="86"/>
    <n v="116.67"/>
    <x v="2"/>
  </r>
  <r>
    <x v="14"/>
    <s v="Matteo Giolo"/>
    <x v="1"/>
    <x v="362"/>
    <x v="362"/>
    <n v="1"/>
    <s v="ADET"/>
    <n v="0"/>
    <n v="12"/>
    <n v="14"/>
    <n v="2"/>
    <n v="0"/>
    <n v="233.34"/>
    <n v="116.67"/>
    <x v="86"/>
    <n v="116.67"/>
    <x v="2"/>
  </r>
  <r>
    <x v="14"/>
    <s v="Matteo Giolo"/>
    <x v="1"/>
    <x v="371"/>
    <x v="371"/>
    <n v="14"/>
    <s v="ADET"/>
    <n v="0"/>
    <n v="574"/>
    <n v="98"/>
    <n v="-260"/>
    <n v="0"/>
    <n v="0"/>
    <n v="6.67"/>
    <x v="89"/>
    <n v="93.38"/>
    <x v="7"/>
  </r>
  <r>
    <x v="13"/>
    <s v="Volkan Batkan"/>
    <x v="1"/>
    <x v="390"/>
    <x v="390"/>
    <n v="2"/>
    <s v="ADET"/>
    <n v="0"/>
    <n v="9"/>
    <n v="6"/>
    <n v="11"/>
    <n v="0"/>
    <n v="831.71"/>
    <n v="75.61"/>
    <x v="67"/>
    <n v="151.22"/>
    <x v="2"/>
  </r>
  <r>
    <x v="4"/>
    <s v="Jan Urbanek"/>
    <x v="1"/>
    <x v="370"/>
    <x v="370"/>
    <n v="1"/>
    <s v="ADET"/>
    <n v="0"/>
    <n v="6"/>
    <n v="7"/>
    <n v="-3"/>
    <n v="10"/>
    <n v="0"/>
    <n v="750"/>
    <x v="38"/>
    <n v="750"/>
    <x v="4"/>
  </r>
  <r>
    <x v="3"/>
    <s v="Jan Urbanek"/>
    <x v="1"/>
    <x v="370"/>
    <x v="370"/>
    <n v="1"/>
    <s v="ADET"/>
    <n v="0"/>
    <n v="6"/>
    <n v="7"/>
    <n v="-3"/>
    <n v="10"/>
    <n v="0"/>
    <n v="750"/>
    <x v="38"/>
    <n v="750"/>
    <x v="4"/>
  </r>
  <r>
    <x v="4"/>
    <s v="Jan Urbanek"/>
    <x v="1"/>
    <x v="371"/>
    <x v="371"/>
    <n v="14"/>
    <s v="ADET"/>
    <n v="0"/>
    <n v="574"/>
    <n v="98"/>
    <n v="-260"/>
    <n v="0"/>
    <n v="0"/>
    <n v="6.67"/>
    <x v="89"/>
    <n v="93.38"/>
    <x v="7"/>
  </r>
  <r>
    <x v="13"/>
    <s v="Volkan Batkan"/>
    <x v="1"/>
    <x v="358"/>
    <x v="358"/>
    <n v="16"/>
    <s v="KG"/>
    <n v="0"/>
    <n v="63"/>
    <n v="1.4210854715202004E-14"/>
    <n v="133"/>
    <n v="0"/>
    <n v="146019.37000000002"/>
    <n v="1097.8900000000001"/>
    <x v="81"/>
    <n v="17566.240000000002"/>
    <x v="3"/>
  </r>
  <r>
    <x v="10"/>
    <s v="Murat Taşdemir"/>
    <x v="1"/>
    <x v="362"/>
    <x v="362"/>
    <n v="1"/>
    <s v="ADET"/>
    <n v="0"/>
    <n v="12"/>
    <n v="14"/>
    <n v="2"/>
    <n v="0"/>
    <n v="233.34"/>
    <n v="116.67"/>
    <x v="86"/>
    <n v="116.67"/>
    <x v="2"/>
  </r>
  <r>
    <x v="10"/>
    <s v="Murat Taşdemir"/>
    <x v="1"/>
    <x v="493"/>
    <x v="493"/>
    <n v="1"/>
    <s v="ADET"/>
    <n v="0"/>
    <n v="0"/>
    <n v="1"/>
    <n v="1"/>
    <n v="0"/>
    <n v="3321"/>
    <n v="3321"/>
    <x v="43"/>
    <n v="3321"/>
    <x v="7"/>
  </r>
  <r>
    <x v="9"/>
    <s v="Stefan Zaugg"/>
    <x v="1"/>
    <x v="371"/>
    <x v="371"/>
    <n v="22"/>
    <s v="ADET"/>
    <n v="0"/>
    <n v="574"/>
    <n v="98"/>
    <n v="-260"/>
    <n v="0"/>
    <n v="0"/>
    <n v="6.67"/>
    <x v="89"/>
    <n v="146.74"/>
    <x v="7"/>
  </r>
  <r>
    <x v="10"/>
    <s v="Murat Taşdemir"/>
    <x v="1"/>
    <x v="371"/>
    <x v="371"/>
    <n v="16"/>
    <s v="ADET"/>
    <n v="0"/>
    <n v="574"/>
    <n v="98"/>
    <n v="-260"/>
    <n v="0"/>
    <n v="0"/>
    <n v="6.67"/>
    <x v="89"/>
    <n v="106.72"/>
    <x v="7"/>
  </r>
  <r>
    <x v="14"/>
    <s v="Matteo Giolo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2"/>
    <s v="Jan Urbanek"/>
    <x v="1"/>
    <x v="362"/>
    <x v="362"/>
    <n v="1"/>
    <s v="ADET"/>
    <n v="0"/>
    <n v="12"/>
    <n v="14"/>
    <n v="2"/>
    <n v="0"/>
    <n v="233.34"/>
    <n v="116.67"/>
    <x v="86"/>
    <n v="116.67"/>
    <x v="2"/>
  </r>
  <r>
    <x v="8"/>
    <s v="Jan Urbanek"/>
    <x v="1"/>
    <x v="370"/>
    <x v="370"/>
    <n v="1"/>
    <s v="ADET"/>
    <n v="0"/>
    <n v="6"/>
    <n v="7"/>
    <n v="-3"/>
    <n v="10"/>
    <n v="0"/>
    <n v="750"/>
    <x v="38"/>
    <n v="750"/>
    <x v="4"/>
  </r>
  <r>
    <x v="8"/>
    <s v="Jan Urbanek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4"/>
    <s v="Jan Urbanek"/>
    <x v="1"/>
    <x v="390"/>
    <x v="390"/>
    <n v="2"/>
    <s v="ADET"/>
    <n v="0"/>
    <n v="9"/>
    <n v="6"/>
    <n v="11"/>
    <n v="0"/>
    <n v="831.71"/>
    <n v="75.61"/>
    <x v="67"/>
    <n v="151.22"/>
    <x v="2"/>
  </r>
  <r>
    <x v="3"/>
    <s v="Jan Urbanek"/>
    <x v="1"/>
    <x v="390"/>
    <x v="390"/>
    <n v="2"/>
    <s v="ADET"/>
    <n v="0"/>
    <n v="9"/>
    <n v="6"/>
    <n v="11"/>
    <n v="0"/>
    <n v="831.71"/>
    <n v="75.61"/>
    <x v="67"/>
    <n v="151.22"/>
    <x v="2"/>
  </r>
  <r>
    <x v="4"/>
    <s v="Jan Urbanek"/>
    <x v="1"/>
    <x v="494"/>
    <x v="494"/>
    <n v="1"/>
    <s v="ADET"/>
    <n v="0"/>
    <n v="2"/>
    <n v="1"/>
    <n v="-1"/>
    <n v="2"/>
    <n v="0"/>
    <n v="41000"/>
    <x v="109"/>
    <n v="41000"/>
    <x v="11"/>
  </r>
  <r>
    <x v="0"/>
    <s v="Matteo Giolo"/>
    <x v="1"/>
    <x v="272"/>
    <x v="272"/>
    <n v="1"/>
    <s v="ADET"/>
    <n v="0"/>
    <n v="23"/>
    <n v="8"/>
    <n v="-50"/>
    <n v="40"/>
    <n v="0"/>
    <n v="312"/>
    <x v="56"/>
    <n v="312"/>
    <x v="2"/>
  </r>
  <r>
    <x v="0"/>
    <s v="Matteo Giolo"/>
    <x v="1"/>
    <x v="273"/>
    <x v="273"/>
    <n v="1"/>
    <s v="ADET"/>
    <n v="0"/>
    <n v="25"/>
    <n v="3"/>
    <n v="-11"/>
    <n v="0"/>
    <n v="0"/>
    <n v="360.05"/>
    <x v="67"/>
    <n v="360.05"/>
    <x v="4"/>
  </r>
  <r>
    <x v="0"/>
    <s v="Matteo Giolo"/>
    <x v="1"/>
    <x v="275"/>
    <x v="275"/>
    <n v="22"/>
    <s v="MT"/>
    <n v="0"/>
    <n v="200"/>
    <n v="86"/>
    <n v="220"/>
    <n v="0"/>
    <n v="23100"/>
    <n v="105"/>
    <x v="78"/>
    <n v="2310"/>
    <x v="6"/>
  </r>
  <r>
    <x v="2"/>
    <s v="Jan Urbanek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11"/>
    <s v="Jan Urbanek"/>
    <x v="1"/>
    <x v="495"/>
    <x v="495"/>
    <n v="2"/>
    <s v="ADET"/>
    <n v="0"/>
    <n v="28"/>
    <n v="6"/>
    <n v="-8"/>
    <n v="0"/>
    <n v="0"/>
    <n v="50.41"/>
    <x v="67"/>
    <n v="100.82"/>
    <x v="2"/>
  </r>
  <r>
    <x v="10"/>
    <s v="Murat Taşdemir"/>
    <x v="1"/>
    <x v="275"/>
    <x v="275"/>
    <n v="22"/>
    <s v="MT"/>
    <n v="0"/>
    <n v="200"/>
    <n v="86"/>
    <n v="220"/>
    <n v="0"/>
    <n v="23100"/>
    <n v="105"/>
    <x v="78"/>
    <n v="2310"/>
    <x v="6"/>
  </r>
  <r>
    <x v="7"/>
    <s v="Stina Alm"/>
    <x v="1"/>
    <x v="272"/>
    <x v="272"/>
    <n v="1"/>
    <s v="ADET"/>
    <n v="0"/>
    <n v="23"/>
    <n v="8"/>
    <n v="-50"/>
    <n v="40"/>
    <n v="0"/>
    <n v="312"/>
    <x v="56"/>
    <n v="312"/>
    <x v="2"/>
  </r>
  <r>
    <x v="0"/>
    <s v="Matteo Giolo"/>
    <x v="1"/>
    <x v="354"/>
    <x v="354"/>
    <n v="6"/>
    <s v="ADET"/>
    <n v="0"/>
    <n v="100"/>
    <n v="52"/>
    <n v="-52"/>
    <n v="0"/>
    <n v="0"/>
    <n v="1.1299999999999999"/>
    <x v="23"/>
    <n v="6.7799999999999994"/>
    <x v="7"/>
  </r>
  <r>
    <x v="4"/>
    <s v="Jan Urbanek"/>
    <x v="1"/>
    <x v="354"/>
    <x v="354"/>
    <n v="2"/>
    <s v="ADET"/>
    <n v="0"/>
    <n v="100"/>
    <n v="52"/>
    <n v="-52"/>
    <n v="0"/>
    <n v="0"/>
    <n v="1.1299999999999999"/>
    <x v="23"/>
    <n v="2.2599999999999998"/>
    <x v="7"/>
  </r>
  <r>
    <x v="3"/>
    <s v="Jan Urbanek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0"/>
    <s v="Matteo Giolo"/>
    <x v="1"/>
    <x v="495"/>
    <x v="495"/>
    <n v="2"/>
    <s v="ADET"/>
    <n v="0"/>
    <n v="28"/>
    <n v="6"/>
    <n v="-8"/>
    <n v="0"/>
    <n v="0"/>
    <n v="50.41"/>
    <x v="67"/>
    <n v="100.82"/>
    <x v="2"/>
  </r>
  <r>
    <x v="9"/>
    <s v="Stefan Zaugg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7"/>
    <s v="Stina Alm"/>
    <x v="1"/>
    <x v="271"/>
    <x v="271"/>
    <n v="2"/>
    <s v="ADET"/>
    <n v="0"/>
    <n v="288"/>
    <n v="94"/>
    <n v="-260"/>
    <n v="0"/>
    <n v="0"/>
    <n v="4"/>
    <x v="29"/>
    <n v="8"/>
    <x v="7"/>
  </r>
  <r>
    <x v="5"/>
    <s v="Matteo Giolo"/>
    <x v="1"/>
    <x v="271"/>
    <x v="271"/>
    <n v="2"/>
    <s v="ADET"/>
    <n v="0"/>
    <n v="288"/>
    <n v="94"/>
    <n v="-260"/>
    <n v="0"/>
    <n v="0"/>
    <n v="4"/>
    <x v="29"/>
    <n v="8"/>
    <x v="7"/>
  </r>
  <r>
    <x v="7"/>
    <s v="Stina Alm"/>
    <x v="1"/>
    <x v="275"/>
    <x v="275"/>
    <n v="22"/>
    <s v="MT"/>
    <n v="0"/>
    <n v="200"/>
    <n v="86"/>
    <n v="220"/>
    <n v="0"/>
    <n v="23100"/>
    <n v="105"/>
    <x v="78"/>
    <n v="2310"/>
    <x v="6"/>
  </r>
  <r>
    <x v="6"/>
    <s v="Stefan Zaugg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5"/>
    <s v="Matteo Giolo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10"/>
    <s v="Murat Taşdemir"/>
    <x v="1"/>
    <x v="495"/>
    <x v="495"/>
    <n v="2"/>
    <s v="ADET"/>
    <n v="0"/>
    <n v="28"/>
    <n v="6"/>
    <n v="-8"/>
    <n v="0"/>
    <n v="0"/>
    <n v="50.41"/>
    <x v="67"/>
    <n v="100.82"/>
    <x v="2"/>
  </r>
  <r>
    <x v="16"/>
    <s v="Laurent MONTAGNER"/>
    <x v="1"/>
    <x v="353"/>
    <x v="353"/>
    <n v="1"/>
    <s v="ADET"/>
    <n v="0"/>
    <n v="7"/>
    <n v="4"/>
    <n v="-4"/>
    <n v="0"/>
    <n v="0"/>
    <n v="8495.43"/>
    <x v="53"/>
    <n v="8495.43"/>
    <x v="2"/>
  </r>
  <r>
    <x v="8"/>
    <s v="Jan Urbanek"/>
    <x v="1"/>
    <x v="354"/>
    <x v="354"/>
    <n v="2"/>
    <s v="ADET"/>
    <n v="0"/>
    <n v="100"/>
    <n v="52"/>
    <n v="-52"/>
    <n v="0"/>
    <n v="0"/>
    <n v="1.1299999999999999"/>
    <x v="23"/>
    <n v="2.2599999999999998"/>
    <x v="7"/>
  </r>
  <r>
    <x v="13"/>
    <s v="Volkan Batkan"/>
    <x v="1"/>
    <x v="495"/>
    <x v="495"/>
    <n v="2"/>
    <s v="ADET"/>
    <n v="0"/>
    <n v="28"/>
    <n v="6"/>
    <n v="-8"/>
    <n v="0"/>
    <n v="0"/>
    <n v="50.41"/>
    <x v="67"/>
    <n v="100.82"/>
    <x v="2"/>
  </r>
  <r>
    <x v="8"/>
    <s v="Jan Urbanek"/>
    <x v="1"/>
    <x v="495"/>
    <x v="495"/>
    <n v="2"/>
    <s v="ADET"/>
    <n v="0"/>
    <n v="28"/>
    <n v="6"/>
    <n v="-8"/>
    <n v="0"/>
    <n v="0"/>
    <n v="50.41"/>
    <x v="67"/>
    <n v="100.82"/>
    <x v="2"/>
  </r>
  <r>
    <x v="18"/>
    <s v="Stina Alm"/>
    <x v="1"/>
    <x v="271"/>
    <x v="271"/>
    <n v="2"/>
    <s v="ADET"/>
    <n v="0"/>
    <n v="288"/>
    <n v="94"/>
    <n v="-260"/>
    <n v="0"/>
    <n v="0"/>
    <n v="4"/>
    <x v="29"/>
    <n v="8"/>
    <x v="7"/>
  </r>
  <r>
    <x v="2"/>
    <s v="Jan Urbanek"/>
    <x v="1"/>
    <x v="495"/>
    <x v="495"/>
    <n v="2"/>
    <s v="ADET"/>
    <n v="0"/>
    <n v="28"/>
    <n v="6"/>
    <n v="-8"/>
    <n v="0"/>
    <n v="0"/>
    <n v="50.41"/>
    <x v="67"/>
    <n v="100.82"/>
    <x v="2"/>
  </r>
  <r>
    <x v="17"/>
    <s v="Soner Kayıkçı"/>
    <x v="1"/>
    <x v="317"/>
    <x v="317"/>
    <n v="1"/>
    <s v="ADET"/>
    <n v="0"/>
    <n v="4"/>
    <n v="2"/>
    <n v="0"/>
    <n v="0"/>
    <n v="0"/>
    <n v="2249.17"/>
    <x v="83"/>
    <n v="2249.17"/>
    <x v="2"/>
  </r>
  <r>
    <x v="17"/>
    <s v="Soner Kayıkçı"/>
    <x v="1"/>
    <x v="270"/>
    <x v="270"/>
    <n v="1"/>
    <s v="ADET"/>
    <n v="0"/>
    <n v="15"/>
    <n v="11"/>
    <n v="-1"/>
    <n v="0"/>
    <n v="0"/>
    <n v="237.5"/>
    <x v="1"/>
    <n v="237.5"/>
    <x v="1"/>
  </r>
  <r>
    <x v="18"/>
    <s v="Stina Alm"/>
    <x v="1"/>
    <x v="270"/>
    <x v="270"/>
    <n v="1"/>
    <s v="ADET"/>
    <n v="0"/>
    <n v="15"/>
    <n v="11"/>
    <n v="-1"/>
    <n v="0"/>
    <n v="0"/>
    <n v="237.5"/>
    <x v="1"/>
    <n v="237.5"/>
    <x v="1"/>
  </r>
  <r>
    <x v="19"/>
    <s v="Laurent MONTAGNER"/>
    <x v="1"/>
    <x v="356"/>
    <x v="356"/>
    <n v="4.5"/>
    <s v="METRE"/>
    <n v="0"/>
    <n v="100"/>
    <n v="185.5"/>
    <n v="-88.5"/>
    <n v="0"/>
    <n v="0"/>
    <n v="57.6"/>
    <x v="23"/>
    <n v="259.2"/>
    <x v="7"/>
  </r>
  <r>
    <x v="4"/>
    <s v="Jan Urbanek"/>
    <x v="1"/>
    <x v="449"/>
    <x v="449"/>
    <n v="2"/>
    <s v="ADET"/>
    <n v="0"/>
    <n v="250"/>
    <n v="302"/>
    <n v="-202"/>
    <n v="0"/>
    <n v="0"/>
    <n v="0.9"/>
    <x v="23"/>
    <n v="1.8"/>
    <x v="7"/>
  </r>
  <r>
    <x v="2"/>
    <s v="Jan Urbanek"/>
    <x v="1"/>
    <x v="489"/>
    <x v="489"/>
    <n v="1"/>
    <s v="ADET"/>
    <n v="0"/>
    <n v="7"/>
    <n v="9"/>
    <n v="-4"/>
    <n v="10"/>
    <n v="0"/>
    <n v="450"/>
    <x v="38"/>
    <n v="450"/>
    <x v="4"/>
  </r>
  <r>
    <x v="18"/>
    <s v="Stina Alm"/>
    <x v="1"/>
    <x v="392"/>
    <x v="392"/>
    <n v="52"/>
    <s v="ADET"/>
    <n v="0"/>
    <n v="880"/>
    <n v="414"/>
    <n v="-82"/>
    <n v="0"/>
    <n v="0"/>
    <n v="2.1"/>
    <x v="2"/>
    <n v="109.2"/>
    <x v="1"/>
  </r>
  <r>
    <x v="17"/>
    <s v="Soner Kayıkçı"/>
    <x v="1"/>
    <x v="392"/>
    <x v="392"/>
    <n v="38"/>
    <s v="ADET"/>
    <n v="0"/>
    <n v="880"/>
    <n v="414"/>
    <n v="-82"/>
    <n v="0"/>
    <n v="0"/>
    <n v="2.1"/>
    <x v="2"/>
    <n v="79.8"/>
    <x v="1"/>
  </r>
  <r>
    <x v="19"/>
    <s v="Laurent MONTAGNER"/>
    <x v="1"/>
    <x v="392"/>
    <x v="392"/>
    <n v="52"/>
    <s v="ADET"/>
    <n v="0"/>
    <n v="880"/>
    <n v="414"/>
    <n v="-82"/>
    <n v="0"/>
    <n v="0"/>
    <n v="2.1"/>
    <x v="2"/>
    <n v="109.2"/>
    <x v="1"/>
  </r>
  <r>
    <x v="7"/>
    <s v="Stina Alm"/>
    <x v="1"/>
    <x v="489"/>
    <x v="489"/>
    <n v="1"/>
    <s v="ADET"/>
    <n v="0"/>
    <n v="7"/>
    <n v="9"/>
    <n v="-4"/>
    <n v="10"/>
    <n v="0"/>
    <n v="450"/>
    <x v="38"/>
    <n v="450"/>
    <x v="4"/>
  </r>
  <r>
    <x v="10"/>
    <s v="Murat Taşdemir"/>
    <x v="1"/>
    <x v="496"/>
    <x v="496"/>
    <n v="4"/>
    <s v="ADET"/>
    <n v="0"/>
    <n v="33"/>
    <n v="6"/>
    <n v="7"/>
    <n v="0"/>
    <n v="1206.17"/>
    <n v="172.31"/>
    <x v="67"/>
    <n v="689.24"/>
    <x v="2"/>
  </r>
  <r>
    <x v="4"/>
    <s v="Jan Urbanek"/>
    <x v="1"/>
    <x v="496"/>
    <x v="496"/>
    <n v="4"/>
    <s v="ADET"/>
    <n v="0"/>
    <n v="33"/>
    <n v="6"/>
    <n v="7"/>
    <n v="0"/>
    <n v="1206.17"/>
    <n v="172.31"/>
    <x v="67"/>
    <n v="689.24"/>
    <x v="2"/>
  </r>
  <r>
    <x v="18"/>
    <s v="Stina Alm"/>
    <x v="1"/>
    <x v="394"/>
    <x v="394"/>
    <n v="1"/>
    <s v="ADET"/>
    <n v="0"/>
    <n v="2"/>
    <n v="8"/>
    <n v="5"/>
    <n v="3"/>
    <n v="30287.5"/>
    <n v="6057.5"/>
    <x v="43"/>
    <n v="6057.5"/>
    <x v="7"/>
  </r>
  <r>
    <x v="2"/>
    <s v="Jan Urbanek"/>
    <x v="1"/>
    <x v="449"/>
    <x v="449"/>
    <n v="4"/>
    <s v="ADET"/>
    <n v="0"/>
    <n v="250"/>
    <n v="302"/>
    <n v="-202"/>
    <n v="0"/>
    <n v="0"/>
    <n v="0.9"/>
    <x v="23"/>
    <n v="3.6"/>
    <x v="7"/>
  </r>
  <r>
    <x v="8"/>
    <s v="Jan Urbanek"/>
    <x v="1"/>
    <x v="489"/>
    <x v="489"/>
    <n v="1"/>
    <s v="ADET"/>
    <n v="0"/>
    <n v="7"/>
    <n v="9"/>
    <n v="-4"/>
    <n v="10"/>
    <n v="0"/>
    <n v="450"/>
    <x v="38"/>
    <n v="450"/>
    <x v="4"/>
  </r>
  <r>
    <x v="2"/>
    <s v="Jan Urbanek"/>
    <x v="1"/>
    <x v="496"/>
    <x v="496"/>
    <n v="4"/>
    <s v="ADET"/>
    <n v="0"/>
    <n v="33"/>
    <n v="6"/>
    <n v="7"/>
    <n v="0"/>
    <n v="1206.17"/>
    <n v="172.31"/>
    <x v="67"/>
    <n v="689.24"/>
    <x v="2"/>
  </r>
  <r>
    <x v="6"/>
    <s v="Stefan Zaugg"/>
    <x v="1"/>
    <x v="489"/>
    <x v="489"/>
    <n v="1"/>
    <s v="ADET"/>
    <n v="1"/>
    <n v="7"/>
    <n v="9"/>
    <n v="-4"/>
    <n v="10"/>
    <n v="0"/>
    <n v="450"/>
    <x v="38"/>
    <n v="450"/>
    <x v="4"/>
  </r>
  <r>
    <x v="5"/>
    <s v="Matteo Giolo"/>
    <x v="1"/>
    <x v="489"/>
    <x v="489"/>
    <n v="1"/>
    <s v="ADET"/>
    <n v="0"/>
    <n v="7"/>
    <n v="9"/>
    <n v="-4"/>
    <n v="10"/>
    <n v="0"/>
    <n v="450"/>
    <x v="38"/>
    <n v="450"/>
    <x v="4"/>
  </r>
  <r>
    <x v="0"/>
    <s v="Matteo Giolo"/>
    <x v="1"/>
    <x v="496"/>
    <x v="496"/>
    <n v="4"/>
    <s v="ADET"/>
    <n v="0"/>
    <n v="33"/>
    <n v="6"/>
    <n v="7"/>
    <n v="0"/>
    <n v="1206.17"/>
    <n v="172.31"/>
    <x v="67"/>
    <n v="689.24"/>
    <x v="2"/>
  </r>
  <r>
    <x v="3"/>
    <s v="Jan Urbanek"/>
    <x v="1"/>
    <x v="496"/>
    <x v="496"/>
    <n v="4"/>
    <s v="ADET"/>
    <n v="0"/>
    <n v="33"/>
    <n v="6"/>
    <n v="7"/>
    <n v="0"/>
    <n v="1206.17"/>
    <n v="172.31"/>
    <x v="67"/>
    <n v="689.24"/>
    <x v="2"/>
  </r>
  <r>
    <x v="3"/>
    <s v="Jan Urbanek"/>
    <x v="1"/>
    <x v="489"/>
    <x v="489"/>
    <n v="1"/>
    <s v="ADET"/>
    <n v="0"/>
    <n v="7"/>
    <n v="9"/>
    <n v="-4"/>
    <n v="10"/>
    <n v="0"/>
    <n v="450"/>
    <x v="38"/>
    <n v="450"/>
    <x v="4"/>
  </r>
  <r>
    <x v="4"/>
    <s v="Jan Urbanek"/>
    <x v="1"/>
    <x v="489"/>
    <x v="489"/>
    <n v="1"/>
    <s v="ADET"/>
    <n v="0"/>
    <n v="7"/>
    <n v="9"/>
    <n v="-4"/>
    <n v="10"/>
    <n v="0"/>
    <n v="450"/>
    <x v="38"/>
    <n v="450"/>
    <x v="4"/>
  </r>
  <r>
    <x v="16"/>
    <s v="Laurent MONTAGNER"/>
    <x v="1"/>
    <x v="392"/>
    <x v="392"/>
    <n v="44"/>
    <s v="ADET"/>
    <n v="0"/>
    <n v="880"/>
    <n v="414"/>
    <n v="-82"/>
    <n v="0"/>
    <n v="0"/>
    <n v="2.1"/>
    <x v="2"/>
    <n v="92.4"/>
    <x v="1"/>
  </r>
  <r>
    <x v="0"/>
    <s v="Matteo Giolo"/>
    <x v="1"/>
    <x v="489"/>
    <x v="489"/>
    <n v="1"/>
    <s v="ADET"/>
    <n v="0"/>
    <n v="7"/>
    <n v="9"/>
    <n v="-4"/>
    <n v="10"/>
    <n v="0"/>
    <n v="450"/>
    <x v="38"/>
    <n v="450"/>
    <x v="4"/>
  </r>
  <r>
    <x v="11"/>
    <s v="Jan Urbanek"/>
    <x v="1"/>
    <x v="496"/>
    <x v="496"/>
    <n v="4"/>
    <s v="ADET"/>
    <n v="0"/>
    <n v="33"/>
    <n v="6"/>
    <n v="7"/>
    <n v="0"/>
    <n v="1206.17"/>
    <n v="172.31"/>
    <x v="67"/>
    <n v="689.24"/>
    <x v="2"/>
  </r>
  <r>
    <x v="13"/>
    <s v="Volkan Batkan"/>
    <x v="1"/>
    <x v="496"/>
    <x v="496"/>
    <n v="4"/>
    <s v="ADET"/>
    <n v="0"/>
    <n v="33"/>
    <n v="6"/>
    <n v="7"/>
    <n v="0"/>
    <n v="1206.17"/>
    <n v="172.31"/>
    <x v="67"/>
    <n v="689.24"/>
    <x v="2"/>
  </r>
  <r>
    <x v="8"/>
    <s v="Jan Urbanek"/>
    <x v="1"/>
    <x v="496"/>
    <x v="496"/>
    <n v="4"/>
    <s v="ADET"/>
    <n v="0"/>
    <n v="33"/>
    <n v="6"/>
    <n v="7"/>
    <n v="0"/>
    <n v="1206.17"/>
    <n v="172.31"/>
    <x v="67"/>
    <n v="689.24"/>
    <x v="2"/>
  </r>
  <r>
    <x v="19"/>
    <s v="Laurent MONTAGNER"/>
    <x v="1"/>
    <x v="394"/>
    <x v="394"/>
    <n v="1"/>
    <s v="ADET"/>
    <n v="1"/>
    <n v="2"/>
    <n v="8"/>
    <n v="5"/>
    <n v="3"/>
    <n v="30287.5"/>
    <n v="6057.5"/>
    <x v="43"/>
    <n v="6057.5"/>
    <x v="7"/>
  </r>
  <r>
    <x v="9"/>
    <s v="Stefan Zaugg"/>
    <x v="1"/>
    <x v="373"/>
    <x v="373"/>
    <n v="1"/>
    <s v="ADET"/>
    <n v="0"/>
    <n v="11"/>
    <n v="4"/>
    <n v="-4"/>
    <n v="0"/>
    <n v="0"/>
    <n v="1678.88"/>
    <x v="67"/>
    <n v="1678.88"/>
    <x v="4"/>
  </r>
  <r>
    <x v="10"/>
    <s v="Murat Taşdemir"/>
    <x v="1"/>
    <x v="374"/>
    <x v="374"/>
    <n v="1"/>
    <s v="ADET"/>
    <n v="0"/>
    <n v="8"/>
    <n v="9"/>
    <n v="-31"/>
    <n v="36"/>
    <n v="0"/>
    <n v="101.4"/>
    <x v="90"/>
    <n v="101.4"/>
    <x v="7"/>
  </r>
  <r>
    <x v="11"/>
    <s v="Jan Urbanek"/>
    <x v="1"/>
    <x v="366"/>
    <x v="366"/>
    <n v="1"/>
    <s v="ADET"/>
    <n v="0"/>
    <n v="20.5"/>
    <n v="5"/>
    <n v="-9.5"/>
    <n v="0"/>
    <n v="0"/>
    <n v="175"/>
    <x v="56"/>
    <n v="175"/>
    <x v="1"/>
  </r>
  <r>
    <x v="14"/>
    <s v="Matteo Giolo"/>
    <x v="1"/>
    <x v="366"/>
    <x v="366"/>
    <n v="1"/>
    <s v="ADET"/>
    <n v="0"/>
    <n v="20.5"/>
    <n v="5"/>
    <n v="-9.5"/>
    <n v="0"/>
    <n v="0"/>
    <n v="175"/>
    <x v="56"/>
    <n v="175"/>
    <x v="1"/>
  </r>
  <r>
    <x v="14"/>
    <s v="Matteo Giolo"/>
    <x v="1"/>
    <x v="374"/>
    <x v="374"/>
    <n v="1"/>
    <s v="ADET"/>
    <n v="0"/>
    <n v="8"/>
    <n v="9"/>
    <n v="-31"/>
    <n v="36"/>
    <n v="0"/>
    <n v="101.4"/>
    <x v="90"/>
    <n v="101.4"/>
    <x v="7"/>
  </r>
  <r>
    <x v="11"/>
    <s v="Jan Urbanek"/>
    <x v="1"/>
    <x v="374"/>
    <x v="374"/>
    <n v="1"/>
    <s v="ADET"/>
    <n v="0"/>
    <n v="8"/>
    <n v="9"/>
    <n v="-31"/>
    <n v="36"/>
    <n v="0"/>
    <n v="101.4"/>
    <x v="90"/>
    <n v="101.4"/>
    <x v="7"/>
  </r>
  <r>
    <x v="4"/>
    <s v="Jan Urbanek"/>
    <x v="1"/>
    <x v="367"/>
    <x v="367"/>
    <n v="1"/>
    <s v="ADET"/>
    <n v="0"/>
    <n v="14"/>
    <n v="15"/>
    <n v="-1"/>
    <n v="0"/>
    <n v="0"/>
    <n v="400"/>
    <x v="86"/>
    <n v="400"/>
    <x v="2"/>
  </r>
  <r>
    <x v="3"/>
    <s v="Jan Urbanek"/>
    <x v="1"/>
    <x v="367"/>
    <x v="367"/>
    <n v="1"/>
    <s v="ADET"/>
    <n v="0"/>
    <n v="14"/>
    <n v="15"/>
    <n v="-1"/>
    <n v="0"/>
    <n v="0"/>
    <n v="400"/>
    <x v="86"/>
    <n v="400"/>
    <x v="2"/>
  </r>
  <r>
    <x v="4"/>
    <s v="Jan Urbanek"/>
    <x v="1"/>
    <x v="368"/>
    <x v="368"/>
    <n v="2"/>
    <s v="ADET"/>
    <n v="0"/>
    <n v="0"/>
    <n v="0"/>
    <n v="14"/>
    <n v="0"/>
    <n v="0"/>
    <n v="0"/>
    <x v="6"/>
    <n v="0"/>
    <x v="7"/>
  </r>
  <r>
    <x v="3"/>
    <s v="Jan Urbanek"/>
    <x v="1"/>
    <x v="368"/>
    <x v="368"/>
    <n v="2"/>
    <s v="ADET"/>
    <n v="0"/>
    <n v="0"/>
    <n v="0"/>
    <n v="14"/>
    <n v="0"/>
    <n v="0"/>
    <n v="0"/>
    <x v="6"/>
    <n v="0"/>
    <x v="7"/>
  </r>
  <r>
    <x v="3"/>
    <s v="Jan Urbanek"/>
    <x v="1"/>
    <x v="373"/>
    <x v="373"/>
    <n v="1"/>
    <s v="ADET"/>
    <n v="0"/>
    <n v="11"/>
    <n v="4"/>
    <n v="-4"/>
    <n v="0"/>
    <n v="0"/>
    <n v="1678.88"/>
    <x v="67"/>
    <n v="1678.88"/>
    <x v="4"/>
  </r>
  <r>
    <x v="4"/>
    <s v="Jan Urbanek"/>
    <x v="1"/>
    <x v="375"/>
    <x v="375"/>
    <n v="6"/>
    <s v="ADET"/>
    <n v="0"/>
    <n v="0"/>
    <n v="0"/>
    <n v="42"/>
    <n v="0"/>
    <n v="15.12"/>
    <n v="0.36"/>
    <x v="5"/>
    <n v="2.16"/>
    <x v="1"/>
  </r>
  <r>
    <x v="3"/>
    <s v="Jan Urbanek"/>
    <x v="1"/>
    <x v="375"/>
    <x v="375"/>
    <n v="6"/>
    <s v="ADET"/>
    <n v="0"/>
    <n v="0"/>
    <n v="0"/>
    <n v="42"/>
    <n v="0"/>
    <n v="15.12"/>
    <n v="0.36"/>
    <x v="5"/>
    <n v="2.16"/>
    <x v="1"/>
  </r>
  <r>
    <x v="16"/>
    <s v="Laurent MONTAGNER"/>
    <x v="1"/>
    <x v="287"/>
    <x v="287"/>
    <n v="2"/>
    <s v="ADET"/>
    <n v="0"/>
    <n v="6"/>
    <n v="7"/>
    <n v="2"/>
    <n v="6"/>
    <n v="3200"/>
    <n v="1600"/>
    <x v="2"/>
    <n v="3200"/>
    <x v="4"/>
  </r>
  <r>
    <x v="16"/>
    <s v="Laurent MONTAGNER"/>
    <x v="1"/>
    <x v="288"/>
    <x v="288"/>
    <n v="2"/>
    <s v="ADET"/>
    <n v="0"/>
    <n v="34"/>
    <n v="27"/>
    <n v="-6"/>
    <n v="0"/>
    <n v="0"/>
    <n v="500"/>
    <x v="26"/>
    <n v="1000"/>
    <x v="2"/>
  </r>
  <r>
    <x v="17"/>
    <s v="Soner Kayıkçı"/>
    <x v="1"/>
    <x v="288"/>
    <x v="288"/>
    <n v="2"/>
    <s v="ADET"/>
    <n v="0"/>
    <n v="34"/>
    <n v="27"/>
    <n v="-6"/>
    <n v="0"/>
    <n v="0"/>
    <n v="500"/>
    <x v="26"/>
    <n v="1000"/>
    <x v="2"/>
  </r>
  <r>
    <x v="16"/>
    <s v="Laurent MONTAGNER"/>
    <x v="1"/>
    <x v="363"/>
    <x v="363"/>
    <n v="1"/>
    <s v="ADET"/>
    <n v="0"/>
    <n v="23"/>
    <n v="17"/>
    <n v="-8"/>
    <n v="0"/>
    <n v="0"/>
    <n v="750"/>
    <x v="26"/>
    <n v="750"/>
    <x v="2"/>
  </r>
  <r>
    <x v="17"/>
    <s v="Soner Kayıkçı"/>
    <x v="1"/>
    <x v="363"/>
    <x v="363"/>
    <n v="1"/>
    <s v="ADET"/>
    <n v="0"/>
    <n v="23"/>
    <n v="17"/>
    <n v="-8"/>
    <n v="0"/>
    <n v="0"/>
    <n v="750"/>
    <x v="26"/>
    <n v="750"/>
    <x v="2"/>
  </r>
  <r>
    <x v="8"/>
    <s v="Jan Urbanek"/>
    <x v="1"/>
    <x v="374"/>
    <x v="374"/>
    <n v="1"/>
    <s v="ADET"/>
    <n v="0"/>
    <n v="8"/>
    <n v="9"/>
    <n v="-31"/>
    <n v="36"/>
    <n v="0"/>
    <n v="101.4"/>
    <x v="90"/>
    <n v="101.4"/>
    <x v="7"/>
  </r>
  <r>
    <x v="16"/>
    <s v="Laurent MONTAGNER"/>
    <x v="1"/>
    <x v="369"/>
    <x v="369"/>
    <n v="2"/>
    <s v="ADET"/>
    <n v="0"/>
    <n v="216"/>
    <n v="118"/>
    <n v="-190"/>
    <n v="0"/>
    <n v="0"/>
    <n v="3.95"/>
    <x v="29"/>
    <n v="7.9"/>
    <x v="7"/>
  </r>
  <r>
    <x v="16"/>
    <s v="Laurent MONTAGNER"/>
    <x v="1"/>
    <x v="374"/>
    <x v="374"/>
    <n v="1"/>
    <s v="ADET"/>
    <n v="0"/>
    <n v="8"/>
    <n v="9"/>
    <n v="-31"/>
    <n v="36"/>
    <n v="0"/>
    <n v="101.4"/>
    <x v="90"/>
    <n v="101.4"/>
    <x v="7"/>
  </r>
  <r>
    <x v="2"/>
    <s v="Jan Urbanek"/>
    <x v="1"/>
    <x v="374"/>
    <x v="374"/>
    <n v="1"/>
    <s v="ADET"/>
    <n v="0"/>
    <n v="8"/>
    <n v="9"/>
    <n v="-31"/>
    <n v="36"/>
    <n v="0"/>
    <n v="101.4"/>
    <x v="90"/>
    <n v="101.4"/>
    <x v="7"/>
  </r>
  <r>
    <x v="8"/>
    <s v="Jan Urbanek"/>
    <x v="1"/>
    <x v="375"/>
    <x v="375"/>
    <n v="6"/>
    <s v="ADET"/>
    <n v="0"/>
    <n v="0"/>
    <n v="0"/>
    <n v="42"/>
    <n v="0"/>
    <n v="15.12"/>
    <n v="0.36"/>
    <x v="5"/>
    <n v="2.16"/>
    <x v="1"/>
  </r>
  <r>
    <x v="18"/>
    <s v="Stina Alm"/>
    <x v="1"/>
    <x v="365"/>
    <x v="365"/>
    <n v="1"/>
    <s v="ADET"/>
    <n v="0"/>
    <n v="6"/>
    <n v="8"/>
    <n v="-3"/>
    <n v="10"/>
    <n v="0"/>
    <n v="583.77"/>
    <x v="88"/>
    <n v="583.77"/>
    <x v="1"/>
  </r>
  <r>
    <x v="18"/>
    <s v="Stina Alm"/>
    <x v="1"/>
    <x v="367"/>
    <x v="367"/>
    <n v="1"/>
    <s v="ADET"/>
    <n v="0"/>
    <n v="14"/>
    <n v="15"/>
    <n v="-1"/>
    <n v="0"/>
    <n v="0"/>
    <n v="400"/>
    <x v="86"/>
    <n v="400"/>
    <x v="2"/>
  </r>
  <r>
    <x v="1"/>
    <s v="Laurent MONTAGNER"/>
    <x v="1"/>
    <x v="374"/>
    <x v="374"/>
    <n v="1"/>
    <s v="ADET"/>
    <n v="1"/>
    <n v="8"/>
    <n v="9"/>
    <n v="-31"/>
    <n v="36"/>
    <n v="0"/>
    <n v="101.4"/>
    <x v="90"/>
    <n v="101.4"/>
    <x v="7"/>
  </r>
  <r>
    <x v="3"/>
    <s v="Jan Urbanek"/>
    <x v="1"/>
    <x v="374"/>
    <x v="374"/>
    <n v="1"/>
    <s v="ADET"/>
    <n v="0"/>
    <n v="8"/>
    <n v="9"/>
    <n v="-31"/>
    <n v="36"/>
    <n v="0"/>
    <n v="101.4"/>
    <x v="90"/>
    <n v="101.4"/>
    <x v="7"/>
  </r>
  <r>
    <x v="2"/>
    <s v="Jan Urbanek"/>
    <x v="1"/>
    <x v="375"/>
    <x v="375"/>
    <n v="6"/>
    <s v="ADET"/>
    <n v="0"/>
    <n v="0"/>
    <n v="0"/>
    <n v="42"/>
    <n v="0"/>
    <n v="15.12"/>
    <n v="0.36"/>
    <x v="5"/>
    <n v="2.16"/>
    <x v="1"/>
  </r>
  <r>
    <x v="18"/>
    <s v="Stina Alm"/>
    <x v="1"/>
    <x v="288"/>
    <x v="288"/>
    <n v="2"/>
    <s v="ADET"/>
    <n v="0"/>
    <n v="34"/>
    <n v="27"/>
    <n v="-6"/>
    <n v="0"/>
    <n v="0"/>
    <n v="500"/>
    <x v="26"/>
    <n v="1000"/>
    <x v="2"/>
  </r>
  <r>
    <x v="8"/>
    <s v="Jan Urbanek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8"/>
    <s v="Jan Urbanek"/>
    <x v="1"/>
    <x v="497"/>
    <x v="497"/>
    <n v="18"/>
    <s v="KG"/>
    <n v="0"/>
    <n v="63"/>
    <n v="142.05000000000001"/>
    <n v="37"/>
    <n v="0"/>
    <n v="40502.79"/>
    <n v="1094.67"/>
    <x v="81"/>
    <n v="19704.060000000001"/>
    <x v="3"/>
  </r>
  <r>
    <x v="9"/>
    <s v="Stefan Zaugg"/>
    <x v="1"/>
    <x v="497"/>
    <x v="497"/>
    <n v="14"/>
    <s v="KG"/>
    <n v="0"/>
    <n v="63"/>
    <n v="142.05000000000001"/>
    <n v="37"/>
    <n v="0"/>
    <n v="40502.79"/>
    <n v="1094.67"/>
    <x v="81"/>
    <n v="15325.380000000001"/>
    <x v="3"/>
  </r>
  <r>
    <x v="11"/>
    <s v="Jan Urbanek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12"/>
    <s v="Stefan Zaugg"/>
    <x v="1"/>
    <x v="497"/>
    <x v="497"/>
    <n v="14"/>
    <s v="KG"/>
    <n v="0"/>
    <n v="63"/>
    <n v="142.05000000000001"/>
    <n v="37"/>
    <n v="0"/>
    <n v="40502.79"/>
    <n v="1094.67"/>
    <x v="81"/>
    <n v="15325.380000000001"/>
    <x v="3"/>
  </r>
  <r>
    <x v="11"/>
    <s v="Jan Urbanek"/>
    <x v="1"/>
    <x v="497"/>
    <x v="497"/>
    <n v="18"/>
    <s v="KG"/>
    <n v="0"/>
    <n v="63"/>
    <n v="142.05000000000001"/>
    <n v="37"/>
    <n v="0"/>
    <n v="40502.79"/>
    <n v="1094.67"/>
    <x v="81"/>
    <n v="19704.060000000001"/>
    <x v="3"/>
  </r>
  <r>
    <x v="9"/>
    <s v="Stefan Zaugg"/>
    <x v="1"/>
    <x v="492"/>
    <x v="492"/>
    <n v="1"/>
    <s v="ADET"/>
    <n v="1"/>
    <n v="2"/>
    <n v="4"/>
    <n v="0"/>
    <n v="0"/>
    <n v="0"/>
    <n v="3500"/>
    <x v="108"/>
    <n v="3500"/>
    <x v="7"/>
  </r>
  <r>
    <x v="12"/>
    <s v="Stefan Zaugg"/>
    <x v="1"/>
    <x v="492"/>
    <x v="492"/>
    <n v="1"/>
    <s v="ADET"/>
    <n v="1"/>
    <n v="2"/>
    <n v="4"/>
    <n v="0"/>
    <n v="0"/>
    <n v="0"/>
    <n v="3500"/>
    <x v="108"/>
    <n v="3500"/>
    <x v="7"/>
  </r>
  <r>
    <x v="19"/>
    <s v="Laurent MONTAGNER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7"/>
    <s v="Soner Kayıkçı"/>
    <x v="1"/>
    <x v="307"/>
    <x v="307"/>
    <n v="45"/>
    <s v="M2"/>
    <n v="0"/>
    <n v="136.5"/>
    <n v="5.4999999999998863"/>
    <n v="175"/>
    <n v="110.5"/>
    <n v="35026.25"/>
    <n v="200.15"/>
    <x v="61"/>
    <n v="9006.75"/>
    <x v="8"/>
  </r>
  <r>
    <x v="16"/>
    <s v="Laurent MONTAGNER"/>
    <x v="1"/>
    <x v="307"/>
    <x v="307"/>
    <n v="50"/>
    <s v="M2"/>
    <n v="0"/>
    <n v="136.5"/>
    <n v="5.4999999999998863"/>
    <n v="175"/>
    <n v="110.5"/>
    <n v="35026.25"/>
    <n v="200.15"/>
    <x v="61"/>
    <n v="10007.5"/>
    <x v="8"/>
  </r>
  <r>
    <x v="16"/>
    <s v="Laurent MONTAGNER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8"/>
    <s v="Stina Alm"/>
    <x v="1"/>
    <x v="307"/>
    <x v="307"/>
    <n v="50"/>
    <s v="M2"/>
    <n v="0"/>
    <n v="136.5"/>
    <n v="5.4999999999998863"/>
    <n v="175"/>
    <n v="110.5"/>
    <n v="35026.25"/>
    <n v="200.15"/>
    <x v="61"/>
    <n v="10007.5"/>
    <x v="8"/>
  </r>
  <r>
    <x v="17"/>
    <s v="Soner Kayıkçı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8"/>
    <s v="Stina Alm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16"/>
    <s v="Laurent MONTAGNER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17"/>
    <s v="Soner Kayıkçı"/>
    <x v="1"/>
    <x v="377"/>
    <x v="377"/>
    <n v="2"/>
    <s v="ADET"/>
    <n v="0"/>
    <n v="9"/>
    <n v="20"/>
    <n v="11"/>
    <n v="0"/>
    <n v="164408.75"/>
    <n v="14946.25"/>
    <x v="58"/>
    <n v="29892.5"/>
    <x v="4"/>
  </r>
  <r>
    <x v="2"/>
    <s v="Jan Urbanek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17"/>
    <s v="Soner Kayıkçı"/>
    <x v="1"/>
    <x v="411"/>
    <x v="411"/>
    <n v="1"/>
    <s v="ADET"/>
    <n v="0"/>
    <n v="18"/>
    <n v="10"/>
    <n v="-5"/>
    <n v="0"/>
    <n v="0"/>
    <n v="115.6"/>
    <x v="23"/>
    <n v="115.6"/>
    <x v="7"/>
  </r>
  <r>
    <x v="16"/>
    <s v="Laurent MONTAGNER"/>
    <x v="1"/>
    <x v="411"/>
    <x v="411"/>
    <n v="1"/>
    <s v="ADET"/>
    <n v="0"/>
    <n v="18"/>
    <n v="10"/>
    <n v="-5"/>
    <n v="0"/>
    <n v="0"/>
    <n v="115.6"/>
    <x v="23"/>
    <n v="115.6"/>
    <x v="7"/>
  </r>
  <r>
    <x v="17"/>
    <s v="Soner Kayıkçı"/>
    <x v="1"/>
    <x v="421"/>
    <x v="421"/>
    <n v="1"/>
    <s v="ADET"/>
    <n v="0"/>
    <n v="37"/>
    <n v="2"/>
    <n v="-17"/>
    <n v="0"/>
    <n v="0"/>
    <n v="82.6"/>
    <x v="12"/>
    <n v="82.6"/>
    <x v="4"/>
  </r>
  <r>
    <x v="16"/>
    <s v="Laurent MONTAGNER"/>
    <x v="1"/>
    <x v="421"/>
    <x v="421"/>
    <n v="2"/>
    <s v="ADET"/>
    <n v="0"/>
    <n v="37"/>
    <n v="2"/>
    <n v="-17"/>
    <n v="0"/>
    <n v="0"/>
    <n v="82.6"/>
    <x v="12"/>
    <n v="165.2"/>
    <x v="4"/>
  </r>
  <r>
    <x v="4"/>
    <s v="Jan Urbanek"/>
    <x v="1"/>
    <x v="462"/>
    <x v="462"/>
    <n v="4"/>
    <s v="ADET"/>
    <n v="0"/>
    <n v="6"/>
    <n v="8"/>
    <n v="26"/>
    <n v="0"/>
    <n v="41686.58"/>
    <n v="1603.33"/>
    <x v="84"/>
    <n v="6413.32"/>
    <x v="7"/>
  </r>
  <r>
    <x v="3"/>
    <s v="Jan Urbanek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19"/>
    <s v="Laurent MONTAGNER"/>
    <x v="1"/>
    <x v="412"/>
    <x v="412"/>
    <n v="1"/>
    <s v="ADET"/>
    <n v="1"/>
    <n v="35"/>
    <n v="61"/>
    <n v="-12"/>
    <n v="0"/>
    <n v="0"/>
    <n v="19.07"/>
    <x v="23"/>
    <n v="19.07"/>
    <x v="7"/>
  </r>
  <r>
    <x v="16"/>
    <s v="Laurent MONTAGNER"/>
    <x v="1"/>
    <x v="412"/>
    <x v="412"/>
    <n v="1"/>
    <s v="ADET"/>
    <n v="0"/>
    <n v="35"/>
    <n v="61"/>
    <n v="-12"/>
    <n v="0"/>
    <n v="0"/>
    <n v="19.07"/>
    <x v="23"/>
    <n v="19.07"/>
    <x v="7"/>
  </r>
  <r>
    <x v="19"/>
    <s v="Laurent MONTAGNER"/>
    <x v="1"/>
    <x v="421"/>
    <x v="421"/>
    <n v="1"/>
    <s v="ADET"/>
    <n v="0"/>
    <n v="37"/>
    <n v="2"/>
    <n v="-17"/>
    <n v="0"/>
    <n v="0"/>
    <n v="82.6"/>
    <x v="12"/>
    <n v="82.6"/>
    <x v="4"/>
  </r>
  <r>
    <x v="17"/>
    <s v="Soner Kayıkçı"/>
    <x v="1"/>
    <x v="436"/>
    <x v="436"/>
    <n v="1"/>
    <s v="ADET"/>
    <n v="0"/>
    <n v="31"/>
    <n v="12"/>
    <n v="-20"/>
    <n v="0"/>
    <n v="0"/>
    <n v="15"/>
    <x v="29"/>
    <n v="15"/>
    <x v="7"/>
  </r>
  <r>
    <x v="17"/>
    <s v="Soner Kayıkçı"/>
    <x v="1"/>
    <x v="438"/>
    <x v="438"/>
    <n v="1"/>
    <s v="ADET"/>
    <n v="0"/>
    <n v="136"/>
    <n v="6"/>
    <n v="-119"/>
    <n v="0"/>
    <n v="0"/>
    <n v="39.6"/>
    <x v="29"/>
    <n v="39.6"/>
    <x v="7"/>
  </r>
  <r>
    <x v="16"/>
    <s v="Laurent MONTAGNER"/>
    <x v="1"/>
    <x v="438"/>
    <x v="438"/>
    <n v="1"/>
    <s v="ADET"/>
    <n v="0"/>
    <n v="136"/>
    <n v="6"/>
    <n v="-119"/>
    <n v="0"/>
    <n v="0"/>
    <n v="39.6"/>
    <x v="29"/>
    <n v="39.6"/>
    <x v="7"/>
  </r>
  <r>
    <x v="17"/>
    <s v="Soner Kayıkçı"/>
    <x v="1"/>
    <x v="442"/>
    <x v="442"/>
    <n v="1"/>
    <s v="ADET"/>
    <n v="0"/>
    <n v="28"/>
    <n v="4"/>
    <n v="-21"/>
    <n v="0"/>
    <n v="0"/>
    <n v="290.62"/>
    <x v="67"/>
    <n v="290.62"/>
    <x v="4"/>
  </r>
  <r>
    <x v="17"/>
    <s v="Soner Kayıkçı"/>
    <x v="1"/>
    <x v="461"/>
    <x v="461"/>
    <n v="2"/>
    <s v="ADET"/>
    <n v="0"/>
    <n v="265"/>
    <n v="94"/>
    <n v="-249"/>
    <n v="0"/>
    <n v="0"/>
    <n v="4"/>
    <x v="29"/>
    <n v="8"/>
    <x v="7"/>
  </r>
  <r>
    <x v="17"/>
    <s v="Soner Kayıkçı"/>
    <x v="1"/>
    <x v="446"/>
    <x v="446"/>
    <n v="2"/>
    <s v="ADET"/>
    <n v="0"/>
    <n v="16"/>
    <n v="14"/>
    <n v="-14"/>
    <n v="20"/>
    <n v="0"/>
    <n v="194"/>
    <x v="56"/>
    <n v="388"/>
    <x v="2"/>
  </r>
  <r>
    <x v="16"/>
    <s v="Laurent MONTAGNER"/>
    <x v="1"/>
    <x v="435"/>
    <x v="435"/>
    <n v="3"/>
    <s v="ADET"/>
    <n v="0"/>
    <n v="235"/>
    <n v="-2.2737367544323206E-13"/>
    <n v="-215.94"/>
    <n v="0"/>
    <n v="0"/>
    <n v="15"/>
    <x v="14"/>
    <n v="45"/>
    <x v="1"/>
  </r>
  <r>
    <x v="16"/>
    <s v="Laurent MONTAGNER"/>
    <x v="1"/>
    <x v="444"/>
    <x v="444"/>
    <n v="1"/>
    <s v="ADET"/>
    <n v="0"/>
    <n v="10"/>
    <n v="3"/>
    <n v="-4"/>
    <n v="0"/>
    <n v="0"/>
    <n v="1723.12"/>
    <x v="67"/>
    <n v="1723.12"/>
    <x v="4"/>
  </r>
  <r>
    <x v="17"/>
    <s v="Soner Kayıkçı"/>
    <x v="1"/>
    <x v="445"/>
    <x v="445"/>
    <n v="1"/>
    <s v="ADET"/>
    <n v="0"/>
    <n v="25"/>
    <n v="3"/>
    <n v="-12"/>
    <n v="0"/>
    <n v="0"/>
    <n v="871.93"/>
    <x v="100"/>
    <n v="871.93"/>
    <x v="2"/>
  </r>
  <r>
    <x v="16"/>
    <s v="Laurent MONTAGNER"/>
    <x v="1"/>
    <x v="445"/>
    <x v="445"/>
    <n v="1"/>
    <s v="ADET"/>
    <n v="0"/>
    <n v="25"/>
    <n v="3"/>
    <n v="-12"/>
    <n v="0"/>
    <n v="0"/>
    <n v="871.93"/>
    <x v="100"/>
    <n v="871.93"/>
    <x v="2"/>
  </r>
  <r>
    <x v="16"/>
    <s v="Laurent MONTAGNER"/>
    <x v="1"/>
    <x v="447"/>
    <x v="447"/>
    <n v="1"/>
    <s v="ADET"/>
    <n v="0"/>
    <n v="4"/>
    <n v="7"/>
    <n v="-2"/>
    <n v="10"/>
    <n v="0"/>
    <n v="3097.63"/>
    <x v="88"/>
    <n v="3097.63"/>
    <x v="4"/>
  </r>
  <r>
    <x v="18"/>
    <s v="Stina Alm"/>
    <x v="1"/>
    <x v="487"/>
    <x v="487"/>
    <n v="1"/>
    <s v="ADET"/>
    <n v="0"/>
    <n v="4"/>
    <n v="0"/>
    <n v="-1"/>
    <n v="0"/>
    <n v="0"/>
    <n v="3017.33"/>
    <x v="107"/>
    <n v="3017.33"/>
    <x v="2"/>
  </r>
  <r>
    <x v="18"/>
    <s v="Stina Alm"/>
    <x v="1"/>
    <x v="445"/>
    <x v="445"/>
    <n v="1"/>
    <s v="ADET"/>
    <n v="0"/>
    <n v="25"/>
    <n v="3"/>
    <n v="-12"/>
    <n v="0"/>
    <n v="0"/>
    <n v="871.93"/>
    <x v="100"/>
    <n v="871.93"/>
    <x v="2"/>
  </r>
  <r>
    <x v="18"/>
    <s v="Stina Alm"/>
    <x v="1"/>
    <x v="447"/>
    <x v="447"/>
    <n v="1"/>
    <s v="ADET"/>
    <n v="0"/>
    <n v="4"/>
    <n v="7"/>
    <n v="-2"/>
    <n v="10"/>
    <n v="0"/>
    <n v="3097.63"/>
    <x v="88"/>
    <n v="3097.63"/>
    <x v="4"/>
  </r>
  <r>
    <x v="17"/>
    <s v="Soner Kayıkçı"/>
    <x v="1"/>
    <x v="447"/>
    <x v="447"/>
    <n v="1"/>
    <s v="ADET"/>
    <n v="0"/>
    <n v="4"/>
    <n v="7"/>
    <n v="-2"/>
    <n v="10"/>
    <n v="0"/>
    <n v="3097.63"/>
    <x v="88"/>
    <n v="3097.63"/>
    <x v="4"/>
  </r>
  <r>
    <x v="17"/>
    <s v="Soner Kayıkçı"/>
    <x v="1"/>
    <x v="448"/>
    <x v="448"/>
    <n v="18.8"/>
    <s v="KG"/>
    <n v="0"/>
    <n v="140"/>
    <n v="139.9599999999997"/>
    <n v="-16.590000000000032"/>
    <n v="80"/>
    <n v="0"/>
    <n v="164.09"/>
    <x v="8"/>
    <n v="3084.8920000000003"/>
    <x v="3"/>
  </r>
  <r>
    <x v="19"/>
    <s v="Laurent MONTAGNER"/>
    <x v="1"/>
    <x v="448"/>
    <x v="448"/>
    <n v="35.25"/>
    <s v="KG"/>
    <n v="35.25"/>
    <n v="140"/>
    <n v="139.9599999999997"/>
    <n v="-16.590000000000032"/>
    <n v="80"/>
    <n v="0"/>
    <n v="164.09"/>
    <x v="8"/>
    <n v="5784.1724999999997"/>
    <x v="3"/>
  </r>
  <r>
    <x v="19"/>
    <s v="Laurent MONTAGNER"/>
    <x v="1"/>
    <x v="447"/>
    <x v="447"/>
    <n v="1"/>
    <s v="ADET"/>
    <n v="1"/>
    <n v="4"/>
    <n v="7"/>
    <n v="-2"/>
    <n v="10"/>
    <n v="0"/>
    <n v="3097.63"/>
    <x v="88"/>
    <n v="3097.63"/>
    <x v="4"/>
  </r>
  <r>
    <x v="9"/>
    <s v="Stefan Zaugg"/>
    <x v="1"/>
    <x v="436"/>
    <x v="436"/>
    <n v="2"/>
    <s v="ADET"/>
    <n v="2"/>
    <n v="31"/>
    <n v="12"/>
    <n v="-20"/>
    <n v="0"/>
    <n v="0"/>
    <n v="15"/>
    <x v="29"/>
    <n v="30"/>
    <x v="7"/>
  </r>
  <r>
    <x v="6"/>
    <s v="Stefan Zaugg"/>
    <x v="1"/>
    <x v="237"/>
    <x v="237"/>
    <n v="2"/>
    <s v="ADET"/>
    <n v="2"/>
    <n v="109"/>
    <n v="6"/>
    <n v="-106"/>
    <n v="0"/>
    <n v="0"/>
    <n v="90"/>
    <x v="6"/>
    <n v="180"/>
    <x v="1"/>
  </r>
  <r>
    <x v="6"/>
    <s v="Stefan Zaugg"/>
    <x v="1"/>
    <x v="234"/>
    <x v="234"/>
    <n v="23"/>
    <s v="ADET"/>
    <n v="23"/>
    <n v="800"/>
    <n v="0"/>
    <n v="-414"/>
    <n v="0"/>
    <n v="0"/>
    <n v="13.75"/>
    <x v="1"/>
    <n v="316.25"/>
    <x v="1"/>
  </r>
  <r>
    <x v="1"/>
    <s v="Laurent MONTAGNER"/>
    <x v="1"/>
    <x v="448"/>
    <x v="448"/>
    <n v="35.25"/>
    <s v="KG"/>
    <n v="35.25"/>
    <n v="140"/>
    <n v="139.9599999999997"/>
    <n v="-16.590000000000032"/>
    <n v="80"/>
    <n v="0"/>
    <n v="164.09"/>
    <x v="8"/>
    <n v="5784.1724999999997"/>
    <x v="3"/>
  </r>
  <r>
    <x v="18"/>
    <s v="Stina Alm"/>
    <x v="1"/>
    <x v="448"/>
    <x v="448"/>
    <n v="22.3"/>
    <s v="KG"/>
    <n v="0"/>
    <n v="140"/>
    <n v="139.9599999999997"/>
    <n v="-16.590000000000032"/>
    <n v="80"/>
    <n v="0"/>
    <n v="164.09"/>
    <x v="8"/>
    <n v="3659.2070000000003"/>
    <x v="3"/>
  </r>
  <r>
    <x v="9"/>
    <s v="Stefan Zaugg"/>
    <x v="1"/>
    <x v="434"/>
    <x v="434"/>
    <n v="3"/>
    <s v="METRE"/>
    <n v="3"/>
    <n v="400"/>
    <n v="32"/>
    <n v="-397"/>
    <n v="0"/>
    <n v="0"/>
    <n v="11.5"/>
    <x v="68"/>
    <n v="34.5"/>
    <x v="7"/>
  </r>
  <r>
    <x v="12"/>
    <s v="Stefan Zaugg"/>
    <x v="1"/>
    <x v="434"/>
    <x v="434"/>
    <n v="3"/>
    <s v="METRE"/>
    <n v="3"/>
    <n v="400"/>
    <n v="32"/>
    <n v="-397"/>
    <n v="0"/>
    <n v="0"/>
    <n v="11.5"/>
    <x v="68"/>
    <n v="34.5"/>
    <x v="7"/>
  </r>
  <r>
    <x v="6"/>
    <s v="Stefan Zaugg"/>
    <x v="1"/>
    <x v="222"/>
    <x v="222"/>
    <n v="1"/>
    <s v="ADET"/>
    <n v="1"/>
    <n v="4"/>
    <n v="10"/>
    <n v="8"/>
    <n v="0"/>
    <n v="41649.120000000003"/>
    <n v="5206.1400000000003"/>
    <x v="15"/>
    <n v="5206.1400000000003"/>
    <x v="7"/>
  </r>
  <r>
    <x v="16"/>
    <s v="Laurent MONTAGNER"/>
    <x v="1"/>
    <x v="424"/>
    <x v="424"/>
    <n v="12.5"/>
    <s v="ADET"/>
    <n v="0"/>
    <n v="180"/>
    <n v="80"/>
    <n v="32"/>
    <n v="0"/>
    <n v="7680"/>
    <n v="240"/>
    <x v="2"/>
    <n v="3000"/>
    <x v="1"/>
  </r>
  <r>
    <x v="17"/>
    <s v="Soner Kayıkçı"/>
    <x v="1"/>
    <x v="424"/>
    <x v="424"/>
    <n v="26"/>
    <s v="ADET"/>
    <n v="0"/>
    <n v="180"/>
    <n v="80"/>
    <n v="32"/>
    <n v="0"/>
    <n v="7680"/>
    <n v="240"/>
    <x v="2"/>
    <n v="6240"/>
    <x v="1"/>
  </r>
  <r>
    <x v="18"/>
    <s v="Stina Alm"/>
    <x v="1"/>
    <x v="421"/>
    <x v="421"/>
    <n v="1"/>
    <s v="ADET"/>
    <n v="0"/>
    <n v="37"/>
    <n v="2"/>
    <n v="-17"/>
    <n v="0"/>
    <n v="0"/>
    <n v="82.6"/>
    <x v="12"/>
    <n v="82.6"/>
    <x v="4"/>
  </r>
  <r>
    <x v="18"/>
    <s v="Stina Alm"/>
    <x v="1"/>
    <x v="423"/>
    <x v="423"/>
    <n v="8"/>
    <s v="ADET"/>
    <n v="0"/>
    <n v="524"/>
    <n v="352"/>
    <n v="-374"/>
    <n v="0"/>
    <n v="0"/>
    <n v="8.1"/>
    <x v="60"/>
    <n v="64.8"/>
    <x v="7"/>
  </r>
  <r>
    <x v="19"/>
    <s v="Laurent MONTAGNER"/>
    <x v="1"/>
    <x v="423"/>
    <x v="423"/>
    <n v="8"/>
    <s v="ADET"/>
    <n v="0"/>
    <n v="524"/>
    <n v="352"/>
    <n v="-374"/>
    <n v="0"/>
    <n v="0"/>
    <n v="8.1"/>
    <x v="60"/>
    <n v="64.8"/>
    <x v="7"/>
  </r>
  <r>
    <x v="17"/>
    <s v="Soner Kayıkçı"/>
    <x v="1"/>
    <x v="425"/>
    <x v="425"/>
    <n v="1"/>
    <s v="ADET"/>
    <n v="0"/>
    <n v="0"/>
    <n v="0"/>
    <n v="2"/>
    <n v="0"/>
    <n v="0"/>
    <n v="0"/>
    <x v="6"/>
    <n v="0"/>
    <x v="2"/>
  </r>
  <r>
    <x v="17"/>
    <s v="Soner Kayıkçı"/>
    <x v="1"/>
    <x v="462"/>
    <x v="462"/>
    <n v="4"/>
    <s v="ADET"/>
    <n v="0"/>
    <n v="6"/>
    <n v="8"/>
    <n v="26"/>
    <n v="0"/>
    <n v="41686.58"/>
    <n v="1603.33"/>
    <x v="84"/>
    <n v="6413.32"/>
    <x v="7"/>
  </r>
  <r>
    <x v="16"/>
    <s v="Laurent MONTAGNER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12"/>
    <s v="Stefan Zaugg"/>
    <x v="1"/>
    <x v="142"/>
    <x v="142"/>
    <n v="1"/>
    <s v="ADET"/>
    <n v="1"/>
    <n v="13"/>
    <n v="6"/>
    <n v="-10"/>
    <n v="0"/>
    <n v="0"/>
    <n v="344.14"/>
    <x v="54"/>
    <n v="344.14"/>
    <x v="1"/>
  </r>
  <r>
    <x v="6"/>
    <s v="Stefan Zaugg"/>
    <x v="1"/>
    <x v="210"/>
    <x v="210"/>
    <n v="12"/>
    <s v="ADET"/>
    <n v="12"/>
    <n v="133"/>
    <n v="46"/>
    <n v="-49"/>
    <n v="0"/>
    <n v="0"/>
    <n v="3.75"/>
    <x v="1"/>
    <n v="45"/>
    <x v="1"/>
  </r>
  <r>
    <x v="13"/>
    <s v="Volkan Batkan"/>
    <x v="1"/>
    <x v="424"/>
    <x v="424"/>
    <n v="26"/>
    <s v="ADET"/>
    <n v="26"/>
    <n v="180"/>
    <n v="80"/>
    <n v="32"/>
    <n v="0"/>
    <n v="7680"/>
    <n v="240"/>
    <x v="2"/>
    <n v="6240"/>
    <x v="1"/>
  </r>
  <r>
    <x v="9"/>
    <s v="Stefan Zaugg"/>
    <x v="1"/>
    <x v="426"/>
    <x v="426"/>
    <n v="2.4700000000000002"/>
    <s v="KG"/>
    <n v="2.4700000000000002"/>
    <n v="0"/>
    <n v="154.9500000000001"/>
    <n v="21.899999999999991"/>
    <n v="60"/>
    <n v="4265.0249999999987"/>
    <n v="194.75"/>
    <x v="8"/>
    <n v="481.03250000000003"/>
    <x v="3"/>
  </r>
  <r>
    <x v="6"/>
    <s v="Stefan Zaugg"/>
    <x v="1"/>
    <x v="426"/>
    <x v="426"/>
    <n v="2.4700000000000002"/>
    <s v="KG"/>
    <n v="2.4700000000000002"/>
    <n v="0"/>
    <n v="154.9500000000001"/>
    <n v="21.899999999999991"/>
    <n v="60"/>
    <n v="4265.0249999999987"/>
    <n v="194.75"/>
    <x v="8"/>
    <n v="481.03250000000003"/>
    <x v="3"/>
  </r>
  <r>
    <x v="1"/>
    <s v="Laurent MONTAGNER"/>
    <x v="1"/>
    <x v="169"/>
    <x v="169"/>
    <n v="124.53999999999999"/>
    <s v="KG"/>
    <n v="124.53999999999999"/>
    <n v="1840"/>
    <n v="973.6200000000008"/>
    <n v="-1630.1299999999997"/>
    <n v="920"/>
    <n v="0"/>
    <n v="94.86"/>
    <x v="8"/>
    <n v="11813.864399999999"/>
    <x v="3"/>
  </r>
  <r>
    <x v="16"/>
    <s v="Laurent MONTAGNER"/>
    <x v="1"/>
    <x v="423"/>
    <x v="423"/>
    <n v="6"/>
    <s v="ADET"/>
    <n v="0"/>
    <n v="524"/>
    <n v="352"/>
    <n v="-374"/>
    <n v="0"/>
    <n v="0"/>
    <n v="8.1"/>
    <x v="60"/>
    <n v="48.599999999999994"/>
    <x v="7"/>
  </r>
  <r>
    <x v="17"/>
    <s v="Soner Kayıkçı"/>
    <x v="1"/>
    <x v="423"/>
    <x v="423"/>
    <n v="8"/>
    <s v="ADET"/>
    <n v="0"/>
    <n v="524"/>
    <n v="352"/>
    <n v="-374"/>
    <n v="0"/>
    <n v="0"/>
    <n v="8.1"/>
    <x v="60"/>
    <n v="64.8"/>
    <x v="7"/>
  </r>
  <r>
    <x v="18"/>
    <s v="Stina Alm"/>
    <x v="1"/>
    <x v="427"/>
    <x v="427"/>
    <n v="1"/>
    <s v="ADET"/>
    <n v="0"/>
    <n v="6"/>
    <n v="9"/>
    <n v="0"/>
    <n v="7"/>
    <n v="0"/>
    <n v="1535.25"/>
    <x v="24"/>
    <n v="1535.25"/>
    <x v="7"/>
  </r>
  <r>
    <x v="18"/>
    <s v="Stina Alm"/>
    <x v="1"/>
    <x v="462"/>
    <x v="462"/>
    <n v="2"/>
    <s v="ADET"/>
    <n v="0"/>
    <n v="6"/>
    <n v="8"/>
    <n v="26"/>
    <n v="0"/>
    <n v="41686.58"/>
    <n v="1603.33"/>
    <x v="84"/>
    <n v="3206.66"/>
    <x v="7"/>
  </r>
  <r>
    <x v="4"/>
    <s v="Jan Urbanek"/>
    <x v="1"/>
    <x v="472"/>
    <x v="472"/>
    <n v="1"/>
    <s v="ADET"/>
    <n v="0"/>
    <n v="5"/>
    <n v="7"/>
    <n v="0"/>
    <n v="8"/>
    <n v="0"/>
    <n v="401.17"/>
    <x v="104"/>
    <n v="401.17"/>
    <x v="7"/>
  </r>
  <r>
    <x v="7"/>
    <s v="Stina Alm"/>
    <x v="1"/>
    <x v="472"/>
    <x v="472"/>
    <n v="1"/>
    <s v="ADET"/>
    <n v="0"/>
    <n v="5"/>
    <n v="7"/>
    <n v="0"/>
    <n v="8"/>
    <n v="0"/>
    <n v="401.17"/>
    <x v="104"/>
    <n v="401.17"/>
    <x v="7"/>
  </r>
  <r>
    <x v="3"/>
    <s v="Jan Urbanek"/>
    <x v="1"/>
    <x v="470"/>
    <x v="470"/>
    <n v="2"/>
    <s v="ADET"/>
    <n v="0"/>
    <n v="17"/>
    <n v="16"/>
    <n v="-23"/>
    <n v="30"/>
    <n v="0"/>
    <n v="67.22"/>
    <x v="88"/>
    <n v="134.44"/>
    <x v="4"/>
  </r>
  <r>
    <x v="8"/>
    <s v="Jan Urbanek"/>
    <x v="1"/>
    <x v="472"/>
    <x v="472"/>
    <n v="1"/>
    <s v="ADET"/>
    <n v="0"/>
    <n v="5"/>
    <n v="7"/>
    <n v="0"/>
    <n v="8"/>
    <n v="0"/>
    <n v="401.17"/>
    <x v="104"/>
    <n v="401.17"/>
    <x v="7"/>
  </r>
  <r>
    <x v="18"/>
    <s v="Stina Alm"/>
    <x v="1"/>
    <x v="380"/>
    <x v="380"/>
    <n v="0.5"/>
    <s v="ADET"/>
    <n v="0"/>
    <n v="100"/>
    <n v="0"/>
    <n v="-90.5"/>
    <n v="0"/>
    <n v="0"/>
    <n v="13.5"/>
    <x v="2"/>
    <n v="6.75"/>
    <x v="1"/>
  </r>
  <r>
    <x v="17"/>
    <s v="Soner Kayıkçı"/>
    <x v="1"/>
    <x v="383"/>
    <x v="383"/>
    <n v="3"/>
    <s v="ADET"/>
    <n v="0"/>
    <n v="0"/>
    <n v="-3.1086244689504383E-14"/>
    <n v="46.999999999999993"/>
    <n v="4"/>
    <n v="48958.02"/>
    <n v="1041.6600000000001"/>
    <x v="61"/>
    <n v="3124.9800000000005"/>
    <x v="8"/>
  </r>
  <r>
    <x v="17"/>
    <s v="Soner Kayıkçı"/>
    <x v="1"/>
    <x v="384"/>
    <x v="384"/>
    <n v="120"/>
    <s v="METRE"/>
    <n v="0"/>
    <n v="0"/>
    <n v="0"/>
    <n v="1760"/>
    <n v="0"/>
    <n v="0"/>
    <n v="0"/>
    <x v="6"/>
    <n v="0"/>
    <x v="6"/>
  </r>
  <r>
    <x v="17"/>
    <s v="Soner Kayıkçı"/>
    <x v="1"/>
    <x v="386"/>
    <x v="386"/>
    <n v="0.13"/>
    <s v="M3"/>
    <n v="0"/>
    <n v="0"/>
    <n v="4.5430000000000224"/>
    <n v="1.4260000000000006"/>
    <n v="0"/>
    <n v="27807.000000000011"/>
    <n v="19500"/>
    <x v="91"/>
    <n v="2535"/>
    <x v="8"/>
  </r>
  <r>
    <x v="18"/>
    <s v="Stina Alm"/>
    <x v="1"/>
    <x v="386"/>
    <x v="386"/>
    <n v="0.124"/>
    <s v="M3"/>
    <n v="0"/>
    <n v="0"/>
    <n v="4.5430000000000224"/>
    <n v="1.4260000000000006"/>
    <n v="0"/>
    <n v="27807.000000000011"/>
    <n v="19500"/>
    <x v="91"/>
    <n v="2418"/>
    <x v="8"/>
  </r>
  <r>
    <x v="17"/>
    <s v="Soner Kayıkçı"/>
    <x v="1"/>
    <x v="380"/>
    <x v="380"/>
    <n v="0.5"/>
    <s v="ADET"/>
    <n v="0"/>
    <n v="100"/>
    <n v="0"/>
    <n v="-90.5"/>
    <n v="0"/>
    <n v="0"/>
    <n v="13.5"/>
    <x v="2"/>
    <n v="6.75"/>
    <x v="1"/>
  </r>
  <r>
    <x v="8"/>
    <s v="Jan Urbanek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2"/>
    <s v="Jan Urbanek"/>
    <x v="1"/>
    <x v="331"/>
    <x v="331"/>
    <n v="4"/>
    <s v="ADET"/>
    <n v="0"/>
    <n v="64.5"/>
    <n v="20"/>
    <n v="-14.5"/>
    <n v="0"/>
    <n v="0"/>
    <n v="200"/>
    <x v="16"/>
    <n v="800"/>
    <x v="2"/>
  </r>
  <r>
    <x v="10"/>
    <s v="Murat Taşdemir"/>
    <x v="1"/>
    <x v="331"/>
    <x v="331"/>
    <n v="4"/>
    <s v="ADET"/>
    <n v="0"/>
    <n v="64.5"/>
    <n v="20"/>
    <n v="-14.5"/>
    <n v="0"/>
    <n v="0"/>
    <n v="200"/>
    <x v="16"/>
    <n v="800"/>
    <x v="2"/>
  </r>
  <r>
    <x v="13"/>
    <s v="Volkan Batkan"/>
    <x v="1"/>
    <x v="340"/>
    <x v="340"/>
    <n v="4"/>
    <s v="ADET"/>
    <n v="0"/>
    <n v="45"/>
    <n v="6"/>
    <n v="-5"/>
    <n v="0"/>
    <n v="0"/>
    <n v="313.76"/>
    <x v="67"/>
    <n v="1255.04"/>
    <x v="2"/>
  </r>
  <r>
    <x v="8"/>
    <s v="Jan Urbanek"/>
    <x v="1"/>
    <x v="340"/>
    <x v="340"/>
    <n v="4"/>
    <s v="ADET"/>
    <n v="0"/>
    <n v="45"/>
    <n v="6"/>
    <n v="-5"/>
    <n v="0"/>
    <n v="0"/>
    <n v="313.76"/>
    <x v="67"/>
    <n v="1255.04"/>
    <x v="2"/>
  </r>
  <r>
    <x v="17"/>
    <s v="Soner Kayıkçı"/>
    <x v="1"/>
    <x v="298"/>
    <x v="298"/>
    <n v="0.1"/>
    <s v="ADET"/>
    <n v="0"/>
    <n v="33"/>
    <n v="6.0999999999999988"/>
    <n v="-32.299999999999997"/>
    <n v="0"/>
    <n v="0"/>
    <n v="25"/>
    <x v="2"/>
    <n v="2.5"/>
    <x v="1"/>
  </r>
  <r>
    <x v="18"/>
    <s v="Stina Alm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7"/>
    <s v="Soner Kayıkçı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8"/>
    <s v="Stina Alm"/>
    <x v="1"/>
    <x v="305"/>
    <x v="305"/>
    <n v="1"/>
    <s v="ADET"/>
    <n v="0"/>
    <n v="26"/>
    <n v="3"/>
    <n v="-12"/>
    <n v="0"/>
    <n v="0"/>
    <n v="360.05"/>
    <x v="67"/>
    <n v="360.05"/>
    <x v="4"/>
  </r>
  <r>
    <x v="17"/>
    <s v="Soner Kayıkçı"/>
    <x v="1"/>
    <x v="305"/>
    <x v="305"/>
    <n v="1"/>
    <s v="ADET"/>
    <n v="0"/>
    <n v="26"/>
    <n v="3"/>
    <n v="-12"/>
    <n v="0"/>
    <n v="0"/>
    <n v="360.05"/>
    <x v="67"/>
    <n v="360.05"/>
    <x v="4"/>
  </r>
  <r>
    <x v="16"/>
    <s v="Laurent MONTAGNER"/>
    <x v="1"/>
    <x v="305"/>
    <x v="305"/>
    <n v="1"/>
    <s v="ADET"/>
    <n v="0"/>
    <n v="26"/>
    <n v="3"/>
    <n v="-12"/>
    <n v="0"/>
    <n v="0"/>
    <n v="360.05"/>
    <x v="67"/>
    <n v="360.05"/>
    <x v="4"/>
  </r>
  <r>
    <x v="2"/>
    <s v="Jan Urbanek"/>
    <x v="1"/>
    <x v="340"/>
    <x v="340"/>
    <n v="4"/>
    <s v="ADET"/>
    <n v="0"/>
    <n v="45"/>
    <n v="6"/>
    <n v="-5"/>
    <n v="0"/>
    <n v="0"/>
    <n v="313.76"/>
    <x v="67"/>
    <n v="1255.04"/>
    <x v="2"/>
  </r>
  <r>
    <x v="16"/>
    <s v="Laurent MONTAGNER"/>
    <x v="1"/>
    <x v="299"/>
    <x v="299"/>
    <n v="2.5000000000000001E-2"/>
    <s v="GR"/>
    <n v="0"/>
    <n v="150"/>
    <n v="0"/>
    <n v="-149.76499999999999"/>
    <n v="0"/>
    <n v="0"/>
    <n v="1.8"/>
    <x v="29"/>
    <n v="4.5000000000000005E-2"/>
    <x v="1"/>
  </r>
  <r>
    <x v="18"/>
    <s v="Stina Alm"/>
    <x v="1"/>
    <x v="306"/>
    <x v="306"/>
    <n v="5.85"/>
    <s v="ADET"/>
    <n v="0"/>
    <n v="85"/>
    <n v="3.6500000000000106"/>
    <n v="12.549999999999997"/>
    <n v="0"/>
    <n v="4368.7804999999989"/>
    <n v="348.11"/>
    <x v="11"/>
    <n v="2036.4434999999999"/>
    <x v="3"/>
  </r>
  <r>
    <x v="19"/>
    <s v="Laurent MONTAGNER"/>
    <x v="1"/>
    <x v="306"/>
    <x v="306"/>
    <n v="5.2999999999999989"/>
    <s v="ADET"/>
    <n v="0"/>
    <n v="85"/>
    <n v="3.6500000000000106"/>
    <n v="12.549999999999997"/>
    <n v="0"/>
    <n v="4368.7804999999989"/>
    <n v="348.11"/>
    <x v="11"/>
    <n v="1844.9829999999997"/>
    <x v="3"/>
  </r>
  <r>
    <x v="18"/>
    <s v="Stina Alm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16"/>
    <s v="Laurent MONTAGNER"/>
    <x v="1"/>
    <x v="329"/>
    <x v="329"/>
    <n v="1"/>
    <s v="ADET"/>
    <n v="0"/>
    <n v="3"/>
    <n v="8"/>
    <n v="11"/>
    <n v="0"/>
    <n v="20020"/>
    <n v="1820"/>
    <x v="84"/>
    <n v="1820"/>
    <x v="9"/>
  </r>
  <r>
    <x v="17"/>
    <s v="Soner Kayıkçı"/>
    <x v="1"/>
    <x v="329"/>
    <x v="329"/>
    <n v="1"/>
    <s v="ADET"/>
    <n v="0"/>
    <n v="3"/>
    <n v="8"/>
    <n v="11"/>
    <n v="0"/>
    <n v="20020"/>
    <n v="1820"/>
    <x v="84"/>
    <n v="1820"/>
    <x v="9"/>
  </r>
  <r>
    <x v="17"/>
    <s v="Soner Kayıkçı"/>
    <x v="1"/>
    <x v="340"/>
    <x v="340"/>
    <n v="4"/>
    <s v="ADET"/>
    <n v="0"/>
    <n v="45"/>
    <n v="6"/>
    <n v="-5"/>
    <n v="0"/>
    <n v="0"/>
    <n v="313.76"/>
    <x v="67"/>
    <n v="1255.04"/>
    <x v="2"/>
  </r>
  <r>
    <x v="16"/>
    <s v="Laurent MONTAGNER"/>
    <x v="1"/>
    <x v="340"/>
    <x v="340"/>
    <n v="4"/>
    <s v="ADET"/>
    <n v="0"/>
    <n v="45"/>
    <n v="6"/>
    <n v="-5"/>
    <n v="0"/>
    <n v="0"/>
    <n v="313.76"/>
    <x v="67"/>
    <n v="1255.04"/>
    <x v="2"/>
  </r>
  <r>
    <x v="3"/>
    <s v="Jan Urbanek"/>
    <x v="1"/>
    <x v="340"/>
    <x v="340"/>
    <n v="4"/>
    <s v="ADET"/>
    <n v="0"/>
    <n v="45"/>
    <n v="6"/>
    <n v="-5"/>
    <n v="0"/>
    <n v="0"/>
    <n v="313.76"/>
    <x v="67"/>
    <n v="1255.04"/>
    <x v="2"/>
  </r>
  <r>
    <x v="4"/>
    <s v="Jan Urbanek"/>
    <x v="1"/>
    <x v="340"/>
    <x v="340"/>
    <n v="4"/>
    <s v="ADET"/>
    <n v="0"/>
    <n v="45"/>
    <n v="6"/>
    <n v="-5"/>
    <n v="0"/>
    <n v="0"/>
    <n v="313.76"/>
    <x v="67"/>
    <n v="1255.04"/>
    <x v="2"/>
  </r>
  <r>
    <x v="17"/>
    <s v="Soner Kayıkçı"/>
    <x v="1"/>
    <x v="297"/>
    <x v="297"/>
    <n v="4"/>
    <s v="ADET"/>
    <n v="0"/>
    <n v="996"/>
    <n v="0"/>
    <n v="-980"/>
    <n v="0"/>
    <n v="0"/>
    <n v="1.8"/>
    <x v="2"/>
    <n v="7.2"/>
    <x v="1"/>
  </r>
  <r>
    <x v="19"/>
    <s v="Laurent MONTAGNER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9"/>
    <s v="Laurent MONTAGNER"/>
    <x v="1"/>
    <x v="300"/>
    <x v="300"/>
    <n v="8"/>
    <s v="KG"/>
    <n v="0"/>
    <n v="65"/>
    <n v="0"/>
    <n v="54"/>
    <n v="0"/>
    <n v="60477.3"/>
    <n v="1119.95"/>
    <x v="81"/>
    <n v="8959.6"/>
    <x v="3"/>
  </r>
  <r>
    <x v="16"/>
    <s v="Laurent MONTAGNER"/>
    <x v="1"/>
    <x v="331"/>
    <x v="331"/>
    <n v="2"/>
    <s v="ADET"/>
    <n v="0"/>
    <n v="64.5"/>
    <n v="20"/>
    <n v="-14.5"/>
    <n v="0"/>
    <n v="0"/>
    <n v="200"/>
    <x v="16"/>
    <n v="400"/>
    <x v="2"/>
  </r>
  <r>
    <x v="17"/>
    <s v="Soner Kayıkçı"/>
    <x v="1"/>
    <x v="331"/>
    <x v="331"/>
    <n v="4"/>
    <s v="ADET"/>
    <n v="0"/>
    <n v="64.5"/>
    <n v="20"/>
    <n v="-14.5"/>
    <n v="0"/>
    <n v="0"/>
    <n v="200"/>
    <x v="16"/>
    <n v="800"/>
    <x v="2"/>
  </r>
  <r>
    <x v="19"/>
    <s v="Laurent MONTAGNER"/>
    <x v="1"/>
    <x v="60"/>
    <x v="60"/>
    <n v="1"/>
    <s v="ADET"/>
    <n v="1"/>
    <n v="6"/>
    <n v="10"/>
    <n v="7"/>
    <n v="0"/>
    <n v="12435.01"/>
    <n v="1776.43"/>
    <x v="3"/>
    <n v="1776.43"/>
    <x v="4"/>
  </r>
  <r>
    <x v="17"/>
    <s v="Soner Kayıkçı"/>
    <x v="1"/>
    <x v="306"/>
    <x v="306"/>
    <n v="4.5"/>
    <s v="ADET"/>
    <n v="0"/>
    <n v="85"/>
    <n v="3.6500000000000106"/>
    <n v="12.549999999999997"/>
    <n v="0"/>
    <n v="4368.7804999999989"/>
    <n v="348.11"/>
    <x v="11"/>
    <n v="1566.4950000000001"/>
    <x v="3"/>
  </r>
  <r>
    <x v="16"/>
    <s v="Laurent MONTAGNER"/>
    <x v="1"/>
    <x v="306"/>
    <x v="306"/>
    <n v="5.3999999999999995"/>
    <s v="ADET"/>
    <n v="0"/>
    <n v="85"/>
    <n v="3.6500000000000106"/>
    <n v="12.549999999999997"/>
    <n v="0"/>
    <n v="4368.7804999999989"/>
    <n v="348.11"/>
    <x v="11"/>
    <n v="1879.7939999999999"/>
    <x v="3"/>
  </r>
  <r>
    <x v="17"/>
    <s v="Soner Kayıkçı"/>
    <x v="1"/>
    <x v="300"/>
    <x v="300"/>
    <n v="6"/>
    <s v="KG"/>
    <n v="0"/>
    <n v="65"/>
    <n v="0"/>
    <n v="54"/>
    <n v="0"/>
    <n v="60477.3"/>
    <n v="1119.95"/>
    <x v="81"/>
    <n v="6719.7000000000007"/>
    <x v="3"/>
  </r>
  <r>
    <x v="17"/>
    <s v="Soner Kayıkçı"/>
    <x v="1"/>
    <x v="339"/>
    <x v="339"/>
    <n v="2"/>
    <s v="ADET"/>
    <n v="0"/>
    <n v="500"/>
    <n v="500"/>
    <n v="-486"/>
    <n v="0"/>
    <n v="0"/>
    <n v="0.55000000000000004"/>
    <x v="23"/>
    <n v="1.1000000000000001"/>
    <x v="7"/>
  </r>
  <r>
    <x v="18"/>
    <s v="Stina Alm"/>
    <x v="1"/>
    <x v="331"/>
    <x v="331"/>
    <n v="4"/>
    <s v="ADET"/>
    <n v="0"/>
    <n v="64.5"/>
    <n v="20"/>
    <n v="-14.5"/>
    <n v="0"/>
    <n v="0"/>
    <n v="200"/>
    <x v="16"/>
    <n v="800"/>
    <x v="2"/>
  </r>
  <r>
    <x v="12"/>
    <s v="Stefan Zaugg"/>
    <x v="1"/>
    <x v="60"/>
    <x v="60"/>
    <n v="1"/>
    <s v="ADET"/>
    <n v="1"/>
    <n v="6"/>
    <n v="10"/>
    <n v="7"/>
    <n v="0"/>
    <n v="12435.01"/>
    <n v="1776.43"/>
    <x v="3"/>
    <n v="1776.43"/>
    <x v="4"/>
  </r>
  <r>
    <x v="13"/>
    <s v="Volkan Batkan"/>
    <x v="1"/>
    <x v="60"/>
    <x v="60"/>
    <n v="1"/>
    <s v="ADET"/>
    <n v="1"/>
    <n v="6"/>
    <n v="10"/>
    <n v="7"/>
    <n v="0"/>
    <n v="12435.01"/>
    <n v="1776.43"/>
    <x v="3"/>
    <n v="1776.43"/>
    <x v="4"/>
  </r>
  <r>
    <x v="5"/>
    <s v="Matteo Giolo"/>
    <x v="1"/>
    <x v="388"/>
    <x v="388"/>
    <n v="1"/>
    <s v="ADET"/>
    <n v="0"/>
    <n v="0"/>
    <n v="0"/>
    <n v="15"/>
    <n v="0"/>
    <n v="0"/>
    <n v="0"/>
    <x v="6"/>
    <n v="0"/>
    <x v="2"/>
  </r>
  <r>
    <x v="11"/>
    <s v="Jan Urbanek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"/>
    <s v="Laurent MONTAGNER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2"/>
    <s v="Jan Urbanek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0"/>
    <s v="Matteo Giolo"/>
    <x v="1"/>
    <x v="388"/>
    <x v="388"/>
    <n v="1"/>
    <s v="ADET"/>
    <n v="0"/>
    <n v="0"/>
    <n v="0"/>
    <n v="15"/>
    <n v="0"/>
    <n v="0"/>
    <n v="0"/>
    <x v="6"/>
    <n v="0"/>
    <x v="2"/>
  </r>
  <r>
    <x v="10"/>
    <s v="Murat Taşdemir"/>
    <x v="1"/>
    <x v="351"/>
    <x v="351"/>
    <n v="1"/>
    <s v="ADET"/>
    <n v="0"/>
    <n v="12"/>
    <n v="3"/>
    <n v="-6"/>
    <n v="0"/>
    <n v="0"/>
    <n v="1723.12"/>
    <x v="67"/>
    <n v="1723.12"/>
    <x v="4"/>
  </r>
  <r>
    <x v="12"/>
    <s v="Stefan Zaugg"/>
    <x v="1"/>
    <x v="389"/>
    <x v="389"/>
    <n v="1"/>
    <s v="ADET"/>
    <n v="1"/>
    <n v="2"/>
    <n v="2"/>
    <n v="-2"/>
    <n v="0"/>
    <n v="0"/>
    <n v="400"/>
    <x v="92"/>
    <n v="400"/>
    <x v="4"/>
  </r>
  <r>
    <x v="9"/>
    <s v="Stefan Zaugg"/>
    <x v="1"/>
    <x v="352"/>
    <x v="352"/>
    <n v="1"/>
    <s v="ADET"/>
    <n v="1"/>
    <n v="0"/>
    <n v="10"/>
    <n v="9"/>
    <n v="5"/>
    <n v="53946.090000000004"/>
    <n v="5994.01"/>
    <x v="43"/>
    <n v="5994.01"/>
    <x v="7"/>
  </r>
  <r>
    <x v="8"/>
    <s v="Jan Urbanek"/>
    <x v="1"/>
    <x v="388"/>
    <x v="388"/>
    <n v="1"/>
    <s v="ADET"/>
    <n v="0"/>
    <n v="0"/>
    <n v="0"/>
    <n v="15"/>
    <n v="0"/>
    <n v="0"/>
    <n v="0"/>
    <x v="6"/>
    <n v="0"/>
    <x v="2"/>
  </r>
  <r>
    <x v="10"/>
    <s v="Murat Taşdemir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1"/>
    <s v="Jan Urbanek"/>
    <x v="1"/>
    <x v="388"/>
    <x v="388"/>
    <n v="1"/>
    <s v="ADET"/>
    <n v="0"/>
    <n v="0"/>
    <n v="0"/>
    <n v="15"/>
    <n v="0"/>
    <n v="0"/>
    <n v="0"/>
    <x v="6"/>
    <n v="0"/>
    <x v="2"/>
  </r>
  <r>
    <x v="10"/>
    <s v="Murat Taşdemir"/>
    <x v="1"/>
    <x v="388"/>
    <x v="388"/>
    <n v="1"/>
    <s v="ADET"/>
    <n v="0"/>
    <n v="0"/>
    <n v="0"/>
    <n v="15"/>
    <n v="0"/>
    <n v="0"/>
    <n v="0"/>
    <x v="6"/>
    <n v="0"/>
    <x v="2"/>
  </r>
  <r>
    <x v="2"/>
    <s v="Jan Urbanek"/>
    <x v="1"/>
    <x v="388"/>
    <x v="388"/>
    <n v="1"/>
    <s v="ADET"/>
    <n v="0"/>
    <n v="0"/>
    <n v="0"/>
    <n v="15"/>
    <n v="0"/>
    <n v="0"/>
    <n v="0"/>
    <x v="6"/>
    <n v="0"/>
    <x v="2"/>
  </r>
  <r>
    <x v="16"/>
    <s v="Laurent MONTAGNER"/>
    <x v="1"/>
    <x v="349"/>
    <x v="349"/>
    <n v="6"/>
    <s v="ADET"/>
    <n v="0"/>
    <n v="55"/>
    <n v="17"/>
    <n v="-24"/>
    <n v="0"/>
    <n v="0"/>
    <n v="199.45"/>
    <x v="53"/>
    <n v="1196.6999999999998"/>
    <x v="1"/>
  </r>
  <r>
    <x v="19"/>
    <s v="Laurent MONTAGNER"/>
    <x v="1"/>
    <x v="350"/>
    <x v="350"/>
    <n v="0.3"/>
    <s v="KG"/>
    <n v="0"/>
    <n v="2.5"/>
    <n v="-6.106226635438361E-16"/>
    <n v="-0.61999999999999944"/>
    <n v="0"/>
    <n v="0"/>
    <n v="2400"/>
    <x v="29"/>
    <n v="720"/>
    <x v="1"/>
  </r>
  <r>
    <x v="17"/>
    <s v="Soner Kayıkçı"/>
    <x v="1"/>
    <x v="350"/>
    <x v="350"/>
    <n v="7.0000000000000007E-2"/>
    <s v="KG"/>
    <n v="0"/>
    <n v="2.5"/>
    <n v="-6.106226635438361E-16"/>
    <n v="-0.61999999999999944"/>
    <n v="0"/>
    <n v="0"/>
    <n v="2400"/>
    <x v="29"/>
    <n v="168.00000000000003"/>
    <x v="1"/>
  </r>
  <r>
    <x v="16"/>
    <s v="Laurent MONTAGNER"/>
    <x v="1"/>
    <x v="350"/>
    <x v="350"/>
    <n v="0.09"/>
    <s v="KG"/>
    <n v="0"/>
    <n v="2.5"/>
    <n v="-6.106226635438361E-16"/>
    <n v="-0.61999999999999944"/>
    <n v="0"/>
    <n v="0"/>
    <n v="2400"/>
    <x v="29"/>
    <n v="216"/>
    <x v="1"/>
  </r>
  <r>
    <x v="19"/>
    <s v="Laurent MONTAGNER"/>
    <x v="1"/>
    <x v="351"/>
    <x v="351"/>
    <n v="1"/>
    <s v="ADET"/>
    <n v="1"/>
    <n v="12"/>
    <n v="3"/>
    <n v="-6"/>
    <n v="0"/>
    <n v="0"/>
    <n v="1723.12"/>
    <x v="67"/>
    <n v="1723.12"/>
    <x v="4"/>
  </r>
  <r>
    <x v="16"/>
    <s v="Laurent MONTAGNER"/>
    <x v="1"/>
    <x v="351"/>
    <x v="351"/>
    <n v="1"/>
    <s v="ADET"/>
    <n v="0"/>
    <n v="12"/>
    <n v="3"/>
    <n v="-6"/>
    <n v="0"/>
    <n v="0"/>
    <n v="1723.12"/>
    <x v="67"/>
    <n v="1723.12"/>
    <x v="4"/>
  </r>
  <r>
    <x v="16"/>
    <s v="Laurent MONTAGNER"/>
    <x v="1"/>
    <x v="388"/>
    <x v="388"/>
    <n v="1"/>
    <s v="ADET"/>
    <n v="0"/>
    <n v="0"/>
    <n v="0"/>
    <n v="15"/>
    <n v="0"/>
    <n v="0"/>
    <n v="0"/>
    <x v="6"/>
    <n v="0"/>
    <x v="2"/>
  </r>
  <r>
    <x v="17"/>
    <s v="Soner Kayıkçı"/>
    <x v="1"/>
    <x v="388"/>
    <x v="388"/>
    <n v="1"/>
    <s v="ADET"/>
    <n v="0"/>
    <n v="0"/>
    <n v="0"/>
    <n v="15"/>
    <n v="0"/>
    <n v="0"/>
    <n v="0"/>
    <x v="6"/>
    <n v="0"/>
    <x v="2"/>
  </r>
  <r>
    <x v="17"/>
    <s v="Soner Kayıkçı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7"/>
    <s v="Soner Kayıkçı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16"/>
    <s v="Laurent MONTAGNER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16"/>
    <s v="Laurent MONTAGNER"/>
    <x v="1"/>
    <x v="290"/>
    <x v="290"/>
    <n v="1"/>
    <s v="ADET"/>
    <n v="0"/>
    <n v="30"/>
    <n v="3"/>
    <n v="-16"/>
    <n v="0"/>
    <n v="0"/>
    <n v="372.91"/>
    <x v="67"/>
    <n v="372.91"/>
    <x v="4"/>
  </r>
  <r>
    <x v="17"/>
    <s v="Soner Kayıkçı"/>
    <x v="1"/>
    <x v="290"/>
    <x v="290"/>
    <n v="1"/>
    <s v="ADET"/>
    <n v="0"/>
    <n v="30"/>
    <n v="3"/>
    <n v="-16"/>
    <n v="0"/>
    <n v="0"/>
    <n v="372.91"/>
    <x v="67"/>
    <n v="372.91"/>
    <x v="4"/>
  </r>
  <r>
    <x v="16"/>
    <s v="Laurent MONTAGNER"/>
    <x v="1"/>
    <x v="291"/>
    <x v="291"/>
    <n v="1"/>
    <s v="ADET"/>
    <n v="0"/>
    <n v="27"/>
    <n v="3"/>
    <n v="-13"/>
    <n v="0"/>
    <n v="0"/>
    <n v="372.91"/>
    <x v="67"/>
    <n v="372.91"/>
    <x v="4"/>
  </r>
  <r>
    <x v="18"/>
    <s v="Stina Alm"/>
    <x v="1"/>
    <x v="332"/>
    <x v="332"/>
    <n v="430"/>
    <s v="ADET"/>
    <n v="0"/>
    <n v="8000"/>
    <n v="11449"/>
    <n v="-1313"/>
    <n v="0"/>
    <n v="0"/>
    <n v="0.54"/>
    <x v="1"/>
    <n v="232.20000000000002"/>
    <x v="1"/>
  </r>
  <r>
    <x v="19"/>
    <s v="Laurent MONTAGNER"/>
    <x v="1"/>
    <x v="332"/>
    <x v="332"/>
    <n v="562"/>
    <s v="ADET"/>
    <n v="0"/>
    <n v="8000"/>
    <n v="11449"/>
    <n v="-1313"/>
    <n v="0"/>
    <n v="0"/>
    <n v="0.54"/>
    <x v="1"/>
    <n v="303.48"/>
    <x v="1"/>
  </r>
  <r>
    <x v="8"/>
    <s v="Jan Urbanek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8"/>
    <s v="Jan Urbanek"/>
    <x v="1"/>
    <x v="333"/>
    <x v="333"/>
    <n v="4"/>
    <s v="ADET"/>
    <n v="0"/>
    <n v="11"/>
    <n v="19"/>
    <n v="22"/>
    <n v="0"/>
    <n v="67584"/>
    <n v="3072"/>
    <x v="85"/>
    <n v="12288"/>
    <x v="2"/>
  </r>
  <r>
    <x v="8"/>
    <s v="Jan Urbanek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4"/>
    <s v="Jan Urbanek"/>
    <x v="1"/>
    <x v="335"/>
    <x v="335"/>
    <n v="1"/>
    <s v="ADET"/>
    <n v="0"/>
    <n v="19"/>
    <n v="15"/>
    <n v="-6"/>
    <n v="0"/>
    <n v="0"/>
    <n v="41.67"/>
    <x v="86"/>
    <n v="41.67"/>
    <x v="2"/>
  </r>
  <r>
    <x v="4"/>
    <s v="Jan Urbanek"/>
    <x v="1"/>
    <x v="336"/>
    <x v="336"/>
    <n v="2"/>
    <s v="ADET"/>
    <n v="0"/>
    <n v="33"/>
    <n v="5"/>
    <n v="-13"/>
    <n v="0"/>
    <n v="0"/>
    <n v="354.91"/>
    <x v="67"/>
    <n v="709.82"/>
    <x v="2"/>
  </r>
  <r>
    <x v="16"/>
    <s v="Laurent MONTAGNER"/>
    <x v="1"/>
    <x v="332"/>
    <x v="332"/>
    <n v="441"/>
    <s v="ADET"/>
    <n v="0"/>
    <n v="8000"/>
    <n v="11449"/>
    <n v="-1313"/>
    <n v="0"/>
    <n v="0"/>
    <n v="0.54"/>
    <x v="1"/>
    <n v="238.14000000000001"/>
    <x v="1"/>
  </r>
  <r>
    <x v="17"/>
    <s v="Soner Kayıkçı"/>
    <x v="1"/>
    <x v="332"/>
    <x v="332"/>
    <n v="278"/>
    <s v="ADET"/>
    <n v="0"/>
    <n v="8000"/>
    <n v="11449"/>
    <n v="-1313"/>
    <n v="0"/>
    <n v="0"/>
    <n v="0.54"/>
    <x v="1"/>
    <n v="150.12"/>
    <x v="1"/>
  </r>
  <r>
    <x v="17"/>
    <s v="Soner Kayıkçı"/>
    <x v="1"/>
    <x v="334"/>
    <x v="334"/>
    <n v="2"/>
    <s v="ADET"/>
    <n v="0"/>
    <n v="1000"/>
    <n v="1000"/>
    <n v="-986"/>
    <n v="0"/>
    <n v="0"/>
    <n v="0.28000000000000003"/>
    <x v="23"/>
    <n v="0.56000000000000005"/>
    <x v="7"/>
  </r>
  <r>
    <x v="18"/>
    <s v="Stina Alm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18"/>
    <s v="Stina Alm"/>
    <x v="1"/>
    <x v="290"/>
    <x v="290"/>
    <n v="1"/>
    <s v="ADET"/>
    <n v="0"/>
    <n v="30"/>
    <n v="3"/>
    <n v="-16"/>
    <n v="0"/>
    <n v="0"/>
    <n v="372.91"/>
    <x v="67"/>
    <n v="372.91"/>
    <x v="4"/>
  </r>
  <r>
    <x v="18"/>
    <s v="Stina Alm"/>
    <x v="1"/>
    <x v="291"/>
    <x v="291"/>
    <n v="1"/>
    <s v="ADET"/>
    <n v="0"/>
    <n v="27"/>
    <n v="3"/>
    <n v="-13"/>
    <n v="0"/>
    <n v="0"/>
    <n v="372.91"/>
    <x v="67"/>
    <n v="372.91"/>
    <x v="4"/>
  </r>
  <r>
    <x v="9"/>
    <s v="Stefan Zaugg"/>
    <x v="1"/>
    <x v="278"/>
    <x v="278"/>
    <n v="1"/>
    <s v="ADET"/>
    <n v="1"/>
    <n v="4"/>
    <n v="8"/>
    <n v="0"/>
    <n v="9"/>
    <n v="0"/>
    <n v="266.39999999999998"/>
    <x v="43"/>
    <n v="266.39999999999998"/>
    <x v="7"/>
  </r>
  <r>
    <x v="13"/>
    <s v="Volkan Batkan"/>
    <x v="1"/>
    <x v="278"/>
    <x v="278"/>
    <n v="1"/>
    <s v="ADET"/>
    <n v="1"/>
    <n v="4"/>
    <n v="8"/>
    <n v="0"/>
    <n v="9"/>
    <n v="0"/>
    <n v="266.39999999999998"/>
    <x v="43"/>
    <n v="266.39999999999998"/>
    <x v="7"/>
  </r>
  <r>
    <x v="13"/>
    <s v="Volkan Batkan"/>
    <x v="1"/>
    <x v="337"/>
    <x v="337"/>
    <n v="2"/>
    <s v="ADET"/>
    <n v="2"/>
    <n v="5"/>
    <n v="4"/>
    <n v="1"/>
    <n v="0"/>
    <n v="400"/>
    <n v="400"/>
    <x v="15"/>
    <n v="800"/>
    <x v="7"/>
  </r>
  <r>
    <x v="16"/>
    <s v="Laurent MONTAGNER"/>
    <x v="1"/>
    <x v="335"/>
    <x v="335"/>
    <n v="1"/>
    <s v="ADET"/>
    <n v="0"/>
    <n v="19"/>
    <n v="15"/>
    <n v="-6"/>
    <n v="0"/>
    <n v="0"/>
    <n v="41.67"/>
    <x v="86"/>
    <n v="41.67"/>
    <x v="2"/>
  </r>
  <r>
    <x v="9"/>
    <s v="Stefan Zaugg"/>
    <x v="1"/>
    <x v="333"/>
    <x v="333"/>
    <n v="5"/>
    <s v="ADET"/>
    <n v="5"/>
    <n v="11"/>
    <n v="19"/>
    <n v="22"/>
    <n v="0"/>
    <n v="67584"/>
    <n v="3072"/>
    <x v="85"/>
    <n v="15360"/>
    <x v="2"/>
  </r>
  <r>
    <x v="12"/>
    <s v="Stefan Zaugg"/>
    <x v="1"/>
    <x v="333"/>
    <x v="333"/>
    <n v="5"/>
    <s v="ADET"/>
    <n v="5"/>
    <n v="11"/>
    <n v="19"/>
    <n v="22"/>
    <n v="0"/>
    <n v="67584"/>
    <n v="3072"/>
    <x v="85"/>
    <n v="15360"/>
    <x v="2"/>
  </r>
  <r>
    <x v="13"/>
    <s v="Volkan Batkan"/>
    <x v="1"/>
    <x v="333"/>
    <x v="333"/>
    <n v="4"/>
    <s v="ADET"/>
    <n v="4"/>
    <n v="11"/>
    <n v="19"/>
    <n v="22"/>
    <n v="0"/>
    <n v="67584"/>
    <n v="3072"/>
    <x v="85"/>
    <n v="12288"/>
    <x v="2"/>
  </r>
  <r>
    <x v="19"/>
    <s v="Laurent MONTAGNER"/>
    <x v="0"/>
    <x v="0"/>
    <x v="0"/>
    <n v="1"/>
    <s v="ADET"/>
    <n v="1"/>
    <n v="3"/>
    <n v="8"/>
    <n v="10"/>
    <n v="0"/>
    <n v="0"/>
    <m/>
    <x v="0"/>
    <m/>
    <x v="0"/>
  </r>
  <r>
    <x v="18"/>
    <s v="Stina Alm"/>
    <x v="1"/>
    <x v="349"/>
    <x v="349"/>
    <n v="4"/>
    <s v="ADET"/>
    <n v="0"/>
    <n v="55"/>
    <n v="17"/>
    <n v="-24"/>
    <n v="0"/>
    <n v="0"/>
    <n v="199.45"/>
    <x v="53"/>
    <n v="797.8"/>
    <x v="1"/>
  </r>
  <r>
    <x v="13"/>
    <s v="Volkan Batkan"/>
    <x v="1"/>
    <x v="202"/>
    <x v="202"/>
    <n v="5"/>
    <s v="ADET"/>
    <n v="5"/>
    <n v="234"/>
    <n v="30"/>
    <n v="-169"/>
    <n v="0"/>
    <n v="0"/>
    <n v="15.21"/>
    <x v="23"/>
    <n v="76.050000000000011"/>
    <x v="7"/>
  </r>
  <r>
    <x v="18"/>
    <s v="Stina Alm"/>
    <x v="1"/>
    <x v="351"/>
    <x v="351"/>
    <n v="1"/>
    <s v="ADET"/>
    <n v="0"/>
    <n v="12"/>
    <n v="3"/>
    <n v="-6"/>
    <n v="0"/>
    <n v="0"/>
    <n v="1723.12"/>
    <x v="67"/>
    <n v="1723.12"/>
    <x v="4"/>
  </r>
  <r>
    <x v="18"/>
    <s v="Stina Alm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7"/>
    <s v="Soner Kayıkçı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6"/>
    <s v="Laurent MONTAGNER"/>
    <x v="1"/>
    <x v="352"/>
    <x v="352"/>
    <n v="1"/>
    <s v="ADET"/>
    <n v="0"/>
    <n v="0"/>
    <n v="10"/>
    <n v="9"/>
    <n v="5"/>
    <n v="53946.090000000004"/>
    <n v="5994.01"/>
    <x v="43"/>
    <n v="5994.01"/>
    <x v="7"/>
  </r>
  <r>
    <x v="18"/>
    <s v="Stina Alm"/>
    <x v="1"/>
    <x v="388"/>
    <x v="388"/>
    <n v="1"/>
    <s v="ADET"/>
    <n v="0"/>
    <n v="0"/>
    <n v="0"/>
    <n v="15"/>
    <n v="0"/>
    <n v="0"/>
    <n v="0"/>
    <x v="6"/>
    <n v="0"/>
    <x v="2"/>
  </r>
  <r>
    <x v="13"/>
    <s v="Volkan Batkan"/>
    <x v="1"/>
    <x v="302"/>
    <x v="302"/>
    <n v="1"/>
    <s v="ADET"/>
    <n v="1"/>
    <n v="1"/>
    <n v="11"/>
    <n v="16"/>
    <n v="0"/>
    <n v="212968.32000000001"/>
    <n v="13310.52"/>
    <x v="65"/>
    <n v="13310.52"/>
    <x v="2"/>
  </r>
  <r>
    <x v="17"/>
    <s v="Soner Kayıkçı"/>
    <x v="1"/>
    <x v="403"/>
    <x v="403"/>
    <n v="1"/>
    <s v="ADET"/>
    <n v="0"/>
    <n v="8"/>
    <n v="4"/>
    <n v="-1"/>
    <n v="0"/>
    <n v="0"/>
    <n v="1723.12"/>
    <x v="67"/>
    <n v="1723.12"/>
    <x v="4"/>
  </r>
  <r>
    <x v="16"/>
    <s v="Laurent MONTAGNER"/>
    <x v="1"/>
    <x v="464"/>
    <x v="464"/>
    <n v="1"/>
    <s v="ADET"/>
    <n v="0"/>
    <n v="14"/>
    <n v="3"/>
    <n v="-8"/>
    <n v="0"/>
    <n v="0"/>
    <n v="1678.88"/>
    <x v="67"/>
    <n v="1678.88"/>
    <x v="4"/>
  </r>
  <r>
    <x v="8"/>
    <s v="Jan Urbanek"/>
    <x v="1"/>
    <x v="465"/>
    <x v="465"/>
    <n v="2"/>
    <s v="ADET"/>
    <n v="0"/>
    <n v="500"/>
    <n v="500"/>
    <n v="-486"/>
    <n v="0"/>
    <n v="0"/>
    <n v="0.65"/>
    <x v="23"/>
    <n v="1.3"/>
    <x v="7"/>
  </r>
  <r>
    <x v="8"/>
    <s v="Jan Urbanek"/>
    <x v="1"/>
    <x v="479"/>
    <x v="479"/>
    <n v="2"/>
    <s v="ADET"/>
    <n v="0"/>
    <n v="500"/>
    <n v="500"/>
    <n v="-486"/>
    <n v="0"/>
    <n v="0"/>
    <n v="0.39"/>
    <x v="23"/>
    <n v="0.78"/>
    <x v="7"/>
  </r>
  <r>
    <x v="8"/>
    <s v="Jan Urbanek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8"/>
    <s v="Stina Alm"/>
    <x v="1"/>
    <x v="402"/>
    <x v="402"/>
    <n v="4"/>
    <s v="ADET"/>
    <n v="0"/>
    <n v="1000"/>
    <n v="1222"/>
    <n v="-903"/>
    <n v="0"/>
    <n v="0"/>
    <n v="1.1399999999999999"/>
    <x v="5"/>
    <n v="4.5599999999999996"/>
    <x v="1"/>
  </r>
  <r>
    <x v="17"/>
    <s v="Soner Kayıkçı"/>
    <x v="1"/>
    <x v="405"/>
    <x v="405"/>
    <n v="1"/>
    <s v="ADET"/>
    <n v="0"/>
    <n v="5"/>
    <n v="4"/>
    <n v="2"/>
    <n v="0"/>
    <n v="3446.24"/>
    <n v="1723.12"/>
    <x v="67"/>
    <n v="1723.12"/>
    <x v="4"/>
  </r>
  <r>
    <x v="18"/>
    <s v="Stina Alm"/>
    <x v="1"/>
    <x v="464"/>
    <x v="464"/>
    <n v="1"/>
    <s v="ADET"/>
    <n v="0"/>
    <n v="14"/>
    <n v="3"/>
    <n v="-8"/>
    <n v="0"/>
    <n v="0"/>
    <n v="1678.88"/>
    <x v="67"/>
    <n v="1678.88"/>
    <x v="4"/>
  </r>
  <r>
    <x v="6"/>
    <s v="Stefan Zaugg"/>
    <x v="1"/>
    <x v="482"/>
    <x v="482"/>
    <n v="2"/>
    <s v="ADET"/>
    <n v="2"/>
    <n v="4"/>
    <n v="12"/>
    <n v="-4"/>
    <n v="0"/>
    <n v="0"/>
    <n v="1028.21"/>
    <x v="67"/>
    <n v="2056.42"/>
    <x v="4"/>
  </r>
  <r>
    <x v="9"/>
    <s v="Stefan Zaugg"/>
    <x v="1"/>
    <x v="466"/>
    <x v="466"/>
    <n v="1"/>
    <s v="ADET"/>
    <n v="1"/>
    <n v="10"/>
    <n v="7"/>
    <n v="-12"/>
    <n v="15"/>
    <n v="0"/>
    <n v="776.15"/>
    <x v="103"/>
    <n v="776.15"/>
    <x v="7"/>
  </r>
  <r>
    <x v="6"/>
    <s v="Stefan Zaugg"/>
    <x v="1"/>
    <x v="466"/>
    <x v="466"/>
    <n v="1"/>
    <s v="ADET"/>
    <n v="1"/>
    <n v="10"/>
    <n v="7"/>
    <n v="-12"/>
    <n v="15"/>
    <n v="0"/>
    <n v="776.15"/>
    <x v="103"/>
    <n v="776.15"/>
    <x v="7"/>
  </r>
  <r>
    <x v="12"/>
    <s v="Stefan Zaugg"/>
    <x v="1"/>
    <x v="466"/>
    <x v="466"/>
    <n v="1"/>
    <s v="ADET"/>
    <n v="1"/>
    <n v="10"/>
    <n v="7"/>
    <n v="-12"/>
    <n v="15"/>
    <n v="0"/>
    <n v="776.15"/>
    <x v="103"/>
    <n v="776.15"/>
    <x v="7"/>
  </r>
  <r>
    <x v="6"/>
    <s v="Stefan Zaugg"/>
    <x v="1"/>
    <x v="51"/>
    <x v="51"/>
    <n v="1"/>
    <s v="ADET"/>
    <n v="1"/>
    <n v="0"/>
    <n v="5"/>
    <n v="0"/>
    <n v="7"/>
    <n v="0"/>
    <n v="1491.67"/>
    <x v="20"/>
    <n v="1491.67"/>
    <x v="2"/>
  </r>
  <r>
    <x v="9"/>
    <s v="Stefan Zaugg"/>
    <x v="1"/>
    <x v="467"/>
    <x v="467"/>
    <n v="1"/>
    <s v="ADET"/>
    <n v="1"/>
    <n v="1"/>
    <n v="4"/>
    <n v="13"/>
    <n v="0"/>
    <n v="168880.14"/>
    <n v="12990.78"/>
    <x v="65"/>
    <n v="12990.78"/>
    <x v="2"/>
  </r>
  <r>
    <x v="4"/>
    <s v="Jan Urbanek"/>
    <x v="1"/>
    <x v="405"/>
    <x v="405"/>
    <n v="1"/>
    <s v="ADET"/>
    <n v="1"/>
    <n v="5"/>
    <n v="4"/>
    <n v="2"/>
    <n v="0"/>
    <n v="3446.24"/>
    <n v="1723.12"/>
    <x v="67"/>
    <n v="1723.12"/>
    <x v="4"/>
  </r>
  <r>
    <x v="17"/>
    <s v="Soner Kayıkçı"/>
    <x v="1"/>
    <x v="466"/>
    <x v="466"/>
    <n v="1"/>
    <s v="ADET"/>
    <n v="0"/>
    <n v="10"/>
    <n v="7"/>
    <n v="-12"/>
    <n v="15"/>
    <n v="0"/>
    <n v="776.15"/>
    <x v="103"/>
    <n v="776.15"/>
    <x v="7"/>
  </r>
  <r>
    <x v="16"/>
    <s v="Laurent MONTAGNER"/>
    <x v="1"/>
    <x v="466"/>
    <x v="466"/>
    <n v="1"/>
    <s v="ADET"/>
    <n v="0"/>
    <n v="10"/>
    <n v="7"/>
    <n v="-12"/>
    <n v="15"/>
    <n v="0"/>
    <n v="776.15"/>
    <x v="103"/>
    <n v="776.15"/>
    <x v="7"/>
  </r>
  <r>
    <x v="18"/>
    <s v="Stina Alm"/>
    <x v="1"/>
    <x v="466"/>
    <x v="466"/>
    <n v="1"/>
    <s v="ADET"/>
    <n v="0"/>
    <n v="10"/>
    <n v="7"/>
    <n v="-12"/>
    <n v="15"/>
    <n v="0"/>
    <n v="776.15"/>
    <x v="103"/>
    <n v="776.15"/>
    <x v="7"/>
  </r>
  <r>
    <x v="17"/>
    <s v="Soner Kayıkçı"/>
    <x v="1"/>
    <x v="479"/>
    <x v="479"/>
    <n v="2"/>
    <s v="ADET"/>
    <n v="0"/>
    <n v="500"/>
    <n v="500"/>
    <n v="-486"/>
    <n v="0"/>
    <n v="0"/>
    <n v="0.39"/>
    <x v="23"/>
    <n v="0.78"/>
    <x v="7"/>
  </r>
  <r>
    <x v="18"/>
    <s v="Stina Alm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7"/>
    <s v="Soner Kayıkçı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16"/>
    <s v="Laurent MONTAGNER"/>
    <x v="1"/>
    <x v="467"/>
    <x v="467"/>
    <n v="1"/>
    <s v="ADET"/>
    <n v="0"/>
    <n v="1"/>
    <n v="4"/>
    <n v="13"/>
    <n v="0"/>
    <n v="168880.14"/>
    <n v="12990.78"/>
    <x v="65"/>
    <n v="12990.78"/>
    <x v="2"/>
  </r>
  <r>
    <x v="9"/>
    <s v="Stefan Zaugg"/>
    <x v="1"/>
    <x v="404"/>
    <x v="404"/>
    <n v="2"/>
    <s v="ADET"/>
    <n v="2"/>
    <n v="3"/>
    <n v="12"/>
    <n v="25"/>
    <n v="0"/>
    <n v="11103.25"/>
    <n v="444.13"/>
    <x v="65"/>
    <n v="888.26"/>
    <x v="2"/>
  </r>
  <r>
    <x v="6"/>
    <s v="Stefan Zaugg"/>
    <x v="1"/>
    <x v="404"/>
    <x v="404"/>
    <n v="2"/>
    <s v="ADET"/>
    <n v="2"/>
    <n v="3"/>
    <n v="12"/>
    <n v="25"/>
    <n v="0"/>
    <n v="11103.25"/>
    <n v="444.13"/>
    <x v="65"/>
    <n v="888.26"/>
    <x v="2"/>
  </r>
  <r>
    <x v="9"/>
    <s v="Stefan Zaugg"/>
    <x v="1"/>
    <x v="176"/>
    <x v="176"/>
    <n v="1"/>
    <s v="ADET"/>
    <n v="1"/>
    <n v="9"/>
    <n v="8"/>
    <n v="-1"/>
    <n v="5"/>
    <n v="0"/>
    <n v="1200"/>
    <x v="56"/>
    <n v="1200"/>
    <x v="4"/>
  </r>
  <r>
    <x v="13"/>
    <s v="Volkan Batkan"/>
    <x v="1"/>
    <x v="176"/>
    <x v="176"/>
    <n v="1"/>
    <s v="ADET"/>
    <n v="1"/>
    <n v="9"/>
    <n v="8"/>
    <n v="-1"/>
    <n v="5"/>
    <n v="0"/>
    <n v="1200"/>
    <x v="56"/>
    <n v="1200"/>
    <x v="4"/>
  </r>
  <r>
    <x v="12"/>
    <s v="Stefan Zaugg"/>
    <x v="1"/>
    <x v="405"/>
    <x v="405"/>
    <n v="1"/>
    <s v="ADET"/>
    <n v="1"/>
    <n v="5"/>
    <n v="4"/>
    <n v="2"/>
    <n v="0"/>
    <n v="3446.24"/>
    <n v="1723.12"/>
    <x v="67"/>
    <n v="1723.12"/>
    <x v="4"/>
  </r>
  <r>
    <x v="13"/>
    <s v="Volkan Batkan"/>
    <x v="1"/>
    <x v="405"/>
    <x v="405"/>
    <n v="1"/>
    <s v="ADET"/>
    <n v="1"/>
    <n v="5"/>
    <n v="4"/>
    <n v="2"/>
    <n v="0"/>
    <n v="3446.24"/>
    <n v="1723.12"/>
    <x v="67"/>
    <n v="1723.12"/>
    <x v="4"/>
  </r>
  <r>
    <x v="18"/>
    <s v="Stina Alm"/>
    <x v="1"/>
    <x v="407"/>
    <x v="407"/>
    <n v="1.35"/>
    <s v="ADET"/>
    <n v="0"/>
    <n v="49"/>
    <n v="1.6000000000000014"/>
    <n v="-37.599999999999994"/>
    <n v="0"/>
    <n v="0"/>
    <n v="60"/>
    <x v="8"/>
    <n v="81"/>
    <x v="1"/>
  </r>
  <r>
    <x v="17"/>
    <s v="Soner Kayıkçı"/>
    <x v="1"/>
    <x v="408"/>
    <x v="408"/>
    <n v="6"/>
    <s v="ADET"/>
    <n v="0"/>
    <n v="0"/>
    <n v="0"/>
    <n v="54"/>
    <n v="0"/>
    <n v="67.5"/>
    <n v="1.25"/>
    <x v="29"/>
    <n v="7.5"/>
    <x v="7"/>
  </r>
  <r>
    <x v="18"/>
    <s v="Stina Alm"/>
    <x v="1"/>
    <x v="420"/>
    <x v="420"/>
    <n v="2"/>
    <s v="ADET"/>
    <n v="0"/>
    <n v="115"/>
    <n v="28"/>
    <n v="-71"/>
    <n v="0"/>
    <n v="0"/>
    <n v="250"/>
    <x v="1"/>
    <n v="500"/>
    <x v="1"/>
  </r>
  <r>
    <x v="18"/>
    <s v="Stina Alm"/>
    <x v="1"/>
    <x v="416"/>
    <x v="416"/>
    <n v="1"/>
    <s v="ADET"/>
    <n v="0"/>
    <n v="19"/>
    <n v="17"/>
    <n v="0"/>
    <n v="0"/>
    <n v="0"/>
    <n v="113.64"/>
    <x v="96"/>
    <n v="113.64"/>
    <x v="12"/>
  </r>
  <r>
    <x v="18"/>
    <s v="Stina Alm"/>
    <x v="1"/>
    <x v="417"/>
    <x v="417"/>
    <n v="5"/>
    <s v="METRE"/>
    <n v="0"/>
    <n v="100"/>
    <n v="0"/>
    <n v="-227.63999999999987"/>
    <n v="214.64"/>
    <n v="0"/>
    <n v="50.81"/>
    <x v="97"/>
    <n v="254.05"/>
    <x v="6"/>
  </r>
  <r>
    <x v="17"/>
    <s v="Soner Kayıkçı"/>
    <x v="1"/>
    <x v="414"/>
    <x v="414"/>
    <n v="1"/>
    <s v="ADET"/>
    <n v="0"/>
    <n v="27"/>
    <n v="4"/>
    <n v="-20"/>
    <n v="0"/>
    <n v="0"/>
    <n v="287.01"/>
    <x v="67"/>
    <n v="287.01"/>
    <x v="4"/>
  </r>
  <r>
    <x v="17"/>
    <s v="Soner Kayıkçı"/>
    <x v="1"/>
    <x v="415"/>
    <x v="415"/>
    <n v="1"/>
    <s v="ADET"/>
    <n v="0"/>
    <n v="27"/>
    <n v="4"/>
    <n v="-20"/>
    <n v="0"/>
    <n v="0"/>
    <n v="287.01"/>
    <x v="67"/>
    <n v="287.01"/>
    <x v="4"/>
  </r>
  <r>
    <x v="17"/>
    <s v="Soner Kayıkçı"/>
    <x v="1"/>
    <x v="420"/>
    <x v="420"/>
    <n v="4"/>
    <s v="ADET"/>
    <n v="0"/>
    <n v="115"/>
    <n v="28"/>
    <n v="-71"/>
    <n v="0"/>
    <n v="0"/>
    <n v="250"/>
    <x v="1"/>
    <n v="1000"/>
    <x v="1"/>
  </r>
  <r>
    <x v="17"/>
    <s v="Soner Kayıkçı"/>
    <x v="1"/>
    <x v="431"/>
    <x v="431"/>
    <n v="1"/>
    <s v="ADET"/>
    <n v="0"/>
    <n v="19"/>
    <n v="4"/>
    <n v="-12"/>
    <n v="0"/>
    <n v="0"/>
    <n v="85"/>
    <x v="12"/>
    <n v="85"/>
    <x v="4"/>
  </r>
  <r>
    <x v="17"/>
    <s v="Soner Kayıkçı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6"/>
    <s v="Laurent MONTAGNER"/>
    <x v="1"/>
    <x v="419"/>
    <x v="419"/>
    <n v="3"/>
    <s v="ADET"/>
    <n v="0"/>
    <n v="42"/>
    <n v="20"/>
    <n v="1"/>
    <n v="0"/>
    <n v="348.7"/>
    <n v="348.7"/>
    <x v="67"/>
    <n v="1046.0999999999999"/>
    <x v="2"/>
  </r>
  <r>
    <x v="13"/>
    <s v="Volkan Batkan"/>
    <x v="1"/>
    <x v="76"/>
    <x v="76"/>
    <n v="1"/>
    <s v="ADET"/>
    <n v="1"/>
    <n v="2"/>
    <n v="4"/>
    <n v="5"/>
    <n v="0"/>
    <n v="37250"/>
    <n v="7450"/>
    <x v="26"/>
    <n v="7450"/>
    <x v="2"/>
  </r>
  <r>
    <x v="17"/>
    <s v="Soner Kayıkçı"/>
    <x v="1"/>
    <x v="416"/>
    <x v="416"/>
    <n v="1"/>
    <s v="ADET"/>
    <n v="0"/>
    <n v="19"/>
    <n v="17"/>
    <n v="0"/>
    <n v="0"/>
    <n v="0"/>
    <n v="113.64"/>
    <x v="96"/>
    <n v="113.64"/>
    <x v="12"/>
  </r>
  <r>
    <x v="16"/>
    <s v="Laurent MONTAGNER"/>
    <x v="1"/>
    <x v="416"/>
    <x v="416"/>
    <n v="1"/>
    <s v="ADET"/>
    <n v="0"/>
    <n v="19"/>
    <n v="17"/>
    <n v="0"/>
    <n v="0"/>
    <n v="0"/>
    <n v="113.64"/>
    <x v="96"/>
    <n v="113.64"/>
    <x v="12"/>
  </r>
  <r>
    <x v="17"/>
    <s v="Soner Kayıkçı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6"/>
    <s v="Stefan Zaugg"/>
    <x v="1"/>
    <x v="406"/>
    <x v="406"/>
    <n v="3"/>
    <s v="METRE"/>
    <n v="3"/>
    <n v="118"/>
    <n v="21"/>
    <n v="-115"/>
    <n v="0"/>
    <n v="0"/>
    <n v="14.33"/>
    <x v="23"/>
    <n v="42.99"/>
    <x v="7"/>
  </r>
  <r>
    <x v="13"/>
    <s v="Volkan Batkan"/>
    <x v="1"/>
    <x v="77"/>
    <x v="77"/>
    <n v="0.05"/>
    <s v="KG"/>
    <n v="0.05"/>
    <n v="1.8"/>
    <n v="0.84999999999999831"/>
    <n v="-3.25"/>
    <n v="1.75"/>
    <n v="0"/>
    <n v="645.64"/>
    <x v="8"/>
    <n v="32.282000000000004"/>
    <x v="3"/>
  </r>
  <r>
    <x v="4"/>
    <s v="Jan Urbanek"/>
    <x v="1"/>
    <x v="82"/>
    <x v="82"/>
    <n v="1"/>
    <s v="ADET"/>
    <n v="1"/>
    <n v="12"/>
    <n v="13"/>
    <n v="-5"/>
    <n v="0"/>
    <n v="0"/>
    <n v="28339.38"/>
    <x v="27"/>
    <n v="28339.38"/>
    <x v="2"/>
  </r>
  <r>
    <x v="18"/>
    <s v="Stina Alm"/>
    <x v="1"/>
    <x v="363"/>
    <x v="363"/>
    <n v="1"/>
    <s v="ADET"/>
    <n v="0"/>
    <n v="23"/>
    <n v="17"/>
    <n v="-8"/>
    <n v="0"/>
    <n v="0"/>
    <n v="750"/>
    <x v="26"/>
    <n v="750"/>
    <x v="2"/>
  </r>
  <r>
    <x v="17"/>
    <s v="Soner Kayıkçı"/>
    <x v="1"/>
    <x v="364"/>
    <x v="364"/>
    <n v="1"/>
    <s v="ADET"/>
    <n v="0"/>
    <n v="5"/>
    <n v="4"/>
    <n v="2"/>
    <n v="0"/>
    <n v="3357.76"/>
    <n v="1678.88"/>
    <x v="67"/>
    <n v="1678.88"/>
    <x v="4"/>
  </r>
  <r>
    <x v="19"/>
    <s v="Laurent MONTAGNER"/>
    <x v="1"/>
    <x v="366"/>
    <x v="366"/>
    <n v="1"/>
    <s v="ADET"/>
    <n v="0"/>
    <n v="20.5"/>
    <n v="5"/>
    <n v="-9.5"/>
    <n v="0"/>
    <n v="0"/>
    <n v="175"/>
    <x v="56"/>
    <n v="175"/>
    <x v="1"/>
  </r>
  <r>
    <x v="18"/>
    <s v="Stina Alm"/>
    <x v="1"/>
    <x v="366"/>
    <x v="366"/>
    <n v="1"/>
    <s v="ADET"/>
    <n v="0"/>
    <n v="20.5"/>
    <n v="5"/>
    <n v="-9.5"/>
    <n v="0"/>
    <n v="0"/>
    <n v="175"/>
    <x v="56"/>
    <n v="175"/>
    <x v="1"/>
  </r>
  <r>
    <x v="17"/>
    <s v="Soner Kayıkçı"/>
    <x v="1"/>
    <x v="367"/>
    <x v="367"/>
    <n v="1"/>
    <s v="ADET"/>
    <n v="0"/>
    <n v="14"/>
    <n v="15"/>
    <n v="-1"/>
    <n v="0"/>
    <n v="0"/>
    <n v="400"/>
    <x v="86"/>
    <n v="400"/>
    <x v="2"/>
  </r>
  <r>
    <x v="16"/>
    <s v="Laurent MONTAGNER"/>
    <x v="1"/>
    <x v="367"/>
    <x v="367"/>
    <n v="1"/>
    <s v="ADET"/>
    <n v="0"/>
    <n v="14"/>
    <n v="15"/>
    <n v="-1"/>
    <n v="0"/>
    <n v="0"/>
    <n v="400"/>
    <x v="86"/>
    <n v="400"/>
    <x v="2"/>
  </r>
  <r>
    <x v="17"/>
    <s v="Soner Kayıkçı"/>
    <x v="1"/>
    <x v="368"/>
    <x v="368"/>
    <n v="2"/>
    <s v="ADET"/>
    <n v="0"/>
    <n v="0"/>
    <n v="0"/>
    <n v="14"/>
    <n v="0"/>
    <n v="0"/>
    <n v="0"/>
    <x v="6"/>
    <n v="0"/>
    <x v="7"/>
  </r>
  <r>
    <x v="17"/>
    <s v="Soner Kayıkçı"/>
    <x v="1"/>
    <x v="373"/>
    <x v="373"/>
    <n v="1"/>
    <s v="ADET"/>
    <n v="0"/>
    <n v="11"/>
    <n v="4"/>
    <n v="-4"/>
    <n v="0"/>
    <n v="0"/>
    <n v="1678.88"/>
    <x v="67"/>
    <n v="1678.88"/>
    <x v="4"/>
  </r>
  <r>
    <x v="18"/>
    <s v="Stina Alm"/>
    <x v="1"/>
    <x v="374"/>
    <x v="374"/>
    <n v="1"/>
    <s v="ADET"/>
    <n v="0"/>
    <n v="8"/>
    <n v="9"/>
    <n v="-31"/>
    <n v="36"/>
    <n v="0"/>
    <n v="101.4"/>
    <x v="90"/>
    <n v="101.4"/>
    <x v="7"/>
  </r>
  <r>
    <x v="17"/>
    <s v="Soner Kayıkçı"/>
    <x v="1"/>
    <x v="375"/>
    <x v="375"/>
    <n v="6"/>
    <s v="ADET"/>
    <n v="0"/>
    <n v="0"/>
    <n v="0"/>
    <n v="42"/>
    <n v="0"/>
    <n v="15.12"/>
    <n v="0.36"/>
    <x v="5"/>
    <n v="2.16"/>
    <x v="1"/>
  </r>
  <r>
    <x v="3"/>
    <s v="Jan Urbanek"/>
    <x v="1"/>
    <x v="114"/>
    <x v="114"/>
    <n v="3"/>
    <s v="ADET"/>
    <n v="3"/>
    <n v="13"/>
    <n v="22"/>
    <n v="-2"/>
    <n v="30"/>
    <n v="0"/>
    <n v="122.1"/>
    <x v="43"/>
    <n v="366.29999999999995"/>
    <x v="7"/>
  </r>
  <r>
    <x v="19"/>
    <s v="Laurent MONTAGNER"/>
    <x v="1"/>
    <x v="114"/>
    <x v="114"/>
    <n v="4"/>
    <s v="ADET"/>
    <n v="4"/>
    <n v="13"/>
    <n v="22"/>
    <n v="-2"/>
    <n v="30"/>
    <n v="0"/>
    <n v="122.1"/>
    <x v="43"/>
    <n v="488.4"/>
    <x v="7"/>
  </r>
  <r>
    <x v="1"/>
    <s v="Laurent MONTAGNER"/>
    <x v="1"/>
    <x v="114"/>
    <x v="114"/>
    <n v="4"/>
    <s v="ADET"/>
    <n v="4"/>
    <n v="13"/>
    <n v="22"/>
    <n v="-2"/>
    <n v="30"/>
    <n v="0"/>
    <n v="122.1"/>
    <x v="43"/>
    <n v="488.4"/>
    <x v="7"/>
  </r>
  <r>
    <x v="6"/>
    <s v="Stefan Zaugg"/>
    <x v="1"/>
    <x v="374"/>
    <x v="374"/>
    <n v="1"/>
    <s v="ADET"/>
    <n v="1"/>
    <n v="8"/>
    <n v="9"/>
    <n v="-31"/>
    <n v="36"/>
    <n v="0"/>
    <n v="101.4"/>
    <x v="90"/>
    <n v="101.4"/>
    <x v="7"/>
  </r>
  <r>
    <x v="17"/>
    <s v="Soner Kayıkçı"/>
    <x v="1"/>
    <x v="365"/>
    <x v="365"/>
    <n v="1"/>
    <s v="ADET"/>
    <n v="0"/>
    <n v="6"/>
    <n v="8"/>
    <n v="-3"/>
    <n v="10"/>
    <n v="0"/>
    <n v="583.77"/>
    <x v="88"/>
    <n v="583.77"/>
    <x v="1"/>
  </r>
  <r>
    <x v="16"/>
    <s v="Laurent MONTAGNER"/>
    <x v="1"/>
    <x v="365"/>
    <x v="365"/>
    <n v="1"/>
    <s v="ADET"/>
    <n v="0"/>
    <n v="6"/>
    <n v="8"/>
    <n v="-3"/>
    <n v="10"/>
    <n v="0"/>
    <n v="583.77"/>
    <x v="88"/>
    <n v="583.77"/>
    <x v="1"/>
  </r>
  <r>
    <x v="17"/>
    <s v="Soner Kayıkçı"/>
    <x v="1"/>
    <x v="366"/>
    <x v="366"/>
    <n v="1"/>
    <s v="ADET"/>
    <n v="0"/>
    <n v="20.5"/>
    <n v="5"/>
    <n v="-9.5"/>
    <n v="0"/>
    <n v="0"/>
    <n v="175"/>
    <x v="56"/>
    <n v="175"/>
    <x v="1"/>
  </r>
  <r>
    <x v="17"/>
    <s v="Soner Kayıkçı"/>
    <x v="1"/>
    <x v="374"/>
    <x v="374"/>
    <n v="1"/>
    <s v="ADET"/>
    <n v="0"/>
    <n v="8"/>
    <n v="9"/>
    <n v="-31"/>
    <n v="36"/>
    <n v="0"/>
    <n v="101.4"/>
    <x v="90"/>
    <n v="101.4"/>
    <x v="7"/>
  </r>
  <r>
    <x v="4"/>
    <s v="Jan Urbanek"/>
    <x v="1"/>
    <x v="373"/>
    <x v="373"/>
    <n v="1"/>
    <s v="ADET"/>
    <n v="1"/>
    <n v="11"/>
    <n v="4"/>
    <n v="-4"/>
    <n v="0"/>
    <n v="0"/>
    <n v="1678.88"/>
    <x v="67"/>
    <n v="1678.88"/>
    <x v="4"/>
  </r>
  <r>
    <x v="16"/>
    <s v="Laurent MONTAGNER"/>
    <x v="1"/>
    <x v="114"/>
    <x v="114"/>
    <n v="2"/>
    <s v="ADET"/>
    <n v="2"/>
    <n v="13"/>
    <n v="22"/>
    <n v="-2"/>
    <n v="30"/>
    <n v="0"/>
    <n v="122.1"/>
    <x v="43"/>
    <n v="244.2"/>
    <x v="7"/>
  </r>
  <r>
    <x v="19"/>
    <s v="Laurent MONTAGNER"/>
    <x v="1"/>
    <x v="374"/>
    <x v="374"/>
    <n v="1"/>
    <s v="ADET"/>
    <n v="1"/>
    <n v="8"/>
    <n v="9"/>
    <n v="-31"/>
    <n v="36"/>
    <n v="0"/>
    <n v="101.4"/>
    <x v="90"/>
    <n v="101.4"/>
    <x v="7"/>
  </r>
  <r>
    <x v="9"/>
    <s v="Stefan Zaugg"/>
    <x v="1"/>
    <x v="498"/>
    <x v="498"/>
    <n v="1"/>
    <s v="ADET"/>
    <n v="1"/>
    <n v="8"/>
    <n v="4"/>
    <n v="-8"/>
    <n v="0"/>
    <n v="0"/>
    <n v="250"/>
    <x v="14"/>
    <n v="250"/>
    <x v="1"/>
  </r>
  <r>
    <x v="9"/>
    <s v="Stefan Zaugg"/>
    <x v="1"/>
    <x v="366"/>
    <x v="366"/>
    <n v="2"/>
    <s v="ADET"/>
    <n v="2"/>
    <n v="20.5"/>
    <n v="5"/>
    <n v="-9.5"/>
    <n v="0"/>
    <n v="0"/>
    <n v="175"/>
    <x v="56"/>
    <n v="350"/>
    <x v="1"/>
  </r>
  <r>
    <x v="9"/>
    <s v="Stefan Zaugg"/>
    <x v="1"/>
    <x v="365"/>
    <x v="365"/>
    <n v="1"/>
    <s v="ADET"/>
    <n v="1"/>
    <n v="6"/>
    <n v="8"/>
    <n v="-3"/>
    <n v="10"/>
    <n v="0"/>
    <n v="583.77"/>
    <x v="88"/>
    <n v="583.77"/>
    <x v="1"/>
  </r>
  <r>
    <x v="1"/>
    <s v="Laurent MONTAGNER"/>
    <x v="1"/>
    <x v="206"/>
    <x v="206"/>
    <n v="1"/>
    <s v="ADET"/>
    <n v="1"/>
    <n v="5"/>
    <n v="5"/>
    <n v="5"/>
    <n v="0"/>
    <n v="54497.75"/>
    <n v="10899.55"/>
    <x v="3"/>
    <n v="10899.55"/>
    <x v="4"/>
  </r>
  <r>
    <x v="1"/>
    <s v="Laurent MONTAGNER"/>
    <x v="1"/>
    <x v="221"/>
    <x v="221"/>
    <n v="1"/>
    <s v="ADET"/>
    <n v="0"/>
    <n v="0"/>
    <n v="7"/>
    <n v="19"/>
    <n v="0"/>
    <n v="760"/>
    <n v="40"/>
    <x v="68"/>
    <n v="40"/>
    <x v="7"/>
  </r>
  <r>
    <x v="19"/>
    <s v="Laurent MONTAGNER"/>
    <x v="1"/>
    <x v="357"/>
    <x v="357"/>
    <n v="2"/>
    <s v="ADET"/>
    <n v="0"/>
    <n v="2"/>
    <n v="8"/>
    <n v="24"/>
    <n v="0"/>
    <n v="1357.92"/>
    <n v="56.58"/>
    <x v="67"/>
    <n v="113.16"/>
    <x v="2"/>
  </r>
  <r>
    <x v="19"/>
    <s v="Laurent MONTAGNER"/>
    <x v="1"/>
    <x v="361"/>
    <x v="361"/>
    <n v="16"/>
    <s v="METRE"/>
    <n v="0"/>
    <n v="100"/>
    <n v="84"/>
    <n v="-32"/>
    <n v="0"/>
    <n v="0"/>
    <n v="14.85"/>
    <x v="23"/>
    <n v="237.6"/>
    <x v="7"/>
  </r>
  <r>
    <x v="18"/>
    <s v="Stina Alm"/>
    <x v="1"/>
    <x v="361"/>
    <x v="361"/>
    <n v="12"/>
    <s v="METRE"/>
    <n v="0"/>
    <n v="100"/>
    <n v="84"/>
    <n v="-32"/>
    <n v="0"/>
    <n v="0"/>
    <n v="14.85"/>
    <x v="23"/>
    <n v="178.2"/>
    <x v="7"/>
  </r>
  <r>
    <x v="19"/>
    <s v="Laurent MONTAGNER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8"/>
    <s v="Stina Alm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7"/>
    <s v="Soner Kayıkçı"/>
    <x v="1"/>
    <x v="360"/>
    <x v="360"/>
    <n v="2"/>
    <s v="ADET"/>
    <n v="0"/>
    <n v="0"/>
    <n v="0"/>
    <n v="24"/>
    <n v="0"/>
    <n v="21.12"/>
    <n v="0.88"/>
    <x v="68"/>
    <n v="1.76"/>
    <x v="7"/>
  </r>
  <r>
    <x v="18"/>
    <s v="Stina Alm"/>
    <x v="1"/>
    <x v="362"/>
    <x v="362"/>
    <n v="1"/>
    <s v="ADET"/>
    <n v="0"/>
    <n v="12"/>
    <n v="14"/>
    <n v="2"/>
    <n v="0"/>
    <n v="233.34"/>
    <n v="116.67"/>
    <x v="86"/>
    <n v="116.67"/>
    <x v="2"/>
  </r>
  <r>
    <x v="19"/>
    <s v="Laurent MONTAGNER"/>
    <x v="1"/>
    <x v="362"/>
    <x v="362"/>
    <n v="1"/>
    <s v="ADET"/>
    <n v="0"/>
    <n v="12"/>
    <n v="14"/>
    <n v="2"/>
    <n v="0"/>
    <n v="233.34"/>
    <n v="116.67"/>
    <x v="86"/>
    <n v="116.67"/>
    <x v="2"/>
  </r>
  <r>
    <x v="18"/>
    <s v="Stina Alm"/>
    <x v="1"/>
    <x v="370"/>
    <x v="370"/>
    <n v="1"/>
    <s v="ADET"/>
    <n v="0"/>
    <n v="6"/>
    <n v="7"/>
    <n v="-3"/>
    <n v="10"/>
    <n v="0"/>
    <n v="750"/>
    <x v="38"/>
    <n v="750"/>
    <x v="4"/>
  </r>
  <r>
    <x v="17"/>
    <s v="Soner Kayıkçı"/>
    <x v="1"/>
    <x v="370"/>
    <x v="370"/>
    <n v="1"/>
    <s v="ADET"/>
    <n v="0"/>
    <n v="6"/>
    <n v="7"/>
    <n v="-3"/>
    <n v="10"/>
    <n v="0"/>
    <n v="750"/>
    <x v="38"/>
    <n v="750"/>
    <x v="4"/>
  </r>
  <r>
    <x v="16"/>
    <s v="Laurent MONTAGNER"/>
    <x v="1"/>
    <x v="370"/>
    <x v="370"/>
    <n v="1"/>
    <s v="ADET"/>
    <n v="0"/>
    <n v="6"/>
    <n v="7"/>
    <n v="-3"/>
    <n v="10"/>
    <n v="0"/>
    <n v="750"/>
    <x v="38"/>
    <n v="750"/>
    <x v="4"/>
  </r>
  <r>
    <x v="19"/>
    <s v="Laurent MONTAGNER"/>
    <x v="1"/>
    <x v="371"/>
    <x v="371"/>
    <n v="20"/>
    <s v="ADET"/>
    <n v="0"/>
    <n v="574"/>
    <n v="98"/>
    <n v="-260"/>
    <n v="0"/>
    <n v="0"/>
    <n v="6.67"/>
    <x v="89"/>
    <n v="133.4"/>
    <x v="7"/>
  </r>
  <r>
    <x v="18"/>
    <s v="Stina Alm"/>
    <x v="1"/>
    <x v="371"/>
    <x v="371"/>
    <n v="10"/>
    <s v="ADET"/>
    <n v="0"/>
    <n v="574"/>
    <n v="98"/>
    <n v="-260"/>
    <n v="0"/>
    <n v="0"/>
    <n v="6.67"/>
    <x v="89"/>
    <n v="66.7"/>
    <x v="7"/>
  </r>
  <r>
    <x v="17"/>
    <s v="Soner Kayıkçı"/>
    <x v="1"/>
    <x v="371"/>
    <x v="371"/>
    <n v="20"/>
    <s v="ADET"/>
    <n v="0"/>
    <n v="574"/>
    <n v="98"/>
    <n v="-260"/>
    <n v="0"/>
    <n v="0"/>
    <n v="6.67"/>
    <x v="89"/>
    <n v="133.4"/>
    <x v="7"/>
  </r>
  <r>
    <x v="16"/>
    <s v="Laurent MONTAGNER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17"/>
    <s v="Soner Kayıkçı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17"/>
    <s v="Soner Kayıkçı"/>
    <x v="1"/>
    <x v="494"/>
    <x v="494"/>
    <n v="1"/>
    <s v="ADET"/>
    <n v="0"/>
    <n v="2"/>
    <n v="1"/>
    <n v="-1"/>
    <n v="2"/>
    <n v="0"/>
    <n v="41000"/>
    <x v="109"/>
    <n v="41000"/>
    <x v="11"/>
  </r>
  <r>
    <x v="1"/>
    <s v="Laurent MONTAGNER"/>
    <x v="1"/>
    <x v="372"/>
    <x v="372"/>
    <n v="1"/>
    <s v="ADET"/>
    <n v="1"/>
    <n v="3"/>
    <n v="6"/>
    <n v="10"/>
    <n v="0"/>
    <n v="121389.3"/>
    <n v="12138.93"/>
    <x v="3"/>
    <n v="12138.93"/>
    <x v="2"/>
  </r>
  <r>
    <x v="6"/>
    <s v="Stefan Zaugg"/>
    <x v="1"/>
    <x v="195"/>
    <x v="195"/>
    <n v="5"/>
    <s v="ADET"/>
    <n v="5"/>
    <n v="0"/>
    <n v="0.5"/>
    <n v="55"/>
    <n v="10"/>
    <n v="36666.85"/>
    <n v="666.67"/>
    <x v="61"/>
    <n v="3333.35"/>
    <x v="8"/>
  </r>
  <r>
    <x v="3"/>
    <s v="Jan Urbanek"/>
    <x v="1"/>
    <x v="371"/>
    <x v="371"/>
    <n v="14"/>
    <s v="ADET"/>
    <n v="0"/>
    <n v="574"/>
    <n v="98"/>
    <n v="-260"/>
    <n v="0"/>
    <n v="0"/>
    <n v="6.67"/>
    <x v="89"/>
    <n v="93.38"/>
    <x v="7"/>
  </r>
  <r>
    <x v="3"/>
    <s v="Jan Urbanek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4"/>
    <s v="Jan Urbanek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8"/>
    <s v="Jan Urbanek"/>
    <x v="1"/>
    <x v="390"/>
    <x v="390"/>
    <n v="2"/>
    <s v="ADET"/>
    <n v="0"/>
    <n v="9"/>
    <n v="6"/>
    <n v="11"/>
    <n v="0"/>
    <n v="831.71"/>
    <n v="75.61"/>
    <x v="67"/>
    <n v="151.22"/>
    <x v="2"/>
  </r>
  <r>
    <x v="17"/>
    <s v="Soner Kayıkçı"/>
    <x v="1"/>
    <x v="357"/>
    <x v="357"/>
    <n v="2"/>
    <s v="ADET"/>
    <n v="0"/>
    <n v="2"/>
    <n v="8"/>
    <n v="24"/>
    <n v="0"/>
    <n v="1357.92"/>
    <n v="56.58"/>
    <x v="67"/>
    <n v="113.16"/>
    <x v="2"/>
  </r>
  <r>
    <x v="16"/>
    <s v="Laurent MONTAGNER"/>
    <x v="1"/>
    <x v="357"/>
    <x v="357"/>
    <n v="2"/>
    <s v="ADET"/>
    <n v="0"/>
    <n v="2"/>
    <n v="8"/>
    <n v="24"/>
    <n v="0"/>
    <n v="1357.92"/>
    <n v="56.58"/>
    <x v="67"/>
    <n v="113.16"/>
    <x v="2"/>
  </r>
  <r>
    <x v="17"/>
    <s v="Soner Kayıkçı"/>
    <x v="1"/>
    <x v="359"/>
    <x v="359"/>
    <n v="0.2"/>
    <s v="METRE"/>
    <n v="0"/>
    <n v="200"/>
    <n v="85.649999999999977"/>
    <n v="-196.4"/>
    <n v="0"/>
    <n v="0"/>
    <n v="3.62"/>
    <x v="23"/>
    <n v="0.72400000000000009"/>
    <x v="7"/>
  </r>
  <r>
    <x v="16"/>
    <s v="Laurent MONTAGNER"/>
    <x v="1"/>
    <x v="362"/>
    <x v="362"/>
    <n v="1"/>
    <s v="ADET"/>
    <n v="0"/>
    <n v="12"/>
    <n v="14"/>
    <n v="2"/>
    <n v="0"/>
    <n v="233.34"/>
    <n v="116.67"/>
    <x v="86"/>
    <n v="116.67"/>
    <x v="2"/>
  </r>
  <r>
    <x v="17"/>
    <s v="Soner Kayıkçı"/>
    <x v="1"/>
    <x v="362"/>
    <x v="362"/>
    <n v="1"/>
    <s v="ADET"/>
    <n v="0"/>
    <n v="12"/>
    <n v="14"/>
    <n v="2"/>
    <n v="0"/>
    <n v="233.34"/>
    <n v="116.67"/>
    <x v="86"/>
    <n v="116.67"/>
    <x v="2"/>
  </r>
  <r>
    <x v="16"/>
    <s v="Laurent MONTAGNER"/>
    <x v="1"/>
    <x v="371"/>
    <x v="371"/>
    <n v="16"/>
    <s v="ADET"/>
    <n v="0"/>
    <n v="574"/>
    <n v="98"/>
    <n v="-260"/>
    <n v="0"/>
    <n v="0"/>
    <n v="6.67"/>
    <x v="89"/>
    <n v="106.72"/>
    <x v="7"/>
  </r>
  <r>
    <x v="8"/>
    <s v="Jan Urbanek"/>
    <x v="1"/>
    <x v="494"/>
    <x v="494"/>
    <n v="1"/>
    <s v="ADET"/>
    <n v="0"/>
    <n v="2"/>
    <n v="1"/>
    <n v="-1"/>
    <n v="2"/>
    <n v="0"/>
    <n v="41000"/>
    <x v="109"/>
    <n v="41000"/>
    <x v="11"/>
  </r>
  <r>
    <x v="2"/>
    <s v="Jan Urbanek"/>
    <x v="1"/>
    <x v="390"/>
    <x v="390"/>
    <n v="2"/>
    <s v="ADET"/>
    <n v="0"/>
    <n v="9"/>
    <n v="6"/>
    <n v="11"/>
    <n v="0"/>
    <n v="831.71"/>
    <n v="75.61"/>
    <x v="67"/>
    <n v="151.22"/>
    <x v="2"/>
  </r>
  <r>
    <x v="16"/>
    <s v="Laurent MONTAGNER"/>
    <x v="1"/>
    <x v="356"/>
    <x v="356"/>
    <n v="2.5"/>
    <s v="METRE"/>
    <n v="0"/>
    <n v="100"/>
    <n v="185.5"/>
    <n v="-88.5"/>
    <n v="0"/>
    <n v="0"/>
    <n v="57.6"/>
    <x v="23"/>
    <n v="144"/>
    <x v="7"/>
  </r>
  <r>
    <x v="16"/>
    <s v="Laurent MONTAGNER"/>
    <x v="1"/>
    <x v="358"/>
    <x v="358"/>
    <n v="14"/>
    <s v="KG"/>
    <n v="0"/>
    <n v="63"/>
    <n v="1.4210854715202004E-14"/>
    <n v="133"/>
    <n v="0"/>
    <n v="146019.37000000002"/>
    <n v="1097.8900000000001"/>
    <x v="81"/>
    <n v="15370.460000000001"/>
    <x v="3"/>
  </r>
  <r>
    <x v="16"/>
    <s v="Laurent MONTAGNER"/>
    <x v="1"/>
    <x v="390"/>
    <x v="390"/>
    <n v="2"/>
    <s v="ADET"/>
    <n v="0"/>
    <n v="9"/>
    <n v="6"/>
    <n v="11"/>
    <n v="0"/>
    <n v="831.71"/>
    <n v="75.61"/>
    <x v="67"/>
    <n v="151.22"/>
    <x v="2"/>
  </r>
  <r>
    <x v="17"/>
    <s v="Soner Kayıkçı"/>
    <x v="1"/>
    <x v="390"/>
    <x v="390"/>
    <n v="2"/>
    <s v="ADET"/>
    <n v="0"/>
    <n v="9"/>
    <n v="6"/>
    <n v="11"/>
    <n v="0"/>
    <n v="831.71"/>
    <n v="75.61"/>
    <x v="67"/>
    <n v="151.22"/>
    <x v="2"/>
  </r>
  <r>
    <x v="18"/>
    <s v="Stina Alm"/>
    <x v="1"/>
    <x v="357"/>
    <x v="357"/>
    <n v="2"/>
    <s v="ADET"/>
    <n v="0"/>
    <n v="2"/>
    <n v="8"/>
    <n v="24"/>
    <n v="0"/>
    <n v="1357.92"/>
    <n v="56.58"/>
    <x v="67"/>
    <n v="113.16"/>
    <x v="2"/>
  </r>
  <r>
    <x v="17"/>
    <s v="Soner Kayıkçı"/>
    <x v="1"/>
    <x v="358"/>
    <x v="358"/>
    <n v="16"/>
    <s v="KG"/>
    <n v="0"/>
    <n v="63"/>
    <n v="1.4210854715202004E-14"/>
    <n v="133"/>
    <n v="0"/>
    <n v="146019.37000000002"/>
    <n v="1097.8900000000001"/>
    <x v="81"/>
    <n v="17566.240000000002"/>
    <x v="3"/>
  </r>
  <r>
    <x v="18"/>
    <s v="Stina Alm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9"/>
    <s v="Stefan Zaugg"/>
    <x v="1"/>
    <x v="370"/>
    <x v="370"/>
    <n v="1"/>
    <s v="ADET"/>
    <n v="1"/>
    <n v="6"/>
    <n v="7"/>
    <n v="-3"/>
    <n v="10"/>
    <n v="0"/>
    <n v="750"/>
    <x v="38"/>
    <n v="750"/>
    <x v="4"/>
  </r>
  <r>
    <x v="12"/>
    <s v="Stefan Zaugg"/>
    <x v="1"/>
    <x v="370"/>
    <x v="370"/>
    <n v="1"/>
    <s v="ADET"/>
    <n v="1"/>
    <n v="6"/>
    <n v="7"/>
    <n v="-3"/>
    <n v="10"/>
    <n v="0"/>
    <n v="750"/>
    <x v="38"/>
    <n v="750"/>
    <x v="4"/>
  </r>
  <r>
    <x v="13"/>
    <s v="Volkan Batkan"/>
    <x v="1"/>
    <x v="370"/>
    <x v="370"/>
    <n v="1"/>
    <s v="ADET"/>
    <n v="1"/>
    <n v="6"/>
    <n v="7"/>
    <n v="-3"/>
    <n v="10"/>
    <n v="0"/>
    <n v="750"/>
    <x v="38"/>
    <n v="750"/>
    <x v="4"/>
  </r>
  <r>
    <x v="12"/>
    <s v="Stefan Zaugg"/>
    <x v="1"/>
    <x v="16"/>
    <x v="16"/>
    <n v="0.25"/>
    <s v="KG"/>
    <n v="0.25"/>
    <n v="10"/>
    <n v="14.13"/>
    <n v="-15.809999999999999"/>
    <n v="10"/>
    <n v="0"/>
    <n v="393.83"/>
    <x v="8"/>
    <n v="98.457499999999996"/>
    <x v="3"/>
  </r>
  <r>
    <x v="1"/>
    <s v="Laurent MONTAGNER"/>
    <x v="1"/>
    <x v="197"/>
    <x v="197"/>
    <n v="2"/>
    <s v="ADET"/>
    <n v="2"/>
    <n v="40"/>
    <n v="18"/>
    <n v="-14"/>
    <n v="0"/>
    <n v="0"/>
    <n v="45.3"/>
    <x v="23"/>
    <n v="90.6"/>
    <x v="7"/>
  </r>
  <r>
    <x v="13"/>
    <s v="Volkan Batkan"/>
    <x v="1"/>
    <x v="97"/>
    <x v="97"/>
    <n v="1"/>
    <s v="ADET"/>
    <n v="1"/>
    <n v="7"/>
    <n v="10"/>
    <n v="-43"/>
    <n v="50"/>
    <n v="0"/>
    <n v="839.2"/>
    <x v="33"/>
    <n v="839.2"/>
    <x v="7"/>
  </r>
  <r>
    <x v="13"/>
    <s v="Volkan Batkan"/>
    <x v="1"/>
    <x v="362"/>
    <x v="362"/>
    <n v="1"/>
    <s v="ADET"/>
    <n v="1"/>
    <n v="12"/>
    <n v="14"/>
    <n v="2"/>
    <n v="0"/>
    <n v="233.34"/>
    <n v="116.67"/>
    <x v="86"/>
    <n v="116.67"/>
    <x v="2"/>
  </r>
  <r>
    <x v="13"/>
    <s v="Volkan Batkan"/>
    <x v="1"/>
    <x v="494"/>
    <x v="494"/>
    <n v="1"/>
    <s v="ADET"/>
    <n v="1"/>
    <n v="2"/>
    <n v="1"/>
    <n v="-1"/>
    <n v="2"/>
    <n v="0"/>
    <n v="41000"/>
    <x v="109"/>
    <n v="41000"/>
    <x v="11"/>
  </r>
  <r>
    <x v="3"/>
    <s v="Jan Urbanek"/>
    <x v="1"/>
    <x v="195"/>
    <x v="195"/>
    <n v="6"/>
    <s v="ADET"/>
    <n v="6"/>
    <n v="0"/>
    <n v="0.5"/>
    <n v="55"/>
    <n v="10"/>
    <n v="36666.85"/>
    <n v="666.67"/>
    <x v="61"/>
    <n v="4000.0199999999995"/>
    <x v="8"/>
  </r>
  <r>
    <x v="6"/>
    <s v="Stefan Zaugg"/>
    <x v="1"/>
    <x v="18"/>
    <x v="18"/>
    <n v="1"/>
    <s v="ADET"/>
    <n v="1"/>
    <n v="3"/>
    <n v="7"/>
    <n v="8"/>
    <n v="0"/>
    <n v="70583.44"/>
    <n v="8822.93"/>
    <x v="3"/>
    <n v="8822.93"/>
    <x v="4"/>
  </r>
  <r>
    <x v="19"/>
    <s v="Laurent MONTAGNER"/>
    <x v="1"/>
    <x v="197"/>
    <x v="197"/>
    <n v="2"/>
    <s v="ADET"/>
    <n v="2"/>
    <n v="40"/>
    <n v="18"/>
    <n v="-14"/>
    <n v="0"/>
    <n v="0"/>
    <n v="45.3"/>
    <x v="23"/>
    <n v="90.6"/>
    <x v="7"/>
  </r>
  <r>
    <x v="9"/>
    <s v="Stefan Zaugg"/>
    <x v="1"/>
    <x v="97"/>
    <x v="97"/>
    <n v="1"/>
    <s v="ADET"/>
    <n v="1"/>
    <n v="7"/>
    <n v="10"/>
    <n v="-43"/>
    <n v="50"/>
    <n v="0"/>
    <n v="839.2"/>
    <x v="33"/>
    <n v="839.2"/>
    <x v="7"/>
  </r>
  <r>
    <x v="1"/>
    <s v="Laurent MONTAGNER"/>
    <x v="1"/>
    <x v="315"/>
    <x v="315"/>
    <n v="2"/>
    <s v="ADET"/>
    <n v="2"/>
    <n v="15"/>
    <n v="14"/>
    <n v="-4"/>
    <n v="15"/>
    <n v="0"/>
    <n v="65.709999999999994"/>
    <x v="43"/>
    <n v="131.41999999999999"/>
    <x v="7"/>
  </r>
  <r>
    <x v="16"/>
    <s v="Laurent MONTAGNER"/>
    <x v="1"/>
    <x v="17"/>
    <x v="17"/>
    <n v="10.139999999999999"/>
    <s v="KG"/>
    <n v="0"/>
    <n v="181"/>
    <n v="-9.9475983006414026E-14"/>
    <n v="-49.03000000000003"/>
    <n v="46.1"/>
    <n v="0"/>
    <n v="96.37"/>
    <x v="8"/>
    <n v="977.19179999999994"/>
    <x v="3"/>
  </r>
  <r>
    <x v="9"/>
    <s v="Stefan Zaugg"/>
    <x v="1"/>
    <x v="197"/>
    <x v="197"/>
    <n v="2"/>
    <s v="ADET"/>
    <n v="2"/>
    <n v="40"/>
    <n v="18"/>
    <n v="-14"/>
    <n v="0"/>
    <n v="0"/>
    <n v="45.3"/>
    <x v="23"/>
    <n v="90.6"/>
    <x v="7"/>
  </r>
  <r>
    <x v="12"/>
    <s v="Stefan Zaugg"/>
    <x v="1"/>
    <x v="315"/>
    <x v="315"/>
    <n v="2"/>
    <s v="ADET"/>
    <n v="2"/>
    <n v="15"/>
    <n v="14"/>
    <n v="-4"/>
    <n v="15"/>
    <n v="0"/>
    <n v="65.709999999999994"/>
    <x v="43"/>
    <n v="131.41999999999999"/>
    <x v="7"/>
  </r>
  <r>
    <x v="18"/>
    <s v="Stina Alm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19"/>
    <s v="Laurent MONTAGNER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18"/>
    <s v="Stina Alm"/>
    <x v="1"/>
    <x v="457"/>
    <x v="457"/>
    <n v="2"/>
    <s v="ADET"/>
    <n v="0"/>
    <n v="115"/>
    <n v="2"/>
    <n v="-77"/>
    <n v="0"/>
    <n v="0"/>
    <n v="0.44"/>
    <x v="60"/>
    <n v="0.88"/>
    <x v="7"/>
  </r>
  <r>
    <x v="17"/>
    <s v="Soner Kayıkçı"/>
    <x v="1"/>
    <x v="457"/>
    <x v="457"/>
    <n v="2"/>
    <s v="ADET"/>
    <n v="0"/>
    <n v="115"/>
    <n v="2"/>
    <n v="-77"/>
    <n v="0"/>
    <n v="0"/>
    <n v="0.44"/>
    <x v="60"/>
    <n v="0.88"/>
    <x v="7"/>
  </r>
  <r>
    <x v="19"/>
    <s v="Laurent MONTAGNER"/>
    <x v="1"/>
    <x v="457"/>
    <x v="457"/>
    <n v="2"/>
    <s v="ADET"/>
    <n v="0"/>
    <n v="115"/>
    <n v="2"/>
    <n v="-77"/>
    <n v="0"/>
    <n v="0"/>
    <n v="0.44"/>
    <x v="60"/>
    <n v="0.88"/>
    <x v="7"/>
  </r>
  <r>
    <x v="17"/>
    <s v="Soner Kayıkçı"/>
    <x v="1"/>
    <x v="458"/>
    <x v="458"/>
    <n v="2.5"/>
    <s v="KG"/>
    <n v="0"/>
    <n v="139"/>
    <n v="45.500000000000114"/>
    <n v="-124"/>
    <n v="0"/>
    <n v="0"/>
    <n v="233.95"/>
    <x v="8"/>
    <n v="584.875"/>
    <x v="3"/>
  </r>
  <r>
    <x v="18"/>
    <s v="Stina Alm"/>
    <x v="1"/>
    <x v="459"/>
    <x v="459"/>
    <n v="2"/>
    <s v="ADET"/>
    <n v="0"/>
    <n v="0"/>
    <n v="14"/>
    <n v="38"/>
    <n v="0"/>
    <n v="261.06"/>
    <n v="6.87"/>
    <x v="23"/>
    <n v="13.74"/>
    <x v="7"/>
  </r>
  <r>
    <x v="19"/>
    <s v="Laurent MONTAGNER"/>
    <x v="1"/>
    <x v="459"/>
    <x v="459"/>
    <n v="2"/>
    <s v="ADET"/>
    <n v="0"/>
    <n v="0"/>
    <n v="14"/>
    <n v="38"/>
    <n v="0"/>
    <n v="261.06"/>
    <n v="6.87"/>
    <x v="23"/>
    <n v="13.74"/>
    <x v="7"/>
  </r>
  <r>
    <x v="16"/>
    <s v="Laurent MONTAGNER"/>
    <x v="1"/>
    <x v="453"/>
    <x v="453"/>
    <n v="0.1"/>
    <s v="ADET"/>
    <n v="0"/>
    <n v="2"/>
    <n v="6.106226635438361E-16"/>
    <n v="-0.84999999999999987"/>
    <n v="0"/>
    <n v="0"/>
    <n v="1400"/>
    <x v="56"/>
    <n v="140"/>
    <x v="3"/>
  </r>
  <r>
    <x v="16"/>
    <s v="Laurent MONTAGNER"/>
    <x v="1"/>
    <x v="459"/>
    <x v="459"/>
    <n v="2"/>
    <s v="ADET"/>
    <n v="0"/>
    <n v="0"/>
    <n v="14"/>
    <n v="38"/>
    <n v="0"/>
    <n v="261.06"/>
    <n v="6.87"/>
    <x v="23"/>
    <n v="13.74"/>
    <x v="7"/>
  </r>
  <r>
    <x v="16"/>
    <s v="Laurent MONTAGNER"/>
    <x v="1"/>
    <x v="457"/>
    <x v="457"/>
    <n v="2"/>
    <s v="ADET"/>
    <n v="0"/>
    <n v="115"/>
    <n v="2"/>
    <n v="-77"/>
    <n v="0"/>
    <n v="0"/>
    <n v="0.44"/>
    <x v="60"/>
    <n v="0.88"/>
    <x v="7"/>
  </r>
  <r>
    <x v="17"/>
    <s v="Soner Kayıkçı"/>
    <x v="1"/>
    <x v="459"/>
    <x v="459"/>
    <n v="2"/>
    <s v="ADET"/>
    <n v="0"/>
    <n v="0"/>
    <n v="14"/>
    <n v="38"/>
    <n v="0"/>
    <n v="261.06"/>
    <n v="6.87"/>
    <x v="23"/>
    <n v="13.74"/>
    <x v="7"/>
  </r>
  <r>
    <x v="9"/>
    <s v="Stefan Zaugg"/>
    <x v="1"/>
    <x v="242"/>
    <x v="242"/>
    <n v="1"/>
    <s v="ADET"/>
    <n v="1"/>
    <n v="16"/>
    <n v="8"/>
    <n v="-3"/>
    <n v="0"/>
    <n v="0"/>
    <n v="224.46"/>
    <x v="23"/>
    <n v="224.46"/>
    <x v="7"/>
  </r>
  <r>
    <x v="12"/>
    <s v="Stefan Zaugg"/>
    <x v="1"/>
    <x v="242"/>
    <x v="242"/>
    <n v="1"/>
    <s v="ADET"/>
    <n v="1"/>
    <n v="16"/>
    <n v="8"/>
    <n v="-3"/>
    <n v="0"/>
    <n v="0"/>
    <n v="224.46"/>
    <x v="23"/>
    <n v="224.46"/>
    <x v="7"/>
  </r>
  <r>
    <x v="13"/>
    <s v="Volkan Batkan"/>
    <x v="1"/>
    <x v="242"/>
    <x v="242"/>
    <n v="1"/>
    <s v="ADET"/>
    <n v="1"/>
    <n v="16"/>
    <n v="8"/>
    <n v="-3"/>
    <n v="0"/>
    <n v="0"/>
    <n v="224.46"/>
    <x v="23"/>
    <n v="224.46"/>
    <x v="7"/>
  </r>
  <r>
    <x v="9"/>
    <s v="Stefan Zaugg"/>
    <x v="1"/>
    <x v="458"/>
    <x v="458"/>
    <n v="2"/>
    <s v="KG"/>
    <n v="2"/>
    <n v="139"/>
    <n v="45.500000000000114"/>
    <n v="-124"/>
    <n v="0"/>
    <n v="0"/>
    <n v="233.95"/>
    <x v="8"/>
    <n v="467.9"/>
    <x v="3"/>
  </r>
  <r>
    <x v="19"/>
    <s v="Laurent MONTAGNER"/>
    <x v="1"/>
    <x v="174"/>
    <x v="174"/>
    <n v="2"/>
    <s v="ADET"/>
    <n v="2"/>
    <n v="22"/>
    <n v="18"/>
    <n v="-6"/>
    <n v="10"/>
    <n v="0"/>
    <n v="400"/>
    <x v="56"/>
    <n v="800"/>
    <x v="7"/>
  </r>
  <r>
    <x v="9"/>
    <s v="Stefan Zaugg"/>
    <x v="1"/>
    <x v="430"/>
    <x v="430"/>
    <n v="2"/>
    <s v="ADET"/>
    <n v="2"/>
    <n v="455"/>
    <n v="23"/>
    <n v="-429"/>
    <n v="0"/>
    <n v="0"/>
    <n v="20"/>
    <x v="6"/>
    <n v="40"/>
    <x v="7"/>
  </r>
  <r>
    <x v="9"/>
    <s v="Stefan Zaugg"/>
    <x v="1"/>
    <x v="173"/>
    <x v="173"/>
    <n v="3"/>
    <s v="ADET"/>
    <n v="3"/>
    <n v="24"/>
    <n v="22"/>
    <n v="-31"/>
    <n v="50"/>
    <n v="0"/>
    <n v="44"/>
    <x v="60"/>
    <n v="132"/>
    <x v="7"/>
  </r>
  <r>
    <x v="6"/>
    <s v="Stefan Zaugg"/>
    <x v="1"/>
    <x v="173"/>
    <x v="173"/>
    <n v="3"/>
    <s v="ADET"/>
    <n v="3"/>
    <n v="24"/>
    <n v="22"/>
    <n v="-31"/>
    <n v="50"/>
    <n v="0"/>
    <n v="44"/>
    <x v="60"/>
    <n v="132"/>
    <x v="7"/>
  </r>
  <r>
    <x v="12"/>
    <s v="Stefan Zaugg"/>
    <x v="1"/>
    <x v="173"/>
    <x v="173"/>
    <n v="3"/>
    <s v="ADET"/>
    <n v="3"/>
    <n v="24"/>
    <n v="22"/>
    <n v="-31"/>
    <n v="50"/>
    <n v="0"/>
    <n v="44"/>
    <x v="60"/>
    <n v="132"/>
    <x v="7"/>
  </r>
  <r>
    <x v="6"/>
    <s v="Stefan Zaugg"/>
    <x v="1"/>
    <x v="459"/>
    <x v="459"/>
    <n v="2"/>
    <s v="ADET"/>
    <n v="0"/>
    <n v="0"/>
    <n v="14"/>
    <n v="38"/>
    <n v="0"/>
    <n v="261.06"/>
    <n v="6.87"/>
    <x v="23"/>
    <n v="13.74"/>
    <x v="7"/>
  </r>
  <r>
    <x v="16"/>
    <s v="Laurent MONTAGNER"/>
    <x v="1"/>
    <x v="174"/>
    <x v="174"/>
    <n v="2"/>
    <s v="ADET"/>
    <n v="0"/>
    <n v="22"/>
    <n v="18"/>
    <n v="-6"/>
    <n v="10"/>
    <n v="0"/>
    <n v="400"/>
    <x v="56"/>
    <n v="800"/>
    <x v="7"/>
  </r>
  <r>
    <x v="19"/>
    <s v="Laurent MONTAGNER"/>
    <x v="1"/>
    <x v="241"/>
    <x v="241"/>
    <n v="0.2"/>
    <s v="METRE"/>
    <n v="0"/>
    <n v="200"/>
    <n v="1.1368683772161603E-13"/>
    <n v="-196.15"/>
    <n v="0"/>
    <n v="0"/>
    <n v="2.89"/>
    <x v="23"/>
    <n v="0.57800000000000007"/>
    <x v="7"/>
  </r>
  <r>
    <x v="12"/>
    <s v="Stefan Zaugg"/>
    <x v="1"/>
    <x v="174"/>
    <x v="174"/>
    <n v="2"/>
    <s v="ADET"/>
    <n v="2"/>
    <n v="22"/>
    <n v="18"/>
    <n v="-6"/>
    <n v="10"/>
    <n v="0"/>
    <n v="400"/>
    <x v="56"/>
    <n v="800"/>
    <x v="7"/>
  </r>
  <r>
    <x v="6"/>
    <s v="Stefan Zaugg"/>
    <x v="1"/>
    <x v="430"/>
    <x v="430"/>
    <n v="2"/>
    <s v="ADET"/>
    <n v="2"/>
    <n v="455"/>
    <n v="23"/>
    <n v="-429"/>
    <n v="0"/>
    <n v="0"/>
    <n v="20"/>
    <x v="6"/>
    <n v="40"/>
    <x v="7"/>
  </r>
  <r>
    <x v="13"/>
    <s v="Volkan Batkan"/>
    <x v="1"/>
    <x v="174"/>
    <x v="174"/>
    <n v="2"/>
    <s v="ADET"/>
    <n v="2"/>
    <n v="22"/>
    <n v="18"/>
    <n v="-6"/>
    <n v="10"/>
    <n v="0"/>
    <n v="400"/>
    <x v="56"/>
    <n v="800"/>
    <x v="7"/>
  </r>
  <r>
    <x v="1"/>
    <s v="Laurent MONTAGNER"/>
    <x v="1"/>
    <x v="456"/>
    <x v="456"/>
    <n v="1"/>
    <s v="ADET"/>
    <n v="1"/>
    <n v="12"/>
    <n v="3"/>
    <n v="-6"/>
    <n v="0"/>
    <n v="0"/>
    <n v="1678.88"/>
    <x v="67"/>
    <n v="1678.88"/>
    <x v="4"/>
  </r>
  <r>
    <x v="6"/>
    <s v="Stefan Zaugg"/>
    <x v="1"/>
    <x v="365"/>
    <x v="365"/>
    <n v="1"/>
    <s v="ADET"/>
    <n v="1"/>
    <n v="6"/>
    <n v="8"/>
    <n v="-3"/>
    <n v="10"/>
    <n v="0"/>
    <n v="583.77"/>
    <x v="88"/>
    <n v="583.77"/>
    <x v="1"/>
  </r>
  <r>
    <x v="1"/>
    <s v="Laurent MONTAGNER"/>
    <x v="1"/>
    <x v="154"/>
    <x v="154"/>
    <n v="1"/>
    <s v="ADET"/>
    <n v="1"/>
    <n v="5"/>
    <n v="2"/>
    <n v="-1"/>
    <n v="0"/>
    <n v="0"/>
    <n v="7450"/>
    <x v="26"/>
    <n v="7450"/>
    <x v="2"/>
  </r>
  <r>
    <x v="6"/>
    <s v="Stefan Zaugg"/>
    <x v="1"/>
    <x v="446"/>
    <x v="446"/>
    <n v="2"/>
    <s v="ADET"/>
    <n v="2"/>
    <n v="16"/>
    <n v="14"/>
    <n v="-14"/>
    <n v="20"/>
    <n v="0"/>
    <n v="194"/>
    <x v="56"/>
    <n v="388"/>
    <x v="2"/>
  </r>
  <r>
    <x v="6"/>
    <s v="Stefan Zaugg"/>
    <x v="1"/>
    <x v="447"/>
    <x v="447"/>
    <n v="1"/>
    <s v="ADET"/>
    <n v="1"/>
    <n v="4"/>
    <n v="7"/>
    <n v="-2"/>
    <n v="10"/>
    <n v="0"/>
    <n v="3097.63"/>
    <x v="88"/>
    <n v="3097.63"/>
    <x v="4"/>
  </r>
  <r>
    <x v="6"/>
    <s v="Stefan Zaugg"/>
    <x v="1"/>
    <x v="155"/>
    <x v="155"/>
    <n v="1"/>
    <s v="ADET"/>
    <n v="1"/>
    <n v="38"/>
    <n v="10"/>
    <n v="-22"/>
    <n v="0"/>
    <n v="0"/>
    <n v="95"/>
    <x v="56"/>
    <n v="95"/>
    <x v="1"/>
  </r>
  <r>
    <x v="13"/>
    <s v="Volkan Batkan"/>
    <x v="1"/>
    <x v="226"/>
    <x v="226"/>
    <n v="7"/>
    <s v="KG"/>
    <n v="7"/>
    <n v="0"/>
    <n v="297.61000000000007"/>
    <n v="97.560000000000016"/>
    <n v="0"/>
    <n v="13285.720800000003"/>
    <n v="136.18"/>
    <x v="64"/>
    <n v="953.26"/>
    <x v="3"/>
  </r>
  <r>
    <x v="1"/>
    <s v="Laurent MONTAGNER"/>
    <x v="1"/>
    <x v="235"/>
    <x v="235"/>
    <n v="0.8"/>
    <s v="ADET"/>
    <n v="0"/>
    <n v="14"/>
    <n v="9.9999999999999929"/>
    <n v="2.5700000000000003"/>
    <n v="0"/>
    <n v="552.55000000000007"/>
    <n v="215"/>
    <x v="2"/>
    <n v="172"/>
    <x v="1"/>
  </r>
  <r>
    <x v="13"/>
    <s v="Volkan Batkan"/>
    <x v="1"/>
    <x v="439"/>
    <x v="439"/>
    <n v="1"/>
    <s v="ADET"/>
    <n v="1"/>
    <n v="1"/>
    <n v="7"/>
    <n v="12"/>
    <n v="0"/>
    <n v="55600.08"/>
    <n v="4633.34"/>
    <x v="27"/>
    <n v="4633.34"/>
    <x v="2"/>
  </r>
  <r>
    <x v="13"/>
    <s v="Volkan Batkan"/>
    <x v="1"/>
    <x v="438"/>
    <x v="438"/>
    <n v="1"/>
    <s v="ADET"/>
    <n v="1"/>
    <n v="136"/>
    <n v="6"/>
    <n v="-119"/>
    <n v="0"/>
    <n v="0"/>
    <n v="39.6"/>
    <x v="29"/>
    <n v="39.6"/>
    <x v="7"/>
  </r>
  <r>
    <x v="12"/>
    <s v="Stefan Zaugg"/>
    <x v="1"/>
    <x v="439"/>
    <x v="439"/>
    <n v="1"/>
    <s v="ADET"/>
    <n v="1"/>
    <n v="1"/>
    <n v="7"/>
    <n v="12"/>
    <n v="0"/>
    <n v="55600.08"/>
    <n v="4633.34"/>
    <x v="27"/>
    <n v="4633.34"/>
    <x v="2"/>
  </r>
  <r>
    <x v="9"/>
    <s v="Stefan Zaugg"/>
    <x v="1"/>
    <x v="446"/>
    <x v="446"/>
    <n v="2"/>
    <s v="ADET"/>
    <n v="2"/>
    <n v="16"/>
    <n v="14"/>
    <n v="-14"/>
    <n v="20"/>
    <n v="0"/>
    <n v="194"/>
    <x v="56"/>
    <n v="388"/>
    <x v="2"/>
  </r>
  <r>
    <x v="1"/>
    <s v="Laurent MONTAGNER"/>
    <x v="1"/>
    <x v="446"/>
    <x v="446"/>
    <n v="2"/>
    <s v="ADET"/>
    <n v="2"/>
    <n v="16"/>
    <n v="14"/>
    <n v="-14"/>
    <n v="20"/>
    <n v="0"/>
    <n v="194"/>
    <x v="56"/>
    <n v="388"/>
    <x v="2"/>
  </r>
  <r>
    <x v="3"/>
    <s v="Jan Urbanek"/>
    <x v="1"/>
    <x v="436"/>
    <x v="436"/>
    <n v="1"/>
    <s v="ADET"/>
    <n v="0"/>
    <n v="31"/>
    <n v="12"/>
    <n v="-20"/>
    <n v="0"/>
    <n v="0"/>
    <n v="15"/>
    <x v="29"/>
    <n v="15"/>
    <x v="7"/>
  </r>
  <r>
    <x v="6"/>
    <s v="Stefan Zaugg"/>
    <x v="1"/>
    <x v="225"/>
    <x v="225"/>
    <n v="3"/>
    <s v="ADET"/>
    <n v="3"/>
    <n v="16"/>
    <n v="9"/>
    <n v="-16"/>
    <n v="0"/>
    <n v="0"/>
    <n v="110"/>
    <x v="72"/>
    <n v="330"/>
    <x v="2"/>
  </r>
  <r>
    <x v="19"/>
    <s v="Laurent MONTAGNER"/>
    <x v="1"/>
    <x v="445"/>
    <x v="445"/>
    <n v="1"/>
    <s v="ADET"/>
    <n v="1"/>
    <n v="25"/>
    <n v="3"/>
    <n v="-12"/>
    <n v="0"/>
    <n v="0"/>
    <n v="871.93"/>
    <x v="100"/>
    <n v="871.93"/>
    <x v="2"/>
  </r>
  <r>
    <x v="19"/>
    <s v="Laurent MONTAGNER"/>
    <x v="1"/>
    <x v="446"/>
    <x v="446"/>
    <n v="2"/>
    <s v="ADET"/>
    <n v="2"/>
    <n v="16"/>
    <n v="14"/>
    <n v="-14"/>
    <n v="20"/>
    <n v="0"/>
    <n v="194"/>
    <x v="56"/>
    <n v="388"/>
    <x v="2"/>
  </r>
  <r>
    <x v="12"/>
    <s v="Stefan Zaugg"/>
    <x v="1"/>
    <x v="442"/>
    <x v="442"/>
    <n v="1"/>
    <s v="ADET"/>
    <n v="1"/>
    <n v="28"/>
    <n v="4"/>
    <n v="-21"/>
    <n v="0"/>
    <n v="0"/>
    <n v="290.62"/>
    <x v="67"/>
    <n v="290.62"/>
    <x v="4"/>
  </r>
  <r>
    <x v="4"/>
    <s v="Jan Urbanek"/>
    <x v="1"/>
    <x v="442"/>
    <x v="442"/>
    <n v="1"/>
    <s v="ADET"/>
    <n v="1"/>
    <n v="28"/>
    <n v="4"/>
    <n v="-21"/>
    <n v="0"/>
    <n v="0"/>
    <n v="290.62"/>
    <x v="67"/>
    <n v="290.62"/>
    <x v="4"/>
  </r>
  <r>
    <x v="12"/>
    <s v="Stefan Zaugg"/>
    <x v="1"/>
    <x v="447"/>
    <x v="447"/>
    <n v="1"/>
    <s v="ADET"/>
    <n v="1"/>
    <n v="4"/>
    <n v="7"/>
    <n v="-2"/>
    <n v="10"/>
    <n v="0"/>
    <n v="3097.63"/>
    <x v="88"/>
    <n v="3097.63"/>
    <x v="4"/>
  </r>
  <r>
    <x v="9"/>
    <s v="Stefan Zaugg"/>
    <x v="1"/>
    <x v="237"/>
    <x v="237"/>
    <n v="2"/>
    <s v="ADET"/>
    <n v="2"/>
    <n v="109"/>
    <n v="6"/>
    <n v="-106"/>
    <n v="0"/>
    <n v="0"/>
    <n v="90"/>
    <x v="6"/>
    <n v="180"/>
    <x v="1"/>
  </r>
  <r>
    <x v="19"/>
    <s v="Laurent MONTAGNER"/>
    <x v="1"/>
    <x v="234"/>
    <x v="234"/>
    <n v="37"/>
    <s v="ADET"/>
    <n v="37"/>
    <n v="800"/>
    <n v="0"/>
    <n v="-414"/>
    <n v="0"/>
    <n v="0"/>
    <n v="13.75"/>
    <x v="1"/>
    <n v="508.75"/>
    <x v="1"/>
  </r>
  <r>
    <x v="3"/>
    <s v="Jan Urbanek"/>
    <x v="1"/>
    <x v="448"/>
    <x v="448"/>
    <n v="18.8"/>
    <s v="KG"/>
    <n v="18.8"/>
    <n v="140"/>
    <n v="139.9599999999997"/>
    <n v="-16.590000000000032"/>
    <n v="80"/>
    <n v="0"/>
    <n v="164.09"/>
    <x v="8"/>
    <n v="3084.8920000000003"/>
    <x v="3"/>
  </r>
  <r>
    <x v="19"/>
    <s v="Laurent MONTAGNER"/>
    <x v="1"/>
    <x v="436"/>
    <x v="436"/>
    <n v="2"/>
    <s v="ADET"/>
    <n v="2"/>
    <n v="31"/>
    <n v="12"/>
    <n v="-20"/>
    <n v="0"/>
    <n v="0"/>
    <n v="15"/>
    <x v="29"/>
    <n v="30"/>
    <x v="7"/>
  </r>
  <r>
    <x v="12"/>
    <s v="Stefan Zaugg"/>
    <x v="1"/>
    <x v="438"/>
    <x v="438"/>
    <n v="2"/>
    <s v="ADET"/>
    <n v="2"/>
    <n v="136"/>
    <n v="6"/>
    <n v="-119"/>
    <n v="0"/>
    <n v="0"/>
    <n v="39.6"/>
    <x v="29"/>
    <n v="79.2"/>
    <x v="7"/>
  </r>
  <r>
    <x v="16"/>
    <s v="Laurent MONTAGNER"/>
    <x v="1"/>
    <x v="446"/>
    <x v="446"/>
    <n v="2"/>
    <s v="ADET"/>
    <n v="0"/>
    <n v="16"/>
    <n v="14"/>
    <n v="-14"/>
    <n v="20"/>
    <n v="0"/>
    <n v="194"/>
    <x v="56"/>
    <n v="388"/>
    <x v="2"/>
  </r>
  <r>
    <x v="3"/>
    <s v="Jan Urbanek"/>
    <x v="1"/>
    <x v="458"/>
    <x v="458"/>
    <n v="2.5"/>
    <s v="KG"/>
    <n v="2.5"/>
    <n v="139"/>
    <n v="45.500000000000114"/>
    <n v="-124"/>
    <n v="0"/>
    <n v="0"/>
    <n v="233.95"/>
    <x v="8"/>
    <n v="584.875"/>
    <x v="3"/>
  </r>
  <r>
    <x v="4"/>
    <s v="Jan Urbanek"/>
    <x v="1"/>
    <x v="475"/>
    <x v="475"/>
    <n v="1"/>
    <s v="ADET"/>
    <n v="0"/>
    <n v="7"/>
    <n v="2"/>
    <n v="0"/>
    <n v="0"/>
    <n v="0"/>
    <n v="337.5"/>
    <x v="66"/>
    <n v="337.5"/>
    <x v="2"/>
  </r>
  <r>
    <x v="3"/>
    <s v="Jan Urbanek"/>
    <x v="1"/>
    <x v="475"/>
    <x v="475"/>
    <n v="1"/>
    <s v="ADET"/>
    <n v="0"/>
    <n v="7"/>
    <n v="2"/>
    <n v="0"/>
    <n v="0"/>
    <n v="0"/>
    <n v="337.5"/>
    <x v="66"/>
    <n v="337.5"/>
    <x v="2"/>
  </r>
  <r>
    <x v="8"/>
    <s v="Jan Urbanek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6"/>
    <s v="Laurent MONTAGNER"/>
    <x v="1"/>
    <x v="399"/>
    <x v="399"/>
    <n v="0.5"/>
    <s v="KG"/>
    <n v="0"/>
    <n v="72"/>
    <n v="7"/>
    <n v="-51.5"/>
    <n v="0"/>
    <n v="0"/>
    <n v="212.93"/>
    <x v="71"/>
    <n v="106.465"/>
    <x v="8"/>
  </r>
  <r>
    <x v="17"/>
    <s v="Soner Kayıkçı"/>
    <x v="1"/>
    <x v="399"/>
    <x v="399"/>
    <n v="1.5"/>
    <s v="KG"/>
    <n v="0"/>
    <n v="72"/>
    <n v="7"/>
    <n v="-51.5"/>
    <n v="0"/>
    <n v="0"/>
    <n v="212.93"/>
    <x v="71"/>
    <n v="319.39499999999998"/>
    <x v="8"/>
  </r>
  <r>
    <x v="7"/>
    <s v="Stina Alm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3"/>
    <s v="Volkan Batkan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4"/>
    <s v="Matteo Giolo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6"/>
    <s v="Laurent MONTAGNER"/>
    <x v="1"/>
    <x v="473"/>
    <x v="473"/>
    <n v="3"/>
    <s v="ADET"/>
    <n v="0"/>
    <n v="5"/>
    <n v="7"/>
    <n v="16"/>
    <n v="0"/>
    <n v="56524.800000000003"/>
    <n v="3532.8"/>
    <x v="85"/>
    <n v="10598.400000000001"/>
    <x v="2"/>
  </r>
  <r>
    <x v="8"/>
    <s v="Jan Urbanek"/>
    <x v="1"/>
    <x v="475"/>
    <x v="475"/>
    <n v="1"/>
    <s v="ADET"/>
    <n v="0"/>
    <n v="7"/>
    <n v="2"/>
    <n v="0"/>
    <n v="0"/>
    <n v="0"/>
    <n v="337.5"/>
    <x v="66"/>
    <n v="337.5"/>
    <x v="2"/>
  </r>
  <r>
    <x v="4"/>
    <s v="Jan Urbanek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3"/>
    <s v="Jan Urbanek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8"/>
    <s v="Stina Alm"/>
    <x v="1"/>
    <x v="428"/>
    <x v="428"/>
    <n v="50"/>
    <s v="ADET"/>
    <n v="0"/>
    <n v="950"/>
    <n v="380"/>
    <n v="-90"/>
    <n v="0"/>
    <n v="0"/>
    <n v="0.4"/>
    <x v="5"/>
    <n v="20"/>
    <x v="1"/>
  </r>
  <r>
    <x v="0"/>
    <s v="Matteo Giolo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"/>
    <s v="Laurent MONTAGNER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6"/>
    <s v="Laurent MONTAGNER"/>
    <x v="1"/>
    <x v="474"/>
    <x v="474"/>
    <n v="2"/>
    <s v="ADET"/>
    <n v="0"/>
    <n v="6"/>
    <n v="0"/>
    <n v="0"/>
    <n v="0"/>
    <n v="0"/>
    <n v="4864"/>
    <x v="85"/>
    <n v="9728"/>
    <x v="2"/>
  </r>
  <r>
    <x v="17"/>
    <s v="Soner Kayıkçı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6"/>
    <s v="Laurent MONTAGNER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3"/>
    <s v="Volkan Batkan"/>
    <x v="1"/>
    <x v="66"/>
    <x v="66"/>
    <n v="1"/>
    <s v="ADET"/>
    <n v="1"/>
    <n v="13"/>
    <n v="6"/>
    <n v="0"/>
    <n v="0"/>
    <n v="0"/>
    <n v="1145.83"/>
    <x v="16"/>
    <n v="1145.83"/>
    <x v="2"/>
  </r>
  <r>
    <x v="13"/>
    <s v="Volkan Batkan"/>
    <x v="1"/>
    <x v="473"/>
    <x v="473"/>
    <n v="1"/>
    <s v="ADET"/>
    <n v="1"/>
    <n v="5"/>
    <n v="7"/>
    <n v="16"/>
    <n v="0"/>
    <n v="56524.800000000003"/>
    <n v="3532.8"/>
    <x v="85"/>
    <n v="3532.8"/>
    <x v="2"/>
  </r>
  <r>
    <x v="9"/>
    <s v="Stefan Zaugg"/>
    <x v="1"/>
    <x v="397"/>
    <x v="397"/>
    <n v="1"/>
    <s v="ADET"/>
    <n v="1"/>
    <n v="46"/>
    <n v="85.879999999999981"/>
    <n v="-11.119999999999997"/>
    <n v="0"/>
    <n v="0"/>
    <n v="55"/>
    <x v="2"/>
    <n v="55"/>
    <x v="1"/>
  </r>
  <r>
    <x v="6"/>
    <s v="Stefan Zaugg"/>
    <x v="1"/>
    <x v="397"/>
    <x v="397"/>
    <n v="1"/>
    <s v="ADET"/>
    <n v="1"/>
    <n v="46"/>
    <n v="85.879999999999981"/>
    <n v="-11.119999999999997"/>
    <n v="0"/>
    <n v="0"/>
    <n v="55"/>
    <x v="2"/>
    <n v="55"/>
    <x v="1"/>
  </r>
  <r>
    <x v="9"/>
    <s v="Stefan Zaugg"/>
    <x v="1"/>
    <x v="71"/>
    <x v="71"/>
    <n v="2"/>
    <s v="ADET"/>
    <n v="2"/>
    <n v="40"/>
    <n v="18"/>
    <n v="-14"/>
    <n v="0"/>
    <n v="0"/>
    <n v="55"/>
    <x v="23"/>
    <n v="110"/>
    <x v="7"/>
  </r>
  <r>
    <x v="6"/>
    <s v="Stefan Zaugg"/>
    <x v="1"/>
    <x v="476"/>
    <x v="476"/>
    <n v="5.9"/>
    <s v="KG"/>
    <n v="5.9"/>
    <n v="100"/>
    <n v="197.39999999999986"/>
    <n v="-105.59999999999998"/>
    <n v="100"/>
    <n v="0"/>
    <n v="232.75"/>
    <x v="8"/>
    <n v="1373.2250000000001"/>
    <x v="3"/>
  </r>
  <r>
    <x v="17"/>
    <s v="Soner Kayıkçı"/>
    <x v="1"/>
    <x v="67"/>
    <x v="67"/>
    <n v="7.5"/>
    <s v="METRE"/>
    <n v="0"/>
    <n v="200"/>
    <n v="39.999999999999773"/>
    <n v="-58.699999999999989"/>
    <n v="0"/>
    <n v="0"/>
    <n v="22.5"/>
    <x v="17"/>
    <n v="168.75"/>
    <x v="4"/>
  </r>
  <r>
    <x v="16"/>
    <s v="Laurent MONTAGNER"/>
    <x v="1"/>
    <x v="380"/>
    <x v="380"/>
    <n v="0.5"/>
    <s v="ADET"/>
    <n v="0"/>
    <n v="100"/>
    <n v="0"/>
    <n v="-90.5"/>
    <n v="0"/>
    <n v="0"/>
    <n v="13.5"/>
    <x v="2"/>
    <n v="6.75"/>
    <x v="1"/>
  </r>
  <r>
    <x v="18"/>
    <s v="Stina Alm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7"/>
    <s v="Soner Kayıkçı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8"/>
    <s v="Stina Alm"/>
    <x v="1"/>
    <x v="383"/>
    <x v="383"/>
    <n v="5"/>
    <s v="ADET"/>
    <n v="0"/>
    <n v="0"/>
    <n v="-3.1086244689504383E-14"/>
    <n v="46.999999999999993"/>
    <n v="4"/>
    <n v="48958.02"/>
    <n v="1041.6600000000001"/>
    <x v="61"/>
    <n v="5208.3"/>
    <x v="8"/>
  </r>
  <r>
    <x v="18"/>
    <s v="Stina Alm"/>
    <x v="1"/>
    <x v="384"/>
    <x v="384"/>
    <n v="120"/>
    <s v="METRE"/>
    <n v="0"/>
    <n v="0"/>
    <n v="0"/>
    <n v="1760"/>
    <n v="0"/>
    <n v="0"/>
    <n v="0"/>
    <x v="6"/>
    <n v="0"/>
    <x v="6"/>
  </r>
  <r>
    <x v="4"/>
    <s v="Jan Urbanek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3"/>
    <s v="Jan Urbanek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2"/>
    <s v="Jan Urbanek"/>
    <x v="1"/>
    <x v="470"/>
    <x v="470"/>
    <n v="2"/>
    <s v="ADET"/>
    <n v="0"/>
    <n v="17"/>
    <n v="16"/>
    <n v="-23"/>
    <n v="30"/>
    <n v="0"/>
    <n v="67.22"/>
    <x v="88"/>
    <n v="134.44"/>
    <x v="4"/>
  </r>
  <r>
    <x v="19"/>
    <s v="Laurent MONTAGNER"/>
    <x v="1"/>
    <x v="380"/>
    <x v="380"/>
    <n v="0.5"/>
    <s v="ADET"/>
    <n v="0"/>
    <n v="100"/>
    <n v="0"/>
    <n v="-90.5"/>
    <n v="0"/>
    <n v="0"/>
    <n v="13.5"/>
    <x v="2"/>
    <n v="6.75"/>
    <x v="1"/>
  </r>
  <r>
    <x v="16"/>
    <s v="Laurent MONTAGNER"/>
    <x v="1"/>
    <x v="383"/>
    <x v="383"/>
    <n v="5"/>
    <s v="ADET"/>
    <n v="0"/>
    <n v="0"/>
    <n v="-3.1086244689504383E-14"/>
    <n v="46.999999999999993"/>
    <n v="4"/>
    <n v="48958.02"/>
    <n v="1041.6600000000001"/>
    <x v="61"/>
    <n v="5208.3"/>
    <x v="8"/>
  </r>
  <r>
    <x v="19"/>
    <s v="Laurent MONTAGNER"/>
    <x v="1"/>
    <x v="383"/>
    <x v="383"/>
    <n v="2"/>
    <s v="ADET"/>
    <n v="0"/>
    <n v="0"/>
    <n v="-3.1086244689504383E-14"/>
    <n v="46.999999999999993"/>
    <n v="4"/>
    <n v="48958.02"/>
    <n v="1041.6600000000001"/>
    <x v="61"/>
    <n v="2083.3200000000002"/>
    <x v="8"/>
  </r>
  <r>
    <x v="16"/>
    <s v="Laurent MONTAGNER"/>
    <x v="1"/>
    <x v="384"/>
    <x v="384"/>
    <n v="120"/>
    <s v="METRE"/>
    <n v="0"/>
    <n v="0"/>
    <n v="0"/>
    <n v="1760"/>
    <n v="0"/>
    <n v="0"/>
    <n v="0"/>
    <x v="6"/>
    <n v="0"/>
    <x v="6"/>
  </r>
  <r>
    <x v="19"/>
    <s v="Laurent MONTAGNER"/>
    <x v="1"/>
    <x v="384"/>
    <x v="384"/>
    <n v="120"/>
    <s v="METRE"/>
    <n v="0"/>
    <n v="0"/>
    <n v="0"/>
    <n v="1760"/>
    <n v="0"/>
    <n v="0"/>
    <n v="0"/>
    <x v="6"/>
    <n v="0"/>
    <x v="6"/>
  </r>
  <r>
    <x v="17"/>
    <s v="Soner Kayıkçı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6"/>
    <s v="Laurent MONTAGNER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6"/>
    <s v="Laurent MONTAGNER"/>
    <x v="1"/>
    <x v="470"/>
    <x v="470"/>
    <n v="3"/>
    <s v="ADET"/>
    <n v="0"/>
    <n v="17"/>
    <n v="16"/>
    <n v="-23"/>
    <n v="30"/>
    <n v="0"/>
    <n v="67.22"/>
    <x v="88"/>
    <n v="201.66"/>
    <x v="4"/>
  </r>
  <r>
    <x v="17"/>
    <s v="Soner Kayıkçı"/>
    <x v="1"/>
    <x v="472"/>
    <x v="472"/>
    <n v="1"/>
    <s v="ADET"/>
    <n v="0"/>
    <n v="5"/>
    <n v="7"/>
    <n v="0"/>
    <n v="8"/>
    <n v="0"/>
    <n v="401.17"/>
    <x v="104"/>
    <n v="401.17"/>
    <x v="7"/>
  </r>
  <r>
    <x v="13"/>
    <s v="Volkan Batkan"/>
    <x v="1"/>
    <x v="470"/>
    <x v="470"/>
    <n v="3"/>
    <s v="ADET"/>
    <n v="3"/>
    <n v="17"/>
    <n v="16"/>
    <n v="-23"/>
    <n v="30"/>
    <n v="0"/>
    <n v="67.22"/>
    <x v="88"/>
    <n v="201.66"/>
    <x v="4"/>
  </r>
  <r>
    <x v="1"/>
    <s v="Laurent MONTAGNER"/>
    <x v="1"/>
    <x v="472"/>
    <x v="472"/>
    <n v="1"/>
    <s v="ADET"/>
    <n v="1"/>
    <n v="5"/>
    <n v="7"/>
    <n v="0"/>
    <n v="8"/>
    <n v="0"/>
    <n v="401.17"/>
    <x v="104"/>
    <n v="401.17"/>
    <x v="7"/>
  </r>
  <r>
    <x v="12"/>
    <s v="Stefan Zaugg"/>
    <x v="1"/>
    <x v="251"/>
    <x v="251"/>
    <n v="0.6"/>
    <s v="ADET"/>
    <n v="0.6"/>
    <n v="91"/>
    <n v="17.799999999999997"/>
    <n v="-74.5"/>
    <n v="0"/>
    <n v="0"/>
    <n v="85"/>
    <x v="18"/>
    <n v="51"/>
    <x v="1"/>
  </r>
  <r>
    <x v="10"/>
    <s v="Murat Taşdemir"/>
    <x v="1"/>
    <x v="383"/>
    <x v="383"/>
    <n v="3"/>
    <s v="ADET"/>
    <n v="3"/>
    <n v="0"/>
    <n v="-3.1086244689504383E-14"/>
    <n v="46.999999999999993"/>
    <n v="4"/>
    <n v="48958.02"/>
    <n v="1041.6600000000001"/>
    <x v="61"/>
    <n v="3124.9800000000005"/>
    <x v="8"/>
  </r>
  <r>
    <x v="19"/>
    <s v="Laurent MONTAGNER"/>
    <x v="1"/>
    <x v="471"/>
    <x v="471"/>
    <n v="1"/>
    <s v="ADET"/>
    <n v="1"/>
    <n v="12"/>
    <n v="15"/>
    <n v="1"/>
    <n v="0"/>
    <n v="565.83000000000004"/>
    <n v="565.83000000000004"/>
    <x v="86"/>
    <n v="565.83000000000004"/>
    <x v="13"/>
  </r>
  <r>
    <x v="16"/>
    <s v="Laurent MONTAGNER"/>
    <x v="1"/>
    <x v="472"/>
    <x v="472"/>
    <n v="1"/>
    <s v="ADET"/>
    <n v="0"/>
    <n v="5"/>
    <n v="7"/>
    <n v="0"/>
    <n v="8"/>
    <n v="0"/>
    <n v="401.17"/>
    <x v="104"/>
    <n v="401.17"/>
    <x v="7"/>
  </r>
  <r>
    <x v="19"/>
    <s v="Laurent MONTAGNER"/>
    <x v="1"/>
    <x v="470"/>
    <x v="470"/>
    <n v="3"/>
    <s v="ADET"/>
    <n v="3"/>
    <n v="17"/>
    <n v="16"/>
    <n v="-23"/>
    <n v="30"/>
    <n v="0"/>
    <n v="67.22"/>
    <x v="88"/>
    <n v="201.66"/>
    <x v="4"/>
  </r>
  <r>
    <x v="18"/>
    <s v="Stina Alm"/>
    <x v="1"/>
    <x v="471"/>
    <x v="471"/>
    <n v="1"/>
    <s v="ADET"/>
    <n v="0"/>
    <n v="12"/>
    <n v="15"/>
    <n v="1"/>
    <n v="0"/>
    <n v="565.83000000000004"/>
    <n v="565.83000000000004"/>
    <x v="86"/>
    <n v="565.83000000000004"/>
    <x v="13"/>
  </r>
  <r>
    <x v="18"/>
    <s v="Stina Alm"/>
    <x v="1"/>
    <x v="470"/>
    <x v="470"/>
    <n v="3"/>
    <s v="ADET"/>
    <n v="0"/>
    <n v="17"/>
    <n v="16"/>
    <n v="-23"/>
    <n v="30"/>
    <n v="0"/>
    <n v="67.22"/>
    <x v="88"/>
    <n v="201.66"/>
    <x v="4"/>
  </r>
  <r>
    <x v="9"/>
    <s v="Stefan Zaugg"/>
    <x v="1"/>
    <x v="225"/>
    <x v="225"/>
    <n v="3"/>
    <s v="ADET"/>
    <n v="3"/>
    <n v="16"/>
    <n v="9"/>
    <n v="-16"/>
    <n v="0"/>
    <n v="0"/>
    <n v="110"/>
    <x v="72"/>
    <n v="330"/>
    <x v="2"/>
  </r>
  <r>
    <x v="12"/>
    <s v="Stefan Zaugg"/>
    <x v="1"/>
    <x v="499"/>
    <x v="499"/>
    <n v="1"/>
    <s v="ADET"/>
    <n v="1"/>
    <n v="2"/>
    <n v="2"/>
    <n v="-2"/>
    <n v="0"/>
    <n v="0"/>
    <n v="400"/>
    <x v="92"/>
    <n v="400"/>
    <x v="4"/>
  </r>
  <r>
    <x v="17"/>
    <s v="Soner Kayıkçı"/>
    <x v="1"/>
    <x v="394"/>
    <x v="394"/>
    <n v="1"/>
    <s v="ADET"/>
    <n v="0"/>
    <n v="2"/>
    <n v="8"/>
    <n v="5"/>
    <n v="3"/>
    <n v="30287.5"/>
    <n v="6057.5"/>
    <x v="43"/>
    <n v="6057.5"/>
    <x v="7"/>
  </r>
  <r>
    <x v="16"/>
    <s v="Laurent MONTAGNER"/>
    <x v="1"/>
    <x v="394"/>
    <x v="394"/>
    <n v="1"/>
    <s v="ADET"/>
    <n v="0"/>
    <n v="2"/>
    <n v="8"/>
    <n v="5"/>
    <n v="3"/>
    <n v="30287.5"/>
    <n v="6057.5"/>
    <x v="43"/>
    <n v="6057.5"/>
    <x v="7"/>
  </r>
  <r>
    <x v="18"/>
    <s v="Stina Alm"/>
    <x v="1"/>
    <x v="489"/>
    <x v="489"/>
    <n v="1"/>
    <s v="ADET"/>
    <n v="0"/>
    <n v="7"/>
    <n v="9"/>
    <n v="-4"/>
    <n v="10"/>
    <n v="0"/>
    <n v="450"/>
    <x v="38"/>
    <n v="450"/>
    <x v="4"/>
  </r>
  <r>
    <x v="17"/>
    <s v="Soner Kayıkçı"/>
    <x v="1"/>
    <x v="489"/>
    <x v="489"/>
    <n v="1"/>
    <s v="ADET"/>
    <n v="0"/>
    <n v="7"/>
    <n v="9"/>
    <n v="-4"/>
    <n v="10"/>
    <n v="0"/>
    <n v="450"/>
    <x v="38"/>
    <n v="450"/>
    <x v="4"/>
  </r>
  <r>
    <x v="19"/>
    <s v="Laurent MONTAGNER"/>
    <x v="1"/>
    <x v="127"/>
    <x v="127"/>
    <n v="1.6"/>
    <s v="ADET"/>
    <n v="1.6"/>
    <n v="14"/>
    <n v="6.7999999999999972"/>
    <n v="7.7000000000000028"/>
    <n v="12"/>
    <n v="2532.1450000000009"/>
    <n v="328.85"/>
    <x v="47"/>
    <n v="526.16000000000008"/>
    <x v="3"/>
  </r>
  <r>
    <x v="9"/>
    <s v="Stefan Zaugg"/>
    <x v="1"/>
    <x v="121"/>
    <x v="121"/>
    <n v="4"/>
    <s v="ADET"/>
    <n v="4"/>
    <n v="230"/>
    <n v="72"/>
    <n v="-172"/>
    <n v="0"/>
    <n v="0"/>
    <n v="225"/>
    <x v="45"/>
    <n v="900"/>
    <x v="2"/>
  </r>
  <r>
    <x v="17"/>
    <s v="Soner Kayıkçı"/>
    <x v="1"/>
    <x v="395"/>
    <x v="395"/>
    <n v="4"/>
    <s v="ADET"/>
    <n v="0"/>
    <n v="46"/>
    <n v="12"/>
    <n v="-14"/>
    <n v="0"/>
    <n v="0"/>
    <n v="100"/>
    <x v="92"/>
    <n v="400"/>
    <x v="2"/>
  </r>
  <r>
    <x v="17"/>
    <s v="Soner Kayıkçı"/>
    <x v="1"/>
    <x v="449"/>
    <x v="449"/>
    <n v="2"/>
    <s v="ADET"/>
    <n v="0"/>
    <n v="250"/>
    <n v="302"/>
    <n v="-202"/>
    <n v="0"/>
    <n v="0"/>
    <n v="0.9"/>
    <x v="23"/>
    <n v="1.8"/>
    <x v="7"/>
  </r>
  <r>
    <x v="16"/>
    <s v="Laurent MONTAGNER"/>
    <x v="1"/>
    <x v="449"/>
    <x v="449"/>
    <n v="4"/>
    <s v="ADET"/>
    <n v="0"/>
    <n v="250"/>
    <n v="302"/>
    <n v="-202"/>
    <n v="0"/>
    <n v="0"/>
    <n v="0.9"/>
    <x v="23"/>
    <n v="3.6"/>
    <x v="7"/>
  </r>
  <r>
    <x v="16"/>
    <s v="Laurent MONTAGNER"/>
    <x v="1"/>
    <x v="489"/>
    <x v="489"/>
    <n v="1"/>
    <s v="ADET"/>
    <n v="0"/>
    <n v="7"/>
    <n v="9"/>
    <n v="-4"/>
    <n v="10"/>
    <n v="0"/>
    <n v="450"/>
    <x v="38"/>
    <n v="450"/>
    <x v="4"/>
  </r>
  <r>
    <x v="17"/>
    <s v="Soner Kayıkçı"/>
    <x v="1"/>
    <x v="496"/>
    <x v="496"/>
    <n v="4"/>
    <s v="ADET"/>
    <n v="0"/>
    <n v="33"/>
    <n v="6"/>
    <n v="7"/>
    <n v="0"/>
    <n v="1206.17"/>
    <n v="172.31"/>
    <x v="67"/>
    <n v="689.24"/>
    <x v="2"/>
  </r>
  <r>
    <x v="6"/>
    <s v="Stefan Zaugg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13"/>
    <s v="Volkan Batkan"/>
    <x v="1"/>
    <x v="128"/>
    <x v="128"/>
    <n v="1"/>
    <s v="ADET"/>
    <n v="1"/>
    <n v="0"/>
    <n v="4"/>
    <n v="0"/>
    <n v="20"/>
    <n v="0"/>
    <n v="28000"/>
    <x v="48"/>
    <n v="28000"/>
    <x v="7"/>
  </r>
  <r>
    <x v="9"/>
    <s v="Stefan Zaugg"/>
    <x v="1"/>
    <x v="489"/>
    <x v="489"/>
    <n v="1"/>
    <s v="ADET"/>
    <n v="1"/>
    <n v="7"/>
    <n v="9"/>
    <n v="-4"/>
    <n v="10"/>
    <n v="0"/>
    <n v="450"/>
    <x v="38"/>
    <n v="450"/>
    <x v="4"/>
  </r>
  <r>
    <x v="13"/>
    <s v="Volkan Batkan"/>
    <x v="1"/>
    <x v="489"/>
    <x v="489"/>
    <n v="1"/>
    <s v="ADET"/>
    <n v="1"/>
    <n v="7"/>
    <n v="9"/>
    <n v="-4"/>
    <n v="10"/>
    <n v="0"/>
    <n v="450"/>
    <x v="38"/>
    <n v="450"/>
    <x v="4"/>
  </r>
  <r>
    <x v="3"/>
    <s v="Jan Urbanek"/>
    <x v="1"/>
    <x v="123"/>
    <x v="123"/>
    <n v="0.5"/>
    <s v="ADET"/>
    <n v="0"/>
    <n v="87"/>
    <n v="50.899999999999977"/>
    <n v="-42.900000000000006"/>
    <n v="0"/>
    <n v="0"/>
    <n v="122.09"/>
    <x v="11"/>
    <n v="61.045000000000002"/>
    <x v="1"/>
  </r>
  <r>
    <x v="1"/>
    <s v="Laurent MONTAGNER"/>
    <x v="1"/>
    <x v="496"/>
    <x v="496"/>
    <n v="2"/>
    <s v="ADET"/>
    <n v="2"/>
    <n v="33"/>
    <n v="6"/>
    <n v="7"/>
    <n v="0"/>
    <n v="1206.17"/>
    <n v="172.31"/>
    <x v="67"/>
    <n v="344.62"/>
    <x v="2"/>
  </r>
  <r>
    <x v="1"/>
    <s v="Laurent MONTAGNER"/>
    <x v="1"/>
    <x v="489"/>
    <x v="489"/>
    <n v="1"/>
    <s v="ADET"/>
    <n v="1"/>
    <n v="7"/>
    <n v="9"/>
    <n v="-4"/>
    <n v="10"/>
    <n v="0"/>
    <n v="450"/>
    <x v="38"/>
    <n v="450"/>
    <x v="4"/>
  </r>
  <r>
    <x v="16"/>
    <s v="Laurent MONTAGNER"/>
    <x v="1"/>
    <x v="496"/>
    <x v="496"/>
    <n v="4"/>
    <s v="ADET"/>
    <n v="0"/>
    <n v="33"/>
    <n v="6"/>
    <n v="7"/>
    <n v="0"/>
    <n v="1206.17"/>
    <n v="172.31"/>
    <x v="67"/>
    <n v="689.24"/>
    <x v="2"/>
  </r>
  <r>
    <x v="13"/>
    <s v="Volkan Batkan"/>
    <x v="1"/>
    <x v="121"/>
    <x v="121"/>
    <n v="7"/>
    <s v="ADET"/>
    <n v="7"/>
    <n v="230"/>
    <n v="72"/>
    <n v="-172"/>
    <n v="0"/>
    <n v="0"/>
    <n v="225"/>
    <x v="45"/>
    <n v="1575"/>
    <x v="2"/>
  </r>
  <r>
    <x v="13"/>
    <s v="Volkan Batkan"/>
    <x v="1"/>
    <x v="395"/>
    <x v="395"/>
    <n v="4"/>
    <s v="ADET"/>
    <n v="4"/>
    <n v="46"/>
    <n v="12"/>
    <n v="-14"/>
    <n v="0"/>
    <n v="0"/>
    <n v="100"/>
    <x v="92"/>
    <n v="400"/>
    <x v="2"/>
  </r>
  <r>
    <x v="13"/>
    <s v="Volkan Batkan"/>
    <x v="1"/>
    <x v="184"/>
    <x v="184"/>
    <n v="1"/>
    <s v="ADET"/>
    <n v="1"/>
    <n v="3"/>
    <n v="7"/>
    <n v="2"/>
    <n v="3"/>
    <n v="4955.04"/>
    <n v="2477.52"/>
    <x v="43"/>
    <n v="2477.52"/>
    <x v="7"/>
  </r>
  <r>
    <x v="0"/>
    <s v="Matteo Giolo"/>
    <x v="1"/>
    <x v="243"/>
    <x v="243"/>
    <n v="0.5099999999999999"/>
    <s v="ADET"/>
    <n v="0"/>
    <n v="20"/>
    <n v="116.6640000000002"/>
    <n v="-11.16"/>
    <n v="0"/>
    <n v="0"/>
    <n v="185"/>
    <x v="2"/>
    <n v="94.34999999999998"/>
    <x v="1"/>
  </r>
  <r>
    <x v="17"/>
    <s v="Soner Kayıkçı"/>
    <x v="1"/>
    <x v="470"/>
    <x v="470"/>
    <n v="2"/>
    <s v="ADET"/>
    <n v="0"/>
    <n v="17"/>
    <n v="16"/>
    <n v="-23"/>
    <n v="30"/>
    <n v="0"/>
    <n v="67.22"/>
    <x v="88"/>
    <n v="134.44"/>
    <x v="4"/>
  </r>
  <r>
    <x v="18"/>
    <s v="Stina Alm"/>
    <x v="1"/>
    <x v="472"/>
    <x v="472"/>
    <n v="1"/>
    <s v="ADET"/>
    <n v="0"/>
    <n v="5"/>
    <n v="7"/>
    <n v="0"/>
    <n v="8"/>
    <n v="0"/>
    <n v="401.17"/>
    <x v="104"/>
    <n v="401.17"/>
    <x v="7"/>
  </r>
  <r>
    <x v="12"/>
    <s v="Stefan Zaugg"/>
    <x v="1"/>
    <x v="386"/>
    <x v="386"/>
    <n v="0.105"/>
    <s v="M3"/>
    <n v="0.105"/>
    <n v="0"/>
    <n v="4.5430000000000224"/>
    <n v="1.4260000000000006"/>
    <n v="0"/>
    <n v="27807.000000000011"/>
    <n v="19500"/>
    <x v="91"/>
    <n v="2047.5"/>
    <x v="8"/>
  </r>
  <r>
    <x v="12"/>
    <s v="Stefan Zaugg"/>
    <x v="1"/>
    <x v="381"/>
    <x v="381"/>
    <n v="1"/>
    <s v="M2"/>
    <n v="1"/>
    <n v="15.9"/>
    <n v="39.329999999999977"/>
    <n v="-12.795000000000009"/>
    <n v="11.895"/>
    <n v="0"/>
    <n v="641.03"/>
    <x v="61"/>
    <n v="641.03"/>
    <x v="8"/>
  </r>
  <r>
    <x v="13"/>
    <s v="Volkan Batkan"/>
    <x v="1"/>
    <x v="135"/>
    <x v="135"/>
    <n v="1"/>
    <s v="ADET"/>
    <n v="1"/>
    <n v="7"/>
    <n v="4"/>
    <n v="5"/>
    <n v="0"/>
    <n v="11000"/>
    <n v="2200"/>
    <x v="52"/>
    <n v="2200"/>
    <x v="4"/>
  </r>
  <r>
    <x v="9"/>
    <s v="Stefan Zaugg"/>
    <x v="1"/>
    <x v="383"/>
    <x v="383"/>
    <n v="2.2999999999999998"/>
    <s v="ADET"/>
    <n v="2.2999999999999998"/>
    <n v="0"/>
    <n v="-3.1086244689504383E-14"/>
    <n v="46.999999999999993"/>
    <n v="4"/>
    <n v="48958.02"/>
    <n v="1041.6600000000001"/>
    <x v="61"/>
    <n v="2395.8180000000002"/>
    <x v="8"/>
  </r>
  <r>
    <x v="12"/>
    <s v="Stefan Zaugg"/>
    <x v="1"/>
    <x v="383"/>
    <x v="383"/>
    <n v="2.2999999999999998"/>
    <s v="ADET"/>
    <n v="2.2999999999999998"/>
    <n v="0"/>
    <n v="-3.1086244689504383E-14"/>
    <n v="46.999999999999993"/>
    <n v="4"/>
    <n v="48958.02"/>
    <n v="1041.6600000000001"/>
    <x v="61"/>
    <n v="2395.8180000000002"/>
    <x v="8"/>
  </r>
  <r>
    <x v="6"/>
    <s v="Stefan Zaugg"/>
    <x v="1"/>
    <x v="481"/>
    <x v="481"/>
    <n v="1"/>
    <s v="ADET"/>
    <n v="1"/>
    <n v="2"/>
    <n v="2"/>
    <n v="-2"/>
    <n v="0"/>
    <n v="0"/>
    <n v="400"/>
    <x v="92"/>
    <n v="400"/>
    <x v="4"/>
  </r>
  <r>
    <x v="13"/>
    <s v="Volkan Batkan"/>
    <x v="1"/>
    <x v="471"/>
    <x v="471"/>
    <n v="1"/>
    <s v="ADET"/>
    <n v="1"/>
    <n v="12"/>
    <n v="15"/>
    <n v="1"/>
    <n v="0"/>
    <n v="565.83000000000004"/>
    <n v="565.83000000000004"/>
    <x v="86"/>
    <n v="565.83000000000004"/>
    <x v="13"/>
  </r>
  <r>
    <x v="12"/>
    <s v="Stefan Zaugg"/>
    <x v="1"/>
    <x v="470"/>
    <x v="470"/>
    <n v="2"/>
    <s v="ADET"/>
    <n v="2"/>
    <n v="17"/>
    <n v="16"/>
    <n v="-23"/>
    <n v="30"/>
    <n v="0"/>
    <n v="67.22"/>
    <x v="88"/>
    <n v="134.44"/>
    <x v="4"/>
  </r>
  <r>
    <x v="9"/>
    <s v="Stefan Zaugg"/>
    <x v="1"/>
    <x v="141"/>
    <x v="141"/>
    <n v="2"/>
    <s v="ADET"/>
    <n v="2"/>
    <n v="23"/>
    <n v="22"/>
    <n v="-9"/>
    <n v="10"/>
    <n v="0"/>
    <n v="71.77"/>
    <x v="43"/>
    <n v="143.54"/>
    <x v="7"/>
  </r>
  <r>
    <x v="13"/>
    <s v="Volkan Batkan"/>
    <x v="1"/>
    <x v="251"/>
    <x v="251"/>
    <n v="0.9"/>
    <s v="ADET"/>
    <n v="0.9"/>
    <n v="91"/>
    <n v="17.799999999999997"/>
    <n v="-74.5"/>
    <n v="0"/>
    <n v="0"/>
    <n v="85"/>
    <x v="18"/>
    <n v="76.5"/>
    <x v="1"/>
  </r>
  <r>
    <x v="4"/>
    <s v="Jan Urbanek"/>
    <x v="1"/>
    <x v="470"/>
    <x v="470"/>
    <n v="2"/>
    <s v="ADET"/>
    <n v="0"/>
    <n v="17"/>
    <n v="16"/>
    <n v="-23"/>
    <n v="30"/>
    <n v="0"/>
    <n v="67.22"/>
    <x v="88"/>
    <n v="134.44"/>
    <x v="4"/>
  </r>
  <r>
    <x v="9"/>
    <s v="Stefan Zaugg"/>
    <x v="1"/>
    <x v="470"/>
    <x v="470"/>
    <n v="3"/>
    <s v="ADET"/>
    <n v="3"/>
    <n v="17"/>
    <n v="16"/>
    <n v="-23"/>
    <n v="30"/>
    <n v="0"/>
    <n v="67.22"/>
    <x v="88"/>
    <n v="201.66"/>
    <x v="4"/>
  </r>
  <r>
    <x v="19"/>
    <s v="Laurent MONTAGNER"/>
    <x v="1"/>
    <x v="141"/>
    <x v="141"/>
    <n v="2"/>
    <s v="ADET"/>
    <n v="2"/>
    <n v="23"/>
    <n v="22"/>
    <n v="-9"/>
    <n v="10"/>
    <n v="0"/>
    <n v="71.77"/>
    <x v="43"/>
    <n v="143.54"/>
    <x v="7"/>
  </r>
  <r>
    <x v="13"/>
    <s v="Volkan Batkan"/>
    <x v="1"/>
    <x v="472"/>
    <x v="472"/>
    <n v="1"/>
    <s v="ADET"/>
    <n v="1"/>
    <n v="5"/>
    <n v="7"/>
    <n v="0"/>
    <n v="8"/>
    <n v="0"/>
    <n v="401.17"/>
    <x v="104"/>
    <n v="401.17"/>
    <x v="7"/>
  </r>
  <r>
    <x v="10"/>
    <s v="Murat Taşdemir"/>
    <x v="1"/>
    <x v="251"/>
    <x v="251"/>
    <n v="2"/>
    <s v="ADET"/>
    <n v="2"/>
    <n v="91"/>
    <n v="17.799999999999997"/>
    <n v="-74.5"/>
    <n v="0"/>
    <n v="0"/>
    <n v="85"/>
    <x v="18"/>
    <n v="170"/>
    <x v="1"/>
  </r>
  <r>
    <x v="9"/>
    <s v="Stefan Zaugg"/>
    <x v="1"/>
    <x v="411"/>
    <x v="411"/>
    <n v="1"/>
    <s v="ADET"/>
    <n v="1"/>
    <n v="18"/>
    <n v="10"/>
    <n v="-5"/>
    <n v="0"/>
    <n v="0"/>
    <n v="115.6"/>
    <x v="23"/>
    <n v="115.6"/>
    <x v="7"/>
  </r>
  <r>
    <x v="6"/>
    <s v="Stefan Zaugg"/>
    <x v="1"/>
    <x v="411"/>
    <x v="411"/>
    <n v="1"/>
    <s v="ADET"/>
    <n v="1"/>
    <n v="18"/>
    <n v="10"/>
    <n v="-5"/>
    <n v="0"/>
    <n v="0"/>
    <n v="115.6"/>
    <x v="23"/>
    <n v="115.6"/>
    <x v="7"/>
  </r>
  <r>
    <x v="12"/>
    <s v="Stefan Zaugg"/>
    <x v="1"/>
    <x v="412"/>
    <x v="412"/>
    <n v="1"/>
    <s v="ADET"/>
    <n v="1"/>
    <n v="35"/>
    <n v="61"/>
    <n v="-12"/>
    <n v="0"/>
    <n v="0"/>
    <n v="19.07"/>
    <x v="23"/>
    <n v="19.07"/>
    <x v="7"/>
  </r>
  <r>
    <x v="13"/>
    <s v="Volkan Batkan"/>
    <x v="1"/>
    <x v="412"/>
    <x v="412"/>
    <n v="1"/>
    <s v="ADET"/>
    <n v="1"/>
    <n v="35"/>
    <n v="61"/>
    <n v="-12"/>
    <n v="0"/>
    <n v="0"/>
    <n v="19.07"/>
    <x v="23"/>
    <n v="19.07"/>
    <x v="7"/>
  </r>
  <r>
    <x v="13"/>
    <s v="Volkan Batkan"/>
    <x v="1"/>
    <x v="170"/>
    <x v="170"/>
    <n v="1"/>
    <s v="ADET"/>
    <n v="1"/>
    <n v="5"/>
    <n v="10"/>
    <n v="7"/>
    <n v="0"/>
    <n v="85641.010000000009"/>
    <n v="12234.43"/>
    <x v="15"/>
    <n v="12234.43"/>
    <x v="7"/>
  </r>
  <r>
    <x v="16"/>
    <s v="Laurent MONTAGNER"/>
    <x v="1"/>
    <x v="145"/>
    <x v="145"/>
    <n v="6.0000000000000005E-2"/>
    <s v="ADET"/>
    <n v="6.0000000000000005E-2"/>
    <n v="6"/>
    <n v="22.53"/>
    <n v="-5.5"/>
    <n v="0"/>
    <n v="0"/>
    <n v="133"/>
    <x v="55"/>
    <n v="7.98"/>
    <x v="3"/>
  </r>
  <r>
    <x v="1"/>
    <s v="Laurent MONTAGNER"/>
    <x v="1"/>
    <x v="426"/>
    <x v="426"/>
    <n v="8.4700000000000006"/>
    <s v="KG"/>
    <n v="8.4700000000000006"/>
    <n v="0"/>
    <n v="154.9500000000001"/>
    <n v="21.899999999999991"/>
    <n v="60"/>
    <n v="4265.0249999999987"/>
    <n v="194.75"/>
    <x v="8"/>
    <n v="1649.5325"/>
    <x v="3"/>
  </r>
  <r>
    <x v="6"/>
    <s v="Stefan Zaugg"/>
    <x v="1"/>
    <x v="169"/>
    <x v="169"/>
    <n v="78.63"/>
    <s v="KG"/>
    <n v="78.63"/>
    <n v="1840"/>
    <n v="973.6200000000008"/>
    <n v="-1630.1299999999997"/>
    <n v="920"/>
    <n v="0"/>
    <n v="94.86"/>
    <x v="8"/>
    <n v="7458.8417999999992"/>
    <x v="3"/>
  </r>
  <r>
    <x v="3"/>
    <s v="Jan Urbanek"/>
    <x v="1"/>
    <x v="169"/>
    <x v="169"/>
    <n v="108.01"/>
    <s v="KG"/>
    <n v="108.01"/>
    <n v="1840"/>
    <n v="973.6200000000008"/>
    <n v="-1630.1299999999997"/>
    <n v="920"/>
    <n v="0"/>
    <n v="94.86"/>
    <x v="8"/>
    <n v="10245.828600000001"/>
    <x v="3"/>
  </r>
  <r>
    <x v="7"/>
    <s v="Stina Alm"/>
    <x v="1"/>
    <x v="143"/>
    <x v="143"/>
    <n v="0.1"/>
    <s v="ADET"/>
    <n v="0"/>
    <n v="1"/>
    <n v="0.93000000000000205"/>
    <n v="0.26000000000000023"/>
    <n v="0"/>
    <n v="396.50000000000034"/>
    <n v="1525"/>
    <x v="2"/>
    <n v="152.5"/>
    <x v="1"/>
  </r>
  <r>
    <x v="12"/>
    <s v="Stefan Zaugg"/>
    <x v="1"/>
    <x v="422"/>
    <x v="422"/>
    <n v="5.5"/>
    <s v="ADET"/>
    <n v="5.5"/>
    <n v="0"/>
    <n v="24.049999999999969"/>
    <n v="147.72000000000003"/>
    <n v="34"/>
    <n v="249893.49240000005"/>
    <n v="1691.67"/>
    <x v="61"/>
    <n v="9304.1850000000013"/>
    <x v="8"/>
  </r>
  <r>
    <x v="1"/>
    <s v="Laurent MONTAGNER"/>
    <x v="1"/>
    <x v="210"/>
    <x v="210"/>
    <n v="4"/>
    <s v="ADET"/>
    <n v="4"/>
    <n v="133"/>
    <n v="46"/>
    <n v="-49"/>
    <n v="0"/>
    <n v="0"/>
    <n v="3.75"/>
    <x v="1"/>
    <n v="15"/>
    <x v="1"/>
  </r>
  <r>
    <x v="19"/>
    <s v="Laurent MONTAGNER"/>
    <x v="1"/>
    <x v="426"/>
    <x v="426"/>
    <n v="8.4700000000000006"/>
    <s v="KG"/>
    <n v="8.4700000000000006"/>
    <n v="0"/>
    <n v="154.9500000000001"/>
    <n v="21.899999999999991"/>
    <n v="60"/>
    <n v="4265.0249999999987"/>
    <n v="194.75"/>
    <x v="8"/>
    <n v="1649.5325"/>
    <x v="3"/>
  </r>
  <r>
    <x v="16"/>
    <s v="Laurent MONTAGNER"/>
    <x v="1"/>
    <x v="169"/>
    <x v="169"/>
    <n v="114.32999999999998"/>
    <s v="KG"/>
    <n v="114.32999999999998"/>
    <n v="1840"/>
    <n v="973.6200000000008"/>
    <n v="-1630.1299999999997"/>
    <n v="920"/>
    <n v="0"/>
    <n v="94.86"/>
    <x v="8"/>
    <n v="10845.343799999999"/>
    <x v="3"/>
  </r>
  <r>
    <x v="13"/>
    <s v="Volkan Batkan"/>
    <x v="1"/>
    <x v="169"/>
    <x v="169"/>
    <n v="91.87"/>
    <s v="KG"/>
    <n v="91.87"/>
    <n v="1840"/>
    <n v="973.6200000000008"/>
    <n v="-1630.1299999999997"/>
    <n v="920"/>
    <n v="0"/>
    <n v="94.86"/>
    <x v="8"/>
    <n v="8714.7882000000009"/>
    <x v="3"/>
  </r>
  <r>
    <x v="17"/>
    <s v="Soner Kayıkçı"/>
    <x v="1"/>
    <x v="427"/>
    <x v="427"/>
    <n v="1"/>
    <s v="ADET"/>
    <n v="0"/>
    <n v="6"/>
    <n v="9"/>
    <n v="0"/>
    <n v="7"/>
    <n v="0"/>
    <n v="1535.25"/>
    <x v="24"/>
    <n v="1535.25"/>
    <x v="7"/>
  </r>
  <r>
    <x v="16"/>
    <s v="Laurent MONTAGNER"/>
    <x v="1"/>
    <x v="427"/>
    <x v="427"/>
    <n v="1"/>
    <s v="ADET"/>
    <n v="0"/>
    <n v="6"/>
    <n v="9"/>
    <n v="0"/>
    <n v="7"/>
    <n v="0"/>
    <n v="1535.25"/>
    <x v="24"/>
    <n v="1535.25"/>
    <x v="7"/>
  </r>
  <r>
    <x v="19"/>
    <s v="Laurent MONTAGNER"/>
    <x v="1"/>
    <x v="462"/>
    <x v="462"/>
    <n v="2"/>
    <s v="ADET"/>
    <n v="2"/>
    <n v="6"/>
    <n v="8"/>
    <n v="26"/>
    <n v="0"/>
    <n v="41686.58"/>
    <n v="1603.33"/>
    <x v="84"/>
    <n v="3206.66"/>
    <x v="7"/>
  </r>
  <r>
    <x v="19"/>
    <s v="Laurent MONTAGNER"/>
    <x v="1"/>
    <x v="422"/>
    <x v="422"/>
    <n v="12"/>
    <s v="ADET"/>
    <n v="12"/>
    <n v="0"/>
    <n v="24.049999999999969"/>
    <n v="147.72000000000003"/>
    <n v="34"/>
    <n v="249893.49240000005"/>
    <n v="1691.67"/>
    <x v="61"/>
    <n v="20300.04"/>
    <x v="8"/>
  </r>
  <r>
    <x v="10"/>
    <s v="Murat Taşdemir"/>
    <x v="1"/>
    <x v="426"/>
    <x v="426"/>
    <n v="7.7500000000000009"/>
    <s v="KG"/>
    <n v="7.7500000000000009"/>
    <n v="0"/>
    <n v="154.9500000000001"/>
    <n v="21.899999999999991"/>
    <n v="60"/>
    <n v="4265.0249999999987"/>
    <n v="194.75"/>
    <x v="8"/>
    <n v="1509.3125000000002"/>
    <x v="3"/>
  </r>
  <r>
    <x v="19"/>
    <s v="Laurent MONTAGNER"/>
    <x v="1"/>
    <x v="169"/>
    <x v="169"/>
    <n v="124.54"/>
    <s v="KG"/>
    <n v="124.54"/>
    <n v="1840"/>
    <n v="973.6200000000008"/>
    <n v="-1630.1299999999997"/>
    <n v="920"/>
    <n v="0"/>
    <n v="94.86"/>
    <x v="8"/>
    <n v="11813.8644"/>
    <x v="3"/>
  </r>
  <r>
    <x v="19"/>
    <s v="Laurent MONTAGNER"/>
    <x v="1"/>
    <x v="427"/>
    <x v="427"/>
    <n v="1"/>
    <s v="ADET"/>
    <n v="1"/>
    <n v="6"/>
    <n v="9"/>
    <n v="0"/>
    <n v="7"/>
    <n v="0"/>
    <n v="1535.25"/>
    <x v="24"/>
    <n v="1535.25"/>
    <x v="7"/>
  </r>
  <r>
    <x v="12"/>
    <s v="Stefan Zaugg"/>
    <x v="1"/>
    <x v="144"/>
    <x v="144"/>
    <n v="1"/>
    <s v="ADET"/>
    <n v="1"/>
    <n v="14"/>
    <n v="1"/>
    <n v="-7"/>
    <n v="0"/>
    <n v="0"/>
    <n v="458.33"/>
    <x v="1"/>
    <n v="458.33"/>
    <x v="2"/>
  </r>
  <r>
    <x v="6"/>
    <s v="Stefan Zaugg"/>
    <x v="1"/>
    <x v="142"/>
    <x v="142"/>
    <n v="1"/>
    <s v="ADET"/>
    <n v="1"/>
    <n v="13"/>
    <n v="6"/>
    <n v="-10"/>
    <n v="0"/>
    <n v="0"/>
    <n v="344.14"/>
    <x v="54"/>
    <n v="344.14"/>
    <x v="1"/>
  </r>
  <r>
    <x v="9"/>
    <s v="Stefan Zaugg"/>
    <x v="1"/>
    <x v="500"/>
    <x v="500"/>
    <n v="0.5"/>
    <s v="ADET"/>
    <n v="0.5"/>
    <n v="0"/>
    <n v="2"/>
    <n v="0"/>
    <n v="0"/>
    <n v="0"/>
    <n v="2010.25"/>
    <x v="110"/>
    <n v="1005.125"/>
    <x v="1"/>
  </r>
  <r>
    <x v="9"/>
    <s v="Stefan Zaugg"/>
    <x v="1"/>
    <x v="194"/>
    <x v="194"/>
    <n v="6"/>
    <s v="METRE"/>
    <n v="6"/>
    <n v="140"/>
    <n v="0"/>
    <n v="-122"/>
    <n v="0"/>
    <n v="0"/>
    <n v="25.42"/>
    <x v="23"/>
    <n v="152.52000000000001"/>
    <x v="7"/>
  </r>
  <r>
    <x v="9"/>
    <s v="Stefan Zaugg"/>
    <x v="1"/>
    <x v="170"/>
    <x v="170"/>
    <n v="1"/>
    <s v="ADET"/>
    <n v="1"/>
    <n v="5"/>
    <n v="10"/>
    <n v="7"/>
    <n v="0"/>
    <n v="85641.010000000009"/>
    <n v="12234.43"/>
    <x v="15"/>
    <n v="12234.43"/>
    <x v="7"/>
  </r>
  <r>
    <x v="18"/>
    <s v="Stina Alm"/>
    <x v="1"/>
    <x v="497"/>
    <x v="497"/>
    <n v="18"/>
    <s v="KG"/>
    <n v="0"/>
    <n v="63"/>
    <n v="142.05000000000001"/>
    <n v="37"/>
    <n v="0"/>
    <n v="40502.79"/>
    <n v="1094.67"/>
    <x v="81"/>
    <n v="19704.060000000001"/>
    <x v="3"/>
  </r>
  <r>
    <x v="18"/>
    <s v="Stina Alm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7"/>
    <s v="Soner Kayıkçı"/>
    <x v="1"/>
    <x v="492"/>
    <x v="492"/>
    <n v="1"/>
    <s v="ADET"/>
    <n v="0"/>
    <n v="2"/>
    <n v="4"/>
    <n v="0"/>
    <n v="0"/>
    <n v="0"/>
    <n v="3500"/>
    <x v="108"/>
    <n v="3500"/>
    <x v="7"/>
  </r>
  <r>
    <x v="12"/>
    <s v="Stefan Zaugg"/>
    <x v="1"/>
    <x v="284"/>
    <x v="284"/>
    <n v="2"/>
    <s v="ADET"/>
    <n v="2"/>
    <n v="28"/>
    <n v="12"/>
    <n v="-17"/>
    <n v="0"/>
    <n v="0"/>
    <n v="15"/>
    <x v="29"/>
    <n v="30"/>
    <x v="7"/>
  </r>
  <r>
    <x v="19"/>
    <s v="Laurent MONTAGNER"/>
    <x v="1"/>
    <x v="377"/>
    <x v="377"/>
    <n v="2"/>
    <s v="ADET"/>
    <n v="2"/>
    <n v="9"/>
    <n v="20"/>
    <n v="11"/>
    <n v="0"/>
    <n v="164408.75"/>
    <n v="14946.25"/>
    <x v="58"/>
    <n v="29892.5"/>
    <x v="4"/>
  </r>
  <r>
    <x v="19"/>
    <s v="Laurent MONTAGNER"/>
    <x v="1"/>
    <x v="497"/>
    <x v="497"/>
    <n v="18"/>
    <s v="KG"/>
    <n v="0"/>
    <n v="63"/>
    <n v="142.05000000000001"/>
    <n v="37"/>
    <n v="0"/>
    <n v="40502.79"/>
    <n v="1094.67"/>
    <x v="81"/>
    <n v="19704.060000000001"/>
    <x v="3"/>
  </r>
  <r>
    <x v="15"/>
    <s v="Hayriye Güven"/>
    <x v="1"/>
    <x v="501"/>
    <x v="501"/>
    <n v="0.28000000000000003"/>
    <s v="ADET"/>
    <n v="0"/>
    <n v="0"/>
    <n v="1"/>
    <n v="0.28000000000000003"/>
    <n v="0"/>
    <n v="75.9696"/>
    <n v="271.32"/>
    <x v="8"/>
    <n v="75.9696"/>
    <x v="3"/>
  </r>
  <r>
    <x v="16"/>
    <s v="Laurent MONTAGNER"/>
    <x v="1"/>
    <x v="286"/>
    <x v="286"/>
    <n v="7"/>
    <s v="ADET"/>
    <n v="0"/>
    <n v="3000"/>
    <n v="0"/>
    <n v="-2847"/>
    <n v="0"/>
    <n v="0"/>
    <n v="0.7"/>
    <x v="2"/>
    <n v="4.8999999999999995"/>
    <x v="1"/>
  </r>
  <r>
    <x v="1"/>
    <s v="Laurent MONTAGNER"/>
    <x v="1"/>
    <x v="120"/>
    <x v="120"/>
    <n v="26"/>
    <s v="ADET"/>
    <n v="0"/>
    <n v="1100"/>
    <n v="780"/>
    <n v="-832"/>
    <n v="0"/>
    <n v="0"/>
    <n v="0.32"/>
    <x v="2"/>
    <n v="8.32"/>
    <x v="1"/>
  </r>
  <r>
    <x v="6"/>
    <s v="Stefan Zaugg"/>
    <x v="1"/>
    <x v="121"/>
    <x v="121"/>
    <n v="4"/>
    <s v="ADET"/>
    <n v="4"/>
    <n v="230"/>
    <n v="72"/>
    <n v="-172"/>
    <n v="0"/>
    <n v="0"/>
    <n v="225"/>
    <x v="45"/>
    <n v="900"/>
    <x v="2"/>
  </r>
  <r>
    <x v="3"/>
    <s v="Jan Urbanek"/>
    <x v="1"/>
    <x v="121"/>
    <x v="121"/>
    <n v="7"/>
    <s v="ADET"/>
    <n v="7"/>
    <n v="230"/>
    <n v="72"/>
    <n v="-172"/>
    <n v="0"/>
    <n v="0"/>
    <n v="225"/>
    <x v="45"/>
    <n v="1575"/>
    <x v="2"/>
  </r>
  <r>
    <x v="1"/>
    <s v="Laurent MONTAGNER"/>
    <x v="1"/>
    <x v="365"/>
    <x v="365"/>
    <n v="1"/>
    <s v="ADET"/>
    <n v="1"/>
    <n v="6"/>
    <n v="8"/>
    <n v="-3"/>
    <n v="10"/>
    <n v="0"/>
    <n v="583.77"/>
    <x v="88"/>
    <n v="583.77"/>
    <x v="1"/>
  </r>
  <r>
    <x v="1"/>
    <s v="Laurent MONTAGNER"/>
    <x v="1"/>
    <x v="367"/>
    <x v="367"/>
    <n v="1"/>
    <s v="ADET"/>
    <n v="1"/>
    <n v="14"/>
    <n v="15"/>
    <n v="-1"/>
    <n v="0"/>
    <n v="0"/>
    <n v="400"/>
    <x v="86"/>
    <n v="400"/>
    <x v="2"/>
  </r>
  <r>
    <x v="19"/>
    <s v="Laurent MONTAGNER"/>
    <x v="1"/>
    <x v="206"/>
    <x v="206"/>
    <n v="1"/>
    <s v="ADET"/>
    <n v="1"/>
    <n v="5"/>
    <n v="5"/>
    <n v="5"/>
    <n v="0"/>
    <n v="54497.75"/>
    <n v="10899.55"/>
    <x v="3"/>
    <n v="10899.55"/>
    <x v="4"/>
  </r>
  <r>
    <x v="12"/>
    <s v="Stefan Zaugg"/>
    <x v="1"/>
    <x v="373"/>
    <x v="373"/>
    <n v="1"/>
    <s v="ADET"/>
    <n v="1"/>
    <n v="11"/>
    <n v="4"/>
    <n v="-4"/>
    <n v="0"/>
    <n v="0"/>
    <n v="1678.88"/>
    <x v="67"/>
    <n v="1678.88"/>
    <x v="4"/>
  </r>
  <r>
    <x v="1"/>
    <s v="Laurent MONTAGNER"/>
    <x v="1"/>
    <x v="287"/>
    <x v="287"/>
    <n v="1"/>
    <s v="ADET"/>
    <n v="1"/>
    <n v="6"/>
    <n v="7"/>
    <n v="2"/>
    <n v="6"/>
    <n v="3200"/>
    <n v="1600"/>
    <x v="2"/>
    <n v="1600"/>
    <x v="4"/>
  </r>
  <r>
    <x v="6"/>
    <s v="Stefan Zaugg"/>
    <x v="1"/>
    <x v="498"/>
    <x v="498"/>
    <n v="1"/>
    <s v="ADET"/>
    <n v="1"/>
    <n v="8"/>
    <n v="4"/>
    <n v="-8"/>
    <n v="0"/>
    <n v="0"/>
    <n v="250"/>
    <x v="14"/>
    <n v="250"/>
    <x v="1"/>
  </r>
  <r>
    <x v="6"/>
    <s v="Stefan Zaugg"/>
    <x v="1"/>
    <x v="366"/>
    <x v="366"/>
    <n v="2"/>
    <s v="ADET"/>
    <n v="2"/>
    <n v="20.5"/>
    <n v="5"/>
    <n v="-9.5"/>
    <n v="0"/>
    <n v="0"/>
    <n v="175"/>
    <x v="56"/>
    <n v="350"/>
    <x v="1"/>
  </r>
  <r>
    <x v="9"/>
    <s v="Stefan Zaugg"/>
    <x v="1"/>
    <x v="114"/>
    <x v="114"/>
    <n v="4"/>
    <s v="ADET"/>
    <n v="4"/>
    <n v="13"/>
    <n v="22"/>
    <n v="-2"/>
    <n v="30"/>
    <n v="0"/>
    <n v="122.1"/>
    <x v="43"/>
    <n v="488.4"/>
    <x v="7"/>
  </r>
  <r>
    <x v="2"/>
    <s v="Jan Urbanek"/>
    <x v="1"/>
    <x v="206"/>
    <x v="206"/>
    <n v="1"/>
    <s v="ADET"/>
    <n v="0"/>
    <n v="5"/>
    <n v="5"/>
    <n v="5"/>
    <n v="0"/>
    <n v="54497.75"/>
    <n v="10899.55"/>
    <x v="3"/>
    <n v="10899.55"/>
    <x v="4"/>
  </r>
  <r>
    <x v="13"/>
    <s v="Volkan Batkan"/>
    <x v="1"/>
    <x v="287"/>
    <x v="287"/>
    <n v="1"/>
    <s v="ADET"/>
    <n v="1"/>
    <n v="6"/>
    <n v="7"/>
    <n v="2"/>
    <n v="6"/>
    <n v="3200"/>
    <n v="1600"/>
    <x v="2"/>
    <n v="1600"/>
    <x v="4"/>
  </r>
  <r>
    <x v="13"/>
    <s v="Volkan Batkan"/>
    <x v="1"/>
    <x v="366"/>
    <x v="366"/>
    <n v="2"/>
    <s v="ADET"/>
    <n v="2"/>
    <n v="20.5"/>
    <n v="5"/>
    <n v="-9.5"/>
    <n v="0"/>
    <n v="0"/>
    <n v="175"/>
    <x v="56"/>
    <n v="350"/>
    <x v="1"/>
  </r>
  <r>
    <x v="13"/>
    <s v="Volkan Batkan"/>
    <x v="1"/>
    <x v="116"/>
    <x v="116"/>
    <n v="0.05"/>
    <s v="METRE"/>
    <n v="0"/>
    <n v="0"/>
    <n v="0"/>
    <n v="1.8000000000000003"/>
    <n v="0"/>
    <n v="9.0000000000000018"/>
    <n v="5"/>
    <x v="6"/>
    <n v="0.25"/>
    <x v="7"/>
  </r>
  <r>
    <x v="13"/>
    <s v="Volkan Batkan"/>
    <x v="1"/>
    <x v="374"/>
    <x v="374"/>
    <n v="1"/>
    <s v="ADET"/>
    <n v="1"/>
    <n v="8"/>
    <n v="9"/>
    <n v="-31"/>
    <n v="36"/>
    <n v="0"/>
    <n v="101.4"/>
    <x v="90"/>
    <n v="101.4"/>
    <x v="7"/>
  </r>
  <r>
    <x v="13"/>
    <s v="Volkan Batkan"/>
    <x v="1"/>
    <x v="373"/>
    <x v="373"/>
    <n v="1"/>
    <s v="ADET"/>
    <n v="1"/>
    <n v="11"/>
    <n v="4"/>
    <n v="-4"/>
    <n v="0"/>
    <n v="0"/>
    <n v="1678.88"/>
    <x v="67"/>
    <n v="1678.88"/>
    <x v="4"/>
  </r>
  <r>
    <x v="8"/>
    <s v="Jan Urbanek"/>
    <x v="1"/>
    <x v="373"/>
    <x v="373"/>
    <n v="1"/>
    <s v="ADET"/>
    <n v="1"/>
    <n v="11"/>
    <n v="4"/>
    <n v="-4"/>
    <n v="0"/>
    <n v="0"/>
    <n v="1678.88"/>
    <x v="67"/>
    <n v="1678.88"/>
    <x v="4"/>
  </r>
  <r>
    <x v="6"/>
    <s v="Stefan Zaugg"/>
    <x v="1"/>
    <x v="287"/>
    <x v="287"/>
    <n v="1"/>
    <s v="ADET"/>
    <n v="1"/>
    <n v="6"/>
    <n v="7"/>
    <n v="2"/>
    <n v="6"/>
    <n v="3200"/>
    <n v="1600"/>
    <x v="2"/>
    <n v="1600"/>
    <x v="4"/>
  </r>
  <r>
    <x v="9"/>
    <s v="Stefan Zaugg"/>
    <x v="1"/>
    <x v="282"/>
    <x v="282"/>
    <n v="1"/>
    <s v="ADET"/>
    <n v="1"/>
    <n v="24"/>
    <n v="4"/>
    <n v="-17"/>
    <n v="0"/>
    <n v="0"/>
    <n v="625"/>
    <x v="14"/>
    <n v="625"/>
    <x v="1"/>
  </r>
  <r>
    <x v="13"/>
    <s v="Volkan Batkan"/>
    <x v="1"/>
    <x v="282"/>
    <x v="282"/>
    <n v="1"/>
    <s v="ADET"/>
    <n v="1"/>
    <n v="24"/>
    <n v="4"/>
    <n v="-17"/>
    <n v="0"/>
    <n v="0"/>
    <n v="625"/>
    <x v="14"/>
    <n v="625"/>
    <x v="1"/>
  </r>
  <r>
    <x v="18"/>
    <s v="Stina Alm"/>
    <x v="1"/>
    <x v="279"/>
    <x v="279"/>
    <n v="1"/>
    <s v="ADET"/>
    <n v="0"/>
    <n v="39"/>
    <n v="2"/>
    <n v="-19"/>
    <n v="0"/>
    <n v="0"/>
    <n v="65"/>
    <x v="12"/>
    <n v="65"/>
    <x v="4"/>
  </r>
  <r>
    <x v="6"/>
    <s v="Stefan Zaugg"/>
    <x v="1"/>
    <x v="114"/>
    <x v="114"/>
    <n v="4"/>
    <s v="ADET"/>
    <n v="4"/>
    <n v="13"/>
    <n v="22"/>
    <n v="-2"/>
    <n v="30"/>
    <n v="0"/>
    <n v="122.1"/>
    <x v="43"/>
    <n v="488.4"/>
    <x v="7"/>
  </r>
  <r>
    <x v="12"/>
    <s v="Stefan Zaugg"/>
    <x v="1"/>
    <x v="282"/>
    <x v="282"/>
    <n v="1"/>
    <s v="ADET"/>
    <n v="1"/>
    <n v="24"/>
    <n v="4"/>
    <n v="-17"/>
    <n v="0"/>
    <n v="0"/>
    <n v="625"/>
    <x v="14"/>
    <n v="625"/>
    <x v="1"/>
  </r>
  <r>
    <x v="19"/>
    <s v="Laurent MONTAGNER"/>
    <x v="1"/>
    <x v="365"/>
    <x v="365"/>
    <n v="1"/>
    <s v="ADET"/>
    <n v="1"/>
    <n v="6"/>
    <n v="8"/>
    <n v="-3"/>
    <n v="10"/>
    <n v="0"/>
    <n v="583.77"/>
    <x v="88"/>
    <n v="583.77"/>
    <x v="1"/>
  </r>
  <r>
    <x v="19"/>
    <s v="Laurent MONTAGNER"/>
    <x v="1"/>
    <x v="502"/>
    <x v="502"/>
    <n v="2"/>
    <s v="ADET"/>
    <n v="2"/>
    <n v="0"/>
    <n v="4"/>
    <n v="0"/>
    <n v="0"/>
    <n v="0"/>
    <n v="4532"/>
    <x v="85"/>
    <n v="9064"/>
    <x v="2"/>
  </r>
  <r>
    <x v="19"/>
    <s v="Laurent MONTAGNER"/>
    <x v="1"/>
    <x v="416"/>
    <x v="416"/>
    <n v="1"/>
    <s v="ADET"/>
    <n v="0"/>
    <n v="19"/>
    <n v="17"/>
    <n v="0"/>
    <n v="0"/>
    <n v="0"/>
    <n v="113.64"/>
    <x v="96"/>
    <n v="113.64"/>
    <x v="12"/>
  </r>
  <r>
    <x v="16"/>
    <s v="Laurent MONTAGNER"/>
    <x v="1"/>
    <x v="417"/>
    <x v="417"/>
    <n v="4"/>
    <s v="METRE"/>
    <n v="0"/>
    <n v="100"/>
    <n v="0"/>
    <n v="-227.63999999999987"/>
    <n v="214.64"/>
    <n v="0"/>
    <n v="50.81"/>
    <x v="97"/>
    <n v="203.24"/>
    <x v="6"/>
  </r>
  <r>
    <x v="19"/>
    <s v="Laurent MONTAGNER"/>
    <x v="1"/>
    <x v="417"/>
    <x v="417"/>
    <n v="5.5"/>
    <s v="METRE"/>
    <n v="0"/>
    <n v="100"/>
    <n v="0"/>
    <n v="-227.63999999999987"/>
    <n v="214.64"/>
    <n v="0"/>
    <n v="50.81"/>
    <x v="97"/>
    <n v="279.45500000000004"/>
    <x v="6"/>
  </r>
  <r>
    <x v="1"/>
    <s v="Laurent MONTAGNER"/>
    <x v="1"/>
    <x v="152"/>
    <x v="152"/>
    <n v="1"/>
    <s v="ADET"/>
    <n v="1"/>
    <n v="10"/>
    <n v="12"/>
    <n v="-1"/>
    <n v="4"/>
    <n v="0"/>
    <n v="1600"/>
    <x v="56"/>
    <n v="1600"/>
    <x v="7"/>
  </r>
  <r>
    <x v="1"/>
    <s v="Laurent MONTAGNER"/>
    <x v="1"/>
    <x v="82"/>
    <x v="82"/>
    <n v="1"/>
    <s v="ADET"/>
    <n v="1"/>
    <n v="12"/>
    <n v="13"/>
    <n v="-5"/>
    <n v="0"/>
    <n v="0"/>
    <n v="28339.38"/>
    <x v="27"/>
    <n v="28339.38"/>
    <x v="2"/>
  </r>
  <r>
    <x v="12"/>
    <s v="Stefan Zaugg"/>
    <x v="1"/>
    <x v="419"/>
    <x v="419"/>
    <n v="3"/>
    <s v="ADET"/>
    <n v="3"/>
    <n v="42"/>
    <n v="20"/>
    <n v="1"/>
    <n v="0"/>
    <n v="348.7"/>
    <n v="348.7"/>
    <x v="67"/>
    <n v="1046.0999999999999"/>
    <x v="2"/>
  </r>
  <r>
    <x v="6"/>
    <s v="Stefan Zaugg"/>
    <x v="1"/>
    <x v="149"/>
    <x v="149"/>
    <n v="1"/>
    <s v="ADET"/>
    <n v="1"/>
    <n v="10"/>
    <n v="2"/>
    <n v="-10"/>
    <n v="0"/>
    <n v="0"/>
    <n v="3400"/>
    <x v="52"/>
    <n v="3400"/>
    <x v="4"/>
  </r>
  <r>
    <x v="6"/>
    <s v="Stefan Zaugg"/>
    <x v="1"/>
    <x v="407"/>
    <x v="407"/>
    <n v="1"/>
    <s v="ADET"/>
    <n v="1"/>
    <n v="49"/>
    <n v="1.6000000000000014"/>
    <n v="-37.599999999999994"/>
    <n v="0"/>
    <n v="0"/>
    <n v="60"/>
    <x v="8"/>
    <n v="60"/>
    <x v="1"/>
  </r>
  <r>
    <x v="3"/>
    <s v="Jan Urbanek"/>
    <x v="1"/>
    <x v="407"/>
    <x v="407"/>
    <n v="1"/>
    <s v="ADET"/>
    <n v="1"/>
    <n v="49"/>
    <n v="1.6000000000000014"/>
    <n v="-37.599999999999994"/>
    <n v="0"/>
    <n v="0"/>
    <n v="60"/>
    <x v="8"/>
    <n v="60"/>
    <x v="1"/>
  </r>
  <r>
    <x v="13"/>
    <s v="Volkan Batkan"/>
    <x v="1"/>
    <x v="75"/>
    <x v="75"/>
    <n v="78"/>
    <s v="ADET"/>
    <n v="78"/>
    <n v="4000"/>
    <n v="138"/>
    <n v="-2738"/>
    <n v="0"/>
    <n v="0"/>
    <n v="0.93"/>
    <x v="5"/>
    <n v="72.540000000000006"/>
    <x v="1"/>
  </r>
  <r>
    <x v="9"/>
    <s v="Stefan Zaugg"/>
    <x v="1"/>
    <x v="77"/>
    <x v="77"/>
    <n v="0.2"/>
    <s v="KG"/>
    <n v="0.2"/>
    <n v="1.8"/>
    <n v="0.84999999999999831"/>
    <n v="-3.25"/>
    <n v="1.75"/>
    <n v="0"/>
    <n v="645.64"/>
    <x v="8"/>
    <n v="129.12800000000001"/>
    <x v="3"/>
  </r>
  <r>
    <x v="6"/>
    <s v="Stefan Zaugg"/>
    <x v="1"/>
    <x v="78"/>
    <x v="78"/>
    <n v="1.171"/>
    <s v="KG"/>
    <n v="1.171"/>
    <n v="0"/>
    <n v="65.031000000000006"/>
    <n v="17.948000000000004"/>
    <n v="0"/>
    <n v="6991.2844400000013"/>
    <n v="389.53"/>
    <x v="8"/>
    <n v="456.13963000000001"/>
    <x v="3"/>
  </r>
  <r>
    <x v="3"/>
    <s v="Jan Urbanek"/>
    <x v="1"/>
    <x v="78"/>
    <x v="78"/>
    <n v="1.4909999999999999"/>
    <s v="KG"/>
    <n v="1.4909999999999999"/>
    <n v="0"/>
    <n v="65.031000000000006"/>
    <n v="17.948000000000004"/>
    <n v="0"/>
    <n v="6991.2844400000013"/>
    <n v="389.53"/>
    <x v="8"/>
    <n v="580.78922999999986"/>
    <x v="3"/>
  </r>
  <r>
    <x v="1"/>
    <s v="Laurent MONTAGNER"/>
    <x v="1"/>
    <x v="78"/>
    <x v="78"/>
    <n v="2.5499999999999998"/>
    <s v="KG"/>
    <n v="2.5499999999999998"/>
    <n v="0"/>
    <n v="65.031000000000006"/>
    <n v="17.948000000000004"/>
    <n v="0"/>
    <n v="6991.2844400000013"/>
    <n v="389.53"/>
    <x v="8"/>
    <n v="993.30149999999981"/>
    <x v="3"/>
  </r>
  <r>
    <x v="16"/>
    <s v="Laurent MONTAGNER"/>
    <x v="1"/>
    <x v="152"/>
    <x v="152"/>
    <n v="1"/>
    <s v="ADET"/>
    <n v="0"/>
    <n v="10"/>
    <n v="12"/>
    <n v="-1"/>
    <n v="4"/>
    <n v="0"/>
    <n v="1600"/>
    <x v="56"/>
    <n v="1600"/>
    <x v="7"/>
  </r>
  <r>
    <x v="12"/>
    <s v="Stefan Zaugg"/>
    <x v="1"/>
    <x v="503"/>
    <x v="503"/>
    <n v="1"/>
    <s v="ADET"/>
    <n v="1"/>
    <n v="2"/>
    <n v="2"/>
    <n v="-2"/>
    <n v="0"/>
    <n v="0"/>
    <n v="400"/>
    <x v="92"/>
    <n v="400"/>
    <x v="4"/>
  </r>
  <r>
    <x v="6"/>
    <s v="Stefan Zaugg"/>
    <x v="1"/>
    <x v="504"/>
    <x v="504"/>
    <n v="1"/>
    <s v="ADET"/>
    <n v="1"/>
    <n v="2"/>
    <n v="2"/>
    <n v="-2"/>
    <n v="0"/>
    <n v="0"/>
    <n v="400"/>
    <x v="92"/>
    <n v="400"/>
    <x v="4"/>
  </r>
  <r>
    <x v="9"/>
    <s v="Stefan Zaugg"/>
    <x v="1"/>
    <x v="82"/>
    <x v="82"/>
    <n v="1"/>
    <s v="ADET"/>
    <n v="1"/>
    <n v="12"/>
    <n v="13"/>
    <n v="-5"/>
    <n v="0"/>
    <n v="0"/>
    <n v="28339.38"/>
    <x v="27"/>
    <n v="28339.38"/>
    <x v="2"/>
  </r>
  <r>
    <x v="13"/>
    <s v="Volkan Batkan"/>
    <x v="1"/>
    <x v="431"/>
    <x v="431"/>
    <n v="1"/>
    <s v="ADET"/>
    <n v="1"/>
    <n v="19"/>
    <n v="4"/>
    <n v="-12"/>
    <n v="0"/>
    <n v="0"/>
    <n v="85"/>
    <x v="12"/>
    <n v="85"/>
    <x v="4"/>
  </r>
  <r>
    <x v="13"/>
    <s v="Volkan Batkan"/>
    <x v="1"/>
    <x v="484"/>
    <x v="484"/>
    <n v="1"/>
    <s v="ADET"/>
    <n v="1"/>
    <n v="4"/>
    <n v="3"/>
    <n v="-3"/>
    <n v="0"/>
    <n v="0"/>
    <n v="200"/>
    <x v="62"/>
    <n v="200"/>
    <x v="4"/>
  </r>
  <r>
    <x v="13"/>
    <s v="Volkan Batkan"/>
    <x v="1"/>
    <x v="78"/>
    <x v="78"/>
    <n v="1.504"/>
    <s v="KG"/>
    <n v="1.504"/>
    <n v="0"/>
    <n v="65.031000000000006"/>
    <n v="17.948000000000004"/>
    <n v="0"/>
    <n v="6991.2844400000013"/>
    <n v="389.53"/>
    <x v="8"/>
    <n v="585.85311999999999"/>
    <x v="3"/>
  </r>
  <r>
    <x v="18"/>
    <s v="Stina Alm"/>
    <x v="1"/>
    <x v="419"/>
    <x v="419"/>
    <n v="4"/>
    <s v="ADET"/>
    <n v="0"/>
    <n v="42"/>
    <n v="20"/>
    <n v="1"/>
    <n v="0"/>
    <n v="348.7"/>
    <n v="348.7"/>
    <x v="67"/>
    <n v="1394.8"/>
    <x v="2"/>
  </r>
  <r>
    <x v="16"/>
    <s v="Laurent MONTAGNER"/>
    <x v="1"/>
    <x v="82"/>
    <x v="82"/>
    <n v="1"/>
    <s v="ADET"/>
    <n v="1"/>
    <n v="12"/>
    <n v="13"/>
    <n v="-5"/>
    <n v="0"/>
    <n v="0"/>
    <n v="28339.38"/>
    <x v="27"/>
    <n v="28339.38"/>
    <x v="2"/>
  </r>
  <r>
    <x v="6"/>
    <s v="Stefan Zaugg"/>
    <x v="1"/>
    <x v="418"/>
    <x v="418"/>
    <n v="2"/>
    <s v="ADET"/>
    <n v="2"/>
    <n v="4"/>
    <n v="12"/>
    <n v="-4"/>
    <n v="0"/>
    <n v="0"/>
    <n v="1028.73"/>
    <x v="67"/>
    <n v="2057.46"/>
    <x v="4"/>
  </r>
  <r>
    <x v="10"/>
    <s v="Murat Taşdemir"/>
    <x v="1"/>
    <x v="78"/>
    <x v="78"/>
    <n v="1.6700000000000002"/>
    <s v="KG"/>
    <n v="1.6700000000000002"/>
    <n v="0"/>
    <n v="65.031000000000006"/>
    <n v="17.948000000000004"/>
    <n v="0"/>
    <n v="6991.2844400000013"/>
    <n v="389.53"/>
    <x v="8"/>
    <n v="650.51509999999996"/>
    <x v="3"/>
  </r>
  <r>
    <x v="13"/>
    <s v="Volkan Batkan"/>
    <x v="1"/>
    <x v="81"/>
    <x v="81"/>
    <n v="1"/>
    <s v="ADET"/>
    <n v="1"/>
    <n v="2"/>
    <n v="8"/>
    <n v="0"/>
    <n v="11"/>
    <n v="0"/>
    <n v="675"/>
    <x v="20"/>
    <n v="675"/>
    <x v="2"/>
  </r>
  <r>
    <x v="9"/>
    <s v="Stefan Zaugg"/>
    <x v="1"/>
    <x v="406"/>
    <x v="406"/>
    <n v="3"/>
    <s v="METRE"/>
    <n v="3"/>
    <n v="118"/>
    <n v="21"/>
    <n v="-115"/>
    <n v="0"/>
    <n v="0"/>
    <n v="14.33"/>
    <x v="23"/>
    <n v="42.99"/>
    <x v="7"/>
  </r>
  <r>
    <x v="6"/>
    <s v="Stefan Zaugg"/>
    <x v="1"/>
    <x v="150"/>
    <x v="150"/>
    <n v="2"/>
    <s v="ADET"/>
    <n v="2"/>
    <n v="69"/>
    <n v="22"/>
    <n v="-38"/>
    <n v="0"/>
    <n v="0"/>
    <n v="640"/>
    <x v="29"/>
    <n v="1280"/>
    <x v="7"/>
  </r>
  <r>
    <x v="9"/>
    <s v="Stefan Zaugg"/>
    <x v="1"/>
    <x v="228"/>
    <x v="228"/>
    <n v="1"/>
    <s v="ADET"/>
    <n v="1"/>
    <n v="18"/>
    <n v="10"/>
    <n v="-5"/>
    <n v="0"/>
    <n v="0"/>
    <n v="1094.4000000000001"/>
    <x v="23"/>
    <n v="1094.4000000000001"/>
    <x v="7"/>
  </r>
  <r>
    <x v="10"/>
    <s v="Murat Taşdemir"/>
    <x v="1"/>
    <x v="420"/>
    <x v="420"/>
    <n v="2"/>
    <s v="ADET"/>
    <n v="0"/>
    <n v="115"/>
    <n v="28"/>
    <n v="-71"/>
    <n v="0"/>
    <n v="0"/>
    <n v="250"/>
    <x v="1"/>
    <n v="500"/>
    <x v="1"/>
  </r>
  <r>
    <x v="6"/>
    <s v="Stefan Zaugg"/>
    <x v="1"/>
    <x v="414"/>
    <x v="414"/>
    <n v="1"/>
    <s v="ADET"/>
    <n v="0"/>
    <n v="27"/>
    <n v="4"/>
    <n v="-20"/>
    <n v="0"/>
    <n v="0"/>
    <n v="287.01"/>
    <x v="67"/>
    <n v="287.01"/>
    <x v="4"/>
  </r>
  <r>
    <x v="10"/>
    <s v="Murat Taşdemir"/>
    <x v="1"/>
    <x v="407"/>
    <x v="407"/>
    <n v="1.35"/>
    <s v="ADET"/>
    <n v="1.35"/>
    <n v="49"/>
    <n v="1.6000000000000014"/>
    <n v="-37.599999999999994"/>
    <n v="0"/>
    <n v="0"/>
    <n v="60"/>
    <x v="8"/>
    <n v="81"/>
    <x v="1"/>
  </r>
  <r>
    <x v="19"/>
    <s v="Laurent MONTAGNER"/>
    <x v="1"/>
    <x v="420"/>
    <x v="420"/>
    <n v="4"/>
    <s v="ADET"/>
    <n v="4"/>
    <n v="115"/>
    <n v="28"/>
    <n v="-71"/>
    <n v="0"/>
    <n v="0"/>
    <n v="250"/>
    <x v="1"/>
    <n v="1000"/>
    <x v="1"/>
  </r>
  <r>
    <x v="16"/>
    <s v="Laurent MONTAGNER"/>
    <x v="1"/>
    <x v="78"/>
    <x v="78"/>
    <n v="2.0499999999999998"/>
    <s v="KG"/>
    <n v="2.0499999999999998"/>
    <n v="0"/>
    <n v="65.031000000000006"/>
    <n v="17.948000000000004"/>
    <n v="0"/>
    <n v="6991.2844400000013"/>
    <n v="389.53"/>
    <x v="8"/>
    <n v="798.53649999999982"/>
    <x v="3"/>
  </r>
  <r>
    <x v="19"/>
    <s v="Laurent MONTAGNER"/>
    <x v="1"/>
    <x v="78"/>
    <x v="78"/>
    <n v="2.5500000000000003"/>
    <s v="KG"/>
    <n v="2.5500000000000003"/>
    <n v="0"/>
    <n v="65.031000000000006"/>
    <n v="17.948000000000004"/>
    <n v="0"/>
    <n v="6991.2844400000013"/>
    <n v="389.53"/>
    <x v="8"/>
    <n v="993.30150000000003"/>
    <x v="3"/>
  </r>
  <r>
    <x v="16"/>
    <s v="Laurent MONTAGNER"/>
    <x v="1"/>
    <x v="407"/>
    <x v="407"/>
    <n v="1"/>
    <s v="ADET"/>
    <n v="1"/>
    <n v="49"/>
    <n v="1.6000000000000014"/>
    <n v="-37.599999999999994"/>
    <n v="0"/>
    <n v="0"/>
    <n v="60"/>
    <x v="8"/>
    <n v="60"/>
    <x v="1"/>
  </r>
  <r>
    <x v="19"/>
    <s v="Laurent MONTAGNER"/>
    <x v="1"/>
    <x v="407"/>
    <x v="407"/>
    <n v="1.35"/>
    <s v="ADET"/>
    <n v="1.35"/>
    <n v="49"/>
    <n v="1.6000000000000014"/>
    <n v="-37.599999999999994"/>
    <n v="0"/>
    <n v="0"/>
    <n v="60"/>
    <x v="8"/>
    <n v="81"/>
    <x v="1"/>
  </r>
  <r>
    <x v="8"/>
    <s v="Jan Urbanek"/>
    <x v="1"/>
    <x v="405"/>
    <x v="405"/>
    <n v="1"/>
    <s v="ADET"/>
    <n v="1"/>
    <n v="5"/>
    <n v="4"/>
    <n v="2"/>
    <n v="0"/>
    <n v="3446.24"/>
    <n v="1723.12"/>
    <x v="67"/>
    <n v="1723.12"/>
    <x v="4"/>
  </r>
  <r>
    <x v="9"/>
    <s v="Stefan Zaugg"/>
    <x v="1"/>
    <x v="257"/>
    <x v="257"/>
    <n v="1.5"/>
    <s v="ADET"/>
    <n v="1.5"/>
    <n v="75"/>
    <n v="42.700000000000159"/>
    <n v="-48.04"/>
    <n v="0"/>
    <n v="0"/>
    <n v="15"/>
    <x v="2"/>
    <n v="22.5"/>
    <x v="1"/>
  </r>
  <r>
    <x v="13"/>
    <s v="Volkan Batkan"/>
    <x v="1"/>
    <x v="257"/>
    <x v="257"/>
    <n v="1.5"/>
    <s v="ADET"/>
    <n v="1.5"/>
    <n v="75"/>
    <n v="42.700000000000159"/>
    <n v="-48.04"/>
    <n v="0"/>
    <n v="0"/>
    <n v="15"/>
    <x v="2"/>
    <n v="22.5"/>
    <x v="1"/>
  </r>
  <r>
    <x v="19"/>
    <s v="Laurent MONTAGNER"/>
    <x v="1"/>
    <x v="467"/>
    <x v="467"/>
    <n v="1"/>
    <s v="ADET"/>
    <n v="1"/>
    <n v="1"/>
    <n v="4"/>
    <n v="13"/>
    <n v="0"/>
    <n v="168880.14"/>
    <n v="12990.78"/>
    <x v="65"/>
    <n v="12990.78"/>
    <x v="2"/>
  </r>
  <r>
    <x v="19"/>
    <s v="Laurent MONTAGNER"/>
    <x v="1"/>
    <x v="176"/>
    <x v="176"/>
    <n v="1"/>
    <s v="ADET"/>
    <n v="1"/>
    <n v="9"/>
    <n v="8"/>
    <n v="-1"/>
    <n v="5"/>
    <n v="0"/>
    <n v="1200"/>
    <x v="56"/>
    <n v="1200"/>
    <x v="4"/>
  </r>
  <r>
    <x v="19"/>
    <s v="Laurent MONTAGNER"/>
    <x v="1"/>
    <x v="319"/>
    <x v="319"/>
    <n v="1"/>
    <s v="ADET"/>
    <n v="1"/>
    <n v="9"/>
    <n v="8"/>
    <n v="4"/>
    <n v="0"/>
    <n v="1950.24"/>
    <n v="487.56"/>
    <x v="53"/>
    <n v="487.56"/>
    <x v="2"/>
  </r>
  <r>
    <x v="19"/>
    <s v="Laurent MONTAGNER"/>
    <x v="1"/>
    <x v="318"/>
    <x v="318"/>
    <n v="2"/>
    <s v="ADET"/>
    <n v="2"/>
    <n v="35"/>
    <n v="14"/>
    <n v="-26"/>
    <n v="15"/>
    <n v="0"/>
    <n v="43.75"/>
    <x v="8"/>
    <n v="87.5"/>
    <x v="1"/>
  </r>
  <r>
    <x v="1"/>
    <s v="Laurent MONTAGNER"/>
    <x v="1"/>
    <x v="53"/>
    <x v="53"/>
    <n v="3.4400000000000004"/>
    <s v="KG"/>
    <n v="3.4400000000000004"/>
    <n v="66"/>
    <n v="36.349999999999952"/>
    <n v="-17.090000000000018"/>
    <n v="0"/>
    <n v="0"/>
    <n v="129.63"/>
    <x v="2"/>
    <n v="445.92720000000003"/>
    <x v="3"/>
  </r>
  <r>
    <x v="1"/>
    <s v="Laurent MONTAGNER"/>
    <x v="1"/>
    <x v="404"/>
    <x v="404"/>
    <n v="2"/>
    <s v="ADET"/>
    <n v="2"/>
    <n v="3"/>
    <n v="12"/>
    <n v="25"/>
    <n v="0"/>
    <n v="11103.25"/>
    <n v="444.13"/>
    <x v="65"/>
    <n v="888.26"/>
    <x v="2"/>
  </r>
  <r>
    <x v="19"/>
    <s v="Laurent MONTAGNER"/>
    <x v="1"/>
    <x v="464"/>
    <x v="464"/>
    <n v="1"/>
    <s v="ADET"/>
    <n v="1"/>
    <n v="14"/>
    <n v="3"/>
    <n v="-8"/>
    <n v="0"/>
    <n v="0"/>
    <n v="1678.88"/>
    <x v="67"/>
    <n v="1678.88"/>
    <x v="4"/>
  </r>
  <r>
    <x v="1"/>
    <s v="Laurent MONTAGNER"/>
    <x v="1"/>
    <x v="319"/>
    <x v="319"/>
    <n v="1"/>
    <s v="ADET"/>
    <n v="1"/>
    <n v="9"/>
    <n v="8"/>
    <n v="4"/>
    <n v="0"/>
    <n v="1950.24"/>
    <n v="487.56"/>
    <x v="53"/>
    <n v="487.56"/>
    <x v="2"/>
  </r>
  <r>
    <x v="1"/>
    <s v="Laurent MONTAGNER"/>
    <x v="1"/>
    <x v="464"/>
    <x v="464"/>
    <n v="1"/>
    <s v="ADET"/>
    <n v="1"/>
    <n v="14"/>
    <n v="3"/>
    <n v="-8"/>
    <n v="0"/>
    <n v="0"/>
    <n v="1678.88"/>
    <x v="67"/>
    <n v="1678.88"/>
    <x v="4"/>
  </r>
  <r>
    <x v="12"/>
    <s v="Stefan Zaugg"/>
    <x v="1"/>
    <x v="52"/>
    <x v="52"/>
    <n v="19.98"/>
    <s v="KG"/>
    <n v="19.98"/>
    <n v="289.7"/>
    <n v="148.12000000000026"/>
    <n v="-230.76999999999987"/>
    <n v="289.7"/>
    <n v="0"/>
    <n v="96.37"/>
    <x v="8"/>
    <n v="1925.4726000000001"/>
    <x v="3"/>
  </r>
  <r>
    <x v="12"/>
    <s v="Stefan Zaugg"/>
    <x v="1"/>
    <x v="319"/>
    <x v="319"/>
    <n v="1"/>
    <s v="ADET"/>
    <n v="1"/>
    <n v="9"/>
    <n v="8"/>
    <n v="4"/>
    <n v="0"/>
    <n v="1950.24"/>
    <n v="487.56"/>
    <x v="53"/>
    <n v="487.56"/>
    <x v="2"/>
  </r>
  <r>
    <x v="16"/>
    <s v="Laurent MONTAGNER"/>
    <x v="1"/>
    <x v="53"/>
    <x v="53"/>
    <n v="8.9700000000000006"/>
    <s v="KG"/>
    <n v="8.9700000000000006"/>
    <n v="66"/>
    <n v="36.349999999999952"/>
    <n v="-17.090000000000018"/>
    <n v="0"/>
    <n v="0"/>
    <n v="129.63"/>
    <x v="2"/>
    <n v="1162.7811000000002"/>
    <x v="3"/>
  </r>
  <r>
    <x v="6"/>
    <s v="Stefan Zaugg"/>
    <x v="1"/>
    <x v="467"/>
    <x v="467"/>
    <n v="1"/>
    <s v="ADET"/>
    <n v="1"/>
    <n v="1"/>
    <n v="4"/>
    <n v="13"/>
    <n v="0"/>
    <n v="168880.14"/>
    <n v="12990.78"/>
    <x v="65"/>
    <n v="12990.78"/>
    <x v="2"/>
  </r>
  <r>
    <x v="19"/>
    <s v="Laurent MONTAGNER"/>
    <x v="1"/>
    <x v="476"/>
    <x v="476"/>
    <n v="5.9"/>
    <s v="KG"/>
    <n v="0"/>
    <n v="100"/>
    <n v="197.39999999999986"/>
    <n v="-105.59999999999998"/>
    <n v="100"/>
    <n v="0"/>
    <n v="232.75"/>
    <x v="8"/>
    <n v="1373.2250000000001"/>
    <x v="3"/>
  </r>
  <r>
    <x v="12"/>
    <s v="Stefan Zaugg"/>
    <x v="1"/>
    <x v="66"/>
    <x v="66"/>
    <n v="1"/>
    <s v="ADET"/>
    <n v="1"/>
    <n v="13"/>
    <n v="6"/>
    <n v="0"/>
    <n v="0"/>
    <n v="0"/>
    <n v="1145.83"/>
    <x v="16"/>
    <n v="1145.83"/>
    <x v="2"/>
  </r>
  <r>
    <x v="17"/>
    <s v="Soner Kayıkçı"/>
    <x v="1"/>
    <x v="271"/>
    <x v="271"/>
    <n v="2"/>
    <s v="ADET"/>
    <n v="0"/>
    <n v="288"/>
    <n v="94"/>
    <n v="-260"/>
    <n v="0"/>
    <n v="0"/>
    <n v="4"/>
    <x v="29"/>
    <n v="8"/>
    <x v="7"/>
  </r>
  <r>
    <x v="19"/>
    <s v="Laurent MONTAGNER"/>
    <x v="1"/>
    <x v="271"/>
    <x v="271"/>
    <n v="2"/>
    <s v="ADET"/>
    <n v="0"/>
    <n v="288"/>
    <n v="94"/>
    <n v="-260"/>
    <n v="0"/>
    <n v="0"/>
    <n v="4"/>
    <x v="29"/>
    <n v="8"/>
    <x v="7"/>
  </r>
  <r>
    <x v="18"/>
    <s v="Stina Alm"/>
    <x v="1"/>
    <x v="272"/>
    <x v="272"/>
    <n v="1"/>
    <s v="ADET"/>
    <n v="0"/>
    <n v="23"/>
    <n v="8"/>
    <n v="-50"/>
    <n v="40"/>
    <n v="0"/>
    <n v="312"/>
    <x v="56"/>
    <n v="312"/>
    <x v="2"/>
  </r>
  <r>
    <x v="18"/>
    <s v="Stina Alm"/>
    <x v="1"/>
    <x v="275"/>
    <x v="275"/>
    <n v="22"/>
    <s v="MT"/>
    <n v="0"/>
    <n v="200"/>
    <n v="86"/>
    <n v="220"/>
    <n v="0"/>
    <n v="23100"/>
    <n v="105"/>
    <x v="78"/>
    <n v="2310"/>
    <x v="6"/>
  </r>
  <r>
    <x v="19"/>
    <s v="Laurent MONTAGNER"/>
    <x v="1"/>
    <x v="275"/>
    <x v="275"/>
    <n v="25"/>
    <s v="MT"/>
    <n v="0"/>
    <n v="200"/>
    <n v="86"/>
    <n v="220"/>
    <n v="0"/>
    <n v="23100"/>
    <n v="105"/>
    <x v="78"/>
    <n v="2625"/>
    <x v="6"/>
  </r>
  <r>
    <x v="16"/>
    <s v="Laurent MONTAGNER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17"/>
    <s v="Soner Kayıkçı"/>
    <x v="1"/>
    <x v="354"/>
    <x v="354"/>
    <n v="2"/>
    <s v="ADET"/>
    <n v="0"/>
    <n v="100"/>
    <n v="52"/>
    <n v="-52"/>
    <n v="0"/>
    <n v="0"/>
    <n v="1.1299999999999999"/>
    <x v="23"/>
    <n v="2.2599999999999998"/>
    <x v="7"/>
  </r>
  <r>
    <x v="19"/>
    <s v="Laurent MONTAGNER"/>
    <x v="1"/>
    <x v="505"/>
    <x v="505"/>
    <n v="1"/>
    <s v="ADET"/>
    <n v="1"/>
    <n v="1"/>
    <n v="2"/>
    <n v="-1"/>
    <n v="0"/>
    <n v="0"/>
    <n v="1050"/>
    <x v="38"/>
    <n v="1050"/>
    <x v="4"/>
  </r>
  <r>
    <x v="19"/>
    <s v="Laurent MONTAGNER"/>
    <x v="1"/>
    <x v="495"/>
    <x v="495"/>
    <n v="2"/>
    <s v="ADET"/>
    <n v="2"/>
    <n v="28"/>
    <n v="6"/>
    <n v="-8"/>
    <n v="0"/>
    <n v="0"/>
    <n v="50.41"/>
    <x v="67"/>
    <n v="100.82"/>
    <x v="2"/>
  </r>
  <r>
    <x v="17"/>
    <s v="Soner Kayıkçı"/>
    <x v="1"/>
    <x v="495"/>
    <x v="495"/>
    <n v="2"/>
    <s v="ADET"/>
    <n v="0"/>
    <n v="28"/>
    <n v="6"/>
    <n v="-8"/>
    <n v="0"/>
    <n v="0"/>
    <n v="50.41"/>
    <x v="67"/>
    <n v="100.82"/>
    <x v="2"/>
  </r>
  <r>
    <x v="9"/>
    <s v="Stefan Zaugg"/>
    <x v="1"/>
    <x v="272"/>
    <x v="272"/>
    <n v="1"/>
    <s v="ADET"/>
    <n v="1"/>
    <n v="23"/>
    <n v="8"/>
    <n v="-50"/>
    <n v="40"/>
    <n v="0"/>
    <n v="312"/>
    <x v="56"/>
    <n v="312"/>
    <x v="2"/>
  </r>
  <r>
    <x v="4"/>
    <s v="Jan Urbanek"/>
    <x v="1"/>
    <x v="495"/>
    <x v="495"/>
    <n v="2"/>
    <s v="ADET"/>
    <n v="0"/>
    <n v="28"/>
    <n v="6"/>
    <n v="-8"/>
    <n v="0"/>
    <n v="0"/>
    <n v="50.41"/>
    <x v="67"/>
    <n v="100.82"/>
    <x v="2"/>
  </r>
  <r>
    <x v="3"/>
    <s v="Jan Urbanek"/>
    <x v="1"/>
    <x v="495"/>
    <x v="495"/>
    <n v="2"/>
    <s v="ADET"/>
    <n v="0"/>
    <n v="28"/>
    <n v="6"/>
    <n v="-8"/>
    <n v="0"/>
    <n v="0"/>
    <n v="50.41"/>
    <x v="67"/>
    <n v="100.82"/>
    <x v="2"/>
  </r>
  <r>
    <x v="16"/>
    <s v="Laurent MONTAGNER"/>
    <x v="1"/>
    <x v="270"/>
    <x v="270"/>
    <n v="2"/>
    <s v="ADET"/>
    <n v="0"/>
    <n v="15"/>
    <n v="11"/>
    <n v="-1"/>
    <n v="0"/>
    <n v="0"/>
    <n v="237.5"/>
    <x v="1"/>
    <n v="475"/>
    <x v="1"/>
  </r>
  <r>
    <x v="16"/>
    <s v="Laurent MONTAGNER"/>
    <x v="1"/>
    <x v="272"/>
    <x v="272"/>
    <n v="1"/>
    <s v="ADET"/>
    <n v="0"/>
    <n v="23"/>
    <n v="8"/>
    <n v="-50"/>
    <n v="40"/>
    <n v="0"/>
    <n v="312"/>
    <x v="56"/>
    <n v="312"/>
    <x v="2"/>
  </r>
  <r>
    <x v="17"/>
    <s v="Soner Kayıkçı"/>
    <x v="1"/>
    <x v="272"/>
    <x v="272"/>
    <n v="1"/>
    <s v="ADET"/>
    <n v="0"/>
    <n v="23"/>
    <n v="8"/>
    <n v="-50"/>
    <n v="40"/>
    <n v="0"/>
    <n v="312"/>
    <x v="56"/>
    <n v="312"/>
    <x v="2"/>
  </r>
  <r>
    <x v="17"/>
    <s v="Soner Kayıkçı"/>
    <x v="1"/>
    <x v="273"/>
    <x v="273"/>
    <n v="1"/>
    <s v="ADET"/>
    <n v="0"/>
    <n v="25"/>
    <n v="3"/>
    <n v="-11"/>
    <n v="0"/>
    <n v="0"/>
    <n v="360.05"/>
    <x v="67"/>
    <n v="360.05"/>
    <x v="4"/>
  </r>
  <r>
    <x v="16"/>
    <s v="Laurent MONTAGNER"/>
    <x v="1"/>
    <x v="273"/>
    <x v="273"/>
    <n v="1"/>
    <s v="ADET"/>
    <n v="0"/>
    <n v="25"/>
    <n v="3"/>
    <n v="-11"/>
    <n v="0"/>
    <n v="0"/>
    <n v="360.05"/>
    <x v="67"/>
    <n v="360.05"/>
    <x v="4"/>
  </r>
  <r>
    <x v="16"/>
    <s v="Laurent MONTAGNER"/>
    <x v="1"/>
    <x v="495"/>
    <x v="495"/>
    <n v="2"/>
    <s v="ADET"/>
    <n v="0"/>
    <n v="28"/>
    <n v="6"/>
    <n v="-8"/>
    <n v="0"/>
    <n v="0"/>
    <n v="50.41"/>
    <x v="67"/>
    <n v="100.82"/>
    <x v="2"/>
  </r>
  <r>
    <x v="18"/>
    <s v="Stina Alm"/>
    <x v="1"/>
    <x v="273"/>
    <x v="273"/>
    <n v="1"/>
    <s v="ADET"/>
    <n v="0"/>
    <n v="25"/>
    <n v="3"/>
    <n v="-11"/>
    <n v="0"/>
    <n v="0"/>
    <n v="360.05"/>
    <x v="67"/>
    <n v="360.05"/>
    <x v="4"/>
  </r>
  <r>
    <x v="17"/>
    <s v="Soner Kayıkçı"/>
    <x v="1"/>
    <x v="275"/>
    <x v="275"/>
    <n v="27"/>
    <s v="MT"/>
    <n v="0"/>
    <n v="200"/>
    <n v="86"/>
    <n v="220"/>
    <n v="0"/>
    <n v="23100"/>
    <n v="105"/>
    <x v="78"/>
    <n v="2835"/>
    <x v="6"/>
  </r>
  <r>
    <x v="16"/>
    <s v="Laurent MONTAGNER"/>
    <x v="1"/>
    <x v="275"/>
    <x v="275"/>
    <n v="22"/>
    <s v="MT"/>
    <n v="0"/>
    <n v="200"/>
    <n v="86"/>
    <n v="220"/>
    <n v="0"/>
    <n v="23100"/>
    <n v="105"/>
    <x v="78"/>
    <n v="2310"/>
    <x v="6"/>
  </r>
  <r>
    <x v="1"/>
    <s v="Laurent MONTAGNER"/>
    <x v="1"/>
    <x v="353"/>
    <x v="353"/>
    <n v="1"/>
    <s v="ADET"/>
    <n v="1"/>
    <n v="7"/>
    <n v="4"/>
    <n v="-4"/>
    <n v="0"/>
    <n v="0"/>
    <n v="8495.43"/>
    <x v="53"/>
    <n v="8495.43"/>
    <x v="2"/>
  </r>
  <r>
    <x v="13"/>
    <s v="Volkan Batkan"/>
    <x v="1"/>
    <x v="270"/>
    <x v="270"/>
    <n v="1"/>
    <s v="ADET"/>
    <n v="1"/>
    <n v="15"/>
    <n v="11"/>
    <n v="-1"/>
    <n v="0"/>
    <n v="0"/>
    <n v="237.5"/>
    <x v="1"/>
    <n v="237.5"/>
    <x v="1"/>
  </r>
  <r>
    <x v="6"/>
    <s v="Stefan Zaugg"/>
    <x v="1"/>
    <x v="257"/>
    <x v="257"/>
    <n v="1.5"/>
    <s v="ADET"/>
    <n v="1.5"/>
    <n v="75"/>
    <n v="42.700000000000159"/>
    <n v="-48.04"/>
    <n v="0"/>
    <n v="0"/>
    <n v="15"/>
    <x v="2"/>
    <n v="22.5"/>
    <x v="1"/>
  </r>
  <r>
    <x v="6"/>
    <s v="Stefan Zaugg"/>
    <x v="1"/>
    <x v="506"/>
    <x v="506"/>
    <n v="1"/>
    <s v="ADET"/>
    <n v="1"/>
    <n v="12"/>
    <n v="4"/>
    <n v="-12"/>
    <n v="0"/>
    <n v="0"/>
    <n v="57.06"/>
    <x v="111"/>
    <n v="57.06"/>
    <x v="1"/>
  </r>
  <r>
    <x v="9"/>
    <s v="Stefan Zaugg"/>
    <x v="0"/>
    <x v="48"/>
    <x v="48"/>
    <n v="1"/>
    <s v="ADET"/>
    <n v="1"/>
    <n v="11"/>
    <n v="8"/>
    <n v="2"/>
    <n v="0"/>
    <n v="0"/>
    <m/>
    <x v="0"/>
    <m/>
    <x v="0"/>
  </r>
  <r>
    <x v="13"/>
    <s v="Volkan Batkan"/>
    <x v="1"/>
    <x v="403"/>
    <x v="403"/>
    <n v="1"/>
    <s v="ADET"/>
    <n v="1"/>
    <n v="8"/>
    <n v="4"/>
    <n v="-1"/>
    <n v="0"/>
    <n v="0"/>
    <n v="1723.12"/>
    <x v="67"/>
    <n v="1723.12"/>
    <x v="4"/>
  </r>
  <r>
    <x v="8"/>
    <s v="Jan Urbanek"/>
    <x v="1"/>
    <x v="403"/>
    <x v="403"/>
    <n v="1"/>
    <s v="ADET"/>
    <n v="1"/>
    <n v="8"/>
    <n v="4"/>
    <n v="-1"/>
    <n v="0"/>
    <n v="0"/>
    <n v="1723.12"/>
    <x v="67"/>
    <n v="1723.12"/>
    <x v="4"/>
  </r>
  <r>
    <x v="13"/>
    <s v="Volkan Batkan"/>
    <x v="1"/>
    <x v="319"/>
    <x v="319"/>
    <n v="1"/>
    <s v="ADET"/>
    <n v="1"/>
    <n v="9"/>
    <n v="8"/>
    <n v="4"/>
    <n v="0"/>
    <n v="1950.24"/>
    <n v="487.56"/>
    <x v="53"/>
    <n v="487.56"/>
    <x v="2"/>
  </r>
  <r>
    <x v="19"/>
    <s v="Laurent MONTAGNER"/>
    <x v="1"/>
    <x v="53"/>
    <x v="53"/>
    <n v="3.4400000000000004"/>
    <s v="KG"/>
    <n v="3.4400000000000004"/>
    <n v="66"/>
    <n v="36.349999999999952"/>
    <n v="-17.090000000000018"/>
    <n v="0"/>
    <n v="0"/>
    <n v="129.63"/>
    <x v="2"/>
    <n v="445.92720000000003"/>
    <x v="3"/>
  </r>
  <r>
    <x v="1"/>
    <s v="Laurent MONTAGNER"/>
    <x v="1"/>
    <x v="466"/>
    <x v="466"/>
    <n v="1"/>
    <s v="ADET"/>
    <n v="1"/>
    <n v="10"/>
    <n v="7"/>
    <n v="-12"/>
    <n v="15"/>
    <n v="0"/>
    <n v="776.15"/>
    <x v="103"/>
    <n v="776.15"/>
    <x v="7"/>
  </r>
  <r>
    <x v="19"/>
    <s v="Laurent MONTAGNER"/>
    <x v="1"/>
    <x v="257"/>
    <x v="257"/>
    <n v="2.4300000000000002"/>
    <s v="ADET"/>
    <n v="2.4300000000000002"/>
    <n v="75"/>
    <n v="42.700000000000159"/>
    <n v="-48.04"/>
    <n v="0"/>
    <n v="0"/>
    <n v="15"/>
    <x v="2"/>
    <n v="36.450000000000003"/>
    <x v="1"/>
  </r>
  <r>
    <x v="1"/>
    <s v="Laurent MONTAGNER"/>
    <x v="1"/>
    <x v="257"/>
    <x v="257"/>
    <n v="2.4300000000000002"/>
    <s v="ADET"/>
    <n v="2.4300000000000002"/>
    <n v="75"/>
    <n v="42.700000000000159"/>
    <n v="-48.04"/>
    <n v="0"/>
    <n v="0"/>
    <n v="15"/>
    <x v="2"/>
    <n v="36.450000000000003"/>
    <x v="1"/>
  </r>
  <r>
    <x v="9"/>
    <s v="Stefan Zaugg"/>
    <x v="1"/>
    <x v="296"/>
    <x v="296"/>
    <n v="4"/>
    <s v="ADET"/>
    <n v="4"/>
    <n v="84"/>
    <n v="195.89999999999986"/>
    <n v="-24.600000000000023"/>
    <n v="0"/>
    <n v="0"/>
    <n v="29"/>
    <x v="2"/>
    <n v="116"/>
    <x v="1"/>
  </r>
  <r>
    <x v="6"/>
    <s v="Stefan Zaugg"/>
    <x v="1"/>
    <x v="296"/>
    <x v="296"/>
    <n v="4"/>
    <s v="ADET"/>
    <n v="4"/>
    <n v="84"/>
    <n v="195.89999999999986"/>
    <n v="-24.600000000000023"/>
    <n v="0"/>
    <n v="0"/>
    <n v="29"/>
    <x v="2"/>
    <n v="116"/>
    <x v="1"/>
  </r>
  <r>
    <x v="12"/>
    <s v="Stefan Zaugg"/>
    <x v="1"/>
    <x v="304"/>
    <x v="304"/>
    <n v="1"/>
    <s v="ADET"/>
    <n v="1"/>
    <n v="20"/>
    <n v="7"/>
    <n v="-10"/>
    <n v="0"/>
    <n v="0"/>
    <n v="60"/>
    <x v="1"/>
    <n v="60"/>
    <x v="1"/>
  </r>
  <r>
    <x v="12"/>
    <s v="Stefan Zaugg"/>
    <x v="1"/>
    <x v="8"/>
    <x v="8"/>
    <n v="4"/>
    <s v="ADET"/>
    <n v="4"/>
    <n v="24"/>
    <n v="27"/>
    <n v="1"/>
    <n v="0"/>
    <n v="42"/>
    <n v="42"/>
    <x v="4"/>
    <n v="168"/>
    <x v="1"/>
  </r>
  <r>
    <x v="9"/>
    <s v="Stefan Zaugg"/>
    <x v="1"/>
    <x v="8"/>
    <x v="8"/>
    <n v="4"/>
    <s v="ADET"/>
    <n v="4"/>
    <n v="24"/>
    <n v="27"/>
    <n v="1"/>
    <n v="0"/>
    <n v="42"/>
    <n v="42"/>
    <x v="4"/>
    <n v="168"/>
    <x v="1"/>
  </r>
  <r>
    <x v="9"/>
    <s v="Stefan Zaugg"/>
    <x v="1"/>
    <x v="298"/>
    <x v="298"/>
    <n v="0.1"/>
    <s v="ADET"/>
    <n v="0.1"/>
    <n v="33"/>
    <n v="6.0999999999999988"/>
    <n v="-32.299999999999997"/>
    <n v="0"/>
    <n v="0"/>
    <n v="25"/>
    <x v="2"/>
    <n v="2.5"/>
    <x v="1"/>
  </r>
  <r>
    <x v="6"/>
    <s v="Stefan Zaugg"/>
    <x v="1"/>
    <x v="298"/>
    <x v="298"/>
    <n v="0.1"/>
    <s v="ADET"/>
    <n v="0.1"/>
    <n v="33"/>
    <n v="6.0999999999999988"/>
    <n v="-32.299999999999997"/>
    <n v="0"/>
    <n v="0"/>
    <n v="25"/>
    <x v="2"/>
    <n v="2.5"/>
    <x v="1"/>
  </r>
  <r>
    <x v="13"/>
    <s v="Volkan Batkan"/>
    <x v="1"/>
    <x v="331"/>
    <x v="331"/>
    <n v="4"/>
    <s v="ADET"/>
    <n v="4"/>
    <n v="64.5"/>
    <n v="20"/>
    <n v="-14.5"/>
    <n v="0"/>
    <n v="0"/>
    <n v="200"/>
    <x v="16"/>
    <n v="800"/>
    <x v="2"/>
  </r>
  <r>
    <x v="18"/>
    <s v="Stina Alm"/>
    <x v="1"/>
    <x v="74"/>
    <x v="74"/>
    <n v="2"/>
    <s v="ADET"/>
    <n v="0"/>
    <n v="809"/>
    <n v="0"/>
    <n v="-768"/>
    <n v="0"/>
    <n v="0"/>
    <n v="2.4"/>
    <x v="2"/>
    <n v="4.8"/>
    <x v="1"/>
  </r>
  <r>
    <x v="10"/>
    <s v="Murat Taşdemir"/>
    <x v="1"/>
    <x v="90"/>
    <x v="90"/>
    <n v="1"/>
    <s v="ADET"/>
    <n v="0"/>
    <n v="1"/>
    <n v="1"/>
    <n v="3"/>
    <n v="0"/>
    <n v="97615.14"/>
    <n v="32538.38"/>
    <x v="15"/>
    <n v="32538.38"/>
    <x v="2"/>
  </r>
  <r>
    <x v="4"/>
    <s v="Jan Urbanek"/>
    <x v="1"/>
    <x v="11"/>
    <x v="11"/>
    <n v="16"/>
    <s v="ADET"/>
    <n v="0"/>
    <n v="4822"/>
    <n v="811"/>
    <n v="-4638"/>
    <n v="0"/>
    <n v="0"/>
    <n v="0.3"/>
    <x v="2"/>
    <n v="4.8"/>
    <x v="1"/>
  </r>
  <r>
    <x v="12"/>
    <s v="Stefan Zaugg"/>
    <x v="1"/>
    <x v="331"/>
    <x v="331"/>
    <n v="4"/>
    <s v="ADET"/>
    <n v="4"/>
    <n v="64.5"/>
    <n v="20"/>
    <n v="-14.5"/>
    <n v="0"/>
    <n v="0"/>
    <n v="200"/>
    <x v="16"/>
    <n v="800"/>
    <x v="2"/>
  </r>
  <r>
    <x v="1"/>
    <s v="Laurent MONTAGNER"/>
    <x v="1"/>
    <x v="340"/>
    <x v="340"/>
    <n v="2"/>
    <s v="ADET"/>
    <n v="2"/>
    <n v="45"/>
    <n v="6"/>
    <n v="-5"/>
    <n v="0"/>
    <n v="0"/>
    <n v="313.76"/>
    <x v="67"/>
    <n v="627.52"/>
    <x v="2"/>
  </r>
  <r>
    <x v="13"/>
    <s v="Volkan Batkan"/>
    <x v="1"/>
    <x v="295"/>
    <x v="295"/>
    <n v="1"/>
    <s v="ADET"/>
    <n v="1"/>
    <n v="2"/>
    <n v="1"/>
    <n v="2"/>
    <n v="0"/>
    <n v="19880.7"/>
    <n v="9940.35"/>
    <x v="76"/>
    <n v="9940.35"/>
    <x v="7"/>
  </r>
  <r>
    <x v="13"/>
    <s v="Volkan Batkan"/>
    <x v="1"/>
    <x v="8"/>
    <x v="8"/>
    <n v="2"/>
    <s v="ADET"/>
    <n v="2"/>
    <n v="24"/>
    <n v="27"/>
    <n v="1"/>
    <n v="0"/>
    <n v="42"/>
    <n v="42"/>
    <x v="4"/>
    <n v="84"/>
    <x v="1"/>
  </r>
  <r>
    <x v="1"/>
    <s v="Laurent MONTAGNER"/>
    <x v="1"/>
    <x v="296"/>
    <x v="296"/>
    <n v="4.3499999999999996"/>
    <s v="ADET"/>
    <n v="4.3499999999999996"/>
    <n v="84"/>
    <n v="195.89999999999986"/>
    <n v="-24.600000000000023"/>
    <n v="0"/>
    <n v="0"/>
    <n v="29"/>
    <x v="2"/>
    <n v="126.14999999999999"/>
    <x v="1"/>
  </r>
  <r>
    <x v="19"/>
    <s v="Laurent MONTAGNER"/>
    <x v="1"/>
    <x v="367"/>
    <x v="367"/>
    <n v="1"/>
    <s v="ADET"/>
    <n v="1"/>
    <n v="14"/>
    <n v="15"/>
    <n v="-1"/>
    <n v="0"/>
    <n v="0"/>
    <n v="400"/>
    <x v="86"/>
    <n v="400"/>
    <x v="2"/>
  </r>
  <r>
    <x v="12"/>
    <s v="Stefan Zaugg"/>
    <x v="1"/>
    <x v="364"/>
    <x v="364"/>
    <n v="1"/>
    <s v="ADET"/>
    <n v="1"/>
    <n v="5"/>
    <n v="4"/>
    <n v="2"/>
    <n v="0"/>
    <n v="3357.76"/>
    <n v="1678.88"/>
    <x v="67"/>
    <n v="1678.88"/>
    <x v="4"/>
  </r>
  <r>
    <x v="4"/>
    <s v="Jan Urbanek"/>
    <x v="1"/>
    <x v="364"/>
    <x v="364"/>
    <n v="1"/>
    <s v="ADET"/>
    <n v="1"/>
    <n v="5"/>
    <n v="4"/>
    <n v="2"/>
    <n v="0"/>
    <n v="3357.76"/>
    <n v="1678.88"/>
    <x v="67"/>
    <n v="1678.88"/>
    <x v="4"/>
  </r>
  <r>
    <x v="18"/>
    <s v="Stina Alm"/>
    <x v="1"/>
    <x v="333"/>
    <x v="333"/>
    <n v="3"/>
    <s v="ADET"/>
    <n v="0"/>
    <n v="11"/>
    <n v="19"/>
    <n v="22"/>
    <n v="0"/>
    <n v="67584"/>
    <n v="3072"/>
    <x v="85"/>
    <n v="9216"/>
    <x v="2"/>
  </r>
  <r>
    <x v="16"/>
    <s v="Laurent MONTAGNER"/>
    <x v="1"/>
    <x v="337"/>
    <x v="337"/>
    <n v="2"/>
    <s v="ADET"/>
    <n v="0"/>
    <n v="5"/>
    <n v="4"/>
    <n v="1"/>
    <n v="0"/>
    <n v="400"/>
    <n v="400"/>
    <x v="15"/>
    <n v="800"/>
    <x v="7"/>
  </r>
  <r>
    <x v="18"/>
    <s v="Stina Alm"/>
    <x v="1"/>
    <x v="335"/>
    <x v="335"/>
    <n v="1"/>
    <s v="ADET"/>
    <n v="0"/>
    <n v="19"/>
    <n v="15"/>
    <n v="-6"/>
    <n v="0"/>
    <n v="0"/>
    <n v="41.67"/>
    <x v="86"/>
    <n v="41.67"/>
    <x v="2"/>
  </r>
  <r>
    <x v="17"/>
    <s v="Soner Kayıkçı"/>
    <x v="1"/>
    <x v="335"/>
    <x v="335"/>
    <n v="1"/>
    <s v="ADET"/>
    <n v="0"/>
    <n v="19"/>
    <n v="15"/>
    <n v="-6"/>
    <n v="0"/>
    <n v="0"/>
    <n v="41.67"/>
    <x v="86"/>
    <n v="41.67"/>
    <x v="2"/>
  </r>
  <r>
    <x v="16"/>
    <s v="Laurent MONTAGNER"/>
    <x v="1"/>
    <x v="336"/>
    <x v="336"/>
    <n v="2"/>
    <s v="ADET"/>
    <n v="0"/>
    <n v="33"/>
    <n v="5"/>
    <n v="-13"/>
    <n v="0"/>
    <n v="0"/>
    <n v="354.91"/>
    <x v="67"/>
    <n v="709.82"/>
    <x v="2"/>
  </r>
  <r>
    <x v="17"/>
    <s v="Soner Kayıkçı"/>
    <x v="1"/>
    <x v="336"/>
    <x v="336"/>
    <n v="2"/>
    <s v="ADET"/>
    <n v="0"/>
    <n v="33"/>
    <n v="5"/>
    <n v="-13"/>
    <n v="0"/>
    <n v="0"/>
    <n v="354.91"/>
    <x v="67"/>
    <n v="709.82"/>
    <x v="2"/>
  </r>
  <r>
    <x v="19"/>
    <s v="Laurent MONTAGNER"/>
    <x v="1"/>
    <x v="507"/>
    <x v="507"/>
    <n v="1"/>
    <s v="ADET"/>
    <n v="1"/>
    <n v="181"/>
    <n v="3"/>
    <n v="-181"/>
    <n v="0"/>
    <n v="0"/>
    <n v="39.6"/>
    <x v="29"/>
    <n v="39.6"/>
    <x v="7"/>
  </r>
  <r>
    <x v="12"/>
    <s v="Stefan Zaugg"/>
    <x v="1"/>
    <x v="337"/>
    <x v="337"/>
    <n v="2"/>
    <s v="ADET"/>
    <n v="2"/>
    <n v="5"/>
    <n v="4"/>
    <n v="1"/>
    <n v="0"/>
    <n v="400"/>
    <n v="400"/>
    <x v="15"/>
    <n v="800"/>
    <x v="7"/>
  </r>
  <r>
    <x v="19"/>
    <s v="Laurent MONTAGNER"/>
    <x v="1"/>
    <x v="336"/>
    <x v="336"/>
    <n v="2"/>
    <s v="ADET"/>
    <n v="2"/>
    <n v="33"/>
    <n v="5"/>
    <n v="-13"/>
    <n v="0"/>
    <n v="0"/>
    <n v="354.91"/>
    <x v="67"/>
    <n v="709.82"/>
    <x v="2"/>
  </r>
  <r>
    <x v="19"/>
    <s v="Laurent MONTAGNER"/>
    <x v="1"/>
    <x v="335"/>
    <x v="335"/>
    <n v="1"/>
    <s v="ADET"/>
    <n v="1"/>
    <n v="19"/>
    <n v="15"/>
    <n v="-6"/>
    <n v="0"/>
    <n v="0"/>
    <n v="41.67"/>
    <x v="86"/>
    <n v="41.67"/>
    <x v="2"/>
  </r>
  <r>
    <x v="19"/>
    <s v="Laurent MONTAGNER"/>
    <x v="1"/>
    <x v="290"/>
    <x v="290"/>
    <n v="1"/>
    <s v="ADET"/>
    <n v="1"/>
    <n v="30"/>
    <n v="3"/>
    <n v="-16"/>
    <n v="0"/>
    <n v="0"/>
    <n v="372.91"/>
    <x v="67"/>
    <n v="372.91"/>
    <x v="4"/>
  </r>
  <r>
    <x v="1"/>
    <s v="Laurent MONTAGNER"/>
    <x v="1"/>
    <x v="290"/>
    <x v="290"/>
    <n v="1"/>
    <s v="ADET"/>
    <n v="1"/>
    <n v="30"/>
    <n v="3"/>
    <n v="-16"/>
    <n v="0"/>
    <n v="0"/>
    <n v="372.91"/>
    <x v="67"/>
    <n v="372.91"/>
    <x v="4"/>
  </r>
  <r>
    <x v="1"/>
    <s v="Laurent MONTAGNER"/>
    <x v="1"/>
    <x v="289"/>
    <x v="289"/>
    <n v="2"/>
    <s v="ADET"/>
    <n v="2"/>
    <n v="10"/>
    <n v="20"/>
    <n v="10"/>
    <n v="0"/>
    <n v="149462.5"/>
    <n v="14946.25"/>
    <x v="58"/>
    <n v="29892.5"/>
    <x v="4"/>
  </r>
  <r>
    <x v="12"/>
    <s v="Stefan Zaugg"/>
    <x v="1"/>
    <x v="323"/>
    <x v="323"/>
    <n v="1"/>
    <s v="ADET"/>
    <n v="1"/>
    <n v="30"/>
    <n v="3"/>
    <n v="-28"/>
    <n v="0"/>
    <n v="0"/>
    <n v="90"/>
    <x v="14"/>
    <n v="90"/>
    <x v="1"/>
  </r>
  <r>
    <x v="12"/>
    <s v="Stefan Zaugg"/>
    <x v="1"/>
    <x v="32"/>
    <x v="32"/>
    <n v="0.5"/>
    <s v="ADET"/>
    <n v="0.5"/>
    <n v="5"/>
    <n v="9.7999999999999989"/>
    <n v="0.19999999999999929"/>
    <n v="0"/>
    <n v="7.599999999999973"/>
    <n v="38"/>
    <x v="2"/>
    <n v="19"/>
    <x v="1"/>
  </r>
  <r>
    <x v="6"/>
    <s v="Stefan Zaugg"/>
    <x v="1"/>
    <x v="34"/>
    <x v="34"/>
    <n v="4"/>
    <s v="ADET"/>
    <n v="4"/>
    <n v="83"/>
    <n v="52"/>
    <n v="-31"/>
    <n v="0"/>
    <n v="0"/>
    <n v="170"/>
    <x v="4"/>
    <n v="680"/>
    <x v="1"/>
  </r>
  <r>
    <x v="13"/>
    <s v="Volkan Batkan"/>
    <x v="1"/>
    <x v="335"/>
    <x v="335"/>
    <n v="1"/>
    <s v="ADET"/>
    <n v="1"/>
    <n v="19"/>
    <n v="15"/>
    <n v="-6"/>
    <n v="0"/>
    <n v="0"/>
    <n v="41.67"/>
    <x v="86"/>
    <n v="41.67"/>
    <x v="2"/>
  </r>
  <r>
    <x v="19"/>
    <s v="Laurent MONTAGNER"/>
    <x v="1"/>
    <x v="278"/>
    <x v="278"/>
    <n v="1"/>
    <s v="ADET"/>
    <n v="1"/>
    <n v="4"/>
    <n v="8"/>
    <n v="0"/>
    <n v="9"/>
    <n v="0"/>
    <n v="266.39999999999998"/>
    <x v="43"/>
    <n v="266.39999999999998"/>
    <x v="7"/>
  </r>
  <r>
    <x v="13"/>
    <s v="Volkan Batkan"/>
    <x v="1"/>
    <x v="32"/>
    <x v="32"/>
    <n v="0.35"/>
    <s v="ADET"/>
    <n v="0.35"/>
    <n v="5"/>
    <n v="9.7999999999999989"/>
    <n v="0.19999999999999929"/>
    <n v="0"/>
    <n v="7.599999999999973"/>
    <n v="38"/>
    <x v="2"/>
    <n v="13.299999999999999"/>
    <x v="1"/>
  </r>
  <r>
    <x v="9"/>
    <s v="Stefan Zaugg"/>
    <x v="1"/>
    <x v="289"/>
    <x v="289"/>
    <n v="2"/>
    <s v="ADET"/>
    <n v="2"/>
    <n v="10"/>
    <n v="20"/>
    <n v="10"/>
    <n v="0"/>
    <n v="149462.5"/>
    <n v="14946.25"/>
    <x v="58"/>
    <n v="29892.5"/>
    <x v="4"/>
  </r>
  <r>
    <x v="9"/>
    <s v="Stefan Zaugg"/>
    <x v="1"/>
    <x v="35"/>
    <x v="35"/>
    <n v="8"/>
    <s v="ADET"/>
    <n v="8"/>
    <n v="1278"/>
    <n v="690"/>
    <n v="-1174"/>
    <n v="0"/>
    <n v="0"/>
    <n v="0.55000000000000004"/>
    <x v="2"/>
    <n v="4.4000000000000004"/>
    <x v="1"/>
  </r>
  <r>
    <x v="1"/>
    <s v="Laurent MONTAGNER"/>
    <x v="1"/>
    <x v="34"/>
    <x v="34"/>
    <n v="4"/>
    <s v="ADET"/>
    <n v="4"/>
    <n v="83"/>
    <n v="52"/>
    <n v="-31"/>
    <n v="0"/>
    <n v="0"/>
    <n v="170"/>
    <x v="4"/>
    <n v="680"/>
    <x v="1"/>
  </r>
  <r>
    <x v="12"/>
    <s v="Stefan Zaugg"/>
    <x v="1"/>
    <x v="278"/>
    <x v="278"/>
    <n v="1"/>
    <s v="ADET"/>
    <n v="1"/>
    <n v="4"/>
    <n v="8"/>
    <n v="0"/>
    <n v="9"/>
    <n v="0"/>
    <n v="266.39999999999998"/>
    <x v="43"/>
    <n v="266.39999999999998"/>
    <x v="7"/>
  </r>
  <r>
    <x v="13"/>
    <s v="Volkan Batkan"/>
    <x v="1"/>
    <x v="215"/>
    <x v="215"/>
    <n v="5"/>
    <s v="ADET"/>
    <n v="5"/>
    <n v="200"/>
    <n v="70"/>
    <n v="-165"/>
    <n v="0"/>
    <n v="0"/>
    <n v="10"/>
    <x v="14"/>
    <n v="50"/>
    <x v="1"/>
  </r>
  <r>
    <x v="10"/>
    <s v="Murat Taşdemir"/>
    <x v="1"/>
    <x v="341"/>
    <x v="341"/>
    <n v="1"/>
    <s v="KG"/>
    <n v="0"/>
    <n v="0"/>
    <n v="0"/>
    <n v="19"/>
    <n v="0"/>
    <n v="1538.6200000000001"/>
    <n v="80.98"/>
    <x v="61"/>
    <n v="80.98"/>
    <x v="3"/>
  </r>
  <r>
    <x v="10"/>
    <s v="Murat Taşdemir"/>
    <x v="1"/>
    <x v="211"/>
    <x v="211"/>
    <n v="1.8"/>
    <s v="ADET"/>
    <n v="1.8"/>
    <n v="0"/>
    <n v="-9.7699626167013776E-15"/>
    <n v="13.000000000000007"/>
    <n v="11"/>
    <n v="23833.290000000012"/>
    <n v="1833.33"/>
    <x v="61"/>
    <n v="3299.9940000000001"/>
    <x v="8"/>
  </r>
  <r>
    <x v="16"/>
    <s v="Laurent MONTAGNER"/>
    <x v="1"/>
    <x v="24"/>
    <x v="24"/>
    <n v="10.86"/>
    <s v="KG"/>
    <n v="10.86"/>
    <n v="120"/>
    <n v="113.68999999999977"/>
    <n v="-176.87000000000003"/>
    <n v="120"/>
    <n v="0"/>
    <n v="101.44"/>
    <x v="8"/>
    <n v="1101.6383999999998"/>
    <x v="3"/>
  </r>
  <r>
    <x v="1"/>
    <s v="Laurent MONTAGNER"/>
    <x v="1"/>
    <x v="109"/>
    <x v="109"/>
    <n v="0.81"/>
    <s v="ADET"/>
    <n v="0.81"/>
    <n v="0"/>
    <n v="5.6000000000000014"/>
    <n v="7.200000000000002"/>
    <n v="0"/>
    <n v="1170.0720000000003"/>
    <n v="162.51"/>
    <x v="8"/>
    <n v="131.63310000000001"/>
    <x v="3"/>
  </r>
  <r>
    <x v="9"/>
    <s v="Stefan Zaugg"/>
    <x v="1"/>
    <x v="85"/>
    <x v="85"/>
    <n v="1"/>
    <s v="ADET"/>
    <n v="1"/>
    <n v="7"/>
    <n v="10"/>
    <n v="6"/>
    <n v="0"/>
    <n v="20303.939999999999"/>
    <n v="3383.99"/>
    <x v="15"/>
    <n v="3383.99"/>
    <x v="7"/>
  </r>
  <r>
    <x v="10"/>
    <s v="Murat Taşdemir"/>
    <x v="1"/>
    <x v="24"/>
    <x v="24"/>
    <n v="11.67"/>
    <s v="KG"/>
    <n v="11.67"/>
    <n v="120"/>
    <n v="113.68999999999977"/>
    <n v="-176.87000000000003"/>
    <n v="120"/>
    <n v="0"/>
    <n v="101.44"/>
    <x v="8"/>
    <n v="1183.8047999999999"/>
    <x v="3"/>
  </r>
  <r>
    <x v="13"/>
    <s v="Volkan Batkan"/>
    <x v="1"/>
    <x v="109"/>
    <x v="109"/>
    <n v="0.55000000000000004"/>
    <s v="ADET"/>
    <n v="0.55000000000000004"/>
    <n v="0"/>
    <n v="5.6000000000000014"/>
    <n v="7.200000000000002"/>
    <n v="0"/>
    <n v="1170.0720000000003"/>
    <n v="162.51"/>
    <x v="8"/>
    <n v="89.380499999999998"/>
    <x v="3"/>
  </r>
  <r>
    <x v="9"/>
    <s v="Stefan Zaugg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13"/>
    <s v="Volkan Batkan"/>
    <x v="1"/>
    <x v="285"/>
    <x v="285"/>
    <n v="6"/>
    <s v="ADET"/>
    <n v="0"/>
    <n v="150"/>
    <n v="78"/>
    <n v="-48"/>
    <n v="0"/>
    <n v="0"/>
    <n v="20.83"/>
    <x v="14"/>
    <n v="124.97999999999999"/>
    <x v="1"/>
  </r>
  <r>
    <x v="6"/>
    <s v="Stefan Zaugg"/>
    <x v="1"/>
    <x v="85"/>
    <x v="85"/>
    <n v="1"/>
    <s v="ADET"/>
    <n v="1"/>
    <n v="7"/>
    <n v="10"/>
    <n v="6"/>
    <n v="0"/>
    <n v="20303.939999999999"/>
    <n v="3383.99"/>
    <x v="15"/>
    <n v="3383.99"/>
    <x v="7"/>
  </r>
  <r>
    <x v="12"/>
    <s v="Stefan Zaugg"/>
    <x v="1"/>
    <x v="85"/>
    <x v="85"/>
    <n v="1"/>
    <s v="ADET"/>
    <n v="1"/>
    <n v="7"/>
    <n v="10"/>
    <n v="6"/>
    <n v="0"/>
    <n v="20303.939999999999"/>
    <n v="3383.99"/>
    <x v="15"/>
    <n v="3383.99"/>
    <x v="7"/>
  </r>
  <r>
    <x v="13"/>
    <s v="Volkan Batkan"/>
    <x v="1"/>
    <x v="492"/>
    <x v="492"/>
    <n v="1"/>
    <s v="ADET"/>
    <n v="1"/>
    <n v="2"/>
    <n v="4"/>
    <n v="0"/>
    <n v="0"/>
    <n v="0"/>
    <n v="3500"/>
    <x v="108"/>
    <n v="3500"/>
    <x v="7"/>
  </r>
  <r>
    <x v="13"/>
    <s v="Volkan Batkan"/>
    <x v="1"/>
    <x v="216"/>
    <x v="216"/>
    <n v="7"/>
    <s v="ADET"/>
    <n v="7"/>
    <n v="400"/>
    <n v="225"/>
    <n v="-292"/>
    <n v="0"/>
    <n v="0"/>
    <n v="12"/>
    <x v="14"/>
    <n v="84"/>
    <x v="1"/>
  </r>
  <r>
    <x v="13"/>
    <s v="Volkan Batkan"/>
    <x v="1"/>
    <x v="25"/>
    <x v="25"/>
    <n v="7.2999999999999989"/>
    <s v="ADET"/>
    <n v="7.2999999999999989"/>
    <n v="96"/>
    <n v="195.44000000000005"/>
    <n v="63.92"/>
    <n v="0"/>
    <n v="8241.2056000000011"/>
    <n v="128.93"/>
    <x v="11"/>
    <n v="941.18899999999996"/>
    <x v="1"/>
  </r>
  <r>
    <x v="6"/>
    <s v="Stefan Zaugg"/>
    <x v="1"/>
    <x v="24"/>
    <x v="24"/>
    <n v="4"/>
    <s v="KG"/>
    <n v="4"/>
    <n v="120"/>
    <n v="113.68999999999977"/>
    <n v="-176.87000000000003"/>
    <n v="120"/>
    <n v="0"/>
    <n v="101.44"/>
    <x v="8"/>
    <n v="405.76"/>
    <x v="3"/>
  </r>
  <r>
    <x v="18"/>
    <s v="Stina Alm"/>
    <x v="1"/>
    <x v="25"/>
    <x v="25"/>
    <n v="11.199999999999998"/>
    <s v="ADET"/>
    <n v="0"/>
    <n v="96"/>
    <n v="195.44000000000005"/>
    <n v="63.92"/>
    <n v="0"/>
    <n v="8241.2056000000011"/>
    <n v="128.93"/>
    <x v="11"/>
    <n v="1444.0159999999998"/>
    <x v="1"/>
  </r>
  <r>
    <x v="12"/>
    <s v="Stefan Zaugg"/>
    <x v="1"/>
    <x v="21"/>
    <x v="21"/>
    <n v="1"/>
    <s v="ADET"/>
    <n v="1"/>
    <n v="11"/>
    <n v="1"/>
    <n v="-4"/>
    <n v="0"/>
    <n v="0"/>
    <n v="583.33000000000004"/>
    <x v="1"/>
    <n v="583.33000000000004"/>
    <x v="2"/>
  </r>
  <r>
    <x v="12"/>
    <s v="Stefan Zaugg"/>
    <x v="1"/>
    <x v="24"/>
    <x v="24"/>
    <n v="4"/>
    <s v="KG"/>
    <n v="4"/>
    <n v="120"/>
    <n v="113.68999999999977"/>
    <n v="-176.87000000000003"/>
    <n v="120"/>
    <n v="0"/>
    <n v="101.44"/>
    <x v="8"/>
    <n v="405.76"/>
    <x v="3"/>
  </r>
  <r>
    <x v="3"/>
    <s v="Jan Urbanek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11"/>
    <s v="Jan Urbanek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8"/>
    <s v="Stina Alm"/>
    <x v="1"/>
    <x v="343"/>
    <x v="343"/>
    <n v="0.2"/>
    <s v="KG"/>
    <n v="0"/>
    <n v="0"/>
    <n v="0"/>
    <n v="0.60000000000000009"/>
    <n v="0"/>
    <n v="126.49200000000002"/>
    <n v="210.82"/>
    <x v="8"/>
    <n v="42.164000000000001"/>
    <x v="3"/>
  </r>
  <r>
    <x v="18"/>
    <s v="Stina Alm"/>
    <x v="1"/>
    <x v="265"/>
    <x v="265"/>
    <n v="1"/>
    <s v="ADET"/>
    <n v="0"/>
    <n v="14"/>
    <n v="8"/>
    <n v="-1"/>
    <n v="0"/>
    <n v="0"/>
    <n v="270"/>
    <x v="29"/>
    <n v="270"/>
    <x v="7"/>
  </r>
  <r>
    <x v="17"/>
    <s v="Soner Kayıkçı"/>
    <x v="1"/>
    <x v="265"/>
    <x v="265"/>
    <n v="1"/>
    <s v="ADET"/>
    <n v="0"/>
    <n v="14"/>
    <n v="8"/>
    <n v="-1"/>
    <n v="0"/>
    <n v="0"/>
    <n v="270"/>
    <x v="29"/>
    <n v="270"/>
    <x v="7"/>
  </r>
  <r>
    <x v="17"/>
    <s v="Soner Kayıkçı"/>
    <x v="1"/>
    <x v="266"/>
    <x v="266"/>
    <n v="6"/>
    <s v="ADET"/>
    <n v="0"/>
    <n v="0"/>
    <n v="0"/>
    <n v="56"/>
    <n v="0"/>
    <n v="0"/>
    <n v="0"/>
    <x v="6"/>
    <n v="0"/>
    <x v="1"/>
  </r>
  <r>
    <x v="17"/>
    <s v="Soner Kayıkçı"/>
    <x v="1"/>
    <x v="348"/>
    <x v="348"/>
    <n v="2"/>
    <s v="ADET"/>
    <n v="0"/>
    <n v="250"/>
    <n v="250"/>
    <n v="-236"/>
    <n v="0"/>
    <n v="0"/>
    <n v="1.08"/>
    <x v="23"/>
    <n v="2.16"/>
    <x v="7"/>
  </r>
  <r>
    <x v="18"/>
    <s v="Stina Alm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6"/>
    <s v="Stefan Zaugg"/>
    <x v="1"/>
    <x v="323"/>
    <x v="323"/>
    <n v="1"/>
    <s v="ADET"/>
    <n v="1"/>
    <n v="30"/>
    <n v="3"/>
    <n v="-28"/>
    <n v="0"/>
    <n v="0"/>
    <n v="90"/>
    <x v="14"/>
    <n v="90"/>
    <x v="1"/>
  </r>
  <r>
    <x v="1"/>
    <s v="Laurent MONTAGNER"/>
    <x v="1"/>
    <x v="335"/>
    <x v="335"/>
    <n v="1"/>
    <s v="ADET"/>
    <n v="1"/>
    <n v="19"/>
    <n v="15"/>
    <n v="-6"/>
    <n v="0"/>
    <n v="0"/>
    <n v="41.67"/>
    <x v="86"/>
    <n v="41.67"/>
    <x v="2"/>
  </r>
  <r>
    <x v="1"/>
    <s v="Laurent MONTAGNER"/>
    <x v="1"/>
    <x v="276"/>
    <x v="276"/>
    <n v="2"/>
    <s v="ADET"/>
    <n v="2"/>
    <n v="306"/>
    <n v="11"/>
    <n v="-281"/>
    <n v="0"/>
    <n v="0"/>
    <n v="210"/>
    <x v="29"/>
    <n v="420"/>
    <x v="7"/>
  </r>
  <r>
    <x v="9"/>
    <s v="Stefan Zaugg"/>
    <x v="1"/>
    <x v="234"/>
    <x v="234"/>
    <n v="23"/>
    <s v="ADET"/>
    <n v="23"/>
    <n v="800"/>
    <n v="0"/>
    <n v="-414"/>
    <n v="0"/>
    <n v="0"/>
    <n v="13.75"/>
    <x v="1"/>
    <n v="316.25"/>
    <x v="1"/>
  </r>
  <r>
    <x v="13"/>
    <s v="Volkan Batkan"/>
    <x v="1"/>
    <x v="236"/>
    <x v="236"/>
    <n v="2.7"/>
    <s v="ADET"/>
    <n v="2.7"/>
    <n v="272"/>
    <n v="4.2999999999999972"/>
    <n v="-233.2"/>
    <n v="0"/>
    <n v="0"/>
    <n v="30"/>
    <x v="2"/>
    <n v="81"/>
    <x v="1"/>
  </r>
  <r>
    <x v="16"/>
    <s v="Laurent MONTAGNER"/>
    <x v="1"/>
    <x v="448"/>
    <x v="448"/>
    <n v="23.71"/>
    <s v="KG"/>
    <n v="23.71"/>
    <n v="140"/>
    <n v="139.9599999999997"/>
    <n v="-16.590000000000032"/>
    <n v="80"/>
    <n v="0"/>
    <n v="164.09"/>
    <x v="8"/>
    <n v="3890.5739000000003"/>
    <x v="3"/>
  </r>
  <r>
    <x v="12"/>
    <s v="Stefan Zaugg"/>
    <x v="1"/>
    <x v="224"/>
    <x v="224"/>
    <n v="106"/>
    <s v="ADET"/>
    <n v="0"/>
    <n v="2750"/>
    <n v="0"/>
    <n v="-747"/>
    <n v="0"/>
    <n v="0"/>
    <n v="0.7"/>
    <x v="2"/>
    <n v="74.199999999999989"/>
    <x v="1"/>
  </r>
  <r>
    <x v="9"/>
    <s v="Stefan Zaugg"/>
    <x v="1"/>
    <x v="439"/>
    <x v="439"/>
    <n v="1"/>
    <s v="ADET"/>
    <n v="1"/>
    <n v="1"/>
    <n v="7"/>
    <n v="12"/>
    <n v="0"/>
    <n v="55600.08"/>
    <n v="4633.34"/>
    <x v="27"/>
    <n v="4633.34"/>
    <x v="2"/>
  </r>
  <r>
    <x v="6"/>
    <s v="Stefan Zaugg"/>
    <x v="1"/>
    <x v="439"/>
    <x v="439"/>
    <n v="1"/>
    <s v="ADET"/>
    <n v="1"/>
    <n v="1"/>
    <n v="7"/>
    <n v="12"/>
    <n v="0"/>
    <n v="55600.08"/>
    <n v="4633.34"/>
    <x v="27"/>
    <n v="4633.34"/>
    <x v="2"/>
  </r>
  <r>
    <x v="1"/>
    <s v="Laurent MONTAGNER"/>
    <x v="1"/>
    <x v="445"/>
    <x v="445"/>
    <n v="1"/>
    <s v="ADET"/>
    <n v="1"/>
    <n v="25"/>
    <n v="3"/>
    <n v="-12"/>
    <n v="0"/>
    <n v="0"/>
    <n v="871.93"/>
    <x v="100"/>
    <n v="871.93"/>
    <x v="2"/>
  </r>
  <r>
    <x v="6"/>
    <s v="Stefan Zaugg"/>
    <x v="1"/>
    <x v="448"/>
    <x v="448"/>
    <n v="17.8"/>
    <s v="KG"/>
    <n v="17.8"/>
    <n v="140"/>
    <n v="139.9599999999997"/>
    <n v="-16.590000000000032"/>
    <n v="80"/>
    <n v="0"/>
    <n v="164.09"/>
    <x v="8"/>
    <n v="2920.8020000000001"/>
    <x v="3"/>
  </r>
  <r>
    <x v="2"/>
    <s v="Jan Urbanek"/>
    <x v="1"/>
    <x v="235"/>
    <x v="235"/>
    <n v="1"/>
    <s v="ADET"/>
    <n v="0"/>
    <n v="14"/>
    <n v="9.9999999999999929"/>
    <n v="2.5700000000000003"/>
    <n v="0"/>
    <n v="552.55000000000007"/>
    <n v="215"/>
    <x v="2"/>
    <n v="215"/>
    <x v="1"/>
  </r>
  <r>
    <x v="10"/>
    <s v="Murat Taşdemir"/>
    <x v="1"/>
    <x v="448"/>
    <x v="448"/>
    <n v="23.71"/>
    <s v="KG"/>
    <n v="23.71"/>
    <n v="140"/>
    <n v="139.9599999999997"/>
    <n v="-16.590000000000032"/>
    <n v="80"/>
    <n v="0"/>
    <n v="164.09"/>
    <x v="8"/>
    <n v="3890.5739000000003"/>
    <x v="3"/>
  </r>
  <r>
    <x v="19"/>
    <s v="Laurent MONTAGNER"/>
    <x v="1"/>
    <x v="438"/>
    <x v="438"/>
    <n v="1"/>
    <s v="ADET"/>
    <n v="1"/>
    <n v="136"/>
    <n v="6"/>
    <n v="-119"/>
    <n v="0"/>
    <n v="0"/>
    <n v="39.6"/>
    <x v="29"/>
    <n v="39.6"/>
    <x v="7"/>
  </r>
  <r>
    <x v="1"/>
    <s v="Laurent MONTAGNER"/>
    <x v="1"/>
    <x v="439"/>
    <x v="439"/>
    <n v="1"/>
    <s v="ADET"/>
    <n v="1"/>
    <n v="1"/>
    <n v="7"/>
    <n v="12"/>
    <n v="0"/>
    <n v="55600.08"/>
    <n v="4633.34"/>
    <x v="27"/>
    <n v="4633.34"/>
    <x v="2"/>
  </r>
  <r>
    <x v="12"/>
    <s v="Stefan Zaugg"/>
    <x v="1"/>
    <x v="446"/>
    <x v="446"/>
    <n v="2"/>
    <s v="ADET"/>
    <n v="2"/>
    <n v="16"/>
    <n v="14"/>
    <n v="-14"/>
    <n v="20"/>
    <n v="0"/>
    <n v="194"/>
    <x v="56"/>
    <n v="388"/>
    <x v="2"/>
  </r>
  <r>
    <x v="6"/>
    <s v="Stefan Zaugg"/>
    <x v="1"/>
    <x v="499"/>
    <x v="499"/>
    <n v="1"/>
    <s v="ADET"/>
    <n v="1"/>
    <n v="2"/>
    <n v="2"/>
    <n v="-2"/>
    <n v="0"/>
    <n v="0"/>
    <n v="400"/>
    <x v="92"/>
    <n v="400"/>
    <x v="4"/>
  </r>
  <r>
    <x v="9"/>
    <s v="Stefan Zaugg"/>
    <x v="1"/>
    <x v="447"/>
    <x v="447"/>
    <n v="1"/>
    <s v="ADET"/>
    <n v="1"/>
    <n v="4"/>
    <n v="7"/>
    <n v="-2"/>
    <n v="10"/>
    <n v="0"/>
    <n v="3097.63"/>
    <x v="88"/>
    <n v="3097.63"/>
    <x v="4"/>
  </r>
  <r>
    <x v="12"/>
    <s v="Stefan Zaugg"/>
    <x v="1"/>
    <x v="436"/>
    <x v="436"/>
    <n v="2"/>
    <s v="ADET"/>
    <n v="2"/>
    <n v="31"/>
    <n v="12"/>
    <n v="-20"/>
    <n v="0"/>
    <n v="0"/>
    <n v="15"/>
    <x v="29"/>
    <n v="30"/>
    <x v="7"/>
  </r>
  <r>
    <x v="9"/>
    <s v="Stefan Zaugg"/>
    <x v="1"/>
    <x v="222"/>
    <x v="222"/>
    <n v="1"/>
    <s v="ADET"/>
    <n v="1"/>
    <n v="4"/>
    <n v="10"/>
    <n v="8"/>
    <n v="0"/>
    <n v="41649.120000000003"/>
    <n v="5206.1400000000003"/>
    <x v="15"/>
    <n v="5206.1400000000003"/>
    <x v="7"/>
  </r>
  <r>
    <x v="12"/>
    <s v="Stefan Zaugg"/>
    <x v="1"/>
    <x v="222"/>
    <x v="222"/>
    <n v="1"/>
    <s v="ADET"/>
    <n v="1"/>
    <n v="4"/>
    <n v="10"/>
    <n v="8"/>
    <n v="0"/>
    <n v="41649.120000000003"/>
    <n v="5206.1400000000003"/>
    <x v="15"/>
    <n v="5206.1400000000003"/>
    <x v="7"/>
  </r>
  <r>
    <x v="1"/>
    <s v="Laurent MONTAGNER"/>
    <x v="1"/>
    <x v="155"/>
    <x v="155"/>
    <n v="2"/>
    <s v="ADET"/>
    <n v="2"/>
    <n v="38"/>
    <n v="10"/>
    <n v="-22"/>
    <n v="0"/>
    <n v="0"/>
    <n v="95"/>
    <x v="56"/>
    <n v="190"/>
    <x v="1"/>
  </r>
  <r>
    <x v="12"/>
    <s v="Stefan Zaugg"/>
    <x v="1"/>
    <x v="237"/>
    <x v="237"/>
    <n v="2"/>
    <s v="ADET"/>
    <n v="2"/>
    <n v="109"/>
    <n v="6"/>
    <n v="-106"/>
    <n v="0"/>
    <n v="0"/>
    <n v="90"/>
    <x v="6"/>
    <n v="180"/>
    <x v="1"/>
  </r>
  <r>
    <x v="6"/>
    <s v="Stefan Zaugg"/>
    <x v="1"/>
    <x v="226"/>
    <x v="226"/>
    <n v="6"/>
    <s v="KG"/>
    <n v="6"/>
    <n v="0"/>
    <n v="297.61000000000007"/>
    <n v="97.560000000000016"/>
    <n v="0"/>
    <n v="13285.720800000003"/>
    <n v="136.18"/>
    <x v="64"/>
    <n v="817.08"/>
    <x v="3"/>
  </r>
  <r>
    <x v="3"/>
    <s v="Jan Urbanek"/>
    <x v="1"/>
    <x v="226"/>
    <x v="226"/>
    <n v="7"/>
    <s v="KG"/>
    <n v="7"/>
    <n v="0"/>
    <n v="297.61000000000007"/>
    <n v="97.560000000000016"/>
    <n v="0"/>
    <n v="13285.720800000003"/>
    <n v="136.18"/>
    <x v="64"/>
    <n v="953.26"/>
    <x v="3"/>
  </r>
  <r>
    <x v="19"/>
    <s v="Laurent MONTAGNER"/>
    <x v="1"/>
    <x v="226"/>
    <x v="226"/>
    <n v="10.62"/>
    <s v="KG"/>
    <n v="10.62"/>
    <n v="0"/>
    <n v="297.61000000000007"/>
    <n v="97.560000000000016"/>
    <n v="0"/>
    <n v="13285.720800000003"/>
    <n v="136.18"/>
    <x v="64"/>
    <n v="1446.2316000000001"/>
    <x v="3"/>
  </r>
  <r>
    <x v="9"/>
    <s v="Stefan Zaugg"/>
    <x v="1"/>
    <x v="448"/>
    <x v="448"/>
    <n v="17.8"/>
    <s v="KG"/>
    <n v="17.8"/>
    <n v="140"/>
    <n v="139.9599999999997"/>
    <n v="-16.590000000000032"/>
    <n v="80"/>
    <n v="0"/>
    <n v="164.09"/>
    <x v="8"/>
    <n v="2920.8020000000001"/>
    <x v="3"/>
  </r>
  <r>
    <x v="12"/>
    <s v="Stefan Zaugg"/>
    <x v="1"/>
    <x v="443"/>
    <x v="443"/>
    <n v="1"/>
    <s v="ADET"/>
    <n v="1"/>
    <n v="27"/>
    <n v="4"/>
    <n v="-20"/>
    <n v="0"/>
    <n v="0"/>
    <n v="290.62"/>
    <x v="67"/>
    <n v="290.62"/>
    <x v="4"/>
  </r>
  <r>
    <x v="13"/>
    <s v="Volkan Batkan"/>
    <x v="1"/>
    <x v="443"/>
    <x v="443"/>
    <n v="1"/>
    <s v="ADET"/>
    <n v="1"/>
    <n v="27"/>
    <n v="4"/>
    <n v="-20"/>
    <n v="0"/>
    <n v="0"/>
    <n v="290.62"/>
    <x v="67"/>
    <n v="290.62"/>
    <x v="4"/>
  </r>
  <r>
    <x v="8"/>
    <s v="Jan Urbanek"/>
    <x v="1"/>
    <x v="443"/>
    <x v="443"/>
    <n v="1"/>
    <s v="ADET"/>
    <n v="1"/>
    <n v="27"/>
    <n v="4"/>
    <n v="-20"/>
    <n v="0"/>
    <n v="0"/>
    <n v="290.62"/>
    <x v="67"/>
    <n v="290.62"/>
    <x v="4"/>
  </r>
  <r>
    <x v="1"/>
    <s v="Laurent MONTAGNER"/>
    <x v="1"/>
    <x v="121"/>
    <x v="121"/>
    <n v="9"/>
    <s v="ADET"/>
    <n v="9"/>
    <n v="230"/>
    <n v="72"/>
    <n v="-172"/>
    <n v="0"/>
    <n v="0"/>
    <n v="225"/>
    <x v="45"/>
    <n v="2025"/>
    <x v="2"/>
  </r>
  <r>
    <x v="12"/>
    <s v="Stefan Zaugg"/>
    <x v="0"/>
    <x v="393"/>
    <x v="393"/>
    <n v="1"/>
    <s v="ADET"/>
    <n v="1"/>
    <n v="26"/>
    <n v="3"/>
    <n v="-20"/>
    <n v="0"/>
    <n v="0"/>
    <n v="2800"/>
    <x v="93"/>
    <n v="2800"/>
    <x v="2"/>
  </r>
  <r>
    <x v="9"/>
    <s v="Stefan Zaugg"/>
    <x v="1"/>
    <x v="243"/>
    <x v="243"/>
    <n v="0.54999999999999993"/>
    <s v="ADET"/>
    <n v="0.54999999999999993"/>
    <n v="20"/>
    <n v="116.6640000000002"/>
    <n v="-11.16"/>
    <n v="0"/>
    <n v="0"/>
    <n v="185"/>
    <x v="2"/>
    <n v="101.74999999999999"/>
    <x v="1"/>
  </r>
  <r>
    <x v="12"/>
    <s v="Stefan Zaugg"/>
    <x v="1"/>
    <x v="127"/>
    <x v="127"/>
    <n v="0.3"/>
    <s v="ADET"/>
    <n v="0.3"/>
    <n v="14"/>
    <n v="6.7999999999999972"/>
    <n v="7.7000000000000028"/>
    <n v="12"/>
    <n v="2532.1450000000009"/>
    <n v="328.85"/>
    <x v="47"/>
    <n v="98.655000000000001"/>
    <x v="3"/>
  </r>
  <r>
    <x v="19"/>
    <s v="Laurent MONTAGNER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19"/>
    <s v="Laurent MONTAGNER"/>
    <x v="1"/>
    <x v="184"/>
    <x v="184"/>
    <n v="1"/>
    <s v="ADET"/>
    <n v="1"/>
    <n v="3"/>
    <n v="7"/>
    <n v="2"/>
    <n v="3"/>
    <n v="4955.04"/>
    <n v="2477.52"/>
    <x v="43"/>
    <n v="2477.52"/>
    <x v="7"/>
  </r>
  <r>
    <x v="4"/>
    <s v="Jan Urbanek"/>
    <x v="1"/>
    <x v="120"/>
    <x v="120"/>
    <n v="7"/>
    <s v="ADET"/>
    <n v="0"/>
    <n v="1100"/>
    <n v="780"/>
    <n v="-832"/>
    <n v="0"/>
    <n v="0"/>
    <n v="0.32"/>
    <x v="2"/>
    <n v="2.2400000000000002"/>
    <x v="1"/>
  </r>
  <r>
    <x v="19"/>
    <s v="Laurent MONTAGNER"/>
    <x v="1"/>
    <x v="496"/>
    <x v="496"/>
    <n v="2"/>
    <s v="ADET"/>
    <n v="2"/>
    <n v="33"/>
    <n v="6"/>
    <n v="7"/>
    <n v="0"/>
    <n v="1206.17"/>
    <n v="172.31"/>
    <x v="67"/>
    <n v="344.62"/>
    <x v="2"/>
  </r>
  <r>
    <x v="1"/>
    <s v="Laurent MONTAGNER"/>
    <x v="1"/>
    <x v="243"/>
    <x v="243"/>
    <n v="0.80800000000000016"/>
    <s v="ADET"/>
    <n v="0.80800000000000016"/>
    <n v="20"/>
    <n v="116.6640000000002"/>
    <n v="-11.16"/>
    <n v="0"/>
    <n v="0"/>
    <n v="185"/>
    <x v="2"/>
    <n v="149.48000000000002"/>
    <x v="1"/>
  </r>
  <r>
    <x v="13"/>
    <s v="Volkan Batkan"/>
    <x v="1"/>
    <x v="127"/>
    <x v="127"/>
    <n v="2.2999999999999998"/>
    <s v="ADET"/>
    <n v="2.2999999999999998"/>
    <n v="14"/>
    <n v="6.7999999999999972"/>
    <n v="7.7000000000000028"/>
    <n v="12"/>
    <n v="2532.1450000000009"/>
    <n v="328.85"/>
    <x v="47"/>
    <n v="756.35500000000002"/>
    <x v="3"/>
  </r>
  <r>
    <x v="6"/>
    <s v="Stefan Zaugg"/>
    <x v="1"/>
    <x v="184"/>
    <x v="184"/>
    <n v="1"/>
    <s v="ADET"/>
    <n v="1"/>
    <n v="3"/>
    <n v="7"/>
    <n v="2"/>
    <n v="3"/>
    <n v="4955.04"/>
    <n v="2477.52"/>
    <x v="43"/>
    <n v="2477.52"/>
    <x v="7"/>
  </r>
  <r>
    <x v="5"/>
    <s v="Matteo Giolo"/>
    <x v="1"/>
    <x v="161"/>
    <x v="161"/>
    <n v="2"/>
    <s v="ADET"/>
    <n v="0"/>
    <n v="50"/>
    <n v="33"/>
    <n v="-15"/>
    <n v="0"/>
    <n v="0"/>
    <n v="72.599999999999994"/>
    <x v="2"/>
    <n v="145.19999999999999"/>
    <x v="4"/>
  </r>
  <r>
    <x v="6"/>
    <s v="Stefan Zaugg"/>
    <x v="1"/>
    <x v="243"/>
    <x v="243"/>
    <n v="0.55000000000000004"/>
    <s v="ADET"/>
    <n v="0.55000000000000004"/>
    <n v="20"/>
    <n v="116.6640000000002"/>
    <n v="-11.16"/>
    <n v="0"/>
    <n v="0"/>
    <n v="185"/>
    <x v="2"/>
    <n v="101.75000000000001"/>
    <x v="1"/>
  </r>
  <r>
    <x v="10"/>
    <s v="Murat Taşdemir"/>
    <x v="1"/>
    <x v="243"/>
    <x v="243"/>
    <n v="0.69000000000000017"/>
    <s v="ADET"/>
    <n v="0.69000000000000017"/>
    <n v="20"/>
    <n v="116.6640000000002"/>
    <n v="-11.16"/>
    <n v="0"/>
    <n v="0"/>
    <n v="185"/>
    <x v="2"/>
    <n v="127.65000000000003"/>
    <x v="1"/>
  </r>
  <r>
    <x v="10"/>
    <s v="Murat Taşdemir"/>
    <x v="1"/>
    <x v="121"/>
    <x v="121"/>
    <n v="8"/>
    <s v="ADET"/>
    <n v="8"/>
    <n v="230"/>
    <n v="72"/>
    <n v="-172"/>
    <n v="0"/>
    <n v="0"/>
    <n v="225"/>
    <x v="45"/>
    <n v="1800"/>
    <x v="2"/>
  </r>
  <r>
    <x v="12"/>
    <s v="Stefan Zaugg"/>
    <x v="1"/>
    <x v="489"/>
    <x v="489"/>
    <n v="1"/>
    <s v="ADET"/>
    <n v="1"/>
    <n v="7"/>
    <n v="9"/>
    <n v="-4"/>
    <n v="10"/>
    <n v="0"/>
    <n v="450"/>
    <x v="38"/>
    <n v="450"/>
    <x v="4"/>
  </r>
  <r>
    <x v="19"/>
    <s v="Laurent MONTAGNER"/>
    <x v="1"/>
    <x v="489"/>
    <x v="489"/>
    <n v="1"/>
    <s v="ADET"/>
    <n v="1"/>
    <n v="7"/>
    <n v="9"/>
    <n v="-4"/>
    <n v="10"/>
    <n v="0"/>
    <n v="450"/>
    <x v="38"/>
    <n v="450"/>
    <x v="4"/>
  </r>
  <r>
    <x v="1"/>
    <s v="Laurent MONTAGNER"/>
    <x v="1"/>
    <x v="184"/>
    <x v="184"/>
    <n v="1"/>
    <s v="ADET"/>
    <n v="1"/>
    <n v="3"/>
    <n v="7"/>
    <n v="2"/>
    <n v="3"/>
    <n v="4955.04"/>
    <n v="2477.52"/>
    <x v="43"/>
    <n v="2477.52"/>
    <x v="7"/>
  </r>
  <r>
    <x v="1"/>
    <s v="Laurent MONTAGNER"/>
    <x v="1"/>
    <x v="394"/>
    <x v="394"/>
    <n v="1"/>
    <s v="ADET"/>
    <n v="1"/>
    <n v="2"/>
    <n v="8"/>
    <n v="5"/>
    <n v="3"/>
    <n v="30287.5"/>
    <n v="6057.5"/>
    <x v="43"/>
    <n v="6057.5"/>
    <x v="7"/>
  </r>
  <r>
    <x v="9"/>
    <s v="Stefan Zaugg"/>
    <x v="0"/>
    <x v="393"/>
    <x v="393"/>
    <n v="1"/>
    <s v="ADET"/>
    <n v="1"/>
    <n v="26"/>
    <n v="3"/>
    <n v="-20"/>
    <n v="0"/>
    <n v="0"/>
    <n v="2800"/>
    <x v="93"/>
    <n v="2800"/>
    <x v="2"/>
  </r>
  <r>
    <x v="6"/>
    <s v="Stefan Zaugg"/>
    <x v="0"/>
    <x v="393"/>
    <x v="393"/>
    <n v="1"/>
    <s v="ADET"/>
    <n v="1"/>
    <n v="26"/>
    <n v="3"/>
    <n v="-20"/>
    <n v="0"/>
    <n v="0"/>
    <n v="2800"/>
    <x v="93"/>
    <n v="2800"/>
    <x v="2"/>
  </r>
  <r>
    <x v="3"/>
    <s v="Jan Urbanek"/>
    <x v="1"/>
    <x v="243"/>
    <x v="243"/>
    <n v="0.54999999999999993"/>
    <s v="ADET"/>
    <n v="0.54999999999999993"/>
    <n v="20"/>
    <n v="116.6640000000002"/>
    <n v="-11.16"/>
    <n v="0"/>
    <n v="0"/>
    <n v="185"/>
    <x v="2"/>
    <n v="101.74999999999999"/>
    <x v="1"/>
  </r>
  <r>
    <x v="13"/>
    <s v="Volkan Batkan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13"/>
    <s v="Volkan Batkan"/>
    <x v="1"/>
    <x v="61"/>
    <x v="61"/>
    <n v="3"/>
    <s v="METRE"/>
    <n v="0"/>
    <n v="100"/>
    <n v="26"/>
    <n v="-85"/>
    <n v="0"/>
    <n v="0"/>
    <n v="49.1"/>
    <x v="23"/>
    <n v="147.30000000000001"/>
    <x v="7"/>
  </r>
  <r>
    <x v="1"/>
    <s v="Laurent MONTAGNER"/>
    <x v="1"/>
    <x v="331"/>
    <x v="331"/>
    <n v="2"/>
    <s v="ADET"/>
    <n v="2"/>
    <n v="64.5"/>
    <n v="20"/>
    <n v="-14.5"/>
    <n v="0"/>
    <n v="0"/>
    <n v="200"/>
    <x v="16"/>
    <n v="400"/>
    <x v="2"/>
  </r>
  <r>
    <x v="19"/>
    <s v="Laurent MONTAGNER"/>
    <x v="1"/>
    <x v="329"/>
    <x v="329"/>
    <n v="1"/>
    <s v="ADET"/>
    <n v="1"/>
    <n v="3"/>
    <n v="8"/>
    <n v="11"/>
    <n v="0"/>
    <n v="20020"/>
    <n v="1820"/>
    <x v="84"/>
    <n v="1820"/>
    <x v="9"/>
  </r>
  <r>
    <x v="1"/>
    <s v="Laurent MONTAGNER"/>
    <x v="1"/>
    <x v="304"/>
    <x v="304"/>
    <n v="2"/>
    <s v="ADET"/>
    <n v="2"/>
    <n v="20"/>
    <n v="7"/>
    <n v="-10"/>
    <n v="0"/>
    <n v="0"/>
    <n v="60"/>
    <x v="1"/>
    <n v="120"/>
    <x v="1"/>
  </r>
  <r>
    <x v="19"/>
    <s v="Laurent MONTAGNER"/>
    <x v="1"/>
    <x v="90"/>
    <x v="90"/>
    <n v="1"/>
    <s v="ADET"/>
    <n v="1"/>
    <n v="1"/>
    <n v="1"/>
    <n v="3"/>
    <n v="0"/>
    <n v="97615.14"/>
    <n v="32538.38"/>
    <x v="15"/>
    <n v="32538.38"/>
    <x v="2"/>
  </r>
  <r>
    <x v="19"/>
    <s v="Laurent MONTAGNER"/>
    <x v="1"/>
    <x v="340"/>
    <x v="340"/>
    <n v="2"/>
    <s v="ADET"/>
    <n v="2"/>
    <n v="45"/>
    <n v="6"/>
    <n v="-5"/>
    <n v="0"/>
    <n v="0"/>
    <n v="313.76"/>
    <x v="67"/>
    <n v="627.52"/>
    <x v="2"/>
  </r>
  <r>
    <x v="16"/>
    <s v="Laurent MONTAGNER"/>
    <x v="1"/>
    <x v="296"/>
    <x v="296"/>
    <n v="4.3499999999999996"/>
    <s v="ADET"/>
    <n v="4.3499999999999996"/>
    <n v="84"/>
    <n v="195.89999999999986"/>
    <n v="-24.600000000000023"/>
    <n v="0"/>
    <n v="0"/>
    <n v="29"/>
    <x v="2"/>
    <n v="126.14999999999999"/>
    <x v="1"/>
  </r>
  <r>
    <x v="19"/>
    <s v="Laurent MONTAGNER"/>
    <x v="1"/>
    <x v="296"/>
    <x v="296"/>
    <n v="4.3499999999999996"/>
    <s v="ADET"/>
    <n v="4.3499999999999996"/>
    <n v="84"/>
    <n v="195.89999999999986"/>
    <n v="-24.600000000000023"/>
    <n v="0"/>
    <n v="0"/>
    <n v="29"/>
    <x v="2"/>
    <n v="126.14999999999999"/>
    <x v="1"/>
  </r>
  <r>
    <x v="19"/>
    <s v="Laurent MONTAGNER"/>
    <x v="1"/>
    <x v="8"/>
    <x v="8"/>
    <n v="4"/>
    <s v="ADET"/>
    <n v="4"/>
    <n v="24"/>
    <n v="27"/>
    <n v="1"/>
    <n v="0"/>
    <n v="42"/>
    <n v="42"/>
    <x v="4"/>
    <n v="168"/>
    <x v="1"/>
  </r>
  <r>
    <x v="9"/>
    <s v="Stefan Zaugg"/>
    <x v="0"/>
    <x v="0"/>
    <x v="0"/>
    <n v="1"/>
    <s v="ADET"/>
    <n v="1"/>
    <n v="3"/>
    <n v="8"/>
    <n v="10"/>
    <n v="0"/>
    <n v="0"/>
    <m/>
    <x v="0"/>
    <m/>
    <x v="0"/>
  </r>
  <r>
    <x v="13"/>
    <s v="Volkan Batkan"/>
    <x v="0"/>
    <x v="0"/>
    <x v="0"/>
    <n v="1"/>
    <s v="ADET"/>
    <n v="1"/>
    <n v="3"/>
    <n v="8"/>
    <n v="10"/>
    <n v="0"/>
    <n v="0"/>
    <m/>
    <x v="0"/>
    <m/>
    <x v="0"/>
  </r>
  <r>
    <x v="18"/>
    <s v="Stina Alm"/>
    <x v="1"/>
    <x v="350"/>
    <x v="350"/>
    <n v="0.09"/>
    <s v="KG"/>
    <n v="0"/>
    <n v="2.5"/>
    <n v="-6.106226635438361E-16"/>
    <n v="-0.61999999999999944"/>
    <n v="0"/>
    <n v="0"/>
    <n v="2400"/>
    <x v="29"/>
    <n v="216"/>
    <x v="1"/>
  </r>
  <r>
    <x v="14"/>
    <s v="Matteo Giolo"/>
    <x v="1"/>
    <x v="200"/>
    <x v="200"/>
    <n v="1"/>
    <s v="ADET"/>
    <n v="0"/>
    <n v="6"/>
    <n v="0"/>
    <n v="8.25"/>
    <n v="0"/>
    <n v="165"/>
    <n v="20"/>
    <x v="14"/>
    <n v="20"/>
    <x v="1"/>
  </r>
  <r>
    <x v="9"/>
    <s v="Stefan Zaugg"/>
    <x v="1"/>
    <x v="201"/>
    <x v="201"/>
    <n v="0.6"/>
    <s v="ADET"/>
    <n v="0"/>
    <n v="0"/>
    <n v="-1.2878587085651816E-14"/>
    <n v="6.9999999999999991"/>
    <n v="0"/>
    <n v="489.99999999999994"/>
    <n v="70"/>
    <x v="2"/>
    <n v="42"/>
    <x v="1"/>
  </r>
  <r>
    <x v="3"/>
    <s v="Jan Urbanek"/>
    <x v="1"/>
    <x v="199"/>
    <x v="199"/>
    <n v="12"/>
    <s v="ADET"/>
    <n v="0"/>
    <n v="200"/>
    <n v="343"/>
    <n v="-8"/>
    <n v="0"/>
    <n v="0"/>
    <n v="9"/>
    <x v="2"/>
    <n v="108"/>
    <x v="1"/>
  </r>
  <r>
    <x v="6"/>
    <s v="Stefan Zaugg"/>
    <x v="1"/>
    <x v="508"/>
    <x v="508"/>
    <n v="1"/>
    <s v="ADET"/>
    <n v="1"/>
    <n v="2"/>
    <n v="2"/>
    <n v="-2"/>
    <n v="0"/>
    <n v="0"/>
    <n v="400"/>
    <x v="92"/>
    <n v="400"/>
    <x v="4"/>
  </r>
  <r>
    <x v="6"/>
    <s v="Stefan Zaugg"/>
    <x v="1"/>
    <x v="227"/>
    <x v="227"/>
    <n v="2.5"/>
    <s v="ADET"/>
    <n v="2.5"/>
    <n v="62"/>
    <n v="0.27000000000000668"/>
    <n v="-15.030000000000001"/>
    <n v="0"/>
    <n v="0"/>
    <n v="28"/>
    <x v="2"/>
    <n v="70"/>
    <x v="1"/>
  </r>
  <r>
    <x v="17"/>
    <s v="Soner Kayıkçı"/>
    <x v="1"/>
    <x v="105"/>
    <x v="105"/>
    <n v="49"/>
    <s v="ADET"/>
    <n v="0"/>
    <n v="1200"/>
    <n v="196"/>
    <n v="-291"/>
    <n v="0"/>
    <n v="0"/>
    <n v="12.5"/>
    <x v="39"/>
    <n v="612.5"/>
    <x v="1"/>
  </r>
  <r>
    <x v="1"/>
    <s v="Laurent MONTAGNER"/>
    <x v="1"/>
    <x v="5"/>
    <x v="5"/>
    <n v="1"/>
    <s v="ADET"/>
    <n v="1"/>
    <n v="0"/>
    <n v="65"/>
    <n v="-94"/>
    <n v="100"/>
    <n v="0"/>
    <n v="115"/>
    <x v="2"/>
    <n v="115"/>
    <x v="1"/>
  </r>
  <r>
    <x v="3"/>
    <s v="Jan Urbanek"/>
    <x v="1"/>
    <x v="302"/>
    <x v="302"/>
    <n v="1"/>
    <s v="ADET"/>
    <n v="0"/>
    <n v="1"/>
    <n v="11"/>
    <n v="16"/>
    <n v="0"/>
    <n v="212968.32000000001"/>
    <n v="13310.52"/>
    <x v="65"/>
    <n v="13310.52"/>
    <x v="2"/>
  </r>
  <r>
    <x v="19"/>
    <s v="Laurent MONTAGNER"/>
    <x v="1"/>
    <x v="302"/>
    <x v="302"/>
    <n v="1"/>
    <s v="ADET"/>
    <n v="1"/>
    <n v="1"/>
    <n v="11"/>
    <n v="16"/>
    <n v="0"/>
    <n v="212968.32000000001"/>
    <n v="13310.52"/>
    <x v="65"/>
    <n v="13310.52"/>
    <x v="2"/>
  </r>
  <r>
    <x v="19"/>
    <s v="Laurent MONTAGNER"/>
    <x v="1"/>
    <x v="352"/>
    <x v="352"/>
    <n v="1"/>
    <s v="ADET"/>
    <n v="1"/>
    <n v="0"/>
    <n v="10"/>
    <n v="9"/>
    <n v="5"/>
    <n v="53946.090000000004"/>
    <n v="5994.01"/>
    <x v="43"/>
    <n v="5994.01"/>
    <x v="7"/>
  </r>
  <r>
    <x v="19"/>
    <s v="Laurent MONTAGNER"/>
    <x v="1"/>
    <x v="5"/>
    <x v="5"/>
    <n v="1"/>
    <s v="ADET"/>
    <n v="1"/>
    <n v="0"/>
    <n v="65"/>
    <n v="-94"/>
    <n v="100"/>
    <n v="0"/>
    <n v="115"/>
    <x v="2"/>
    <n v="115"/>
    <x v="1"/>
  </r>
  <r>
    <x v="19"/>
    <s v="Laurent MONTAGNER"/>
    <x v="1"/>
    <x v="349"/>
    <x v="349"/>
    <n v="6"/>
    <s v="ADET"/>
    <n v="6"/>
    <n v="55"/>
    <n v="17"/>
    <n v="-24"/>
    <n v="0"/>
    <n v="0"/>
    <n v="199.45"/>
    <x v="53"/>
    <n v="1196.6999999999998"/>
    <x v="1"/>
  </r>
  <r>
    <x v="4"/>
    <s v="Jan Urbanek"/>
    <x v="1"/>
    <x v="253"/>
    <x v="253"/>
    <n v="1"/>
    <s v="ADET"/>
    <n v="0"/>
    <n v="104"/>
    <n v="3.5527136788005009E-15"/>
    <n v="-81.349999999999994"/>
    <n v="0"/>
    <n v="0"/>
    <n v="22"/>
    <x v="2"/>
    <n v="22"/>
    <x v="1"/>
  </r>
  <r>
    <x v="15"/>
    <s v="Hayriye Güven"/>
    <x v="1"/>
    <x v="4"/>
    <x v="4"/>
    <n v="1"/>
    <s v="ADET"/>
    <n v="1"/>
    <n v="7"/>
    <n v="6"/>
    <n v="5"/>
    <n v="0"/>
    <n v="12288.25"/>
    <n v="2457.65"/>
    <x v="3"/>
    <n v="2457.65"/>
    <x v="2"/>
  </r>
  <r>
    <x v="6"/>
    <s v="Stefan Zaugg"/>
    <x v="1"/>
    <x v="267"/>
    <x v="267"/>
    <n v="2"/>
    <s v="ADET"/>
    <n v="2"/>
    <n v="33"/>
    <n v="16"/>
    <n v="-31"/>
    <n v="0"/>
    <n v="0"/>
    <n v="930"/>
    <x v="29"/>
    <n v="1860"/>
    <x v="7"/>
  </r>
  <r>
    <x v="6"/>
    <s v="Stefan Zaugg"/>
    <x v="1"/>
    <x v="272"/>
    <x v="272"/>
    <n v="1"/>
    <s v="ADET"/>
    <n v="1"/>
    <n v="23"/>
    <n v="8"/>
    <n v="-50"/>
    <n v="40"/>
    <n v="0"/>
    <n v="312"/>
    <x v="56"/>
    <n v="312"/>
    <x v="2"/>
  </r>
  <r>
    <x v="1"/>
    <s v="Laurent MONTAGNER"/>
    <x v="1"/>
    <x v="272"/>
    <x v="272"/>
    <n v="1"/>
    <s v="ADET"/>
    <n v="1"/>
    <n v="23"/>
    <n v="8"/>
    <n v="-50"/>
    <n v="40"/>
    <n v="0"/>
    <n v="312"/>
    <x v="56"/>
    <n v="312"/>
    <x v="2"/>
  </r>
  <r>
    <x v="19"/>
    <s v="Laurent MONTAGNER"/>
    <x v="1"/>
    <x v="273"/>
    <x v="273"/>
    <n v="1"/>
    <s v="ADET"/>
    <n v="1"/>
    <n v="25"/>
    <n v="3"/>
    <n v="-11"/>
    <n v="0"/>
    <n v="0"/>
    <n v="360.05"/>
    <x v="67"/>
    <n v="360.05"/>
    <x v="4"/>
  </r>
  <r>
    <x v="6"/>
    <s v="Stefan Zaugg"/>
    <x v="1"/>
    <x v="89"/>
    <x v="89"/>
    <n v="1"/>
    <s v="ADET"/>
    <n v="1"/>
    <n v="8"/>
    <n v="8"/>
    <n v="-2"/>
    <n v="10"/>
    <n v="0"/>
    <n v="62.83"/>
    <x v="31"/>
    <n v="62.83"/>
    <x v="7"/>
  </r>
  <r>
    <x v="3"/>
    <s v="Jan Urbanek"/>
    <x v="1"/>
    <x v="89"/>
    <x v="89"/>
    <n v="1"/>
    <s v="ADET"/>
    <n v="1"/>
    <n v="8"/>
    <n v="8"/>
    <n v="-2"/>
    <n v="10"/>
    <n v="0"/>
    <n v="62.83"/>
    <x v="31"/>
    <n v="62.83"/>
    <x v="7"/>
  </r>
  <r>
    <x v="6"/>
    <s v="Stefan Zaugg"/>
    <x v="1"/>
    <x v="91"/>
    <x v="91"/>
    <n v="0.2"/>
    <s v="KG"/>
    <n v="0.2"/>
    <n v="12"/>
    <n v="1.2000000000000011"/>
    <n v="-10.199999999999999"/>
    <n v="0"/>
    <n v="0"/>
    <n v="221.8"/>
    <x v="8"/>
    <n v="44.360000000000007"/>
    <x v="3"/>
  </r>
  <r>
    <x v="11"/>
    <s v="Jan Urbanek"/>
    <x v="1"/>
    <x v="270"/>
    <x v="270"/>
    <n v="1"/>
    <s v="ADET"/>
    <n v="0"/>
    <n v="15"/>
    <n v="11"/>
    <n v="-1"/>
    <n v="0"/>
    <n v="0"/>
    <n v="237.5"/>
    <x v="1"/>
    <n v="237.5"/>
    <x v="1"/>
  </r>
  <r>
    <x v="1"/>
    <s v="Laurent MONTAGNER"/>
    <x v="1"/>
    <x v="89"/>
    <x v="89"/>
    <n v="1"/>
    <s v="ADET"/>
    <n v="1"/>
    <n v="8"/>
    <n v="8"/>
    <n v="-2"/>
    <n v="10"/>
    <n v="0"/>
    <n v="62.83"/>
    <x v="31"/>
    <n v="62.83"/>
    <x v="7"/>
  </r>
  <r>
    <x v="19"/>
    <s v="Laurent MONTAGNER"/>
    <x v="1"/>
    <x v="272"/>
    <x v="272"/>
    <n v="1"/>
    <s v="ADET"/>
    <n v="1"/>
    <n v="23"/>
    <n v="8"/>
    <n v="-50"/>
    <n v="40"/>
    <n v="0"/>
    <n v="312"/>
    <x v="56"/>
    <n v="312"/>
    <x v="2"/>
  </r>
  <r>
    <x v="9"/>
    <s v="Stefan Zaugg"/>
    <x v="1"/>
    <x v="43"/>
    <x v="43"/>
    <n v="2"/>
    <s v="ADET"/>
    <n v="2"/>
    <n v="44"/>
    <n v="12"/>
    <n v="-18"/>
    <n v="0"/>
    <n v="0"/>
    <n v="375"/>
    <x v="16"/>
    <n v="750"/>
    <x v="2"/>
  </r>
  <r>
    <x v="12"/>
    <s v="Stefan Zaugg"/>
    <x v="1"/>
    <x v="43"/>
    <x v="43"/>
    <n v="2"/>
    <s v="ADET"/>
    <n v="2"/>
    <n v="44"/>
    <n v="12"/>
    <n v="-18"/>
    <n v="0"/>
    <n v="0"/>
    <n v="375"/>
    <x v="16"/>
    <n v="750"/>
    <x v="2"/>
  </r>
  <r>
    <x v="19"/>
    <s v="Laurent MONTAGNER"/>
    <x v="1"/>
    <x v="353"/>
    <x v="353"/>
    <n v="1"/>
    <s v="ADET"/>
    <n v="1"/>
    <n v="7"/>
    <n v="4"/>
    <n v="-4"/>
    <n v="0"/>
    <n v="0"/>
    <n v="8495.43"/>
    <x v="53"/>
    <n v="8495.43"/>
    <x v="2"/>
  </r>
  <r>
    <x v="12"/>
    <s v="Stefan Zaugg"/>
    <x v="1"/>
    <x v="272"/>
    <x v="272"/>
    <n v="1"/>
    <s v="ADET"/>
    <n v="1"/>
    <n v="23"/>
    <n v="8"/>
    <n v="-50"/>
    <n v="40"/>
    <n v="0"/>
    <n v="312"/>
    <x v="56"/>
    <n v="312"/>
    <x v="2"/>
  </r>
  <r>
    <x v="19"/>
    <s v="Laurent MONTAGNER"/>
    <x v="1"/>
    <x v="89"/>
    <x v="89"/>
    <n v="1"/>
    <s v="ADET"/>
    <n v="1"/>
    <n v="8"/>
    <n v="8"/>
    <n v="-2"/>
    <n v="10"/>
    <n v="0"/>
    <n v="62.83"/>
    <x v="31"/>
    <n v="62.83"/>
    <x v="7"/>
  </r>
  <r>
    <x v="15"/>
    <s v="Hayriye Güven"/>
    <x v="1"/>
    <x v="509"/>
    <x v="509"/>
    <n v="1"/>
    <s v="ADET"/>
    <n v="1"/>
    <n v="14"/>
    <n v="1"/>
    <n v="-14"/>
    <n v="0"/>
    <n v="0"/>
    <n v="762.72"/>
    <x v="112"/>
    <n v="762.72"/>
    <x v="4"/>
  </r>
  <r>
    <x v="16"/>
    <s v="Laurent MONTAGNER"/>
    <x v="1"/>
    <x v="269"/>
    <x v="269"/>
    <n v="3.71"/>
    <s v="KG"/>
    <n v="3.71"/>
    <n v="110"/>
    <n v="57.22000000000007"/>
    <n v="-78.660000000000025"/>
    <n v="0"/>
    <n v="0"/>
    <n v="40"/>
    <x v="2"/>
    <n v="148.4"/>
    <x v="1"/>
  </r>
  <r>
    <x v="19"/>
    <s v="Laurent MONTAGNER"/>
    <x v="1"/>
    <x v="270"/>
    <x v="270"/>
    <n v="2"/>
    <s v="ADET"/>
    <n v="2"/>
    <n v="15"/>
    <n v="11"/>
    <n v="-1"/>
    <n v="0"/>
    <n v="0"/>
    <n v="237.5"/>
    <x v="1"/>
    <n v="475"/>
    <x v="1"/>
  </r>
  <r>
    <x v="3"/>
    <s v="Jan Urbanek"/>
    <x v="1"/>
    <x v="269"/>
    <x v="269"/>
    <n v="3"/>
    <s v="KG"/>
    <n v="3"/>
    <n v="110"/>
    <n v="57.22000000000007"/>
    <n v="-78.660000000000025"/>
    <n v="0"/>
    <n v="0"/>
    <n v="40"/>
    <x v="2"/>
    <n v="120"/>
    <x v="1"/>
  </r>
  <r>
    <x v="13"/>
    <s v="Volkan Batkan"/>
    <x v="1"/>
    <x v="43"/>
    <x v="43"/>
    <n v="2"/>
    <s v="ADET"/>
    <n v="2"/>
    <n v="44"/>
    <n v="12"/>
    <n v="-18"/>
    <n v="0"/>
    <n v="0"/>
    <n v="375"/>
    <x v="16"/>
    <n v="750"/>
    <x v="2"/>
  </r>
  <r>
    <x v="16"/>
    <s v="Laurent MONTAGNER"/>
    <x v="1"/>
    <x v="89"/>
    <x v="89"/>
    <n v="1"/>
    <s v="ADET"/>
    <n v="1"/>
    <n v="8"/>
    <n v="8"/>
    <n v="-2"/>
    <n v="10"/>
    <n v="0"/>
    <n v="62.83"/>
    <x v="31"/>
    <n v="62.83"/>
    <x v="7"/>
  </r>
  <r>
    <x v="13"/>
    <s v="Volkan Batkan"/>
    <x v="1"/>
    <x v="353"/>
    <x v="353"/>
    <n v="1"/>
    <s v="ADET"/>
    <n v="1"/>
    <n v="7"/>
    <n v="4"/>
    <n v="-4"/>
    <n v="0"/>
    <n v="0"/>
    <n v="8495.43"/>
    <x v="53"/>
    <n v="8495.43"/>
    <x v="2"/>
  </r>
  <r>
    <x v="10"/>
    <s v="Murat Taşdemir"/>
    <x v="1"/>
    <x v="354"/>
    <x v="354"/>
    <n v="4"/>
    <s v="ADET"/>
    <n v="0"/>
    <n v="100"/>
    <n v="52"/>
    <n v="-52"/>
    <n v="0"/>
    <n v="0"/>
    <n v="1.1299999999999999"/>
    <x v="23"/>
    <n v="4.5199999999999996"/>
    <x v="7"/>
  </r>
  <r>
    <x v="13"/>
    <s v="Volkan Batkan"/>
    <x v="1"/>
    <x v="272"/>
    <x v="272"/>
    <n v="1"/>
    <s v="ADET"/>
    <n v="1"/>
    <n v="23"/>
    <n v="8"/>
    <n v="-50"/>
    <n v="40"/>
    <n v="0"/>
    <n v="312"/>
    <x v="56"/>
    <n v="312"/>
    <x v="2"/>
  </r>
  <r>
    <x v="13"/>
    <s v="Volkan Batkan"/>
    <x v="1"/>
    <x v="261"/>
    <x v="261"/>
    <n v="3"/>
    <s v="ADET"/>
    <n v="3"/>
    <n v="35"/>
    <n v="24"/>
    <n v="10"/>
    <n v="0"/>
    <n v="17500"/>
    <n v="1750"/>
    <x v="77"/>
    <n v="5250"/>
    <x v="7"/>
  </r>
  <r>
    <x v="10"/>
    <s v="Murat Taşdemir"/>
    <x v="1"/>
    <x v="269"/>
    <x v="269"/>
    <n v="6.45"/>
    <s v="KG"/>
    <n v="6.45"/>
    <n v="110"/>
    <n v="57.22000000000007"/>
    <n v="-78.660000000000025"/>
    <n v="0"/>
    <n v="0"/>
    <n v="40"/>
    <x v="2"/>
    <n v="258"/>
    <x v="1"/>
  </r>
  <r>
    <x v="17"/>
    <s v="Soner Kayıkçı"/>
    <x v="1"/>
    <x v="43"/>
    <x v="43"/>
    <n v="2"/>
    <s v="ADET"/>
    <n v="0"/>
    <n v="44"/>
    <n v="12"/>
    <n v="-18"/>
    <n v="0"/>
    <n v="0"/>
    <n v="375"/>
    <x v="16"/>
    <n v="750"/>
    <x v="2"/>
  </r>
  <r>
    <x v="0"/>
    <s v="Matteo Giolo"/>
    <x v="1"/>
    <x v="87"/>
    <x v="87"/>
    <n v="1"/>
    <s v="ADET"/>
    <n v="0"/>
    <n v="13"/>
    <n v="1"/>
    <n v="24"/>
    <n v="0"/>
    <n v="1570.08"/>
    <n v="65.42"/>
    <x v="1"/>
    <n v="65.42"/>
    <x v="4"/>
  </r>
  <r>
    <x v="12"/>
    <s v="Stefan Zaugg"/>
    <x v="1"/>
    <x v="261"/>
    <x v="261"/>
    <n v="3"/>
    <s v="ADET"/>
    <n v="3"/>
    <n v="35"/>
    <n v="24"/>
    <n v="10"/>
    <n v="0"/>
    <n v="17500"/>
    <n v="1750"/>
    <x v="77"/>
    <n v="5250"/>
    <x v="7"/>
  </r>
  <r>
    <x v="19"/>
    <s v="Laurent MONTAGNER"/>
    <x v="1"/>
    <x v="261"/>
    <x v="261"/>
    <n v="3"/>
    <s v="ADET"/>
    <n v="3"/>
    <n v="35"/>
    <n v="24"/>
    <n v="10"/>
    <n v="0"/>
    <n v="17500"/>
    <n v="1750"/>
    <x v="77"/>
    <n v="5250"/>
    <x v="7"/>
  </r>
  <r>
    <x v="19"/>
    <s v="Laurent MONTAGNER"/>
    <x v="1"/>
    <x v="315"/>
    <x v="315"/>
    <n v="2"/>
    <s v="ADET"/>
    <n v="2"/>
    <n v="15"/>
    <n v="14"/>
    <n v="-4"/>
    <n v="15"/>
    <n v="0"/>
    <n v="65.709999999999994"/>
    <x v="43"/>
    <n v="131.41999999999999"/>
    <x v="7"/>
  </r>
  <r>
    <x v="9"/>
    <s v="Stefan Zaugg"/>
    <x v="1"/>
    <x v="357"/>
    <x v="357"/>
    <n v="2"/>
    <s v="ADET"/>
    <n v="2"/>
    <n v="2"/>
    <n v="8"/>
    <n v="24"/>
    <n v="0"/>
    <n v="1357.92"/>
    <n v="56.58"/>
    <x v="67"/>
    <n v="113.16"/>
    <x v="2"/>
  </r>
  <r>
    <x v="12"/>
    <s v="Stefan Zaugg"/>
    <x v="1"/>
    <x v="357"/>
    <x v="357"/>
    <n v="2"/>
    <s v="ADET"/>
    <n v="2"/>
    <n v="2"/>
    <n v="8"/>
    <n v="24"/>
    <n v="0"/>
    <n v="1357.92"/>
    <n v="56.58"/>
    <x v="67"/>
    <n v="113.16"/>
    <x v="2"/>
  </r>
  <r>
    <x v="12"/>
    <s v="Stefan Zaugg"/>
    <x v="1"/>
    <x v="391"/>
    <x v="391"/>
    <n v="1"/>
    <s v="ADET"/>
    <n v="1"/>
    <n v="6"/>
    <n v="3"/>
    <n v="-6"/>
    <n v="0"/>
    <n v="0"/>
    <n v="12124.73"/>
    <x v="65"/>
    <n v="12124.73"/>
    <x v="2"/>
  </r>
  <r>
    <x v="3"/>
    <s v="Jan Urbanek"/>
    <x v="1"/>
    <x v="357"/>
    <x v="357"/>
    <n v="2"/>
    <s v="ADET"/>
    <n v="0"/>
    <n v="2"/>
    <n v="8"/>
    <n v="24"/>
    <n v="0"/>
    <n v="1357.92"/>
    <n v="56.58"/>
    <x v="67"/>
    <n v="113.16"/>
    <x v="2"/>
  </r>
  <r>
    <x v="19"/>
    <s v="Laurent MONTAGNER"/>
    <x v="1"/>
    <x v="372"/>
    <x v="372"/>
    <n v="1"/>
    <s v="ADET"/>
    <n v="1"/>
    <n v="3"/>
    <n v="6"/>
    <n v="10"/>
    <n v="0"/>
    <n v="121389.3"/>
    <n v="12138.93"/>
    <x v="3"/>
    <n v="12138.93"/>
    <x v="2"/>
  </r>
  <r>
    <x v="10"/>
    <s v="Murat Taşdemir"/>
    <x v="1"/>
    <x v="195"/>
    <x v="195"/>
    <n v="6"/>
    <s v="ADET"/>
    <n v="6"/>
    <n v="0"/>
    <n v="0.5"/>
    <n v="55"/>
    <n v="10"/>
    <n v="36666.85"/>
    <n v="666.67"/>
    <x v="61"/>
    <n v="4000.0199999999995"/>
    <x v="8"/>
  </r>
  <r>
    <x v="14"/>
    <s v="Matteo Giolo"/>
    <x v="1"/>
    <x v="98"/>
    <x v="98"/>
    <n v="7"/>
    <s v="METRE"/>
    <n v="0"/>
    <n v="100"/>
    <n v="105.5"/>
    <n v="-8"/>
    <n v="0"/>
    <n v="0"/>
    <n v="131.25"/>
    <x v="23"/>
    <n v="918.75"/>
    <x v="7"/>
  </r>
  <r>
    <x v="14"/>
    <s v="Matteo Giolo"/>
    <x v="1"/>
    <x v="370"/>
    <x v="370"/>
    <n v="1"/>
    <s v="ADET"/>
    <n v="0"/>
    <n v="6"/>
    <n v="7"/>
    <n v="-3"/>
    <n v="10"/>
    <n v="0"/>
    <n v="750"/>
    <x v="38"/>
    <n v="750"/>
    <x v="4"/>
  </r>
  <r>
    <x v="13"/>
    <s v="Volkan Batkan"/>
    <x v="1"/>
    <x v="357"/>
    <x v="357"/>
    <n v="2"/>
    <s v="ADET"/>
    <n v="2"/>
    <n v="2"/>
    <n v="8"/>
    <n v="24"/>
    <n v="0"/>
    <n v="1357.92"/>
    <n v="56.58"/>
    <x v="67"/>
    <n v="113.16"/>
    <x v="2"/>
  </r>
  <r>
    <x v="13"/>
    <s v="Volkan Batkan"/>
    <x v="1"/>
    <x v="197"/>
    <x v="197"/>
    <n v="2"/>
    <s v="ADET"/>
    <n v="2"/>
    <n v="40"/>
    <n v="18"/>
    <n v="-14"/>
    <n v="0"/>
    <n v="0"/>
    <n v="45.3"/>
    <x v="23"/>
    <n v="90.6"/>
    <x v="7"/>
  </r>
  <r>
    <x v="13"/>
    <s v="Volkan Batkan"/>
    <x v="1"/>
    <x v="315"/>
    <x v="315"/>
    <n v="2"/>
    <s v="ADET"/>
    <n v="2"/>
    <n v="15"/>
    <n v="14"/>
    <n v="-4"/>
    <n v="15"/>
    <n v="0"/>
    <n v="65.709999999999994"/>
    <x v="43"/>
    <n v="131.41999999999999"/>
    <x v="7"/>
  </r>
  <r>
    <x v="13"/>
    <s v="Volkan Batkan"/>
    <x v="1"/>
    <x v="17"/>
    <x v="17"/>
    <n v="6.5400000000000009"/>
    <s v="KG"/>
    <n v="6.5400000000000009"/>
    <n v="181"/>
    <n v="-9.9475983006414026E-14"/>
    <n v="-49.03000000000003"/>
    <n v="46.1"/>
    <n v="0"/>
    <n v="96.37"/>
    <x v="8"/>
    <n v="630.25980000000015"/>
    <x v="3"/>
  </r>
  <r>
    <x v="10"/>
    <s v="Murat Taşdemir"/>
    <x v="1"/>
    <x v="390"/>
    <x v="390"/>
    <n v="2"/>
    <s v="ADET"/>
    <n v="0"/>
    <n v="9"/>
    <n v="6"/>
    <n v="11"/>
    <n v="0"/>
    <n v="831.71"/>
    <n v="75.61"/>
    <x v="67"/>
    <n v="151.22"/>
    <x v="2"/>
  </r>
  <r>
    <x v="4"/>
    <s v="Jan Urbanek"/>
    <x v="1"/>
    <x v="13"/>
    <x v="13"/>
    <n v="3"/>
    <s v="ADET"/>
    <n v="0"/>
    <n v="0"/>
    <n v="0"/>
    <n v="-173"/>
    <n v="200"/>
    <n v="0"/>
    <n v="12"/>
    <x v="2"/>
    <n v="36"/>
    <x v="1"/>
  </r>
  <r>
    <x v="19"/>
    <s v="Laurent MONTAGNER"/>
    <x v="1"/>
    <x v="390"/>
    <x v="390"/>
    <n v="2"/>
    <s v="ADET"/>
    <n v="2"/>
    <n v="9"/>
    <n v="6"/>
    <n v="11"/>
    <n v="0"/>
    <n v="831.71"/>
    <n v="75.61"/>
    <x v="67"/>
    <n v="151.22"/>
    <x v="2"/>
  </r>
  <r>
    <x v="1"/>
    <s v="Laurent MONTAGNER"/>
    <x v="1"/>
    <x v="362"/>
    <x v="362"/>
    <n v="1"/>
    <s v="ADET"/>
    <n v="1"/>
    <n v="12"/>
    <n v="14"/>
    <n v="2"/>
    <n v="0"/>
    <n v="233.34"/>
    <n v="116.67"/>
    <x v="86"/>
    <n v="116.67"/>
    <x v="2"/>
  </r>
  <r>
    <x v="12"/>
    <s v="Stefan Zaugg"/>
    <x v="1"/>
    <x v="195"/>
    <x v="195"/>
    <n v="5"/>
    <s v="ADET"/>
    <n v="5"/>
    <n v="0"/>
    <n v="0.5"/>
    <n v="55"/>
    <n v="10"/>
    <n v="36666.85"/>
    <n v="666.67"/>
    <x v="61"/>
    <n v="3333.35"/>
    <x v="8"/>
  </r>
  <r>
    <x v="19"/>
    <s v="Laurent MONTAGNER"/>
    <x v="1"/>
    <x v="195"/>
    <x v="195"/>
    <n v="9.5"/>
    <s v="ADET"/>
    <n v="9.5"/>
    <n v="0"/>
    <n v="0.5"/>
    <n v="55"/>
    <n v="10"/>
    <n v="36666.85"/>
    <n v="666.67"/>
    <x v="61"/>
    <n v="6333.3649999999998"/>
    <x v="8"/>
  </r>
  <r>
    <x v="19"/>
    <s v="Laurent MONTAGNER"/>
    <x v="1"/>
    <x v="18"/>
    <x v="18"/>
    <n v="1"/>
    <s v="ADET"/>
    <n v="1"/>
    <n v="3"/>
    <n v="7"/>
    <n v="8"/>
    <n v="0"/>
    <n v="70583.44"/>
    <n v="8822.93"/>
    <x v="3"/>
    <n v="8822.93"/>
    <x v="4"/>
  </r>
  <r>
    <x v="1"/>
    <s v="Laurent MONTAGNER"/>
    <x v="1"/>
    <x v="97"/>
    <x v="97"/>
    <n v="1"/>
    <s v="ADET"/>
    <n v="1"/>
    <n v="7"/>
    <n v="10"/>
    <n v="-43"/>
    <n v="50"/>
    <n v="0"/>
    <n v="839.2"/>
    <x v="33"/>
    <n v="839.2"/>
    <x v="7"/>
  </r>
  <r>
    <x v="9"/>
    <s v="Stefan Zaugg"/>
    <x v="1"/>
    <x v="315"/>
    <x v="315"/>
    <n v="2"/>
    <s v="ADET"/>
    <n v="2"/>
    <n v="15"/>
    <n v="14"/>
    <n v="-4"/>
    <n v="15"/>
    <n v="0"/>
    <n v="65.709999999999994"/>
    <x v="43"/>
    <n v="131.41999999999999"/>
    <x v="7"/>
  </r>
  <r>
    <x v="17"/>
    <s v="Soner Kayıkçı"/>
    <x v="1"/>
    <x v="345"/>
    <x v="345"/>
    <n v="3"/>
    <s v="M2"/>
    <n v="0"/>
    <n v="0"/>
    <n v="0"/>
    <n v="24"/>
    <n v="0"/>
    <n v="14751.119999999999"/>
    <n v="614.63"/>
    <x v="71"/>
    <n v="1843.8899999999999"/>
    <x v="10"/>
  </r>
  <r>
    <x v="16"/>
    <s v="Laurent MONTAGNER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7"/>
    <s v="Soner Kayıkçı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9"/>
    <s v="Laurent MONTAGNER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9"/>
    <s v="Laurent MONTAGNER"/>
    <x v="1"/>
    <x v="254"/>
    <x v="254"/>
    <n v="9"/>
    <s v="METRE"/>
    <n v="9"/>
    <n v="0"/>
    <n v="344"/>
    <n v="54"/>
    <n v="0"/>
    <n v="1102.68"/>
    <n v="20.420000000000002"/>
    <x v="61"/>
    <n v="183.78000000000003"/>
    <x v="8"/>
  </r>
  <r>
    <x v="1"/>
    <s v="Laurent MONTAGNER"/>
    <x v="1"/>
    <x v="94"/>
    <x v="94"/>
    <n v="1"/>
    <s v="ADET"/>
    <n v="1"/>
    <n v="56"/>
    <n v="4"/>
    <n v="-53"/>
    <n v="0"/>
    <n v="0"/>
    <n v="16.5"/>
    <x v="2"/>
    <n v="16.5"/>
    <x v="4"/>
  </r>
  <r>
    <x v="17"/>
    <s v="Soner Kayıkçı"/>
    <x v="1"/>
    <x v="344"/>
    <x v="344"/>
    <n v="2"/>
    <s v="ADET"/>
    <n v="0"/>
    <n v="500"/>
    <n v="500"/>
    <n v="-486"/>
    <n v="0"/>
    <n v="0"/>
    <n v="0.55000000000000004"/>
    <x v="23"/>
    <n v="1.1000000000000001"/>
    <x v="7"/>
  </r>
  <r>
    <x v="1"/>
    <s v="Laurent MONTAGNER"/>
    <x v="1"/>
    <x v="265"/>
    <x v="265"/>
    <n v="1"/>
    <s v="ADET"/>
    <n v="1"/>
    <n v="14"/>
    <n v="8"/>
    <n v="-1"/>
    <n v="0"/>
    <n v="0"/>
    <n v="270"/>
    <x v="29"/>
    <n v="270"/>
    <x v="7"/>
  </r>
  <r>
    <x v="7"/>
    <s v="Stina Alm"/>
    <x v="1"/>
    <x v="346"/>
    <x v="346"/>
    <n v="1"/>
    <s v="ADET"/>
    <n v="0"/>
    <n v="20"/>
    <n v="1"/>
    <n v="-1"/>
    <n v="0"/>
    <n v="0"/>
    <n v="4850.4399999999996"/>
    <x v="67"/>
    <n v="4850.4399999999996"/>
    <x v="2"/>
  </r>
  <r>
    <x v="17"/>
    <s v="Soner Kayıkçı"/>
    <x v="1"/>
    <x v="217"/>
    <x v="217"/>
    <n v="6"/>
    <s v="METRE"/>
    <n v="0"/>
    <n v="100"/>
    <n v="50"/>
    <n v="-16"/>
    <n v="0"/>
    <n v="0"/>
    <n v="46"/>
    <x v="70"/>
    <n v="276"/>
    <x v="7"/>
  </r>
  <r>
    <x v="19"/>
    <s v="Laurent MONTAGNER"/>
    <x v="1"/>
    <x v="94"/>
    <x v="94"/>
    <n v="1"/>
    <s v="ADET"/>
    <n v="1"/>
    <n v="56"/>
    <n v="4"/>
    <n v="-53"/>
    <n v="0"/>
    <n v="0"/>
    <n v="16.5"/>
    <x v="2"/>
    <n v="16.5"/>
    <x v="4"/>
  </r>
  <r>
    <x v="9"/>
    <s v="Stefan Zaugg"/>
    <x v="1"/>
    <x v="265"/>
    <x v="265"/>
    <n v="1"/>
    <s v="ADET"/>
    <n v="1"/>
    <n v="14"/>
    <n v="8"/>
    <n v="-1"/>
    <n v="0"/>
    <n v="0"/>
    <n v="270"/>
    <x v="29"/>
    <n v="270"/>
    <x v="7"/>
  </r>
  <r>
    <x v="13"/>
    <s v="Volkan Batkan"/>
    <x v="1"/>
    <x v="325"/>
    <x v="325"/>
    <n v="1"/>
    <s v="ADET"/>
    <n v="1"/>
    <n v="0"/>
    <n v="5"/>
    <n v="2"/>
    <n v="2"/>
    <n v="7992"/>
    <n v="3996"/>
    <x v="43"/>
    <n v="3996"/>
    <x v="7"/>
  </r>
  <r>
    <x v="16"/>
    <s v="Laurent MONTAGNER"/>
    <x v="1"/>
    <x v="94"/>
    <x v="94"/>
    <n v="1"/>
    <s v="ADET"/>
    <n v="0"/>
    <n v="56"/>
    <n v="4"/>
    <n v="-53"/>
    <n v="0"/>
    <n v="0"/>
    <n v="16.5"/>
    <x v="2"/>
    <n v="16.5"/>
    <x v="4"/>
  </r>
  <r>
    <x v="9"/>
    <s v="Stefan Zaugg"/>
    <x v="1"/>
    <x v="309"/>
    <x v="309"/>
    <n v="2"/>
    <s v="ADET"/>
    <n v="2"/>
    <n v="6"/>
    <n v="8"/>
    <n v="-6"/>
    <n v="0"/>
    <n v="0"/>
    <n v="225"/>
    <x v="14"/>
    <n v="450"/>
    <x v="1"/>
  </r>
  <r>
    <x v="13"/>
    <s v="Volkan Batkan"/>
    <x v="1"/>
    <x v="265"/>
    <x v="265"/>
    <n v="1"/>
    <s v="ADET"/>
    <n v="1"/>
    <n v="14"/>
    <n v="8"/>
    <n v="-1"/>
    <n v="0"/>
    <n v="0"/>
    <n v="270"/>
    <x v="29"/>
    <n v="270"/>
    <x v="7"/>
  </r>
  <r>
    <x v="12"/>
    <s v="Stefan Zaugg"/>
    <x v="1"/>
    <x v="96"/>
    <x v="96"/>
    <n v="0.7"/>
    <s v="ADET"/>
    <n v="0.7"/>
    <n v="5"/>
    <n v="0.29999999999999449"/>
    <n v="9.6499999999999986"/>
    <n v="0"/>
    <n v="15656.159999999998"/>
    <n v="1622.4"/>
    <x v="32"/>
    <n v="1135.68"/>
    <x v="3"/>
  </r>
  <r>
    <x v="12"/>
    <s v="Stefan Zaugg"/>
    <x v="1"/>
    <x v="325"/>
    <x v="325"/>
    <n v="1"/>
    <s v="ADET"/>
    <n v="1"/>
    <n v="0"/>
    <n v="5"/>
    <n v="2"/>
    <n v="2"/>
    <n v="7992"/>
    <n v="3996"/>
    <x v="43"/>
    <n v="3996"/>
    <x v="7"/>
  </r>
  <r>
    <x v="8"/>
    <s v="Jan Urbanek"/>
    <x v="1"/>
    <x v="219"/>
    <x v="219"/>
    <n v="2"/>
    <s v="M2"/>
    <n v="0"/>
    <n v="0"/>
    <n v="-1.4210854715202004E-14"/>
    <n v="52"/>
    <n v="0"/>
    <n v="28423.200000000001"/>
    <n v="546.6"/>
    <x v="71"/>
    <n v="1093.2"/>
    <x v="8"/>
  </r>
  <r>
    <x v="6"/>
    <s v="Stefan Zaugg"/>
    <x v="1"/>
    <x v="109"/>
    <x v="109"/>
    <n v="0.7"/>
    <s v="ADET"/>
    <n v="0.7"/>
    <n v="0"/>
    <n v="5.6000000000000014"/>
    <n v="7.200000000000002"/>
    <n v="0"/>
    <n v="1170.0720000000003"/>
    <n v="162.51"/>
    <x v="8"/>
    <n v="113.75699999999999"/>
    <x v="3"/>
  </r>
  <r>
    <x v="9"/>
    <s v="Stefan Zaugg"/>
    <x v="1"/>
    <x v="284"/>
    <x v="284"/>
    <n v="2"/>
    <s v="ADET"/>
    <n v="2"/>
    <n v="28"/>
    <n v="12"/>
    <n v="-17"/>
    <n v="0"/>
    <n v="0"/>
    <n v="15"/>
    <x v="29"/>
    <n v="30"/>
    <x v="7"/>
  </r>
  <r>
    <x v="6"/>
    <s v="Stefan Zaugg"/>
    <x v="1"/>
    <x v="284"/>
    <x v="284"/>
    <n v="2"/>
    <s v="ADET"/>
    <n v="2"/>
    <n v="28"/>
    <n v="12"/>
    <n v="-17"/>
    <n v="0"/>
    <n v="0"/>
    <n v="15"/>
    <x v="29"/>
    <n v="30"/>
    <x v="7"/>
  </r>
  <r>
    <x v="6"/>
    <s v="Stefan Zaugg"/>
    <x v="1"/>
    <x v="492"/>
    <x v="492"/>
    <n v="1"/>
    <s v="ADET"/>
    <n v="1"/>
    <n v="2"/>
    <n v="4"/>
    <n v="0"/>
    <n v="0"/>
    <n v="0"/>
    <n v="3500"/>
    <x v="108"/>
    <n v="3500"/>
    <x v="7"/>
  </r>
  <r>
    <x v="14"/>
    <s v="Matteo Giolo"/>
    <x v="1"/>
    <x v="19"/>
    <x v="19"/>
    <n v="83"/>
    <s v="ADET"/>
    <n v="0"/>
    <n v="3000"/>
    <n v="1048"/>
    <n v="-967"/>
    <n v="0"/>
    <n v="0"/>
    <n v="2.92"/>
    <x v="1"/>
    <n v="242.35999999999999"/>
    <x v="1"/>
  </r>
  <r>
    <x v="1"/>
    <s v="Laurent MONTAGNER"/>
    <x v="1"/>
    <x v="85"/>
    <x v="85"/>
    <n v="1"/>
    <s v="ADET"/>
    <n v="1"/>
    <n v="7"/>
    <n v="10"/>
    <n v="6"/>
    <n v="0"/>
    <n v="20303.939999999999"/>
    <n v="3383.99"/>
    <x v="15"/>
    <n v="3383.99"/>
    <x v="7"/>
  </r>
  <r>
    <x v="1"/>
    <s v="Laurent MONTAGNER"/>
    <x v="1"/>
    <x v="110"/>
    <x v="110"/>
    <n v="1"/>
    <s v="ADET"/>
    <n v="1"/>
    <n v="2"/>
    <n v="8"/>
    <n v="6"/>
    <n v="5"/>
    <n v="18914.400000000001"/>
    <n v="3152.4"/>
    <x v="43"/>
    <n v="3152.4"/>
    <x v="7"/>
  </r>
  <r>
    <x v="9"/>
    <s v="Stefan Zaugg"/>
    <x v="1"/>
    <x v="159"/>
    <x v="159"/>
    <n v="2"/>
    <s v="ADET"/>
    <n v="2"/>
    <n v="3"/>
    <n v="6"/>
    <n v="-3"/>
    <n v="0"/>
    <n v="0"/>
    <n v="100"/>
    <x v="14"/>
    <n v="200"/>
    <x v="1"/>
  </r>
  <r>
    <x v="12"/>
    <s v="Stefan Zaugg"/>
    <x v="1"/>
    <x v="159"/>
    <x v="159"/>
    <n v="2"/>
    <s v="ADET"/>
    <n v="2"/>
    <n v="3"/>
    <n v="6"/>
    <n v="-3"/>
    <n v="0"/>
    <n v="0"/>
    <n v="100"/>
    <x v="14"/>
    <n v="200"/>
    <x v="1"/>
  </r>
  <r>
    <x v="14"/>
    <s v="Matteo Giolo"/>
    <x v="1"/>
    <x v="121"/>
    <x v="121"/>
    <n v="5"/>
    <s v="ADET"/>
    <n v="0"/>
    <n v="230"/>
    <n v="72"/>
    <n v="-172"/>
    <n v="0"/>
    <n v="0"/>
    <n v="225"/>
    <x v="45"/>
    <n v="1125"/>
    <x v="2"/>
  </r>
  <r>
    <x v="19"/>
    <s v="Laurent MONTAGNER"/>
    <x v="1"/>
    <x v="123"/>
    <x v="123"/>
    <n v="6.8"/>
    <s v="ADET"/>
    <n v="0"/>
    <n v="87"/>
    <n v="50.899999999999977"/>
    <n v="-42.900000000000006"/>
    <n v="0"/>
    <n v="0"/>
    <n v="122.09"/>
    <x v="11"/>
    <n v="830.21199999999999"/>
    <x v="1"/>
  </r>
  <r>
    <x v="19"/>
    <s v="Laurent MONTAGNER"/>
    <x v="1"/>
    <x v="287"/>
    <x v="287"/>
    <n v="1"/>
    <s v="ADET"/>
    <n v="1"/>
    <n v="6"/>
    <n v="7"/>
    <n v="2"/>
    <n v="6"/>
    <n v="3200"/>
    <n v="1600"/>
    <x v="2"/>
    <n v="1600"/>
    <x v="4"/>
  </r>
  <r>
    <x v="12"/>
    <s v="Stefan Zaugg"/>
    <x v="1"/>
    <x v="114"/>
    <x v="114"/>
    <n v="3"/>
    <s v="ADET"/>
    <n v="3"/>
    <n v="13"/>
    <n v="22"/>
    <n v="-2"/>
    <n v="30"/>
    <n v="0"/>
    <n v="122.1"/>
    <x v="43"/>
    <n v="366.29999999999995"/>
    <x v="7"/>
  </r>
  <r>
    <x v="9"/>
    <s v="Stefan Zaugg"/>
    <x v="1"/>
    <x v="374"/>
    <x v="374"/>
    <n v="1"/>
    <s v="ADET"/>
    <n v="1"/>
    <n v="8"/>
    <n v="9"/>
    <n v="-31"/>
    <n v="36"/>
    <n v="0"/>
    <n v="101.4"/>
    <x v="90"/>
    <n v="101.4"/>
    <x v="7"/>
  </r>
  <r>
    <x v="12"/>
    <s v="Stefan Zaugg"/>
    <x v="1"/>
    <x v="374"/>
    <x v="374"/>
    <n v="1"/>
    <s v="ADET"/>
    <n v="1"/>
    <n v="8"/>
    <n v="9"/>
    <n v="-31"/>
    <n v="36"/>
    <n v="0"/>
    <n v="101.4"/>
    <x v="90"/>
    <n v="101.4"/>
    <x v="7"/>
  </r>
  <r>
    <x v="1"/>
    <s v="Laurent MONTAGNER"/>
    <x v="1"/>
    <x v="502"/>
    <x v="502"/>
    <n v="2"/>
    <s v="ADET"/>
    <n v="2"/>
    <n v="0"/>
    <n v="4"/>
    <n v="0"/>
    <n v="0"/>
    <n v="0"/>
    <n v="4532"/>
    <x v="85"/>
    <n v="9064"/>
    <x v="2"/>
  </r>
  <r>
    <x v="13"/>
    <s v="Volkan Batkan"/>
    <x v="1"/>
    <x v="206"/>
    <x v="206"/>
    <n v="1"/>
    <s v="ADET"/>
    <n v="1"/>
    <n v="5"/>
    <n v="5"/>
    <n v="5"/>
    <n v="0"/>
    <n v="54497.75"/>
    <n v="10899.55"/>
    <x v="3"/>
    <n v="10899.55"/>
    <x v="4"/>
  </r>
  <r>
    <x v="4"/>
    <s v="Jan Urbanek"/>
    <x v="1"/>
    <x v="208"/>
    <x v="208"/>
    <n v="3"/>
    <s v="ADET"/>
    <n v="0"/>
    <n v="81"/>
    <n v="5"/>
    <n v="-23"/>
    <n v="0"/>
    <n v="0"/>
    <n v="188"/>
    <x v="2"/>
    <n v="564"/>
    <x v="4"/>
  </r>
  <r>
    <x v="17"/>
    <s v="Soner Kayıkçı"/>
    <x v="1"/>
    <x v="369"/>
    <x v="369"/>
    <n v="2"/>
    <s v="ADET"/>
    <n v="0"/>
    <n v="216"/>
    <n v="118"/>
    <n v="-190"/>
    <n v="0"/>
    <n v="0"/>
    <n v="3.95"/>
    <x v="29"/>
    <n v="7.9"/>
    <x v="7"/>
  </r>
  <r>
    <x v="8"/>
    <s v="Jan Urbanek"/>
    <x v="1"/>
    <x v="364"/>
    <x v="364"/>
    <n v="1"/>
    <s v="ADET"/>
    <n v="1"/>
    <n v="5"/>
    <n v="4"/>
    <n v="2"/>
    <n v="0"/>
    <n v="3357.76"/>
    <n v="1678.88"/>
    <x v="67"/>
    <n v="1678.88"/>
    <x v="4"/>
  </r>
  <r>
    <x v="13"/>
    <s v="Volkan Batkan"/>
    <x v="1"/>
    <x v="114"/>
    <x v="114"/>
    <n v="5"/>
    <s v="ADET"/>
    <n v="5"/>
    <n v="13"/>
    <n v="22"/>
    <n v="-2"/>
    <n v="30"/>
    <n v="0"/>
    <n v="122.1"/>
    <x v="43"/>
    <n v="610.5"/>
    <x v="7"/>
  </r>
  <r>
    <x v="13"/>
    <s v="Volkan Batkan"/>
    <x v="1"/>
    <x v="221"/>
    <x v="221"/>
    <n v="1"/>
    <s v="ADET"/>
    <n v="0"/>
    <n v="0"/>
    <n v="7"/>
    <n v="19"/>
    <n v="0"/>
    <n v="760"/>
    <n v="40"/>
    <x v="68"/>
    <n v="40"/>
    <x v="7"/>
  </r>
  <r>
    <x v="13"/>
    <s v="Volkan Batkan"/>
    <x v="1"/>
    <x v="207"/>
    <x v="207"/>
    <n v="4"/>
    <s v="ADET"/>
    <n v="0"/>
    <n v="85"/>
    <n v="31"/>
    <n v="-17"/>
    <n v="0"/>
    <n v="0"/>
    <n v="120"/>
    <x v="69"/>
    <n v="480"/>
    <x v="4"/>
  </r>
  <r>
    <x v="7"/>
    <s v="Stina Alm"/>
    <x v="1"/>
    <x v="207"/>
    <x v="207"/>
    <n v="3"/>
    <s v="ADET"/>
    <n v="0"/>
    <n v="85"/>
    <n v="31"/>
    <n v="-17"/>
    <n v="0"/>
    <n v="0"/>
    <n v="120"/>
    <x v="69"/>
    <n v="360"/>
    <x v="4"/>
  </r>
  <r>
    <x v="0"/>
    <s v="Matteo Giolo"/>
    <x v="1"/>
    <x v="282"/>
    <x v="282"/>
    <n v="1"/>
    <s v="ADET"/>
    <n v="0"/>
    <n v="24"/>
    <n v="4"/>
    <n v="-17"/>
    <n v="0"/>
    <n v="0"/>
    <n v="625"/>
    <x v="14"/>
    <n v="625"/>
    <x v="1"/>
  </r>
  <r>
    <x v="17"/>
    <s v="Soner Kayıkçı"/>
    <x v="1"/>
    <x v="291"/>
    <x v="291"/>
    <n v="1"/>
    <s v="ADET"/>
    <n v="0"/>
    <n v="27"/>
    <n v="3"/>
    <n v="-13"/>
    <n v="0"/>
    <n v="0"/>
    <n v="372.91"/>
    <x v="67"/>
    <n v="372.91"/>
    <x v="4"/>
  </r>
  <r>
    <x v="12"/>
    <s v="Stefan Zaugg"/>
    <x v="1"/>
    <x v="510"/>
    <x v="510"/>
    <n v="6"/>
    <s v="M2"/>
    <n v="6"/>
    <n v="0"/>
    <n v="3.0350000000000019"/>
    <n v="0"/>
    <n v="0"/>
    <n v="0"/>
    <n v="202.09"/>
    <x v="61"/>
    <n v="1212.54"/>
    <x v="8"/>
  </r>
  <r>
    <x v="1"/>
    <s v="Laurent MONTAGNER"/>
    <x v="1"/>
    <x v="278"/>
    <x v="278"/>
    <n v="1"/>
    <s v="ADET"/>
    <n v="1"/>
    <n v="4"/>
    <n v="8"/>
    <n v="0"/>
    <n v="9"/>
    <n v="0"/>
    <n v="266.39999999999998"/>
    <x v="43"/>
    <n v="266.39999999999998"/>
    <x v="7"/>
  </r>
  <r>
    <x v="9"/>
    <s v="Stefan Zaugg"/>
    <x v="1"/>
    <x v="323"/>
    <x v="323"/>
    <n v="1"/>
    <s v="ADET"/>
    <n v="1"/>
    <n v="30"/>
    <n v="3"/>
    <n v="-28"/>
    <n v="0"/>
    <n v="0"/>
    <n v="90"/>
    <x v="14"/>
    <n v="90"/>
    <x v="1"/>
  </r>
  <r>
    <x v="12"/>
    <s v="Stefan Zaugg"/>
    <x v="1"/>
    <x v="35"/>
    <x v="35"/>
    <n v="4"/>
    <s v="ADET"/>
    <n v="4"/>
    <n v="1278"/>
    <n v="690"/>
    <n v="-1174"/>
    <n v="0"/>
    <n v="0"/>
    <n v="0.55000000000000004"/>
    <x v="2"/>
    <n v="2.2000000000000002"/>
    <x v="1"/>
  </r>
  <r>
    <x v="16"/>
    <s v="Laurent MONTAGNER"/>
    <x v="1"/>
    <x v="278"/>
    <x v="278"/>
    <n v="1"/>
    <s v="ADET"/>
    <n v="0"/>
    <n v="4"/>
    <n v="8"/>
    <n v="0"/>
    <n v="9"/>
    <n v="0"/>
    <n v="266.39999999999998"/>
    <x v="43"/>
    <n v="266.39999999999998"/>
    <x v="7"/>
  </r>
  <r>
    <x v="13"/>
    <s v="Volkan Batkan"/>
    <x v="1"/>
    <x v="276"/>
    <x v="276"/>
    <n v="1"/>
    <s v="ADET"/>
    <n v="1"/>
    <n v="306"/>
    <n v="11"/>
    <n v="-281"/>
    <n v="0"/>
    <n v="0"/>
    <n v="210"/>
    <x v="29"/>
    <n v="210"/>
    <x v="7"/>
  </r>
  <r>
    <x v="4"/>
    <s v="Jan Urbanek"/>
    <x v="1"/>
    <x v="289"/>
    <x v="289"/>
    <n v="2"/>
    <s v="ADET"/>
    <n v="0"/>
    <n v="10"/>
    <n v="20"/>
    <n v="10"/>
    <n v="0"/>
    <n v="149462.5"/>
    <n v="14946.25"/>
    <x v="58"/>
    <n v="29892.5"/>
    <x v="4"/>
  </r>
  <r>
    <x v="5"/>
    <s v="Matteo Giolo"/>
    <x v="1"/>
    <x v="45"/>
    <x v="45"/>
    <n v="6.65"/>
    <s v="METRE"/>
    <n v="0"/>
    <n v="200"/>
    <n v="59.900000000000063"/>
    <n v="-58.699999999999989"/>
    <n v="0"/>
    <n v="0"/>
    <n v="22.5"/>
    <x v="17"/>
    <n v="149.625"/>
    <x v="4"/>
  </r>
  <r>
    <x v="1"/>
    <s v="Laurent MONTAGNER"/>
    <x v="1"/>
    <x v="349"/>
    <x v="349"/>
    <n v="6"/>
    <s v="ADET"/>
    <n v="6"/>
    <n v="55"/>
    <n v="17"/>
    <n v="-24"/>
    <n v="0"/>
    <n v="0"/>
    <n v="199.45"/>
    <x v="53"/>
    <n v="1196.6999999999998"/>
    <x v="1"/>
  </r>
  <r>
    <x v="19"/>
    <s v="Laurent MONTAGNER"/>
    <x v="1"/>
    <x v="4"/>
    <x v="4"/>
    <n v="1"/>
    <s v="ADET"/>
    <n v="1"/>
    <n v="7"/>
    <n v="6"/>
    <n v="5"/>
    <n v="0"/>
    <n v="12288.25"/>
    <n v="2457.65"/>
    <x v="3"/>
    <n v="2457.65"/>
    <x v="2"/>
  </r>
  <r>
    <x v="19"/>
    <s v="Laurent MONTAGNER"/>
    <x v="1"/>
    <x v="202"/>
    <x v="202"/>
    <n v="5"/>
    <s v="ADET"/>
    <n v="5"/>
    <n v="234"/>
    <n v="30"/>
    <n v="-169"/>
    <n v="0"/>
    <n v="0"/>
    <n v="15.21"/>
    <x v="23"/>
    <n v="76.050000000000011"/>
    <x v="7"/>
  </r>
  <r>
    <x v="19"/>
    <s v="Laurent MONTAGNER"/>
    <x v="1"/>
    <x v="107"/>
    <x v="107"/>
    <n v="1"/>
    <s v="ADET"/>
    <n v="0"/>
    <n v="0"/>
    <n v="0"/>
    <n v="9"/>
    <n v="0"/>
    <n v="540"/>
    <n v="60"/>
    <x v="41"/>
    <n v="60"/>
    <x v="2"/>
  </r>
  <r>
    <x v="7"/>
    <s v="Stina Alm"/>
    <x v="1"/>
    <x v="2"/>
    <x v="2"/>
    <n v="4"/>
    <s v="ADET"/>
    <n v="0"/>
    <n v="212"/>
    <n v="625"/>
    <n v="-146"/>
    <n v="0"/>
    <n v="0"/>
    <n v="3.95"/>
    <x v="2"/>
    <n v="15.8"/>
    <x v="1"/>
  </r>
  <r>
    <x v="0"/>
    <s v="Matteo Giolo"/>
    <x v="1"/>
    <x v="199"/>
    <x v="199"/>
    <n v="4"/>
    <s v="ADET"/>
    <n v="0"/>
    <n v="200"/>
    <n v="343"/>
    <n v="-8"/>
    <n v="0"/>
    <n v="0"/>
    <n v="9"/>
    <x v="2"/>
    <n v="36"/>
    <x v="1"/>
  </r>
  <r>
    <x v="16"/>
    <s v="Laurent MONTAGNER"/>
    <x v="1"/>
    <x v="253"/>
    <x v="253"/>
    <n v="1.46"/>
    <s v="ADET"/>
    <n v="0"/>
    <n v="104"/>
    <n v="3.5527136788005009E-15"/>
    <n v="-81.349999999999994"/>
    <n v="0"/>
    <n v="0"/>
    <n v="22"/>
    <x v="2"/>
    <n v="32.119999999999997"/>
    <x v="1"/>
  </r>
  <r>
    <x v="1"/>
    <s v="Laurent MONTAGNER"/>
    <x v="0"/>
    <x v="0"/>
    <x v="0"/>
    <n v="1"/>
    <s v="ADET"/>
    <n v="1"/>
    <n v="3"/>
    <n v="8"/>
    <n v="10"/>
    <n v="0"/>
    <n v="0"/>
    <m/>
    <x v="0"/>
    <m/>
    <x v="0"/>
  </r>
  <r>
    <x v="12"/>
    <s v="Stefan Zaugg"/>
    <x v="1"/>
    <x v="227"/>
    <x v="227"/>
    <n v="2.5"/>
    <s v="ADET"/>
    <n v="2.5"/>
    <n v="62"/>
    <n v="0.27000000000000668"/>
    <n v="-15.030000000000001"/>
    <n v="0"/>
    <n v="0"/>
    <n v="28"/>
    <x v="2"/>
    <n v="70"/>
    <x v="1"/>
  </r>
  <r>
    <x v="16"/>
    <s v="Laurent MONTAGNER"/>
    <x v="1"/>
    <x v="4"/>
    <x v="4"/>
    <n v="1"/>
    <s v="ADET"/>
    <n v="0"/>
    <n v="7"/>
    <n v="6"/>
    <n v="5"/>
    <n v="0"/>
    <n v="12288.25"/>
    <n v="2457.65"/>
    <x v="3"/>
    <n v="2457.65"/>
    <x v="2"/>
  </r>
  <r>
    <x v="19"/>
    <s v="Laurent MONTAGNER"/>
    <x v="1"/>
    <x v="81"/>
    <x v="81"/>
    <n v="1"/>
    <s v="ADET"/>
    <n v="1"/>
    <n v="2"/>
    <n v="8"/>
    <n v="0"/>
    <n v="11"/>
    <n v="0"/>
    <n v="675"/>
    <x v="20"/>
    <n v="675"/>
    <x v="2"/>
  </r>
  <r>
    <x v="19"/>
    <s v="Laurent MONTAGNER"/>
    <x v="1"/>
    <x v="231"/>
    <x v="231"/>
    <n v="1"/>
    <s v="ADET"/>
    <n v="1"/>
    <n v="4"/>
    <n v="2"/>
    <n v="0"/>
    <n v="2"/>
    <n v="0"/>
    <n v="1667.14"/>
    <x v="20"/>
    <n v="1667.14"/>
    <x v="2"/>
  </r>
  <r>
    <x v="1"/>
    <s v="Laurent MONTAGNER"/>
    <x v="1"/>
    <x v="231"/>
    <x v="231"/>
    <n v="1"/>
    <s v="ADET"/>
    <n v="1"/>
    <n v="4"/>
    <n v="2"/>
    <n v="0"/>
    <n v="2"/>
    <n v="0"/>
    <n v="1667.14"/>
    <x v="20"/>
    <n v="1667.14"/>
    <x v="2"/>
  </r>
  <r>
    <x v="19"/>
    <s v="Laurent MONTAGNER"/>
    <x v="1"/>
    <x v="419"/>
    <x v="419"/>
    <n v="4"/>
    <s v="ADET"/>
    <n v="4"/>
    <n v="42"/>
    <n v="20"/>
    <n v="1"/>
    <n v="0"/>
    <n v="348.7"/>
    <n v="348.7"/>
    <x v="67"/>
    <n v="1394.8"/>
    <x v="2"/>
  </r>
  <r>
    <x v="4"/>
    <s v="Jan Urbanek"/>
    <x v="1"/>
    <x v="414"/>
    <x v="414"/>
    <n v="1"/>
    <s v="ADET"/>
    <n v="1"/>
    <n v="27"/>
    <n v="4"/>
    <n v="-20"/>
    <n v="0"/>
    <n v="0"/>
    <n v="287.01"/>
    <x v="67"/>
    <n v="287.01"/>
    <x v="4"/>
  </r>
  <r>
    <x v="19"/>
    <s v="Laurent MONTAGNER"/>
    <x v="1"/>
    <x v="228"/>
    <x v="228"/>
    <n v="1"/>
    <s v="ADET"/>
    <n v="1"/>
    <n v="18"/>
    <n v="10"/>
    <n v="-5"/>
    <n v="0"/>
    <n v="0"/>
    <n v="1094.4000000000001"/>
    <x v="23"/>
    <n v="1094.4000000000001"/>
    <x v="7"/>
  </r>
  <r>
    <x v="6"/>
    <s v="Stefan Zaugg"/>
    <x v="1"/>
    <x v="82"/>
    <x v="82"/>
    <n v="1"/>
    <s v="ADET"/>
    <n v="1"/>
    <n v="12"/>
    <n v="13"/>
    <n v="-5"/>
    <n v="0"/>
    <n v="0"/>
    <n v="28339.38"/>
    <x v="27"/>
    <n v="28339.38"/>
    <x v="2"/>
  </r>
  <r>
    <x v="3"/>
    <s v="Jan Urbanek"/>
    <x v="1"/>
    <x v="82"/>
    <x v="82"/>
    <n v="1"/>
    <s v="ADET"/>
    <n v="1"/>
    <n v="12"/>
    <n v="13"/>
    <n v="-5"/>
    <n v="0"/>
    <n v="0"/>
    <n v="28339.38"/>
    <x v="27"/>
    <n v="28339.38"/>
    <x v="2"/>
  </r>
  <r>
    <x v="9"/>
    <s v="Stefan Zaugg"/>
    <x v="1"/>
    <x v="152"/>
    <x v="152"/>
    <n v="1"/>
    <s v="ADET"/>
    <n v="1"/>
    <n v="10"/>
    <n v="12"/>
    <n v="-1"/>
    <n v="4"/>
    <n v="0"/>
    <n v="1600"/>
    <x v="56"/>
    <n v="1600"/>
    <x v="7"/>
  </r>
  <r>
    <x v="9"/>
    <s v="Stefan Zaugg"/>
    <x v="1"/>
    <x v="129"/>
    <x v="129"/>
    <n v="6"/>
    <s v="METRE"/>
    <n v="6"/>
    <n v="260"/>
    <n v="0"/>
    <n v="-248"/>
    <n v="0"/>
    <n v="0"/>
    <n v="8.4"/>
    <x v="23"/>
    <n v="50.400000000000006"/>
    <x v="1"/>
  </r>
  <r>
    <x v="6"/>
    <s v="Stefan Zaugg"/>
    <x v="1"/>
    <x v="129"/>
    <x v="129"/>
    <n v="6"/>
    <s v="METRE"/>
    <n v="6"/>
    <n v="260"/>
    <n v="0"/>
    <n v="-248"/>
    <n v="0"/>
    <n v="0"/>
    <n v="8.4"/>
    <x v="23"/>
    <n v="50.400000000000006"/>
    <x v="1"/>
  </r>
  <r>
    <x v="4"/>
    <s v="Jan Urbanek"/>
    <x v="1"/>
    <x v="415"/>
    <x v="415"/>
    <n v="1"/>
    <s v="ADET"/>
    <n v="1"/>
    <n v="27"/>
    <n v="4"/>
    <n v="-20"/>
    <n v="0"/>
    <n v="0"/>
    <n v="287.01"/>
    <x v="67"/>
    <n v="287.01"/>
    <x v="4"/>
  </r>
  <r>
    <x v="19"/>
    <s v="Laurent MONTAGNER"/>
    <x v="1"/>
    <x v="150"/>
    <x v="150"/>
    <n v="2"/>
    <s v="ADET"/>
    <n v="2"/>
    <n v="69"/>
    <n v="22"/>
    <n v="-38"/>
    <n v="0"/>
    <n v="0"/>
    <n v="640"/>
    <x v="29"/>
    <n v="1280"/>
    <x v="7"/>
  </r>
  <r>
    <x v="1"/>
    <s v="Laurent MONTAGNER"/>
    <x v="1"/>
    <x v="150"/>
    <x v="150"/>
    <n v="2"/>
    <s v="ADET"/>
    <n v="2"/>
    <n v="69"/>
    <n v="22"/>
    <n v="-38"/>
    <n v="0"/>
    <n v="0"/>
    <n v="640"/>
    <x v="29"/>
    <n v="1280"/>
    <x v="7"/>
  </r>
  <r>
    <x v="1"/>
    <s v="Laurent MONTAGNER"/>
    <x v="1"/>
    <x v="228"/>
    <x v="228"/>
    <n v="1"/>
    <s v="ADET"/>
    <n v="1"/>
    <n v="18"/>
    <n v="10"/>
    <n v="-5"/>
    <n v="0"/>
    <n v="0"/>
    <n v="1094.4000000000001"/>
    <x v="23"/>
    <n v="1094.4000000000001"/>
    <x v="7"/>
  </r>
  <r>
    <x v="13"/>
    <s v="Volkan Batkan"/>
    <x v="1"/>
    <x v="82"/>
    <x v="82"/>
    <n v="1"/>
    <s v="ADET"/>
    <n v="1"/>
    <n v="12"/>
    <n v="13"/>
    <n v="-5"/>
    <n v="0"/>
    <n v="0"/>
    <n v="28339.38"/>
    <x v="27"/>
    <n v="28339.38"/>
    <x v="2"/>
  </r>
  <r>
    <x v="6"/>
    <s v="Stefan Zaugg"/>
    <x v="1"/>
    <x v="16"/>
    <x v="16"/>
    <n v="0.25"/>
    <s v="KG"/>
    <n v="0.25"/>
    <n v="10"/>
    <n v="14.13"/>
    <n v="-15.809999999999999"/>
    <n v="10"/>
    <n v="0"/>
    <n v="393.83"/>
    <x v="8"/>
    <n v="98.457499999999996"/>
    <x v="3"/>
  </r>
  <r>
    <x v="1"/>
    <s v="Laurent MONTAGNER"/>
    <x v="1"/>
    <x v="390"/>
    <x v="390"/>
    <n v="2"/>
    <s v="ADET"/>
    <n v="2"/>
    <n v="9"/>
    <n v="6"/>
    <n v="11"/>
    <n v="0"/>
    <n v="831.71"/>
    <n v="75.61"/>
    <x v="67"/>
    <n v="151.22"/>
    <x v="2"/>
  </r>
  <r>
    <x v="6"/>
    <s v="Stefan Zaugg"/>
    <x v="1"/>
    <x v="357"/>
    <x v="357"/>
    <n v="2"/>
    <s v="ADET"/>
    <n v="2"/>
    <n v="2"/>
    <n v="8"/>
    <n v="24"/>
    <n v="0"/>
    <n v="1357.92"/>
    <n v="56.58"/>
    <x v="67"/>
    <n v="113.16"/>
    <x v="2"/>
  </r>
  <r>
    <x v="1"/>
    <s v="Laurent MONTAGNER"/>
    <x v="1"/>
    <x v="18"/>
    <x v="18"/>
    <n v="1"/>
    <s v="ADET"/>
    <n v="1"/>
    <n v="3"/>
    <n v="7"/>
    <n v="8"/>
    <n v="0"/>
    <n v="70583.44"/>
    <n v="8822.93"/>
    <x v="3"/>
    <n v="8822.93"/>
    <x v="4"/>
  </r>
  <r>
    <x v="6"/>
    <s v="Stefan Zaugg"/>
    <x v="1"/>
    <x v="197"/>
    <x v="197"/>
    <n v="2"/>
    <s v="ADET"/>
    <n v="2"/>
    <n v="40"/>
    <n v="18"/>
    <n v="-14"/>
    <n v="0"/>
    <n v="0"/>
    <n v="45.3"/>
    <x v="23"/>
    <n v="90.6"/>
    <x v="7"/>
  </r>
  <r>
    <x v="6"/>
    <s v="Stefan Zaugg"/>
    <x v="1"/>
    <x v="97"/>
    <x v="97"/>
    <n v="1"/>
    <s v="ADET"/>
    <n v="1"/>
    <n v="7"/>
    <n v="10"/>
    <n v="-43"/>
    <n v="50"/>
    <n v="0"/>
    <n v="839.2"/>
    <x v="33"/>
    <n v="839.2"/>
    <x v="7"/>
  </r>
  <r>
    <x v="6"/>
    <s v="Stefan Zaugg"/>
    <x v="1"/>
    <x v="370"/>
    <x v="370"/>
    <n v="1"/>
    <s v="ADET"/>
    <n v="1"/>
    <n v="6"/>
    <n v="7"/>
    <n v="-3"/>
    <n v="10"/>
    <n v="0"/>
    <n v="750"/>
    <x v="38"/>
    <n v="750"/>
    <x v="4"/>
  </r>
  <r>
    <x v="7"/>
    <s v="Stina Alm"/>
    <x v="1"/>
    <x v="372"/>
    <x v="372"/>
    <n v="1"/>
    <s v="ADET"/>
    <n v="0"/>
    <n v="3"/>
    <n v="6"/>
    <n v="10"/>
    <n v="0"/>
    <n v="121389.3"/>
    <n v="12138.93"/>
    <x v="3"/>
    <n v="12138.93"/>
    <x v="2"/>
  </r>
  <r>
    <x v="13"/>
    <s v="Volkan Batkan"/>
    <x v="1"/>
    <x v="372"/>
    <x v="372"/>
    <n v="1"/>
    <s v="ADET"/>
    <n v="1"/>
    <n v="3"/>
    <n v="6"/>
    <n v="10"/>
    <n v="0"/>
    <n v="121389.3"/>
    <n v="12138.93"/>
    <x v="3"/>
    <n v="12138.93"/>
    <x v="2"/>
  </r>
  <r>
    <x v="9"/>
    <s v="Stefan Zaugg"/>
    <x v="1"/>
    <x v="16"/>
    <x v="16"/>
    <n v="0.25"/>
    <s v="KG"/>
    <n v="0.25"/>
    <n v="10"/>
    <n v="14.13"/>
    <n v="-15.809999999999999"/>
    <n v="10"/>
    <n v="0"/>
    <n v="393.83"/>
    <x v="8"/>
    <n v="98.457499999999996"/>
    <x v="3"/>
  </r>
  <r>
    <x v="13"/>
    <s v="Volkan Batkan"/>
    <x v="1"/>
    <x v="16"/>
    <x v="16"/>
    <n v="0.35"/>
    <s v="KG"/>
    <n v="0.35"/>
    <n v="10"/>
    <n v="14.13"/>
    <n v="-15.809999999999999"/>
    <n v="10"/>
    <n v="0"/>
    <n v="393.83"/>
    <x v="8"/>
    <n v="137.84049999999999"/>
    <x v="3"/>
  </r>
  <r>
    <x v="6"/>
    <s v="Stefan Zaugg"/>
    <x v="1"/>
    <x v="43"/>
    <x v="43"/>
    <n v="2"/>
    <s v="ADET"/>
    <n v="2"/>
    <n v="44"/>
    <n v="12"/>
    <n v="-18"/>
    <n v="0"/>
    <n v="0"/>
    <n v="375"/>
    <x v="16"/>
    <n v="750"/>
    <x v="2"/>
  </r>
  <r>
    <x v="9"/>
    <s v="Stefan Zaugg"/>
    <x v="1"/>
    <x v="269"/>
    <x v="269"/>
    <n v="5.25"/>
    <s v="KG"/>
    <n v="5.25"/>
    <n v="110"/>
    <n v="57.22000000000007"/>
    <n v="-78.660000000000025"/>
    <n v="0"/>
    <n v="0"/>
    <n v="40"/>
    <x v="2"/>
    <n v="210"/>
    <x v="1"/>
  </r>
  <r>
    <x v="6"/>
    <s v="Stefan Zaugg"/>
    <x v="1"/>
    <x v="269"/>
    <x v="269"/>
    <n v="5.25"/>
    <s v="KG"/>
    <n v="5.25"/>
    <n v="110"/>
    <n v="57.22000000000007"/>
    <n v="-78.660000000000025"/>
    <n v="0"/>
    <n v="0"/>
    <n v="40"/>
    <x v="2"/>
    <n v="210"/>
    <x v="1"/>
  </r>
  <r>
    <x v="1"/>
    <s v="Laurent MONTAGNER"/>
    <x v="1"/>
    <x v="269"/>
    <x v="269"/>
    <n v="4.07"/>
    <s v="KG"/>
    <n v="4.07"/>
    <n v="110"/>
    <n v="57.22000000000007"/>
    <n v="-78.660000000000025"/>
    <n v="0"/>
    <n v="0"/>
    <n v="40"/>
    <x v="2"/>
    <n v="162.80000000000001"/>
    <x v="1"/>
  </r>
  <r>
    <x v="9"/>
    <s v="Stefan Zaugg"/>
    <x v="1"/>
    <x v="270"/>
    <x v="270"/>
    <n v="1"/>
    <s v="ADET"/>
    <n v="1"/>
    <n v="15"/>
    <n v="11"/>
    <n v="-1"/>
    <n v="0"/>
    <n v="0"/>
    <n v="237.5"/>
    <x v="1"/>
    <n v="237.5"/>
    <x v="1"/>
  </r>
  <r>
    <x v="6"/>
    <s v="Stefan Zaugg"/>
    <x v="1"/>
    <x v="270"/>
    <x v="270"/>
    <n v="1"/>
    <s v="ADET"/>
    <n v="1"/>
    <n v="15"/>
    <n v="11"/>
    <n v="-1"/>
    <n v="0"/>
    <n v="0"/>
    <n v="237.5"/>
    <x v="1"/>
    <n v="237.5"/>
    <x v="1"/>
  </r>
  <r>
    <x v="1"/>
    <s v="Laurent MONTAGNER"/>
    <x v="1"/>
    <x v="270"/>
    <x v="270"/>
    <n v="2"/>
    <s v="ADET"/>
    <n v="2"/>
    <n v="15"/>
    <n v="11"/>
    <n v="-1"/>
    <n v="0"/>
    <n v="0"/>
    <n v="237.5"/>
    <x v="1"/>
    <n v="475"/>
    <x v="1"/>
  </r>
  <r>
    <x v="2"/>
    <s v="Jan Urbanek"/>
    <x v="1"/>
    <x v="88"/>
    <x v="88"/>
    <n v="1"/>
    <s v="ADET"/>
    <n v="0"/>
    <n v="0"/>
    <n v="16"/>
    <n v="4"/>
    <n v="20"/>
    <n v="10905.68"/>
    <n v="2726.42"/>
    <x v="30"/>
    <n v="2726.42"/>
    <x v="6"/>
  </r>
  <r>
    <x v="1"/>
    <s v="Laurent MONTAGNER"/>
    <x v="1"/>
    <x v="505"/>
    <x v="505"/>
    <n v="1"/>
    <s v="ADET"/>
    <n v="1"/>
    <n v="1"/>
    <n v="2"/>
    <n v="-1"/>
    <n v="0"/>
    <n v="0"/>
    <n v="1050"/>
    <x v="38"/>
    <n v="1050"/>
    <x v="4"/>
  </r>
  <r>
    <x v="1"/>
    <s v="Laurent MONTAGNER"/>
    <x v="1"/>
    <x v="495"/>
    <x v="495"/>
    <n v="2"/>
    <s v="ADET"/>
    <n v="2"/>
    <n v="28"/>
    <n v="6"/>
    <n v="-8"/>
    <n v="0"/>
    <n v="0"/>
    <n v="50.41"/>
    <x v="67"/>
    <n v="100.82"/>
    <x v="2"/>
  </r>
  <r>
    <x v="9"/>
    <s v="Stefan Zaugg"/>
    <x v="1"/>
    <x v="261"/>
    <x v="261"/>
    <n v="3"/>
    <s v="ADET"/>
    <n v="3"/>
    <n v="35"/>
    <n v="24"/>
    <n v="10"/>
    <n v="0"/>
    <n v="17500"/>
    <n v="1750"/>
    <x v="77"/>
    <n v="5250"/>
    <x v="7"/>
  </r>
  <r>
    <x v="12"/>
    <s v="Stefan Zaugg"/>
    <x v="1"/>
    <x v="267"/>
    <x v="267"/>
    <n v="2"/>
    <s v="ADET"/>
    <n v="2"/>
    <n v="33"/>
    <n v="16"/>
    <n v="-31"/>
    <n v="0"/>
    <n v="0"/>
    <n v="930"/>
    <x v="29"/>
    <n v="1860"/>
    <x v="7"/>
  </r>
  <r>
    <x v="1"/>
    <s v="Laurent MONTAGNER"/>
    <x v="1"/>
    <x v="181"/>
    <x v="181"/>
    <n v="10.62"/>
    <s v="KG"/>
    <n v="10.62"/>
    <n v="0"/>
    <n v="260.61000000000013"/>
    <n v="97.560000000000016"/>
    <n v="0"/>
    <n v="13285.720800000003"/>
    <n v="136.18"/>
    <x v="64"/>
    <n v="1446.2316000000001"/>
    <x v="3"/>
  </r>
  <r>
    <x v="17"/>
    <s v="Soner Kayıkçı"/>
    <x v="1"/>
    <x v="452"/>
    <x v="452"/>
    <n v="0.1"/>
    <s v="ADET"/>
    <n v="0"/>
    <n v="2"/>
    <n v="3.3306690738754696E-16"/>
    <n v="1.4000000000000008"/>
    <n v="0"/>
    <n v="3889.2000000000021"/>
    <n v="2778"/>
    <x v="56"/>
    <n v="277.8"/>
    <x v="3"/>
  </r>
  <r>
    <x v="13"/>
    <s v="Volkan Batkan"/>
    <x v="1"/>
    <x v="138"/>
    <x v="138"/>
    <n v="16"/>
    <s v="ADET"/>
    <n v="16"/>
    <n v="500"/>
    <n v="490"/>
    <n v="-294"/>
    <n v="0"/>
    <n v="0"/>
    <n v="1.6"/>
    <x v="2"/>
    <n v="25.6"/>
    <x v="1"/>
  </r>
  <r>
    <x v="1"/>
    <s v="Laurent MONTAGNER"/>
    <x v="1"/>
    <x v="216"/>
    <x v="216"/>
    <n v="9"/>
    <s v="ADET"/>
    <n v="9"/>
    <n v="400"/>
    <n v="225"/>
    <n v="-292"/>
    <n v="0"/>
    <n v="0"/>
    <n v="12"/>
    <x v="14"/>
    <n v="108"/>
    <x v="1"/>
  </r>
  <r>
    <x v="14"/>
    <s v="Matteo Giolo"/>
    <x v="1"/>
    <x v="84"/>
    <x v="84"/>
    <n v="2"/>
    <s v="ADET"/>
    <n v="0"/>
    <n v="239"/>
    <n v="90"/>
    <n v="-201"/>
    <n v="0"/>
    <n v="0"/>
    <n v="4"/>
    <x v="29"/>
    <n v="8"/>
    <x v="7"/>
  </r>
  <r>
    <x v="9"/>
    <s v="Stefan Zaugg"/>
    <x v="1"/>
    <x v="24"/>
    <x v="24"/>
    <n v="4"/>
    <s v="KG"/>
    <n v="4"/>
    <n v="120"/>
    <n v="113.68999999999977"/>
    <n v="-176.87000000000003"/>
    <n v="120"/>
    <n v="0"/>
    <n v="101.44"/>
    <x v="8"/>
    <n v="405.76"/>
    <x v="3"/>
  </r>
  <r>
    <x v="13"/>
    <s v="Volkan Batkan"/>
    <x v="1"/>
    <x v="24"/>
    <x v="24"/>
    <n v="5.5"/>
    <s v="KG"/>
    <n v="5.5"/>
    <n v="120"/>
    <n v="113.68999999999977"/>
    <n v="-176.87000000000003"/>
    <n v="120"/>
    <n v="0"/>
    <n v="101.44"/>
    <x v="8"/>
    <n v="557.91999999999996"/>
    <x v="3"/>
  </r>
  <r>
    <x v="10"/>
    <s v="Murat Taşdemir"/>
    <x v="1"/>
    <x v="109"/>
    <x v="109"/>
    <n v="1.1499999999999999"/>
    <s v="ADET"/>
    <n v="1.1499999999999999"/>
    <n v="0"/>
    <n v="5.6000000000000014"/>
    <n v="7.200000000000002"/>
    <n v="0"/>
    <n v="1170.0720000000003"/>
    <n v="162.51"/>
    <x v="8"/>
    <n v="186.88649999999998"/>
    <x v="3"/>
  </r>
  <r>
    <x v="6"/>
    <s v="Stefan Zaugg"/>
    <x v="1"/>
    <x v="110"/>
    <x v="110"/>
    <n v="1"/>
    <s v="ADET"/>
    <n v="1"/>
    <n v="2"/>
    <n v="8"/>
    <n v="6"/>
    <n v="5"/>
    <n v="18914.400000000001"/>
    <n v="3152.4"/>
    <x v="43"/>
    <n v="3152.4"/>
    <x v="7"/>
  </r>
  <r>
    <x v="7"/>
    <s v="Stina Alm"/>
    <x v="1"/>
    <x v="109"/>
    <x v="109"/>
    <n v="1.05"/>
    <s v="ADET"/>
    <n v="0"/>
    <n v="0"/>
    <n v="5.6000000000000014"/>
    <n v="7.200000000000002"/>
    <n v="0"/>
    <n v="1170.0720000000003"/>
    <n v="162.51"/>
    <x v="8"/>
    <n v="170.63550000000001"/>
    <x v="3"/>
  </r>
  <r>
    <x v="3"/>
    <s v="Jan Urbanek"/>
    <x v="1"/>
    <x v="213"/>
    <x v="213"/>
    <n v="3"/>
    <s v="ADET"/>
    <n v="0"/>
    <n v="111"/>
    <n v="4.2632564145606011E-14"/>
    <n v="-52.539999999999992"/>
    <n v="0"/>
    <n v="0"/>
    <n v="36"/>
    <x v="2"/>
    <n v="108"/>
    <x v="1"/>
  </r>
  <r>
    <x v="5"/>
    <s v="Matteo Giolo"/>
    <x v="1"/>
    <x v="212"/>
    <x v="212"/>
    <n v="1.5"/>
    <s v="ADET"/>
    <n v="0"/>
    <n v="72"/>
    <n v="2"/>
    <n v="-43.5"/>
    <n v="0"/>
    <n v="0"/>
    <n v="5"/>
    <x v="2"/>
    <n v="7.5"/>
    <x v="1"/>
  </r>
  <r>
    <x v="6"/>
    <s v="Stefan Zaugg"/>
    <x v="1"/>
    <x v="22"/>
    <x v="22"/>
    <n v="1"/>
    <s v="ADET"/>
    <n v="1"/>
    <n v="13"/>
    <n v="4"/>
    <n v="-6"/>
    <n v="0"/>
    <n v="0"/>
    <n v="1250"/>
    <x v="9"/>
    <n v="1250"/>
    <x v="2"/>
  </r>
  <r>
    <x v="9"/>
    <s v="Stefan Zaugg"/>
    <x v="1"/>
    <x v="377"/>
    <x v="377"/>
    <n v="2"/>
    <s v="ADET"/>
    <n v="2"/>
    <n v="9"/>
    <n v="20"/>
    <n v="11"/>
    <n v="0"/>
    <n v="164408.75"/>
    <n v="14946.25"/>
    <x v="58"/>
    <n v="29892.5"/>
    <x v="4"/>
  </r>
  <r>
    <x v="9"/>
    <s v="Stefan Zaugg"/>
    <x v="1"/>
    <x v="212"/>
    <x v="212"/>
    <n v="1.5"/>
    <s v="ADET"/>
    <n v="0"/>
    <n v="72"/>
    <n v="2"/>
    <n v="-43.5"/>
    <n v="0"/>
    <n v="0"/>
    <n v="5"/>
    <x v="2"/>
    <n v="7.5"/>
    <x v="1"/>
  </r>
  <r>
    <x v="11"/>
    <s v="Jan Urbanek"/>
    <x v="1"/>
    <x v="25"/>
    <x v="25"/>
    <n v="8.6"/>
    <s v="ADET"/>
    <n v="0"/>
    <n v="96"/>
    <n v="195.44000000000005"/>
    <n v="63.92"/>
    <n v="0"/>
    <n v="8241.2056000000011"/>
    <n v="128.93"/>
    <x v="11"/>
    <n v="1108.798"/>
    <x v="1"/>
  </r>
  <r>
    <x v="2"/>
    <s v="Jan Urbanek"/>
    <x v="1"/>
    <x v="211"/>
    <x v="211"/>
    <n v="2.8"/>
    <s v="ADET"/>
    <n v="0"/>
    <n v="0"/>
    <n v="-9.7699626167013776E-15"/>
    <n v="13.000000000000007"/>
    <n v="11"/>
    <n v="23833.290000000012"/>
    <n v="1833.33"/>
    <x v="61"/>
    <n v="5133.3239999999996"/>
    <x v="8"/>
  </r>
  <r>
    <x v="0"/>
    <s v="Matteo Giolo"/>
    <x v="1"/>
    <x v="85"/>
    <x v="85"/>
    <n v="1"/>
    <s v="ADET"/>
    <n v="0"/>
    <n v="7"/>
    <n v="10"/>
    <n v="6"/>
    <n v="0"/>
    <n v="20303.939999999999"/>
    <n v="3383.99"/>
    <x v="15"/>
    <n v="3383.99"/>
    <x v="7"/>
  </r>
  <r>
    <x v="15"/>
    <s v="Hayriye Güven"/>
    <x v="1"/>
    <x v="110"/>
    <x v="110"/>
    <n v="2"/>
    <s v="ADET"/>
    <n v="0"/>
    <n v="2"/>
    <n v="8"/>
    <n v="6"/>
    <n v="5"/>
    <n v="18914.400000000001"/>
    <n v="3152.4"/>
    <x v="43"/>
    <n v="6304.8"/>
    <x v="7"/>
  </r>
  <r>
    <x v="19"/>
    <s v="Laurent MONTAGNER"/>
    <x v="1"/>
    <x v="24"/>
    <x v="24"/>
    <n v="6.28"/>
    <s v="KG"/>
    <n v="6.28"/>
    <n v="120"/>
    <n v="113.68999999999977"/>
    <n v="-176.87000000000003"/>
    <n v="120"/>
    <n v="0"/>
    <n v="101.44"/>
    <x v="8"/>
    <n v="637.04319999999996"/>
    <x v="3"/>
  </r>
  <r>
    <x v="3"/>
    <s v="Jan Urbanek"/>
    <x v="1"/>
    <x v="109"/>
    <x v="109"/>
    <n v="0.54999999999999993"/>
    <s v="ADET"/>
    <n v="0.54999999999999993"/>
    <n v="0"/>
    <n v="5.6000000000000014"/>
    <n v="7.200000000000002"/>
    <n v="0"/>
    <n v="1170.0720000000003"/>
    <n v="162.51"/>
    <x v="8"/>
    <n v="89.380499999999984"/>
    <x v="3"/>
  </r>
  <r>
    <x v="1"/>
    <s v="Laurent MONTAGNER"/>
    <x v="1"/>
    <x v="19"/>
    <x v="19"/>
    <n v="110"/>
    <s v="ADET"/>
    <n v="0"/>
    <n v="3000"/>
    <n v="1048"/>
    <n v="-967"/>
    <n v="0"/>
    <n v="0"/>
    <n v="2.92"/>
    <x v="1"/>
    <n v="321.2"/>
    <x v="1"/>
  </r>
  <r>
    <x v="3"/>
    <s v="Jan Urbanek"/>
    <x v="1"/>
    <x v="211"/>
    <x v="211"/>
    <n v="2.8"/>
    <s v="ADET"/>
    <n v="2.8"/>
    <n v="0"/>
    <n v="-9.7699626167013776E-15"/>
    <n v="13.000000000000007"/>
    <n v="11"/>
    <n v="23833.290000000012"/>
    <n v="1833.33"/>
    <x v="61"/>
    <n v="5133.3239999999996"/>
    <x v="8"/>
  </r>
  <r>
    <x v="19"/>
    <s v="Laurent MONTAGNER"/>
    <x v="1"/>
    <x v="110"/>
    <x v="110"/>
    <n v="1"/>
    <s v="ADET"/>
    <n v="1"/>
    <n v="2"/>
    <n v="8"/>
    <n v="6"/>
    <n v="5"/>
    <n v="18914.400000000001"/>
    <n v="3152.4"/>
    <x v="43"/>
    <n v="3152.4"/>
    <x v="7"/>
  </r>
  <r>
    <x v="19"/>
    <s v="Laurent MONTAGNER"/>
    <x v="1"/>
    <x v="216"/>
    <x v="216"/>
    <n v="9"/>
    <s v="ADET"/>
    <n v="9"/>
    <n v="400"/>
    <n v="225"/>
    <n v="-292"/>
    <n v="0"/>
    <n v="0"/>
    <n v="12"/>
    <x v="14"/>
    <n v="108"/>
    <x v="1"/>
  </r>
  <r>
    <x v="2"/>
    <s v="Jan Urbanek"/>
    <x v="1"/>
    <x v="20"/>
    <x v="20"/>
    <n v="45"/>
    <s v="ADET"/>
    <n v="0"/>
    <n v="2200"/>
    <n v="0"/>
    <n v="-1626"/>
    <n v="0"/>
    <n v="0"/>
    <n v="0.7"/>
    <x v="2"/>
    <n v="31.499999999999996"/>
    <x v="1"/>
  </r>
  <r>
    <x v="6"/>
    <s v="Stefan Zaugg"/>
    <x v="1"/>
    <x v="265"/>
    <x v="265"/>
    <n v="1"/>
    <s v="ADET"/>
    <n v="1"/>
    <n v="14"/>
    <n v="8"/>
    <n v="-1"/>
    <n v="0"/>
    <n v="0"/>
    <n v="270"/>
    <x v="29"/>
    <n v="270"/>
    <x v="7"/>
  </r>
  <r>
    <x v="19"/>
    <s v="Laurent MONTAGNER"/>
    <x v="1"/>
    <x v="265"/>
    <x v="265"/>
    <n v="1"/>
    <s v="ADET"/>
    <n v="1"/>
    <n v="14"/>
    <n v="8"/>
    <n v="-1"/>
    <n v="0"/>
    <n v="0"/>
    <n v="270"/>
    <x v="29"/>
    <n v="270"/>
    <x v="7"/>
  </r>
  <r>
    <x v="3"/>
    <s v="Jan Urbanek"/>
    <x v="1"/>
    <x v="218"/>
    <x v="218"/>
    <n v="4"/>
    <s v="ADET"/>
    <n v="0"/>
    <n v="105"/>
    <n v="56"/>
    <n v="-8"/>
    <n v="0"/>
    <n v="0"/>
    <n v="72.599999999999994"/>
    <x v="2"/>
    <n v="290.39999999999998"/>
    <x v="4"/>
  </r>
  <r>
    <x v="8"/>
    <s v="Jan Urbanek"/>
    <x v="1"/>
    <x v="82"/>
    <x v="82"/>
    <n v="1"/>
    <s v="ADET"/>
    <n v="1"/>
    <n v="12"/>
    <n v="13"/>
    <n v="-5"/>
    <n v="0"/>
    <n v="0"/>
    <n v="28339.38"/>
    <x v="27"/>
    <n v="28339.38"/>
    <x v="2"/>
  </r>
  <r>
    <x v="12"/>
    <s v="Stefan Zaugg"/>
    <x v="1"/>
    <x v="431"/>
    <x v="431"/>
    <n v="1"/>
    <s v="ADET"/>
    <n v="1"/>
    <n v="19"/>
    <n v="4"/>
    <n v="-12"/>
    <n v="0"/>
    <n v="0"/>
    <n v="85"/>
    <x v="12"/>
    <n v="85"/>
    <x v="4"/>
  </r>
  <r>
    <x v="1"/>
    <s v="Laurent MONTAGNER"/>
    <x v="1"/>
    <x v="407"/>
    <x v="407"/>
    <n v="1.35"/>
    <s v="ADET"/>
    <n v="1.35"/>
    <n v="49"/>
    <n v="1.6000000000000014"/>
    <n v="-37.599999999999994"/>
    <n v="0"/>
    <n v="0"/>
    <n v="60"/>
    <x v="8"/>
    <n v="81"/>
    <x v="1"/>
  </r>
  <r>
    <x v="9"/>
    <s v="Stefan Zaugg"/>
    <x v="1"/>
    <x v="78"/>
    <x v="78"/>
    <n v="1.1709999999999998"/>
    <s v="KG"/>
    <n v="1.1709999999999998"/>
    <n v="0"/>
    <n v="65.031000000000006"/>
    <n v="17.948000000000004"/>
    <n v="0"/>
    <n v="6991.2844400000013"/>
    <n v="389.53"/>
    <x v="8"/>
    <n v="456.1396299999999"/>
    <x v="3"/>
  </r>
  <r>
    <x v="1"/>
    <s v="Laurent MONTAGNER"/>
    <x v="1"/>
    <x v="81"/>
    <x v="81"/>
    <n v="1"/>
    <s v="ADET"/>
    <n v="1"/>
    <n v="2"/>
    <n v="8"/>
    <n v="0"/>
    <n v="11"/>
    <n v="0"/>
    <n v="675"/>
    <x v="20"/>
    <n v="675"/>
    <x v="2"/>
  </r>
  <r>
    <x v="1"/>
    <s v="Laurent MONTAGNER"/>
    <x v="1"/>
    <x v="419"/>
    <x v="419"/>
    <n v="4"/>
    <s v="ADET"/>
    <n v="4"/>
    <n v="42"/>
    <n v="20"/>
    <n v="1"/>
    <n v="0"/>
    <n v="348.7"/>
    <n v="348.7"/>
    <x v="67"/>
    <n v="1394.8"/>
    <x v="2"/>
  </r>
  <r>
    <x v="9"/>
    <s v="Stefan Zaugg"/>
    <x v="1"/>
    <x v="431"/>
    <x v="431"/>
    <n v="1"/>
    <s v="ADET"/>
    <n v="1"/>
    <n v="19"/>
    <n v="4"/>
    <n v="-12"/>
    <n v="0"/>
    <n v="0"/>
    <n v="85"/>
    <x v="12"/>
    <n v="85"/>
    <x v="4"/>
  </r>
  <r>
    <x v="6"/>
    <s v="Stefan Zaugg"/>
    <x v="1"/>
    <x v="503"/>
    <x v="503"/>
    <n v="1"/>
    <s v="ADET"/>
    <n v="1"/>
    <n v="2"/>
    <n v="2"/>
    <n v="-2"/>
    <n v="0"/>
    <n v="0"/>
    <n v="400"/>
    <x v="92"/>
    <n v="400"/>
    <x v="4"/>
  </r>
  <r>
    <x v="12"/>
    <s v="Stefan Zaugg"/>
    <x v="1"/>
    <x v="418"/>
    <x v="418"/>
    <n v="2"/>
    <s v="ADET"/>
    <n v="2"/>
    <n v="4"/>
    <n v="12"/>
    <n v="-4"/>
    <n v="0"/>
    <n v="0"/>
    <n v="1028.73"/>
    <x v="67"/>
    <n v="2057.46"/>
    <x v="4"/>
  </r>
  <r>
    <x v="12"/>
    <s v="Stefan Zaugg"/>
    <x v="1"/>
    <x v="78"/>
    <x v="78"/>
    <n v="1.0209999999999999"/>
    <s v="KG"/>
    <n v="1.0209999999999999"/>
    <n v="0"/>
    <n v="65.031000000000006"/>
    <n v="17.948000000000004"/>
    <n v="0"/>
    <n v="6991.2844400000013"/>
    <n v="389.53"/>
    <x v="8"/>
    <n v="397.71012999999994"/>
    <x v="3"/>
  </r>
  <r>
    <x v="14"/>
    <s v="Matteo Giolo"/>
    <x v="1"/>
    <x v="80"/>
    <x v="80"/>
    <n v="11"/>
    <s v="ADET"/>
    <n v="0"/>
    <n v="85"/>
    <n v="43"/>
    <n v="-15"/>
    <n v="40"/>
    <n v="0"/>
    <n v="60"/>
    <x v="12"/>
    <n v="660"/>
    <x v="1"/>
  </r>
  <r>
    <x v="13"/>
    <s v="Volkan Batkan"/>
    <x v="1"/>
    <x v="199"/>
    <x v="199"/>
    <n v="4"/>
    <s v="ADET"/>
    <n v="4"/>
    <n v="200"/>
    <n v="343"/>
    <n v="-8"/>
    <n v="0"/>
    <n v="0"/>
    <n v="9"/>
    <x v="2"/>
    <n v="36"/>
    <x v="1"/>
  </r>
  <r>
    <x v="12"/>
    <s v="Stefan Zaugg"/>
    <x v="1"/>
    <x v="302"/>
    <x v="302"/>
    <n v="1"/>
    <s v="ADET"/>
    <n v="1"/>
    <n v="1"/>
    <n v="11"/>
    <n v="16"/>
    <n v="0"/>
    <n v="212968.32000000001"/>
    <n v="13310.52"/>
    <x v="65"/>
    <n v="13310.52"/>
    <x v="2"/>
  </r>
  <r>
    <x v="12"/>
    <s v="Stefan Zaugg"/>
    <x v="0"/>
    <x v="511"/>
    <x v="511"/>
    <n v="1"/>
    <s v="ADET"/>
    <n v="1"/>
    <n v="0"/>
    <n v="0"/>
    <n v="0"/>
    <n v="0"/>
    <n v="0"/>
    <m/>
    <x v="113"/>
    <m/>
    <x v="2"/>
  </r>
  <r>
    <x v="6"/>
    <s v="Stefan Zaugg"/>
    <x v="0"/>
    <x v="0"/>
    <x v="0"/>
    <n v="1"/>
    <s v="ADET"/>
    <n v="1"/>
    <n v="3"/>
    <n v="8"/>
    <n v="10"/>
    <n v="0"/>
    <n v="0"/>
    <m/>
    <x v="0"/>
    <m/>
    <x v="0"/>
  </r>
  <r>
    <x v="12"/>
    <s v="Stefan Zaugg"/>
    <x v="1"/>
    <x v="508"/>
    <x v="508"/>
    <n v="1"/>
    <s v="ADET"/>
    <n v="1"/>
    <n v="2"/>
    <n v="2"/>
    <n v="-2"/>
    <n v="0"/>
    <n v="0"/>
    <n v="400"/>
    <x v="92"/>
    <n v="400"/>
    <x v="4"/>
  </r>
  <r>
    <x v="12"/>
    <s v="Stefan Zaugg"/>
    <x v="1"/>
    <x v="352"/>
    <x v="352"/>
    <n v="1"/>
    <s v="ADET"/>
    <n v="1"/>
    <n v="0"/>
    <n v="10"/>
    <n v="9"/>
    <n v="5"/>
    <n v="53946.090000000004"/>
    <n v="5994.01"/>
    <x v="43"/>
    <n v="5994.01"/>
    <x v="7"/>
  </r>
  <r>
    <x v="13"/>
    <s v="Volkan Batkan"/>
    <x v="1"/>
    <x v="352"/>
    <x v="352"/>
    <n v="1"/>
    <s v="ADET"/>
    <n v="1"/>
    <n v="0"/>
    <n v="10"/>
    <n v="9"/>
    <n v="5"/>
    <n v="53946.090000000004"/>
    <n v="5994.01"/>
    <x v="43"/>
    <n v="5994.01"/>
    <x v="7"/>
  </r>
  <r>
    <x v="13"/>
    <s v="Volkan Batkan"/>
    <x v="1"/>
    <x v="4"/>
    <x v="4"/>
    <n v="1"/>
    <s v="ADET"/>
    <n v="1"/>
    <n v="7"/>
    <n v="6"/>
    <n v="5"/>
    <n v="0"/>
    <n v="12288.25"/>
    <n v="2457.65"/>
    <x v="3"/>
    <n v="2457.65"/>
    <x v="2"/>
  </r>
  <r>
    <x v="12"/>
    <s v="Stefan Zaugg"/>
    <x v="1"/>
    <x v="105"/>
    <x v="105"/>
    <n v="47"/>
    <s v="ADET"/>
    <n v="0"/>
    <n v="1200"/>
    <n v="196"/>
    <n v="-291"/>
    <n v="0"/>
    <n v="0"/>
    <n v="12.5"/>
    <x v="39"/>
    <n v="587.5"/>
    <x v="1"/>
  </r>
  <r>
    <x v="5"/>
    <s v="Matteo Giolo"/>
    <x v="1"/>
    <x v="105"/>
    <x v="105"/>
    <n v="42"/>
    <s v="ADET"/>
    <n v="0"/>
    <n v="1200"/>
    <n v="196"/>
    <n v="-291"/>
    <n v="0"/>
    <n v="0"/>
    <n v="12.5"/>
    <x v="39"/>
    <n v="525"/>
    <x v="1"/>
  </r>
  <r>
    <x v="1"/>
    <s v="Laurent MONTAGNER"/>
    <x v="1"/>
    <x v="8"/>
    <x v="8"/>
    <n v="2"/>
    <s v="ADET"/>
    <n v="2"/>
    <n v="24"/>
    <n v="27"/>
    <n v="1"/>
    <n v="0"/>
    <n v="42"/>
    <n v="42"/>
    <x v="4"/>
    <n v="84"/>
    <x v="1"/>
  </r>
  <r>
    <x v="19"/>
    <s v="Laurent MONTAGNER"/>
    <x v="1"/>
    <x v="331"/>
    <x v="331"/>
    <n v="2"/>
    <s v="ADET"/>
    <n v="2"/>
    <n v="64.5"/>
    <n v="20"/>
    <n v="-14.5"/>
    <n v="0"/>
    <n v="0"/>
    <n v="200"/>
    <x v="16"/>
    <n v="400"/>
    <x v="2"/>
  </r>
  <r>
    <x v="1"/>
    <s v="Laurent MONTAGNER"/>
    <x v="1"/>
    <x v="60"/>
    <x v="60"/>
    <n v="1"/>
    <s v="ADET"/>
    <n v="1"/>
    <n v="6"/>
    <n v="10"/>
    <n v="7"/>
    <n v="0"/>
    <n v="12435.01"/>
    <n v="1776.43"/>
    <x v="3"/>
    <n v="1776.43"/>
    <x v="4"/>
  </r>
  <r>
    <x v="19"/>
    <s v="Laurent MONTAGNER"/>
    <x v="1"/>
    <x v="305"/>
    <x v="305"/>
    <n v="1"/>
    <s v="ADET"/>
    <n v="1"/>
    <n v="26"/>
    <n v="3"/>
    <n v="-12"/>
    <n v="0"/>
    <n v="0"/>
    <n v="360.05"/>
    <x v="67"/>
    <n v="360.05"/>
    <x v="4"/>
  </r>
  <r>
    <x v="5"/>
    <s v="Matteo Giolo"/>
    <x v="1"/>
    <x v="6"/>
    <x v="6"/>
    <n v="51"/>
    <s v="ADET"/>
    <n v="0"/>
    <n v="2800"/>
    <n v="2438.9999999999991"/>
    <n v="-1645"/>
    <n v="0"/>
    <n v="0"/>
    <n v="0.18"/>
    <x v="2"/>
    <n v="9.18"/>
    <x v="1"/>
  </r>
  <r>
    <x v="3"/>
    <s v="Jan Urbanek"/>
    <x v="1"/>
    <x v="347"/>
    <x v="347"/>
    <n v="50"/>
    <s v="METRE"/>
    <n v="0"/>
    <n v="0"/>
    <n v="57"/>
    <n v="350"/>
    <n v="0"/>
    <n v="3132.4999999999995"/>
    <n v="8.9499999999999993"/>
    <x v="61"/>
    <n v="447.49999999999994"/>
    <x v="8"/>
  </r>
  <r>
    <x v="15"/>
    <s v="Hayriye Güven"/>
    <x v="1"/>
    <x v="512"/>
    <x v="512"/>
    <n v="1"/>
    <s v="ADET"/>
    <n v="1"/>
    <n v="0"/>
    <n v="1"/>
    <n v="0"/>
    <n v="0"/>
    <n v="0"/>
    <n v="39845.54"/>
    <x v="15"/>
    <n v="39845.54"/>
    <x v="2"/>
  </r>
  <r>
    <x v="3"/>
    <s v="Jan Urbanek"/>
    <x v="1"/>
    <x v="92"/>
    <x v="92"/>
    <n v="229"/>
    <s v="ADET"/>
    <n v="0"/>
    <n v="4000"/>
    <n v="7366"/>
    <n v="-714"/>
    <n v="0"/>
    <n v="0"/>
    <n v="0.35"/>
    <x v="2"/>
    <n v="80.149999999999991"/>
    <x v="1"/>
  </r>
  <r>
    <x v="6"/>
    <s v="Stefan Zaugg"/>
    <x v="1"/>
    <x v="170"/>
    <x v="170"/>
    <n v="1"/>
    <s v="ADET"/>
    <n v="1"/>
    <n v="5"/>
    <n v="10"/>
    <n v="7"/>
    <n v="0"/>
    <n v="85641.010000000009"/>
    <n v="12234.43"/>
    <x v="15"/>
    <n v="12234.43"/>
    <x v="7"/>
  </r>
  <r>
    <x v="13"/>
    <s v="Volkan Batkan"/>
    <x v="1"/>
    <x v="462"/>
    <x v="462"/>
    <n v="4"/>
    <s v="ADET"/>
    <n v="4"/>
    <n v="6"/>
    <n v="8"/>
    <n v="26"/>
    <n v="0"/>
    <n v="41686.58"/>
    <n v="1603.33"/>
    <x v="84"/>
    <n v="6413.32"/>
    <x v="7"/>
  </r>
  <r>
    <x v="18"/>
    <s v="Stina Alm"/>
    <x v="1"/>
    <x v="422"/>
    <x v="422"/>
    <n v="16.240000000000002"/>
    <s v="ADET"/>
    <n v="0"/>
    <n v="0"/>
    <n v="24.049999999999969"/>
    <n v="147.72000000000003"/>
    <n v="34"/>
    <n v="249893.49240000005"/>
    <n v="1691.67"/>
    <x v="61"/>
    <n v="27472.720800000003"/>
    <x v="8"/>
  </r>
  <r>
    <x v="8"/>
    <s v="Jan Urbanek"/>
    <x v="1"/>
    <x v="144"/>
    <x v="144"/>
    <n v="1"/>
    <s v="ADET"/>
    <n v="0"/>
    <n v="14"/>
    <n v="1"/>
    <n v="-7"/>
    <n v="0"/>
    <n v="0"/>
    <n v="458.33"/>
    <x v="1"/>
    <n v="458.33"/>
    <x v="2"/>
  </r>
  <r>
    <x v="6"/>
    <s v="Stefan Zaugg"/>
    <x v="1"/>
    <x v="500"/>
    <x v="500"/>
    <n v="0.5"/>
    <s v="ADET"/>
    <n v="0.5"/>
    <n v="0"/>
    <n v="2"/>
    <n v="0"/>
    <n v="0"/>
    <n v="0"/>
    <n v="2010.25"/>
    <x v="110"/>
    <n v="1005.125"/>
    <x v="1"/>
  </r>
  <r>
    <x v="12"/>
    <s v="Stefan Zaugg"/>
    <x v="1"/>
    <x v="427"/>
    <x v="427"/>
    <n v="1"/>
    <s v="ADET"/>
    <n v="1"/>
    <n v="6"/>
    <n v="9"/>
    <n v="0"/>
    <n v="7"/>
    <n v="0"/>
    <n v="1535.25"/>
    <x v="24"/>
    <n v="1535.25"/>
    <x v="7"/>
  </r>
  <r>
    <x v="5"/>
    <s v="Matteo Giolo"/>
    <x v="1"/>
    <x v="145"/>
    <x v="145"/>
    <n v="0.01"/>
    <s v="ADET"/>
    <n v="0"/>
    <n v="6"/>
    <n v="22.53"/>
    <n v="-5.5"/>
    <n v="0"/>
    <n v="0"/>
    <n v="133"/>
    <x v="55"/>
    <n v="1.33"/>
    <x v="3"/>
  </r>
  <r>
    <x v="4"/>
    <s v="Jan Urbanek"/>
    <x v="1"/>
    <x v="143"/>
    <x v="143"/>
    <n v="0.05"/>
    <s v="ADET"/>
    <n v="0"/>
    <n v="1"/>
    <n v="0.93000000000000205"/>
    <n v="0.26000000000000023"/>
    <n v="0"/>
    <n v="396.50000000000034"/>
    <n v="1525"/>
    <x v="2"/>
    <n v="76.25"/>
    <x v="1"/>
  </r>
  <r>
    <x v="1"/>
    <s v="Laurent MONTAGNER"/>
    <x v="1"/>
    <x v="170"/>
    <x v="170"/>
    <n v="1"/>
    <s v="ADET"/>
    <n v="1"/>
    <n v="5"/>
    <n v="10"/>
    <n v="7"/>
    <n v="0"/>
    <n v="85641.010000000009"/>
    <n v="12234.43"/>
    <x v="15"/>
    <n v="12234.43"/>
    <x v="7"/>
  </r>
  <r>
    <x v="9"/>
    <s v="Stefan Zaugg"/>
    <x v="1"/>
    <x v="427"/>
    <x v="427"/>
    <n v="1"/>
    <s v="ADET"/>
    <n v="1"/>
    <n v="6"/>
    <n v="9"/>
    <n v="0"/>
    <n v="7"/>
    <n v="0"/>
    <n v="1535.25"/>
    <x v="24"/>
    <n v="1535.25"/>
    <x v="7"/>
  </r>
  <r>
    <x v="9"/>
    <s v="Stefan Zaugg"/>
    <x v="1"/>
    <x v="142"/>
    <x v="142"/>
    <n v="1"/>
    <s v="ADET"/>
    <n v="1"/>
    <n v="13"/>
    <n v="6"/>
    <n v="-10"/>
    <n v="0"/>
    <n v="0"/>
    <n v="344.14"/>
    <x v="54"/>
    <n v="344.14"/>
    <x v="1"/>
  </r>
  <r>
    <x v="12"/>
    <s v="Stefan Zaugg"/>
    <x v="1"/>
    <x v="426"/>
    <x v="426"/>
    <n v="2.4700000000000002"/>
    <s v="KG"/>
    <n v="2.4700000000000002"/>
    <n v="0"/>
    <n v="154.9500000000001"/>
    <n v="21.899999999999991"/>
    <n v="60"/>
    <n v="4265.0249999999987"/>
    <n v="194.75"/>
    <x v="8"/>
    <n v="481.03250000000003"/>
    <x v="3"/>
  </r>
  <r>
    <x v="13"/>
    <s v="Volkan Batkan"/>
    <x v="1"/>
    <x v="427"/>
    <x v="427"/>
    <n v="1"/>
    <s v="ADET"/>
    <n v="1"/>
    <n v="6"/>
    <n v="9"/>
    <n v="0"/>
    <n v="7"/>
    <n v="0"/>
    <n v="1535.25"/>
    <x v="24"/>
    <n v="1535.25"/>
    <x v="7"/>
  </r>
  <r>
    <x v="3"/>
    <s v="Jan Urbanek"/>
    <x v="1"/>
    <x v="424"/>
    <x v="424"/>
    <n v="18"/>
    <s v="ADET"/>
    <n v="18"/>
    <n v="180"/>
    <n v="80"/>
    <n v="32"/>
    <n v="0"/>
    <n v="7680"/>
    <n v="240"/>
    <x v="2"/>
    <n v="4320"/>
    <x v="1"/>
  </r>
  <r>
    <x v="16"/>
    <s v="Laurent MONTAGNER"/>
    <x v="1"/>
    <x v="426"/>
    <x v="426"/>
    <n v="17.100000000000001"/>
    <s v="KG"/>
    <n v="17.100000000000001"/>
    <n v="0"/>
    <n v="154.9500000000001"/>
    <n v="21.899999999999991"/>
    <n v="60"/>
    <n v="4265.0249999999987"/>
    <n v="194.75"/>
    <x v="8"/>
    <n v="3330.2250000000004"/>
    <x v="3"/>
  </r>
  <r>
    <x v="9"/>
    <s v="Stefan Zaugg"/>
    <x v="1"/>
    <x v="169"/>
    <x v="169"/>
    <n v="78.63"/>
    <s v="KG"/>
    <n v="78.63"/>
    <n v="1840"/>
    <n v="973.6200000000008"/>
    <n v="-1630.1299999999997"/>
    <n v="920"/>
    <n v="0"/>
    <n v="94.86"/>
    <x v="8"/>
    <n v="7458.8417999999992"/>
    <x v="3"/>
  </r>
  <r>
    <x v="12"/>
    <s v="Stefan Zaugg"/>
    <x v="1"/>
    <x v="169"/>
    <x v="169"/>
    <n v="68.959999999999994"/>
    <s v="KG"/>
    <n v="68.959999999999994"/>
    <n v="1840"/>
    <n v="973.6200000000008"/>
    <n v="-1630.1299999999997"/>
    <n v="920"/>
    <n v="0"/>
    <n v="94.86"/>
    <x v="8"/>
    <n v="6541.5455999999995"/>
    <x v="3"/>
  </r>
  <r>
    <x v="6"/>
    <s v="Stefan Zaugg"/>
    <x v="1"/>
    <x v="424"/>
    <x v="424"/>
    <n v="13.5"/>
    <s v="ADET"/>
    <n v="13.5"/>
    <n v="180"/>
    <n v="80"/>
    <n v="32"/>
    <n v="0"/>
    <n v="7680"/>
    <n v="240"/>
    <x v="2"/>
    <n v="3240"/>
    <x v="1"/>
  </r>
  <r>
    <x v="13"/>
    <s v="Volkan Batkan"/>
    <x v="1"/>
    <x v="426"/>
    <x v="426"/>
    <n v="2.4700000000000002"/>
    <s v="KG"/>
    <n v="2.4700000000000002"/>
    <n v="0"/>
    <n v="154.9500000000001"/>
    <n v="21.899999999999991"/>
    <n v="60"/>
    <n v="4265.0249999999987"/>
    <n v="194.75"/>
    <x v="8"/>
    <n v="481.03250000000003"/>
    <x v="3"/>
  </r>
  <r>
    <x v="10"/>
    <s v="Murat Taşdemir"/>
    <x v="1"/>
    <x v="412"/>
    <x v="412"/>
    <n v="1"/>
    <s v="ADET"/>
    <n v="0"/>
    <n v="35"/>
    <n v="61"/>
    <n v="-12"/>
    <n v="0"/>
    <n v="0"/>
    <n v="19.07"/>
    <x v="23"/>
    <n v="19.07"/>
    <x v="7"/>
  </r>
  <r>
    <x v="8"/>
    <s v="Jan Urbanek"/>
    <x v="1"/>
    <x v="426"/>
    <x v="426"/>
    <n v="2.4700000000000002"/>
    <s v="KG"/>
    <n v="0"/>
    <n v="0"/>
    <n v="154.9500000000001"/>
    <n v="21.899999999999991"/>
    <n v="60"/>
    <n v="4265.0249999999987"/>
    <n v="194.75"/>
    <x v="8"/>
    <n v="481.03250000000003"/>
    <x v="3"/>
  </r>
  <r>
    <x v="19"/>
    <s v="Laurent MONTAGNER"/>
    <x v="1"/>
    <x v="411"/>
    <x v="411"/>
    <n v="1"/>
    <s v="ADET"/>
    <n v="1"/>
    <n v="18"/>
    <n v="10"/>
    <n v="-5"/>
    <n v="0"/>
    <n v="0"/>
    <n v="115.6"/>
    <x v="23"/>
    <n v="115.6"/>
    <x v="7"/>
  </r>
  <r>
    <x v="1"/>
    <s v="Laurent MONTAGNER"/>
    <x v="1"/>
    <x v="411"/>
    <x v="411"/>
    <n v="1"/>
    <s v="ADET"/>
    <n v="1"/>
    <n v="18"/>
    <n v="10"/>
    <n v="-5"/>
    <n v="0"/>
    <n v="0"/>
    <n v="115.6"/>
    <x v="23"/>
    <n v="115.6"/>
    <x v="7"/>
  </r>
  <r>
    <x v="19"/>
    <s v="Laurent MONTAGNER"/>
    <x v="1"/>
    <x v="210"/>
    <x v="210"/>
    <n v="8"/>
    <s v="ADET"/>
    <n v="8"/>
    <n v="133"/>
    <n v="46"/>
    <n v="-49"/>
    <n v="0"/>
    <n v="0"/>
    <n v="3.75"/>
    <x v="1"/>
    <n v="30"/>
    <x v="1"/>
  </r>
  <r>
    <x v="8"/>
    <s v="Jan Urbanek"/>
    <x v="1"/>
    <x v="328"/>
    <x v="328"/>
    <n v="1"/>
    <s v="ADET"/>
    <n v="0"/>
    <n v="0"/>
    <n v="1"/>
    <n v="1"/>
    <n v="2"/>
    <n v="11481.54"/>
    <n v="11481.54"/>
    <x v="43"/>
    <n v="11481.54"/>
    <x v="7"/>
  </r>
  <r>
    <x v="10"/>
    <s v="Murat Taşdemir"/>
    <x v="1"/>
    <x v="296"/>
    <x v="296"/>
    <n v="3"/>
    <s v="ADET"/>
    <n v="3"/>
    <n v="84"/>
    <n v="195.89999999999986"/>
    <n v="-24.600000000000023"/>
    <n v="0"/>
    <n v="0"/>
    <n v="29"/>
    <x v="2"/>
    <n v="87"/>
    <x v="1"/>
  </r>
  <r>
    <x v="6"/>
    <s v="Stefan Zaugg"/>
    <x v="1"/>
    <x v="304"/>
    <x v="304"/>
    <n v="1"/>
    <s v="ADET"/>
    <n v="1"/>
    <n v="20"/>
    <n v="7"/>
    <n v="-10"/>
    <n v="0"/>
    <n v="0"/>
    <n v="60"/>
    <x v="1"/>
    <n v="60"/>
    <x v="1"/>
  </r>
  <r>
    <x v="6"/>
    <s v="Stefan Zaugg"/>
    <x v="1"/>
    <x v="8"/>
    <x v="8"/>
    <n v="4"/>
    <s v="ADET"/>
    <n v="4"/>
    <n v="24"/>
    <n v="27"/>
    <n v="1"/>
    <n v="0"/>
    <n v="42"/>
    <n v="42"/>
    <x v="4"/>
    <n v="168"/>
    <x v="1"/>
  </r>
  <r>
    <x v="1"/>
    <s v="Laurent MONTAGNER"/>
    <x v="1"/>
    <x v="305"/>
    <x v="305"/>
    <n v="1"/>
    <s v="ADET"/>
    <n v="1"/>
    <n v="26"/>
    <n v="3"/>
    <n v="-12"/>
    <n v="0"/>
    <n v="0"/>
    <n v="360.05"/>
    <x v="67"/>
    <n v="360.05"/>
    <x v="4"/>
  </r>
  <r>
    <x v="3"/>
    <s v="Jan Urbanek"/>
    <x v="1"/>
    <x v="299"/>
    <x v="299"/>
    <n v="0.01"/>
    <s v="GR"/>
    <n v="0"/>
    <n v="150"/>
    <n v="0"/>
    <n v="-149.76499999999999"/>
    <n v="0"/>
    <n v="0"/>
    <n v="1.8"/>
    <x v="29"/>
    <n v="1.8000000000000002E-2"/>
    <x v="1"/>
  </r>
  <r>
    <x v="6"/>
    <s v="Stefan Zaugg"/>
    <x v="1"/>
    <x v="62"/>
    <x v="62"/>
    <n v="3"/>
    <s v="METRE"/>
    <n v="0"/>
    <n v="100"/>
    <n v="26"/>
    <n v="-85"/>
    <n v="0"/>
    <n v="0"/>
    <n v="49.1"/>
    <x v="23"/>
    <n v="147.30000000000001"/>
    <x v="7"/>
  </r>
  <r>
    <x v="9"/>
    <s v="Stefan Zaugg"/>
    <x v="1"/>
    <x v="304"/>
    <x v="304"/>
    <n v="1"/>
    <s v="ADET"/>
    <n v="1"/>
    <n v="20"/>
    <n v="7"/>
    <n v="-10"/>
    <n v="0"/>
    <n v="0"/>
    <n v="60"/>
    <x v="1"/>
    <n v="60"/>
    <x v="1"/>
  </r>
  <r>
    <x v="13"/>
    <s v="Volkan Batkan"/>
    <x v="1"/>
    <x v="179"/>
    <x v="179"/>
    <n v="1"/>
    <s v="ADET"/>
    <n v="1"/>
    <n v="7"/>
    <n v="4"/>
    <n v="-6"/>
    <n v="0"/>
    <n v="0"/>
    <n v="460"/>
    <x v="62"/>
    <n v="460"/>
    <x v="4"/>
  </r>
  <r>
    <x v="12"/>
    <s v="Stefan Zaugg"/>
    <x v="1"/>
    <x v="329"/>
    <x v="329"/>
    <n v="1"/>
    <s v="ADET"/>
    <n v="1"/>
    <n v="3"/>
    <n v="8"/>
    <n v="11"/>
    <n v="0"/>
    <n v="20020"/>
    <n v="1820"/>
    <x v="84"/>
    <n v="1820"/>
    <x v="9"/>
  </r>
  <r>
    <x v="9"/>
    <s v="Stefan Zaugg"/>
    <x v="1"/>
    <x v="329"/>
    <x v="329"/>
    <n v="1"/>
    <s v="ADET"/>
    <n v="1"/>
    <n v="3"/>
    <n v="8"/>
    <n v="11"/>
    <n v="0"/>
    <n v="20020"/>
    <n v="1820"/>
    <x v="84"/>
    <n v="1820"/>
    <x v="9"/>
  </r>
  <r>
    <x v="13"/>
    <s v="Volkan Batkan"/>
    <x v="1"/>
    <x v="329"/>
    <x v="329"/>
    <n v="1"/>
    <s v="ADET"/>
    <n v="1"/>
    <n v="3"/>
    <n v="8"/>
    <n v="11"/>
    <n v="0"/>
    <n v="20020"/>
    <n v="1820"/>
    <x v="84"/>
    <n v="1820"/>
    <x v="9"/>
  </r>
  <r>
    <x v="9"/>
    <s v="Stefan Zaugg"/>
    <x v="1"/>
    <x v="328"/>
    <x v="328"/>
    <n v="1"/>
    <s v="ADET"/>
    <n v="1"/>
    <n v="0"/>
    <n v="1"/>
    <n v="1"/>
    <n v="2"/>
    <n v="11481.54"/>
    <n v="11481.54"/>
    <x v="43"/>
    <n v="11481.54"/>
    <x v="7"/>
  </r>
  <r>
    <x v="18"/>
    <s v="Stina Alm"/>
    <x v="1"/>
    <x v="303"/>
    <x v="303"/>
    <n v="2"/>
    <s v="ADET"/>
    <n v="0"/>
    <n v="26"/>
    <n v="46"/>
    <n v="-8"/>
    <n v="0"/>
    <n v="0"/>
    <n v="12"/>
    <x v="14"/>
    <n v="24"/>
    <x v="1"/>
  </r>
  <r>
    <x v="10"/>
    <s v="Murat Taşdemir"/>
    <x v="1"/>
    <x v="77"/>
    <x v="77"/>
    <n v="0.2"/>
    <s v="KG"/>
    <n v="0.2"/>
    <n v="1.8"/>
    <n v="0.84999999999999831"/>
    <n v="-3.25"/>
    <n v="1.75"/>
    <n v="0"/>
    <n v="645.64"/>
    <x v="8"/>
    <n v="129.12800000000001"/>
    <x v="3"/>
  </r>
  <r>
    <x v="6"/>
    <s v="Stefan Zaugg"/>
    <x v="1"/>
    <x v="81"/>
    <x v="81"/>
    <n v="1"/>
    <s v="ADET"/>
    <n v="1"/>
    <n v="2"/>
    <n v="8"/>
    <n v="0"/>
    <n v="11"/>
    <n v="0"/>
    <n v="675"/>
    <x v="20"/>
    <n v="675"/>
    <x v="2"/>
  </r>
  <r>
    <x v="18"/>
    <s v="Stina Alm"/>
    <x v="1"/>
    <x v="82"/>
    <x v="82"/>
    <n v="1"/>
    <s v="ADET"/>
    <n v="1"/>
    <n v="12"/>
    <n v="13"/>
    <n v="-5"/>
    <n v="0"/>
    <n v="0"/>
    <n v="28339.38"/>
    <x v="27"/>
    <n v="28339.38"/>
    <x v="2"/>
  </r>
  <r>
    <x v="12"/>
    <s v="Stefan Zaugg"/>
    <x v="1"/>
    <x v="82"/>
    <x v="82"/>
    <n v="1"/>
    <s v="ADET"/>
    <n v="1"/>
    <n v="12"/>
    <n v="13"/>
    <n v="-5"/>
    <n v="0"/>
    <n v="0"/>
    <n v="28339.38"/>
    <x v="27"/>
    <n v="28339.38"/>
    <x v="2"/>
  </r>
  <r>
    <x v="12"/>
    <s v="Stefan Zaugg"/>
    <x v="1"/>
    <x v="406"/>
    <x v="406"/>
    <n v="3"/>
    <s v="METRE"/>
    <n v="3"/>
    <n v="118"/>
    <n v="21"/>
    <n v="-115"/>
    <n v="0"/>
    <n v="0"/>
    <n v="14.33"/>
    <x v="23"/>
    <n v="42.99"/>
    <x v="7"/>
  </r>
  <r>
    <x v="12"/>
    <s v="Stefan Zaugg"/>
    <x v="1"/>
    <x v="152"/>
    <x v="152"/>
    <n v="1"/>
    <s v="ADET"/>
    <n v="1"/>
    <n v="10"/>
    <n v="12"/>
    <n v="-1"/>
    <n v="4"/>
    <n v="0"/>
    <n v="1600"/>
    <x v="56"/>
    <n v="1600"/>
    <x v="7"/>
  </r>
  <r>
    <x v="13"/>
    <s v="Volkan Batkan"/>
    <x v="1"/>
    <x v="152"/>
    <x v="152"/>
    <n v="1"/>
    <s v="ADET"/>
    <n v="1"/>
    <n v="10"/>
    <n v="12"/>
    <n v="-1"/>
    <n v="4"/>
    <n v="0"/>
    <n v="1600"/>
    <x v="56"/>
    <n v="1600"/>
    <x v="7"/>
  </r>
  <r>
    <x v="6"/>
    <s v="Stefan Zaugg"/>
    <x v="1"/>
    <x v="228"/>
    <x v="228"/>
    <n v="1"/>
    <s v="ADET"/>
    <n v="1"/>
    <n v="18"/>
    <n v="10"/>
    <n v="-5"/>
    <n v="0"/>
    <n v="0"/>
    <n v="1094.4000000000001"/>
    <x v="23"/>
    <n v="1094.4000000000001"/>
    <x v="7"/>
  </r>
  <r>
    <x v="12"/>
    <s v="Stefan Zaugg"/>
    <x v="1"/>
    <x v="504"/>
    <x v="504"/>
    <n v="1"/>
    <s v="ADET"/>
    <n v="1"/>
    <n v="2"/>
    <n v="2"/>
    <n v="-2"/>
    <n v="0"/>
    <n v="0"/>
    <n v="400"/>
    <x v="92"/>
    <n v="400"/>
    <x v="4"/>
  </r>
  <r>
    <x v="8"/>
    <s v="Jan Urbanek"/>
    <x v="1"/>
    <x v="79"/>
    <x v="79"/>
    <n v="2"/>
    <s v="ADET"/>
    <n v="0"/>
    <n v="14472"/>
    <n v="3376"/>
    <n v="-14340"/>
    <n v="0"/>
    <n v="0"/>
    <n v="0.04"/>
    <x v="6"/>
    <n v="0.08"/>
    <x v="1"/>
  </r>
  <r>
    <x v="5"/>
    <s v="Matteo Giolo"/>
    <x v="1"/>
    <x v="79"/>
    <x v="79"/>
    <n v="2"/>
    <s v="ADET"/>
    <n v="0"/>
    <n v="14472"/>
    <n v="3376"/>
    <n v="-14340"/>
    <n v="0"/>
    <n v="0"/>
    <n v="0.04"/>
    <x v="6"/>
    <n v="0.08"/>
    <x v="1"/>
  </r>
  <r>
    <x v="6"/>
    <s v="Stefan Zaugg"/>
    <x v="1"/>
    <x v="419"/>
    <x v="419"/>
    <n v="3"/>
    <s v="ADET"/>
    <n v="3"/>
    <n v="42"/>
    <n v="20"/>
    <n v="1"/>
    <n v="0"/>
    <n v="348.7"/>
    <n v="348.7"/>
    <x v="67"/>
    <n v="1046.0999999999999"/>
    <x v="2"/>
  </r>
  <r>
    <x v="6"/>
    <s v="Stefan Zaugg"/>
    <x v="1"/>
    <x v="431"/>
    <x v="431"/>
    <n v="1"/>
    <s v="ADET"/>
    <n v="1"/>
    <n v="19"/>
    <n v="4"/>
    <n v="-12"/>
    <n v="0"/>
    <n v="0"/>
    <n v="85"/>
    <x v="12"/>
    <n v="85"/>
    <x v="4"/>
  </r>
  <r>
    <x v="19"/>
    <s v="Laurent MONTAGNER"/>
    <x v="1"/>
    <x v="424"/>
    <x v="424"/>
    <n v="14"/>
    <s v="ADET"/>
    <n v="14"/>
    <n v="180"/>
    <n v="80"/>
    <n v="32"/>
    <n v="0"/>
    <n v="7680"/>
    <n v="240"/>
    <x v="2"/>
    <n v="3360"/>
    <x v="1"/>
  </r>
  <r>
    <x v="6"/>
    <s v="Stefan Zaugg"/>
    <x v="1"/>
    <x v="513"/>
    <x v="513"/>
    <n v="2"/>
    <s v="ADET"/>
    <n v="2"/>
    <n v="21"/>
    <n v="8"/>
    <n v="-21"/>
    <n v="0"/>
    <n v="0"/>
    <n v="451"/>
    <x v="66"/>
    <n v="902"/>
    <x v="2"/>
  </r>
  <r>
    <x v="9"/>
    <s v="Stefan Zaugg"/>
    <x v="1"/>
    <x v="514"/>
    <x v="514"/>
    <n v="1"/>
    <s v="ADET"/>
    <n v="1"/>
    <n v="17"/>
    <n v="4"/>
    <n v="-17"/>
    <n v="0"/>
    <n v="0"/>
    <n v="117.85"/>
    <x v="86"/>
    <n v="117.85"/>
    <x v="2"/>
  </r>
  <r>
    <x v="9"/>
    <s v="Stefan Zaugg"/>
    <x v="1"/>
    <x v="380"/>
    <x v="380"/>
    <n v="0.5"/>
    <s v="ADET"/>
    <n v="0"/>
    <n v="100"/>
    <n v="0"/>
    <n v="-90.5"/>
    <n v="0"/>
    <n v="0"/>
    <n v="13.5"/>
    <x v="2"/>
    <n v="6.75"/>
    <x v="1"/>
  </r>
  <r>
    <x v="12"/>
    <s v="Stefan Zaugg"/>
    <x v="1"/>
    <x v="186"/>
    <x v="186"/>
    <n v="1"/>
    <s v="ADET"/>
    <n v="1"/>
    <n v="0"/>
    <n v="5.5699999999999967"/>
    <n v="5"/>
    <n v="0"/>
    <n v="7083.35"/>
    <n v="1416.67"/>
    <x v="61"/>
    <n v="1416.67"/>
    <x v="8"/>
  </r>
  <r>
    <x v="1"/>
    <s v="Laurent MONTAGNER"/>
    <x v="1"/>
    <x v="135"/>
    <x v="135"/>
    <n v="1"/>
    <s v="ADET"/>
    <n v="1"/>
    <n v="7"/>
    <n v="4"/>
    <n v="5"/>
    <n v="0"/>
    <n v="11000"/>
    <n v="2200"/>
    <x v="52"/>
    <n v="2200"/>
    <x v="4"/>
  </r>
  <r>
    <x v="9"/>
    <s v="Stefan Zaugg"/>
    <x v="1"/>
    <x v="472"/>
    <x v="472"/>
    <n v="1"/>
    <s v="ADET"/>
    <n v="1"/>
    <n v="5"/>
    <n v="7"/>
    <n v="0"/>
    <n v="8"/>
    <n v="0"/>
    <n v="401.17"/>
    <x v="104"/>
    <n v="401.17"/>
    <x v="7"/>
  </r>
  <r>
    <x v="1"/>
    <s v="Laurent MONTAGNER"/>
    <x v="1"/>
    <x v="471"/>
    <x v="471"/>
    <n v="1"/>
    <s v="ADET"/>
    <n v="1"/>
    <n v="12"/>
    <n v="15"/>
    <n v="1"/>
    <n v="0"/>
    <n v="565.83000000000004"/>
    <n v="565.83000000000004"/>
    <x v="86"/>
    <n v="565.83000000000004"/>
    <x v="13"/>
  </r>
  <r>
    <x v="9"/>
    <s v="Stefan Zaugg"/>
    <x v="1"/>
    <x v="186"/>
    <x v="186"/>
    <n v="1"/>
    <s v="ADET"/>
    <n v="1"/>
    <n v="0"/>
    <n v="5.5699999999999967"/>
    <n v="5"/>
    <n v="0"/>
    <n v="7083.35"/>
    <n v="1416.67"/>
    <x v="61"/>
    <n v="1416.67"/>
    <x v="8"/>
  </r>
  <r>
    <x v="6"/>
    <s v="Stefan Zaugg"/>
    <x v="1"/>
    <x v="186"/>
    <x v="186"/>
    <n v="1"/>
    <s v="ADET"/>
    <n v="1"/>
    <n v="0"/>
    <n v="5.5699999999999967"/>
    <n v="5"/>
    <n v="0"/>
    <n v="7083.35"/>
    <n v="1416.67"/>
    <x v="61"/>
    <n v="1416.67"/>
    <x v="8"/>
  </r>
  <r>
    <x v="6"/>
    <s v="Stefan Zaugg"/>
    <x v="1"/>
    <x v="383"/>
    <x v="383"/>
    <n v="2.2999999999999998"/>
    <s v="ADET"/>
    <n v="2.2999999999999998"/>
    <n v="0"/>
    <n v="-3.1086244689504383E-14"/>
    <n v="46.999999999999993"/>
    <n v="4"/>
    <n v="48958.02"/>
    <n v="1041.6600000000001"/>
    <x v="61"/>
    <n v="2395.8180000000002"/>
    <x v="8"/>
  </r>
  <r>
    <x v="10"/>
    <s v="Murat Taşdemir"/>
    <x v="1"/>
    <x v="386"/>
    <x v="386"/>
    <n v="0.14400000000000002"/>
    <s v="M3"/>
    <n v="0.14400000000000002"/>
    <n v="0"/>
    <n v="4.5430000000000224"/>
    <n v="1.4260000000000006"/>
    <n v="0"/>
    <n v="27807.000000000011"/>
    <n v="19500"/>
    <x v="91"/>
    <n v="2808.0000000000005"/>
    <x v="8"/>
  </r>
  <r>
    <x v="7"/>
    <s v="Stina Alm"/>
    <x v="1"/>
    <x v="470"/>
    <x v="470"/>
    <n v="2"/>
    <s v="ADET"/>
    <n v="0"/>
    <n v="17"/>
    <n v="16"/>
    <n v="-23"/>
    <n v="30"/>
    <n v="0"/>
    <n v="67.22"/>
    <x v="88"/>
    <n v="134.44"/>
    <x v="4"/>
  </r>
  <r>
    <x v="6"/>
    <s v="Stefan Zaugg"/>
    <x v="1"/>
    <x v="410"/>
    <x v="410"/>
    <n v="1"/>
    <s v="ADET"/>
    <n v="1"/>
    <n v="5"/>
    <n v="4"/>
    <n v="-5"/>
    <n v="0"/>
    <n v="0"/>
    <n v="5112.92"/>
    <x v="94"/>
    <n v="5112.92"/>
    <x v="1"/>
  </r>
  <r>
    <x v="9"/>
    <s v="Stefan Zaugg"/>
    <x v="1"/>
    <x v="513"/>
    <x v="513"/>
    <n v="2"/>
    <s v="ADET"/>
    <n v="2"/>
    <n v="21"/>
    <n v="8"/>
    <n v="-21"/>
    <n v="0"/>
    <n v="0"/>
    <n v="451"/>
    <x v="66"/>
    <n v="902"/>
    <x v="2"/>
  </r>
  <r>
    <x v="12"/>
    <s v="Stefan Zaugg"/>
    <x v="1"/>
    <x v="187"/>
    <x v="187"/>
    <n v="2"/>
    <s v="ADET"/>
    <n v="2"/>
    <n v="24"/>
    <n v="18.499999999999979"/>
    <n v="3.899999999999995"/>
    <n v="0"/>
    <n v="467.99999999999943"/>
    <n v="120"/>
    <x v="2"/>
    <n v="240"/>
    <x v="3"/>
  </r>
  <r>
    <x v="13"/>
    <s v="Volkan Batkan"/>
    <x v="1"/>
    <x v="187"/>
    <x v="187"/>
    <n v="1.5"/>
    <s v="ADET"/>
    <n v="1.5"/>
    <n v="24"/>
    <n v="18.499999999999979"/>
    <n v="3.899999999999995"/>
    <n v="0"/>
    <n v="467.99999999999943"/>
    <n v="120"/>
    <x v="2"/>
    <n v="180"/>
    <x v="3"/>
  </r>
  <r>
    <x v="16"/>
    <s v="Laurent MONTAGNER"/>
    <x v="1"/>
    <x v="141"/>
    <x v="141"/>
    <n v="2"/>
    <s v="ADET"/>
    <n v="2"/>
    <n v="23"/>
    <n v="22"/>
    <n v="-9"/>
    <n v="10"/>
    <n v="0"/>
    <n v="71.77"/>
    <x v="43"/>
    <n v="143.54"/>
    <x v="7"/>
  </r>
  <r>
    <x v="1"/>
    <s v="Laurent MONTAGNER"/>
    <x v="1"/>
    <x v="470"/>
    <x v="470"/>
    <n v="2"/>
    <s v="ADET"/>
    <n v="2"/>
    <n v="17"/>
    <n v="16"/>
    <n v="-23"/>
    <n v="30"/>
    <n v="0"/>
    <n v="67.22"/>
    <x v="88"/>
    <n v="134.44"/>
    <x v="4"/>
  </r>
  <r>
    <x v="12"/>
    <s v="Stefan Zaugg"/>
    <x v="1"/>
    <x v="472"/>
    <x v="472"/>
    <n v="1"/>
    <s v="ADET"/>
    <n v="1"/>
    <n v="5"/>
    <n v="7"/>
    <n v="0"/>
    <n v="8"/>
    <n v="0"/>
    <n v="401.17"/>
    <x v="104"/>
    <n v="401.17"/>
    <x v="7"/>
  </r>
  <r>
    <x v="16"/>
    <s v="Laurent MONTAGNER"/>
    <x v="1"/>
    <x v="251"/>
    <x v="251"/>
    <n v="1.5"/>
    <s v="ADET"/>
    <n v="1.5"/>
    <n v="91"/>
    <n v="17.799999999999997"/>
    <n v="-74.5"/>
    <n v="0"/>
    <n v="0"/>
    <n v="85"/>
    <x v="18"/>
    <n v="127.5"/>
    <x v="1"/>
  </r>
  <r>
    <x v="1"/>
    <s v="Laurent MONTAGNER"/>
    <x v="1"/>
    <x v="251"/>
    <x v="251"/>
    <n v="1.5"/>
    <s v="ADET"/>
    <n v="1.5"/>
    <n v="91"/>
    <n v="17.799999999999997"/>
    <n v="-74.5"/>
    <n v="0"/>
    <n v="0"/>
    <n v="85"/>
    <x v="18"/>
    <n v="127.5"/>
    <x v="1"/>
  </r>
  <r>
    <x v="4"/>
    <s v="Jan Urbanek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6"/>
    <s v="Laurent MONTAGNER"/>
    <x v="1"/>
    <x v="381"/>
    <x v="381"/>
    <n v="1"/>
    <s v="M2"/>
    <n v="0"/>
    <n v="15.9"/>
    <n v="39.329999999999977"/>
    <n v="-12.795000000000009"/>
    <n v="11.895"/>
    <n v="0"/>
    <n v="641.03"/>
    <x v="61"/>
    <n v="641.03"/>
    <x v="8"/>
  </r>
  <r>
    <x v="16"/>
    <s v="Laurent MONTAGNER"/>
    <x v="1"/>
    <x v="386"/>
    <x v="386"/>
    <n v="0.14400000000000002"/>
    <s v="M3"/>
    <n v="0.14400000000000002"/>
    <n v="0"/>
    <n v="4.5430000000000224"/>
    <n v="1.4260000000000006"/>
    <n v="0"/>
    <n v="27807.000000000011"/>
    <n v="19500"/>
    <x v="91"/>
    <n v="2808.0000000000005"/>
    <x v="8"/>
  </r>
  <r>
    <x v="12"/>
    <s v="Stefan Zaugg"/>
    <x v="1"/>
    <x v="385"/>
    <x v="385"/>
    <n v="2"/>
    <s v="ADET"/>
    <n v="2"/>
    <n v="48"/>
    <n v="2"/>
    <n v="-44"/>
    <n v="0"/>
    <n v="0"/>
    <n v="428.46"/>
    <x v="67"/>
    <n v="856.92"/>
    <x v="4"/>
  </r>
  <r>
    <x v="10"/>
    <s v="Murat Taşdemir"/>
    <x v="1"/>
    <x v="458"/>
    <x v="458"/>
    <n v="6"/>
    <s v="KG"/>
    <n v="6"/>
    <n v="139"/>
    <n v="45.500000000000114"/>
    <n v="-124"/>
    <n v="0"/>
    <n v="0"/>
    <n v="233.95"/>
    <x v="8"/>
    <n v="1403.6999999999998"/>
    <x v="3"/>
  </r>
  <r>
    <x v="19"/>
    <s v="Laurent MONTAGNER"/>
    <x v="1"/>
    <x v="456"/>
    <x v="456"/>
    <n v="1"/>
    <s v="ADET"/>
    <n v="1"/>
    <n v="12"/>
    <n v="3"/>
    <n v="-6"/>
    <n v="0"/>
    <n v="0"/>
    <n v="1678.88"/>
    <x v="67"/>
    <n v="1678.88"/>
    <x v="4"/>
  </r>
  <r>
    <x v="19"/>
    <s v="Laurent MONTAGNER"/>
    <x v="1"/>
    <x v="173"/>
    <x v="173"/>
    <n v="5"/>
    <s v="ADET"/>
    <n v="5"/>
    <n v="24"/>
    <n v="22"/>
    <n v="-31"/>
    <n v="50"/>
    <n v="0"/>
    <n v="44"/>
    <x v="60"/>
    <n v="220"/>
    <x v="7"/>
  </r>
  <r>
    <x v="16"/>
    <s v="Laurent MONTAGNER"/>
    <x v="1"/>
    <x v="173"/>
    <x v="173"/>
    <n v="4"/>
    <s v="ADET"/>
    <n v="0"/>
    <n v="24"/>
    <n v="22"/>
    <n v="-31"/>
    <n v="50"/>
    <n v="0"/>
    <n v="44"/>
    <x v="60"/>
    <n v="176"/>
    <x v="7"/>
  </r>
  <r>
    <x v="19"/>
    <s v="Laurent MONTAGNER"/>
    <x v="1"/>
    <x v="430"/>
    <x v="430"/>
    <n v="2"/>
    <s v="ADET"/>
    <n v="2"/>
    <n v="455"/>
    <n v="23"/>
    <n v="-429"/>
    <n v="0"/>
    <n v="0"/>
    <n v="20"/>
    <x v="6"/>
    <n v="40"/>
    <x v="7"/>
  </r>
  <r>
    <x v="6"/>
    <s v="Stefan Zaugg"/>
    <x v="1"/>
    <x v="242"/>
    <x v="242"/>
    <n v="1"/>
    <s v="ADET"/>
    <n v="1"/>
    <n v="16"/>
    <n v="8"/>
    <n v="-3"/>
    <n v="0"/>
    <n v="0"/>
    <n v="224.46"/>
    <x v="23"/>
    <n v="224.46"/>
    <x v="7"/>
  </r>
  <r>
    <x v="19"/>
    <s v="Laurent MONTAGNER"/>
    <x v="1"/>
    <x v="242"/>
    <x v="242"/>
    <n v="1"/>
    <s v="ADET"/>
    <n v="1"/>
    <n v="16"/>
    <n v="8"/>
    <n v="-3"/>
    <n v="0"/>
    <n v="0"/>
    <n v="224.46"/>
    <x v="23"/>
    <n v="224.46"/>
    <x v="7"/>
  </r>
  <r>
    <x v="6"/>
    <s v="Stefan Zaugg"/>
    <x v="1"/>
    <x v="181"/>
    <x v="181"/>
    <n v="6"/>
    <s v="KG"/>
    <n v="6"/>
    <n v="0"/>
    <n v="260.61000000000013"/>
    <n v="97.560000000000016"/>
    <n v="0"/>
    <n v="13285.720800000003"/>
    <n v="136.18"/>
    <x v="64"/>
    <n v="817.08"/>
    <x v="3"/>
  </r>
  <r>
    <x v="3"/>
    <s v="Jan Urbanek"/>
    <x v="1"/>
    <x v="181"/>
    <x v="181"/>
    <n v="7"/>
    <s v="KG"/>
    <n v="7"/>
    <n v="0"/>
    <n v="260.61000000000013"/>
    <n v="97.560000000000016"/>
    <n v="0"/>
    <n v="13285.720800000003"/>
    <n v="136.18"/>
    <x v="64"/>
    <n v="953.26"/>
    <x v="3"/>
  </r>
  <r>
    <x v="12"/>
    <s v="Stefan Zaugg"/>
    <x v="1"/>
    <x v="458"/>
    <x v="458"/>
    <n v="2"/>
    <s v="KG"/>
    <n v="2"/>
    <n v="139"/>
    <n v="45.500000000000114"/>
    <n v="-124"/>
    <n v="0"/>
    <n v="0"/>
    <n v="233.95"/>
    <x v="8"/>
    <n v="467.9"/>
    <x v="3"/>
  </r>
  <r>
    <x v="9"/>
    <s v="Stefan Zaugg"/>
    <x v="1"/>
    <x v="174"/>
    <x v="174"/>
    <n v="2"/>
    <s v="ADET"/>
    <n v="2"/>
    <n v="22"/>
    <n v="18"/>
    <n v="-6"/>
    <n v="10"/>
    <n v="0"/>
    <n v="400"/>
    <x v="56"/>
    <n v="800"/>
    <x v="7"/>
  </r>
  <r>
    <x v="1"/>
    <s v="Laurent MONTAGNER"/>
    <x v="1"/>
    <x v="242"/>
    <x v="242"/>
    <n v="1"/>
    <s v="ADET"/>
    <n v="1"/>
    <n v="16"/>
    <n v="8"/>
    <n v="-3"/>
    <n v="0"/>
    <n v="0"/>
    <n v="224.46"/>
    <x v="23"/>
    <n v="224.46"/>
    <x v="7"/>
  </r>
  <r>
    <x v="12"/>
    <s v="Stefan Zaugg"/>
    <x v="1"/>
    <x v="491"/>
    <x v="491"/>
    <n v="1"/>
    <s v="ADET"/>
    <n v="1"/>
    <n v="5"/>
    <n v="6"/>
    <n v="-17"/>
    <n v="12"/>
    <n v="0"/>
    <n v="14305.4"/>
    <x v="99"/>
    <n v="14305.4"/>
    <x v="4"/>
  </r>
  <r>
    <x v="13"/>
    <s v="Volkan Batkan"/>
    <x v="1"/>
    <x v="491"/>
    <x v="491"/>
    <n v="1"/>
    <s v="ADET"/>
    <n v="1"/>
    <n v="5"/>
    <n v="6"/>
    <n v="-17"/>
    <n v="12"/>
    <n v="0"/>
    <n v="14305.4"/>
    <x v="99"/>
    <n v="14305.4"/>
    <x v="4"/>
  </r>
  <r>
    <x v="6"/>
    <s v="Stefan Zaugg"/>
    <x v="1"/>
    <x v="174"/>
    <x v="174"/>
    <n v="2"/>
    <s v="ADET"/>
    <n v="2"/>
    <n v="22"/>
    <n v="18"/>
    <n v="-6"/>
    <n v="10"/>
    <n v="0"/>
    <n v="400"/>
    <x v="56"/>
    <n v="800"/>
    <x v="7"/>
  </r>
  <r>
    <x v="1"/>
    <s v="Laurent MONTAGNER"/>
    <x v="1"/>
    <x v="430"/>
    <x v="430"/>
    <n v="2"/>
    <s v="ADET"/>
    <n v="2"/>
    <n v="455"/>
    <n v="23"/>
    <n v="-429"/>
    <n v="0"/>
    <n v="0"/>
    <n v="20"/>
    <x v="6"/>
    <n v="40"/>
    <x v="7"/>
  </r>
  <r>
    <x v="1"/>
    <s v="Laurent MONTAGNER"/>
    <x v="1"/>
    <x v="173"/>
    <x v="173"/>
    <n v="5"/>
    <s v="ADET"/>
    <n v="5"/>
    <n v="24"/>
    <n v="22"/>
    <n v="-31"/>
    <n v="50"/>
    <n v="0"/>
    <n v="44"/>
    <x v="60"/>
    <n v="220"/>
    <x v="7"/>
  </r>
  <r>
    <x v="3"/>
    <s v="Jan Urbanek"/>
    <x v="1"/>
    <x v="397"/>
    <x v="397"/>
    <n v="4.25"/>
    <s v="ADET"/>
    <n v="4.25"/>
    <n v="46"/>
    <n v="85.879999999999981"/>
    <n v="-11.119999999999997"/>
    <n v="0"/>
    <n v="0"/>
    <n v="55"/>
    <x v="2"/>
    <n v="233.75"/>
    <x v="1"/>
  </r>
  <r>
    <x v="12"/>
    <s v="Stefan Zaugg"/>
    <x v="1"/>
    <x v="515"/>
    <x v="515"/>
    <n v="1"/>
    <s v="ADET"/>
    <n v="1"/>
    <n v="3"/>
    <n v="1"/>
    <n v="-3"/>
    <n v="0"/>
    <n v="0"/>
    <n v="2000"/>
    <x v="114"/>
    <n v="2000"/>
    <x v="2"/>
  </r>
  <r>
    <x v="13"/>
    <s v="Volkan Batkan"/>
    <x v="1"/>
    <x v="516"/>
    <x v="516"/>
    <n v="1"/>
    <s v="ADET"/>
    <n v="1"/>
    <n v="0"/>
    <n v="1"/>
    <n v="0"/>
    <n v="0"/>
    <n v="0"/>
    <n v="35"/>
    <x v="10"/>
    <n v="35"/>
    <x v="2"/>
  </r>
  <r>
    <x v="16"/>
    <s v="Laurent MONTAGNER"/>
    <x v="1"/>
    <x v="65"/>
    <x v="65"/>
    <n v="31"/>
    <s v="ADET"/>
    <n v="0"/>
    <n v="2600"/>
    <n v="292"/>
    <n v="-2145"/>
    <n v="0"/>
    <n v="0"/>
    <n v="0.4"/>
    <x v="2"/>
    <n v="12.4"/>
    <x v="1"/>
  </r>
  <r>
    <x v="14"/>
    <s v="Matteo Giolo"/>
    <x v="1"/>
    <x v="397"/>
    <x v="397"/>
    <n v="1"/>
    <s v="ADET"/>
    <n v="0"/>
    <n v="46"/>
    <n v="85.879999999999981"/>
    <n v="-11.119999999999997"/>
    <n v="0"/>
    <n v="0"/>
    <n v="55"/>
    <x v="2"/>
    <n v="55"/>
    <x v="1"/>
  </r>
  <r>
    <x v="16"/>
    <s v="Laurent MONTAGNER"/>
    <x v="1"/>
    <x v="397"/>
    <x v="397"/>
    <n v="4.38"/>
    <s v="ADET"/>
    <n v="4.38"/>
    <n v="46"/>
    <n v="85.879999999999981"/>
    <n v="-11.119999999999997"/>
    <n v="0"/>
    <n v="0"/>
    <n v="55"/>
    <x v="2"/>
    <n v="240.9"/>
    <x v="1"/>
  </r>
  <r>
    <x v="19"/>
    <s v="Laurent MONTAGNER"/>
    <x v="1"/>
    <x v="66"/>
    <x v="66"/>
    <n v="1"/>
    <s v="ADET"/>
    <n v="1"/>
    <n v="13"/>
    <n v="6"/>
    <n v="0"/>
    <n v="0"/>
    <n v="0"/>
    <n v="1145.83"/>
    <x v="16"/>
    <n v="1145.83"/>
    <x v="2"/>
  </r>
  <r>
    <x v="14"/>
    <s v="Matteo Giolo"/>
    <x v="1"/>
    <x v="65"/>
    <x v="65"/>
    <n v="25"/>
    <s v="ADET"/>
    <n v="0"/>
    <n v="2600"/>
    <n v="292"/>
    <n v="-2145"/>
    <n v="0"/>
    <n v="0"/>
    <n v="0.4"/>
    <x v="2"/>
    <n v="10"/>
    <x v="1"/>
  </r>
  <r>
    <x v="19"/>
    <s v="Laurent MONTAGNER"/>
    <x v="1"/>
    <x v="71"/>
    <x v="71"/>
    <n v="2"/>
    <s v="ADET"/>
    <n v="2"/>
    <n v="40"/>
    <n v="18"/>
    <n v="-14"/>
    <n v="0"/>
    <n v="0"/>
    <n v="55"/>
    <x v="23"/>
    <n v="110"/>
    <x v="7"/>
  </r>
  <r>
    <x v="19"/>
    <s v="Laurent MONTAGNER"/>
    <x v="1"/>
    <x v="397"/>
    <x v="397"/>
    <n v="4.38"/>
    <s v="ADET"/>
    <n v="4.38"/>
    <n v="46"/>
    <n v="85.879999999999981"/>
    <n v="-11.119999999999997"/>
    <n v="0"/>
    <n v="0"/>
    <n v="55"/>
    <x v="2"/>
    <n v="240.9"/>
    <x v="1"/>
  </r>
  <r>
    <x v="12"/>
    <s v="Stefan Zaugg"/>
    <x v="1"/>
    <x v="415"/>
    <x v="415"/>
    <n v="1"/>
    <s v="ADET"/>
    <n v="1"/>
    <n v="27"/>
    <n v="4"/>
    <n v="-20"/>
    <n v="0"/>
    <n v="0"/>
    <n v="287.01"/>
    <x v="67"/>
    <n v="287.01"/>
    <x v="4"/>
  </r>
  <r>
    <x v="13"/>
    <s v="Volkan Batkan"/>
    <x v="1"/>
    <x v="415"/>
    <x v="415"/>
    <n v="1"/>
    <s v="ADET"/>
    <n v="1"/>
    <n v="27"/>
    <n v="4"/>
    <n v="-20"/>
    <n v="0"/>
    <n v="0"/>
    <n v="287.01"/>
    <x v="67"/>
    <n v="287.01"/>
    <x v="4"/>
  </r>
  <r>
    <x v="8"/>
    <s v="Jan Urbanek"/>
    <x v="1"/>
    <x v="415"/>
    <x v="415"/>
    <n v="1"/>
    <s v="ADET"/>
    <n v="1"/>
    <n v="27"/>
    <n v="4"/>
    <n v="-20"/>
    <n v="0"/>
    <n v="0"/>
    <n v="287.01"/>
    <x v="67"/>
    <n v="287.01"/>
    <x v="4"/>
  </r>
  <r>
    <x v="12"/>
    <s v="Stefan Zaugg"/>
    <x v="1"/>
    <x v="150"/>
    <x v="150"/>
    <n v="2"/>
    <s v="ADET"/>
    <n v="2"/>
    <n v="69"/>
    <n v="22"/>
    <n v="-38"/>
    <n v="0"/>
    <n v="0"/>
    <n v="640"/>
    <x v="29"/>
    <n v="1280"/>
    <x v="7"/>
  </r>
  <r>
    <x v="7"/>
    <s v="Stina Alm"/>
    <x v="1"/>
    <x v="245"/>
    <x v="245"/>
    <n v="1"/>
    <s v="ADET"/>
    <n v="0"/>
    <n v="4"/>
    <n v="22"/>
    <n v="-5"/>
    <n v="20"/>
    <n v="0"/>
    <n v="65"/>
    <x v="22"/>
    <n v="65"/>
    <x v="4"/>
  </r>
  <r>
    <x v="6"/>
    <s v="Stefan Zaugg"/>
    <x v="1"/>
    <x v="79"/>
    <x v="79"/>
    <n v="18"/>
    <s v="ADET"/>
    <n v="0"/>
    <n v="14472"/>
    <n v="3376"/>
    <n v="-14340"/>
    <n v="0"/>
    <n v="0"/>
    <n v="0.04"/>
    <x v="6"/>
    <n v="0.72"/>
    <x v="1"/>
  </r>
  <r>
    <x v="7"/>
    <s v="Stina Alm"/>
    <x v="1"/>
    <x v="416"/>
    <x v="416"/>
    <n v="1"/>
    <s v="ADET"/>
    <n v="0"/>
    <n v="19"/>
    <n v="17"/>
    <n v="0"/>
    <n v="0"/>
    <n v="0"/>
    <n v="113.64"/>
    <x v="96"/>
    <n v="113.64"/>
    <x v="12"/>
  </r>
  <r>
    <x v="10"/>
    <s v="Murat Taşdemir"/>
    <x v="1"/>
    <x v="52"/>
    <x v="52"/>
    <n v="32.81"/>
    <s v="KG"/>
    <n v="32.81"/>
    <n v="289.7"/>
    <n v="148.12000000000026"/>
    <n v="-230.76999999999987"/>
    <n v="289.7"/>
    <n v="0"/>
    <n v="96.37"/>
    <x v="8"/>
    <n v="3161.8997000000004"/>
    <x v="3"/>
  </r>
  <r>
    <x v="1"/>
    <s v="Laurent MONTAGNER"/>
    <x v="1"/>
    <x v="52"/>
    <x v="52"/>
    <n v="36.03"/>
    <s v="KG"/>
    <n v="36.03"/>
    <n v="289.7"/>
    <n v="148.12000000000026"/>
    <n v="-230.76999999999987"/>
    <n v="289.7"/>
    <n v="0"/>
    <n v="96.37"/>
    <x v="8"/>
    <n v="3472.2111000000004"/>
    <x v="3"/>
  </r>
  <r>
    <x v="19"/>
    <s v="Laurent MONTAGNER"/>
    <x v="1"/>
    <x v="404"/>
    <x v="404"/>
    <n v="2"/>
    <s v="ADET"/>
    <n v="2"/>
    <n v="3"/>
    <n v="12"/>
    <n v="25"/>
    <n v="0"/>
    <n v="11103.25"/>
    <n v="444.13"/>
    <x v="65"/>
    <n v="888.26"/>
    <x v="2"/>
  </r>
  <r>
    <x v="19"/>
    <s v="Laurent MONTAGNER"/>
    <x v="1"/>
    <x v="466"/>
    <x v="466"/>
    <n v="1"/>
    <s v="ADET"/>
    <n v="1"/>
    <n v="10"/>
    <n v="7"/>
    <n v="-12"/>
    <n v="15"/>
    <n v="0"/>
    <n v="776.15"/>
    <x v="103"/>
    <n v="776.15"/>
    <x v="7"/>
  </r>
  <r>
    <x v="6"/>
    <s v="Stefan Zaugg"/>
    <x v="0"/>
    <x v="48"/>
    <x v="48"/>
    <n v="1"/>
    <s v="ADET"/>
    <n v="1"/>
    <n v="11"/>
    <n v="8"/>
    <n v="2"/>
    <n v="0"/>
    <n v="0"/>
    <m/>
    <x v="0"/>
    <m/>
    <x v="0"/>
  </r>
  <r>
    <x v="7"/>
    <s v="Stina Alm"/>
    <x v="1"/>
    <x v="257"/>
    <x v="257"/>
    <n v="2.04"/>
    <s v="ADET"/>
    <n v="0"/>
    <n v="75"/>
    <n v="42.700000000000159"/>
    <n v="-48.04"/>
    <n v="0"/>
    <n v="0"/>
    <n v="15"/>
    <x v="2"/>
    <n v="30.6"/>
    <x v="1"/>
  </r>
  <r>
    <x v="12"/>
    <s v="Stefan Zaugg"/>
    <x v="1"/>
    <x v="165"/>
    <x v="165"/>
    <n v="1"/>
    <s v="ADET"/>
    <n v="1"/>
    <n v="1"/>
    <n v="6"/>
    <n v="2"/>
    <n v="0"/>
    <n v="16849.34"/>
    <n v="8424.67"/>
    <x v="3"/>
    <n v="8424.67"/>
    <x v="2"/>
  </r>
  <r>
    <x v="1"/>
    <s v="Laurent MONTAGNER"/>
    <x v="1"/>
    <x v="176"/>
    <x v="176"/>
    <n v="1"/>
    <s v="ADET"/>
    <n v="1"/>
    <n v="9"/>
    <n v="8"/>
    <n v="-1"/>
    <n v="5"/>
    <n v="0"/>
    <n v="1200"/>
    <x v="56"/>
    <n v="1200"/>
    <x v="4"/>
  </r>
  <r>
    <x v="12"/>
    <s v="Stefan Zaugg"/>
    <x v="1"/>
    <x v="403"/>
    <x v="403"/>
    <n v="1"/>
    <s v="ADET"/>
    <n v="1"/>
    <n v="8"/>
    <n v="4"/>
    <n v="-1"/>
    <n v="0"/>
    <n v="0"/>
    <n v="1723.12"/>
    <x v="67"/>
    <n v="1723.12"/>
    <x v="4"/>
  </r>
  <r>
    <x v="4"/>
    <s v="Jan Urbanek"/>
    <x v="1"/>
    <x v="403"/>
    <x v="403"/>
    <n v="1"/>
    <s v="ADET"/>
    <n v="1"/>
    <n v="8"/>
    <n v="4"/>
    <n v="-1"/>
    <n v="0"/>
    <n v="0"/>
    <n v="1723.12"/>
    <x v="67"/>
    <n v="1723.12"/>
    <x v="4"/>
  </r>
  <r>
    <x v="9"/>
    <s v="Stefan Zaugg"/>
    <x v="1"/>
    <x v="319"/>
    <x v="319"/>
    <n v="1"/>
    <s v="ADET"/>
    <n v="1"/>
    <n v="9"/>
    <n v="8"/>
    <n v="4"/>
    <n v="0"/>
    <n v="1950.24"/>
    <n v="487.56"/>
    <x v="53"/>
    <n v="487.56"/>
    <x v="2"/>
  </r>
  <r>
    <x v="6"/>
    <s v="Stefan Zaugg"/>
    <x v="1"/>
    <x v="52"/>
    <x v="52"/>
    <n v="24.65"/>
    <s v="KG"/>
    <n v="24.65"/>
    <n v="289.7"/>
    <n v="148.12000000000026"/>
    <n v="-230.76999999999987"/>
    <n v="289.7"/>
    <n v="0"/>
    <n v="96.37"/>
    <x v="8"/>
    <n v="2375.5205000000001"/>
    <x v="3"/>
  </r>
  <r>
    <x v="3"/>
    <s v="Jan Urbanek"/>
    <x v="1"/>
    <x v="52"/>
    <x v="52"/>
    <n v="34.869999999999997"/>
    <s v="KG"/>
    <n v="34.869999999999997"/>
    <n v="289.7"/>
    <n v="148.12000000000026"/>
    <n v="-230.76999999999987"/>
    <n v="289.7"/>
    <n v="0"/>
    <n v="96.37"/>
    <x v="8"/>
    <n v="3360.4218999999998"/>
    <x v="3"/>
  </r>
  <r>
    <x v="9"/>
    <s v="Stefan Zaugg"/>
    <x v="1"/>
    <x v="318"/>
    <x v="318"/>
    <n v="2"/>
    <s v="ADET"/>
    <n v="2"/>
    <n v="35"/>
    <n v="14"/>
    <n v="-26"/>
    <n v="15"/>
    <n v="0"/>
    <n v="43.75"/>
    <x v="8"/>
    <n v="87.5"/>
    <x v="1"/>
  </r>
  <r>
    <x v="6"/>
    <s v="Stefan Zaugg"/>
    <x v="1"/>
    <x v="318"/>
    <x v="318"/>
    <n v="2"/>
    <s v="ADET"/>
    <n v="2"/>
    <n v="35"/>
    <n v="14"/>
    <n v="-26"/>
    <n v="15"/>
    <n v="0"/>
    <n v="43.75"/>
    <x v="8"/>
    <n v="87.5"/>
    <x v="1"/>
  </r>
  <r>
    <x v="9"/>
    <s v="Stefan Zaugg"/>
    <x v="1"/>
    <x v="506"/>
    <x v="506"/>
    <n v="1"/>
    <s v="ADET"/>
    <n v="1"/>
    <n v="12"/>
    <n v="4"/>
    <n v="-12"/>
    <n v="0"/>
    <n v="0"/>
    <n v="57.06"/>
    <x v="111"/>
    <n v="57.06"/>
    <x v="1"/>
  </r>
  <r>
    <x v="12"/>
    <s v="Stefan Zaugg"/>
    <x v="1"/>
    <x v="53"/>
    <x v="53"/>
    <n v="2.1"/>
    <s v="KG"/>
    <n v="2.1"/>
    <n v="66"/>
    <n v="36.349999999999952"/>
    <n v="-17.090000000000018"/>
    <n v="0"/>
    <n v="0"/>
    <n v="129.63"/>
    <x v="2"/>
    <n v="272.22300000000001"/>
    <x v="3"/>
  </r>
  <r>
    <x v="6"/>
    <s v="Stefan Zaugg"/>
    <x v="1"/>
    <x v="176"/>
    <x v="176"/>
    <n v="1"/>
    <s v="ADET"/>
    <n v="1"/>
    <n v="9"/>
    <n v="8"/>
    <n v="-1"/>
    <n v="5"/>
    <n v="0"/>
    <n v="1200"/>
    <x v="56"/>
    <n v="1200"/>
    <x v="4"/>
  </r>
  <r>
    <x v="13"/>
    <s v="Volkan Batkan"/>
    <x v="0"/>
    <x v="48"/>
    <x v="48"/>
    <n v="1"/>
    <s v="ADET"/>
    <n v="1"/>
    <n v="11"/>
    <n v="8"/>
    <n v="2"/>
    <n v="0"/>
    <n v="0"/>
    <m/>
    <x v="0"/>
    <m/>
    <x v="0"/>
  </r>
  <r>
    <x v="2"/>
    <s v="Jan Urbanek"/>
    <x v="1"/>
    <x v="402"/>
    <x v="402"/>
    <n v="7"/>
    <s v="ADET"/>
    <n v="0"/>
    <n v="1000"/>
    <n v="1222"/>
    <n v="-903"/>
    <n v="0"/>
    <n v="0"/>
    <n v="1.1399999999999999"/>
    <x v="5"/>
    <n v="7.9799999999999995"/>
    <x v="1"/>
  </r>
  <r>
    <x v="6"/>
    <s v="Stefan Zaugg"/>
    <x v="1"/>
    <x v="470"/>
    <x v="470"/>
    <n v="3"/>
    <s v="ADET"/>
    <n v="3"/>
    <n v="17"/>
    <n v="16"/>
    <n v="-23"/>
    <n v="30"/>
    <n v="0"/>
    <n v="67.22"/>
    <x v="88"/>
    <n v="201.66"/>
    <x v="4"/>
  </r>
  <r>
    <x v="1"/>
    <s v="Laurent MONTAGNER"/>
    <x v="1"/>
    <x v="141"/>
    <x v="141"/>
    <n v="2"/>
    <s v="ADET"/>
    <n v="2"/>
    <n v="23"/>
    <n v="22"/>
    <n v="-9"/>
    <n v="10"/>
    <n v="0"/>
    <n v="71.77"/>
    <x v="43"/>
    <n v="143.54"/>
    <x v="7"/>
  </r>
  <r>
    <x v="6"/>
    <s v="Stefan Zaugg"/>
    <x v="1"/>
    <x v="514"/>
    <x v="514"/>
    <n v="1"/>
    <s v="ADET"/>
    <n v="1"/>
    <n v="17"/>
    <n v="4"/>
    <n v="-17"/>
    <n v="0"/>
    <n v="0"/>
    <n v="117.85"/>
    <x v="86"/>
    <n v="117.85"/>
    <x v="2"/>
  </r>
  <r>
    <x v="10"/>
    <s v="Murat Taşdemir"/>
    <x v="1"/>
    <x v="141"/>
    <x v="141"/>
    <n v="5"/>
    <s v="ADET"/>
    <n v="5"/>
    <n v="23"/>
    <n v="22"/>
    <n v="-9"/>
    <n v="10"/>
    <n v="0"/>
    <n v="71.77"/>
    <x v="43"/>
    <n v="358.84999999999997"/>
    <x v="7"/>
  </r>
  <r>
    <x v="1"/>
    <s v="Laurent MONTAGNER"/>
    <x v="1"/>
    <x v="130"/>
    <x v="130"/>
    <n v="10"/>
    <s v="METRE"/>
    <n v="0"/>
    <n v="0"/>
    <n v="0"/>
    <n v="-220"/>
    <n v="400"/>
    <n v="0"/>
    <n v="5"/>
    <x v="49"/>
    <n v="50"/>
    <x v="1"/>
  </r>
  <r>
    <x v="1"/>
    <s v="Laurent MONTAGNER"/>
    <x v="1"/>
    <x v="188"/>
    <x v="188"/>
    <n v="1"/>
    <s v="ADET"/>
    <n v="1"/>
    <n v="11"/>
    <n v="3"/>
    <n v="-6"/>
    <n v="0"/>
    <n v="0"/>
    <n v="252"/>
    <x v="66"/>
    <n v="252"/>
    <x v="1"/>
  </r>
  <r>
    <x v="19"/>
    <s v="Laurent MONTAGNER"/>
    <x v="1"/>
    <x v="187"/>
    <x v="187"/>
    <n v="2.2999999999999998"/>
    <s v="ADET"/>
    <n v="2.2999999999999998"/>
    <n v="24"/>
    <n v="18.499999999999979"/>
    <n v="3.899999999999995"/>
    <n v="0"/>
    <n v="467.99999999999943"/>
    <n v="120"/>
    <x v="2"/>
    <n v="276"/>
    <x v="3"/>
  </r>
  <r>
    <x v="3"/>
    <s v="Jan Urbanek"/>
    <x v="1"/>
    <x v="386"/>
    <x v="386"/>
    <n v="0.13"/>
    <s v="M3"/>
    <n v="0.13"/>
    <n v="0"/>
    <n v="4.5430000000000224"/>
    <n v="1.4260000000000006"/>
    <n v="0"/>
    <n v="27807.000000000011"/>
    <n v="19500"/>
    <x v="91"/>
    <n v="2535"/>
    <x v="8"/>
  </r>
  <r>
    <x v="1"/>
    <s v="Laurent MONTAGNER"/>
    <x v="1"/>
    <x v="386"/>
    <x v="386"/>
    <n v="0.16400000000000001"/>
    <s v="M3"/>
    <n v="0.16400000000000001"/>
    <n v="0"/>
    <n v="4.5430000000000224"/>
    <n v="1.4260000000000006"/>
    <n v="0"/>
    <n v="27807.000000000011"/>
    <n v="19500"/>
    <x v="91"/>
    <n v="3198"/>
    <x v="8"/>
  </r>
  <r>
    <x v="19"/>
    <s v="Laurent MONTAGNER"/>
    <x v="1"/>
    <x v="472"/>
    <x v="472"/>
    <n v="1"/>
    <s v="ADET"/>
    <n v="1"/>
    <n v="5"/>
    <n v="7"/>
    <n v="0"/>
    <n v="8"/>
    <n v="0"/>
    <n v="401.17"/>
    <x v="104"/>
    <n v="401.17"/>
    <x v="7"/>
  </r>
  <r>
    <x v="19"/>
    <s v="Laurent MONTAGNER"/>
    <x v="1"/>
    <x v="386"/>
    <x v="386"/>
    <n v="0.16400000000000001"/>
    <s v="M3"/>
    <n v="0.16400000000000001"/>
    <n v="0"/>
    <n v="4.5430000000000224"/>
    <n v="1.4260000000000006"/>
    <n v="0"/>
    <n v="27807.000000000011"/>
    <n v="19500"/>
    <x v="91"/>
    <n v="3198"/>
    <x v="8"/>
  </r>
  <r>
    <x v="19"/>
    <s v="Laurent MONTAGNER"/>
    <x v="1"/>
    <x v="135"/>
    <x v="135"/>
    <n v="1"/>
    <s v="ADET"/>
    <n v="1"/>
    <n v="7"/>
    <n v="4"/>
    <n v="5"/>
    <n v="0"/>
    <n v="11000"/>
    <n v="2200"/>
    <x v="52"/>
    <n v="2200"/>
    <x v="4"/>
  </r>
  <r>
    <x v="19"/>
    <s v="Laurent MONTAGNER"/>
    <x v="1"/>
    <x v="251"/>
    <x v="251"/>
    <n v="1.5"/>
    <s v="ADET"/>
    <n v="1.5"/>
    <n v="91"/>
    <n v="17.799999999999997"/>
    <n v="-74.5"/>
    <n v="0"/>
    <n v="0"/>
    <n v="85"/>
    <x v="18"/>
    <n v="127.5"/>
    <x v="1"/>
  </r>
  <r>
    <x v="0"/>
    <s v="Matteo Giolo"/>
    <x v="1"/>
    <x v="187"/>
    <x v="187"/>
    <n v="1.5"/>
    <s v="ADET"/>
    <n v="0"/>
    <n v="24"/>
    <n v="18.499999999999979"/>
    <n v="3.899999999999995"/>
    <n v="0"/>
    <n v="467.99999999999943"/>
    <n v="120"/>
    <x v="2"/>
    <n v="180"/>
    <x v="3"/>
  </r>
  <r>
    <x v="1"/>
    <s v="Laurent MONTAGNER"/>
    <x v="1"/>
    <x v="66"/>
    <x v="66"/>
    <n v="2"/>
    <s v="ADET"/>
    <n v="2"/>
    <n v="13"/>
    <n v="6"/>
    <n v="0"/>
    <n v="0"/>
    <n v="0"/>
    <n v="1145.83"/>
    <x v="16"/>
    <n v="2291.66"/>
    <x v="2"/>
  </r>
  <r>
    <x v="14"/>
    <s v="Matteo Giolo"/>
    <x v="1"/>
    <x v="71"/>
    <x v="71"/>
    <n v="2"/>
    <s v="ADET"/>
    <n v="0"/>
    <n v="40"/>
    <n v="18"/>
    <n v="-14"/>
    <n v="0"/>
    <n v="0"/>
    <n v="55"/>
    <x v="23"/>
    <n v="110"/>
    <x v="7"/>
  </r>
  <r>
    <x v="2"/>
    <s v="Jan Urbanek"/>
    <x v="1"/>
    <x v="401"/>
    <x v="401"/>
    <n v="2"/>
    <s v="ADET"/>
    <n v="0"/>
    <n v="0"/>
    <n v="64"/>
    <n v="40"/>
    <n v="0"/>
    <n v="274.8"/>
    <n v="6.87"/>
    <x v="23"/>
    <n v="13.74"/>
    <x v="7"/>
  </r>
  <r>
    <x v="6"/>
    <s v="Stefan Zaugg"/>
    <x v="1"/>
    <x v="71"/>
    <x v="71"/>
    <n v="2"/>
    <s v="ADET"/>
    <n v="2"/>
    <n v="40"/>
    <n v="18"/>
    <n v="-14"/>
    <n v="0"/>
    <n v="0"/>
    <n v="55"/>
    <x v="23"/>
    <n v="110"/>
    <x v="7"/>
  </r>
  <r>
    <x v="12"/>
    <s v="Stefan Zaugg"/>
    <x v="1"/>
    <x v="71"/>
    <x v="71"/>
    <n v="2"/>
    <s v="ADET"/>
    <n v="2"/>
    <n v="40"/>
    <n v="18"/>
    <n v="-14"/>
    <n v="0"/>
    <n v="0"/>
    <n v="55"/>
    <x v="23"/>
    <n v="110"/>
    <x v="7"/>
  </r>
  <r>
    <x v="13"/>
    <s v="Volkan Batkan"/>
    <x v="1"/>
    <x v="71"/>
    <x v="71"/>
    <n v="2"/>
    <s v="ADET"/>
    <n v="2"/>
    <n v="40"/>
    <n v="18"/>
    <n v="-14"/>
    <n v="0"/>
    <n v="0"/>
    <n v="55"/>
    <x v="23"/>
    <n v="110"/>
    <x v="7"/>
  </r>
  <r>
    <x v="1"/>
    <s v="Laurent MONTAGNER"/>
    <x v="1"/>
    <x v="397"/>
    <x v="397"/>
    <n v="4.38"/>
    <s v="ADET"/>
    <n v="4.38"/>
    <n v="46"/>
    <n v="85.879999999999981"/>
    <n v="-11.119999999999997"/>
    <n v="0"/>
    <n v="0"/>
    <n v="55"/>
    <x v="2"/>
    <n v="240.9"/>
    <x v="1"/>
  </r>
  <r>
    <x v="6"/>
    <s v="Stefan Zaugg"/>
    <x v="1"/>
    <x v="66"/>
    <x v="66"/>
    <n v="1"/>
    <s v="ADET"/>
    <n v="1"/>
    <n v="13"/>
    <n v="6"/>
    <n v="0"/>
    <n v="0"/>
    <n v="0"/>
    <n v="1145.83"/>
    <x v="16"/>
    <n v="1145.83"/>
    <x v="2"/>
  </r>
  <r>
    <x v="1"/>
    <s v="Laurent MONTAGNER"/>
    <x v="1"/>
    <x v="473"/>
    <x v="473"/>
    <n v="3"/>
    <s v="ADET"/>
    <n v="3"/>
    <n v="5"/>
    <n v="7"/>
    <n v="16"/>
    <n v="0"/>
    <n v="56524.800000000003"/>
    <n v="3532.8"/>
    <x v="85"/>
    <n v="10598.400000000001"/>
    <x v="2"/>
  </r>
  <r>
    <x v="1"/>
    <s v="Laurent MONTAGNER"/>
    <x v="1"/>
    <x v="71"/>
    <x v="71"/>
    <n v="2"/>
    <s v="ADET"/>
    <n v="2"/>
    <n v="40"/>
    <n v="18"/>
    <n v="-14"/>
    <n v="0"/>
    <n v="0"/>
    <n v="55"/>
    <x v="23"/>
    <n v="110"/>
    <x v="7"/>
  </r>
  <r>
    <x v="14"/>
    <s v="Matteo Giolo"/>
    <x v="1"/>
    <x v="68"/>
    <x v="68"/>
    <n v="4"/>
    <s v="ADET"/>
    <n v="0"/>
    <n v="250"/>
    <n v="0"/>
    <n v="-218"/>
    <n v="0"/>
    <n v="0"/>
    <n v="5.74"/>
    <x v="5"/>
    <n v="22.96"/>
    <x v="1"/>
  </r>
  <r>
    <x v="12"/>
    <s v="Stefan Zaugg"/>
    <x v="0"/>
    <x v="48"/>
    <x v="48"/>
    <n v="1"/>
    <s v="ADET"/>
    <n v="1"/>
    <n v="11"/>
    <n v="8"/>
    <n v="2"/>
    <n v="0"/>
    <n v="0"/>
    <m/>
    <x v="0"/>
    <m/>
    <x v="0"/>
  </r>
  <r>
    <x v="13"/>
    <s v="Volkan Batkan"/>
    <x v="1"/>
    <x v="318"/>
    <x v="318"/>
    <n v="2"/>
    <s v="ADET"/>
    <n v="2"/>
    <n v="35"/>
    <n v="14"/>
    <n v="-26"/>
    <n v="15"/>
    <n v="0"/>
    <n v="43.75"/>
    <x v="8"/>
    <n v="87.5"/>
    <x v="1"/>
  </r>
  <r>
    <x v="13"/>
    <s v="Volkan Batkan"/>
    <x v="1"/>
    <x v="53"/>
    <x v="53"/>
    <n v="4"/>
    <s v="KG"/>
    <n v="4"/>
    <n v="66"/>
    <n v="36.349999999999952"/>
    <n v="-17.090000000000018"/>
    <n v="0"/>
    <n v="0"/>
    <n v="129.63"/>
    <x v="2"/>
    <n v="518.52"/>
    <x v="3"/>
  </r>
  <r>
    <x v="7"/>
    <s v="Stina Alm"/>
    <x v="0"/>
    <x v="48"/>
    <x v="48"/>
    <n v="1"/>
    <s v="ADET"/>
    <n v="0"/>
    <n v="11"/>
    <n v="8"/>
    <n v="2"/>
    <n v="0"/>
    <n v="0"/>
    <m/>
    <x v="0"/>
    <m/>
    <x v="0"/>
  </r>
  <r>
    <x v="9"/>
    <s v="Stefan Zaugg"/>
    <x v="1"/>
    <x v="34"/>
    <x v="34"/>
    <n v="4"/>
    <s v="ADET"/>
    <n v="4"/>
    <n v="83"/>
    <n v="52"/>
    <n v="-31"/>
    <n v="0"/>
    <n v="0"/>
    <n v="170"/>
    <x v="4"/>
    <n v="680"/>
    <x v="1"/>
  </r>
  <r>
    <x v="6"/>
    <s v="Stefan Zaugg"/>
    <x v="1"/>
    <x v="333"/>
    <x v="333"/>
    <n v="5"/>
    <s v="ADET"/>
    <n v="5"/>
    <n v="11"/>
    <n v="19"/>
    <n v="22"/>
    <n v="0"/>
    <n v="67584"/>
    <n v="3072"/>
    <x v="85"/>
    <n v="15360"/>
    <x v="2"/>
  </r>
  <r>
    <x v="19"/>
    <s v="Laurent MONTAGNER"/>
    <x v="1"/>
    <x v="291"/>
    <x v="291"/>
    <n v="1"/>
    <s v="ADET"/>
    <n v="1"/>
    <n v="27"/>
    <n v="3"/>
    <n v="-13"/>
    <n v="0"/>
    <n v="0"/>
    <n v="372.91"/>
    <x v="67"/>
    <n v="372.91"/>
    <x v="4"/>
  </r>
  <r>
    <x v="1"/>
    <s v="Laurent MONTAGNER"/>
    <x v="1"/>
    <x v="291"/>
    <x v="291"/>
    <n v="1"/>
    <s v="ADET"/>
    <n v="1"/>
    <n v="27"/>
    <n v="3"/>
    <n v="-13"/>
    <n v="0"/>
    <n v="0"/>
    <n v="372.91"/>
    <x v="67"/>
    <n v="372.91"/>
    <x v="4"/>
  </r>
  <r>
    <x v="19"/>
    <s v="Laurent MONTAGNER"/>
    <x v="1"/>
    <x v="289"/>
    <x v="289"/>
    <n v="2"/>
    <s v="ADET"/>
    <n v="2"/>
    <n v="10"/>
    <n v="20"/>
    <n v="10"/>
    <n v="0"/>
    <n v="149462.5"/>
    <n v="14946.25"/>
    <x v="58"/>
    <n v="29892.5"/>
    <x v="4"/>
  </r>
  <r>
    <x v="13"/>
    <s v="Volkan Batkan"/>
    <x v="1"/>
    <x v="34"/>
    <x v="34"/>
    <n v="4"/>
    <s v="ADET"/>
    <n v="4"/>
    <n v="83"/>
    <n v="52"/>
    <n v="-31"/>
    <n v="0"/>
    <n v="0"/>
    <n v="170"/>
    <x v="4"/>
    <n v="680"/>
    <x v="1"/>
  </r>
  <r>
    <x v="16"/>
    <s v="Laurent MONTAGNER"/>
    <x v="1"/>
    <x v="35"/>
    <x v="35"/>
    <n v="8"/>
    <s v="ADET"/>
    <n v="0"/>
    <n v="1278"/>
    <n v="690"/>
    <n v="-1174"/>
    <n v="0"/>
    <n v="0"/>
    <n v="0.55000000000000004"/>
    <x v="2"/>
    <n v="4.4000000000000004"/>
    <x v="1"/>
  </r>
  <r>
    <x v="6"/>
    <s v="Stefan Zaugg"/>
    <x v="1"/>
    <x v="434"/>
    <x v="434"/>
    <n v="3"/>
    <s v="METRE"/>
    <n v="3"/>
    <n v="400"/>
    <n v="32"/>
    <n v="-397"/>
    <n v="0"/>
    <n v="0"/>
    <n v="11.5"/>
    <x v="68"/>
    <n v="34.5"/>
    <x v="7"/>
  </r>
  <r>
    <x v="13"/>
    <s v="Volkan Batkan"/>
    <x v="1"/>
    <x v="442"/>
    <x v="442"/>
    <n v="1"/>
    <s v="ADET"/>
    <n v="1"/>
    <n v="28"/>
    <n v="4"/>
    <n v="-21"/>
    <n v="0"/>
    <n v="0"/>
    <n v="290.62"/>
    <x v="67"/>
    <n v="290.62"/>
    <x v="4"/>
  </r>
  <r>
    <x v="8"/>
    <s v="Jan Urbanek"/>
    <x v="1"/>
    <x v="442"/>
    <x v="442"/>
    <n v="1"/>
    <s v="ADET"/>
    <n v="1"/>
    <n v="28"/>
    <n v="4"/>
    <n v="-21"/>
    <n v="0"/>
    <n v="0"/>
    <n v="290.62"/>
    <x v="67"/>
    <n v="290.62"/>
    <x v="4"/>
  </r>
  <r>
    <x v="13"/>
    <s v="Volkan Batkan"/>
    <x v="1"/>
    <x v="446"/>
    <x v="446"/>
    <n v="2"/>
    <s v="ADET"/>
    <n v="2"/>
    <n v="16"/>
    <n v="14"/>
    <n v="-14"/>
    <n v="20"/>
    <n v="0"/>
    <n v="194"/>
    <x v="56"/>
    <n v="388"/>
    <x v="2"/>
  </r>
  <r>
    <x v="13"/>
    <s v="Volkan Batkan"/>
    <x v="1"/>
    <x v="447"/>
    <x v="447"/>
    <n v="1"/>
    <s v="ADET"/>
    <n v="1"/>
    <n v="4"/>
    <n v="7"/>
    <n v="-2"/>
    <n v="10"/>
    <n v="0"/>
    <n v="3097.63"/>
    <x v="88"/>
    <n v="3097.63"/>
    <x v="4"/>
  </r>
  <r>
    <x v="13"/>
    <s v="Volkan Batkan"/>
    <x v="1"/>
    <x v="222"/>
    <x v="222"/>
    <n v="1"/>
    <s v="ADET"/>
    <n v="1"/>
    <n v="4"/>
    <n v="10"/>
    <n v="8"/>
    <n v="0"/>
    <n v="41649.120000000003"/>
    <n v="5206.1400000000003"/>
    <x v="15"/>
    <n v="5206.1400000000003"/>
    <x v="7"/>
  </r>
  <r>
    <x v="13"/>
    <s v="Volkan Batkan"/>
    <x v="1"/>
    <x v="448"/>
    <x v="448"/>
    <n v="18.8"/>
    <s v="KG"/>
    <n v="18.8"/>
    <n v="140"/>
    <n v="139.9599999999997"/>
    <n v="-16.590000000000032"/>
    <n v="80"/>
    <n v="0"/>
    <n v="164.09"/>
    <x v="8"/>
    <n v="3084.8920000000003"/>
    <x v="3"/>
  </r>
  <r>
    <x v="0"/>
    <s v="Matteo Giolo"/>
    <x v="1"/>
    <x v="153"/>
    <x v="153"/>
    <n v="10"/>
    <s v="ADET"/>
    <n v="0"/>
    <n v="1800"/>
    <n v="773"/>
    <n v="-1570"/>
    <n v="0"/>
    <n v="0"/>
    <n v="0.8"/>
    <x v="2"/>
    <n v="8"/>
    <x v="1"/>
  </r>
  <r>
    <x v="1"/>
    <s v="Laurent MONTAGNER"/>
    <x v="1"/>
    <x v="226"/>
    <x v="226"/>
    <n v="10.62"/>
    <s v="KG"/>
    <n v="10.62"/>
    <n v="0"/>
    <n v="297.61000000000007"/>
    <n v="97.560000000000016"/>
    <n v="0"/>
    <n v="13285.720800000003"/>
    <n v="136.18"/>
    <x v="64"/>
    <n v="1446.2316000000001"/>
    <x v="3"/>
  </r>
  <r>
    <x v="4"/>
    <s v="Jan Urbanek"/>
    <x v="1"/>
    <x v="443"/>
    <x v="443"/>
    <n v="1"/>
    <s v="ADET"/>
    <n v="1"/>
    <n v="27"/>
    <n v="4"/>
    <n v="-20"/>
    <n v="0"/>
    <n v="0"/>
    <n v="290.62"/>
    <x v="67"/>
    <n v="290.62"/>
    <x v="4"/>
  </r>
  <r>
    <x v="11"/>
    <s v="Jan Urbanek"/>
    <x v="1"/>
    <x v="442"/>
    <x v="442"/>
    <n v="1"/>
    <s v="ADET"/>
    <n v="0"/>
    <n v="28"/>
    <n v="4"/>
    <n v="-21"/>
    <n v="0"/>
    <n v="0"/>
    <n v="290.62"/>
    <x v="67"/>
    <n v="290.62"/>
    <x v="4"/>
  </r>
  <r>
    <x v="7"/>
    <s v="Stina Alm"/>
    <x v="1"/>
    <x v="236"/>
    <x v="236"/>
    <n v="1.5"/>
    <s v="ADET"/>
    <n v="0"/>
    <n v="272"/>
    <n v="4.2999999999999972"/>
    <n v="-233.2"/>
    <n v="0"/>
    <n v="0"/>
    <n v="30"/>
    <x v="2"/>
    <n v="45"/>
    <x v="1"/>
  </r>
  <r>
    <x v="19"/>
    <s v="Laurent MONTAGNER"/>
    <x v="1"/>
    <x v="153"/>
    <x v="153"/>
    <n v="21"/>
    <s v="ADET"/>
    <n v="0"/>
    <n v="1800"/>
    <n v="773"/>
    <n v="-1570"/>
    <n v="0"/>
    <n v="0"/>
    <n v="0.8"/>
    <x v="2"/>
    <n v="16.8"/>
    <x v="1"/>
  </r>
  <r>
    <x v="19"/>
    <s v="Laurent MONTAGNER"/>
    <x v="1"/>
    <x v="155"/>
    <x v="155"/>
    <n v="2"/>
    <s v="ADET"/>
    <n v="2"/>
    <n v="38"/>
    <n v="10"/>
    <n v="-22"/>
    <n v="0"/>
    <n v="0"/>
    <n v="95"/>
    <x v="56"/>
    <n v="190"/>
    <x v="1"/>
  </r>
  <r>
    <x v="10"/>
    <s v="Murat Taşdemir"/>
    <x v="1"/>
    <x v="203"/>
    <x v="203"/>
    <n v="1"/>
    <s v="ADET"/>
    <n v="0"/>
    <n v="100"/>
    <n v="41"/>
    <n v="-89.5"/>
    <n v="0"/>
    <n v="0"/>
    <n v="60"/>
    <x v="29"/>
    <n v="60"/>
    <x v="1"/>
  </r>
  <r>
    <x v="13"/>
    <s v="Volkan Batkan"/>
    <x v="1"/>
    <x v="311"/>
    <x v="311"/>
    <n v="9"/>
    <s v="METRE"/>
    <n v="0"/>
    <n v="0"/>
    <n v="165"/>
    <n v="-289"/>
    <n v="400"/>
    <n v="0"/>
    <n v="5"/>
    <x v="49"/>
    <n v="45"/>
    <x v="1"/>
  </r>
  <r>
    <x v="13"/>
    <s v="Volkan Batkan"/>
    <x v="1"/>
    <x v="392"/>
    <x v="392"/>
    <n v="30"/>
    <s v="ADET"/>
    <n v="30"/>
    <n v="880"/>
    <n v="414"/>
    <n v="-82"/>
    <n v="0"/>
    <n v="0"/>
    <n v="2.1"/>
    <x v="2"/>
    <n v="63"/>
    <x v="1"/>
  </r>
  <r>
    <x v="0"/>
    <s v="Matteo Giolo"/>
    <x v="1"/>
    <x v="128"/>
    <x v="128"/>
    <n v="1"/>
    <s v="ADET"/>
    <n v="0"/>
    <n v="0"/>
    <n v="4"/>
    <n v="0"/>
    <n v="20"/>
    <n v="0"/>
    <n v="28000"/>
    <x v="48"/>
    <n v="28000"/>
    <x v="7"/>
  </r>
  <r>
    <x v="16"/>
    <s v="Laurent MONTAGNER"/>
    <x v="1"/>
    <x v="185"/>
    <x v="185"/>
    <n v="4"/>
    <s v="ADET"/>
    <n v="4"/>
    <n v="19"/>
    <n v="32"/>
    <n v="-11"/>
    <n v="20"/>
    <n v="0"/>
    <n v="72.819999999999993"/>
    <x v="43"/>
    <n v="291.27999999999997"/>
    <x v="7"/>
  </r>
  <r>
    <x v="12"/>
    <s v="Stefan Zaugg"/>
    <x v="1"/>
    <x v="183"/>
    <x v="183"/>
    <n v="1"/>
    <s v="ADET"/>
    <n v="1"/>
    <n v="26"/>
    <n v="8"/>
    <n v="-22"/>
    <n v="0"/>
    <n v="0"/>
    <n v="368.07"/>
    <x v="65"/>
    <n v="368.07"/>
    <x v="7"/>
  </r>
  <r>
    <x v="4"/>
    <s v="Jan Urbanek"/>
    <x v="1"/>
    <x v="163"/>
    <x v="163"/>
    <n v="4.0999999999999996"/>
    <s v="METRE"/>
    <n v="0"/>
    <n v="100"/>
    <n v="1.9999999999999432"/>
    <n v="-6.4000000000000057"/>
    <n v="0"/>
    <n v="0"/>
    <n v="111"/>
    <x v="23"/>
    <n v="455.09999999999997"/>
    <x v="7"/>
  </r>
  <r>
    <x v="13"/>
    <s v="Volkan Batkan"/>
    <x v="1"/>
    <x v="183"/>
    <x v="183"/>
    <n v="1"/>
    <s v="ADET"/>
    <n v="1"/>
    <n v="26"/>
    <n v="8"/>
    <n v="-22"/>
    <n v="0"/>
    <n v="0"/>
    <n v="368.07"/>
    <x v="65"/>
    <n v="368.07"/>
    <x v="7"/>
  </r>
  <r>
    <x v="9"/>
    <s v="Stefan Zaugg"/>
    <x v="1"/>
    <x v="127"/>
    <x v="127"/>
    <n v="1.1000000000000001"/>
    <s v="ADET"/>
    <n v="1.1000000000000001"/>
    <n v="14"/>
    <n v="6.7999999999999972"/>
    <n v="7.7000000000000028"/>
    <n v="12"/>
    <n v="2532.1450000000009"/>
    <n v="328.85"/>
    <x v="47"/>
    <n v="361.73500000000007"/>
    <x v="3"/>
  </r>
  <r>
    <x v="6"/>
    <s v="Stefan Zaugg"/>
    <x v="1"/>
    <x v="127"/>
    <x v="127"/>
    <n v="1.1000000000000001"/>
    <s v="ADET"/>
    <n v="1.1000000000000001"/>
    <n v="14"/>
    <n v="6.7999999999999972"/>
    <n v="7.7000000000000028"/>
    <n v="12"/>
    <n v="2532.1450000000009"/>
    <n v="328.85"/>
    <x v="47"/>
    <n v="361.7350000000000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517B1-735E-4BA6-8A4E-F96A41416961}" name="PivotTable1" cacheId="36" applyNumberFormats="0" applyBorderFormats="0" applyFontFormats="0" applyPatternFormats="0" applyAlignmentFormats="0" applyWidthHeightFormats="1" dataCaption="Değerler" updatedVersion="8" minRefreshableVersion="3" useAutoFormatting="1" rowGrandTotals="0" colGrandTotals="0" itemPrintTitles="1" createdVersion="8" indent="0" compact="0" compactData="0" multipleFieldFilters="0">
  <location ref="A4:N301" firstHeaderRow="1" firstDataRow="2" firstDataCol="2" rowPageCount="2" colPageCount="1"/>
  <pivotFields count="17">
    <pivotField axis="axisPage" compact="0" outline="0" multipleItemSelectionAllowed="1" showAll="0" defaultSubtotal="0">
      <items count="369">
        <item h="1" m="1" x="334"/>
        <item h="1" m="1" x="335"/>
        <item m="1" x="366"/>
        <item m="1" x="276"/>
        <item h="1" m="1" x="359"/>
        <item h="1" m="1" x="242"/>
        <item h="1" m="1" x="243"/>
        <item h="1" m="1" x="244"/>
        <item h="1" m="1" x="245"/>
        <item h="1" m="1" x="265"/>
        <item h="1" m="1" x="314"/>
        <item h="1" m="1" x="333"/>
        <item h="1" m="1" x="329"/>
        <item h="1" m="1" x="326"/>
        <item h="1" m="1" x="327"/>
        <item h="1" m="1" x="330"/>
        <item h="1" m="1" x="331"/>
        <item h="1" m="1" x="305"/>
        <item h="1" m="1" x="306"/>
        <item h="1" m="1" x="307"/>
        <item h="1" m="1" x="332"/>
        <item h="1" m="1" x="308"/>
        <item h="1" m="1" x="313"/>
        <item h="1" m="1" x="311"/>
        <item h="1" m="1" x="312"/>
        <item m="1" x="315"/>
        <item h="1" m="1" x="322"/>
        <item h="1" m="1" x="323"/>
        <item h="1" m="1" x="304"/>
        <item h="1" m="1" x="324"/>
        <item h="1" m="1" x="325"/>
        <item h="1" m="1" x="360"/>
        <item h="1" m="1" x="310"/>
        <item h="1" m="1" x="358"/>
        <item h="1" m="1" x="302"/>
        <item h="1" m="1" x="328"/>
        <item h="1" m="1" x="361"/>
        <item h="1" m="1" x="362"/>
        <item h="1" m="1" x="363"/>
        <item h="1" m="1" x="269"/>
        <item m="1" x="367"/>
        <item h="1" m="1" x="237"/>
        <item h="1" m="1" x="246"/>
        <item m="1" x="365"/>
        <item m="1" x="368"/>
        <item m="1" x="364"/>
        <item h="1" m="1" x="236"/>
        <item h="1" m="1" x="336"/>
        <item h="1" m="1" x="337"/>
        <item h="1" m="1" x="338"/>
        <item h="1" m="1" x="339"/>
        <item h="1" m="1" x="340"/>
        <item h="1" m="1" x="341"/>
        <item h="1" m="1" x="351"/>
        <item h="1" m="1" x="352"/>
        <item h="1" m="1" x="353"/>
        <item h="1" m="1" x="354"/>
        <item h="1" m="1" x="355"/>
        <item h="1" m="1" x="356"/>
        <item h="1" m="1" x="345"/>
        <item h="1" m="1" x="346"/>
        <item h="1" m="1" x="347"/>
        <item h="1" m="1" x="348"/>
        <item h="1" m="1" x="349"/>
        <item h="1" m="1" x="350"/>
        <item h="1" m="1" x="342"/>
        <item h="1" m="1" x="343"/>
        <item h="1" m="1" x="344"/>
        <item h="1" m="1" x="298"/>
        <item h="1" m="1" x="292"/>
        <item h="1" m="1" x="294"/>
        <item h="1" m="1" x="295"/>
        <item h="1" m="1" x="296"/>
        <item h="1" m="1" x="297"/>
        <item h="1" m="1" x="309"/>
        <item h="1" m="1" x="289"/>
        <item h="1" m="1" x="290"/>
        <item h="1" m="1" x="291"/>
        <item h="1" m="1" x="301"/>
        <item h="1" m="1" x="316"/>
        <item h="1" m="1" x="317"/>
        <item h="1" m="1" x="318"/>
        <item h="1" m="1" x="271"/>
        <item h="1" m="1" x="272"/>
        <item h="1" m="1" x="273"/>
        <item h="1" m="1" x="274"/>
        <item h="1" m="1" x="270"/>
        <item h="1" m="1" x="300"/>
        <item h="1" m="1" x="357"/>
        <item h="1" m="1" x="319"/>
        <item h="1" m="1" x="320"/>
        <item h="1" m="1" x="321"/>
        <item h="1" m="1" x="279"/>
        <item h="1" m="1" x="288"/>
        <item h="1" m="1" x="303"/>
        <item h="1" m="1" x="231"/>
        <item h="1" m="1" x="232"/>
        <item h="1" m="1" x="225"/>
        <item h="1" m="1" x="217"/>
        <item h="1" m="1" x="218"/>
        <item h="1" m="1" x="252"/>
        <item h="1" m="1" x="248"/>
        <item h="1" m="1" x="249"/>
        <item h="1" m="1" x="267"/>
        <item h="1" m="1" x="250"/>
        <item h="1" m="1" x="251"/>
        <item h="1" m="1" x="229"/>
        <item h="1" m="1" x="275"/>
        <item h="1" m="1" x="268"/>
        <item h="1" m="1" x="293"/>
        <item h="1" m="1" x="247"/>
        <item h="1" m="1" x="266"/>
        <item h="1" m="1" x="299"/>
        <item h="1" m="1" x="278"/>
        <item h="1" m="1" x="277"/>
        <item h="1" m="1" x="284"/>
        <item h="1" m="1" x="285"/>
        <item h="1" m="1" x="280"/>
        <item h="1" m="1" x="281"/>
        <item h="1" m="1" x="253"/>
        <item h="1" m="1" x="239"/>
        <item h="1" m="1" x="240"/>
        <item h="1" m="1" x="241"/>
        <item h="1" m="1" x="230"/>
        <item h="1" m="1" x="282"/>
        <item h="1" m="1" x="283"/>
        <item h="1" m="1" x="286"/>
        <item h="1" m="1" x="228"/>
        <item h="1" m="1" x="287"/>
        <item h="1" m="1" x="258"/>
        <item h="1" m="1" x="257"/>
        <item h="1" m="1" x="256"/>
        <item h="1" m="1" x="260"/>
        <item h="1" m="1" x="254"/>
        <item h="1" m="1" x="255"/>
        <item m="1" x="235"/>
        <item h="1" m="1" x="234"/>
        <item h="1" m="1" x="259"/>
        <item h="1" m="1" x="262"/>
        <item h="1" m="1" x="263"/>
        <item h="1" m="1" x="264"/>
        <item h="1" m="1" x="261"/>
        <item h="1" m="1" x="233"/>
        <item h="1" m="1" x="211"/>
        <item h="1" m="1" x="212"/>
        <item h="1" m="1" x="213"/>
        <item h="1" m="1" x="214"/>
        <item h="1" m="1" x="215"/>
        <item h="1" m="1" x="216"/>
        <item h="1" m="1" x="219"/>
        <item h="1" m="1" x="220"/>
        <item h="1" m="1" x="221"/>
        <item h="1" m="1" x="222"/>
        <item h="1" m="1" x="223"/>
        <item h="1" m="1" x="224"/>
        <item h="1" m="1" x="226"/>
        <item h="1" m="1" x="227"/>
        <item h="1" m="1" x="238"/>
        <item h="1" m="1" x="156"/>
        <item h="1" m="1" x="139"/>
        <item h="1" m="1" x="166"/>
        <item h="1" m="1" x="170"/>
        <item h="1" m="1" x="171"/>
        <item h="1" m="1" x="172"/>
        <item h="1" m="1" x="173"/>
        <item h="1" m="1" x="174"/>
        <item h="1" m="1" x="175"/>
        <item h="1" m="1" x="176"/>
        <item h="1" m="1" x="177"/>
        <item h="1" m="1" x="178"/>
        <item h="1" m="1" x="179"/>
        <item h="1" m="1" x="180"/>
        <item h="1" m="1" x="181"/>
        <item h="1" m="1" x="182"/>
        <item h="1" m="1" x="183"/>
        <item h="1" m="1" x="184"/>
        <item h="1" m="1" x="185"/>
        <item h="1" m="1" x="186"/>
        <item h="1" m="1" x="187"/>
        <item h="1" m="1" x="188"/>
        <item h="1" m="1" x="189"/>
        <item h="1" m="1" x="190"/>
        <item h="1" m="1" x="164"/>
        <item h="1" m="1" x="191"/>
        <item h="1" m="1" x="192"/>
        <item h="1" m="1" x="193"/>
        <item h="1" m="1" x="194"/>
        <item h="1" m="1" x="195"/>
        <item h="1" m="1" x="196"/>
        <item h="1" m="1" x="197"/>
        <item h="1" m="1" x="198"/>
        <item h="1" m="1" x="199"/>
        <item h="1" m="1" x="200"/>
        <item h="1" m="1" x="201"/>
        <item h="1" m="1" x="202"/>
        <item h="1" m="1" x="203"/>
        <item h="1" m="1" x="204"/>
        <item h="1" m="1" x="205"/>
        <item h="1" m="1" x="111"/>
        <item h="1" m="1" x="162"/>
        <item h="1" m="1" x="142"/>
        <item h="1" m="1" x="206"/>
        <item h="1" m="1" x="169"/>
        <item h="1" m="1" x="168"/>
        <item h="1" m="1" x="163"/>
        <item h="1" m="1" x="140"/>
        <item h="1" m="1" x="165"/>
        <item h="1" m="1" x="114"/>
        <item h="1" m="1" x="135"/>
        <item h="1" m="1" x="110"/>
        <item h="1" m="1" x="207"/>
        <item h="1" m="1" x="141"/>
        <item h="1" m="1" x="148"/>
        <item h="1" m="1" x="161"/>
        <item h="1" m="1" x="151"/>
        <item h="1" m="1" x="158"/>
        <item h="1" m="1" x="153"/>
        <item h="1" m="1" x="149"/>
        <item h="1" m="1" x="157"/>
        <item h="1" m="1" x="147"/>
        <item h="1" m="1" x="112"/>
        <item h="1" m="1" x="146"/>
        <item h="1" m="1" x="159"/>
        <item h="1" m="1" x="208"/>
        <item h="1" m="1" x="167"/>
        <item h="1" m="1" x="143"/>
        <item h="1" m="1" x="144"/>
        <item h="1" m="1" x="129"/>
        <item h="1" m="1" x="209"/>
        <item h="1" m="1" x="210"/>
        <item h="1" m="1" x="120"/>
        <item h="1" m="1" x="125"/>
        <item h="1" m="1" x="160"/>
        <item h="1" m="1" x="123"/>
        <item h="1" m="1" x="121"/>
        <item h="1" m="1" x="128"/>
        <item h="1" m="1" x="122"/>
        <item h="1" m="1" x="118"/>
        <item h="1" m="1" x="131"/>
        <item h="1" m="1" x="150"/>
        <item h="1" m="1" x="152"/>
        <item h="1" m="1" x="154"/>
        <item h="1" m="1" x="113"/>
        <item h="1" m="1" x="124"/>
        <item h="1" m="1" x="145"/>
        <item h="1" m="1" x="136"/>
        <item h="1" m="1" x="134"/>
        <item h="1" m="1" x="115"/>
        <item h="1" m="1" x="116"/>
        <item h="1" m="1" x="117"/>
        <item h="1" m="1" x="155"/>
        <item h="1" m="1" x="106"/>
        <item h="1" m="1" x="108"/>
        <item h="1" m="1" x="107"/>
        <item h="1" m="1" x="132"/>
        <item h="1" m="1" x="130"/>
        <item h="1" m="1" x="133"/>
        <item h="1" m="1" x="138"/>
        <item h="1" m="1" x="137"/>
        <item h="1" m="1" x="127"/>
        <item h="1" m="1" x="102"/>
        <item h="1" m="1" x="126"/>
        <item h="1" m="1" x="119"/>
        <item h="1" m="1" x="103"/>
        <item h="1" m="1" x="100"/>
        <item h="1" m="1" x="105"/>
        <item h="1" m="1" x="104"/>
        <item h="1" m="1" x="84"/>
        <item h="1" m="1" x="98"/>
        <item h="1" m="1" x="97"/>
        <item h="1" m="1" x="89"/>
        <item h="1" m="1" x="92"/>
        <item h="1" m="1" x="86"/>
        <item h="1" m="1" x="95"/>
        <item h="1" m="1" x="87"/>
        <item h="1" m="1" x="91"/>
        <item h="1" m="1" x="90"/>
        <item h="1" m="1" x="88"/>
        <item h="1" m="1" x="101"/>
        <item h="1" m="1" x="99"/>
        <item h="1" m="1" x="79"/>
        <item h="1" m="1" x="93"/>
        <item h="1" m="1" x="77"/>
        <item h="1" m="1" x="78"/>
        <item h="1" m="1" x="85"/>
        <item h="1" m="1" x="80"/>
        <item h="1" m="1" x="81"/>
        <item h="1" m="1" x="83"/>
        <item h="1" m="1" x="82"/>
        <item h="1" m="1" x="94"/>
        <item h="1" m="1" x="109"/>
        <item h="1" m="1" x="96"/>
        <item h="1" m="1" x="69"/>
        <item h="1" m="1" x="75"/>
        <item h="1" m="1" x="73"/>
        <item h="1" m="1" x="76"/>
        <item h="1" m="1" x="71"/>
        <item h="1" m="1" x="70"/>
        <item h="1" m="1" x="72"/>
        <item h="1" m="1" x="60"/>
        <item h="1" m="1" x="64"/>
        <item h="1" m="1" x="61"/>
        <item h="1" m="1" x="46"/>
        <item h="1" m="1" x="45"/>
        <item h="1" m="1" x="63"/>
        <item h="1" m="1" x="59"/>
        <item h="1" m="1" x="65"/>
        <item h="1" m="1" x="66"/>
        <item h="1" m="1" x="74"/>
        <item h="1" m="1" x="67"/>
        <item h="1" m="1" x="68"/>
        <item h="1" m="1" x="44"/>
        <item h="1" m="1" x="43"/>
        <item h="1" m="1" x="47"/>
        <item h="1" m="1" x="55"/>
        <item h="1" m="1" x="54"/>
        <item h="1" m="1" x="57"/>
        <item h="1" m="1" x="56"/>
        <item h="1" m="1" x="62"/>
        <item h="1" m="1" x="53"/>
        <item h="1" m="1" x="48"/>
        <item h="1" m="1" x="52"/>
        <item h="1" m="1" x="41"/>
        <item h="1" m="1" x="38"/>
        <item h="1" m="1" x="49"/>
        <item h="1" m="1" x="40"/>
        <item h="1" m="1" x="50"/>
        <item h="1" m="1" x="42"/>
        <item h="1" m="1" x="51"/>
        <item h="1" m="1" x="39"/>
        <item h="1" m="1" x="30"/>
        <item h="1" m="1" x="33"/>
        <item h="1" m="1" x="58"/>
        <item h="1" m="1" x="28"/>
        <item h="1" m="1" x="31"/>
        <item h="1" m="1" x="34"/>
        <item h="1" m="1" x="35"/>
        <item h="1" m="1" x="29"/>
        <item h="1" m="1" x="36"/>
        <item h="1" m="1" x="37"/>
        <item h="1" m="1" x="24"/>
        <item h="1" m="1" x="21"/>
        <item h="1" m="1" x="32"/>
        <item h="1" m="1" x="27"/>
        <item h="1" m="1" x="25"/>
        <item h="1" m="1" x="22"/>
        <item h="1" m="1" x="26"/>
        <item h="1" m="1" x="20"/>
        <item h="1" m="1" x="23"/>
        <item h="1" x="13"/>
        <item h="1" x="9"/>
        <item h="1" x="6"/>
        <item h="1" x="19"/>
        <item h="1" x="7"/>
        <item h="1" x="1"/>
        <item x="18"/>
        <item h="1" x="16"/>
        <item h="1" x="12"/>
        <item h="1" x="10"/>
        <item h="1" x="0"/>
        <item h="1" x="5"/>
        <item h="1" x="4"/>
        <item h="1" x="3"/>
        <item h="1" x="11"/>
        <item h="1" x="14"/>
        <item h="1" x="2"/>
        <item h="1" x="8"/>
        <item h="1" x="15"/>
        <item h="1" x="17"/>
      </items>
    </pivotField>
    <pivotField compact="0" outline="0" showAll="0" defaultSubtotal="0"/>
    <pivotField axis="axisPage" compact="0" outline="0" multipleItemSelectionAllowed="1" showAll="0" defaultSubtotal="0">
      <items count="4">
        <item x="1"/>
        <item h="1" m="1" x="3"/>
        <item x="0"/>
        <item h="1" m="1" x="2"/>
      </items>
    </pivotField>
    <pivotField axis="axisRow" compact="0" outline="0" showAll="0" defaultSubtotal="0">
      <items count="1435">
        <item m="1" x="1250"/>
        <item m="1" x="1395"/>
        <item m="1" x="1251"/>
        <item m="1" x="1400"/>
        <item m="1" x="1274"/>
        <item m="1" x="1275"/>
        <item m="1" x="1402"/>
        <item m="1" x="1252"/>
        <item m="1" x="1404"/>
        <item m="1" x="1253"/>
        <item m="1" x="1254"/>
        <item m="1" x="1403"/>
        <item m="1" x="1255"/>
        <item m="1" x="1393"/>
        <item m="1" x="1256"/>
        <item m="1" x="1394"/>
        <item m="1" x="1276"/>
        <item m="1" x="1277"/>
        <item m="1" x="1257"/>
        <item m="1" x="1278"/>
        <item m="1" x="1258"/>
        <item m="1" x="1399"/>
        <item m="1" x="1279"/>
        <item m="1" x="1259"/>
        <item m="1" x="1396"/>
        <item m="1" x="1280"/>
        <item m="1" x="1260"/>
        <item m="1" x="1397"/>
        <item m="1" x="1281"/>
        <item m="1" x="1261"/>
        <item m="1" x="1401"/>
        <item m="1" x="1282"/>
        <item m="1" x="1262"/>
        <item m="1" x="1398"/>
        <item m="1" x="1283"/>
        <item m="1" x="1263"/>
        <item m="1" x="1392"/>
        <item m="1" x="1284"/>
        <item m="1" x="798"/>
        <item x="54"/>
        <item m="1" x="1092"/>
        <item m="1" x="1356"/>
        <item m="1" x="1129"/>
        <item x="134"/>
        <item x="96"/>
        <item x="379"/>
        <item x="100"/>
        <item x="310"/>
        <item x="247"/>
        <item m="1" x="1143"/>
        <item m="1" x="1149"/>
        <item m="1" x="1152"/>
        <item m="1" x="1410"/>
        <item x="88"/>
        <item m="1" x="984"/>
        <item x="157"/>
        <item m="1" x="1367"/>
        <item m="1" x="1368"/>
        <item m="1" x="997"/>
        <item x="174"/>
        <item x="151"/>
        <item x="84"/>
        <item x="124"/>
        <item m="1" x="1363"/>
        <item m="1" x="719"/>
        <item m="1" x="750"/>
        <item m="1" x="721"/>
        <item m="1" x="575"/>
        <item x="194"/>
        <item x="434"/>
        <item x="406"/>
        <item x="114"/>
        <item m="1" x="723"/>
        <item x="98"/>
        <item x="163"/>
        <item m="1" x="590"/>
        <item m="1" x="567"/>
        <item x="147"/>
        <item m="1" x="572"/>
        <item m="1" x="574"/>
        <item m="1" x="576"/>
        <item m="1" x="545"/>
        <item m="1" x="550"/>
        <item m="1" x="569"/>
        <item m="1" x="793"/>
        <item m="1" x="565"/>
        <item m="1" x="568"/>
        <item x="221"/>
        <item m="1" x="1268"/>
        <item m="1" x="1200"/>
        <item m="1" x="1099"/>
        <item m="1" x="943"/>
        <item m="1" x="950"/>
        <item x="284"/>
        <item x="250"/>
        <item x="430"/>
        <item m="1" x="1370"/>
        <item x="197"/>
        <item m="1" x="1101"/>
        <item x="411"/>
        <item m="1" x="877"/>
        <item x="185"/>
        <item x="276"/>
        <item x="398"/>
        <item m="1" x="1366"/>
        <item m="1" x="566"/>
        <item x="241"/>
        <item m="1" x="955"/>
        <item m="1" x="725"/>
        <item m="1" x="556"/>
        <item m="1" x="571"/>
        <item x="71"/>
        <item x="204"/>
        <item x="141"/>
        <item x="293"/>
        <item x="242"/>
        <item x="198"/>
        <item m="1" x="726"/>
        <item x="271"/>
        <item x="173"/>
        <item m="1" x="838"/>
        <item x="263"/>
        <item x="150"/>
        <item m="1" x="1093"/>
        <item m="1" x="1094"/>
        <item m="1" x="1095"/>
        <item m="1" x="1096"/>
        <item x="85"/>
        <item x="222"/>
        <item x="170"/>
        <item x="152"/>
        <item x="97"/>
        <item m="1" x="1369"/>
        <item m="1" x="1421"/>
        <item x="228"/>
        <item m="1" x="1097"/>
        <item m="1" x="1098"/>
        <item m="1" x="674"/>
        <item x="89"/>
        <item m="1" x="740"/>
        <item m="1" x="559"/>
        <item m="1" x="558"/>
        <item x="261"/>
        <item m="1" x="1332"/>
        <item x="184"/>
        <item x="294"/>
        <item x="267"/>
        <item m="1" x="1100"/>
        <item m="1" x="818"/>
        <item m="1" x="840"/>
        <item x="295"/>
        <item x="255"/>
        <item x="183"/>
        <item x="110"/>
        <item m="1" x="964"/>
        <item m="1" x="561"/>
        <item x="401"/>
        <item m="1" x="592"/>
        <item x="394"/>
        <item x="352"/>
        <item x="265"/>
        <item m="1" x="1155"/>
        <item m="1" x="1140"/>
        <item m="1" x="1139"/>
        <item m="1" x="1217"/>
        <item m="1" x="1378"/>
        <item m="1" x="1285"/>
        <item m="1" x="1218"/>
        <item m="1" x="1377"/>
        <item m="1" x="1286"/>
        <item m="1" x="1219"/>
        <item m="1" x="1389"/>
        <item m="1" x="1220"/>
        <item m="1" x="1375"/>
        <item m="1" x="1360"/>
        <item m="1" x="1138"/>
        <item m="1" x="1009"/>
        <item m="1" x="1010"/>
        <item m="1" x="1221"/>
        <item m="1" x="1222"/>
        <item m="1" x="1379"/>
        <item m="1" x="1391"/>
        <item m="1" x="1223"/>
        <item m="1" x="1224"/>
        <item m="1" x="1390"/>
        <item m="1" x="1225"/>
        <item m="1" x="1269"/>
        <item m="1" x="1287"/>
        <item m="1" x="1387"/>
        <item m="1" x="1226"/>
        <item m="1" x="1227"/>
        <item m="1" x="1385"/>
        <item m="1" x="1288"/>
        <item m="1" x="1228"/>
        <item m="1" x="1383"/>
        <item m="1" x="1289"/>
        <item m="1" x="1018"/>
        <item m="1" x="1229"/>
        <item m="1" x="1381"/>
        <item m="1" x="1230"/>
        <item m="1" x="1382"/>
        <item m="1" x="1290"/>
        <item m="1" x="1270"/>
        <item m="1" x="1358"/>
        <item m="1" x="1020"/>
        <item m="1" x="1231"/>
        <item m="1" x="1384"/>
        <item m="1" x="1291"/>
        <item m="1" x="1021"/>
        <item m="1" x="1022"/>
        <item m="1" x="1023"/>
        <item m="1" x="1232"/>
        <item m="1" x="1380"/>
        <item m="1" x="1233"/>
        <item m="1" x="1234"/>
        <item m="1" x="1388"/>
        <item m="1" x="1292"/>
        <item m="1" x="1235"/>
        <item m="1" x="1374"/>
        <item m="1" x="1293"/>
        <item m="1" x="1373"/>
        <item m="1" x="1236"/>
        <item m="1" x="1237"/>
        <item m="1" x="1376"/>
        <item m="1" x="1294"/>
        <item m="1" x="1030"/>
        <item m="1" x="1031"/>
        <item m="1" x="1032"/>
        <item m="1" x="1238"/>
        <item m="1" x="1239"/>
        <item m="1" x="1386"/>
        <item m="1" x="1295"/>
        <item m="1" x="966"/>
        <item m="1" x="1240"/>
        <item m="1" x="1033"/>
        <item m="1" x="1241"/>
        <item m="1" x="1330"/>
        <item m="1" x="969"/>
        <item m="1" x="1242"/>
        <item m="1" x="1337"/>
        <item m="1" x="1038"/>
        <item m="1" x="1039"/>
        <item x="393"/>
        <item x="203"/>
        <item m="1" x="916"/>
        <item x="281"/>
        <item m="1" x="604"/>
        <item x="269"/>
        <item x="243"/>
        <item x="227"/>
        <item x="407"/>
        <item m="1" x="911"/>
        <item m="1" x="1312"/>
        <item m="1" x="942"/>
        <item m="1" x="770"/>
        <item x="292"/>
        <item m="1" x="908"/>
        <item x="253"/>
        <item x="301"/>
        <item x="304"/>
        <item x="264"/>
        <item x="323"/>
        <item m="1" x="581"/>
        <item x="285"/>
        <item x="312"/>
        <item x="316"/>
        <item x="455"/>
        <item m="1" x="1102"/>
        <item m="1" x="1103"/>
        <item m="1" x="991"/>
        <item m="1" x="1104"/>
        <item x="410"/>
        <item x="309"/>
        <item m="1" x="1371"/>
        <item x="282"/>
        <item x="19"/>
        <item m="1" x="915"/>
        <item x="6"/>
        <item x="40"/>
        <item x="38"/>
        <item x="92"/>
        <item x="1"/>
        <item x="120"/>
        <item x="153"/>
        <item x="65"/>
        <item m="1" x="530"/>
        <item x="129"/>
        <item x="12"/>
        <item x="7"/>
        <item m="1" x="1105"/>
        <item x="142"/>
        <item x="155"/>
        <item x="34"/>
        <item x="8"/>
        <item m="1" x="1106"/>
        <item x="29"/>
        <item x="80"/>
        <item x="69"/>
        <item x="131"/>
        <item m="1" x="773"/>
        <item x="9"/>
        <item m="1" x="1243"/>
        <item x="167"/>
        <item x="105"/>
        <item x="224"/>
        <item x="210"/>
        <item x="350"/>
        <item x="108"/>
        <item m="1" x="1134"/>
        <item x="355"/>
        <item m="1" x="1307"/>
        <item m="1" x="957"/>
        <item x="349"/>
        <item x="432"/>
        <item m="1" x="612"/>
        <item m="1" x="1429"/>
        <item x="409"/>
        <item m="1" x="912"/>
        <item m="1" x="913"/>
        <item m="1" x="914"/>
        <item x="181"/>
        <item x="226"/>
        <item m="1" x="1146"/>
        <item m="1" x="1408"/>
        <item m="1" x="1406"/>
        <item m="1" x="1362"/>
        <item m="1" x="1407"/>
        <item x="103"/>
        <item x="17"/>
        <item x="52"/>
        <item x="172"/>
        <item x="123"/>
        <item x="25"/>
        <item m="1" x="1426"/>
        <item m="1" x="1427"/>
        <item m="1" x="1120"/>
        <item x="187"/>
        <item x="37"/>
        <item m="1" x="907"/>
        <item x="127"/>
        <item x="424"/>
        <item x="16"/>
        <item m="1" x="1206"/>
        <item x="193"/>
        <item x="77"/>
        <item x="78"/>
        <item m="1" x="823"/>
        <item x="169"/>
        <item m="1" x="537"/>
        <item x="53"/>
        <item x="24"/>
        <item m="1" x="548"/>
        <item x="122"/>
        <item x="43"/>
        <item m="1" x="1333"/>
        <item m="1" x="1046"/>
        <item m="1" x="1107"/>
        <item x="4"/>
        <item m="1" x="1365"/>
        <item x="238"/>
        <item x="229"/>
        <item m="1" x="797"/>
        <item m="1" x="1108"/>
        <item m="1" x="542"/>
        <item m="1" x="1411"/>
        <item m="1" x="706"/>
        <item x="66"/>
        <item x="51"/>
        <item x="81"/>
        <item m="1" x="1267"/>
        <item m="1" x="1334"/>
        <item x="21"/>
        <item x="515"/>
        <item m="1" x="541"/>
        <item m="1" x="867"/>
        <item m="1" x="1109"/>
        <item x="22"/>
        <item m="1" x="1412"/>
        <item x="76"/>
        <item x="154"/>
        <item m="1" x="1111"/>
        <item m="1" x="1047"/>
        <item m="1" x="1112"/>
        <item m="1" x="1113"/>
        <item m="1" x="1297"/>
        <item m="1" x="707"/>
        <item m="1" x="526"/>
        <item m="1" x="692"/>
        <item m="1" x="1271"/>
        <item m="1" x="857"/>
        <item m="1" x="1115"/>
        <item m="1" x="1048"/>
        <item m="1" x="816"/>
        <item x="42"/>
        <item m="1" x="890"/>
        <item m="1" x="708"/>
        <item m="1" x="1117"/>
        <item m="1" x="822"/>
        <item m="1" x="1118"/>
        <item m="1" x="1244"/>
        <item m="1" x="533"/>
        <item x="15"/>
        <item m="1" x="1119"/>
        <item x="82"/>
        <item m="1" x="1245"/>
        <item x="121"/>
        <item m="1" x="578"/>
        <item m="1" x="1131"/>
        <item m="1" x="1430"/>
        <item m="1" x="1049"/>
        <item x="225"/>
        <item x="231"/>
        <item m="1" x="563"/>
        <item m="1" x="1349"/>
        <item m="1" x="1350"/>
        <item m="1" x="807"/>
        <item x="233"/>
        <item m="1" x="846"/>
        <item m="1" x="1177"/>
        <item m="1" x="1338"/>
        <item m="1" x="1351"/>
        <item m="1" x="1147"/>
        <item m="1" x="1148"/>
        <item m="1" x="1352"/>
        <item x="353"/>
        <item m="1" x="1405"/>
        <item m="1" x="810"/>
        <item m="1" x="1431"/>
        <item m="1" x="1151"/>
        <item x="429"/>
        <item x="439"/>
        <item x="302"/>
        <item m="1" x="1328"/>
        <item m="1" x="1055"/>
        <item x="272"/>
        <item m="1" x="1331"/>
        <item m="1" x="1176"/>
        <item m="1" x="593"/>
        <item m="1" x="1329"/>
        <item m="1" x="1246"/>
        <item m="1" x="1359"/>
        <item x="186"/>
        <item x="211"/>
        <item m="1" x="782"/>
        <item x="195"/>
        <item x="383"/>
        <item m="1" x="582"/>
        <item x="177"/>
        <item m="1" x="868"/>
        <item m="1" x="1130"/>
        <item x="180"/>
        <item m="1" x="697"/>
        <item x="254"/>
        <item m="1" x="1310"/>
        <item m="1" x="648"/>
        <item m="1" x="1137"/>
        <item m="1" x="1308"/>
        <item m="1" x="1336"/>
        <item x="209"/>
        <item x="313"/>
        <item x="268"/>
        <item x="510"/>
        <item m="1" x="652"/>
        <item m="1" x="1309"/>
        <item m="1" x="1209"/>
        <item m="1" x="1128"/>
        <item m="1" x="1433"/>
        <item m="1" x="1210"/>
        <item x="27"/>
        <item x="70"/>
        <item m="1" x="1428"/>
        <item m="1" x="1247"/>
        <item x="59"/>
        <item x="86"/>
        <item x="191"/>
        <item x="45"/>
        <item x="67"/>
        <item x="190"/>
        <item x="146"/>
        <item m="1" x="552"/>
        <item x="87"/>
        <item x="207"/>
        <item x="160"/>
        <item x="240"/>
        <item x="208"/>
        <item x="218"/>
        <item x="244"/>
        <item x="166"/>
        <item x="95"/>
        <item x="421"/>
        <item x="279"/>
        <item m="1" x="1121"/>
        <item m="1" x="1122"/>
        <item m="1" x="1123"/>
        <item m="1" x="1248"/>
        <item x="149"/>
        <item x="18"/>
        <item x="132"/>
        <item x="179"/>
        <item m="1" x="1207"/>
        <item m="1" x="785"/>
        <item m="1" x="967"/>
        <item m="1" x="786"/>
        <item m="1" x="800"/>
        <item m="1" x="1208"/>
        <item m="1" x="1124"/>
        <item m="1" x="1125"/>
        <item m="1" x="564"/>
        <item m="1" x="1266"/>
        <item m="1" x="573"/>
        <item m="1" x="547"/>
        <item m="1" x="1126"/>
        <item x="135"/>
        <item x="60"/>
        <item x="277"/>
        <item x="206"/>
        <item x="165"/>
        <item m="1" x="1127"/>
        <item x="176"/>
        <item m="1" x="1185"/>
        <item m="1" x="1249"/>
        <item m="1" x="893"/>
        <item m="1" x="894"/>
        <item x="509"/>
        <item m="1" x="1133"/>
        <item m="1" x="1272"/>
        <item m="1" x="630"/>
        <item m="1" x="1211"/>
        <item x="162"/>
        <item x="245"/>
        <item x="308"/>
        <item x="484"/>
        <item m="1" x="1154"/>
        <item m="1" x="1158"/>
        <item m="1" x="1159"/>
        <item m="1" x="1160"/>
        <item m="1" x="1161"/>
        <item x="403"/>
        <item x="373"/>
        <item m="1" x="1162"/>
        <item m="1" x="1163"/>
        <item m="1" x="1164"/>
        <item m="1" x="1165"/>
        <item m="1" x="1166"/>
        <item m="1" x="1167"/>
        <item m="1" x="1168"/>
        <item m="1" x="1169"/>
        <item x="319"/>
        <item x="442"/>
        <item x="414"/>
        <item x="415"/>
        <item x="443"/>
        <item m="1" x="1422"/>
        <item m="1" x="1434"/>
        <item m="1" x="1432"/>
        <item m="1" x="1150"/>
        <item m="1" x="1142"/>
        <item m="1" x="1141"/>
        <item m="1" x="1212"/>
        <item m="1" x="1156"/>
        <item m="1" x="1304"/>
        <item m="1" x="1409"/>
        <item m="1" x="1305"/>
        <item m="1" x="1415"/>
        <item m="1" x="1301"/>
        <item m="1" x="701"/>
        <item m="1" x="1172"/>
        <item m="1" x="982"/>
        <item m="1" x="1144"/>
        <item x="413"/>
        <item m="1" x="1416"/>
        <item m="1" x="1306"/>
        <item m="1" x="1423"/>
        <item m="1" x="1424"/>
        <item m="1" x="1417"/>
        <item m="1" x="1418"/>
        <item m="1" x="1419"/>
        <item m="1" x="1171"/>
        <item m="1" x="738"/>
        <item m="1" x="1213"/>
        <item m="1" x="1145"/>
        <item m="1" x="1413"/>
        <item m="1" x="1302"/>
        <item m="1" x="1173"/>
        <item m="1" x="1174"/>
        <item m="1" x="1300"/>
        <item m="1" x="1175"/>
        <item m="1" x="1425"/>
        <item m="1" x="1414"/>
        <item m="1" x="898"/>
        <item m="1" x="948"/>
        <item m="1" x="946"/>
        <item m="1" x="1420"/>
        <item m="1" x="1153"/>
        <item m="1" x="776"/>
        <item m="1" x="980"/>
        <item m="1" x="814"/>
        <item m="1" x="1000"/>
        <item x="501"/>
        <item m="1" x="1315"/>
        <item m="1" x="1323"/>
        <item m="1" x="1324"/>
        <item m="1" x="1325"/>
        <item m="1" x="1316"/>
        <item m="1" x="1317"/>
        <item m="1" x="1326"/>
        <item m="1" x="1318"/>
        <item m="1" x="1319"/>
        <item m="1" x="1320"/>
        <item m="1" x="1321"/>
        <item m="1" x="1327"/>
        <item m="1" x="1322"/>
        <item m="1" x="1361"/>
        <item x="188"/>
        <item x="262"/>
        <item m="1" x="829"/>
        <item m="1" x="886"/>
        <item m="1" x="1083"/>
        <item m="1" x="906"/>
        <item m="1" x="900"/>
        <item m="1" x="520"/>
        <item m="1" x="519"/>
        <item m="1" x="758"/>
        <item m="1" x="965"/>
        <item x="189"/>
        <item m="1" x="985"/>
        <item m="1" x="947"/>
        <item m="1" x="902"/>
        <item m="1" x="974"/>
        <item m="1" x="976"/>
        <item m="1" x="978"/>
        <item m="1" x="963"/>
        <item m="1" x="1348"/>
        <item x="259"/>
        <item m="1" x="1335"/>
        <item m="1" x="1314"/>
        <item m="1" x="1372"/>
        <item m="1" x="1264"/>
        <item m="1" x="577"/>
        <item m="1" x="1353"/>
        <item m="1" x="1354"/>
        <item m="1" x="1181"/>
        <item m="1" x="1355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296"/>
        <item m="1" x="594"/>
        <item x="386"/>
        <item x="296"/>
        <item x="235"/>
        <item m="1" x="1357"/>
        <item x="99"/>
        <item x="143"/>
        <item x="136"/>
        <item x="214"/>
        <item x="74"/>
        <item m="1" x="1364"/>
        <item x="49"/>
        <item m="1" x="1136"/>
        <item m="1" x="1265"/>
        <item m="1" x="1012"/>
        <item m="1" x="1014"/>
        <item m="1" x="1303"/>
        <item x="405"/>
        <item x="364"/>
        <item x="385"/>
        <item m="1" x="1028"/>
        <item m="1" x="1132"/>
        <item m="1" x="606"/>
        <item x="327"/>
        <item m="1" x="1024"/>
        <item m="1" x="1025"/>
        <item m="1" x="1026"/>
        <item m="1" x="1184"/>
        <item m="1" x="903"/>
        <item m="1" x="905"/>
        <item m="1" x="1077"/>
        <item m="1" x="1186"/>
        <item m="1" x="901"/>
        <item m="1" x="954"/>
        <item m="1" x="949"/>
        <item m="1" x="1074"/>
        <item m="1" x="1273"/>
        <item m="1" x="1299"/>
        <item m="1" x="1193"/>
        <item m="1" x="664"/>
        <item x="426"/>
        <item x="41"/>
        <item m="1" x="910"/>
        <item x="112"/>
        <item m="1" x="682"/>
        <item x="257"/>
        <item m="1" x="644"/>
        <item x="453"/>
        <item x="256"/>
        <item x="452"/>
        <item m="1" x="772"/>
        <item x="178"/>
        <item x="36"/>
        <item m="1" x="919"/>
        <item x="11"/>
        <item m="1" x="817"/>
        <item m="1" x="536"/>
        <item m="1" x="705"/>
        <item x="35"/>
        <item x="138"/>
        <item m="1" x="1214"/>
        <item x="79"/>
        <item x="28"/>
        <item x="33"/>
        <item x="260"/>
        <item m="1" x="1311"/>
        <item m="1" x="659"/>
        <item x="232"/>
        <item x="161"/>
        <item m="1" x="918"/>
        <item x="10"/>
        <item x="283"/>
        <item x="381"/>
        <item x="26"/>
        <item x="140"/>
        <item m="1" x="529"/>
        <item m="1" x="522"/>
        <item m="1" x="583"/>
        <item m="1" x="672"/>
        <item x="503"/>
        <item x="499"/>
        <item x="504"/>
        <item x="508"/>
        <item x="481"/>
        <item x="389"/>
        <item x="246"/>
        <item x="220"/>
        <item x="115"/>
        <item x="422"/>
        <item m="1" x="752"/>
        <item m="1" x="553"/>
        <item m="1" x="615"/>
        <item m="1" x="1089"/>
        <item m="1" x="621"/>
        <item x="58"/>
        <item m="1" x="1088"/>
        <item x="117"/>
        <item m="1" x="584"/>
        <item m="1" x="540"/>
        <item m="1" x="610"/>
        <item m="1" x="554"/>
        <item x="156"/>
        <item x="436"/>
        <item m="1" x="1201"/>
        <item x="202"/>
        <item x="412"/>
        <item x="164"/>
        <item x="299"/>
        <item x="196"/>
        <item x="230"/>
        <item m="1" x="769"/>
        <item m="1" x="1204"/>
        <item m="1" x="959"/>
        <item m="1" x="917"/>
        <item m="1" x="1313"/>
        <item m="1" x="605"/>
        <item m="1" x="767"/>
        <item m="1" x="792"/>
        <item x="111"/>
        <item m="1" x="1180"/>
        <item m="1" x="1041"/>
        <item x="144"/>
        <item m="1" x="1179"/>
        <item m="1" x="539"/>
        <item m="1" x="1027"/>
        <item m="1" x="1135"/>
        <item m="1" x="1056"/>
        <item m="1" x="1079"/>
        <item m="1" x="1084"/>
        <item x="382"/>
        <item x="486"/>
        <item x="158"/>
        <item m="1" x="741"/>
        <item m="1" x="1110"/>
        <item m="1" x="1298"/>
        <item m="1" x="1085"/>
        <item m="1" x="1086"/>
        <item m="1" x="904"/>
        <item m="1" x="716"/>
        <item m="1" x="1034"/>
        <item m="1" x="1015"/>
        <item m="1" x="1091"/>
        <item m="1" x="1081"/>
        <item m="1" x="951"/>
        <item m="1" x="899"/>
        <item m="1" x="882"/>
        <item m="1" x="1007"/>
        <item m="1" x="884"/>
        <item m="1" x="1008"/>
        <item m="1" x="885"/>
        <item m="1" x="1019"/>
        <item m="1" x="998"/>
        <item m="1" x="1001"/>
        <item m="1" x="878"/>
        <item m="1" x="535"/>
        <item m="1" x="973"/>
        <item m="1" x="1114"/>
        <item m="1" x="1116"/>
        <item m="1" x="1045"/>
        <item x="104"/>
        <item x="217"/>
        <item x="128"/>
        <item m="1" x="580"/>
        <item m="1" x="627"/>
        <item m="1" x="999"/>
        <item m="1" x="1068"/>
        <item m="1" x="602"/>
        <item x="507"/>
        <item m="1" x="557"/>
        <item m="1" x="1040"/>
        <item m="1" x="1051"/>
        <item m="1" x="1052"/>
        <item x="278"/>
        <item m="1" x="1053"/>
        <item m="1" x="1054"/>
        <item m="1" x="639"/>
        <item m="1" x="1002"/>
        <item m="1" x="1157"/>
        <item m="1" x="1170"/>
        <item m="1" x="636"/>
        <item m="1" x="611"/>
        <item m="1" x="608"/>
        <item m="1" x="1178"/>
        <item x="456"/>
        <item x="444"/>
        <item x="464"/>
        <item x="351"/>
        <item x="305"/>
        <item x="290"/>
        <item x="273"/>
        <item x="291"/>
        <item m="1" x="693"/>
        <item x="420"/>
        <item m="1" x="595"/>
        <item x="270"/>
        <item m="1" x="589"/>
        <item m="1" x="1182"/>
        <item m="1" x="1183"/>
        <item m="1" x="734"/>
        <item m="1" x="1057"/>
        <item m="1" x="597"/>
        <item m="1" x="952"/>
        <item m="1" x="1187"/>
        <item m="1" x="618"/>
        <item m="1" x="1058"/>
        <item m="1" x="1188"/>
        <item m="1" x="1189"/>
        <item m="1" x="1190"/>
        <item m="1" x="1191"/>
        <item m="1" x="1192"/>
        <item m="1" x="1194"/>
        <item m="1" x="1059"/>
        <item m="1" x="1060"/>
        <item x="315"/>
        <item m="1" x="813"/>
        <item m="1" x="1195"/>
        <item m="1" x="598"/>
        <item m="1" x="624"/>
        <item m="1" x="653"/>
        <item x="289"/>
        <item m="1" x="1003"/>
        <item m="1" x="1196"/>
        <item m="1" x="1006"/>
        <item m="1" x="1061"/>
        <item m="1" x="1197"/>
        <item m="1" x="1198"/>
        <item m="1" x="1004"/>
        <item x="287"/>
        <item x="342"/>
        <item m="1" x="1199"/>
        <item m="1" x="1016"/>
        <item m="1" x="887"/>
        <item m="1" x="883"/>
        <item m="1" x="1011"/>
        <item m="1" x="881"/>
        <item m="1" x="1087"/>
        <item m="1" x="1202"/>
        <item m="1" x="1203"/>
        <item m="1" x="1205"/>
        <item m="1" x="524"/>
        <item x="75"/>
        <item x="145"/>
        <item x="44"/>
        <item x="212"/>
        <item x="109"/>
        <item m="1" x="993"/>
        <item m="1" x="992"/>
        <item x="249"/>
        <item x="223"/>
        <item x="106"/>
        <item x="396"/>
        <item m="1" x="994"/>
        <item m="1" x="794"/>
        <item x="101"/>
        <item x="171"/>
        <item x="199"/>
        <item x="392"/>
        <item x="200"/>
        <item x="380"/>
        <item x="440"/>
        <item m="1" x="774"/>
        <item m="1" x="613"/>
        <item x="428"/>
        <item m="1" x="633"/>
        <item x="314"/>
        <item x="463"/>
        <item m="1" x="1215"/>
        <item m="1" x="1216"/>
        <item m="1" x="958"/>
        <item m="1" x="956"/>
        <item m="1" x="972"/>
        <item m="1" x="871"/>
        <item m="1" x="872"/>
        <item x="31"/>
        <item x="47"/>
        <item x="30"/>
        <item m="1" x="873"/>
        <item m="1" x="815"/>
        <item m="1" x="667"/>
        <item m="1" x="874"/>
        <item m="1" x="875"/>
        <item m="1" x="975"/>
        <item m="1" x="971"/>
        <item m="1" x="839"/>
        <item m="1" x="876"/>
        <item m="1" x="742"/>
        <item m="1" x="743"/>
        <item m="1" x="831"/>
        <item m="1" x="990"/>
        <item x="83"/>
        <item x="133"/>
        <item m="1" x="941"/>
        <item m="1" x="983"/>
        <item m="1" x="995"/>
        <item m="1" x="717"/>
        <item m="1" x="981"/>
        <item x="275"/>
        <item m="1" x="768"/>
        <item x="0"/>
        <item x="48"/>
        <item m="1" x="945"/>
        <item m="1" x="996"/>
        <item m="1" x="739"/>
        <item m="1" x="720"/>
        <item m="1" x="746"/>
        <item x="61"/>
        <item x="62"/>
        <item m="1" x="749"/>
        <item x="116"/>
        <item x="322"/>
        <item m="1" x="727"/>
        <item x="438"/>
        <item x="457"/>
        <item x="374"/>
        <item x="325"/>
        <item m="1" x="799"/>
        <item m="1" x="747"/>
        <item m="1" x="637"/>
        <item m="1" x="879"/>
        <item x="328"/>
        <item m="1" x="880"/>
        <item m="1" x="1005"/>
        <item m="1" x="936"/>
        <item x="175"/>
        <item x="427"/>
        <item m="1" x="622"/>
        <item x="459"/>
        <item x="462"/>
        <item m="1" x="654"/>
        <item m="1" x="703"/>
        <item m="1" x="704"/>
        <item m="1" x="811"/>
        <item m="1" x="1013"/>
        <item m="1" x="1017"/>
        <item m="1" x="1029"/>
        <item m="1" x="1035"/>
        <item m="1" x="1036"/>
        <item m="1" x="1037"/>
        <item x="201"/>
        <item x="251"/>
        <item m="1" x="753"/>
        <item x="213"/>
        <item m="1" x="676"/>
        <item x="274"/>
        <item m="1" x="820"/>
        <item m="1" x="677"/>
        <item x="320"/>
        <item x="215"/>
        <item x="435"/>
        <item x="450"/>
        <item m="1" x="821"/>
        <item x="451"/>
        <item x="216"/>
        <item m="1" x="678"/>
        <item m="1" x="771"/>
        <item x="50"/>
        <item x="14"/>
        <item x="39"/>
        <item x="32"/>
        <item x="130"/>
        <item x="2"/>
        <item m="1" x="681"/>
        <item x="20"/>
        <item m="1" x="729"/>
        <item x="252"/>
        <item x="55"/>
        <item x="248"/>
        <item x="126"/>
        <item m="1" x="745"/>
        <item x="72"/>
        <item x="205"/>
        <item x="182"/>
        <item m="1" x="927"/>
        <item x="118"/>
        <item x="237"/>
        <item x="234"/>
        <item x="311"/>
        <item x="318"/>
        <item x="387"/>
        <item x="298"/>
        <item x="397"/>
        <item x="236"/>
        <item m="1" x="944"/>
        <item x="286"/>
        <item x="297"/>
        <item x="303"/>
        <item m="1" x="666"/>
        <item x="400"/>
        <item x="402"/>
        <item m="1" x="1042"/>
        <item m="1" x="1043"/>
        <item m="1" x="534"/>
        <item x="513"/>
        <item m="1" x="888"/>
        <item m="1" x="732"/>
        <item x="159"/>
        <item x="139"/>
        <item x="64"/>
        <item m="1" x="805"/>
        <item m="1" x="665"/>
        <item x="506"/>
        <item x="375"/>
        <item m="1" x="977"/>
        <item m="1" x="795"/>
        <item m="1" x="865"/>
        <item m="1" x="828"/>
        <item m="1" x="988"/>
        <item m="1" x="889"/>
        <item m="1" x="1044"/>
        <item m="1" x="866"/>
        <item m="1" x="777"/>
        <item x="321"/>
        <item m="1" x="733"/>
        <item m="1" x="953"/>
        <item x="458"/>
        <item m="1" x="756"/>
        <item x="306"/>
        <item x="460"/>
        <item x="91"/>
        <item m="1" x="832"/>
        <item x="448"/>
        <item m="1" x="987"/>
        <item x="476"/>
        <item x="514"/>
        <item x="90"/>
        <item m="1" x="710"/>
        <item x="107"/>
        <item m="1" x="1050"/>
        <item m="1" x="779"/>
        <item m="1" x="1062"/>
        <item m="1" x="543"/>
        <item m="1" x="538"/>
        <item m="1" x="1063"/>
        <item m="1" x="1064"/>
        <item m="1" x="1065"/>
        <item x="365"/>
        <item m="1" x="1066"/>
        <item m="1" x="891"/>
        <item x="125"/>
        <item x="395"/>
        <item x="331"/>
        <item x="346"/>
        <item x="372"/>
        <item m="1" x="931"/>
        <item m="1" x="1067"/>
        <item m="1" x="833"/>
        <item x="336"/>
        <item x="340"/>
        <item x="495"/>
        <item x="390"/>
        <item x="496"/>
        <item m="1" x="861"/>
        <item m="1" x="933"/>
        <item x="357"/>
        <item x="280"/>
        <item m="1" x="809"/>
        <item m="1" x="640"/>
        <item x="307"/>
        <item x="330"/>
        <item x="399"/>
        <item m="1" x="532"/>
        <item m="1" x="783"/>
        <item x="93"/>
        <item m="1" x="759"/>
        <item m="1" x="546"/>
        <item x="113"/>
        <item x="94"/>
        <item m="1" x="784"/>
        <item x="57"/>
        <item m="1" x="892"/>
        <item m="1" x="1069"/>
        <item m="1" x="895"/>
        <item m="1" x="970"/>
        <item m="1" x="896"/>
        <item m="1" x="1070"/>
        <item m="1" x="1071"/>
        <item m="1" x="650"/>
        <item x="377"/>
        <item m="1" x="830"/>
        <item m="1" x="989"/>
        <item m="1" x="940"/>
        <item m="1" x="1072"/>
        <item m="1" x="1073"/>
        <item m="1" x="897"/>
        <item m="1" x="968"/>
        <item x="494"/>
        <item m="1" x="1075"/>
        <item m="1" x="1076"/>
        <item m="1" x="1078"/>
        <item m="1" x="1080"/>
        <item m="1" x="1082"/>
        <item x="356"/>
        <item m="1" x="528"/>
        <item m="1" x="523"/>
        <item x="5"/>
        <item m="1" x="544"/>
        <item m="1" x="586"/>
        <item m="1" x="560"/>
        <item m="1" x="607"/>
        <item m="1" x="643"/>
        <item m="1" x="623"/>
        <item m="1" x="1090"/>
        <item m="1" x="551"/>
        <item m="1" x="555"/>
        <item m="1" x="570"/>
        <item m="1" x="909"/>
        <item x="102"/>
        <item x="332"/>
        <item m="1" x="585"/>
        <item m="1" x="694"/>
        <item m="1" x="796"/>
        <item x="68"/>
        <item m="1" x="517"/>
        <item m="1" x="960"/>
        <item m="1" x="711"/>
        <item m="1" x="934"/>
        <item m="1" x="939"/>
        <item m="1" x="929"/>
        <item m="1" x="937"/>
        <item m="1" x="979"/>
        <item m="1" x="715"/>
        <item x="46"/>
        <item m="1" x="714"/>
        <item m="1" x="938"/>
        <item x="324"/>
        <item x="119"/>
        <item m="1" x="925"/>
        <item m="1" x="986"/>
        <item m="1" x="724"/>
        <item m="1" x="722"/>
        <item m="1" x="728"/>
        <item m="1" x="660"/>
        <item m="1" x="930"/>
        <item m="1" x="709"/>
        <item x="416"/>
        <item m="1" x="962"/>
        <item x="288"/>
        <item m="1" x="646"/>
        <item x="363"/>
        <item m="1" x="825"/>
        <item x="333"/>
        <item m="1" x="961"/>
        <item x="502"/>
        <item x="473"/>
        <item m="1" x="754"/>
        <item x="329"/>
        <item m="1" x="744"/>
        <item x="3"/>
        <item x="148"/>
        <item x="378"/>
        <item x="408"/>
        <item m="1" x="921"/>
        <item m="1" x="923"/>
        <item x="300"/>
        <item m="1" x="702"/>
        <item x="474"/>
        <item x="445"/>
        <item m="1" x="713"/>
        <item m="1" x="924"/>
        <item m="1" x="819"/>
        <item m="1" x="854"/>
        <item m="1" x="855"/>
        <item m="1" x="679"/>
        <item m="1" x="863"/>
        <item m="1" x="680"/>
        <item m="1" x="926"/>
        <item x="73"/>
        <item m="1" x="864"/>
        <item m="1" x="791"/>
        <item m="1" x="826"/>
        <item m="1" x="827"/>
        <item m="1" x="928"/>
        <item x="266"/>
        <item m="1" x="731"/>
        <item m="1" x="687"/>
        <item x="369"/>
        <item x="500"/>
        <item m="1" x="737"/>
        <item x="433"/>
        <item x="491"/>
        <item x="359"/>
        <item x="482"/>
        <item x="487"/>
        <item x="360"/>
        <item m="1" x="935"/>
        <item x="354"/>
        <item x="449"/>
        <item x="498"/>
        <item x="418"/>
        <item m="1" x="862"/>
        <item x="490"/>
        <item m="1" x="920"/>
        <item m="1" x="922"/>
        <item m="1" x="932"/>
        <item x="326"/>
        <item x="341"/>
        <item m="1" x="870"/>
        <item x="358"/>
        <item m="1" x="641"/>
        <item x="478"/>
        <item x="497"/>
        <item m="1" x="642"/>
        <item x="480"/>
        <item m="1" x="730"/>
        <item m="1" x="631"/>
        <item m="1" x="841"/>
        <item x="461"/>
        <item x="361"/>
        <item m="1" x="685"/>
        <item m="1" x="869"/>
        <item m="1" x="824"/>
        <item m="1" x="860"/>
        <item m="1" x="844"/>
        <item m="1" x="836"/>
        <item m="1" x="834"/>
        <item m="1" x="848"/>
        <item x="317"/>
        <item m="1" x="850"/>
        <item m="1" x="851"/>
        <item m="1" x="852"/>
        <item m="1" x="853"/>
        <item m="1" x="518"/>
        <item m="1" x="858"/>
        <item m="1" x="835"/>
        <item m="1" x="837"/>
        <item m="1" x="849"/>
        <item m="1" x="856"/>
        <item m="1" x="859"/>
        <item m="1" x="751"/>
        <item m="1" x="748"/>
        <item x="63"/>
        <item m="1" x="812"/>
        <item m="1" x="755"/>
        <item x="337"/>
        <item x="471"/>
        <item x="367"/>
        <item m="1" x="695"/>
        <item x="362"/>
        <item x="335"/>
        <item m="1" x="696"/>
        <item m="1" x="735"/>
        <item x="493"/>
        <item m="1" x="842"/>
        <item m="1" x="843"/>
        <item m="1" x="845"/>
        <item m="1" x="847"/>
        <item m="1" x="661"/>
        <item x="467"/>
        <item x="391"/>
        <item m="1" x="736"/>
        <item x="338"/>
        <item m="1" x="712"/>
        <item m="1" x="757"/>
        <item x="219"/>
        <item x="516"/>
        <item m="1" x="651"/>
        <item m="1" x="808"/>
        <item x="485"/>
        <item x="488"/>
        <item x="511"/>
        <item m="1" x="760"/>
        <item m="1" x="668"/>
        <item m="1" x="761"/>
        <item m="1" x="669"/>
        <item m="1" x="762"/>
        <item m="1" x="763"/>
        <item m="1" x="764"/>
        <item m="1" x="765"/>
        <item m="1" x="766"/>
        <item m="1" x="802"/>
        <item m="1" x="675"/>
        <item m="1" x="683"/>
        <item m="1" x="684"/>
        <item m="1" x="686"/>
        <item m="1" x="775"/>
        <item m="1" x="688"/>
        <item m="1" x="689"/>
        <item m="1" x="690"/>
        <item m="1" x="778"/>
        <item m="1" x="691"/>
        <item x="345"/>
        <item m="1" x="787"/>
        <item m="1" x="788"/>
        <item m="1" x="790"/>
        <item x="472"/>
        <item x="454"/>
        <item x="168"/>
        <item x="192"/>
        <item x="371"/>
        <item m="1" x="803"/>
        <item x="423"/>
        <item x="475"/>
        <item m="1" x="698"/>
        <item x="404"/>
        <item x="370"/>
        <item x="489"/>
        <item m="1" x="801"/>
        <item m="1" x="673"/>
        <item m="1" x="804"/>
        <item x="366"/>
        <item m="1" x="780"/>
        <item m="1" x="781"/>
        <item m="1" x="806"/>
        <item x="505"/>
        <item m="1" x="789"/>
        <item x="137"/>
        <item x="483"/>
        <item m="1" x="671"/>
        <item x="417"/>
        <item x="239"/>
        <item x="384"/>
        <item x="376"/>
        <item x="419"/>
        <item x="468"/>
        <item x="466"/>
        <item m="1" x="718"/>
        <item m="1" x="596"/>
        <item x="347"/>
        <item m="1" x="670"/>
        <item x="23"/>
        <item m="1" x="649"/>
        <item m="1" x="609"/>
        <item m="1" x="656"/>
        <item m="1" x="616"/>
        <item m="1" x="657"/>
        <item m="1" x="658"/>
        <item x="431"/>
        <item m="1" x="619"/>
        <item x="258"/>
        <item m="1" x="662"/>
        <item m="1" x="663"/>
        <item m="1" x="634"/>
        <item m="1" x="617"/>
        <item x="388"/>
        <item x="447"/>
        <item x="470"/>
        <item x="446"/>
        <item m="1" x="699"/>
        <item m="1" x="700"/>
        <item x="492"/>
        <item x="469"/>
        <item x="343"/>
        <item x="437"/>
        <item x="56"/>
        <item x="13"/>
        <item x="425"/>
        <item x="368"/>
        <item x="339"/>
        <item x="334"/>
        <item x="344"/>
        <item x="348"/>
        <item x="465"/>
        <item x="479"/>
        <item m="1" x="655"/>
        <item m="1" x="521"/>
        <item x="441"/>
        <item x="477"/>
        <item m="1" x="531"/>
        <item m="1" x="527"/>
        <item m="1" x="525"/>
        <item m="1" x="549"/>
        <item m="1" x="588"/>
        <item m="1" x="562"/>
        <item m="1" x="591"/>
        <item m="1" x="614"/>
        <item m="1" x="620"/>
        <item m="1" x="638"/>
        <item m="1" x="632"/>
        <item m="1" x="635"/>
        <item m="1" x="600"/>
        <item m="1" x="579"/>
        <item m="1" x="587"/>
        <item m="1" x="626"/>
        <item m="1" x="599"/>
        <item m="1" x="603"/>
        <item m="1" x="645"/>
        <item m="1" x="601"/>
        <item m="1" x="628"/>
        <item m="1" x="625"/>
        <item m="1" x="647"/>
        <item m="1" x="629"/>
        <item x="512"/>
      </items>
    </pivotField>
    <pivotField axis="axisRow" compact="0" outline="0" showAll="0" defaultSubtotal="0">
      <items count="1529">
        <item x="80"/>
        <item m="1" x="1131"/>
        <item x="16"/>
        <item m="1" x="1461"/>
        <item m="1" x="1454"/>
        <item m="1" x="838"/>
        <item x="263"/>
        <item m="1" x="1275"/>
        <item m="1" x="1423"/>
        <item m="1" x="1318"/>
        <item m="1" x="1245"/>
        <item m="1" x="1422"/>
        <item m="1" x="1319"/>
        <item m="1" x="1246"/>
        <item m="1" x="983"/>
        <item m="1" x="1463"/>
        <item m="1" x="766"/>
        <item m="1" x="1370"/>
        <item m="1" x="1411"/>
        <item m="1" x="1412"/>
        <item m="1" x="1488"/>
        <item m="1" x="1003"/>
        <item m="1" x="1489"/>
        <item m="1" x="1483"/>
        <item m="1" x="859"/>
        <item m="1" x="1526"/>
        <item x="245"/>
        <item m="1" x="794"/>
        <item x="279"/>
        <item m="1" x="1171"/>
        <item m="1" x="1239"/>
        <item m="1" x="1278"/>
        <item x="150"/>
        <item m="1" x="805"/>
        <item m="1" x="1113"/>
        <item m="1" x="1055"/>
        <item x="162"/>
        <item x="43"/>
        <item x="203"/>
        <item m="1" x="920"/>
        <item x="281"/>
        <item m="1" x="603"/>
        <item m="1" x="1420"/>
        <item m="1" x="1248"/>
        <item m="1" x="1436"/>
        <item m="1" x="1252"/>
        <item m="1" x="1434"/>
        <item m="1" x="1247"/>
        <item m="1" x="1424"/>
        <item m="1" x="1251"/>
        <item m="1" x="1276"/>
        <item m="1" x="1312"/>
        <item m="1" x="1288"/>
        <item m="1" x="1315"/>
        <item m="1" x="1291"/>
        <item m="1" x="1440"/>
        <item m="1" x="1307"/>
        <item m="1" x="1280"/>
        <item m="1" x="1447"/>
        <item m="1" x="1282"/>
        <item m="1" x="1444"/>
        <item m="1" x="1445"/>
        <item m="1" x="1308"/>
        <item m="1" x="1281"/>
        <item m="1" x="1449"/>
        <item m="1" x="1283"/>
        <item m="1" x="1448"/>
        <item m="1" x="1284"/>
        <item m="1" x="1438"/>
        <item m="1" x="1309"/>
        <item m="1" x="1285"/>
        <item m="1" x="1439"/>
        <item m="1" x="1310"/>
        <item m="1" x="1286"/>
        <item m="1" x="1311"/>
        <item m="1" x="1287"/>
        <item m="1" x="1441"/>
        <item m="1" x="1313"/>
        <item m="1" x="1289"/>
        <item m="1" x="1442"/>
        <item m="1" x="1314"/>
        <item m="1" x="1290"/>
        <item m="1" x="1443"/>
        <item m="1" x="1316"/>
        <item m="1" x="1292"/>
        <item m="1" x="1446"/>
        <item m="1" x="1437"/>
        <item m="1" x="1317"/>
        <item m="1" x="1293"/>
        <item m="1" x="1294"/>
        <item x="135"/>
        <item m="1" x="629"/>
        <item x="149"/>
        <item m="1" x="1481"/>
        <item m="1" x="1129"/>
        <item m="1" x="1130"/>
        <item x="269"/>
        <item x="151"/>
        <item x="84"/>
        <item x="124"/>
        <item x="271"/>
        <item x="265"/>
        <item m="1" x="1122"/>
        <item x="132"/>
        <item x="27"/>
        <item x="103"/>
        <item m="1" x="1054"/>
        <item m="1" x="815"/>
        <item x="42"/>
        <item m="1" x="1250"/>
        <item m="1" x="1435"/>
        <item m="1" x="1253"/>
        <item m="1" x="1417"/>
        <item m="1" x="1509"/>
        <item m="1" x="1157"/>
        <item x="233"/>
        <item m="1" x="1100"/>
        <item m="1" x="1101"/>
        <item m="1" x="1102"/>
        <item m="1" x="1103"/>
        <item m="1" x="1354"/>
        <item x="310"/>
        <item x="432"/>
        <item x="131"/>
        <item m="1" x="1512"/>
        <item x="70"/>
        <item m="1" x="1227"/>
        <item m="1" x="1158"/>
        <item m="1" x="1240"/>
        <item m="1" x="1241"/>
        <item m="1" x="1192"/>
        <item m="1" x="1190"/>
        <item m="1" x="1460"/>
        <item m="1" x="1191"/>
        <item m="1" x="700"/>
        <item m="1" x="1254"/>
        <item x="292"/>
        <item x="409"/>
        <item m="1" x="1161"/>
        <item m="1" x="1169"/>
        <item m="1" x="912"/>
        <item x="179"/>
        <item x="253"/>
        <item m="1" x="1430"/>
        <item m="1" x="1321"/>
        <item m="1" x="1256"/>
        <item m="1" x="1136"/>
        <item m="1" x="1137"/>
        <item m="1" x="1369"/>
        <item m="1" x="548"/>
        <item m="1" x="1374"/>
        <item m="1" x="1379"/>
        <item m="1" x="1394"/>
        <item m="1" x="564"/>
        <item x="210"/>
        <item x="85"/>
        <item x="222"/>
        <item x="170"/>
        <item x="152"/>
        <item x="243"/>
        <item x="227"/>
        <item m="1" x="1052"/>
        <item x="17"/>
        <item x="52"/>
        <item m="1" x="1193"/>
        <item m="1" x="1338"/>
        <item m="1" x="1125"/>
        <item x="407"/>
        <item m="1" x="1273"/>
        <item x="242"/>
        <item x="221"/>
        <item m="1" x="1462"/>
        <item m="1" x="1170"/>
        <item m="1" x="1229"/>
        <item m="1" x="1153"/>
        <item m="1" x="1144"/>
        <item m="1" x="1228"/>
        <item m="1" x="1152"/>
        <item x="97"/>
        <item x="393"/>
        <item m="1" x="1470"/>
        <item m="1" x="1471"/>
        <item m="1" x="1472"/>
        <item m="1" x="1473"/>
        <item m="1" x="1392"/>
        <item m="1" x="1393"/>
        <item m="1" x="1499"/>
        <item m="1" x="1178"/>
        <item m="1" x="1177"/>
        <item m="1" x="1500"/>
        <item m="1" x="1274"/>
        <item m="1" x="1501"/>
        <item m="1" x="1179"/>
        <item m="1" x="1183"/>
        <item m="1" x="1505"/>
        <item m="1" x="1495"/>
        <item m="1" x="1173"/>
        <item m="1" x="1502"/>
        <item m="1" x="1180"/>
        <item m="1" x="1184"/>
        <item m="1" x="1506"/>
        <item m="1" x="1496"/>
        <item m="1" x="1174"/>
        <item m="1" x="1181"/>
        <item m="1" x="1503"/>
        <item m="1" x="1185"/>
        <item m="1" x="1507"/>
        <item m="1" x="1175"/>
        <item m="1" x="1497"/>
        <item m="1" x="1182"/>
        <item m="1" x="1504"/>
        <item m="1" x="1186"/>
        <item m="1" x="1508"/>
        <item m="1" x="1176"/>
        <item m="1" x="1498"/>
        <item m="1" x="1039"/>
        <item m="1" x="1249"/>
        <item m="1" x="1016"/>
        <item m="1" x="1404"/>
        <item m="1" x="1015"/>
        <item m="1" x="1402"/>
        <item m="1" x="1024"/>
        <item m="1" x="1303"/>
        <item m="1" x="1345"/>
        <item m="1" x="1329"/>
        <item m="1" x="1267"/>
        <item m="1" x="1132"/>
        <item m="1" x="968"/>
        <item m="1" x="1271"/>
        <item m="1" x="1371"/>
        <item m="1" x="1134"/>
        <item m="1" x="971"/>
        <item m="1" x="1378"/>
        <item m="1" x="1380"/>
        <item m="1" x="1381"/>
        <item m="1" x="1044"/>
        <item m="1" x="1045"/>
        <item x="69"/>
        <item x="429"/>
        <item m="1" x="1114"/>
        <item x="4"/>
        <item m="1" x="898"/>
        <item m="1" x="1298"/>
        <item m="1" x="1305"/>
        <item m="1" x="1277"/>
        <item x="59"/>
        <item x="86"/>
        <item m="1" x="1513"/>
        <item x="45"/>
        <item x="67"/>
        <item x="190"/>
        <item x="146"/>
        <item m="1" x="553"/>
        <item m="1" x="1464"/>
        <item m="1" x="1465"/>
        <item m="1" x="1466"/>
        <item m="1" x="1413"/>
        <item m="1" x="1478"/>
        <item x="394"/>
        <item x="293"/>
        <item m="1" x="1407"/>
        <item m="1" x="1520"/>
        <item m="1" x="717"/>
        <item m="1" x="1522"/>
        <item m="1" x="746"/>
        <item m="1" x="719"/>
        <item x="122"/>
        <item x="193"/>
        <item x="198"/>
        <item x="398"/>
        <item m="1" x="575"/>
        <item m="1" x="531"/>
        <item x="355"/>
        <item x="129"/>
        <item x="194"/>
        <item x="434"/>
        <item x="406"/>
        <item x="114"/>
        <item m="1" x="724"/>
        <item m="1" x="723"/>
        <item m="1" x="721"/>
        <item m="1" x="566"/>
        <item x="98"/>
        <item x="163"/>
        <item m="1" x="590"/>
        <item m="1" x="567"/>
        <item x="147"/>
        <item m="1" x="572"/>
        <item m="1" x="574"/>
        <item m="1" x="576"/>
        <item m="1" x="546"/>
        <item m="1" x="551"/>
        <item m="1" x="569"/>
        <item m="1" x="1344"/>
        <item m="1" x="789"/>
        <item m="1" x="565"/>
        <item m="1" x="568"/>
        <item x="228"/>
        <item m="1" x="1104"/>
        <item m="1" x="1484"/>
        <item m="1" x="1409"/>
        <item m="1" x="944"/>
        <item m="1" x="1194"/>
        <item m="1" x="892"/>
        <item m="1" x="931"/>
        <item m="1" x="1115"/>
        <item m="1" x="592"/>
        <item m="1" x="893"/>
        <item m="1" x="1458"/>
        <item m="1" x="796"/>
        <item x="82"/>
        <item m="1" x="1528"/>
        <item m="1" x="1485"/>
        <item m="1" x="1300"/>
        <item m="1" x="1491"/>
        <item m="1" x="1395"/>
        <item x="121"/>
        <item m="1" x="1515"/>
        <item m="1" x="1516"/>
        <item x="7"/>
        <item x="95"/>
        <item x="105"/>
        <item m="1" x="1146"/>
        <item m="1" x="1403"/>
        <item x="301"/>
        <item m="1" x="1028"/>
        <item m="1" x="1029"/>
        <item m="1" x="1027"/>
        <item m="1" x="1112"/>
        <item m="1" x="706"/>
        <item m="1" x="808"/>
        <item m="1" x="1257"/>
        <item m="1" x="573"/>
        <item m="1" x="1302"/>
        <item m="1" x="1428"/>
        <item m="1" x="1322"/>
        <item m="1" x="534"/>
        <item m="1" x="1429"/>
        <item m="1" x="1324"/>
        <item m="1" x="1260"/>
        <item m="1" x="1138"/>
        <item x="313"/>
        <item x="89"/>
        <item m="1" x="1519"/>
        <item m="1" x="959"/>
        <item m="1" x="1221"/>
        <item m="1" x="1106"/>
        <item m="1" x="948"/>
        <item m="1" x="955"/>
        <item x="186"/>
        <item m="1" x="1150"/>
        <item m="1" x="1377"/>
        <item m="1" x="647"/>
        <item x="211"/>
        <item x="195"/>
        <item m="1" x="778"/>
        <item x="383"/>
        <item m="1" x="1332"/>
        <item x="172"/>
        <item m="1" x="704"/>
        <item x="66"/>
        <item m="1" x="795"/>
        <item x="247"/>
        <item x="54"/>
        <item x="134"/>
        <item m="1" x="985"/>
        <item x="157"/>
        <item m="1" x="1457"/>
        <item m="1" x="1099"/>
        <item m="1" x="1165"/>
        <item x="231"/>
        <item x="51"/>
        <item x="81"/>
        <item m="1" x="1482"/>
        <item x="209"/>
        <item x="268"/>
        <item x="510"/>
        <item m="1" x="1349"/>
        <item m="1" x="1230"/>
        <item m="1" x="1350"/>
        <item m="1" x="1141"/>
        <item m="1" x="1425"/>
        <item m="1" x="1261"/>
        <item x="173"/>
        <item m="1" x="736"/>
        <item m="1" x="560"/>
        <item m="1" x="559"/>
        <item x="261"/>
        <item m="1" x="1452"/>
        <item m="1" x="557"/>
        <item m="1" x="571"/>
        <item x="77"/>
        <item m="1" x="1523"/>
        <item m="1" x="734"/>
        <item x="250"/>
        <item x="204"/>
        <item m="1" x="990"/>
        <item m="1" x="1299"/>
        <item m="1" x="1375"/>
        <item x="21"/>
        <item m="1" x="1262"/>
        <item x="78"/>
        <item m="1" x="1490"/>
        <item x="304"/>
        <item x="87"/>
        <item x="264"/>
        <item m="1" x="1347"/>
        <item x="323"/>
        <item m="1" x="1493"/>
        <item m="1" x="1494"/>
        <item m="1" x="581"/>
        <item x="285"/>
        <item m="1" x="518"/>
        <item x="316"/>
        <item x="455"/>
        <item m="1" x="1109"/>
        <item m="1" x="1126"/>
        <item m="1" x="1189"/>
        <item x="515"/>
        <item m="1" x="611"/>
        <item m="1" x="696"/>
        <item x="308"/>
        <item x="484"/>
        <item m="1" x="1486"/>
        <item m="1" x="1414"/>
        <item m="1" x="1410"/>
        <item m="1" x="1105"/>
        <item m="1" x="1373"/>
        <item x="184"/>
        <item x="294"/>
        <item x="60"/>
        <item x="277"/>
        <item m="1" x="1433"/>
        <item m="1" x="1325"/>
        <item m="1" x="1263"/>
        <item m="1" x="1432"/>
        <item m="1" x="1320"/>
        <item m="1" x="1255"/>
        <item m="1" x="1431"/>
        <item m="1" x="1328"/>
        <item m="1" x="1269"/>
        <item m="1" x="1301"/>
        <item m="1" x="1268"/>
        <item m="1" x="1418"/>
        <item m="1" x="1265"/>
        <item m="1" x="1421"/>
        <item m="1" x="1327"/>
        <item m="1" x="1266"/>
        <item m="1" x="1419"/>
        <item m="1" x="1326"/>
        <item m="1" x="1264"/>
        <item m="1" x="1127"/>
        <item m="1" x="1139"/>
        <item x="165"/>
        <item m="1" x="1476"/>
        <item x="267"/>
        <item x="225"/>
        <item x="371"/>
        <item x="401"/>
        <item x="423"/>
        <item m="1" x="823"/>
        <item m="1" x="1107"/>
        <item m="1" x="818"/>
        <item m="1" x="840"/>
        <item m="1" x="1453"/>
        <item m="1" x="1451"/>
        <item m="1" x="1406"/>
        <item m="1" x="1159"/>
        <item x="272"/>
        <item m="1" x="1456"/>
        <item x="207"/>
        <item x="160"/>
        <item x="181"/>
        <item x="226"/>
        <item x="169"/>
        <item m="1" x="538"/>
        <item x="53"/>
        <item x="24"/>
        <item m="1" x="1524"/>
        <item m="1" x="917"/>
        <item m="1" x="918"/>
        <item m="1" x="1450"/>
        <item m="1" x="915"/>
        <item m="1" x="1343"/>
        <item m="1" x="1487"/>
        <item x="349"/>
        <item m="1" x="1110"/>
        <item m="1" x="1147"/>
        <item m="1" x="1527"/>
        <item m="1" x="1096"/>
        <item x="180"/>
        <item x="254"/>
        <item m="1" x="1143"/>
        <item m="1" x="1348"/>
        <item m="1" x="997"/>
        <item x="439"/>
        <item x="509"/>
        <item m="1" x="1155"/>
        <item m="1" x="1061"/>
        <item m="1" x="1234"/>
        <item m="1" x="1154"/>
        <item m="1" x="1133"/>
        <item m="1" x="1135"/>
        <item m="1" x="1163"/>
        <item m="1" x="1352"/>
        <item m="1" x="1258"/>
        <item m="1" x="1323"/>
        <item m="1" x="1426"/>
        <item x="208"/>
        <item x="240"/>
        <item x="29"/>
        <item x="218"/>
        <item x="166"/>
        <item m="1" x="916"/>
        <item m="1" x="542"/>
        <item m="1" x="869"/>
        <item m="1" x="1116"/>
        <item x="142"/>
        <item x="155"/>
        <item m="1" x="1108"/>
        <item x="411"/>
        <item m="1" x="1468"/>
        <item m="1" x="1521"/>
        <item x="123"/>
        <item x="424"/>
        <item m="1" x="1525"/>
        <item x="25"/>
        <item m="1" x="1474"/>
        <item x="127"/>
        <item m="1" x="1510"/>
        <item m="1" x="1511"/>
        <item m="1" x="1128"/>
        <item x="22"/>
        <item m="1" x="1270"/>
        <item m="1" x="578"/>
        <item x="176"/>
        <item m="1" x="1259"/>
        <item m="1" x="1427"/>
        <item x="185"/>
        <item x="141"/>
        <item x="110"/>
        <item x="295"/>
        <item x="255"/>
        <item m="1" x="966"/>
        <item x="34"/>
        <item x="8"/>
        <item x="276"/>
        <item x="96"/>
        <item m="1" x="1111"/>
        <item x="108"/>
        <item x="167"/>
        <item x="410"/>
        <item x="309"/>
        <item m="1" x="1415"/>
        <item x="319"/>
        <item x="100"/>
        <item x="379"/>
        <item x="88"/>
        <item m="1" x="1156"/>
        <item m="1" x="1142"/>
        <item m="1" x="563"/>
        <item m="1" x="1140"/>
        <item m="1" x="1279"/>
        <item m="1" x="1514"/>
        <item x="430"/>
        <item m="1" x="1400"/>
        <item m="1" x="1164"/>
        <item x="353"/>
        <item m="1" x="1455"/>
        <item m="1" x="1124"/>
        <item m="1" x="1492"/>
        <item m="1" x="1459"/>
        <item x="76"/>
        <item x="154"/>
        <item m="1" x="1118"/>
        <item m="1" x="1053"/>
        <item m="1" x="1517"/>
        <item m="1" x="1119"/>
        <item m="1" x="1120"/>
        <item x="18"/>
        <item m="1" x="1372"/>
        <item m="1" x="1342"/>
        <item x="197"/>
        <item x="71"/>
        <item m="1" x="1518"/>
        <item x="282"/>
        <item m="1" x="1479"/>
        <item m="1" x="1333"/>
        <item m="1" x="705"/>
        <item m="1" x="527"/>
        <item m="1" x="691"/>
        <item m="1" x="1304"/>
        <item m="1" x="897"/>
        <item m="1" x="822"/>
        <item m="1" x="769"/>
        <item m="1" x="1198"/>
        <item x="413"/>
        <item x="183"/>
        <item x="19"/>
        <item x="224"/>
        <item m="1" x="919"/>
        <item x="6"/>
        <item x="40"/>
        <item x="38"/>
        <item x="92"/>
        <item x="1"/>
        <item x="120"/>
        <item x="153"/>
        <item x="65"/>
        <item x="12"/>
        <item m="1" x="960"/>
        <item m="1" x="549"/>
        <item m="1" x="1272"/>
        <item m="1" x="1231"/>
        <item x="37"/>
        <item m="1" x="1162"/>
        <item m="1" x="1340"/>
        <item m="1" x="1339"/>
        <item m="1" x="1195"/>
        <item m="1" x="947"/>
        <item m="1" x="1480"/>
        <item m="1" x="1469"/>
        <item x="177"/>
        <item m="1" x="1166"/>
        <item m="1" x="772"/>
        <item m="1" x="981"/>
        <item m="1" x="813"/>
        <item m="1" x="1006"/>
        <item m="1" x="1475"/>
        <item m="1" x="1356"/>
        <item m="1" x="1364"/>
        <item m="1" x="1365"/>
        <item m="1" x="1366"/>
        <item m="1" x="1357"/>
        <item m="1" x="1358"/>
        <item m="1" x="1367"/>
        <item m="1" x="1359"/>
        <item m="1" x="1360"/>
        <item m="1" x="1361"/>
        <item m="1" x="1362"/>
        <item m="1" x="1368"/>
        <item m="1" x="1363"/>
        <item m="1" x="1405"/>
        <item x="188"/>
        <item x="262"/>
        <item m="1" x="1467"/>
        <item m="1" x="1336"/>
        <item m="1" x="1089"/>
        <item m="1" x="910"/>
        <item m="1" x="904"/>
        <item m="1" x="521"/>
        <item m="1" x="520"/>
        <item m="1" x="754"/>
        <item x="187"/>
        <item m="1" x="1477"/>
        <item m="1" x="967"/>
        <item x="501"/>
        <item x="189"/>
        <item m="1" x="986"/>
        <item m="1" x="1167"/>
        <item m="1" x="952"/>
        <item m="1" x="906"/>
        <item m="1" x="975"/>
        <item m="1" x="977"/>
        <item m="1" x="979"/>
        <item m="1" x="965"/>
        <item m="1" x="1391"/>
        <item m="1" x="879"/>
        <item x="259"/>
        <item m="1" x="1376"/>
        <item x="442"/>
        <item x="414"/>
        <item x="415"/>
        <item x="443"/>
        <item m="1" x="911"/>
        <item m="1" x="1168"/>
        <item m="1" x="1355"/>
        <item m="1" x="1416"/>
        <item m="1" x="1296"/>
        <item m="1" x="924"/>
        <item m="1" x="1160"/>
        <item m="1" x="1396"/>
        <item m="1" x="1397"/>
        <item m="1" x="1398"/>
        <item m="1" x="1399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31"/>
        <item m="1" x="593"/>
        <item m="1" x="894"/>
        <item x="386"/>
        <item x="296"/>
        <item x="235"/>
        <item m="1" x="1401"/>
        <item x="350"/>
        <item x="99"/>
        <item x="143"/>
        <item x="136"/>
        <item x="214"/>
        <item x="74"/>
        <item m="1" x="1408"/>
        <item x="49"/>
        <item m="1" x="1149"/>
        <item m="1" x="1297"/>
        <item m="1" x="1018"/>
        <item m="1" x="1020"/>
        <item m="1" x="1341"/>
        <item m="1" x="1196"/>
        <item m="1" x="1197"/>
        <item x="385"/>
        <item m="1" x="1034"/>
        <item m="1" x="1145"/>
        <item m="1" x="1330"/>
        <item x="327"/>
        <item m="1" x="1030"/>
        <item m="1" x="1031"/>
        <item m="1" x="1032"/>
        <item m="1" x="1204"/>
        <item m="1" x="907"/>
        <item m="1" x="909"/>
        <item m="1" x="1083"/>
        <item m="1" x="1206"/>
        <item m="1" x="905"/>
        <item m="1" x="1335"/>
        <item m="1" x="1295"/>
        <item m="1" x="1346"/>
        <item m="1" x="1306"/>
        <item m="1" x="1337"/>
        <item m="1" x="1212"/>
        <item m="1" x="663"/>
        <item x="426"/>
        <item x="41"/>
        <item m="1" x="914"/>
        <item x="112"/>
        <item m="1" x="681"/>
        <item x="257"/>
        <item m="1" x="643"/>
        <item x="453"/>
        <item x="256"/>
        <item x="452"/>
        <item m="1" x="768"/>
        <item x="178"/>
        <item x="36"/>
        <item m="1" x="923"/>
        <item x="11"/>
        <item m="1" x="816"/>
        <item m="1" x="537"/>
        <item m="1" x="703"/>
        <item x="35"/>
        <item x="138"/>
        <item m="1" x="1242"/>
        <item x="79"/>
        <item x="28"/>
        <item x="33"/>
        <item x="260"/>
        <item m="1" x="1351"/>
        <item m="1" x="658"/>
        <item x="232"/>
        <item x="161"/>
        <item m="1" x="922"/>
        <item x="10"/>
        <item x="283"/>
        <item m="1" x="1236"/>
        <item x="26"/>
        <item x="140"/>
        <item m="1" x="530"/>
        <item m="1" x="523"/>
        <item m="1" x="583"/>
        <item m="1" x="671"/>
        <item x="503"/>
        <item x="499"/>
        <item x="504"/>
        <item x="508"/>
        <item x="481"/>
        <item x="389"/>
        <item x="246"/>
        <item x="220"/>
        <item x="115"/>
        <item x="422"/>
        <item m="1" x="748"/>
        <item m="1" x="554"/>
        <item m="1" x="614"/>
        <item m="1" x="1094"/>
        <item m="1" x="1232"/>
        <item x="58"/>
        <item x="463"/>
        <item x="117"/>
        <item m="1" x="584"/>
        <item m="1" x="541"/>
        <item m="1" x="609"/>
        <item m="1" x="555"/>
        <item x="156"/>
        <item x="436"/>
        <item x="284"/>
        <item m="1" x="1222"/>
        <item x="202"/>
        <item x="412"/>
        <item x="164"/>
        <item x="299"/>
        <item m="1" x="925"/>
        <item x="230"/>
        <item m="1" x="765"/>
        <item m="1" x="1225"/>
        <item m="1" x="961"/>
        <item m="1" x="921"/>
        <item m="1" x="1353"/>
        <item m="1" x="604"/>
        <item m="1" x="763"/>
        <item m="1" x="788"/>
        <item x="111"/>
        <item m="1" x="1201"/>
        <item m="1" x="1047"/>
        <item x="144"/>
        <item m="1" x="1200"/>
        <item m="1" x="1202"/>
        <item m="1" x="540"/>
        <item m="1" x="1033"/>
        <item m="1" x="1148"/>
        <item m="1" x="1062"/>
        <item m="1" x="1085"/>
        <item m="1" x="1090"/>
        <item m="1" x="1238"/>
        <item m="1" x="1237"/>
        <item x="352"/>
        <item x="158"/>
        <item m="1" x="737"/>
        <item m="1" x="1117"/>
        <item m="1" x="1334"/>
        <item m="1" x="1091"/>
        <item m="1" x="1092"/>
        <item m="1" x="908"/>
        <item m="1" x="714"/>
        <item m="1" x="1040"/>
        <item m="1" x="1021"/>
        <item m="1" x="1098"/>
        <item m="1" x="1087"/>
        <item m="1" x="956"/>
        <item m="1" x="903"/>
        <item m="1" x="884"/>
        <item m="1" x="1013"/>
        <item m="1" x="886"/>
        <item m="1" x="1014"/>
        <item m="1" x="887"/>
        <item m="1" x="1025"/>
        <item m="1" x="1004"/>
        <item x="174"/>
        <item m="1" x="1007"/>
        <item m="1" x="880"/>
        <item m="1" x="536"/>
        <item m="1" x="974"/>
        <item m="1" x="1121"/>
        <item m="1" x="1123"/>
        <item m="1" x="1051"/>
        <item x="104"/>
        <item m="1" x="582"/>
        <item m="1" x="711"/>
        <item x="128"/>
        <item m="1" x="580"/>
        <item m="1" x="626"/>
        <item m="1" x="1005"/>
        <item m="1" x="1074"/>
        <item m="1" x="601"/>
        <item x="507"/>
        <item m="1" x="1036"/>
        <item m="1" x="1038"/>
        <item m="1" x="1151"/>
        <item m="1" x="558"/>
        <item m="1" x="1046"/>
        <item m="1" x="953"/>
        <item m="1" x="951"/>
        <item m="1" x="1057"/>
        <item m="1" x="1058"/>
        <item m="1" x="605"/>
        <item x="278"/>
        <item m="1" x="1059"/>
        <item m="1" x="1060"/>
        <item m="1" x="638"/>
        <item m="1" x="1008"/>
        <item m="1" x="1172"/>
        <item m="1" x="1187"/>
        <item m="1" x="635"/>
        <item m="1" x="1188"/>
        <item m="1" x="607"/>
        <item m="1" x="888"/>
        <item m="1" x="1026"/>
        <item m="1" x="1199"/>
        <item x="456"/>
        <item x="444"/>
        <item x="464"/>
        <item x="351"/>
        <item x="305"/>
        <item x="290"/>
        <item x="273"/>
        <item x="291"/>
        <item m="1" x="692"/>
        <item m="1" x="992"/>
        <item m="1" x="594"/>
        <item x="270"/>
        <item m="1" x="589"/>
        <item m="1" x="1203"/>
        <item m="1" x="528"/>
        <item m="1" x="732"/>
        <item m="1" x="1063"/>
        <item m="1" x="1205"/>
        <item m="1" x="596"/>
        <item m="1" x="957"/>
        <item m="1" x="958"/>
        <item m="1" x="954"/>
        <item m="1" x="1080"/>
        <item m="1" x="1207"/>
        <item m="1" x="1208"/>
        <item m="1" x="1064"/>
        <item m="1" x="1209"/>
        <item m="1" x="1210"/>
        <item m="1" x="1211"/>
        <item m="1" x="532"/>
        <item m="1" x="535"/>
        <item m="1" x="1213"/>
        <item m="1" x="1065"/>
        <item m="1" x="1066"/>
        <item x="315"/>
        <item m="1" x="812"/>
        <item m="1" x="1214"/>
        <item m="1" x="597"/>
        <item m="1" x="1215"/>
        <item m="1" x="652"/>
        <item m="1" x="1216"/>
        <item m="1" x="1009"/>
        <item m="1" x="1217"/>
        <item m="1" x="1012"/>
        <item m="1" x="1067"/>
        <item m="1" x="1218"/>
        <item m="1" x="1219"/>
        <item m="1" x="1010"/>
        <item x="287"/>
        <item x="342"/>
        <item m="1" x="1220"/>
        <item m="1" x="1022"/>
        <item m="1" x="889"/>
        <item m="1" x="885"/>
        <item m="1" x="1017"/>
        <item m="1" x="883"/>
        <item m="1" x="1093"/>
        <item m="1" x="1223"/>
        <item m="1" x="1224"/>
        <item m="1" x="1226"/>
        <item m="1" x="525"/>
        <item x="75"/>
        <item x="145"/>
        <item x="44"/>
        <item x="191"/>
        <item x="212"/>
        <item x="109"/>
        <item m="1" x="999"/>
        <item m="1" x="998"/>
        <item x="249"/>
        <item x="223"/>
        <item x="106"/>
        <item x="396"/>
        <item m="1" x="1000"/>
        <item m="1" x="790"/>
        <item m="1" x="1233"/>
        <item x="171"/>
        <item x="199"/>
        <item x="392"/>
        <item x="200"/>
        <item m="1" x="1235"/>
        <item x="440"/>
        <item m="1" x="770"/>
        <item m="1" x="612"/>
        <item x="428"/>
        <item m="1" x="632"/>
        <item x="314"/>
        <item m="1" x="1243"/>
        <item m="1" x="1244"/>
        <item m="1" x="873"/>
        <item m="1" x="874"/>
        <item x="31"/>
        <item x="47"/>
        <item x="30"/>
        <item m="1" x="875"/>
        <item m="1" x="814"/>
        <item m="1" x="666"/>
        <item m="1" x="876"/>
        <item m="1" x="877"/>
        <item m="1" x="976"/>
        <item m="1" x="973"/>
        <item m="1" x="991"/>
        <item m="1" x="878"/>
        <item m="1" x="738"/>
        <item m="1" x="739"/>
        <item m="1" x="831"/>
        <item m="1" x="996"/>
        <item x="83"/>
        <item x="133"/>
        <item m="1" x="984"/>
        <item m="1" x="1001"/>
        <item m="1" x="715"/>
        <item m="1" x="982"/>
        <item x="275"/>
        <item m="1" x="764"/>
        <item x="0"/>
        <item x="48"/>
        <item m="1" x="950"/>
        <item m="1" x="1002"/>
        <item m="1" x="735"/>
        <item m="1" x="718"/>
        <item m="1" x="742"/>
        <item x="61"/>
        <item x="62"/>
        <item m="1" x="745"/>
        <item x="116"/>
        <item x="322"/>
        <item m="1" x="725"/>
        <item x="438"/>
        <item x="457"/>
        <item x="374"/>
        <item x="325"/>
        <item m="1" x="797"/>
        <item m="1" x="743"/>
        <item m="1" x="636"/>
        <item m="1" x="881"/>
        <item x="328"/>
        <item m="1" x="882"/>
        <item m="1" x="1011"/>
        <item m="1" x="941"/>
        <item x="175"/>
        <item x="427"/>
        <item m="1" x="621"/>
        <item x="459"/>
        <item x="462"/>
        <item m="1" x="653"/>
        <item m="1" x="854"/>
        <item m="1" x="855"/>
        <item m="1" x="810"/>
        <item m="1" x="1019"/>
        <item m="1" x="1023"/>
        <item m="1" x="1035"/>
        <item m="1" x="1037"/>
        <item m="1" x="1041"/>
        <item m="1" x="1042"/>
        <item m="1" x="1043"/>
        <item x="201"/>
        <item x="251"/>
        <item m="1" x="749"/>
        <item x="213"/>
        <item m="1" x="675"/>
        <item x="274"/>
        <item m="1" x="820"/>
        <item m="1" x="676"/>
        <item x="320"/>
        <item x="215"/>
        <item x="435"/>
        <item x="450"/>
        <item m="1" x="821"/>
        <item x="451"/>
        <item x="216"/>
        <item m="1" x="677"/>
        <item m="1" x="767"/>
        <item x="50"/>
        <item x="14"/>
        <item x="39"/>
        <item x="32"/>
        <item x="130"/>
        <item x="2"/>
        <item m="1" x="680"/>
        <item x="20"/>
        <item m="1" x="727"/>
        <item x="252"/>
        <item x="55"/>
        <item x="248"/>
        <item x="126"/>
        <item m="1" x="741"/>
        <item x="72"/>
        <item x="205"/>
        <item x="182"/>
        <item m="1" x="933"/>
        <item x="118"/>
        <item x="237"/>
        <item x="234"/>
        <item x="311"/>
        <item x="318"/>
        <item x="387"/>
        <item x="298"/>
        <item x="397"/>
        <item x="236"/>
        <item m="1" x="949"/>
        <item x="286"/>
        <item x="380"/>
        <item x="297"/>
        <item x="303"/>
        <item m="1" x="665"/>
        <item x="400"/>
        <item x="402"/>
        <item m="1" x="1048"/>
        <item m="1" x="1049"/>
        <item m="1" x="817"/>
        <item m="1" x="890"/>
        <item m="1" x="730"/>
        <item x="159"/>
        <item x="139"/>
        <item x="64"/>
        <item m="1" x="802"/>
        <item m="1" x="664"/>
        <item x="506"/>
        <item x="375"/>
        <item m="1" x="978"/>
        <item m="1" x="791"/>
        <item m="1" x="867"/>
        <item m="1" x="828"/>
        <item m="1" x="994"/>
        <item m="1" x="891"/>
        <item m="1" x="1050"/>
        <item m="1" x="868"/>
        <item m="1" x="773"/>
        <item x="321"/>
        <item m="1" x="731"/>
        <item m="1" x="946"/>
        <item x="458"/>
        <item m="1" x="752"/>
        <item x="306"/>
        <item x="460"/>
        <item x="91"/>
        <item m="1" x="620"/>
        <item x="101"/>
        <item m="1" x="832"/>
        <item x="448"/>
        <item m="1" x="993"/>
        <item x="476"/>
        <item x="514"/>
        <item x="90"/>
        <item x="15"/>
        <item m="1" x="708"/>
        <item x="107"/>
        <item m="1" x="1056"/>
        <item x="302"/>
        <item m="1" x="829"/>
        <item m="1" x="623"/>
        <item m="1" x="775"/>
        <item m="1" x="1068"/>
        <item m="1" x="544"/>
        <item m="1" x="539"/>
        <item m="1" x="1069"/>
        <item m="1" x="1070"/>
        <item m="1" x="1071"/>
        <item x="365"/>
        <item m="1" x="1072"/>
        <item m="1" x="895"/>
        <item x="125"/>
        <item x="395"/>
        <item m="1" x="989"/>
        <item x="346"/>
        <item x="372"/>
        <item m="1" x="937"/>
        <item m="1" x="1073"/>
        <item m="1" x="833"/>
        <item x="336"/>
        <item x="340"/>
        <item x="495"/>
        <item x="390"/>
        <item x="496"/>
        <item m="1" x="863"/>
        <item m="1" x="939"/>
        <item x="357"/>
        <item x="280"/>
        <item m="1" x="807"/>
        <item m="1" x="639"/>
        <item x="486"/>
        <item x="382"/>
        <item x="307"/>
        <item x="381"/>
        <item x="330"/>
        <item x="399"/>
        <item m="1" x="533"/>
        <item m="1" x="779"/>
        <item x="93"/>
        <item m="1" x="755"/>
        <item m="1" x="547"/>
        <item x="113"/>
        <item x="94"/>
        <item m="1" x="780"/>
        <item x="244"/>
        <item x="57"/>
        <item m="1" x="896"/>
        <item m="1" x="781"/>
        <item m="1" x="969"/>
        <item m="1" x="782"/>
        <item m="1" x="798"/>
        <item x="206"/>
        <item x="403"/>
        <item x="373"/>
        <item x="405"/>
        <item x="364"/>
        <item x="289"/>
        <item m="1" x="1075"/>
        <item m="1" x="899"/>
        <item m="1" x="972"/>
        <item m="1" x="900"/>
        <item m="1" x="1076"/>
        <item m="1" x="1077"/>
        <item m="1" x="649"/>
        <item x="377"/>
        <item m="1" x="830"/>
        <item m="1" x="995"/>
        <item m="1" x="1078"/>
        <item m="1" x="1079"/>
        <item m="1" x="901"/>
        <item m="1" x="970"/>
        <item x="494"/>
        <item m="1" x="1081"/>
        <item m="1" x="902"/>
        <item m="1" x="1082"/>
        <item m="1" x="1084"/>
        <item m="1" x="1086"/>
        <item m="1" x="1088"/>
        <item x="356"/>
        <item m="1" x="529"/>
        <item m="1" x="524"/>
        <item x="5"/>
        <item m="1" x="545"/>
        <item m="1" x="586"/>
        <item m="1" x="561"/>
        <item m="1" x="606"/>
        <item m="1" x="642"/>
        <item m="1" x="622"/>
        <item m="1" x="1095"/>
        <item m="1" x="651"/>
        <item m="1" x="552"/>
        <item m="1" x="556"/>
        <item m="1" x="1097"/>
        <item m="1" x="913"/>
        <item m="1" x="988"/>
        <item x="420"/>
        <item x="102"/>
        <item x="332"/>
        <item m="1" x="585"/>
        <item m="1" x="693"/>
        <item m="1" x="792"/>
        <item x="68"/>
        <item m="1" x="517"/>
        <item m="1" x="962"/>
        <item m="1" x="709"/>
        <item m="1" x="945"/>
        <item m="1" x="935"/>
        <item m="1" x="942"/>
        <item m="1" x="980"/>
        <item m="1" x="713"/>
        <item x="46"/>
        <item x="331"/>
        <item m="1" x="712"/>
        <item m="1" x="943"/>
        <item x="324"/>
        <item x="119"/>
        <item m="1" x="930"/>
        <item m="1" x="987"/>
        <item m="1" x="722"/>
        <item m="1" x="720"/>
        <item x="241"/>
        <item m="1" x="726"/>
        <item m="1" x="659"/>
        <item m="1" x="936"/>
        <item m="1" x="839"/>
        <item m="1" x="707"/>
        <item x="416"/>
        <item m="1" x="964"/>
        <item x="288"/>
        <item m="1" x="645"/>
        <item x="363"/>
        <item m="1" x="825"/>
        <item x="333"/>
        <item m="1" x="963"/>
        <item x="502"/>
        <item x="473"/>
        <item m="1" x="750"/>
        <item x="329"/>
        <item m="1" x="740"/>
        <item x="3"/>
        <item x="148"/>
        <item x="378"/>
        <item x="408"/>
        <item m="1" x="689"/>
        <item m="1" x="928"/>
        <item x="300"/>
        <item x="474"/>
        <item x="445"/>
        <item m="1" x="929"/>
        <item m="1" x="819"/>
        <item m="1" x="856"/>
        <item m="1" x="857"/>
        <item m="1" x="678"/>
        <item m="1" x="865"/>
        <item m="1" x="679"/>
        <item x="9"/>
        <item m="1" x="932"/>
        <item x="73"/>
        <item m="1" x="870"/>
        <item m="1" x="866"/>
        <item m="1" x="787"/>
        <item m="1" x="826"/>
        <item m="1" x="827"/>
        <item m="1" x="934"/>
        <item x="266"/>
        <item m="1" x="729"/>
        <item m="1" x="686"/>
        <item x="369"/>
        <item x="500"/>
        <item m="1" x="733"/>
        <item x="433"/>
        <item x="491"/>
        <item x="359"/>
        <item x="482"/>
        <item x="487"/>
        <item x="360"/>
        <item m="1" x="940"/>
        <item x="354"/>
        <item x="449"/>
        <item x="498"/>
        <item x="418"/>
        <item m="1" x="864"/>
        <item x="490"/>
        <item m="1" x="926"/>
        <item m="1" x="927"/>
        <item m="1" x="938"/>
        <item x="326"/>
        <item x="341"/>
        <item m="1" x="872"/>
        <item x="358"/>
        <item m="1" x="640"/>
        <item x="478"/>
        <item x="497"/>
        <item m="1" x="641"/>
        <item x="480"/>
        <item x="196"/>
        <item m="1" x="728"/>
        <item m="1" x="630"/>
        <item m="1" x="841"/>
        <item x="461"/>
        <item x="361"/>
        <item m="1" x="684"/>
        <item m="1" x="871"/>
        <item m="1" x="824"/>
        <item m="1" x="862"/>
        <item m="1" x="844"/>
        <item m="1" x="836"/>
        <item m="1" x="834"/>
        <item m="1" x="848"/>
        <item x="317"/>
        <item m="1" x="850"/>
        <item m="1" x="851"/>
        <item m="1" x="852"/>
        <item m="1" x="853"/>
        <item m="1" x="519"/>
        <item m="1" x="860"/>
        <item m="1" x="835"/>
        <item m="1" x="837"/>
        <item m="1" x="849"/>
        <item m="1" x="858"/>
        <item m="1" x="861"/>
        <item m="1" x="747"/>
        <item m="1" x="744"/>
        <item x="63"/>
        <item m="1" x="701"/>
        <item m="1" x="702"/>
        <item m="1" x="811"/>
        <item m="1" x="751"/>
        <item x="337"/>
        <item x="471"/>
        <item x="367"/>
        <item m="1" x="694"/>
        <item x="362"/>
        <item x="335"/>
        <item m="1" x="695"/>
        <item x="493"/>
        <item m="1" x="842"/>
        <item m="1" x="843"/>
        <item m="1" x="845"/>
        <item m="1" x="846"/>
        <item m="1" x="847"/>
        <item m="1" x="660"/>
        <item x="467"/>
        <item x="391"/>
        <item x="338"/>
        <item x="238"/>
        <item m="1" x="710"/>
        <item m="1" x="753"/>
        <item x="219"/>
        <item x="516"/>
        <item m="1" x="650"/>
        <item m="1" x="806"/>
        <item x="485"/>
        <item x="488"/>
        <item x="511"/>
        <item m="1" x="756"/>
        <item m="1" x="667"/>
        <item m="1" x="757"/>
        <item m="1" x="668"/>
        <item m="1" x="758"/>
        <item m="1" x="759"/>
        <item m="1" x="760"/>
        <item m="1" x="761"/>
        <item m="1" x="762"/>
        <item m="1" x="800"/>
        <item m="1" x="674"/>
        <item m="1" x="682"/>
        <item m="1" x="683"/>
        <item m="1" x="685"/>
        <item m="1" x="771"/>
        <item m="1" x="687"/>
        <item m="1" x="688"/>
        <item m="1" x="774"/>
        <item m="1" x="690"/>
        <item x="345"/>
        <item m="1" x="783"/>
        <item m="1" x="784"/>
        <item m="1" x="786"/>
        <item x="472"/>
        <item x="229"/>
        <item m="1" x="793"/>
        <item x="454"/>
        <item x="168"/>
        <item x="192"/>
        <item x="513"/>
        <item m="1" x="809"/>
        <item m="1" x="697"/>
        <item x="475"/>
        <item x="404"/>
        <item x="370"/>
        <item x="489"/>
        <item m="1" x="799"/>
        <item m="1" x="672"/>
        <item m="1" x="801"/>
        <item m="1" x="803"/>
        <item m="1" x="776"/>
        <item m="1" x="777"/>
        <item m="1" x="804"/>
        <item x="505"/>
        <item m="1" x="785"/>
        <item x="137"/>
        <item x="366"/>
        <item x="483"/>
        <item m="1" x="673"/>
        <item x="421"/>
        <item m="1" x="670"/>
        <item x="217"/>
        <item x="417"/>
        <item x="239"/>
        <item x="384"/>
        <item x="376"/>
        <item x="419"/>
        <item x="468"/>
        <item x="466"/>
        <item m="1" x="716"/>
        <item m="1" x="595"/>
        <item x="347"/>
        <item m="1" x="669"/>
        <item x="23"/>
        <item m="1" x="648"/>
        <item m="1" x="608"/>
        <item m="1" x="655"/>
        <item m="1" x="615"/>
        <item m="1" x="656"/>
        <item m="1" x="657"/>
        <item x="431"/>
        <item m="1" x="618"/>
        <item x="258"/>
        <item m="1" x="661"/>
        <item m="1" x="662"/>
        <item m="1" x="633"/>
        <item m="1" x="616"/>
        <item x="388"/>
        <item x="447"/>
        <item x="470"/>
        <item x="446"/>
        <item m="1" x="570"/>
        <item m="1" x="698"/>
        <item m="1" x="699"/>
        <item x="492"/>
        <item x="469"/>
        <item x="343"/>
        <item x="437"/>
        <item x="56"/>
        <item x="13"/>
        <item x="425"/>
        <item x="368"/>
        <item x="339"/>
        <item x="334"/>
        <item x="344"/>
        <item x="348"/>
        <item x="465"/>
        <item x="479"/>
        <item m="1" x="654"/>
        <item m="1" x="522"/>
        <item x="441"/>
        <item x="477"/>
        <item m="1" x="526"/>
        <item m="1" x="543"/>
        <item m="1" x="550"/>
        <item m="1" x="577"/>
        <item m="1" x="588"/>
        <item m="1" x="562"/>
        <item m="1" x="591"/>
        <item m="1" x="613"/>
        <item m="1" x="610"/>
        <item m="1" x="619"/>
        <item m="1" x="637"/>
        <item m="1" x="631"/>
        <item m="1" x="634"/>
        <item m="1" x="617"/>
        <item m="1" x="599"/>
        <item m="1" x="579"/>
        <item m="1" x="587"/>
        <item m="1" x="625"/>
        <item m="1" x="598"/>
        <item m="1" x="602"/>
        <item m="1" x="644"/>
        <item m="1" x="600"/>
        <item m="1" x="627"/>
        <item m="1" x="624"/>
        <item m="1" x="646"/>
        <item m="1" x="628"/>
        <item x="512"/>
        <item x="312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multipleItemSelectionAllowed="1" showAll="0" defaultSubtotal="0">
      <items count="22">
        <item x="0"/>
        <item x="11"/>
        <item x="6"/>
        <item m="1" x="21"/>
        <item x="7"/>
        <item m="1" x="20"/>
        <item x="1"/>
        <item x="2"/>
        <item x="3"/>
        <item x="4"/>
        <item x="8"/>
        <item m="1" x="14"/>
        <item m="1" x="17"/>
        <item x="5"/>
        <item m="1" x="18"/>
        <item m="1" x="19"/>
        <item x="12"/>
        <item x="9"/>
        <item x="13"/>
        <item x="10"/>
        <item m="1" x="15"/>
        <item m="1" x="16"/>
      </items>
    </pivotField>
  </pivotFields>
  <rowFields count="2">
    <field x="3"/>
    <field x="4"/>
  </rowFields>
  <rowItems count="296">
    <i>
      <x v="43"/>
      <x v="364"/>
    </i>
    <i>
      <x v="44"/>
      <x v="547"/>
    </i>
    <i>
      <x v="45"/>
      <x v="556"/>
    </i>
    <i>
      <x v="47"/>
      <x v="121"/>
    </i>
    <i>
      <x v="48"/>
      <x v="362"/>
    </i>
    <i>
      <x v="53"/>
      <x v="557"/>
    </i>
    <i>
      <x v="59"/>
      <x v="852"/>
    </i>
    <i>
      <x v="60"/>
      <x v="97"/>
    </i>
    <i>
      <x v="61"/>
      <x v="98"/>
    </i>
    <i>
      <x v="62"/>
      <x v="99"/>
    </i>
    <i>
      <x v="71"/>
      <x v="277"/>
    </i>
    <i>
      <x v="73"/>
      <x v="282"/>
    </i>
    <i>
      <x v="74"/>
      <x v="283"/>
    </i>
    <i>
      <x v="87"/>
      <x v="170"/>
    </i>
    <i>
      <x v="94"/>
      <x v="394"/>
    </i>
    <i>
      <x v="95"/>
      <x v="564"/>
    </i>
    <i>
      <x v="97"/>
      <x v="582"/>
    </i>
    <i>
      <x v="99"/>
      <x v="520"/>
    </i>
    <i>
      <x v="101"/>
      <x v="538"/>
    </i>
    <i>
      <x v="102"/>
      <x v="546"/>
    </i>
    <i>
      <x v="106"/>
      <x v="1264"/>
    </i>
    <i>
      <x v="111"/>
      <x v="583"/>
    </i>
    <i>
      <x v="113"/>
      <x v="539"/>
    </i>
    <i>
      <x v="115"/>
      <x v="169"/>
    </i>
    <i>
      <x v="118"/>
      <x v="100"/>
    </i>
    <i>
      <x v="119"/>
      <x v="383"/>
    </i>
    <i>
      <x v="122"/>
      <x v="32"/>
    </i>
    <i>
      <x v="127"/>
      <x v="155"/>
    </i>
    <i>
      <x v="128"/>
      <x v="156"/>
    </i>
    <i>
      <x v="129"/>
      <x v="157"/>
    </i>
    <i>
      <x v="130"/>
      <x v="158"/>
    </i>
    <i>
      <x v="131"/>
      <x v="178"/>
    </i>
    <i>
      <x v="134"/>
      <x v="297"/>
    </i>
    <i>
      <x v="138"/>
      <x v="342"/>
    </i>
    <i>
      <x v="142"/>
      <x v="387"/>
    </i>
    <i>
      <x v="144"/>
      <x v="428"/>
    </i>
    <i>
      <x v="158"/>
      <x v="258"/>
    </i>
    <i>
      <x v="159"/>
      <x v="830"/>
    </i>
    <i>
      <x v="160"/>
      <x v="101"/>
    </i>
    <i>
      <x v="243"/>
      <x v="38"/>
    </i>
    <i>
      <x v="247"/>
      <x v="96"/>
    </i>
    <i>
      <x v="248"/>
      <x v="159"/>
    </i>
    <i>
      <x v="249"/>
      <x v="160"/>
    </i>
    <i>
      <x v="250"/>
      <x v="167"/>
    </i>
    <i>
      <x v="255"/>
      <x v="136"/>
    </i>
    <i>
      <x v="257"/>
      <x v="142"/>
    </i>
    <i>
      <x v="258"/>
      <x v="324"/>
    </i>
    <i>
      <x v="259"/>
      <x v="403"/>
    </i>
    <i>
      <x v="263"/>
      <x v="411"/>
    </i>
    <i>
      <x v="264"/>
      <x v="1528"/>
    </i>
    <i>
      <x v="275"/>
      <x v="598"/>
    </i>
    <i>
      <x v="277"/>
      <x v="601"/>
    </i>
    <i>
      <x v="278"/>
      <x v="602"/>
    </i>
    <i>
      <x v="279"/>
      <x v="603"/>
    </i>
    <i>
      <x v="280"/>
      <x v="604"/>
    </i>
    <i>
      <x v="281"/>
      <x v="605"/>
    </i>
    <i>
      <x v="282"/>
      <x v="606"/>
    </i>
    <i>
      <x v="283"/>
      <x v="607"/>
    </i>
    <i>
      <x v="284"/>
      <x v="608"/>
    </i>
    <i>
      <x v="287"/>
      <x v="609"/>
    </i>
    <i>
      <x v="288"/>
      <x v="319"/>
    </i>
    <i>
      <x v="290"/>
      <x v="517"/>
    </i>
    <i>
      <x v="291"/>
      <x v="518"/>
    </i>
    <i>
      <x v="292"/>
      <x v="544"/>
    </i>
    <i>
      <x v="295"/>
      <x v="510"/>
    </i>
    <i>
      <x v="296"/>
      <x/>
    </i>
    <i>
      <x v="298"/>
      <x v="123"/>
    </i>
    <i>
      <x v="300"/>
      <x v="1299"/>
    </i>
    <i>
      <x v="303"/>
      <x v="321"/>
    </i>
    <i>
      <x v="304"/>
      <x v="599"/>
    </i>
    <i>
      <x v="305"/>
      <x v="154"/>
    </i>
    <i>
      <x v="306"/>
      <x v="701"/>
    </i>
    <i>
      <x v="312"/>
      <x v="485"/>
    </i>
    <i>
      <x v="316"/>
      <x v="137"/>
    </i>
    <i>
      <x v="320"/>
      <x v="472"/>
    </i>
    <i>
      <x v="321"/>
      <x v="473"/>
    </i>
    <i>
      <x v="328"/>
      <x v="162"/>
    </i>
    <i>
      <x v="329"/>
      <x v="163"/>
    </i>
    <i>
      <x v="330"/>
      <x v="358"/>
    </i>
    <i>
      <x v="331"/>
      <x v="523"/>
    </i>
    <i>
      <x v="332"/>
      <x v="526"/>
    </i>
    <i>
      <x v="336"/>
      <x v="653"/>
    </i>
    <i>
      <x v="337"/>
      <x v="614"/>
    </i>
    <i>
      <x v="339"/>
      <x v="528"/>
    </i>
    <i>
      <x v="340"/>
      <x v="524"/>
    </i>
    <i>
      <x v="341"/>
      <x v="2"/>
    </i>
    <i>
      <x v="345"/>
      <x v="401"/>
    </i>
    <i>
      <x v="347"/>
      <x v="474"/>
    </i>
    <i>
      <x v="349"/>
      <x v="476"/>
    </i>
    <i>
      <x v="350"/>
      <x v="477"/>
    </i>
    <i>
      <x v="353"/>
      <x v="37"/>
    </i>
    <i>
      <x v="357"/>
      <x v="240"/>
    </i>
    <i>
      <x v="366"/>
      <x v="360"/>
    </i>
    <i>
      <x v="368"/>
      <x v="372"/>
    </i>
    <i>
      <x v="379"/>
      <x v="573"/>
    </i>
    <i>
      <x v="393"/>
      <x v="108"/>
    </i>
    <i>
      <x v="401"/>
      <x v="1138"/>
    </i>
    <i>
      <x v="403"/>
      <x v="310"/>
    </i>
    <i>
      <x v="405"/>
      <x v="316"/>
    </i>
    <i>
      <x v="411"/>
      <x v="370"/>
    </i>
    <i>
      <x v="416"/>
      <x v="115"/>
    </i>
    <i>
      <x v="429"/>
      <x v="238"/>
    </i>
    <i>
      <x v="430"/>
      <x v="495"/>
    </i>
    <i>
      <x v="431"/>
      <x v="1142"/>
    </i>
    <i>
      <x v="434"/>
      <x v="468"/>
    </i>
    <i>
      <x v="442"/>
      <x v="353"/>
    </i>
    <i>
      <x v="444"/>
      <x v="354"/>
    </i>
    <i>
      <x v="445"/>
      <x v="356"/>
    </i>
    <i>
      <x v="447"/>
      <x v="622"/>
    </i>
    <i>
      <x v="450"/>
      <x v="490"/>
    </i>
    <i>
      <x v="452"/>
      <x v="491"/>
    </i>
    <i>
      <x v="459"/>
      <x v="341"/>
    </i>
    <i>
      <x v="468"/>
      <x v="104"/>
    </i>
    <i>
      <x v="472"/>
      <x v="245"/>
    </i>
    <i>
      <x v="473"/>
      <x v="246"/>
    </i>
    <i>
      <x v="475"/>
      <x v="248"/>
    </i>
    <i>
      <x v="476"/>
      <x v="249"/>
    </i>
    <i>
      <x v="477"/>
      <x v="250"/>
    </i>
    <i>
      <x v="478"/>
      <x v="251"/>
    </i>
    <i>
      <x v="480"/>
      <x v="404"/>
    </i>
    <i>
      <x v="481"/>
      <x v="470"/>
    </i>
    <i>
      <x v="482"/>
      <x v="471"/>
    </i>
    <i>
      <x v="483"/>
      <x v="509"/>
    </i>
    <i>
      <x v="484"/>
      <x v="508"/>
    </i>
    <i>
      <x v="485"/>
      <x v="511"/>
    </i>
    <i>
      <x v="487"/>
      <x v="512"/>
    </i>
    <i>
      <x v="488"/>
      <x v="320"/>
    </i>
    <i>
      <x v="489"/>
      <x v="1448"/>
    </i>
    <i>
      <x v="490"/>
      <x v="28"/>
    </i>
    <i>
      <x v="496"/>
      <x v="579"/>
    </i>
    <i>
      <x v="512"/>
      <x v="90"/>
    </i>
    <i>
      <x v="513"/>
      <x v="430"/>
    </i>
    <i>
      <x v="516"/>
      <x v="453"/>
    </i>
    <i>
      <x v="518"/>
      <x v="535"/>
    </i>
    <i>
      <x v="528"/>
      <x v="36"/>
    </i>
    <i>
      <x v="529"/>
      <x v="26"/>
    </i>
    <i>
      <x v="547"/>
      <x v="554"/>
    </i>
    <i>
      <x v="613"/>
      <x v="643"/>
    </i>
    <i>
      <x v="654"/>
      <x v="697"/>
    </i>
    <i>
      <x v="655"/>
      <x v="698"/>
    </i>
    <i>
      <x v="656"/>
      <x v="699"/>
    </i>
    <i>
      <x v="658"/>
      <x v="702"/>
    </i>
    <i>
      <x v="659"/>
      <x v="703"/>
    </i>
    <i>
      <x v="661"/>
      <x v="705"/>
    </i>
    <i>
      <x v="662"/>
      <x v="706"/>
    </i>
    <i>
      <x v="664"/>
      <x v="708"/>
    </i>
    <i>
      <x v="693"/>
      <x v="737"/>
    </i>
    <i>
      <x v="698"/>
      <x v="742"/>
    </i>
    <i>
      <x v="700"/>
      <x v="744"/>
    </i>
    <i>
      <x v="701"/>
      <x v="745"/>
    </i>
    <i>
      <x v="702"/>
      <x v="746"/>
    </i>
    <i>
      <x v="705"/>
      <x v="749"/>
    </i>
    <i>
      <x v="707"/>
      <x v="751"/>
    </i>
    <i>
      <x v="712"/>
      <x v="756"/>
    </i>
    <i>
      <x v="714"/>
      <x v="758"/>
    </i>
    <i>
      <x v="715"/>
      <x v="759"/>
    </i>
    <i>
      <x v="716"/>
      <x v="760"/>
    </i>
    <i>
      <x v="717"/>
      <x v="761"/>
    </i>
    <i>
      <x v="720"/>
      <x v="764"/>
    </i>
    <i>
      <x v="721"/>
      <x v="765"/>
    </i>
    <i>
      <x v="723"/>
      <x v="767"/>
    </i>
    <i>
      <x v="724"/>
      <x v="768"/>
    </i>
    <i>
      <x v="725"/>
      <x v="1177"/>
    </i>
    <i>
      <x v="741"/>
      <x v="785"/>
    </i>
    <i>
      <x v="747"/>
      <x v="791"/>
    </i>
    <i>
      <x v="749"/>
      <x v="793"/>
    </i>
    <i>
      <x v="757"/>
      <x v="802"/>
    </i>
    <i>
      <x v="758"/>
      <x v="803"/>
    </i>
    <i>
      <x v="759"/>
      <x v="804"/>
    </i>
    <i>
      <x v="760"/>
      <x v="805"/>
    </i>
    <i>
      <x v="761"/>
      <x v="1339"/>
    </i>
    <i>
      <x v="762"/>
      <x v="807"/>
    </i>
    <i>
      <x v="784"/>
      <x v="831"/>
    </i>
    <i>
      <x v="825"/>
      <x v="880"/>
    </i>
    <i>
      <x v="836"/>
      <x v="893"/>
    </i>
    <i>
      <x v="837"/>
      <x v="894"/>
    </i>
    <i>
      <x v="838"/>
      <x v="895"/>
    </i>
    <i>
      <x v="839"/>
      <x v="896"/>
    </i>
    <i>
      <x v="840"/>
      <x v="897"/>
    </i>
    <i>
      <x v="841"/>
      <x v="898"/>
    </i>
    <i>
      <x v="842"/>
      <x v="899"/>
    </i>
    <i>
      <x v="843"/>
      <x v="900"/>
    </i>
    <i>
      <x v="845"/>
      <x v="1239"/>
    </i>
    <i>
      <x v="847"/>
      <x v="904"/>
    </i>
    <i>
      <x v="866"/>
      <x v="927"/>
    </i>
    <i>
      <x v="872"/>
      <x v="1200"/>
    </i>
    <i>
      <x v="880"/>
      <x v="941"/>
    </i>
    <i>
      <x v="893"/>
      <x v="954"/>
    </i>
    <i>
      <x v="894"/>
      <x v="955"/>
    </i>
    <i>
      <x v="896"/>
      <x v="958"/>
    </i>
    <i>
      <x v="897"/>
      <x v="959"/>
    </i>
    <i>
      <x v="902"/>
      <x v="964"/>
    </i>
    <i>
      <x v="903"/>
      <x v="965"/>
    </i>
    <i>
      <x v="906"/>
      <x v="1131"/>
    </i>
    <i>
      <x v="907"/>
      <x v="969"/>
    </i>
    <i>
      <x v="908"/>
      <x v="970"/>
    </i>
    <i>
      <x v="909"/>
      <x v="971"/>
    </i>
    <i>
      <x v="910"/>
      <x v="972"/>
    </i>
    <i>
      <x v="911"/>
      <x v="1095"/>
    </i>
    <i>
      <x v="915"/>
      <x v="977"/>
    </i>
    <i>
      <x v="917"/>
      <x v="979"/>
    </i>
    <i>
      <x v="927"/>
      <x v="985"/>
    </i>
    <i>
      <x v="928"/>
      <x v="986"/>
    </i>
    <i>
      <x v="942"/>
      <x v="1000"/>
    </i>
    <i>
      <x v="949"/>
      <x v="1006"/>
    </i>
    <i>
      <x v="951"/>
      <x v="1008"/>
    </i>
    <i>
      <x v="952"/>
      <x v="1009"/>
    </i>
    <i>
      <x v="961"/>
      <x v="1018"/>
    </i>
    <i>
      <x v="962"/>
      <x v="1019"/>
    </i>
    <i>
      <x v="965"/>
      <x v="1022"/>
    </i>
    <i>
      <x v="966"/>
      <x v="1023"/>
    </i>
    <i>
      <x v="976"/>
      <x v="1033"/>
    </i>
    <i>
      <x v="977"/>
      <x v="1034"/>
    </i>
    <i>
      <x v="979"/>
      <x v="1036"/>
    </i>
    <i>
      <x v="980"/>
      <x v="1037"/>
    </i>
    <i>
      <x v="991"/>
      <x v="1049"/>
    </i>
    <i>
      <x v="992"/>
      <x v="1050"/>
    </i>
    <i>
      <x v="994"/>
      <x v="1052"/>
    </i>
    <i>
      <x v="1005"/>
      <x v="1063"/>
    </i>
    <i>
      <x v="1011"/>
      <x v="1069"/>
    </i>
    <i>
      <x v="1012"/>
      <x v="1070"/>
    </i>
    <i>
      <x v="1013"/>
      <x v="1071"/>
    </i>
    <i>
      <x v="1015"/>
      <x v="1073"/>
    </i>
    <i>
      <x v="1018"/>
      <x v="1076"/>
    </i>
    <i>
      <x v="1020"/>
      <x v="1078"/>
    </i>
    <i>
      <x v="1022"/>
      <x v="1080"/>
    </i>
    <i>
      <x v="1026"/>
      <x v="1084"/>
    </i>
    <i>
      <x v="1028"/>
      <x v="1086"/>
    </i>
    <i>
      <x v="1029"/>
      <x v="1087"/>
    </i>
    <i>
      <x v="1030"/>
      <x v="1088"/>
    </i>
    <i>
      <x v="1033"/>
      <x v="1091"/>
    </i>
    <i>
      <x v="1034"/>
      <x v="1092"/>
    </i>
    <i>
      <x v="1036"/>
      <x v="1094"/>
    </i>
    <i>
      <x v="1038"/>
      <x v="1097"/>
    </i>
    <i>
      <x v="1040"/>
      <x v="1099"/>
    </i>
    <i>
      <x v="1041"/>
      <x v="1100"/>
    </i>
    <i>
      <x v="1064"/>
      <x v="1122"/>
    </i>
    <i>
      <x v="1069"/>
      <x v="1127"/>
    </i>
    <i>
      <x v="1071"/>
      <x v="1129"/>
    </i>
    <i>
      <x v="1073"/>
      <x v="1133"/>
    </i>
    <i>
      <x v="1075"/>
      <x v="1135"/>
    </i>
    <i>
      <x v="1079"/>
      <x v="1140"/>
    </i>
    <i>
      <x v="1088"/>
      <x v="1152"/>
    </i>
    <i>
      <x v="1093"/>
      <x v="1255"/>
    </i>
    <i>
      <x v="1094"/>
      <x v="1158"/>
    </i>
    <i>
      <x v="1095"/>
      <x v="1159"/>
    </i>
    <i>
      <x v="1106"/>
      <x v="1170"/>
    </i>
    <i>
      <x v="1110"/>
      <x v="1176"/>
    </i>
    <i>
      <x v="1112"/>
      <x v="1179"/>
    </i>
    <i>
      <x v="1115"/>
      <x v="1182"/>
    </i>
    <i>
      <x v="1130"/>
      <x v="1208"/>
    </i>
    <i>
      <x v="1147"/>
      <x v="1225"/>
    </i>
    <i>
      <x v="1160"/>
      <x v="1241"/>
    </i>
    <i>
      <x v="1164"/>
      <x v="1245"/>
    </i>
    <i>
      <x v="1174"/>
      <x v="1254"/>
    </i>
    <i>
      <x v="1178"/>
      <x v="1259"/>
    </i>
    <i>
      <x v="1187"/>
      <x v="1270"/>
    </i>
    <i>
      <x v="1189"/>
      <x v="1272"/>
    </i>
    <i>
      <x v="1191"/>
      <x v="1274"/>
    </i>
    <i>
      <x v="1193"/>
      <x v="1276"/>
    </i>
    <i>
      <x v="1196"/>
      <x v="1279"/>
    </i>
    <i>
      <x v="1198"/>
      <x v="1281"/>
    </i>
    <i>
      <x v="1200"/>
      <x v="1283"/>
    </i>
    <i>
      <x v="1201"/>
      <x v="1284"/>
    </i>
    <i>
      <x v="1206"/>
      <x v="1289"/>
    </i>
    <i>
      <x v="1209"/>
      <x v="1291"/>
    </i>
    <i>
      <x v="1233"/>
      <x v="1316"/>
    </i>
    <i>
      <x v="1235"/>
      <x v="1318"/>
    </i>
    <i>
      <x v="1248"/>
      <x v="1331"/>
    </i>
    <i>
      <x v="1253"/>
      <x v="1336"/>
    </i>
    <i>
      <x v="1260"/>
      <x v="1344"/>
    </i>
    <i>
      <x v="1287"/>
      <x v="1373"/>
    </i>
    <i>
      <x v="1288"/>
      <x v="1374"/>
    </i>
    <i>
      <x v="1290"/>
      <x v="1376"/>
    </i>
    <i>
      <x v="1291"/>
      <x v="1377"/>
    </i>
    <i>
      <x v="1300"/>
      <x v="1386"/>
    </i>
    <i>
      <x v="1306"/>
      <x v="1392"/>
    </i>
    <i>
      <x v="1337"/>
      <x v="1422"/>
    </i>
    <i>
      <x v="1341"/>
      <x v="457"/>
    </i>
    <i>
      <x v="1343"/>
      <x v="459"/>
    </i>
    <i>
      <x v="1346"/>
      <x v="1432"/>
    </i>
    <i>
      <x v="1347"/>
      <x v="1433"/>
    </i>
    <i>
      <x v="1348"/>
      <x v="1434"/>
    </i>
    <i>
      <x v="1352"/>
      <x v="1445"/>
    </i>
    <i>
      <x v="1361"/>
      <x v="1451"/>
    </i>
    <i>
      <x v="1362"/>
      <x v="1452"/>
    </i>
    <i>
      <x v="1363"/>
      <x v="1453"/>
    </i>
    <i>
      <x v="1365"/>
      <x v="1455"/>
    </i>
    <i>
      <x v="1367"/>
      <x v="1457"/>
    </i>
    <i>
      <x v="1372"/>
      <x v="1462"/>
    </i>
    <i>
      <x v="1386"/>
      <x v="1476"/>
    </i>
    <i>
      <x v="1387"/>
      <x v="1477"/>
    </i>
    <i>
      <x v="1388"/>
      <x v="1478"/>
    </i>
    <i>
      <x v="1394"/>
      <x v="1485"/>
    </i>
    <i>
      <x v="1395"/>
      <x v="1486"/>
    </i>
    <i>
      <x v="1397"/>
      <x v="1488"/>
    </i>
  </rowItems>
  <colFields count="1">
    <field x="16"/>
  </colFields>
  <colItems count="12">
    <i>
      <x/>
    </i>
    <i>
      <x v="2"/>
    </i>
    <i>
      <x v="4"/>
    </i>
    <i>
      <x v="6"/>
    </i>
    <i>
      <x v="7"/>
    </i>
    <i>
      <x v="8"/>
    </i>
    <i>
      <x v="9"/>
    </i>
    <i>
      <x v="10"/>
    </i>
    <i>
      <x v="13"/>
    </i>
    <i>
      <x v="16"/>
    </i>
    <i>
      <x v="17"/>
    </i>
    <i>
      <x v="18"/>
    </i>
  </colItems>
  <pageFields count="2">
    <pageField fld="0" hier="-1"/>
    <pageField fld="2" hier="-1"/>
  </pageFields>
  <dataFields count="1">
    <dataField name="Toplam MIKTAR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7CA5D4-8724-4FD6-814F-BAB5F30BBD1B}" name="PivotTable1" cacheId="36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B24" firstHeaderRow="1" firstDataRow="1" firstDataCol="1" rowPageCount="1" colPageCount="1"/>
  <pivotFields count="17">
    <pivotField axis="axisRow" showAll="0">
      <items count="370">
        <item m="1" x="334"/>
        <item m="1" x="335"/>
        <item m="1" x="366"/>
        <item m="1" x="276"/>
        <item m="1" x="304"/>
        <item m="1" x="324"/>
        <item m="1" x="325"/>
        <item m="1" x="362"/>
        <item m="1" x="363"/>
        <item m="1" x="269"/>
        <item m="1" x="367"/>
        <item m="1" x="365"/>
        <item m="1" x="368"/>
        <item m="1" x="236"/>
        <item m="1" x="360"/>
        <item m="1" x="310"/>
        <item m="1" x="358"/>
        <item m="1" x="364"/>
        <item m="1" x="302"/>
        <item m="1" x="333"/>
        <item m="1" x="326"/>
        <item m="1" x="327"/>
        <item m="1" x="328"/>
        <item m="1" x="332"/>
        <item m="1" x="305"/>
        <item m="1" x="306"/>
        <item m="1" x="307"/>
        <item m="1" x="308"/>
        <item m="1" x="329"/>
        <item m="1" x="330"/>
        <item m="1" x="331"/>
        <item m="1" x="315"/>
        <item m="1" x="313"/>
        <item m="1" x="314"/>
        <item m="1" x="311"/>
        <item m="1" x="312"/>
        <item m="1" x="336"/>
        <item m="1" x="337"/>
        <item m="1" x="338"/>
        <item m="1" x="339"/>
        <item m="1" x="340"/>
        <item m="1" x="350"/>
        <item m="1" x="353"/>
        <item m="1" x="354"/>
        <item m="1" x="355"/>
        <item m="1" x="347"/>
        <item m="1" x="348"/>
        <item m="1" x="349"/>
        <item m="1" x="341"/>
        <item m="1" x="351"/>
        <item m="1" x="352"/>
        <item m="1" x="342"/>
        <item m="1" x="343"/>
        <item m="1" x="344"/>
        <item m="1" x="356"/>
        <item m="1" x="345"/>
        <item m="1" x="346"/>
        <item m="1" x="242"/>
        <item m="1" x="243"/>
        <item m="1" x="244"/>
        <item m="1" x="359"/>
        <item m="1" x="245"/>
        <item m="1" x="265"/>
        <item m="1" x="322"/>
        <item m="1" x="323"/>
        <item m="1" x="237"/>
        <item m="1" x="246"/>
        <item m="1" x="361"/>
        <item m="1" x="298"/>
        <item m="1" x="292"/>
        <item m="1" x="294"/>
        <item m="1" x="295"/>
        <item m="1" x="296"/>
        <item m="1" x="297"/>
        <item m="1" x="309"/>
        <item m="1" x="289"/>
        <item m="1" x="290"/>
        <item m="1" x="291"/>
        <item m="1" x="301"/>
        <item m="1" x="316"/>
        <item m="1" x="317"/>
        <item m="1" x="318"/>
        <item m="1" x="271"/>
        <item m="1" x="272"/>
        <item m="1" x="273"/>
        <item m="1" x="274"/>
        <item m="1" x="270"/>
        <item m="1" x="300"/>
        <item m="1" x="357"/>
        <item m="1" x="319"/>
        <item m="1" x="320"/>
        <item m="1" x="321"/>
        <item m="1" x="279"/>
        <item m="1" x="288"/>
        <item m="1" x="303"/>
        <item m="1" x="231"/>
        <item m="1" x="232"/>
        <item m="1" x="225"/>
        <item m="1" x="217"/>
        <item m="1" x="218"/>
        <item m="1" x="252"/>
        <item m="1" x="248"/>
        <item m="1" x="249"/>
        <item m="1" x="267"/>
        <item m="1" x="250"/>
        <item m="1" x="251"/>
        <item m="1" x="229"/>
        <item m="1" x="275"/>
        <item m="1" x="268"/>
        <item m="1" x="293"/>
        <item m="1" x="247"/>
        <item m="1" x="266"/>
        <item m="1" x="299"/>
        <item m="1" x="278"/>
        <item m="1" x="277"/>
        <item m="1" x="284"/>
        <item m="1" x="285"/>
        <item m="1" x="280"/>
        <item m="1" x="281"/>
        <item m="1" x="253"/>
        <item m="1" x="239"/>
        <item m="1" x="240"/>
        <item m="1" x="241"/>
        <item m="1" x="230"/>
        <item m="1" x="282"/>
        <item m="1" x="283"/>
        <item m="1" x="286"/>
        <item m="1" x="228"/>
        <item m="1" x="287"/>
        <item m="1" x="258"/>
        <item m="1" x="257"/>
        <item m="1" x="256"/>
        <item m="1" x="260"/>
        <item m="1" x="254"/>
        <item m="1" x="255"/>
        <item m="1" x="235"/>
        <item m="1" x="234"/>
        <item m="1" x="259"/>
        <item m="1" x="262"/>
        <item m="1" x="263"/>
        <item m="1" x="264"/>
        <item m="1" x="261"/>
        <item m="1" x="233"/>
        <item m="1" x="211"/>
        <item m="1" x="212"/>
        <item m="1" x="213"/>
        <item m="1" x="214"/>
        <item m="1" x="215"/>
        <item m="1" x="216"/>
        <item m="1" x="219"/>
        <item m="1" x="220"/>
        <item m="1" x="221"/>
        <item m="1" x="222"/>
        <item m="1" x="223"/>
        <item m="1" x="224"/>
        <item m="1" x="226"/>
        <item m="1" x="227"/>
        <item m="1" x="238"/>
        <item m="1" x="156"/>
        <item m="1" x="139"/>
        <item m="1" x="166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64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111"/>
        <item m="1" x="162"/>
        <item m="1" x="142"/>
        <item m="1" x="206"/>
        <item m="1" x="169"/>
        <item m="1" x="168"/>
        <item m="1" x="163"/>
        <item m="1" x="140"/>
        <item m="1" x="165"/>
        <item m="1" x="114"/>
        <item m="1" x="135"/>
        <item m="1" x="110"/>
        <item m="1" x="207"/>
        <item m="1" x="141"/>
        <item m="1" x="148"/>
        <item m="1" x="161"/>
        <item m="1" x="151"/>
        <item m="1" x="158"/>
        <item m="1" x="153"/>
        <item m="1" x="149"/>
        <item m="1" x="157"/>
        <item m="1" x="147"/>
        <item m="1" x="112"/>
        <item m="1" x="146"/>
        <item m="1" x="159"/>
        <item m="1" x="208"/>
        <item m="1" x="167"/>
        <item m="1" x="143"/>
        <item m="1" x="144"/>
        <item m="1" x="129"/>
        <item m="1" x="209"/>
        <item m="1" x="210"/>
        <item m="1" x="120"/>
        <item m="1" x="125"/>
        <item m="1" x="160"/>
        <item m="1" x="123"/>
        <item m="1" x="121"/>
        <item m="1" x="128"/>
        <item m="1" x="122"/>
        <item m="1" x="118"/>
        <item m="1" x="131"/>
        <item m="1" x="150"/>
        <item m="1" x="152"/>
        <item m="1" x="154"/>
        <item m="1" x="113"/>
        <item m="1" x="124"/>
        <item m="1" x="145"/>
        <item m="1" x="136"/>
        <item m="1" x="134"/>
        <item m="1" x="115"/>
        <item m="1" x="116"/>
        <item m="1" x="117"/>
        <item m="1" x="155"/>
        <item m="1" x="106"/>
        <item m="1" x="108"/>
        <item m="1" x="107"/>
        <item m="1" x="132"/>
        <item m="1" x="130"/>
        <item m="1" x="133"/>
        <item m="1" x="138"/>
        <item m="1" x="137"/>
        <item m="1" x="127"/>
        <item m="1" x="102"/>
        <item m="1" x="126"/>
        <item m="1" x="119"/>
        <item m="1" x="103"/>
        <item m="1" x="100"/>
        <item m="1" x="105"/>
        <item m="1" x="104"/>
        <item m="1" x="84"/>
        <item m="1" x="98"/>
        <item m="1" x="97"/>
        <item m="1" x="89"/>
        <item m="1" x="92"/>
        <item m="1" x="86"/>
        <item m="1" x="95"/>
        <item m="1" x="87"/>
        <item m="1" x="91"/>
        <item m="1" x="90"/>
        <item m="1" x="88"/>
        <item m="1" x="101"/>
        <item m="1" x="99"/>
        <item m="1" x="79"/>
        <item m="1" x="93"/>
        <item m="1" x="77"/>
        <item m="1" x="78"/>
        <item m="1" x="85"/>
        <item m="1" x="80"/>
        <item m="1" x="81"/>
        <item m="1" x="83"/>
        <item m="1" x="82"/>
        <item m="1" x="94"/>
        <item m="1" x="109"/>
        <item m="1" x="96"/>
        <item m="1" x="69"/>
        <item m="1" x="75"/>
        <item m="1" x="73"/>
        <item m="1" x="76"/>
        <item m="1" x="71"/>
        <item m="1" x="70"/>
        <item m="1" x="72"/>
        <item m="1" x="60"/>
        <item m="1" x="64"/>
        <item m="1" x="61"/>
        <item m="1" x="46"/>
        <item m="1" x="45"/>
        <item m="1" x="63"/>
        <item m="1" x="59"/>
        <item m="1" x="65"/>
        <item m="1" x="66"/>
        <item m="1" x="74"/>
        <item m="1" x="67"/>
        <item m="1" x="68"/>
        <item m="1" x="44"/>
        <item m="1" x="43"/>
        <item m="1" x="47"/>
        <item m="1" x="55"/>
        <item m="1" x="54"/>
        <item m="1" x="57"/>
        <item m="1" x="56"/>
        <item m="1" x="62"/>
        <item m="1" x="53"/>
        <item m="1" x="48"/>
        <item m="1" x="52"/>
        <item m="1" x="41"/>
        <item m="1" x="38"/>
        <item m="1" x="49"/>
        <item m="1" x="40"/>
        <item m="1" x="50"/>
        <item m="1" x="42"/>
        <item m="1" x="51"/>
        <item m="1" x="39"/>
        <item m="1" x="30"/>
        <item m="1" x="33"/>
        <item m="1" x="58"/>
        <item m="1" x="28"/>
        <item m="1" x="31"/>
        <item m="1" x="34"/>
        <item m="1" x="35"/>
        <item m="1" x="29"/>
        <item m="1" x="36"/>
        <item m="1" x="37"/>
        <item m="1" x="24"/>
        <item m="1" x="21"/>
        <item m="1" x="32"/>
        <item m="1" x="27"/>
        <item m="1" x="25"/>
        <item m="1" x="22"/>
        <item m="1" x="26"/>
        <item m="1" x="20"/>
        <item m="1" x="23"/>
        <item x="13"/>
        <item x="9"/>
        <item x="6"/>
        <item x="19"/>
        <item x="7"/>
        <item x="1"/>
        <item x="18"/>
        <item x="16"/>
        <item x="12"/>
        <item x="10"/>
        <item x="0"/>
        <item x="5"/>
        <item x="4"/>
        <item x="3"/>
        <item x="11"/>
        <item x="14"/>
        <item x="2"/>
        <item x="8"/>
        <item x="15"/>
        <item x="17"/>
        <item t="default"/>
      </items>
    </pivotField>
    <pivotField showAll="0"/>
    <pivotField axis="axisPage" multipleItemSelectionAllowed="1" showAll="0">
      <items count="5">
        <item x="1"/>
        <item m="1" x="3"/>
        <item x="0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0"/>
  </rowFields>
  <rowItems count="21"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 t="grand">
      <x/>
    </i>
  </rowItems>
  <colItems count="1">
    <i/>
  </colItems>
  <pageFields count="1">
    <pageField fld="2" hier="-1"/>
  </pageFields>
  <dataFields count="1">
    <dataField name="Toplam Maliyet" fld="15" baseField="0" baseItem="51"/>
  </dataFields>
  <formats count="2">
    <format dxfId="1500">
      <pivotArea outline="0" collapsedLevelsAreSubtotals="1" fieldPosition="0"/>
    </format>
    <format dxfId="149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0986EE-612D-4AE9-999D-3A82B5BD5F32}" name="PivotTable1" cacheId="36" applyNumberFormats="0" applyBorderFormats="0" applyFontFormats="0" applyPatternFormats="0" applyAlignmentFormats="0" applyWidthHeightFormats="1" dataCaption="Değerler" updatedVersion="8" minRefreshableVersion="3" useAutoFormatting="1" rowGrandTotals="0" colGrandTotals="0" itemPrintTitles="1" createdVersion="8" indent="0" compact="0" compactData="0" multipleFieldFilters="0">
  <location ref="A11:K528" firstHeaderRow="0" firstDataRow="1" firstDataCol="3"/>
  <pivotFields count="17">
    <pivotField compact="0" outline="0" multipleItemSelectionAllowed="1" showAll="0" defaultSubtotal="0"/>
    <pivotField compact="0" outline="0" showAll="0" defaultSubtotal="0"/>
    <pivotField compact="0" outline="0" multipleItemSelectionAllowed="1" showAll="0" defaultSubtotal="0"/>
    <pivotField axis="axisRow" compact="0" outline="0" showAll="0" sortType="descending" defaultSubtotal="0">
      <items count="1435">
        <item m="1" x="798"/>
        <item x="54"/>
        <item m="1" x="1092"/>
        <item m="1" x="1356"/>
        <item m="1" x="1129"/>
        <item x="134"/>
        <item x="379"/>
        <item x="100"/>
        <item x="310"/>
        <item x="247"/>
        <item m="1" x="1143"/>
        <item m="1" x="1149"/>
        <item m="1" x="1152"/>
        <item m="1" x="1410"/>
        <item x="88"/>
        <item m="1" x="984"/>
        <item x="157"/>
        <item x="174"/>
        <item m="1" x="1363"/>
        <item m="1" x="719"/>
        <item m="1" x="575"/>
        <item x="194"/>
        <item x="434"/>
        <item x="114"/>
        <item x="98"/>
        <item x="163"/>
        <item m="1" x="590"/>
        <item m="1" x="567"/>
        <item x="147"/>
        <item m="1" x="572"/>
        <item m="1" x="574"/>
        <item m="1" x="576"/>
        <item m="1" x="545"/>
        <item m="1" x="550"/>
        <item m="1" x="569"/>
        <item m="1" x="793"/>
        <item m="1" x="565"/>
        <item m="1" x="568"/>
        <item x="221"/>
        <item m="1" x="1268"/>
        <item m="1" x="1200"/>
        <item m="1" x="1099"/>
        <item m="1" x="943"/>
        <item m="1" x="950"/>
        <item x="284"/>
        <item m="1" x="1101"/>
        <item x="411"/>
        <item m="1" x="877"/>
        <item x="185"/>
        <item x="276"/>
        <item x="398"/>
        <item m="1" x="566"/>
        <item x="241"/>
        <item m="1" x="955"/>
        <item m="1" x="725"/>
        <item x="141"/>
        <item x="242"/>
        <item x="198"/>
        <item m="1" x="726"/>
        <item m="1" x="838"/>
        <item x="263"/>
        <item x="150"/>
        <item m="1" x="1093"/>
        <item m="1" x="1094"/>
        <item m="1" x="1095"/>
        <item m="1" x="1096"/>
        <item x="85"/>
        <item x="222"/>
        <item x="170"/>
        <item x="152"/>
        <item x="97"/>
        <item m="1" x="1369"/>
        <item m="1" x="1421"/>
        <item x="228"/>
        <item m="1" x="1097"/>
        <item m="1" x="1098"/>
        <item x="89"/>
        <item m="1" x="559"/>
        <item m="1" x="558"/>
        <item x="261"/>
        <item x="184"/>
        <item x="294"/>
        <item x="267"/>
        <item m="1" x="1100"/>
        <item m="1" x="818"/>
        <item m="1" x="840"/>
        <item x="295"/>
        <item x="183"/>
        <item x="110"/>
        <item m="1" x="964"/>
        <item m="1" x="561"/>
        <item x="401"/>
        <item m="1" x="592"/>
        <item x="394"/>
        <item m="1" x="1155"/>
        <item m="1" x="1140"/>
        <item m="1" x="1139"/>
        <item m="1" x="1285"/>
        <item m="1" x="1286"/>
        <item m="1" x="1138"/>
        <item m="1" x="1221"/>
        <item m="1" x="1391"/>
        <item m="1" x="1224"/>
        <item m="1" x="1390"/>
        <item m="1" x="1225"/>
        <item m="1" x="1287"/>
        <item m="1" x="1288"/>
        <item m="1" x="1289"/>
        <item m="1" x="1018"/>
        <item m="1" x="1290"/>
        <item m="1" x="1291"/>
        <item m="1" x="1021"/>
        <item m="1" x="1022"/>
        <item m="1" x="1023"/>
        <item m="1" x="1233"/>
        <item m="1" x="1292"/>
        <item m="1" x="1293"/>
        <item m="1" x="1236"/>
        <item m="1" x="1294"/>
        <item m="1" x="1030"/>
        <item m="1" x="1031"/>
        <item m="1" x="1032"/>
        <item m="1" x="1238"/>
        <item m="1" x="1295"/>
        <item m="1" x="966"/>
        <item m="1" x="1240"/>
        <item m="1" x="1241"/>
        <item m="1" x="1330"/>
        <item m="1" x="969"/>
        <item m="1" x="1242"/>
        <item m="1" x="1337"/>
        <item m="1" x="1038"/>
        <item m="1" x="1039"/>
        <item m="1" x="916"/>
        <item x="281"/>
        <item m="1" x="770"/>
        <item x="292"/>
        <item m="1" x="908"/>
        <item x="301"/>
        <item x="264"/>
        <item x="323"/>
        <item m="1" x="581"/>
        <item x="285"/>
        <item x="312"/>
        <item x="316"/>
        <item x="455"/>
        <item m="1" x="1102"/>
        <item m="1" x="1103"/>
        <item m="1" x="991"/>
        <item m="1" x="1104"/>
        <item x="410"/>
        <item x="309"/>
        <item x="282"/>
        <item x="19"/>
        <item x="6"/>
        <item x="38"/>
        <item x="92"/>
        <item x="1"/>
        <item x="120"/>
        <item x="153"/>
        <item m="1" x="530"/>
        <item x="129"/>
        <item x="12"/>
        <item x="7"/>
        <item m="1" x="1105"/>
        <item x="142"/>
        <item x="155"/>
        <item x="34"/>
        <item x="8"/>
        <item m="1" x="1106"/>
        <item x="29"/>
        <item x="80"/>
        <item x="69"/>
        <item x="131"/>
        <item m="1" x="773"/>
        <item x="9"/>
        <item m="1" x="1243"/>
        <item x="167"/>
        <item x="105"/>
        <item x="224"/>
        <item x="108"/>
        <item m="1" x="1134"/>
        <item x="355"/>
        <item m="1" x="1307"/>
        <item m="1" x="957"/>
        <item x="349"/>
        <item x="432"/>
        <item m="1" x="913"/>
        <item m="1" x="914"/>
        <item x="181"/>
        <item x="226"/>
        <item x="17"/>
        <item x="52"/>
        <item x="172"/>
        <item x="123"/>
        <item x="25"/>
        <item m="1" x="1426"/>
        <item m="1" x="1427"/>
        <item m="1" x="1120"/>
        <item x="187"/>
        <item x="37"/>
        <item m="1" x="907"/>
        <item x="193"/>
        <item x="78"/>
        <item x="169"/>
        <item m="1" x="537"/>
        <item x="53"/>
        <item x="24"/>
        <item x="122"/>
        <item x="43"/>
        <item m="1" x="1333"/>
        <item m="1" x="1046"/>
        <item m="1" x="1107"/>
        <item x="4"/>
        <item x="238"/>
        <item x="229"/>
        <item m="1" x="1108"/>
        <item m="1" x="542"/>
        <item m="1" x="706"/>
        <item x="66"/>
        <item x="51"/>
        <item x="81"/>
        <item m="1" x="1267"/>
        <item m="1" x="1334"/>
        <item x="515"/>
        <item m="1" x="541"/>
        <item m="1" x="867"/>
        <item m="1" x="1109"/>
        <item x="22"/>
        <item m="1" x="1412"/>
        <item x="76"/>
        <item x="154"/>
        <item m="1" x="1111"/>
        <item m="1" x="1047"/>
        <item m="1" x="1112"/>
        <item m="1" x="707"/>
        <item m="1" x="526"/>
        <item m="1" x="857"/>
        <item m="1" x="1115"/>
        <item m="1" x="1048"/>
        <item m="1" x="890"/>
        <item m="1" x="708"/>
        <item m="1" x="1117"/>
        <item m="1" x="822"/>
        <item m="1" x="1118"/>
        <item m="1" x="1244"/>
        <item m="1" x="533"/>
        <item x="15"/>
        <item m="1" x="1119"/>
        <item x="82"/>
        <item m="1" x="1245"/>
        <item x="121"/>
        <item m="1" x="578"/>
        <item m="1" x="1131"/>
        <item m="1" x="1430"/>
        <item m="1" x="1049"/>
        <item x="231"/>
        <item m="1" x="563"/>
        <item m="1" x="1349"/>
        <item m="1" x="1350"/>
        <item m="1" x="807"/>
        <item x="233"/>
        <item m="1" x="1338"/>
        <item m="1" x="1351"/>
        <item m="1" x="1147"/>
        <item m="1" x="1148"/>
        <item m="1" x="1352"/>
        <item x="353"/>
        <item m="1" x="810"/>
        <item m="1" x="1431"/>
        <item m="1" x="1151"/>
        <item m="1" x="1246"/>
        <item m="1" x="1359"/>
        <item x="186"/>
        <item x="211"/>
        <item m="1" x="782"/>
        <item x="195"/>
        <item x="383"/>
        <item m="1" x="582"/>
        <item x="177"/>
        <item m="1" x="868"/>
        <item m="1" x="1130"/>
        <item x="180"/>
        <item m="1" x="697"/>
        <item x="254"/>
        <item m="1" x="1310"/>
        <item m="1" x="1137"/>
        <item m="1" x="1308"/>
        <item m="1" x="1336"/>
        <item x="209"/>
        <item x="268"/>
        <item m="1" x="1309"/>
        <item m="1" x="1209"/>
        <item m="1" x="1128"/>
        <item x="27"/>
        <item x="70"/>
        <item m="1" x="1428"/>
        <item m="1" x="1247"/>
        <item x="59"/>
        <item x="86"/>
        <item x="191"/>
        <item x="45"/>
        <item x="67"/>
        <item x="190"/>
        <item x="146"/>
        <item m="1" x="552"/>
        <item x="87"/>
        <item x="207"/>
        <item x="160"/>
        <item x="240"/>
        <item x="208"/>
        <item x="218"/>
        <item x="166"/>
        <item x="95"/>
        <item x="421"/>
        <item x="279"/>
        <item m="1" x="1121"/>
        <item m="1" x="1122"/>
        <item m="1" x="1123"/>
        <item m="1" x="1248"/>
        <item x="149"/>
        <item x="18"/>
        <item x="132"/>
        <item x="179"/>
        <item m="1" x="1207"/>
        <item m="1" x="785"/>
        <item m="1" x="967"/>
        <item m="1" x="786"/>
        <item m="1" x="800"/>
        <item m="1" x="1208"/>
        <item m="1" x="1124"/>
        <item m="1" x="1125"/>
        <item m="1" x="564"/>
        <item m="1" x="1266"/>
        <item m="1" x="573"/>
        <item m="1" x="547"/>
        <item m="1" x="1126"/>
        <item x="135"/>
        <item x="60"/>
        <item x="277"/>
        <item x="206"/>
        <item x="165"/>
        <item m="1" x="1127"/>
        <item x="176"/>
        <item m="1" x="1185"/>
        <item m="1" x="893"/>
        <item m="1" x="894"/>
        <item x="509"/>
        <item m="1" x="1133"/>
        <item m="1" x="630"/>
        <item m="1" x="1211"/>
        <item x="162"/>
        <item x="245"/>
        <item m="1" x="1154"/>
        <item m="1" x="1150"/>
        <item m="1" x="1142"/>
        <item m="1" x="1141"/>
        <item m="1" x="898"/>
        <item m="1" x="948"/>
        <item m="1" x="946"/>
        <item x="393"/>
        <item m="1" x="1422"/>
        <item m="1" x="612"/>
        <item m="1" x="1432"/>
        <item x="352"/>
        <item m="1" x="1433"/>
        <item m="1" x="652"/>
        <item x="429"/>
        <item x="302"/>
        <item m="1" x="1434"/>
        <item m="1" x="1055"/>
        <item m="1" x="1217"/>
        <item m="1" x="1218"/>
        <item m="1" x="1219"/>
        <item m="1" x="1220"/>
        <item m="1" x="1222"/>
        <item m="1" x="1223"/>
        <item m="1" x="1226"/>
        <item m="1" x="1227"/>
        <item m="1" x="1228"/>
        <item m="1" x="1229"/>
        <item m="1" x="1230"/>
        <item m="1" x="1231"/>
        <item m="1" x="1232"/>
        <item m="1" x="1234"/>
        <item m="1" x="1235"/>
        <item m="1" x="1237"/>
        <item m="1" x="1239"/>
        <item m="1" x="1274"/>
        <item m="1" x="1275"/>
        <item m="1" x="1252"/>
        <item m="1" x="1253"/>
        <item m="1" x="1254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360"/>
        <item m="1" x="1405"/>
        <item x="42"/>
        <item m="1" x="1378"/>
        <item m="1" x="1377"/>
        <item m="1" x="1389"/>
        <item m="1" x="1375"/>
        <item m="1" x="1379"/>
        <item m="1" x="1387"/>
        <item m="1" x="1385"/>
        <item m="1" x="1383"/>
        <item m="1" x="1381"/>
        <item m="1" x="1382"/>
        <item m="1" x="1384"/>
        <item m="1" x="1380"/>
        <item m="1" x="1388"/>
        <item m="1" x="1374"/>
        <item m="1" x="1373"/>
        <item m="1" x="1376"/>
        <item m="1" x="1386"/>
        <item x="510"/>
        <item x="244"/>
        <item m="1" x="1411"/>
        <item m="1" x="1331"/>
        <item m="1" x="1365"/>
        <item m="1" x="1113"/>
        <item m="1" x="692"/>
        <item m="1" x="1271"/>
        <item x="272"/>
        <item x="308"/>
        <item x="484"/>
        <item x="271"/>
        <item m="1" x="1328"/>
        <item m="1" x="1409"/>
        <item x="313"/>
        <item x="173"/>
        <item m="1" x="1366"/>
        <item m="1" x="1367"/>
        <item m="1" x="1368"/>
        <item m="1" x="997"/>
        <item x="151"/>
        <item x="84"/>
        <item x="124"/>
        <item m="1" x="674"/>
        <item m="1" x="740"/>
        <item x="430"/>
        <item m="1" x="1370"/>
        <item m="1" x="1332"/>
        <item x="197"/>
        <item x="255"/>
        <item x="269"/>
        <item x="407"/>
        <item m="1" x="911"/>
        <item x="304"/>
        <item m="1" x="915"/>
        <item m="1" x="797"/>
        <item x="21"/>
        <item m="1" x="1297"/>
        <item x="103"/>
        <item m="1" x="1206"/>
        <item m="1" x="1362"/>
        <item m="1" x="1407"/>
        <item m="1" x="912"/>
        <item m="1" x="548"/>
        <item m="1" x="556"/>
        <item m="1" x="571"/>
        <item x="71"/>
        <item x="127"/>
        <item x="96"/>
        <item x="225"/>
        <item m="1" x="648"/>
        <item m="1" x="1272"/>
        <item m="1" x="1009"/>
        <item m="1" x="1010"/>
        <item m="1" x="1270"/>
        <item m="1" x="1269"/>
        <item m="1" x="1263"/>
        <item m="1" x="1392"/>
        <item m="1" x="1255"/>
        <item m="1" x="1393"/>
        <item m="1" x="1256"/>
        <item m="1" x="1394"/>
        <item m="1" x="1250"/>
        <item m="1" x="1395"/>
        <item m="1" x="1259"/>
        <item m="1" x="1396"/>
        <item m="1" x="1260"/>
        <item m="1" x="1397"/>
        <item m="1" x="1262"/>
        <item m="1" x="1398"/>
        <item m="1" x="1258"/>
        <item m="1" x="1399"/>
        <item m="1" x="1251"/>
        <item m="1" x="1400"/>
        <item m="1" x="1261"/>
        <item m="1" x="1401"/>
        <item m="1" x="1257"/>
        <item m="1" x="1402"/>
        <item m="1" x="1403"/>
        <item m="1" x="1404"/>
        <item m="1" x="982"/>
        <item m="1" x="1177"/>
        <item m="1" x="1329"/>
        <item m="1" x="1413"/>
        <item m="1" x="1302"/>
        <item m="1" x="1425"/>
        <item m="1" x="1144"/>
        <item m="1" x="1145"/>
        <item m="1" x="701"/>
        <item m="1" x="1146"/>
        <item m="1" x="1304"/>
        <item x="439"/>
        <item x="409"/>
        <item m="1" x="1415"/>
        <item x="265"/>
        <item m="1" x="1156"/>
        <item m="1" x="1158"/>
        <item m="1" x="1159"/>
        <item m="1" x="1160"/>
        <item m="1" x="1161"/>
        <item x="403"/>
        <item x="373"/>
        <item m="1" x="1162"/>
        <item m="1" x="1163"/>
        <item m="1" x="1164"/>
        <item m="1" x="1165"/>
        <item m="1" x="1166"/>
        <item m="1" x="1167"/>
        <item m="1" x="1168"/>
        <item m="1" x="1169"/>
        <item m="1" x="1408"/>
        <item m="1" x="1416"/>
        <item m="1" x="1417"/>
        <item m="1" x="1418"/>
        <item m="1" x="1419"/>
        <item m="1" x="1171"/>
        <item x="319"/>
        <item m="1" x="1305"/>
        <item m="1" x="1301"/>
        <item m="1" x="1172"/>
        <item x="413"/>
        <item m="1" x="1306"/>
        <item m="1" x="1423"/>
        <item m="1" x="1424"/>
        <item m="1" x="1173"/>
        <item m="1" x="1174"/>
        <item m="1" x="846"/>
        <item m="1" x="1300"/>
        <item m="1" x="1175"/>
        <item m="1" x="1176"/>
        <item m="1" x="593"/>
        <item m="1" x="1033"/>
        <item x="442"/>
        <item x="414"/>
        <item x="415"/>
        <item x="443"/>
        <item m="1" x="1020"/>
        <item m="1" x="1406"/>
        <item m="1" x="750"/>
        <item m="1" x="721"/>
        <item m="1" x="723"/>
        <item m="1" x="738"/>
        <item x="250"/>
        <item x="203"/>
        <item m="1" x="604"/>
        <item x="243"/>
        <item x="227"/>
        <item m="1" x="1312"/>
        <item m="1" x="942"/>
        <item x="253"/>
        <item x="65"/>
        <item x="16"/>
        <item x="77"/>
        <item m="1" x="823"/>
        <item m="1" x="1210"/>
        <item x="210"/>
        <item x="204"/>
        <item x="293"/>
        <item x="350"/>
        <item m="1" x="1429"/>
        <item x="406"/>
        <item m="1" x="1212"/>
        <item m="1" x="1213"/>
        <item x="40"/>
        <item x="424"/>
        <item m="1" x="1358"/>
        <item m="1" x="1414"/>
        <item m="1" x="1371"/>
        <item m="1" x="816"/>
        <item m="1" x="1249"/>
        <item m="1" x="1420"/>
        <item m="1" x="1153"/>
        <item m="1" x="776"/>
        <item m="1" x="980"/>
        <item m="1" x="814"/>
        <item m="1" x="1000"/>
        <item x="501"/>
        <item m="1" x="1315"/>
        <item m="1" x="1323"/>
        <item m="1" x="1324"/>
        <item m="1" x="1325"/>
        <item m="1" x="1316"/>
        <item m="1" x="1317"/>
        <item m="1" x="1326"/>
        <item m="1" x="1318"/>
        <item m="1" x="1319"/>
        <item m="1" x="1320"/>
        <item m="1" x="1321"/>
        <item m="1" x="1327"/>
        <item m="1" x="1322"/>
        <item m="1" x="1361"/>
        <item x="188"/>
        <item x="262"/>
        <item m="1" x="829"/>
        <item m="1" x="886"/>
        <item m="1" x="1083"/>
        <item m="1" x="906"/>
        <item m="1" x="900"/>
        <item m="1" x="520"/>
        <item m="1" x="519"/>
        <item m="1" x="758"/>
        <item m="1" x="965"/>
        <item x="189"/>
        <item m="1" x="985"/>
        <item m="1" x="947"/>
        <item m="1" x="902"/>
        <item m="1" x="974"/>
        <item m="1" x="976"/>
        <item m="1" x="978"/>
        <item m="1" x="963"/>
        <item m="1" x="1348"/>
        <item x="259"/>
        <item m="1" x="1335"/>
        <item m="1" x="1314"/>
        <item m="1" x="1372"/>
        <item m="1" x="1264"/>
        <item m="1" x="577"/>
        <item m="1" x="1353"/>
        <item m="1" x="1354"/>
        <item m="1" x="1181"/>
        <item m="1" x="1355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296"/>
        <item m="1" x="594"/>
        <item x="386"/>
        <item x="296"/>
        <item x="235"/>
        <item m="1" x="1357"/>
        <item x="99"/>
        <item x="143"/>
        <item x="136"/>
        <item x="214"/>
        <item x="74"/>
        <item m="1" x="1364"/>
        <item x="49"/>
        <item m="1" x="1136"/>
        <item m="1" x="1265"/>
        <item m="1" x="1012"/>
        <item m="1" x="1014"/>
        <item m="1" x="1303"/>
        <item x="405"/>
        <item x="364"/>
        <item x="385"/>
        <item m="1" x="1028"/>
        <item m="1" x="1132"/>
        <item m="1" x="606"/>
        <item x="327"/>
        <item m="1" x="1024"/>
        <item m="1" x="1025"/>
        <item m="1" x="1026"/>
        <item m="1" x="1184"/>
        <item m="1" x="903"/>
        <item m="1" x="905"/>
        <item m="1" x="1077"/>
        <item m="1" x="1186"/>
        <item m="1" x="901"/>
        <item m="1" x="954"/>
        <item m="1" x="949"/>
        <item m="1" x="1074"/>
        <item m="1" x="1273"/>
        <item m="1" x="1299"/>
        <item m="1" x="1193"/>
        <item m="1" x="664"/>
        <item x="426"/>
        <item x="41"/>
        <item m="1" x="910"/>
        <item x="112"/>
        <item m="1" x="682"/>
        <item x="257"/>
        <item m="1" x="644"/>
        <item x="453"/>
        <item x="256"/>
        <item x="452"/>
        <item m="1" x="772"/>
        <item x="178"/>
        <item x="36"/>
        <item m="1" x="919"/>
        <item x="11"/>
        <item m="1" x="817"/>
        <item m="1" x="536"/>
        <item m="1" x="705"/>
        <item x="35"/>
        <item x="138"/>
        <item m="1" x="1214"/>
        <item x="79"/>
        <item x="28"/>
        <item x="33"/>
        <item x="260"/>
        <item m="1" x="1311"/>
        <item m="1" x="659"/>
        <item x="232"/>
        <item x="161"/>
        <item m="1" x="918"/>
        <item x="10"/>
        <item x="283"/>
        <item x="381"/>
        <item x="26"/>
        <item x="140"/>
        <item m="1" x="529"/>
        <item m="1" x="522"/>
        <item m="1" x="583"/>
        <item m="1" x="672"/>
        <item x="503"/>
        <item x="499"/>
        <item x="504"/>
        <item x="508"/>
        <item x="481"/>
        <item x="389"/>
        <item x="246"/>
        <item x="220"/>
        <item x="115"/>
        <item x="422"/>
        <item m="1" x="752"/>
        <item m="1" x="553"/>
        <item m="1" x="615"/>
        <item m="1" x="1089"/>
        <item m="1" x="621"/>
        <item x="58"/>
        <item m="1" x="1088"/>
        <item x="117"/>
        <item m="1" x="584"/>
        <item m="1" x="540"/>
        <item m="1" x="610"/>
        <item m="1" x="554"/>
        <item x="156"/>
        <item x="436"/>
        <item m="1" x="1201"/>
        <item x="202"/>
        <item x="412"/>
        <item x="164"/>
        <item x="299"/>
        <item x="196"/>
        <item x="230"/>
        <item m="1" x="769"/>
        <item m="1" x="1204"/>
        <item m="1" x="959"/>
        <item m="1" x="917"/>
        <item m="1" x="1313"/>
        <item m="1" x="605"/>
        <item m="1" x="767"/>
        <item m="1" x="792"/>
        <item x="111"/>
        <item m="1" x="1180"/>
        <item m="1" x="1041"/>
        <item x="144"/>
        <item m="1" x="1179"/>
        <item m="1" x="539"/>
        <item m="1" x="1027"/>
        <item m="1" x="1135"/>
        <item m="1" x="1056"/>
        <item m="1" x="1079"/>
        <item m="1" x="1084"/>
        <item x="382"/>
        <item x="486"/>
        <item x="158"/>
        <item m="1" x="741"/>
        <item m="1" x="1110"/>
        <item m="1" x="1298"/>
        <item m="1" x="1085"/>
        <item m="1" x="1086"/>
        <item m="1" x="904"/>
        <item m="1" x="716"/>
        <item m="1" x="1034"/>
        <item m="1" x="1015"/>
        <item m="1" x="1091"/>
        <item m="1" x="1081"/>
        <item m="1" x="951"/>
        <item m="1" x="899"/>
        <item m="1" x="882"/>
        <item m="1" x="1007"/>
        <item m="1" x="884"/>
        <item m="1" x="1008"/>
        <item m="1" x="885"/>
        <item m="1" x="1019"/>
        <item m="1" x="998"/>
        <item m="1" x="1001"/>
        <item m="1" x="878"/>
        <item m="1" x="535"/>
        <item m="1" x="973"/>
        <item m="1" x="1114"/>
        <item m="1" x="1116"/>
        <item m="1" x="1045"/>
        <item x="104"/>
        <item x="217"/>
        <item x="128"/>
        <item m="1" x="580"/>
        <item m="1" x="627"/>
        <item m="1" x="999"/>
        <item m="1" x="1068"/>
        <item m="1" x="602"/>
        <item x="507"/>
        <item m="1" x="557"/>
        <item m="1" x="1040"/>
        <item m="1" x="1051"/>
        <item m="1" x="1052"/>
        <item x="278"/>
        <item m="1" x="1053"/>
        <item m="1" x="1054"/>
        <item m="1" x="639"/>
        <item m="1" x="1002"/>
        <item m="1" x="1157"/>
        <item m="1" x="1170"/>
        <item m="1" x="636"/>
        <item m="1" x="611"/>
        <item m="1" x="608"/>
        <item m="1" x="1178"/>
        <item x="456"/>
        <item x="444"/>
        <item x="464"/>
        <item x="351"/>
        <item x="305"/>
        <item x="290"/>
        <item x="273"/>
        <item x="291"/>
        <item m="1" x="693"/>
        <item x="420"/>
        <item m="1" x="595"/>
        <item x="270"/>
        <item m="1" x="589"/>
        <item m="1" x="1182"/>
        <item m="1" x="1183"/>
        <item m="1" x="734"/>
        <item m="1" x="1057"/>
        <item m="1" x="597"/>
        <item m="1" x="952"/>
        <item m="1" x="1187"/>
        <item m="1" x="618"/>
        <item m="1" x="1058"/>
        <item m="1" x="1188"/>
        <item m="1" x="1189"/>
        <item m="1" x="1190"/>
        <item m="1" x="1191"/>
        <item m="1" x="1192"/>
        <item m="1" x="1194"/>
        <item m="1" x="1059"/>
        <item m="1" x="1060"/>
        <item x="315"/>
        <item m="1" x="813"/>
        <item m="1" x="1195"/>
        <item m="1" x="598"/>
        <item m="1" x="624"/>
        <item m="1" x="653"/>
        <item x="289"/>
        <item m="1" x="1003"/>
        <item m="1" x="1196"/>
        <item m="1" x="1006"/>
        <item m="1" x="1061"/>
        <item m="1" x="1197"/>
        <item m="1" x="1198"/>
        <item m="1" x="1004"/>
        <item x="287"/>
        <item x="342"/>
        <item m="1" x="1199"/>
        <item m="1" x="1016"/>
        <item m="1" x="887"/>
        <item m="1" x="883"/>
        <item m="1" x="1011"/>
        <item m="1" x="881"/>
        <item m="1" x="1087"/>
        <item m="1" x="1202"/>
        <item m="1" x="1203"/>
        <item m="1" x="1205"/>
        <item m="1" x="524"/>
        <item x="75"/>
        <item x="145"/>
        <item x="44"/>
        <item x="212"/>
        <item x="109"/>
        <item m="1" x="993"/>
        <item m="1" x="992"/>
        <item x="249"/>
        <item x="223"/>
        <item x="106"/>
        <item x="396"/>
        <item m="1" x="994"/>
        <item m="1" x="794"/>
        <item x="101"/>
        <item x="171"/>
        <item x="199"/>
        <item x="392"/>
        <item x="200"/>
        <item x="380"/>
        <item x="440"/>
        <item m="1" x="774"/>
        <item m="1" x="613"/>
        <item x="428"/>
        <item m="1" x="633"/>
        <item x="314"/>
        <item x="463"/>
        <item m="1" x="1215"/>
        <item m="1" x="1216"/>
        <item m="1" x="958"/>
        <item m="1" x="956"/>
        <item m="1" x="972"/>
        <item m="1" x="871"/>
        <item m="1" x="872"/>
        <item x="31"/>
        <item x="47"/>
        <item x="30"/>
        <item m="1" x="873"/>
        <item m="1" x="815"/>
        <item m="1" x="667"/>
        <item m="1" x="874"/>
        <item m="1" x="875"/>
        <item m="1" x="975"/>
        <item m="1" x="971"/>
        <item m="1" x="839"/>
        <item m="1" x="876"/>
        <item m="1" x="742"/>
        <item m="1" x="743"/>
        <item m="1" x="831"/>
        <item m="1" x="990"/>
        <item x="83"/>
        <item x="133"/>
        <item m="1" x="941"/>
        <item m="1" x="983"/>
        <item m="1" x="995"/>
        <item m="1" x="717"/>
        <item m="1" x="981"/>
        <item x="275"/>
        <item m="1" x="768"/>
        <item x="0"/>
        <item x="48"/>
        <item m="1" x="945"/>
        <item m="1" x="996"/>
        <item m="1" x="739"/>
        <item m="1" x="720"/>
        <item m="1" x="746"/>
        <item x="61"/>
        <item x="62"/>
        <item m="1" x="749"/>
        <item x="116"/>
        <item x="322"/>
        <item m="1" x="727"/>
        <item x="438"/>
        <item x="457"/>
        <item x="374"/>
        <item x="325"/>
        <item m="1" x="799"/>
        <item m="1" x="747"/>
        <item m="1" x="637"/>
        <item m="1" x="879"/>
        <item x="328"/>
        <item m="1" x="880"/>
        <item m="1" x="1005"/>
        <item m="1" x="936"/>
        <item x="175"/>
        <item x="427"/>
        <item m="1" x="622"/>
        <item x="459"/>
        <item x="462"/>
        <item m="1" x="654"/>
        <item m="1" x="703"/>
        <item m="1" x="704"/>
        <item m="1" x="811"/>
        <item m="1" x="1013"/>
        <item m="1" x="1017"/>
        <item m="1" x="1029"/>
        <item m="1" x="1035"/>
        <item m="1" x="1036"/>
        <item m="1" x="1037"/>
        <item x="201"/>
        <item x="251"/>
        <item m="1" x="753"/>
        <item x="213"/>
        <item m="1" x="676"/>
        <item x="274"/>
        <item m="1" x="820"/>
        <item m="1" x="677"/>
        <item x="320"/>
        <item x="215"/>
        <item x="435"/>
        <item x="450"/>
        <item m="1" x="821"/>
        <item x="451"/>
        <item x="216"/>
        <item m="1" x="678"/>
        <item m="1" x="771"/>
        <item x="50"/>
        <item x="14"/>
        <item x="39"/>
        <item x="32"/>
        <item x="130"/>
        <item x="2"/>
        <item m="1" x="681"/>
        <item x="20"/>
        <item m="1" x="729"/>
        <item x="252"/>
        <item x="55"/>
        <item x="248"/>
        <item x="126"/>
        <item m="1" x="745"/>
        <item x="72"/>
        <item x="205"/>
        <item x="182"/>
        <item m="1" x="927"/>
        <item x="118"/>
        <item x="237"/>
        <item x="234"/>
        <item x="311"/>
        <item x="318"/>
        <item x="387"/>
        <item x="298"/>
        <item x="397"/>
        <item x="236"/>
        <item m="1" x="944"/>
        <item x="286"/>
        <item x="297"/>
        <item x="303"/>
        <item m="1" x="666"/>
        <item x="400"/>
        <item x="402"/>
        <item m="1" x="1042"/>
        <item m="1" x="1043"/>
        <item m="1" x="534"/>
        <item x="513"/>
        <item m="1" x="888"/>
        <item m="1" x="732"/>
        <item x="159"/>
        <item x="139"/>
        <item x="64"/>
        <item m="1" x="805"/>
        <item m="1" x="665"/>
        <item x="506"/>
        <item x="375"/>
        <item m="1" x="977"/>
        <item m="1" x="795"/>
        <item m="1" x="865"/>
        <item m="1" x="828"/>
        <item m="1" x="988"/>
        <item m="1" x="889"/>
        <item m="1" x="1044"/>
        <item m="1" x="866"/>
        <item m="1" x="777"/>
        <item x="321"/>
        <item m="1" x="733"/>
        <item m="1" x="953"/>
        <item x="458"/>
        <item m="1" x="756"/>
        <item x="306"/>
        <item x="460"/>
        <item x="91"/>
        <item m="1" x="832"/>
        <item x="448"/>
        <item m="1" x="987"/>
        <item x="476"/>
        <item x="514"/>
        <item x="90"/>
        <item m="1" x="710"/>
        <item x="107"/>
        <item m="1" x="1050"/>
        <item m="1" x="779"/>
        <item m="1" x="1062"/>
        <item m="1" x="543"/>
        <item m="1" x="538"/>
        <item m="1" x="1063"/>
        <item m="1" x="1064"/>
        <item m="1" x="1065"/>
        <item x="365"/>
        <item m="1" x="1066"/>
        <item m="1" x="891"/>
        <item x="125"/>
        <item x="395"/>
        <item x="331"/>
        <item x="346"/>
        <item x="372"/>
        <item m="1" x="931"/>
        <item m="1" x="1067"/>
        <item m="1" x="833"/>
        <item x="336"/>
        <item x="340"/>
        <item x="495"/>
        <item x="390"/>
        <item x="496"/>
        <item m="1" x="861"/>
        <item m="1" x="933"/>
        <item x="357"/>
        <item x="280"/>
        <item m="1" x="809"/>
        <item m="1" x="640"/>
        <item x="307"/>
        <item x="330"/>
        <item x="399"/>
        <item m="1" x="532"/>
        <item m="1" x="783"/>
        <item x="93"/>
        <item m="1" x="759"/>
        <item m="1" x="546"/>
        <item x="113"/>
        <item x="94"/>
        <item m="1" x="784"/>
        <item x="57"/>
        <item m="1" x="892"/>
        <item m="1" x="1069"/>
        <item m="1" x="895"/>
        <item m="1" x="970"/>
        <item m="1" x="896"/>
        <item m="1" x="1070"/>
        <item m="1" x="1071"/>
        <item m="1" x="650"/>
        <item x="377"/>
        <item m="1" x="830"/>
        <item m="1" x="989"/>
        <item m="1" x="940"/>
        <item m="1" x="1072"/>
        <item m="1" x="1073"/>
        <item m="1" x="897"/>
        <item m="1" x="968"/>
        <item x="494"/>
        <item m="1" x="1075"/>
        <item m="1" x="1076"/>
        <item m="1" x="1078"/>
        <item m="1" x="1080"/>
        <item m="1" x="1082"/>
        <item x="356"/>
        <item m="1" x="528"/>
        <item m="1" x="523"/>
        <item x="5"/>
        <item m="1" x="544"/>
        <item m="1" x="586"/>
        <item m="1" x="560"/>
        <item m="1" x="607"/>
        <item m="1" x="643"/>
        <item m="1" x="623"/>
        <item m="1" x="1090"/>
        <item m="1" x="551"/>
        <item m="1" x="555"/>
        <item m="1" x="570"/>
        <item m="1" x="909"/>
        <item x="102"/>
        <item x="332"/>
        <item m="1" x="585"/>
        <item m="1" x="694"/>
        <item m="1" x="796"/>
        <item x="68"/>
        <item m="1" x="517"/>
        <item m="1" x="960"/>
        <item m="1" x="711"/>
        <item m="1" x="934"/>
        <item m="1" x="939"/>
        <item m="1" x="929"/>
        <item m="1" x="937"/>
        <item m="1" x="979"/>
        <item m="1" x="715"/>
        <item x="46"/>
        <item m="1" x="714"/>
        <item m="1" x="938"/>
        <item x="324"/>
        <item x="119"/>
        <item m="1" x="925"/>
        <item m="1" x="986"/>
        <item m="1" x="724"/>
        <item m="1" x="722"/>
        <item m="1" x="728"/>
        <item m="1" x="660"/>
        <item m="1" x="930"/>
        <item m="1" x="709"/>
        <item x="416"/>
        <item m="1" x="962"/>
        <item x="288"/>
        <item m="1" x="646"/>
        <item x="363"/>
        <item m="1" x="825"/>
        <item x="333"/>
        <item m="1" x="961"/>
        <item x="502"/>
        <item x="473"/>
        <item m="1" x="754"/>
        <item x="329"/>
        <item m="1" x="744"/>
        <item x="3"/>
        <item x="148"/>
        <item x="378"/>
        <item x="408"/>
        <item m="1" x="921"/>
        <item m="1" x="923"/>
        <item x="300"/>
        <item m="1" x="702"/>
        <item x="474"/>
        <item x="445"/>
        <item m="1" x="713"/>
        <item m="1" x="924"/>
        <item m="1" x="819"/>
        <item m="1" x="854"/>
        <item m="1" x="855"/>
        <item m="1" x="679"/>
        <item m="1" x="863"/>
        <item m="1" x="680"/>
        <item m="1" x="926"/>
        <item x="73"/>
        <item m="1" x="864"/>
        <item sd="0" m="1" x="791"/>
        <item m="1" x="826"/>
        <item m="1" x="827"/>
        <item m="1" x="928"/>
        <item x="266"/>
        <item m="1" x="731"/>
        <item m="1" x="687"/>
        <item x="369"/>
        <item x="500"/>
        <item m="1" x="737"/>
        <item x="433"/>
        <item x="491"/>
        <item x="359"/>
        <item x="482"/>
        <item x="487"/>
        <item x="360"/>
        <item m="1" x="935"/>
        <item x="354"/>
        <item x="449"/>
        <item x="498"/>
        <item x="418"/>
        <item m="1" x="862"/>
        <item x="490"/>
        <item m="1" x="920"/>
        <item m="1" x="922"/>
        <item m="1" x="932"/>
        <item x="326"/>
        <item x="341"/>
        <item m="1" x="870"/>
        <item x="358"/>
        <item m="1" x="641"/>
        <item x="478"/>
        <item x="497"/>
        <item m="1" x="642"/>
        <item x="480"/>
        <item m="1" x="730"/>
        <item m="1" x="631"/>
        <item m="1" x="841"/>
        <item x="461"/>
        <item x="361"/>
        <item m="1" x="685"/>
        <item m="1" x="869"/>
        <item m="1" x="824"/>
        <item m="1" x="860"/>
        <item m="1" x="844"/>
        <item m="1" x="836"/>
        <item m="1" x="834"/>
        <item m="1" x="848"/>
        <item x="317"/>
        <item m="1" x="850"/>
        <item m="1" x="851"/>
        <item m="1" x="852"/>
        <item m="1" x="853"/>
        <item m="1" x="518"/>
        <item m="1" x="858"/>
        <item m="1" x="835"/>
        <item m="1" x="837"/>
        <item m="1" x="849"/>
        <item m="1" x="856"/>
        <item m="1" x="859"/>
        <item m="1" x="751"/>
        <item m="1" x="748"/>
        <item x="63"/>
        <item m="1" x="812"/>
        <item m="1" x="755"/>
        <item x="337"/>
        <item x="471"/>
        <item x="367"/>
        <item m="1" x="695"/>
        <item x="362"/>
        <item x="335"/>
        <item m="1" x="696"/>
        <item m="1" x="735"/>
        <item x="493"/>
        <item m="1" x="842"/>
        <item m="1" x="843"/>
        <item m="1" x="845"/>
        <item m="1" x="847"/>
        <item m="1" x="661"/>
        <item x="467"/>
        <item x="391"/>
        <item m="1" x="736"/>
        <item x="338"/>
        <item m="1" x="712"/>
        <item m="1" x="757"/>
        <item x="219"/>
        <item x="516"/>
        <item m="1" x="651"/>
        <item m="1" x="808"/>
        <item x="485"/>
        <item x="488"/>
        <item x="511"/>
        <item m="1" x="760"/>
        <item m="1" x="668"/>
        <item m="1" x="761"/>
        <item m="1" x="669"/>
        <item m="1" x="762"/>
        <item m="1" x="763"/>
        <item m="1" x="764"/>
        <item m="1" x="765"/>
        <item m="1" x="766"/>
        <item m="1" x="802"/>
        <item m="1" x="675"/>
        <item m="1" x="683"/>
        <item m="1" x="684"/>
        <item m="1" x="686"/>
        <item m="1" x="775"/>
        <item m="1" x="688"/>
        <item m="1" x="689"/>
        <item m="1" x="690"/>
        <item m="1" x="778"/>
        <item m="1" x="691"/>
        <item x="345"/>
        <item m="1" x="787"/>
        <item m="1" x="788"/>
        <item m="1" x="790"/>
        <item x="472"/>
        <item x="454"/>
        <item x="168"/>
        <item x="192"/>
        <item x="371"/>
        <item m="1" x="803"/>
        <item x="423"/>
        <item x="475"/>
        <item m="1" x="698"/>
        <item x="404"/>
        <item x="370"/>
        <item x="489"/>
        <item m="1" x="801"/>
        <item m="1" x="673"/>
        <item m="1" x="804"/>
        <item x="366"/>
        <item m="1" x="780"/>
        <item m="1" x="781"/>
        <item m="1" x="806"/>
        <item x="505"/>
        <item m="1" x="789"/>
        <item x="137"/>
        <item x="483"/>
        <item m="1" x="671"/>
        <item x="417"/>
        <item x="239"/>
        <item x="384"/>
        <item x="376"/>
        <item x="419"/>
        <item x="468"/>
        <item x="466"/>
        <item m="1" x="718"/>
        <item m="1" x="596"/>
        <item x="347"/>
        <item m="1" x="670"/>
        <item x="23"/>
        <item m="1" x="649"/>
        <item m="1" x="609"/>
        <item m="1" x="656"/>
        <item m="1" x="616"/>
        <item m="1" x="657"/>
        <item m="1" x="658"/>
        <item x="431"/>
        <item m="1" x="619"/>
        <item x="258"/>
        <item m="1" x="662"/>
        <item m="1" x="663"/>
        <item m="1" x="634"/>
        <item m="1" x="617"/>
        <item x="388"/>
        <item x="447"/>
        <item x="470"/>
        <item x="446"/>
        <item m="1" x="699"/>
        <item m="1" x="700"/>
        <item x="492"/>
        <item x="469"/>
        <item x="343"/>
        <item x="437"/>
        <item x="56"/>
        <item x="13"/>
        <item x="425"/>
        <item x="368"/>
        <item x="339"/>
        <item x="334"/>
        <item x="344"/>
        <item x="348"/>
        <item x="465"/>
        <item x="479"/>
        <item m="1" x="655"/>
        <item m="1" x="521"/>
        <item x="441"/>
        <item x="477"/>
        <item m="1" x="531"/>
        <item m="1" x="527"/>
        <item m="1" x="525"/>
        <item m="1" x="549"/>
        <item m="1" x="588"/>
        <item m="1" x="562"/>
        <item m="1" x="591"/>
        <item m="1" x="614"/>
        <item m="1" x="620"/>
        <item m="1" x="638"/>
        <item m="1" x="632"/>
        <item m="1" x="635"/>
        <item m="1" x="600"/>
        <item m="1" x="579"/>
        <item m="1" x="587"/>
        <item m="1" x="626"/>
        <item m="1" x="599"/>
        <item m="1" x="603"/>
        <item m="1" x="645"/>
        <item m="1" x="601"/>
        <item m="1" x="628"/>
        <item m="1" x="625"/>
        <item m="1" x="647"/>
        <item m="1" x="629"/>
        <item x="512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Row" compact="0" outline="0" showAll="0" sortType="ascending" defaultSubtotal="0">
      <items count="1529">
        <item m="1" x="648"/>
        <item m="1" x="608"/>
        <item m="1" x="615"/>
        <item x="80"/>
        <item m="1" x="517"/>
        <item m="1" x="709"/>
        <item m="1" x="667"/>
        <item m="1" x="1216"/>
        <item m="1" x="775"/>
        <item x="487"/>
        <item m="1" x="973"/>
        <item m="1" x="976"/>
        <item m="1" x="688"/>
        <item m="1" x="730"/>
        <item x="41"/>
        <item m="1" x="1131"/>
        <item m="1" x="1013"/>
        <item x="16"/>
        <item x="262"/>
        <item m="1" x="1160"/>
        <item m="1" x="1072"/>
        <item m="1" x="1188"/>
        <item m="1" x="610"/>
        <item m="1" x="1461"/>
        <item m="1" x="1454"/>
        <item m="1" x="785"/>
        <item m="1" x="838"/>
        <item m="1" x="597"/>
        <item x="263"/>
        <item m="1" x="1355"/>
        <item x="284"/>
        <item x="436"/>
        <item m="1" x="540"/>
        <item m="1" x="663"/>
        <item x="128"/>
        <item m="1" x="1010"/>
        <item x="472"/>
        <item m="1" x="621"/>
        <item x="363"/>
        <item m="1" x="847"/>
        <item m="1" x="710"/>
        <item x="288"/>
        <item m="1" x="606"/>
        <item m="1" x="1275"/>
        <item m="1" x="1423"/>
        <item m="1" x="1318"/>
        <item m="1" x="1245"/>
        <item m="1" x="1422"/>
        <item m="1" x="1319"/>
        <item m="1" x="1246"/>
        <item m="1" x="983"/>
        <item m="1" x="1463"/>
        <item x="171"/>
        <item x="283"/>
        <item m="1" x="604"/>
        <item m="1" x="766"/>
        <item m="1" x="1370"/>
        <item m="1" x="1411"/>
        <item m="1" x="1412"/>
        <item m="1" x="1488"/>
        <item m="1" x="1003"/>
        <item m="1" x="1006"/>
        <item m="1" x="1489"/>
        <item m="1" x="1483"/>
        <item m="1" x="859"/>
        <item x="460"/>
        <item m="1" x="1526"/>
        <item x="421"/>
        <item m="1" x="570"/>
        <item x="245"/>
        <item m="1" x="794"/>
        <item x="279"/>
        <item m="1" x="1097"/>
        <item x="107"/>
        <item m="1" x="833"/>
        <item x="388"/>
        <item x="425"/>
        <item m="1" x="1171"/>
        <item x="486"/>
        <item x="382"/>
        <item m="1" x="1238"/>
        <item m="1" x="651"/>
        <item m="1" x="1239"/>
        <item x="381"/>
        <item x="330"/>
        <item x="492"/>
        <item x="365"/>
        <item m="1" x="672"/>
        <item m="1" x="1278"/>
        <item x="395"/>
        <item m="1" x="664"/>
        <item x="150"/>
        <item m="1" x="805"/>
        <item x="513"/>
        <item m="1" x="817"/>
        <item m="1" x="1113"/>
        <item m="1" x="809"/>
        <item x="475"/>
        <item x="490"/>
        <item m="1" x="890"/>
        <item x="188"/>
        <item m="1" x="1055"/>
        <item x="162"/>
        <item m="1" x="753"/>
        <item m="1" x="751"/>
        <item x="137"/>
        <item x="43"/>
        <item x="203"/>
        <item m="1" x="920"/>
        <item x="258"/>
        <item x="281"/>
        <item m="1" x="603"/>
        <item m="1" x="609"/>
        <item x="236"/>
        <item x="397"/>
        <item x="201"/>
        <item x="251"/>
        <item x="214"/>
        <item m="1" x="1420"/>
        <item m="1" x="1356"/>
        <item m="1" x="1248"/>
        <item m="1" x="1436"/>
        <item m="1" x="1362"/>
        <item m="1" x="1252"/>
        <item m="1" x="1434"/>
        <item m="1" x="1360"/>
        <item m="1" x="1247"/>
        <item m="1" x="1424"/>
        <item m="1" x="1364"/>
        <item m="1" x="1251"/>
        <item m="1" x="1276"/>
        <item m="1" x="1312"/>
        <item m="1" x="1288"/>
        <item m="1" x="1315"/>
        <item m="1" x="1291"/>
        <item m="1" x="1440"/>
        <item m="1" x="1307"/>
        <item m="1" x="1280"/>
        <item m="1" x="1447"/>
        <item m="1" x="1282"/>
        <item m="1" x="1444"/>
        <item m="1" x="1445"/>
        <item m="1" x="1308"/>
        <item m="1" x="1281"/>
        <item m="1" x="1449"/>
        <item m="1" x="1283"/>
        <item m="1" x="1448"/>
        <item m="1" x="1284"/>
        <item m="1" x="1438"/>
        <item m="1" x="1309"/>
        <item m="1" x="1285"/>
        <item m="1" x="1439"/>
        <item m="1" x="1310"/>
        <item m="1" x="1286"/>
        <item m="1" x="1311"/>
        <item m="1" x="1287"/>
        <item m="1" x="1441"/>
        <item m="1" x="1313"/>
        <item m="1" x="1289"/>
        <item m="1" x="1442"/>
        <item m="1" x="1314"/>
        <item m="1" x="1290"/>
        <item m="1" x="1443"/>
        <item m="1" x="1316"/>
        <item m="1" x="1292"/>
        <item m="1" x="1446"/>
        <item m="1" x="1437"/>
        <item m="1" x="1317"/>
        <item m="1" x="1293"/>
        <item m="1" x="876"/>
        <item m="1" x="1294"/>
        <item x="174"/>
        <item m="1" x="1187"/>
        <item m="1" x="671"/>
        <item x="135"/>
        <item m="1" x="629"/>
        <item x="149"/>
        <item m="1" x="1481"/>
        <item m="1" x="1129"/>
        <item m="1" x="1130"/>
        <item m="1" x="811"/>
        <item x="269"/>
        <item x="151"/>
        <item x="84"/>
        <item x="124"/>
        <item x="461"/>
        <item x="271"/>
        <item x="369"/>
        <item m="1" x="1149"/>
        <item m="1" x="962"/>
        <item x="265"/>
        <item m="1" x="580"/>
        <item m="1" x="1122"/>
        <item x="132"/>
        <item x="27"/>
        <item m="1" x="556"/>
        <item m="1" x="828"/>
        <item m="1" x="772"/>
        <item m="1" x="891"/>
        <item m="1" x="981"/>
        <item m="1" x="1296"/>
        <item m="1" x="994"/>
        <item m="1" x="813"/>
        <item x="103"/>
        <item m="1" x="1050"/>
        <item m="1" x="749"/>
        <item m="1" x="1469"/>
        <item m="1" x="1054"/>
        <item m="1" x="815"/>
        <item m="1" x="1123"/>
        <item x="512"/>
        <item x="42"/>
        <item x="90"/>
        <item m="1" x="1367"/>
        <item m="1" x="1250"/>
        <item m="1" x="1435"/>
        <item m="1" x="1361"/>
        <item m="1" x="1253"/>
        <item m="1" x="1017"/>
        <item m="1" x="550"/>
        <item m="1" x="1417"/>
        <item m="1" x="1509"/>
        <item m="1" x="1157"/>
        <item x="200"/>
        <item x="233"/>
        <item m="1" x="1100"/>
        <item m="1" x="1101"/>
        <item m="1" x="1102"/>
        <item m="1" x="1103"/>
        <item m="1" x="787"/>
        <item x="352"/>
        <item m="1" x="1354"/>
        <item m="1" x="1148"/>
        <item x="315"/>
        <item m="1" x="980"/>
        <item x="239"/>
        <item x="310"/>
        <item x="432"/>
        <item m="1" x="585"/>
        <item m="1" x="552"/>
        <item m="1" x="642"/>
        <item x="199"/>
        <item m="1" x="770"/>
        <item m="1" x="923"/>
        <item x="131"/>
        <item x="115"/>
        <item x="485"/>
        <item x="314"/>
        <item m="1" x="547"/>
        <item x="113"/>
        <item m="1" x="1512"/>
        <item x="119"/>
        <item x="102"/>
        <item x="93"/>
        <item x="26"/>
        <item m="1" x="755"/>
        <item x="70"/>
        <item x="44"/>
        <item x="57"/>
        <item m="1" x="816"/>
        <item m="1" x="1227"/>
        <item x="416"/>
        <item m="1" x="1158"/>
        <item m="1" x="975"/>
        <item m="1" x="1240"/>
        <item m="1" x="1241"/>
        <item m="1" x="1192"/>
        <item m="1" x="979"/>
        <item m="1" x="965"/>
        <item m="1" x="970"/>
        <item m="1" x="666"/>
        <item m="1" x="814"/>
        <item m="1" x="1190"/>
        <item m="1" x="1460"/>
        <item m="1" x="1191"/>
        <item m="1" x="977"/>
        <item m="1" x="700"/>
        <item x="477"/>
        <item m="1" x="843"/>
        <item m="1" x="767"/>
        <item m="1" x="1368"/>
        <item m="1" x="1254"/>
        <item x="292"/>
        <item x="409"/>
        <item x="339"/>
        <item x="344"/>
        <item m="1" x="940"/>
        <item x="348"/>
        <item x="368"/>
        <item x="360"/>
        <item x="206"/>
        <item m="1" x="1161"/>
        <item m="1" x="638"/>
        <item m="1" x="1169"/>
        <item m="1" x="963"/>
        <item m="1" x="912"/>
        <item x="325"/>
        <item m="1" x="864"/>
        <item m="1" x="653"/>
        <item x="179"/>
        <item x="253"/>
        <item m="1" x="703"/>
        <item m="1" x="1430"/>
        <item m="1" x="1321"/>
        <item m="1" x="1256"/>
        <item m="1" x="1145"/>
        <item m="1" x="845"/>
        <item m="1" x="886"/>
        <item m="1" x="1022"/>
        <item m="1" x="1136"/>
        <item m="1" x="1026"/>
        <item x="457"/>
        <item m="1" x="1137"/>
        <item m="1" x="1064"/>
        <item m="1" x="1369"/>
        <item m="1" x="634"/>
        <item m="1" x="548"/>
        <item m="1" x="1374"/>
        <item m="1" x="1379"/>
        <item m="1" x="1394"/>
        <item x="514"/>
        <item m="1" x="564"/>
        <item m="1" x="873"/>
        <item m="1" x="874"/>
        <item x="159"/>
        <item m="1" x="625"/>
        <item m="1" x="1063"/>
        <item x="210"/>
        <item m="1" x="698"/>
        <item m="1" x="699"/>
        <item x="85"/>
        <item x="337"/>
        <item x="222"/>
        <item x="170"/>
        <item x="152"/>
        <item m="1" x="1023"/>
        <item m="1" x="1075"/>
        <item x="243"/>
        <item x="227"/>
        <item x="491"/>
        <item m="1" x="628"/>
        <item x="433"/>
        <item m="1" x="835"/>
        <item m="1" x="837"/>
        <item x="418"/>
        <item x="482"/>
        <item m="1" x="1052"/>
        <item x="17"/>
        <item x="52"/>
        <item m="1" x="1193"/>
        <item m="1" x="1338"/>
        <item m="1" x="854"/>
        <item m="1" x="701"/>
        <item m="1" x="855"/>
        <item m="1" x="702"/>
        <item m="1" x="777"/>
        <item m="1" x="1125"/>
        <item m="1" x="660"/>
        <item x="311"/>
        <item x="130"/>
        <item x="380"/>
        <item x="407"/>
        <item x="256"/>
        <item m="1" x="1226"/>
        <item m="1" x="1056"/>
        <item m="1" x="1235"/>
        <item x="13"/>
        <item x="56"/>
        <item m="1" x="1273"/>
        <item x="242"/>
        <item x="221"/>
        <item x="378"/>
        <item m="1" x="1462"/>
        <item m="1" x="711"/>
        <item m="1" x="1009"/>
        <item x="217"/>
        <item m="1" x="650"/>
        <item m="1" x="1170"/>
        <item m="1" x="1229"/>
        <item m="1" x="1153"/>
        <item m="1" x="1144"/>
        <item m="1" x="1228"/>
        <item m="1" x="1152"/>
        <item m="1" x="521"/>
        <item x="447"/>
        <item m="1" x="1397"/>
        <item m="1" x="1306"/>
        <item m="1" x="1398"/>
        <item m="1" x="1399"/>
        <item m="1" x="1382"/>
        <item m="1" x="1383"/>
        <item m="1" x="1384"/>
        <item m="1" x="1385"/>
        <item m="1" x="1386"/>
        <item m="1" x="1202"/>
        <item m="1" x="1387"/>
        <item m="1" x="1388"/>
        <item m="1" x="1389"/>
        <item m="1" x="1390"/>
        <item m="1" x="1331"/>
        <item m="1" x="1337"/>
        <item m="1" x="693"/>
        <item m="1" x="1074"/>
        <item m="1" x="526"/>
        <item x="97"/>
        <item m="1" x="758"/>
        <item x="393"/>
        <item m="1" x="877"/>
        <item m="1" x="889"/>
        <item m="1" x="1012"/>
        <item x="377"/>
        <item x="289"/>
        <item m="1" x="1470"/>
        <item m="1" x="1471"/>
        <item m="1" x="1472"/>
        <item m="1" x="1473"/>
        <item m="1" x="900"/>
        <item x="431"/>
        <item m="1" x="1392"/>
        <item m="1" x="1393"/>
        <item x="385"/>
        <item x="364"/>
        <item x="405"/>
        <item x="373"/>
        <item x="403"/>
        <item m="1" x="1499"/>
        <item m="1" x="1178"/>
        <item m="1" x="1177"/>
        <item m="1" x="1500"/>
        <item m="1" x="1197"/>
        <item m="1" x="1196"/>
        <item m="1" x="1274"/>
        <item m="1" x="1501"/>
        <item m="1" x="1179"/>
        <item m="1" x="1183"/>
        <item m="1" x="1505"/>
        <item m="1" x="1495"/>
        <item m="1" x="1173"/>
        <item x="442"/>
        <item m="1" x="1502"/>
        <item m="1" x="1180"/>
        <item m="1" x="1184"/>
        <item m="1" x="1506"/>
        <item m="1" x="1496"/>
        <item m="1" x="1174"/>
        <item x="414"/>
        <item m="1" x="1181"/>
        <item m="1" x="1503"/>
        <item m="1" x="1185"/>
        <item m="1" x="1507"/>
        <item m="1" x="1175"/>
        <item x="415"/>
        <item m="1" x="1497"/>
        <item m="1" x="1182"/>
        <item m="1" x="1504"/>
        <item m="1" x="1186"/>
        <item m="1" x="1508"/>
        <item m="1" x="1176"/>
        <item x="443"/>
        <item m="1" x="1498"/>
        <item m="1" x="1037"/>
        <item m="1" x="1038"/>
        <item m="1" x="1036"/>
        <item m="1" x="1032"/>
        <item m="1" x="1031"/>
        <item m="1" x="1030"/>
        <item m="1" x="1039"/>
        <item m="1" x="1019"/>
        <item m="1" x="1020"/>
        <item m="1" x="1018"/>
        <item m="1" x="1035"/>
        <item m="1" x="1034"/>
        <item m="1" x="1033"/>
        <item m="1" x="1040"/>
        <item m="1" x="1213"/>
        <item m="1" x="1249"/>
        <item m="1" x="1151"/>
        <item m="1" x="1016"/>
        <item m="1" x="1404"/>
        <item m="1" x="1015"/>
        <item m="1" x="1402"/>
        <item x="499"/>
        <item x="508"/>
        <item x="503"/>
        <item x="481"/>
        <item x="504"/>
        <item x="389"/>
        <item m="1" x="1024"/>
        <item m="1" x="1303"/>
        <item m="1" x="1088"/>
        <item m="1" x="1345"/>
        <item m="1" x="1329"/>
        <item m="1" x="1267"/>
        <item m="1" x="1132"/>
        <item m="1" x="968"/>
        <item m="1" x="1271"/>
        <item m="1" x="1371"/>
        <item m="1" x="1134"/>
        <item m="1" x="971"/>
        <item m="1" x="1014"/>
        <item x="464"/>
        <item x="351"/>
        <item x="456"/>
        <item x="444"/>
        <item x="273"/>
        <item x="291"/>
        <item x="305"/>
        <item x="290"/>
        <item m="1" x="1098"/>
        <item m="1" x="1043"/>
        <item m="1" x="1087"/>
        <item m="1" x="1086"/>
        <item m="1" x="1091"/>
        <item m="1" x="1092"/>
        <item m="1" x="1093"/>
        <item m="1" x="1378"/>
        <item m="1" x="1336"/>
        <item m="1" x="888"/>
        <item m="1" x="905"/>
        <item m="1" x="1085"/>
        <item m="1" x="1206"/>
        <item m="1" x="907"/>
        <item m="1" x="908"/>
        <item m="1" x="909"/>
        <item m="1" x="1065"/>
        <item m="1" x="904"/>
        <item m="1" x="906"/>
        <item m="1" x="1090"/>
        <item m="1" x="1089"/>
        <item m="1" x="1380"/>
        <item m="1" x="1335"/>
        <item m="1" x="1396"/>
        <item m="1" x="1042"/>
        <item m="1" x="952"/>
        <item m="1" x="957"/>
        <item m="1" x="1084"/>
        <item m="1" x="1083"/>
        <item m="1" x="953"/>
        <item m="1" x="958"/>
        <item m="1" x="951"/>
        <item m="1" x="1381"/>
        <item x="189"/>
        <item m="1" x="910"/>
        <item m="1" x="1044"/>
        <item m="1" x="1045"/>
        <item m="1" x="1204"/>
        <item m="1" x="781"/>
        <item x="489"/>
        <item m="1" x="782"/>
        <item x="370"/>
        <item m="1" x="861"/>
        <item x="478"/>
        <item m="1" x="732"/>
        <item m="1" x="692"/>
        <item m="1" x="1021"/>
        <item m="1" x="1082"/>
        <item m="1" x="903"/>
        <item m="1" x="956"/>
        <item x="69"/>
        <item m="1" x="697"/>
        <item x="298"/>
        <item m="1" x="883"/>
        <item m="1" x="899"/>
        <item x="505"/>
        <item m="1" x="1212"/>
        <item m="1" x="972"/>
        <item m="1" x="992"/>
        <item m="1" x="544"/>
        <item m="1" x="1211"/>
        <item m="1" x="539"/>
        <item m="1" x="1209"/>
        <item x="420"/>
        <item m="1" x="1210"/>
        <item m="1" x="757"/>
        <item x="336"/>
        <item x="340"/>
        <item x="496"/>
        <item x="390"/>
        <item x="495"/>
        <item m="1" x="713"/>
        <item m="1" x="987"/>
        <item m="1" x="1416"/>
        <item x="429"/>
        <item m="1" x="1114"/>
        <item x="4"/>
        <item m="1" x="750"/>
        <item m="1" x="645"/>
        <item x="329"/>
        <item m="1" x="1214"/>
        <item m="1" x="898"/>
        <item m="1" x="1298"/>
        <item m="1" x="1200"/>
        <item m="1" x="1305"/>
        <item m="1" x="1277"/>
        <item m="1" x="522"/>
        <item m="1" x="662"/>
        <item x="59"/>
        <item x="86"/>
        <item x="94"/>
        <item m="1" x="1513"/>
        <item x="191"/>
        <item m="1" x="520"/>
        <item x="139"/>
        <item x="45"/>
        <item x="67"/>
        <item x="376"/>
        <item x="190"/>
        <item x="146"/>
        <item m="1" x="553"/>
        <item x="419"/>
        <item x="342"/>
        <item m="1" x="1464"/>
        <item m="1" x="1465"/>
        <item m="1" x="1466"/>
        <item m="1" x="913"/>
        <item m="1" x="810"/>
        <item m="1" x="844"/>
        <item m="1" x="803"/>
        <item m="1" x="1413"/>
        <item m="1" x="941"/>
        <item m="1" x="1478"/>
        <item x="394"/>
        <item m="1" x="882"/>
        <item x="328"/>
        <item x="63"/>
        <item x="384"/>
        <item x="83"/>
        <item m="1" x="524"/>
        <item m="1" x="529"/>
        <item x="293"/>
        <item m="1" x="1407"/>
        <item m="1" x="1520"/>
        <item m="1" x="717"/>
        <item m="1" x="1522"/>
        <item m="1" x="735"/>
        <item m="1" x="718"/>
        <item m="1" x="746"/>
        <item m="1" x="719"/>
        <item m="1" x="1243"/>
        <item m="1" x="1244"/>
        <item x="122"/>
        <item m="1" x="1095"/>
        <item x="343"/>
        <item x="193"/>
        <item m="1" x="1011"/>
        <item m="1" x="887"/>
        <item x="198"/>
        <item x="398"/>
        <item x="356"/>
        <item m="1" x="742"/>
        <item m="1" x="575"/>
        <item m="1" x="531"/>
        <item x="355"/>
        <item x="396"/>
        <item m="1" x="1351"/>
        <item x="129"/>
        <item x="194"/>
        <item x="434"/>
        <item x="406"/>
        <item x="114"/>
        <item m="1" x="851"/>
        <item m="1" x="852"/>
        <item m="1" x="1341"/>
        <item m="1" x="725"/>
        <item m="1" x="726"/>
        <item m="1" x="724"/>
        <item m="1" x="723"/>
        <item m="1" x="720"/>
        <item m="1" x="630"/>
        <item m="1" x="721"/>
        <item m="1" x="745"/>
        <item m="1" x="722"/>
        <item x="322"/>
        <item x="361"/>
        <item m="1" x="566"/>
        <item x="324"/>
        <item x="61"/>
        <item x="62"/>
        <item x="98"/>
        <item x="163"/>
        <item m="1" x="590"/>
        <item m="1" x="567"/>
        <item x="147"/>
        <item m="1" x="572"/>
        <item m="1" x="574"/>
        <item m="1" x="576"/>
        <item m="1" x="546"/>
        <item m="1" x="551"/>
        <item m="1" x="569"/>
        <item m="1" x="1344"/>
        <item m="1" x="789"/>
        <item m="1" x="565"/>
        <item m="1" x="568"/>
        <item x="228"/>
        <item m="1" x="797"/>
        <item m="1" x="935"/>
        <item x="109"/>
        <item x="91"/>
        <item m="1" x="1104"/>
        <item m="1" x="1484"/>
        <item m="1" x="1409"/>
        <item m="1" x="760"/>
        <item x="303"/>
        <item m="1" x="690"/>
        <item m="1" x="616"/>
        <item m="1" x="944"/>
        <item x="238"/>
        <item x="333"/>
        <item m="1" x="937"/>
        <item m="1" x="1194"/>
        <item m="1" x="892"/>
        <item x="229"/>
        <item x="473"/>
        <item m="1" x="942"/>
        <item m="1" x="834"/>
        <item m="1" x="836"/>
        <item m="1" x="931"/>
        <item m="1" x="793"/>
        <item x="474"/>
        <item m="1" x="945"/>
        <item m="1" x="848"/>
        <item m="1" x="1115"/>
        <item m="1" x="592"/>
        <item m="1" x="893"/>
        <item m="1" x="543"/>
        <item x="502"/>
        <item m="1" x="943"/>
        <item m="1" x="1458"/>
        <item m="1" x="1007"/>
        <item m="1" x="796"/>
        <item m="1" x="673"/>
        <item x="466"/>
        <item m="1" x="863"/>
        <item m="1" x="936"/>
        <item x="82"/>
        <item m="1" x="707"/>
        <item m="1" x="708"/>
        <item m="1" x="1528"/>
        <item m="1" x="872"/>
        <item m="1" x="946"/>
        <item m="1" x="643"/>
        <item m="1" x="995"/>
        <item m="1" x="1485"/>
        <item m="1" x="1300"/>
        <item m="1" x="1491"/>
        <item m="1" x="1395"/>
        <item x="121"/>
        <item m="1" x="1515"/>
        <item m="1" x="1516"/>
        <item x="454"/>
        <item m="1" x="982"/>
        <item m="1" x="961"/>
        <item x="7"/>
        <item x="33"/>
        <item x="95"/>
        <item x="105"/>
        <item m="1" x="635"/>
        <item m="1" x="1146"/>
        <item x="341"/>
        <item m="1" x="1403"/>
        <item x="386"/>
        <item x="5"/>
        <item m="1" x="1077"/>
        <item x="301"/>
        <item m="1" x="1028"/>
        <item m="1" x="1029"/>
        <item m="1" x="1027"/>
        <item m="1" x="1112"/>
        <item x="469"/>
        <item m="1" x="807"/>
        <item m="1" x="706"/>
        <item m="1" x="808"/>
        <item m="1" x="1025"/>
        <item x="74"/>
        <item x="306"/>
        <item m="1" x="1257"/>
        <item m="1" x="573"/>
        <item m="1" x="1357"/>
        <item m="1" x="1302"/>
        <item m="1" x="1428"/>
        <item m="1" x="1322"/>
        <item m="1" x="534"/>
        <item m="1" x="1067"/>
        <item m="1" x="1429"/>
        <item m="1" x="1324"/>
        <item m="1" x="1260"/>
        <item m="1" x="622"/>
        <item m="1" x="1138"/>
        <item m="1" x="930"/>
        <item x="313"/>
        <item m="1" x="1004"/>
        <item m="1" x="1005"/>
        <item x="89"/>
        <item m="1" x="1519"/>
        <item m="1" x="959"/>
        <item m="1" x="1221"/>
        <item m="1" x="1106"/>
        <item m="1" x="1222"/>
        <item m="1" x="1223"/>
        <item m="1" x="1224"/>
        <item m="1" x="948"/>
        <item m="1" x="955"/>
        <item x="422"/>
        <item m="1" x="595"/>
        <item x="186"/>
        <item m="1" x="1150"/>
        <item m="1" x="1377"/>
        <item m="1" x="647"/>
        <item x="211"/>
        <item x="195"/>
        <item m="1" x="778"/>
        <item x="383"/>
        <item m="1" x="1332"/>
        <item m="1" x="582"/>
        <item m="1" x="868"/>
        <item m="1" x="830"/>
        <item x="172"/>
        <item m="1" x="704"/>
        <item x="331"/>
        <item x="66"/>
        <item m="1" x="1334"/>
        <item m="1" x="795"/>
        <item x="247"/>
        <item m="1" x="637"/>
        <item x="54"/>
        <item x="134"/>
        <item m="1" x="644"/>
        <item m="1" x="599"/>
        <item x="111"/>
        <item m="1" x="763"/>
        <item m="1" x="788"/>
        <item m="1" x="985"/>
        <item x="157"/>
        <item m="1" x="716"/>
        <item m="1" x="1001"/>
        <item x="133"/>
        <item x="437"/>
        <item m="1" x="1457"/>
        <item m="1" x="1099"/>
        <item m="1" x="1165"/>
        <item x="231"/>
        <item x="51"/>
        <item sd="0" x="81"/>
        <item m="1" x="989"/>
        <item m="1" x="754"/>
        <item x="10"/>
        <item m="1" x="743"/>
        <item m="1" x="1482"/>
        <item m="1" x="1480"/>
        <item x="177"/>
        <item x="209"/>
        <item x="268"/>
        <item x="510"/>
        <item m="1" x="1349"/>
        <item m="1" x="1230"/>
        <item m="1" x="1350"/>
        <item x="307"/>
        <item m="1" x="1141"/>
        <item m="1" x="748"/>
        <item m="1" x="1237"/>
        <item m="1" x="1236"/>
        <item m="1" x="761"/>
        <item m="1" x="600"/>
        <item m="1" x="1425"/>
        <item m="1" x="1365"/>
        <item m="1" x="1261"/>
        <item m="1" x="841"/>
        <item x="173"/>
        <item m="1" x="765"/>
        <item m="1" x="1225"/>
        <item m="1" x="736"/>
        <item m="1" x="560"/>
        <item m="1" x="559"/>
        <item x="261"/>
        <item x="299"/>
        <item m="1" x="1452"/>
        <item x="350"/>
        <item m="1" x="1199"/>
        <item m="1" x="557"/>
        <item m="1" x="571"/>
        <item m="1" x="1218"/>
        <item m="1" x="1219"/>
        <item x="143"/>
        <item m="1" x="661"/>
        <item x="156"/>
        <item m="1" x="824"/>
        <item x="117"/>
        <item x="77"/>
        <item m="1" x="853"/>
        <item m="1" x="1523"/>
        <item m="1" x="734"/>
        <item x="250"/>
        <item x="204"/>
        <item x="230"/>
        <item m="1" x="990"/>
        <item x="359"/>
        <item x="241"/>
        <item x="116"/>
        <item m="1" x="925"/>
        <item x="196"/>
        <item m="1" x="850"/>
        <item m="1" x="1299"/>
        <item m="1" x="1375"/>
        <item x="144"/>
        <item x="21"/>
        <item m="1" x="1363"/>
        <item m="1" x="1262"/>
        <item x="257"/>
        <item m="1" x="922"/>
        <item x="213"/>
        <item m="1" x="523"/>
        <item m="1" x="1076"/>
        <item m="1" x="591"/>
        <item m="1" x="587"/>
        <item x="78"/>
        <item m="1" x="1490"/>
        <item m="1" x="1353"/>
        <item x="304"/>
        <item x="87"/>
        <item m="1" x="790"/>
        <item m="1" x="685"/>
        <item m="1" x="801"/>
        <item x="264"/>
        <item m="1" x="1347"/>
        <item x="323"/>
        <item m="1" x="1493"/>
        <item m="1" x="1494"/>
        <item m="1" x="581"/>
        <item x="285"/>
        <item m="1" x="518"/>
        <item x="312"/>
        <item x="316"/>
        <item x="455"/>
        <item m="1" x="1109"/>
        <item m="1" x="921"/>
        <item m="1" x="1126"/>
        <item x="15"/>
        <item m="1" x="1189"/>
        <item x="31"/>
        <item x="47"/>
        <item x="515"/>
        <item x="3"/>
        <item sd="0" m="1" x="752"/>
        <item x="458"/>
        <item m="1" x="611"/>
        <item m="1" x="535"/>
        <item x="345"/>
        <item m="1" x="577"/>
        <item m="1" x="924"/>
        <item m="1" x="639"/>
        <item x="219"/>
        <item m="1" x="696"/>
        <item m="1" x="636"/>
        <item x="308"/>
        <item x="484"/>
        <item m="1" x="1166"/>
        <item x="506"/>
        <item m="1" x="1486"/>
        <item m="1" x="1414"/>
        <item m="1" x="1410"/>
        <item m="1" x="641"/>
        <item m="1" x="1105"/>
        <item m="1" x="1373"/>
        <item x="184"/>
        <item x="294"/>
        <item x="493"/>
        <item x="60"/>
        <item x="277"/>
        <item m="1" x="602"/>
        <item m="1" x="1433"/>
        <item m="1" x="1325"/>
        <item m="1" x="1263"/>
        <item m="1" x="1432"/>
        <item m="1" x="1320"/>
        <item m="1" x="1255"/>
        <item m="1" x="1431"/>
        <item m="1" x="1328"/>
        <item m="1" x="1269"/>
        <item m="1" x="1359"/>
        <item m="1" x="1301"/>
        <item m="1" x="1268"/>
        <item m="1" x="1418"/>
        <item m="1" x="1265"/>
        <item m="1" x="1421"/>
        <item m="1" x="1327"/>
        <item m="1" x="1266"/>
        <item m="1" x="1419"/>
        <item m="1" x="1326"/>
        <item m="1" x="1264"/>
        <item m="1" x="1069"/>
        <item m="1" x="1071"/>
        <item m="1" x="1070"/>
        <item m="1" x="1205"/>
        <item m="1" x="1127"/>
        <item m="1" x="1139"/>
        <item x="165"/>
        <item x="391"/>
        <item x="467"/>
        <item m="1" x="829"/>
        <item m="1" x="1168"/>
        <item m="1" x="1467"/>
        <item x="302"/>
        <item m="1" x="1167"/>
        <item m="1" x="1062"/>
        <item m="1" x="1201"/>
        <item m="1" x="1476"/>
        <item m="1" x="895"/>
        <item m="1" x="652"/>
        <item x="404"/>
        <item m="1" x="623"/>
        <item m="1" x="1215"/>
        <item m="1" x="875"/>
        <item m="1" x="880"/>
        <item x="267"/>
        <item m="1" x="686"/>
        <item m="1" x="786"/>
        <item x="471"/>
        <item x="483"/>
        <item m="1" x="695"/>
        <item x="335"/>
        <item x="367"/>
        <item m="1" x="694"/>
        <item x="362"/>
        <item x="225"/>
        <item x="280"/>
        <item m="1" x="881"/>
        <item x="426"/>
        <item m="1" x="681"/>
        <item x="459"/>
        <item x="371"/>
        <item x="401"/>
        <item m="1" x="856"/>
        <item m="1" x="857"/>
        <item x="423"/>
        <item m="1" x="823"/>
        <item m="1" x="1107"/>
        <item m="1" x="818"/>
        <item m="1" x="840"/>
        <item m="1" x="1242"/>
        <item m="1" x="596"/>
        <item m="1" x="669"/>
        <item x="35"/>
        <item m="1" x="867"/>
        <item m="1" x="687"/>
        <item m="1" x="674"/>
        <item m="1" x="774"/>
        <item x="64"/>
        <item x="126"/>
        <item x="338"/>
        <item m="1" x="1453"/>
        <item m="1" x="1451"/>
        <item m="1" x="1406"/>
        <item m="1" x="1159"/>
        <item x="501"/>
        <item m="1" x="1405"/>
        <item m="1" x="1475"/>
        <item m="1" x="800"/>
        <item x="446"/>
        <item x="272"/>
        <item m="1" x="799"/>
        <item m="1" x="1456"/>
        <item x="207"/>
        <item x="160"/>
        <item x="99"/>
        <item m="1" x="832"/>
        <item x="181"/>
        <item x="226"/>
        <item m="1" x="996"/>
        <item x="448"/>
        <item x="476"/>
        <item m="1" x="993"/>
        <item x="169"/>
        <item m="1" x="538"/>
        <item x="53"/>
        <item x="24"/>
        <item m="1" x="1524"/>
        <item m="1" x="917"/>
        <item m="1" x="918"/>
        <item m="1" x="655"/>
        <item m="1" x="771"/>
        <item m="1" x="593"/>
        <item m="1" x="1450"/>
        <item m="1" x="682"/>
        <item x="318"/>
        <item m="1" x="915"/>
        <item m="1" x="1343"/>
        <item x="46"/>
        <item m="1" x="1487"/>
        <item m="1" x="733"/>
        <item m="1" x="779"/>
        <item m="1" x="627"/>
        <item m="1" x="646"/>
        <item m="1" x="624"/>
        <item m="1" x="562"/>
        <item x="428"/>
        <item x="246"/>
        <item m="1" x="802"/>
        <item x="55"/>
        <item x="11"/>
        <item x="237"/>
        <item x="349"/>
        <item m="1" x="1110"/>
        <item m="1" x="1047"/>
        <item m="1" x="1147"/>
        <item m="1" x="613"/>
        <item m="1" x="1046"/>
        <item m="1" x="870"/>
        <item x="347"/>
        <item m="1" x="1527"/>
        <item m="1" x="612"/>
        <item m="1" x="632"/>
        <item x="259"/>
        <item m="1" x="1096"/>
        <item x="168"/>
        <item x="192"/>
        <item x="180"/>
        <item x="254"/>
        <item m="1" x="555"/>
        <item m="1" x="1143"/>
        <item m="1" x="1348"/>
        <item m="1" x="614"/>
        <item x="399"/>
        <item m="1" x="928"/>
        <item m="1" x="938"/>
        <item m="1" x="927"/>
        <item m="1" x="929"/>
        <item m="1" x="689"/>
        <item m="1" x="926"/>
        <item x="300"/>
        <item x="480"/>
        <item m="1" x="640"/>
        <item x="358"/>
        <item x="497"/>
        <item m="1" x="871"/>
        <item m="1" x="934"/>
        <item m="1" x="997"/>
        <item x="270"/>
        <item m="1" x="792"/>
        <item x="498"/>
        <item m="1" x="791"/>
        <item x="500"/>
        <item x="326"/>
        <item m="1" x="588"/>
        <item m="1" x="1057"/>
        <item m="1" x="1203"/>
        <item x="439"/>
        <item m="1" x="1059"/>
        <item m="1" x="1073"/>
        <item m="1" x="617"/>
        <item m="1" x="1066"/>
        <item m="1" x="1068"/>
        <item m="1" x="649"/>
        <item m="1" x="594"/>
        <item m="1" x="1208"/>
        <item m="1" x="1078"/>
        <item m="1" x="1217"/>
        <item m="1" x="1207"/>
        <item m="1" x="1060"/>
        <item x="509"/>
        <item m="1" x="1155"/>
        <item m="1" x="1061"/>
        <item m="1" x="1079"/>
        <item x="104"/>
        <item m="1" x="1234"/>
        <item m="1" x="619"/>
        <item m="1" x="1154"/>
        <item m="1" x="1133"/>
        <item m="1" x="1135"/>
        <item m="1" x="1163"/>
        <item m="1" x="798"/>
        <item m="1" x="969"/>
        <item x="223"/>
        <item m="1" x="999"/>
        <item x="249"/>
        <item x="106"/>
        <item m="1" x="998"/>
        <item x="296"/>
        <item m="1" x="1352"/>
        <item m="1" x="558"/>
        <item x="400"/>
        <item m="1" x="1258"/>
        <item m="1" x="1323"/>
        <item m="1" x="1426"/>
        <item x="232"/>
        <item m="1" x="780"/>
        <item m="1" x="656"/>
        <item x="161"/>
        <item x="208"/>
        <item x="240"/>
        <item m="1" x="530"/>
        <item x="29"/>
        <item m="1" x="658"/>
        <item x="218"/>
        <item m="1" x="657"/>
        <item m="1" x="618"/>
        <item m="1" x="633"/>
        <item x="166"/>
        <item m="1" x="1000"/>
        <item m="1" x="916"/>
        <item x="445"/>
        <item m="1" x="542"/>
        <item m="1" x="869"/>
        <item m="1" x="1116"/>
        <item m="1" x="819"/>
        <item x="164"/>
        <item x="468"/>
        <item x="212"/>
        <item x="142"/>
        <item x="155"/>
        <item m="1" x="1108"/>
        <item x="411"/>
        <item m="1" x="825"/>
        <item m="1" x="1468"/>
        <item m="1" x="879"/>
        <item x="374"/>
        <item m="1" x="605"/>
        <item m="1" x="1330"/>
        <item x="507"/>
        <item x="438"/>
        <item m="1" x="1521"/>
        <item x="123"/>
        <item x="424"/>
        <item m="1" x="1525"/>
        <item x="25"/>
        <item x="453"/>
        <item x="452"/>
        <item m="1" x="631"/>
        <item m="1" x="1051"/>
        <item m="1" x="911"/>
        <item m="1" x="1474"/>
        <item m="1" x="773"/>
        <item x="36"/>
        <item x="127"/>
        <item x="58"/>
        <item m="1" x="1510"/>
        <item m="1" x="1511"/>
        <item m="1" x="1128"/>
        <item x="145"/>
        <item x="321"/>
        <item m="1" x="731"/>
        <item x="22"/>
        <item m="1" x="1270"/>
        <item m="1" x="578"/>
        <item m="1" x="884"/>
        <item m="1" x="885"/>
        <item x="176"/>
        <item x="366"/>
        <item m="1" x="762"/>
        <item m="1" x="668"/>
        <item m="1" x="715"/>
        <item x="275"/>
        <item m="1" x="1366"/>
        <item m="1" x="1259"/>
        <item m="1" x="1427"/>
        <item m="1" x="901"/>
        <item m="1" x="1080"/>
        <item m="1" x="1346"/>
        <item m="1" x="1295"/>
        <item m="1" x="954"/>
        <item x="185"/>
        <item x="141"/>
        <item m="1" x="862"/>
        <item x="110"/>
        <item x="278"/>
        <item x="295"/>
        <item x="255"/>
        <item x="175"/>
        <item m="1" x="966"/>
        <item m="1" x="620"/>
        <item x="101"/>
        <item x="140"/>
        <item x="392"/>
        <item x="220"/>
        <item x="297"/>
        <item x="138"/>
        <item x="488"/>
        <item x="68"/>
        <item m="1" x="712"/>
        <item x="2"/>
        <item m="1" x="680"/>
        <item m="1" x="537"/>
        <item x="34"/>
        <item m="1" x="974"/>
        <item x="8"/>
        <item x="276"/>
        <item x="96"/>
        <item x="408"/>
        <item x="158"/>
        <item m="1" x="1111"/>
        <item x="108"/>
        <item x="167"/>
        <item x="410"/>
        <item x="309"/>
        <item m="1" x="1415"/>
        <item x="23"/>
        <item x="463"/>
        <item x="287"/>
        <item m="1" x="783"/>
        <item m="1" x="784"/>
        <item m="1" x="607"/>
        <item x="319"/>
        <item m="1" x="1220"/>
        <item m="1" x="737"/>
        <item m="1" x="984"/>
        <item x="332"/>
        <item x="100"/>
        <item x="379"/>
        <item x="88"/>
        <item m="1" x="1156"/>
        <item m="1" x="1142"/>
        <item m="1" x="563"/>
        <item m="1" x="914"/>
        <item m="1" x="756"/>
        <item m="1" x="1140"/>
        <item x="9"/>
        <item x="148"/>
        <item m="1" x="598"/>
        <item m="1" x="806"/>
        <item x="516"/>
        <item m="1" x="1279"/>
        <item m="1" x="776"/>
        <item x="470"/>
        <item m="1" x="583"/>
        <item x="182"/>
        <item m="1" x="728"/>
        <item x="205"/>
        <item m="1" x="1514"/>
        <item x="244"/>
        <item x="72"/>
        <item m="1" x="896"/>
        <item m="1" x="741"/>
        <item m="1" x="654"/>
        <item x="511"/>
        <item m="1" x="759"/>
        <item x="354"/>
        <item x="334"/>
        <item x="479"/>
        <item x="465"/>
        <item x="449"/>
        <item x="430"/>
        <item m="1" x="804"/>
        <item m="1" x="1400"/>
        <item m="1" x="1164"/>
        <item x="317"/>
        <item m="1" x="858"/>
        <item x="353"/>
        <item m="1" x="846"/>
        <item m="1" x="1455"/>
        <item m="1" x="860"/>
        <item m="1" x="1124"/>
        <item m="1" x="1492"/>
        <item m="1" x="1232"/>
        <item m="1" x="1233"/>
        <item x="357"/>
        <item m="1" x="1117"/>
        <item m="1" x="1459"/>
        <item x="76"/>
        <item x="154"/>
        <item m="1" x="812"/>
        <item x="125"/>
        <item m="1" x="939"/>
        <item m="1" x="1118"/>
        <item m="1" x="626"/>
        <item m="1" x="1053"/>
        <item m="1" x="1517"/>
        <item m="1" x="1119"/>
        <item m="1" x="1120"/>
        <item x="441"/>
        <item x="18"/>
        <item m="1" x="894"/>
        <item m="1" x="1372"/>
        <item x="30"/>
        <item m="1" x="579"/>
        <item x="112"/>
        <item m="1" x="932"/>
        <item sd="0" m="1" x="1342"/>
        <item x="197"/>
        <item x="71"/>
        <item m="1" x="1008"/>
        <item x="427"/>
        <item m="1" x="1297"/>
        <item m="1" x="1518"/>
        <item x="282"/>
        <item m="1" x="1479"/>
        <item x="187"/>
        <item m="1" x="554"/>
        <item m="1" x="1094"/>
        <item m="1" x="1121"/>
        <item m="1" x="1333"/>
        <item x="372"/>
        <item m="1" x="705"/>
        <item m="1" x="527"/>
        <item x="327"/>
        <item m="1" x="691"/>
        <item m="1" x="1304"/>
        <item m="1" x="897"/>
        <item x="346"/>
        <item m="1" x="822"/>
        <item m="1" x="769"/>
        <item m="1" x="659"/>
        <item m="1" x="1198"/>
        <item m="1" x="714"/>
        <item x="494"/>
        <item m="1" x="986"/>
        <item m="1" x="902"/>
        <item x="0"/>
        <item x="48"/>
        <item m="1" x="1081"/>
        <item x="413"/>
        <item m="1" x="950"/>
        <item m="1" x="1002"/>
        <item m="1" x="764"/>
        <item m="1" x="991"/>
        <item m="1" x="964"/>
        <item m="1" x="988"/>
        <item m="1" x="839"/>
        <item m="1" x="878"/>
        <item m="1" x="739"/>
        <item m="1" x="738"/>
        <item m="1" x="831"/>
        <item x="183"/>
        <item x="440"/>
        <item m="1" x="1041"/>
        <item x="49"/>
        <item m="1" x="601"/>
        <item x="73"/>
        <item x="462"/>
        <item m="1" x="978"/>
        <item m="1" x="729"/>
        <item m="1" x="519"/>
        <item m="1" x="768"/>
        <item m="1" x="747"/>
        <item x="260"/>
        <item x="19"/>
        <item x="266"/>
        <item x="178"/>
        <item m="1" x="933"/>
        <item m="1" x="744"/>
        <item m="1" x="826"/>
        <item x="224"/>
        <item x="402"/>
        <item m="1" x="1477"/>
        <item m="1" x="967"/>
        <item m="1" x="827"/>
        <item x="136"/>
        <item x="20"/>
        <item m="1" x="525"/>
        <item m="1" x="740"/>
        <item m="1" x="727"/>
        <item x="75"/>
        <item x="375"/>
        <item m="1" x="919"/>
        <item x="6"/>
        <item x="40"/>
        <item x="252"/>
        <item x="38"/>
        <item x="92"/>
        <item m="1" x="584"/>
        <item x="1"/>
        <item x="50"/>
        <item x="120"/>
        <item x="79"/>
        <item m="1" x="541"/>
        <item m="1" x="1049"/>
        <item m="1" x="949"/>
        <item m="1" x="866"/>
        <item x="153"/>
        <item m="1" x="1048"/>
        <item x="248"/>
        <item x="28"/>
        <item x="65"/>
        <item x="14"/>
        <item m="1" x="536"/>
        <item x="118"/>
        <item x="387"/>
        <item x="39"/>
        <item m="1" x="545"/>
        <item m="1" x="561"/>
        <item x="286"/>
        <item x="12"/>
        <item m="1" x="960"/>
        <item m="1" x="842"/>
        <item m="1" x="665"/>
        <item m="1" x="1172"/>
        <item x="202"/>
        <item x="412"/>
        <item m="1" x="549"/>
        <item m="1" x="586"/>
        <item m="1" x="1358"/>
        <item m="1" x="1272"/>
        <item m="1" x="849"/>
        <item m="1" x="532"/>
        <item m="1" x="533"/>
        <item m="1" x="528"/>
        <item m="1" x="1231"/>
        <item x="37"/>
        <item x="417"/>
        <item m="1" x="1376"/>
        <item m="1" x="1391"/>
        <item m="1" x="1162"/>
        <item m="1" x="1058"/>
        <item m="1" x="1340"/>
        <item m="1" x="1339"/>
        <item m="1" x="1195"/>
        <item m="1" x="670"/>
        <item m="1" x="589"/>
        <item x="32"/>
        <item x="235"/>
        <item m="1" x="947"/>
        <item m="1" x="1408"/>
        <item m="1" x="1401"/>
        <item m="1" x="675"/>
        <item x="274"/>
        <item m="1" x="820"/>
        <item m="1" x="676"/>
        <item x="234"/>
        <item x="320"/>
        <item x="215"/>
        <item x="435"/>
        <item x="450"/>
        <item m="1" x="821"/>
        <item x="451"/>
        <item x="216"/>
        <item m="1" x="677"/>
        <item m="1" x="683"/>
        <item m="1" x="865"/>
        <item m="1" x="679"/>
        <item m="1" x="678"/>
        <item m="1" x="684"/>
      </items>
    </pivotField>
    <pivotField dataField="1" compact="0" outline="0" showAll="0" defaultSubtotal="0"/>
    <pivotField compact="0" outline="0" showAll="0" defaultSubtotal="0"/>
    <pivotField dataField="1" compact="0" outline="0" subtotalTop="0" showAll="0" defaultSubtotal="0"/>
    <pivotField dataField="1" compact="0" outline="0" showAll="0" defaultSubtotal="0"/>
    <pivotField dataField="1" compact="0" outline="0" subtotalTop="0" showAll="0" defaultSubtotal="0"/>
    <pivotField dataField="1" compact="0" outline="0" subtotalTop="0" showAll="0" defaultSubtotal="0"/>
    <pivotField dataField="1" compact="0" outline="0" showAll="0" defaultSubtotal="0"/>
    <pivotField dataField="1" compact="0" outline="0" subtotalTop="0" showAll="0" defaultSubtotal="0"/>
    <pivotField dataField="1" compact="0" outline="0" showAll="0" defaultSubtotal="0"/>
    <pivotField axis="axisRow" compact="0" outline="0" subtotalTop="0" showAll="0" sortType="descending" defaultSubtotal="0">
      <items count="299">
        <item x="15"/>
        <item x="37"/>
        <item x="84"/>
        <item m="1" x="250"/>
        <item x="78"/>
        <item m="1" x="288"/>
        <item m="1" x="130"/>
        <item m="1" x="287"/>
        <item m="1" x="247"/>
        <item m="1" x="265"/>
        <item x="51"/>
        <item m="1" x="245"/>
        <item x="16"/>
        <item x="112"/>
        <item m="1" x="121"/>
        <item m="1" x="154"/>
        <item m="1" x="284"/>
        <item m="1" x="216"/>
        <item m="1" x="241"/>
        <item m="1" x="251"/>
        <item m="1" x="138"/>
        <item m="1" x="281"/>
        <item m="1" x="146"/>
        <item x="95"/>
        <item m="1" x="272"/>
        <item x="56"/>
        <item x="71"/>
        <item x="43"/>
        <item x="46"/>
        <item x="2"/>
        <item x="31"/>
        <item m="1" x="246"/>
        <item m="1" x="240"/>
        <item x="27"/>
        <item m="1" x="274"/>
        <item x="66"/>
        <item m="1" x="286"/>
        <item x="49"/>
        <item m="1" x="276"/>
        <item x="52"/>
        <item m="1" x="292"/>
        <item x="38"/>
        <item m="1" x="120"/>
        <item m="1" x="207"/>
        <item x="39"/>
        <item m="1" x="248"/>
        <item m="1" x="212"/>
        <item x="53"/>
        <item x="47"/>
        <item m="1" x="229"/>
        <item x="62"/>
        <item m="1" x="243"/>
        <item m="1" x="192"/>
        <item x="75"/>
        <item x="91"/>
        <item x="32"/>
        <item x="33"/>
        <item m="1" x="209"/>
        <item n="MİMAKS AKSESUAR" x="14"/>
        <item x="55"/>
        <item x="64"/>
        <item m="1" x="252"/>
        <item m="1" x="262"/>
        <item x="29"/>
        <item m="1" x="163"/>
        <item x="45"/>
        <item m="1" x="273"/>
        <item m="1" x="285"/>
        <item m="1" x="244"/>
        <item m="1" x="297"/>
        <item x="11"/>
        <item x="42"/>
        <item x="63"/>
        <item x="50"/>
        <item m="1" x="249"/>
        <item m="1" x="267"/>
        <item m="1" x="159"/>
        <item x="17"/>
        <item m="1" x="239"/>
        <item x="61"/>
        <item m="1" x="203"/>
        <item x="80"/>
        <item x="94"/>
        <item x="4"/>
        <item m="1" x="282"/>
        <item m="1" x="233"/>
        <item m="1" x="270"/>
        <item m="1" x="295"/>
        <item x="6"/>
        <item m="1" x="291"/>
        <item m="1" x="298"/>
        <item m="1" x="296"/>
        <item m="1" x="156"/>
        <item m="1" x="275"/>
        <item x="9"/>
        <item m="1" x="294"/>
        <item m="1" x="289"/>
        <item m="1" x="283"/>
        <item m="1" x="290"/>
        <item m="1" x="217"/>
        <item m="1" x="293"/>
        <item m="1" x="145"/>
        <item m="1" x="181"/>
        <item m="1" x="242"/>
        <item m="1" x="280"/>
        <item x="93"/>
        <item m="1" x="188"/>
        <item m="1" x="253"/>
        <item m="1" x="279"/>
        <item x="25"/>
        <item m="1" x="123"/>
        <item m="1" x="263"/>
        <item x="30"/>
        <item m="1" x="278"/>
        <item m="1" x="119"/>
        <item x="44"/>
        <item x="34"/>
        <item m="1" x="261"/>
        <item m="1" x="189"/>
        <item m="1" x="268"/>
        <item m="1" x="269"/>
        <item x="18"/>
        <item m="1" x="194"/>
        <item m="1" x="266"/>
        <item m="1" x="254"/>
        <item x="36"/>
        <item m="1" x="172"/>
        <item x="48"/>
        <item x="57"/>
        <item m="1" x="271"/>
        <item m="1" x="277"/>
        <item m="1" x="238"/>
        <item m="1" x="224"/>
        <item m="1" x="232"/>
        <item m="1" x="126"/>
        <item m="1" x="234"/>
        <item m="1" x="133"/>
        <item x="41"/>
        <item m="1" x="236"/>
        <item m="1" x="124"/>
        <item m="1" x="255"/>
        <item m="1" x="256"/>
        <item m="1" x="257"/>
        <item m="1" x="258"/>
        <item m="1" x="206"/>
        <item m="1" x="259"/>
        <item m="1" x="260"/>
        <item x="10"/>
        <item m="1" x="264"/>
        <item m="1" x="220"/>
        <item m="1" x="127"/>
        <item x="13"/>
        <item m="1" x="197"/>
        <item m="1" x="165"/>
        <item m="1" x="166"/>
        <item x="8"/>
        <item m="1" x="173"/>
        <item x="0"/>
        <item m="1" x="213"/>
        <item x="60"/>
        <item m="1" x="231"/>
        <item x="24"/>
        <item m="1" x="218"/>
        <item m="1" x="129"/>
        <item x="54"/>
        <item m="1" x="148"/>
        <item m="1" x="140"/>
        <item m="1" x="180"/>
        <item m="1" x="215"/>
        <item m="1" x="139"/>
        <item x="111"/>
        <item m="1" x="174"/>
        <item m="1" x="179"/>
        <item x="86"/>
        <item m="1" x="225"/>
        <item x="26"/>
        <item x="100"/>
        <item m="1" x="149"/>
        <item x="73"/>
        <item x="92"/>
        <item x="65"/>
        <item m="1" x="228"/>
        <item m="1" x="142"/>
        <item m="1" x="143"/>
        <item m="1" x="235"/>
        <item m="1" x="237"/>
        <item m="1" x="227"/>
        <item x="88"/>
        <item m="1" x="160"/>
        <item m="1" x="230"/>
        <item x="79"/>
        <item m="1" x="117"/>
        <item m="1" x="152"/>
        <item m="1" x="226"/>
        <item x="59"/>
        <item x="58"/>
        <item m="1" x="204"/>
        <item x="109"/>
        <item x="1"/>
        <item m="1" x="116"/>
        <item m="1" x="222"/>
        <item m="1" x="183"/>
        <item m="1" x="221"/>
        <item m="1" x="223"/>
        <item m="1" x="205"/>
        <item m="1" x="153"/>
        <item m="1" x="219"/>
        <item x="102"/>
        <item x="20"/>
        <item m="1" x="208"/>
        <item m="1" x="136"/>
        <item x="3"/>
        <item x="68"/>
        <item m="1" x="195"/>
        <item x="67"/>
        <item x="96"/>
        <item m="1" x="214"/>
        <item x="85"/>
        <item m="1" x="210"/>
        <item x="70"/>
        <item x="81"/>
        <item m="1" x="182"/>
        <item m="1" x="211"/>
        <item x="40"/>
        <item m="1" x="157"/>
        <item x="110"/>
        <item x="99"/>
        <item m="1" x="134"/>
        <item m="1" x="198"/>
        <item x="35"/>
        <item m="1" x="202"/>
        <item m="1" x="158"/>
        <item m="1" x="201"/>
        <item x="28"/>
        <item x="77"/>
        <item m="1" x="162"/>
        <item m="1" x="196"/>
        <item m="1" x="190"/>
        <item m="1" x="187"/>
        <item m="1" x="199"/>
        <item m="1" x="200"/>
        <item m="1" x="191"/>
        <item m="1" x="193"/>
        <item x="82"/>
        <item m="1" x="147"/>
        <item x="22"/>
        <item m="1" x="137"/>
        <item x="106"/>
        <item m="1" x="135"/>
        <item m="1" x="169"/>
        <item m="1" x="170"/>
        <item m="1" x="171"/>
        <item m="1" x="186"/>
        <item m="1" x="175"/>
        <item m="1" x="177"/>
        <item m="1" x="178"/>
        <item x="104"/>
        <item x="72"/>
        <item x="101"/>
        <item m="1" x="184"/>
        <item m="1" x="155"/>
        <item m="1" x="144"/>
        <item m="1" x="185"/>
        <item m="1" x="176"/>
        <item x="12"/>
        <item x="113"/>
        <item x="23"/>
        <item m="1" x="141"/>
        <item x="107"/>
        <item m="1" x="168"/>
        <item x="97"/>
        <item x="74"/>
        <item x="103"/>
        <item m="1" x="167"/>
        <item n="KROM ENDÜSTRİ ÜRÜNLERİ ANONİM ŞİRKETİ2" x="5"/>
        <item m="1" x="164"/>
        <item x="114"/>
        <item m="1" x="150"/>
        <item m="1" x="161"/>
        <item x="7"/>
        <item x="76"/>
        <item x="90"/>
        <item m="1" x="128"/>
        <item x="83"/>
        <item m="1" x="151"/>
        <item m="1" x="115"/>
        <item x="19"/>
        <item x="108"/>
        <item x="87"/>
        <item x="21"/>
        <item x="69"/>
        <item x="105"/>
        <item m="1" x="118"/>
        <item m="1" x="132"/>
        <item m="1" x="122"/>
        <item m="1" x="125"/>
        <item m="1" x="131"/>
        <item x="89"/>
        <item x="98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ubtotalTop="0" showAll="0" defaultSubtotal="0"/>
    <pivotField compact="0" outline="0" showAll="0" defaultSubtotal="0">
      <items count="22">
        <item x="0"/>
        <item x="5"/>
        <item m="1" x="17"/>
        <item m="1" x="18"/>
        <item x="11"/>
        <item x="12"/>
        <item x="6"/>
        <item m="1" x="21"/>
        <item m="1" x="15"/>
        <item x="7"/>
        <item m="1" x="20"/>
        <item x="1"/>
        <item x="13"/>
        <item x="2"/>
        <item x="3"/>
        <item x="9"/>
        <item x="4"/>
        <item x="10"/>
        <item x="8"/>
        <item m="1" x="19"/>
        <item m="1" x="14"/>
        <item m="1" x="16"/>
      </items>
    </pivotField>
  </pivotFields>
  <rowFields count="3">
    <field x="3"/>
    <field x="4"/>
    <field x="14"/>
  </rowFields>
  <rowItems count="517">
    <i>
      <x v="1363"/>
      <x v="625"/>
      <x v="88"/>
    </i>
    <i>
      <x v="1370"/>
      <x v="1107"/>
      <x v="79"/>
    </i>
    <i>
      <x v="289"/>
      <x v="850"/>
      <x v="79"/>
    </i>
    <i>
      <x v="282"/>
      <x v="1115"/>
      <x v="72"/>
    </i>
    <i>
      <x v="949"/>
      <x v="1250"/>
      <x v="4"/>
    </i>
    <i>
      <x v="8"/>
      <x v="236"/>
      <x v="243"/>
    </i>
    <i>
      <x v="1110"/>
      <x v="856"/>
      <x v="79"/>
    </i>
    <i>
      <x v="741"/>
      <x v="802"/>
      <x v="79"/>
    </i>
    <i>
      <x v="1250"/>
      <x v="1131"/>
      <x v="220"/>
    </i>
    <i>
      <x v="704"/>
      <x v="1435"/>
      <x v="29"/>
    </i>
    <i>
      <x v="163"/>
      <x v="752"/>
      <x v="29"/>
    </i>
    <i>
      <x v="189"/>
      <x v="1065"/>
      <x v="60"/>
    </i>
    <i>
      <x v="190"/>
      <x v="1066"/>
      <x v="60"/>
    </i>
    <i>
      <x v="5"/>
      <x v="825"/>
      <x v="289"/>
    </i>
    <i>
      <x v="195"/>
      <x v="1223"/>
      <x v="70"/>
    </i>
    <i>
      <x v="308"/>
      <x v="1062"/>
      <x v="195"/>
    </i>
    <i>
      <x v="942"/>
      <x v="626"/>
      <x v="233"/>
    </i>
    <i>
      <x v="1225"/>
      <x v="1434"/>
      <x v="88"/>
    </i>
    <i>
      <x v="276"/>
      <x v="809"/>
      <x v="79"/>
    </i>
    <i>
      <x v="1206"/>
      <x v="1128"/>
      <x v="220"/>
    </i>
    <i>
      <x v="912"/>
      <x v="1421"/>
      <x v="63"/>
    </i>
    <i>
      <x v="1203"/>
      <x v="1286"/>
      <x v="63"/>
    </i>
    <i>
      <x v="1202"/>
      <x v="371"/>
      <x v="63"/>
    </i>
    <i>
      <x v="284"/>
      <x v="1116"/>
      <x v="79"/>
    </i>
    <i>
      <x v="1306"/>
      <x v="950"/>
      <x v="26"/>
    </i>
    <i>
      <x v="1339"/>
      <x v="1113"/>
      <x v="88"/>
    </i>
    <i>
      <x v="782"/>
      <x v="79"/>
      <x v="79"/>
    </i>
    <i>
      <x v="277"/>
      <x v="811"/>
      <x v="79"/>
    </i>
    <i>
      <x v="1054"/>
      <x v="1450"/>
      <x v="274"/>
    </i>
    <i>
      <x v="91"/>
      <x v="1030"/>
      <x v="266"/>
    </i>
    <i>
      <x v="290"/>
      <x v="851"/>
      <x v="79"/>
    </i>
    <i>
      <x v="979"/>
      <x v="1028"/>
      <x v="266"/>
    </i>
    <i>
      <x v="1253"/>
      <x v="1132"/>
      <x v="220"/>
    </i>
    <i>
      <x v="579"/>
      <x v="629"/>
      <x v="81"/>
    </i>
    <i>
      <x v="586"/>
      <x v="1221"/>
      <x v="29"/>
    </i>
    <i>
      <x v="738"/>
      <x v="1095"/>
      <x v="59"/>
    </i>
    <i>
      <x v="962"/>
      <x v="672"/>
      <x v="88"/>
    </i>
    <i>
      <x v="980"/>
      <x v="1426"/>
      <x v="2"/>
    </i>
    <i>
      <x v="136"/>
      <x v="282"/>
      <x v="58"/>
    </i>
    <i>
      <x v="1346"/>
      <x v="1008"/>
      <x v="180"/>
    </i>
    <i>
      <x v="1333"/>
      <x v="946"/>
      <x v="26"/>
    </i>
    <i>
      <x v="1236"/>
      <x v="289"/>
      <x v="212"/>
    </i>
    <i>
      <x v="1106"/>
      <x v="1353"/>
      <x v="214"/>
    </i>
    <i>
      <x v="306"/>
      <x v="918"/>
      <x v="198"/>
    </i>
    <i>
      <x v="200"/>
      <x v="1495"/>
      <x v="29"/>
    </i>
    <i>
      <x v="208"/>
      <x v="640"/>
      <x v="155"/>
    </i>
    <i>
      <x v="1193"/>
      <x v="707"/>
      <x v="217"/>
    </i>
    <i>
      <x v="304"/>
      <x v="607"/>
      <x v="29"/>
    </i>
    <i>
      <x v="693"/>
      <x v="1026"/>
      <x v="155"/>
    </i>
    <i>
      <x v="294"/>
      <x v="194"/>
      <x v="264"/>
    </i>
    <i>
      <x v="1358"/>
      <x v="105"/>
      <x v="47"/>
    </i>
    <i>
      <x v="1248"/>
      <x v="758"/>
      <x v="79"/>
    </i>
    <i>
      <x v="38"/>
      <x v="370"/>
      <x v="212"/>
    </i>
    <i>
      <x v="927"/>
      <x v="939"/>
      <x v="286"/>
    </i>
    <i>
      <x v="716"/>
      <x v="753"/>
      <x v="29"/>
    </i>
    <i>
      <x v="203"/>
      <x v="914"/>
      <x v="155"/>
    </i>
    <i>
      <x v="747"/>
      <x v="1233"/>
      <x v="198"/>
    </i>
    <i>
      <x v="928"/>
      <x v="1371"/>
      <x v="151"/>
    </i>
    <i>
      <x v="1017"/>
      <x v="1454"/>
      <x v="88"/>
    </i>
    <i>
      <x v="1196"/>
      <x v="712"/>
      <x v="217"/>
    </i>
    <i>
      <x v="368"/>
      <x v="1001"/>
      <x v="180"/>
    </i>
    <i>
      <x v="542"/>
      <x v="1408"/>
      <x v="23"/>
    </i>
    <i>
      <x v="739"/>
      <x v="1272"/>
      <x v="59"/>
    </i>
    <i>
      <x v="1386"/>
      <x v="75"/>
      <x v="88"/>
    </i>
    <i>
      <x v="9"/>
      <x v="822"/>
      <x v="229"/>
    </i>
    <i>
      <x v="1399"/>
      <x v="288"/>
      <x v="88"/>
    </i>
    <i>
      <x v="1381"/>
      <x v="109"/>
      <x v="198"/>
    </i>
    <i>
      <x v="274"/>
      <x v="808"/>
      <x v="79"/>
    </i>
    <i>
      <x v="1300"/>
      <x v="997"/>
      <x v="180"/>
    </i>
    <i>
      <x v="783"/>
      <x v="78"/>
      <x v="79"/>
    </i>
    <i>
      <x v="139"/>
      <x v="922"/>
      <x v="58"/>
    </i>
    <i>
      <x v="1069"/>
      <x v="774"/>
      <x v="70"/>
    </i>
    <i>
      <x v="1338"/>
      <x v="749"/>
      <x v="258"/>
    </i>
    <i>
      <x v="513"/>
      <x v="1145"/>
      <x v="33"/>
    </i>
    <i>
      <x v="784"/>
      <x v="1287"/>
      <x v="128"/>
    </i>
    <i>
      <x v="1198"/>
      <x v="587"/>
      <x v="2"/>
    </i>
    <i>
      <x v="1102"/>
      <x v="577"/>
      <x v="214"/>
    </i>
    <i>
      <x v="1130"/>
      <x v="410"/>
      <x v="195"/>
    </i>
    <i>
      <x v="872"/>
      <x v="411"/>
      <x v="195"/>
    </i>
    <i>
      <x v="951"/>
      <x v="1405"/>
      <x v="157"/>
    </i>
    <i>
      <x v="1364"/>
      <x v="605"/>
      <x v="77"/>
    </i>
    <i>
      <x v="1095"/>
      <x v="1389"/>
      <x v="211"/>
    </i>
    <i>
      <x v="404"/>
      <x v="211"/>
      <x/>
    </i>
    <i>
      <x v="186"/>
      <x v="237"/>
      <x v="88"/>
    </i>
    <i>
      <x v="79"/>
      <x v="873"/>
      <x v="234"/>
    </i>
    <i>
      <x v="470"/>
      <x v="1285"/>
      <x v="55"/>
    </i>
    <i>
      <x v="1362"/>
      <x v="235"/>
      <x v="271"/>
    </i>
    <i>
      <x v="1079"/>
      <x v="73"/>
      <x v="137"/>
    </i>
    <i>
      <x v="261"/>
      <x v="224"/>
      <x v="178"/>
    </i>
    <i>
      <x v="364"/>
      <x v="230"/>
      <x v="27"/>
    </i>
    <i>
      <x v="6"/>
      <x v="1306"/>
      <x v="229"/>
    </i>
    <i>
      <x v="943"/>
      <x v="835"/>
      <x v="10"/>
    </i>
    <i>
      <x v="910"/>
      <x v="223"/>
      <x v="58"/>
    </i>
    <i>
      <x v="67"/>
      <x v="332"/>
      <x/>
    </i>
    <i>
      <x v="367"/>
      <x v="582"/>
      <x v="298"/>
    </i>
    <i>
      <x v="321"/>
      <x v="1368"/>
      <x v="211"/>
    </i>
    <i>
      <x v="469"/>
      <x v="1232"/>
      <x v="48"/>
    </i>
    <i>
      <x v="1064"/>
      <x v="1238"/>
      <x v="29"/>
    </i>
    <i>
      <x v="897"/>
      <x v="696"/>
      <x v="155"/>
    </i>
    <i>
      <x v="1103"/>
      <x v="576"/>
      <x v="214"/>
    </i>
    <i>
      <x v="1022"/>
      <x v="1328"/>
      <x v="198"/>
    </i>
    <i>
      <x v="338"/>
      <x v="966"/>
      <x v="211"/>
    </i>
    <i>
      <x v="68"/>
      <x v="333"/>
      <x/>
    </i>
    <i>
      <x v="991"/>
      <x v="115"/>
      <x v="29"/>
    </i>
    <i>
      <x v="1010"/>
      <x v="1475"/>
      <x v="88"/>
    </i>
    <i>
      <x v="906"/>
      <x v="1269"/>
      <x v="125"/>
    </i>
    <i>
      <x v="66"/>
      <x v="330"/>
      <x/>
    </i>
    <i>
      <x v="88"/>
      <x v="1262"/>
      <x v="27"/>
    </i>
    <i>
      <x v="761"/>
      <x v="899"/>
      <x v="212"/>
    </i>
    <i>
      <x v="213"/>
      <x v="584"/>
      <x v="211"/>
    </i>
    <i>
      <x v="273"/>
      <x v="804"/>
      <x v="79"/>
    </i>
    <i>
      <x v="230"/>
      <x v="1356"/>
      <x v="175"/>
    </i>
    <i>
      <x v="93"/>
      <x v="621"/>
      <x v="27"/>
    </i>
    <i>
      <x v="337"/>
      <x v="174"/>
      <x v="39"/>
    </i>
    <i>
      <x v="340"/>
      <x v="290"/>
      <x v="211"/>
    </i>
    <i>
      <x v="7"/>
      <x v="1305"/>
      <x v="229"/>
    </i>
    <i>
      <x v="436"/>
      <x v="789"/>
      <x v="79"/>
    </i>
    <i>
      <x v="1177"/>
      <x v="675"/>
      <x v="212"/>
    </i>
    <i>
      <x v="14"/>
      <x v="1307"/>
      <x v="112"/>
    </i>
    <i>
      <x v="214"/>
      <x v="706"/>
      <x v="211"/>
    </i>
    <i>
      <x v="538"/>
      <x v="1300"/>
      <x v="47"/>
    </i>
    <i>
      <x v="199"/>
      <x v="1384"/>
      <x v="29"/>
    </i>
    <i>
      <x v="202"/>
      <x v="643"/>
      <x v="155"/>
    </i>
    <i>
      <x v="771"/>
      <x v="828"/>
      <x v="88"/>
    </i>
    <i>
      <x v="976"/>
      <x v="1266"/>
      <x v="27"/>
    </i>
    <i>
      <x v="1077"/>
      <x v="212"/>
      <x/>
    </i>
    <i>
      <x v="658"/>
      <x v="1063"/>
      <x v="116"/>
    </i>
    <i>
      <x v="656"/>
      <x v="1507"/>
      <x v="29"/>
    </i>
    <i>
      <x v="901"/>
      <x v="1171"/>
      <x v="58"/>
    </i>
    <i>
      <x v="1398"/>
      <x v="76"/>
      <x v="88"/>
    </i>
    <i>
      <x v="880"/>
      <x v="1296"/>
      <x v="29"/>
    </i>
    <i>
      <x v="1091"/>
      <x v="1359"/>
      <x v="28"/>
    </i>
    <i>
      <x v="952"/>
      <x v="1406"/>
      <x v="157"/>
    </i>
    <i>
      <x v="1290"/>
      <x v="1022"/>
      <x v="173"/>
    </i>
    <i>
      <x v="967"/>
      <x v="296"/>
      <x v="27"/>
    </i>
    <i>
      <x v="80"/>
      <x v="963"/>
      <x v="27"/>
    </i>
    <i>
      <x v="86"/>
      <x v="1264"/>
      <x v="280"/>
    </i>
    <i>
      <x v="341"/>
      <x v="995"/>
      <x v="211"/>
    </i>
    <i>
      <x v="670"/>
      <x v="422"/>
      <x v="214"/>
    </i>
    <i>
      <x v="671"/>
      <x v="421"/>
      <x v="214"/>
    </i>
    <i>
      <x v="961"/>
      <x v="897"/>
      <x v="88"/>
    </i>
    <i>
      <x v="1107"/>
      <x v="1024"/>
      <x v="190"/>
    </i>
    <i>
      <x v="654"/>
      <x v="760"/>
      <x v="54"/>
    </i>
    <i>
      <x v="702"/>
      <x v="1225"/>
      <x v="25"/>
    </i>
    <i>
      <x v="749"/>
      <x v="886"/>
      <x v="58"/>
    </i>
    <i>
      <x v="300"/>
      <x v="600"/>
      <x v="50"/>
    </i>
    <i>
      <x v="1393"/>
      <x v="768"/>
      <x v="88"/>
    </i>
    <i>
      <x v="1023"/>
      <x v="1325"/>
      <x v="88"/>
    </i>
    <i>
      <x v="1111"/>
      <x v="84"/>
      <x v="79"/>
    </i>
    <i>
      <x v="1408"/>
      <x v="1367"/>
      <x v="73"/>
    </i>
    <i>
      <x v="918"/>
      <x v="1295"/>
      <x v="207"/>
    </i>
    <i>
      <x v="881"/>
      <x v="610"/>
      <x/>
    </i>
    <i>
      <x v="972"/>
      <x v="623"/>
      <x v="27"/>
    </i>
    <i>
      <x v="1365"/>
      <x v="609"/>
      <x v="214"/>
    </i>
    <i>
      <x v="1286"/>
      <x v="331"/>
      <x/>
    </i>
    <i>
      <x v="1287"/>
      <x v="1016"/>
      <x v="173"/>
    </i>
    <i>
      <x v="1294"/>
      <x v="965"/>
      <x v="27"/>
    </i>
    <i>
      <x v="60"/>
      <x v="28"/>
      <x v="127"/>
    </i>
    <i>
      <x v="168"/>
      <x v="1283"/>
      <x v="83"/>
    </i>
    <i>
      <x v="322"/>
      <x v="193"/>
      <x v="73"/>
    </i>
    <i>
      <x v="1219"/>
      <x v="1425"/>
      <x v="109"/>
    </i>
    <i>
      <x v="578"/>
      <x v="892"/>
      <x v="88"/>
    </i>
    <i>
      <x v="16"/>
      <x v="832"/>
      <x v="88"/>
    </i>
    <i>
      <x v="1394"/>
      <x v="642"/>
      <x v="155"/>
    </i>
    <i>
      <x v="460"/>
      <x v="203"/>
      <x v="1"/>
    </i>
    <i>
      <x v="598"/>
      <x v="1053"/>
      <x v="155"/>
    </i>
    <i>
      <x v="659"/>
      <x v="882"/>
      <x v="29"/>
    </i>
    <i>
      <x v="1011"/>
      <x v="1506"/>
      <x v="29"/>
    </i>
    <i>
      <x v="1392"/>
      <x v="85"/>
      <x v="287"/>
    </i>
    <i>
      <x v="1307"/>
      <x v="1318"/>
      <x v="147"/>
    </i>
    <i>
      <x v="1269"/>
      <x v="1343"/>
      <x v="283"/>
    </i>
    <i>
      <x v="814"/>
      <x v="34"/>
      <x v="127"/>
    </i>
    <i>
      <x v="1283"/>
      <x v="624"/>
      <x v="161"/>
    </i>
    <i>
      <x v="1195"/>
      <x v="725"/>
      <x v="217"/>
    </i>
    <i>
      <x v="1337"/>
      <x v="36"/>
      <x v="256"/>
    </i>
    <i>
      <x v="825"/>
      <x v="1263"/>
      <x v="27"/>
    </i>
    <i>
      <x v="1229"/>
      <x v="1140"/>
      <x v="225"/>
    </i>
    <i>
      <x v="1434"/>
      <x v="210"/>
      <x/>
    </i>
    <i>
      <x v="1344"/>
      <x v="97"/>
      <x v="35"/>
    </i>
    <i>
      <x v="1208"/>
      <x v="718"/>
      <x v="217"/>
    </i>
    <i>
      <x v="1187"/>
      <x v="261"/>
      <x v="215"/>
    </i>
    <i>
      <x v="977"/>
      <x v="1379"/>
      <x v="161"/>
    </i>
    <i>
      <x v="1312"/>
      <x v="1332"/>
      <x v="265"/>
    </i>
    <i>
      <x v="81"/>
      <x v="964"/>
      <x v="30"/>
    </i>
    <i>
      <x v="431"/>
      <x v="953"/>
      <x v="50"/>
    </i>
    <i>
      <x v="219"/>
      <x v="819"/>
      <x v="12"/>
    </i>
    <i>
      <x v="422"/>
      <x v="852"/>
      <x v="79"/>
    </i>
    <i>
      <x v="256"/>
      <x v="840"/>
      <x v="208"/>
    </i>
    <i>
      <x v="676"/>
      <x v="1392"/>
      <x v="211"/>
    </i>
    <i>
      <x v="215"/>
      <x v="711"/>
      <x v="211"/>
    </i>
    <i>
      <x v="220"/>
      <x v="841"/>
      <x v="208"/>
    </i>
    <i>
      <x v="614"/>
      <x v="18"/>
      <x v="58"/>
    </i>
    <i>
      <x v="221"/>
      <x v="842"/>
    </i>
    <i>
      <x v="580"/>
      <x v="876"/>
      <x v="63"/>
    </i>
    <i>
      <x v="700"/>
      <x v="1224"/>
      <x v="25"/>
    </i>
    <i>
      <x v="1235"/>
      <x v="9"/>
      <x v="268"/>
    </i>
    <i>
      <x v="1094"/>
      <x v="1396"/>
      <x v="214"/>
    </i>
    <i>
      <x v="1288"/>
      <x v="1020"/>
      <x v="173"/>
    </i>
    <i>
      <x v="1255"/>
      <x v="1129"/>
      <x v="220"/>
    </i>
    <i>
      <x v="1356"/>
      <x v="563"/>
      <x v="41"/>
    </i>
    <i>
      <x v="847"/>
      <x v="1136"/>
      <x v="198"/>
    </i>
    <i>
      <x v="1138"/>
      <x v="1402"/>
      <x v="197"/>
    </i>
    <i>
      <x v="231"/>
      <x v="1357"/>
      <x v="175"/>
    </i>
    <i>
      <x v="69"/>
      <x v="334"/>
      <x v="25"/>
    </i>
    <i>
      <x v="516"/>
      <x v="190"/>
      <x v="63"/>
    </i>
    <i>
      <x v="522"/>
      <x v="424"/>
      <x v="214"/>
    </i>
    <i>
      <x v="624"/>
      <x v="541"/>
      <x v="214"/>
    </i>
    <i>
      <x v="343"/>
      <x v="1245"/>
      <x v="25"/>
    </i>
    <i>
      <x v="451"/>
      <x v="1265"/>
      <x v="280"/>
    </i>
    <i>
      <x v="1387"/>
      <x v="384"/>
      <x v="187"/>
    </i>
    <i>
      <x v="735"/>
      <x v="482"/>
      <x v="179"/>
    </i>
    <i>
      <x v="733"/>
      <x v="481"/>
      <x v="179"/>
    </i>
    <i>
      <x v="23"/>
      <x v="659"/>
      <x v="27"/>
    </i>
    <i>
      <x v="737"/>
      <x v="486"/>
      <x v="179"/>
    </i>
    <i>
      <x v="734"/>
      <x v="485"/>
      <x v="179"/>
    </i>
    <i>
      <x v="76"/>
      <x v="792"/>
      <x v="30"/>
    </i>
    <i>
      <x v="736"/>
      <x v="484"/>
      <x v="179"/>
    </i>
    <i>
      <x v="720"/>
      <x v="1183"/>
      <x v="264"/>
    </i>
    <i>
      <x v="732"/>
      <x v="483"/>
      <x v="179"/>
    </i>
    <i>
      <x v="339"/>
      <x v="967"/>
      <x v="211"/>
    </i>
    <i>
      <x v="754"/>
      <x v="884"/>
      <x v="88"/>
    </i>
    <i>
      <x v="1347"/>
      <x v="549"/>
      <x v="41"/>
    </i>
    <i>
      <x v="1048"/>
      <x v="324"/>
      <x v="58"/>
    </i>
    <i>
      <x v="1070"/>
      <x v="65"/>
      <x v="29"/>
    </i>
    <i>
      <x v="812"/>
      <x v="1162"/>
      <x v="41"/>
    </i>
    <i>
      <x v="1200"/>
      <x v="941"/>
      <x v="29"/>
    </i>
    <i>
      <x v="1088"/>
      <x v="86"/>
      <x v="187"/>
    </i>
    <i>
      <x v="705"/>
      <x v="1231"/>
      <x v="58"/>
    </i>
    <i>
      <x v="432"/>
      <x v="954"/>
      <x v="50"/>
    </i>
    <i>
      <x v="224"/>
      <x v="940"/>
      <x v="276"/>
    </i>
    <i>
      <x v="56"/>
      <x v="369"/>
      <x v="266"/>
    </i>
    <i>
      <x v="574"/>
      <x v="887"/>
      <x v="155"/>
    </i>
    <i>
      <x v="1234"/>
      <x v="345"/>
      <x v="214"/>
    </i>
    <i>
      <x v="1247"/>
      <x v="1141"/>
      <x v="198"/>
    </i>
    <i>
      <x v="1241"/>
      <x v="344"/>
      <x v="214"/>
    </i>
    <i>
      <x v="837"/>
      <x v="503"/>
      <x v="214"/>
    </i>
    <i>
      <x v="1348"/>
      <x v="547"/>
      <x v="41"/>
    </i>
    <i>
      <x v="866"/>
      <x v="233"/>
      <x v="27"/>
    </i>
    <i>
      <x v="1409"/>
      <x v="277"/>
      <x v="291"/>
    </i>
    <i>
      <x v="267"/>
      <x v="1345"/>
      <x v="47"/>
    </i>
    <i>
      <x v="523"/>
      <x v="423"/>
      <x v="214"/>
    </i>
    <i>
      <x v="458"/>
      <x v="904"/>
      <x v="198"/>
    </i>
    <i>
      <x v="900"/>
      <x v="1173"/>
      <x v="58"/>
    </i>
    <i>
      <x v="1359"/>
      <x v="1017"/>
      <x v="173"/>
    </i>
    <i>
      <x v="907"/>
      <x v="52"/>
      <x v="71"/>
    </i>
    <i>
      <x v="1100"/>
      <x v="575"/>
      <x v="214"/>
    </i>
    <i>
      <x v="249"/>
      <x v="734"/>
      <x v="33"/>
    </i>
    <i>
      <x v="73"/>
      <x v="693"/>
      <x v="266"/>
    </i>
    <i>
      <x v="46"/>
      <x v="1210"/>
      <x v="266"/>
    </i>
    <i>
      <x v="150"/>
      <x v="1291"/>
      <x v="82"/>
    </i>
    <i>
      <x v="352"/>
      <x v="69"/>
      <x v="245"/>
    </i>
    <i>
      <x v="902"/>
      <x v="1174"/>
      <x v="223"/>
    </i>
    <i>
      <x v="247"/>
      <x v="936"/>
      <x v="279"/>
    </i>
    <i>
      <x v="894"/>
      <x v="1237"/>
      <x v="59"/>
    </i>
    <i>
      <x v="1189"/>
      <x v="41"/>
      <x v="175"/>
    </i>
    <i>
      <x v="1291"/>
      <x v="1019"/>
      <x v="173"/>
    </i>
    <i>
      <x v="836"/>
      <x v="502"/>
      <x v="214"/>
    </i>
    <i>
      <x v="1301"/>
      <x v="996"/>
      <x v="180"/>
    </i>
    <i>
      <x v="839"/>
      <x v="501"/>
      <x v="214"/>
    </i>
    <i>
      <x v="17"/>
      <x v="171"/>
      <x v="25"/>
    </i>
    <i>
      <x v="613"/>
      <x v="100"/>
      <x v="35"/>
    </i>
    <i>
      <x v="151"/>
      <x v="1292"/>
      <x v="58"/>
    </i>
    <i>
      <x v="228"/>
      <x v="1240"/>
      <x v="94"/>
    </i>
    <i>
      <x v="323"/>
      <x v="299"/>
      <x v="50"/>
    </i>
    <i>
      <x v="664"/>
      <x v="1423"/>
      <x v="58"/>
    </i>
    <i>
      <x v="25"/>
      <x v="679"/>
      <x v="266"/>
    </i>
    <i>
      <x v="774"/>
      <x v="903"/>
      <x v="198"/>
    </i>
    <i>
      <x v="1243"/>
      <x v="98"/>
      <x v="35"/>
    </i>
    <i>
      <x v="138"/>
      <x v="763"/>
      <x v="198"/>
    </i>
    <i>
      <x v="193"/>
      <x v="816"/>
      <x v="29"/>
    </i>
    <i>
      <x v="1038"/>
      <x v="702"/>
      <x v="58"/>
    </i>
    <i>
      <x v="1101"/>
      <x v="578"/>
      <x v="214"/>
    </i>
    <i>
      <x v="1240"/>
      <x v="1138"/>
      <x v="58"/>
    </i>
    <i>
      <x v="908"/>
      <x v="241"/>
      <x v="29"/>
    </i>
    <i>
      <x v="838"/>
      <x v="500"/>
      <x v="214"/>
    </i>
    <i>
      <x v="1191"/>
      <x v="38"/>
      <x v="175"/>
    </i>
    <i>
      <x v="24"/>
      <x v="678"/>
      <x v="266"/>
    </i>
    <i>
      <x v="170"/>
      <x v="1190"/>
      <x v="29"/>
    </i>
    <i>
      <x v="311"/>
      <x v="1192"/>
      <x v="29"/>
    </i>
    <i>
      <x v="55"/>
      <x v="1260"/>
      <x v="27"/>
    </i>
    <i>
      <x v="1352"/>
      <x v="1246"/>
      <x v="25"/>
    </i>
    <i>
      <x v="320"/>
      <x v="176"/>
      <x v="39"/>
    </i>
    <i>
      <x v="455"/>
      <x v="917"/>
      <x v="198"/>
    </i>
    <i>
      <x v="165"/>
      <x v="1207"/>
      <x v="164"/>
    </i>
    <i>
      <x v="514"/>
      <x v="283"/>
      <x v="58"/>
    </i>
    <i>
      <x v="1071"/>
      <x v="697"/>
      <x v="155"/>
    </i>
    <i>
      <x v="724"/>
      <x v="53"/>
      <x v="71"/>
    </i>
    <i>
      <x v="842"/>
      <x v="504"/>
      <x v="214"/>
    </i>
    <i>
      <x v="48"/>
      <x v="1259"/>
      <x v="27"/>
    </i>
    <i>
      <x v="661"/>
      <x v="117"/>
      <x v="29"/>
    </i>
    <i>
      <x v="1033"/>
      <x v="114"/>
      <x v="29"/>
    </i>
    <i>
      <x v="567"/>
      <x v="337"/>
      <x v="29"/>
    </i>
    <i>
      <x v="1379"/>
      <x v="417"/>
      <x v="264"/>
    </i>
    <i>
      <x v="1367"/>
      <x v="731"/>
      <x v="272"/>
    </i>
    <i>
      <x v="840"/>
      <x v="506"/>
      <x v="214"/>
    </i>
    <i>
      <x v="1209"/>
      <x v="1199"/>
      <x v="176"/>
    </i>
    <i>
      <x v="758"/>
      <x v="1485"/>
      <x v="266"/>
    </i>
    <i>
      <x v="1053"/>
      <x v="956"/>
      <x v="170"/>
    </i>
    <i>
      <x v="725"/>
      <x v="83"/>
      <x v="79"/>
    </i>
    <i>
      <x v="843"/>
      <x v="505"/>
      <x v="214"/>
    </i>
    <i>
      <x v="1099"/>
      <x v="574"/>
      <x v="214"/>
    </i>
    <i>
      <x v="1303"/>
      <x v="1048"/>
      <x v="288"/>
    </i>
    <i>
      <x v="1389"/>
      <x v="1057"/>
      <x v="25"/>
    </i>
    <i>
      <x v="1092"/>
      <x v="89"/>
      <x v="179"/>
    </i>
    <i>
      <x v="468"/>
      <x v="1377"/>
      <x v="266"/>
    </i>
    <i>
      <x v="450"/>
      <x v="1376"/>
      <x v="266"/>
    </i>
    <i>
      <x v="347"/>
      <x v="1158"/>
      <x v="13"/>
    </i>
    <i>
      <x v="1093"/>
      <x v="818"/>
      <x v="12"/>
    </i>
    <i>
      <x v="721"/>
      <x v="1186"/>
      <x v="29"/>
    </i>
    <i>
      <x v="171"/>
      <x v="3"/>
      <x v="264"/>
    </i>
    <i>
      <x v="568"/>
      <x v="338"/>
      <x v="29"/>
    </i>
    <i>
      <x v="1050"/>
      <x v="1046"/>
      <x v="58"/>
    </i>
    <i>
      <x v="573"/>
      <x v="17"/>
      <x v="155"/>
    </i>
    <i>
      <x v="841"/>
      <x v="507"/>
      <x v="214"/>
    </i>
    <i>
      <x v="813"/>
      <x v="375"/>
      <x v="219"/>
    </i>
    <i>
      <x v="471"/>
      <x v="1023"/>
      <x v="257"/>
    </i>
    <i>
      <x v="1073"/>
      <x v="1068"/>
      <x v="155"/>
    </i>
    <i>
      <x v="1024"/>
      <x v="1323"/>
      <x v="88"/>
    </i>
    <i>
      <x v="1232"/>
      <x v="339"/>
      <x v="226"/>
    </i>
    <i>
      <x v="1076"/>
      <x v="320"/>
      <x v="173"/>
    </i>
    <i>
      <x v="44"/>
      <x v="30"/>
      <x v="63"/>
    </i>
    <i>
      <x v="314"/>
      <x v="67"/>
      <x v="264"/>
    </i>
    <i>
      <x v="152"/>
      <x v="1382"/>
      <x v="58"/>
    </i>
    <i>
      <x v="307"/>
      <x v="1061"/>
      <x v="290"/>
    </i>
    <i>
      <x v="206"/>
      <x v="1073"/>
      <x v="29"/>
    </i>
    <i>
      <x v="309"/>
      <x v="1188"/>
      <x v="264"/>
    </i>
    <i>
      <x v="209"/>
      <x v="106"/>
      <x v="12"/>
    </i>
    <i>
      <x v="315"/>
      <x v="71"/>
      <x v="264"/>
    </i>
    <i>
      <x v="755"/>
      <x v="31"/>
      <x v="63"/>
    </i>
    <i>
      <x v="360"/>
      <x v="406"/>
      <x v="105"/>
    </i>
    <i>
      <x v="556"/>
      <x v="451"/>
      <x v="214"/>
    </i>
    <i>
      <x v="557"/>
      <x v="458"/>
      <x v="214"/>
    </i>
    <i>
      <x v="555"/>
      <x v="445"/>
      <x v="214"/>
    </i>
    <i>
      <x v="1045"/>
      <x v="93"/>
      <x v="35"/>
    </i>
    <i>
      <x v="554"/>
      <x v="438"/>
      <x v="214"/>
    </i>
    <i>
      <x v="166"/>
      <x v="1208"/>
      <x v="25"/>
    </i>
    <i>
      <x v="723"/>
      <x v="845"/>
      <x v="198"/>
    </i>
    <i>
      <x v="87"/>
      <x v="1420"/>
      <x v="180"/>
    </i>
    <i>
      <x v="1388"/>
      <x v="1321"/>
      <x v="187"/>
    </i>
    <i>
      <x v="310"/>
      <x v="1187"/>
      <x v="29"/>
    </i>
    <i>
      <x v="299"/>
      <x v="597"/>
      <x v="77"/>
    </i>
    <i>
      <x v="185"/>
      <x v="1100"/>
      <x v="47"/>
    </i>
    <i>
      <x v="303"/>
      <x v="606"/>
      <x v="264"/>
    </i>
    <i>
      <x v="655"/>
      <x v="1176"/>
      <x v="29"/>
    </i>
    <i>
      <x v="1030"/>
      <x v="1083"/>
      <x v="155"/>
    </i>
    <i>
      <x v="1252"/>
      <x v="551"/>
      <x v="214"/>
    </i>
    <i>
      <x v="726"/>
      <x v="254"/>
      <x v="274"/>
    </i>
    <i>
      <x v="177"/>
      <x v="1290"/>
      <x v="71"/>
    </i>
    <i>
      <x v="140"/>
      <x v="924"/>
      <x v="58"/>
    </i>
    <i>
      <x v="145"/>
      <x v="932"/>
      <x v="58"/>
    </i>
    <i>
      <x v="926"/>
      <x v="938"/>
      <x v="151"/>
    </i>
    <i>
      <x v="966"/>
      <x v="1214"/>
      <x v="281"/>
    </i>
    <i>
      <x v="437"/>
      <x v="867"/>
      <x v="159"/>
    </i>
    <i>
      <x v="167"/>
      <x v="1281"/>
      <x v="83"/>
    </i>
    <i>
      <x v="82"/>
      <x v="1013"/>
      <x v="63"/>
    </i>
    <i>
      <x v="696"/>
      <x v="1373"/>
      <x v="1"/>
    </i>
    <i>
      <x v="1260"/>
      <x v="673"/>
      <x v="266"/>
    </i>
    <i>
      <x v="1032"/>
      <x v="560"/>
      <x v="29"/>
    </i>
    <i>
      <x v="143"/>
      <x v="930"/>
      <x v="198"/>
    </i>
    <i>
      <x v="312"/>
      <x v="1196"/>
      <x v="29"/>
    </i>
    <i>
      <x v="1372"/>
      <x v="1294"/>
      <x v="147"/>
    </i>
    <i>
      <x v="453"/>
      <x v="361"/>
      <x v="155"/>
    </i>
    <i>
      <x v="61"/>
      <x v="91"/>
      <x v="63"/>
    </i>
    <i>
      <x v="1049"/>
      <x v="602"/>
      <x/>
    </i>
    <i>
      <x v="194"/>
      <x v="1220"/>
      <x v="70"/>
    </i>
    <i>
      <x v="70"/>
      <x v="404"/>
      <x v="56"/>
    </i>
    <i>
      <x v="896"/>
      <x v="1206"/>
      <x v="29"/>
    </i>
    <i>
      <x v="672"/>
      <x v="420"/>
      <x v="214"/>
    </i>
    <i>
      <x v="298"/>
      <x v="596"/>
      <x v="77"/>
    </i>
    <i>
      <x v="279"/>
      <x v="849"/>
      <x v="79"/>
    </i>
    <i>
      <x v="564"/>
      <x v="891"/>
      <x v="53"/>
    </i>
    <i>
      <x v="351"/>
      <x v="102"/>
      <x v="194"/>
    </i>
    <i>
      <x v="762"/>
      <x v="893"/>
      <x v="266"/>
    </i>
    <i>
      <x v="1366"/>
      <x v="1205"/>
      <x v="77"/>
    </i>
    <i>
      <x v="142"/>
      <x v="928"/>
      <x v="58"/>
    </i>
    <i>
      <x v="698"/>
      <x v="907"/>
      <x v="29"/>
    </i>
    <i>
      <x v="577"/>
      <x v="327"/>
      <x v="198"/>
    </i>
    <i>
      <x v="191"/>
      <x v="347"/>
      <x v="155"/>
    </i>
    <i>
      <x v="180"/>
      <x v="1289"/>
      <x v="71"/>
    </i>
    <i>
      <x v="430"/>
      <x v="1058"/>
      <x v="25"/>
    </i>
    <i>
      <x v="1395"/>
      <x v="836"/>
      <x v="10"/>
    </i>
    <i>
      <x v="1112"/>
      <x v="1121"/>
      <x v="26"/>
    </i>
    <i>
      <x v="1238"/>
      <x v="1334"/>
      <x v="266"/>
    </i>
    <i>
      <x v="994"/>
      <x v="909"/>
      <x v="29"/>
    </i>
    <i>
      <x v="1119"/>
      <x v="598"/>
      <x v="29"/>
    </i>
    <i>
      <x v="302"/>
      <x v="604"/>
      <x v="77"/>
    </i>
    <i>
      <x v="301"/>
      <x v="603"/>
      <x v="77"/>
    </i>
    <i>
      <x v="1231"/>
      <x v="341"/>
      <x v="226"/>
    </i>
    <i>
      <x v="1310"/>
      <x v="246"/>
      <x v="247"/>
    </i>
    <i>
      <x v="917"/>
      <x v="247"/>
      <x v="274"/>
    </i>
    <i>
      <x v="144"/>
      <x v="931"/>
      <x v="58"/>
    </i>
    <i>
      <x v="845"/>
      <x v="571"/>
      <x v="198"/>
    </i>
    <i>
      <x v="992"/>
      <x v="116"/>
      <x v="121"/>
    </i>
    <i>
      <x v="1"/>
      <x v="824"/>
      <x v="289"/>
    </i>
    <i>
      <x v="965"/>
      <x v="311"/>
      <x v="159"/>
    </i>
    <i>
      <x v="452"/>
      <x v="181"/>
      <x v="29"/>
    </i>
    <i>
      <x v="134"/>
      <x v="110"/>
      <x v="63"/>
    </i>
    <i>
      <x v="571"/>
      <x v="300"/>
      <x v="29"/>
    </i>
    <i>
      <x v="909"/>
      <x v="1271"/>
      <x v="29"/>
    </i>
    <i>
      <x v="295"/>
      <x v="256"/>
      <x v="274"/>
    </i>
    <i>
      <x v="958"/>
      <x v="676"/>
      <x v="266"/>
    </i>
    <i>
      <x v="959"/>
      <x v="677"/>
      <x v="266"/>
    </i>
    <i>
      <x v="1144"/>
      <x v="648"/>
      <x v="266"/>
    </i>
    <i>
      <x v="565"/>
      <x v="107"/>
      <x v="63"/>
    </i>
    <i>
      <x v="1178"/>
      <x v="251"/>
      <x v="88"/>
    </i>
    <i>
      <x v="915"/>
      <x v="1094"/>
      <x v="274"/>
    </i>
    <i>
      <x v="911"/>
      <x v="360"/>
      <x v="29"/>
    </i>
    <i>
      <x v="1019"/>
      <x v="1468"/>
      <x v="29"/>
    </i>
    <i>
      <x v="1147"/>
      <x v="761"/>
      <x v="29"/>
    </i>
    <i>
      <x v="895"/>
      <x v="257"/>
      <x v="274"/>
    </i>
    <i>
      <x v="1121"/>
      <x v="258"/>
      <x v="245"/>
    </i>
    <i>
      <x v="50"/>
      <x v="647"/>
      <x v="212"/>
    </i>
    <i>
      <x v="1396"/>
      <x v="367"/>
      <x v="29"/>
    </i>
    <i>
      <x v="1075"/>
      <x v="1069"/>
      <x v="155"/>
    </i>
    <i>
      <x v="1027"/>
      <x v="1099"/>
      <x v="88"/>
    </i>
    <i>
      <x v="423"/>
      <x v="1327"/>
      <x v="88"/>
    </i>
    <i>
      <x v="582"/>
      <x v="658"/>
      <x v="266"/>
    </i>
    <i>
      <x v="964"/>
      <x v="1218"/>
      <x v="63"/>
    </i>
    <i>
      <x v="21"/>
      <x v="656"/>
      <x v="266"/>
    </i>
    <i>
      <x v="1067"/>
      <x v="943"/>
      <x v="155"/>
    </i>
    <i>
      <x v="173"/>
      <x v="244"/>
      <x v="274"/>
    </i>
    <i>
      <x v="1201"/>
      <x v="1315"/>
      <x v="274"/>
    </i>
    <i>
      <x v="996"/>
      <x v="1512"/>
      <x v="58"/>
    </i>
    <i>
      <x v="1311"/>
      <x v="1275"/>
      <x v="247"/>
    </i>
    <i>
      <x v="1013"/>
      <x v="1278"/>
      <x v="29"/>
    </i>
    <i>
      <x v="760"/>
      <x v="874"/>
      <x v="63"/>
    </i>
    <i>
      <x v="1000"/>
      <x v="1517"/>
      <x v="58"/>
    </i>
    <i>
      <x v="1018"/>
      <x v="1097"/>
      <x v="88"/>
    </i>
    <i>
      <x v="313"/>
      <x v="754"/>
      <x v="29"/>
    </i>
    <i>
      <x v="757"/>
      <x v="1484"/>
      <x v="266"/>
    </i>
    <i>
      <x v="251"/>
      <x v="746"/>
      <x v="65"/>
    </i>
    <i>
      <x v="1397"/>
      <x v="366"/>
      <x v="29"/>
    </i>
    <i>
      <x v="207"/>
      <x v="1074"/>
      <x v="155"/>
    </i>
    <i>
      <x v="820"/>
      <x v="1217"/>
      <x v="63"/>
    </i>
    <i>
      <x v="1159"/>
      <x v="252"/>
      <x v="274"/>
    </i>
    <i>
      <x v="444"/>
      <x v="184"/>
      <x v="63"/>
    </i>
    <i>
      <x v="701"/>
      <x v="362"/>
      <x v="121"/>
    </i>
    <i>
      <x v="999"/>
      <x v="1516"/>
      <x v="58"/>
    </i>
    <i>
      <x v="1002"/>
      <x v="1519"/>
      <x v="58"/>
    </i>
    <i>
      <x v="1228"/>
      <x v="187"/>
      <x v="63"/>
    </i>
    <i>
      <x v="52"/>
      <x v="896"/>
      <x v="266"/>
    </i>
    <i>
      <x v="1233"/>
      <x v="895"/>
      <x v="266"/>
    </i>
    <i>
      <x v="57"/>
      <x v="646"/>
      <x v="212"/>
    </i>
    <i>
      <x v="442"/>
      <x v="182"/>
      <x v="63"/>
    </i>
    <i>
      <x v="443"/>
      <x v="183"/>
      <x v="63"/>
    </i>
    <i>
      <x v="1239"/>
      <x v="1338"/>
      <x v="266"/>
    </i>
    <i>
      <x v="1001"/>
      <x v="1518"/>
      <x v="58"/>
    </i>
    <i>
      <x v="1164"/>
      <x v="1276"/>
      <x v="274"/>
    </i>
    <i>
      <x v="1012"/>
      <x v="359"/>
      <x v="37"/>
    </i>
    <i>
      <x v="172"/>
      <x v="558"/>
      <x v="58"/>
    </i>
    <i>
      <x v="1361"/>
      <x v="1496"/>
      <x v="270"/>
    </i>
    <i>
      <x v="192"/>
      <x v="348"/>
      <x v="155"/>
    </i>
    <i>
      <x v="1034"/>
      <x v="113"/>
      <x v="29"/>
    </i>
    <i>
      <x v="1403"/>
      <x v="287"/>
      <x v="266"/>
    </i>
    <i>
      <x v="717"/>
      <x v="1432"/>
      <x v="58"/>
    </i>
    <i>
      <x v="161"/>
      <x v="655"/>
      <x v="266"/>
    </i>
    <i>
      <x v="1259"/>
      <x v="185"/>
      <x v="63"/>
    </i>
    <i>
      <x v="1341"/>
      <x v="1029"/>
      <x v="297"/>
    </i>
    <i>
      <x v="433"/>
      <x v="186"/>
      <x v="63"/>
    </i>
    <i>
      <x v="49"/>
      <x v="1284"/>
      <x v="63"/>
    </i>
    <i>
      <x v="1029"/>
      <x v="358"/>
      <x v="37"/>
    </i>
    <i>
      <x v="178"/>
      <x v="755"/>
      <x v="44"/>
    </i>
    <i>
      <x v="1005"/>
      <x v="1522"/>
      <x v="58"/>
    </i>
    <i>
      <x v="1118"/>
      <x v="249"/>
      <x v="29"/>
    </i>
    <i>
      <x v="712"/>
      <x v="1274"/>
      <x v="29"/>
    </i>
    <i>
      <x v="1343"/>
      <x v="1033"/>
      <x v="159"/>
    </i>
    <i>
      <x v="1004"/>
      <x v="1521"/>
      <x v="58"/>
    </i>
    <i>
      <x v="1115"/>
      <x v="253"/>
      <x v="29"/>
    </i>
    <i>
      <x v="22"/>
      <x v="657"/>
      <x v="212"/>
    </i>
    <i>
      <x v="633"/>
      <x v="1111"/>
      <x v="88"/>
    </i>
    <i>
      <x v="1028"/>
      <x v="1515"/>
      <x v="198"/>
    </i>
    <i>
      <x v="447"/>
      <x v="1339"/>
      <x v="88"/>
    </i>
    <i>
      <x v="157"/>
      <x v="1458"/>
      <x v="198"/>
    </i>
    <i>
      <x v="1340"/>
      <x v="1114"/>
      <x v="88"/>
    </i>
    <i>
      <x v="1400"/>
      <x v="284"/>
      <x v="266"/>
    </i>
    <i>
      <x v="1402"/>
      <x v="285"/>
      <x v="266"/>
    </i>
    <i>
      <x v="1404"/>
      <x v="1337"/>
      <x v="266"/>
    </i>
    <i>
      <x v="1405"/>
      <x v="1336"/>
      <x v="266"/>
    </i>
    <i>
      <x v="1174"/>
      <x v="1086"/>
      <x v="121"/>
    </i>
    <i>
      <x v="175"/>
      <x v="1314"/>
      <x v="274"/>
    </i>
    <i>
      <x v="727"/>
      <x v="1270"/>
      <x v="29"/>
    </i>
    <i>
      <x v="156"/>
      <x v="1456"/>
      <x v="29"/>
    </i>
    <i>
      <x v="179"/>
      <x v="1439"/>
      <x v="29"/>
    </i>
    <i>
      <x v="662"/>
      <x v="773"/>
      <x v="29"/>
    </i>
    <i>
      <x v="158"/>
      <x v="1460"/>
      <x v="29"/>
    </i>
    <i>
      <x v="740"/>
      <x v="245"/>
      <x v="115"/>
    </i>
    <i>
      <x v="182"/>
      <x v="652"/>
      <x v="29"/>
    </i>
    <i>
      <x v="1041"/>
      <x v="1440"/>
      <x v="274"/>
    </i>
    <i>
      <x v="660"/>
      <x v="1444"/>
      <x v="274"/>
    </i>
    <i>
      <x v="585"/>
      <x v="1453"/>
      <x v="29"/>
    </i>
    <i>
      <x v="1026"/>
      <x v="1473"/>
      <x v="29"/>
    </i>
    <i>
      <x v="1020"/>
      <x v="1047"/>
      <x v="29"/>
    </i>
    <i>
      <x v="153"/>
      <x v="1433"/>
      <x v="198"/>
    </i>
    <i>
      <x v="1037"/>
      <x v="1273"/>
      <x v="29"/>
    </i>
    <i>
      <x v="1401"/>
      <x v="1335"/>
      <x v="266"/>
    </i>
    <i>
      <x v="711"/>
      <x v="1041"/>
      <x v="29"/>
    </i>
    <i>
      <x v="1009"/>
      <x v="1471"/>
      <x v="29"/>
    </i>
    <i>
      <x v="1160"/>
      <x v="1304"/>
      <x v="198"/>
    </i>
    <i>
      <x v="155"/>
      <x v="1455"/>
      <x v="29"/>
    </i>
    <i>
      <x v="159"/>
      <x v="1466"/>
      <x v="29"/>
    </i>
    <i>
      <x v="1015"/>
      <x v="1445"/>
      <x v="29"/>
    </i>
    <i>
      <x v="204"/>
      <x v="1071"/>
      <x v="155"/>
    </i>
    <i>
      <x v="154"/>
      <x v="1452"/>
      <x v="29"/>
    </i>
    <i>
      <x v="1031"/>
      <x v="1474"/>
      <x v="88"/>
    </i>
    <i>
      <x v="572"/>
      <x v="1470"/>
      <x v="29"/>
    </i>
    <i>
      <x v="759"/>
      <x v="1204"/>
      <x v="63"/>
    </i>
    <i>
      <x v="893"/>
      <x v="1449"/>
      <x v="274"/>
    </i>
    <i>
      <x v="1036"/>
      <x v="1478"/>
      <x v="29"/>
    </i>
    <i>
      <x v="694"/>
      <x v="14"/>
      <x v="29"/>
    </i>
    <i>
      <x v="715"/>
      <x v="1469"/>
      <x v="29"/>
    </i>
    <i>
      <x v="1040"/>
      <x v="1179"/>
      <x v="29"/>
    </i>
    <i>
      <x v="162"/>
      <x v="1479"/>
      <x v="88"/>
    </i>
    <i>
      <x v="707"/>
      <x v="1098"/>
      <x v="29"/>
    </i>
    <i>
      <x v="1008"/>
      <x v="1459"/>
      <x v="88"/>
    </i>
    <i>
      <x v="903"/>
      <x v="653"/>
      <x v="266"/>
    </i>
    <i>
      <x v="28"/>
      <x v="682"/>
      <x v="88"/>
    </i>
    <i>
      <x v="714"/>
      <x v="1461"/>
      <x v="88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Toplam İhtiyaç" fld="5" baseField="0" baseItem="0"/>
    <dataField name="PROJELERE_ÇIKIŞLAR" fld="7" baseField="14" baseItem="88"/>
    <dataField name="Depo Stok" fld="8" subtotal="average" baseField="4" baseItem="245"/>
    <dataField name="ÜRETİM_DEPO" fld="9" subtotal="average" baseField="14" baseItem="88" numFmtId="1"/>
    <dataField name="Açık Siparişler" fld="11" subtotal="average" baseField="4" baseItem="246"/>
    <dataField name="Toplam Satınalma" fld="10" subtotal="average" baseField="4" baseItem="65"/>
    <dataField name="Birim Fiyat" fld="13" subtotal="average" baseField="4" baseItem="22" numFmtId="164"/>
    <dataField name="Toplam Maliyet" fld="12" subtotal="average" baseField="4" baseItem="262" numFmtId="164"/>
  </dataFields>
  <formats count="370">
    <format dxfId="1870">
      <pivotArea type="all" dataOnly="0" outline="0" fieldPosition="0"/>
    </format>
    <format dxfId="1869">
      <pivotArea outline="0" collapsedLevelsAreSubtotals="1" fieldPosition="0"/>
    </format>
    <format dxfId="1868">
      <pivotArea dataOnly="0" labelOnly="1" outline="0" fieldPosition="0">
        <references count="1">
          <reference field="3" count="4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867">
      <pivotArea dataOnly="0" labelOnly="1" outline="0" fieldPosition="0">
        <references count="1">
          <reference field="3" count="41"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</reference>
        </references>
      </pivotArea>
    </format>
    <format dxfId="1866">
      <pivotArea dataOnly="0" labelOnly="1" outline="0" fieldPosition="0">
        <references count="1">
          <reference field="3" count="32">
            <x v="86"/>
            <x v="87"/>
            <x v="88"/>
            <x v="89"/>
            <x v="90"/>
            <x v="91"/>
            <x v="92"/>
            <x v="93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</reference>
        </references>
      </pivotArea>
    </format>
    <format dxfId="1865">
      <pivotArea dataOnly="0" labelOnly="1" outline="0" fieldPosition="0">
        <references count="1">
          <reference field="3" count="32"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1864">
      <pivotArea dataOnly="0" labelOnly="1" outline="0" fieldPosition="0">
        <references count="1">
          <reference field="3" count="39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</reference>
        </references>
      </pivotArea>
    </format>
    <format dxfId="1863">
      <pivotArea dataOnly="0" labelOnly="1" outline="0" fieldPosition="0">
        <references count="1">
          <reference field="3" count="32"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</reference>
        </references>
      </pivotArea>
    </format>
    <format dxfId="1862">
      <pivotArea dataOnly="0" labelOnly="1" outline="0" fieldPosition="0">
        <references count="1">
          <reference field="3" count="42"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</reference>
        </references>
      </pivotArea>
    </format>
    <format dxfId="1861">
      <pivotArea dataOnly="0" labelOnly="1" outline="0" fieldPosition="0">
        <references count="1">
          <reference field="3" count="43"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</reference>
        </references>
      </pivotArea>
    </format>
    <format dxfId="1860">
      <pivotArea dataOnly="0" labelOnly="1" outline="0" fieldPosition="0">
        <references count="1">
          <reference field="3" count="9">
            <x v="345"/>
            <x v="346"/>
            <x v="347"/>
            <x v="348"/>
            <x v="349"/>
            <x v="350"/>
            <x v="351"/>
            <x v="352"/>
            <x v="353"/>
          </reference>
        </references>
      </pivotArea>
    </format>
    <format dxfId="1859">
      <pivotArea dataOnly="0" labelOnly="1" outline="0" fieldPosition="0">
        <references count="2">
          <reference field="3" count="1" selected="0">
            <x v="0"/>
          </reference>
          <reference field="4" count="1">
            <x v="821"/>
          </reference>
        </references>
      </pivotArea>
    </format>
    <format dxfId="1858">
      <pivotArea dataOnly="0" labelOnly="1" outline="0" fieldPosition="0">
        <references count="2">
          <reference field="3" count="1" selected="0">
            <x v="1"/>
          </reference>
          <reference field="4" count="1">
            <x v="824"/>
          </reference>
        </references>
      </pivotArea>
    </format>
    <format dxfId="1857">
      <pivotArea dataOnly="0" labelOnly="1" outline="0" fieldPosition="0">
        <references count="2">
          <reference field="3" count="1" selected="0">
            <x v="2"/>
          </reference>
          <reference field="4" count="1">
            <x v="838"/>
          </reference>
        </references>
      </pivotArea>
    </format>
    <format dxfId="1856">
      <pivotArea dataOnly="0" labelOnly="1" outline="0" fieldPosition="0">
        <references count="2">
          <reference field="3" count="1" selected="0">
            <x v="3"/>
          </reference>
          <reference field="4" count="1">
            <x v="1341"/>
          </reference>
        </references>
      </pivotArea>
    </format>
    <format dxfId="1855">
      <pivotArea dataOnly="0" labelOnly="1" outline="0" fieldPosition="0">
        <references count="2">
          <reference field="3" count="1" selected="0">
            <x v="4"/>
          </reference>
          <reference field="4" count="1">
            <x v="1309"/>
          </reference>
        </references>
      </pivotArea>
    </format>
    <format dxfId="1854">
      <pivotArea dataOnly="0" labelOnly="1" outline="0" fieldPosition="0">
        <references count="2">
          <reference field="3" count="1" selected="0">
            <x v="5"/>
          </reference>
          <reference field="4" count="1">
            <x v="825"/>
          </reference>
        </references>
      </pivotArea>
    </format>
    <format dxfId="1853">
      <pivotArea dataOnly="0" labelOnly="1" outline="0" fieldPosition="0">
        <references count="2">
          <reference field="3" count="1" selected="0">
            <x v="6"/>
          </reference>
          <reference field="4" count="1">
            <x v="1306"/>
          </reference>
        </references>
      </pivotArea>
    </format>
    <format dxfId="1852">
      <pivotArea dataOnly="0" labelOnly="1" outline="0" fieldPosition="0">
        <references count="2">
          <reference field="3" count="1" selected="0">
            <x v="7"/>
          </reference>
          <reference field="4" count="1">
            <x v="1305"/>
          </reference>
        </references>
      </pivotArea>
    </format>
    <format dxfId="1851">
      <pivotArea dataOnly="0" labelOnly="1" outline="0" fieldPosition="0">
        <references count="2">
          <reference field="3" count="1" selected="0">
            <x v="8"/>
          </reference>
          <reference field="4" count="1">
            <x v="236"/>
          </reference>
        </references>
      </pivotArea>
    </format>
    <format dxfId="1850">
      <pivotArea dataOnly="0" labelOnly="1" outline="0" fieldPosition="0">
        <references count="2">
          <reference field="3" count="1" selected="0">
            <x v="9"/>
          </reference>
          <reference field="4" count="1">
            <x v="822"/>
          </reference>
        </references>
      </pivotArea>
    </format>
    <format dxfId="1849">
      <pivotArea dataOnly="0" labelOnly="1" outline="0" fieldPosition="0">
        <references count="2">
          <reference field="3" count="1" selected="0">
            <x v="10"/>
          </reference>
          <reference field="4" count="1">
            <x v="1308"/>
          </reference>
        </references>
      </pivotArea>
    </format>
    <format dxfId="1848">
      <pivotArea dataOnly="0" labelOnly="1" outline="0" fieldPosition="0">
        <references count="2">
          <reference field="3" count="1" selected="0">
            <x v="11"/>
          </reference>
          <reference field="4" count="1">
            <x v="1499"/>
          </reference>
        </references>
      </pivotArea>
    </format>
    <format dxfId="1847">
      <pivotArea dataOnly="0" labelOnly="1" outline="0" fieldPosition="0">
        <references count="2">
          <reference field="3" count="1" selected="0">
            <x v="12"/>
          </reference>
          <reference field="4" count="1">
            <x v="839"/>
          </reference>
        </references>
      </pivotArea>
    </format>
    <format dxfId="1846">
      <pivotArea dataOnly="0" labelOnly="1" outline="0" fieldPosition="0">
        <references count="2">
          <reference field="3" count="1" selected="0">
            <x v="13"/>
          </reference>
          <reference field="4" count="1">
            <x v="837"/>
          </reference>
        </references>
      </pivotArea>
    </format>
    <format dxfId="1845">
      <pivotArea dataOnly="0" labelOnly="1" outline="0" fieldPosition="0">
        <references count="2">
          <reference field="3" count="1" selected="0">
            <x v="14"/>
          </reference>
          <reference field="4" count="1">
            <x v="1307"/>
          </reference>
        </references>
      </pivotArea>
    </format>
    <format dxfId="1844">
      <pivotArea dataOnly="0" labelOnly="1" outline="0" fieldPosition="0">
        <references count="2">
          <reference field="3" count="1" selected="0">
            <x v="15"/>
          </reference>
          <reference field="4" count="1">
            <x v="831"/>
          </reference>
        </references>
      </pivotArea>
    </format>
    <format dxfId="1843">
      <pivotArea dataOnly="0" labelOnly="1" outline="0" fieldPosition="0">
        <references count="2">
          <reference field="3" count="1" selected="0">
            <x v="16"/>
          </reference>
          <reference field="4" count="1">
            <x v="832"/>
          </reference>
        </references>
      </pivotArea>
    </format>
    <format dxfId="1842">
      <pivotArea dataOnly="0" labelOnly="1" outline="0" fieldPosition="0">
        <references count="2">
          <reference field="3" count="1" selected="0">
            <x v="17"/>
          </reference>
          <reference field="4" count="1">
            <x v="170"/>
          </reference>
        </references>
      </pivotArea>
    </format>
    <format dxfId="1841">
      <pivotArea dataOnly="0" labelOnly="1" outline="0" fieldPosition="0">
        <references count="2">
          <reference field="3" count="1" selected="0">
            <x v="18"/>
          </reference>
          <reference field="4" count="1">
            <x v="631"/>
          </reference>
        </references>
      </pivotArea>
    </format>
    <format dxfId="1840">
      <pivotArea dataOnly="0" labelOnly="1" outline="0" fieldPosition="0">
        <references count="2">
          <reference field="3" count="1" selected="0">
            <x v="19"/>
          </reference>
          <reference field="4" count="1">
            <x v="633"/>
          </reference>
        </references>
      </pivotArea>
    </format>
    <format dxfId="1839">
      <pivotArea dataOnly="0" labelOnly="1" outline="0" fieldPosition="0">
        <references count="2">
          <reference field="3" count="1" selected="0">
            <x v="20"/>
          </reference>
          <reference field="4" count="1">
            <x v="650"/>
          </reference>
        </references>
      </pivotArea>
    </format>
    <format dxfId="1838">
      <pivotArea dataOnly="0" labelOnly="1" outline="0" fieldPosition="0">
        <references count="2">
          <reference field="3" count="1" selected="0">
            <x v="21"/>
          </reference>
          <reference field="4" count="1">
            <x v="656"/>
          </reference>
        </references>
      </pivotArea>
    </format>
    <format dxfId="1837">
      <pivotArea dataOnly="0" labelOnly="1" outline="0" fieldPosition="0">
        <references count="2">
          <reference field="3" count="1" selected="0">
            <x v="22"/>
          </reference>
          <reference field="4" count="1">
            <x v="657"/>
          </reference>
        </references>
      </pivotArea>
    </format>
    <format dxfId="1836">
      <pivotArea dataOnly="0" labelOnly="1" outline="0" fieldPosition="0">
        <references count="2">
          <reference field="3" count="1" selected="0">
            <x v="23"/>
          </reference>
          <reference field="4" count="1">
            <x v="659"/>
          </reference>
        </references>
      </pivotArea>
    </format>
    <format dxfId="1835">
      <pivotArea dataOnly="0" labelOnly="1" outline="0" fieldPosition="0">
        <references count="2">
          <reference field="3" count="1" selected="0">
            <x v="24"/>
          </reference>
          <reference field="4" count="1">
            <x v="678"/>
          </reference>
        </references>
      </pivotArea>
    </format>
    <format dxfId="1834">
      <pivotArea dataOnly="0" labelOnly="1" outline="0" fieldPosition="0">
        <references count="2">
          <reference field="3" count="1" selected="0">
            <x v="25"/>
          </reference>
          <reference field="4" count="1">
            <x v="679"/>
          </reference>
        </references>
      </pivotArea>
    </format>
    <format dxfId="1833">
      <pivotArea dataOnly="0" labelOnly="1" outline="0" fieldPosition="0">
        <references count="2">
          <reference field="3" count="1" selected="0">
            <x v="26"/>
          </reference>
          <reference field="4" count="1">
            <x v="680"/>
          </reference>
        </references>
      </pivotArea>
    </format>
    <format dxfId="1832">
      <pivotArea dataOnly="0" labelOnly="1" outline="0" fieldPosition="0">
        <references count="2">
          <reference field="3" count="1" selected="0">
            <x v="27"/>
          </reference>
          <reference field="4" count="1">
            <x v="681"/>
          </reference>
        </references>
      </pivotArea>
    </format>
    <format dxfId="1831">
      <pivotArea dataOnly="0" labelOnly="1" outline="0" fieldPosition="0">
        <references count="2">
          <reference field="3" count="1" selected="0">
            <x v="28"/>
          </reference>
          <reference field="4" count="1">
            <x v="682"/>
          </reference>
        </references>
      </pivotArea>
    </format>
    <format dxfId="1830">
      <pivotArea dataOnly="0" labelOnly="1" outline="0" fieldPosition="0">
        <references count="2">
          <reference field="3" count="1" selected="0">
            <x v="29"/>
          </reference>
          <reference field="4" count="1">
            <x v="683"/>
          </reference>
        </references>
      </pivotArea>
    </format>
    <format dxfId="1829">
      <pivotArea dataOnly="0" labelOnly="1" outline="0" fieldPosition="0">
        <references count="2">
          <reference field="3" count="1" selected="0">
            <x v="30"/>
          </reference>
          <reference field="4" count="1">
            <x v="684"/>
          </reference>
        </references>
      </pivotArea>
    </format>
    <format dxfId="1828">
      <pivotArea dataOnly="0" labelOnly="1" outline="0" fieldPosition="0">
        <references count="2">
          <reference field="3" count="1" selected="0">
            <x v="31"/>
          </reference>
          <reference field="4" count="1">
            <x v="685"/>
          </reference>
        </references>
      </pivotArea>
    </format>
    <format dxfId="1827">
      <pivotArea dataOnly="0" labelOnly="1" outline="0" fieldPosition="0">
        <references count="2">
          <reference field="3" count="1" selected="0">
            <x v="32"/>
          </reference>
          <reference field="4" count="1">
            <x v="686"/>
          </reference>
        </references>
      </pivotArea>
    </format>
    <format dxfId="1826">
      <pivotArea dataOnly="0" labelOnly="1" outline="0" fieldPosition="0">
        <references count="2">
          <reference field="3" count="1" selected="0">
            <x v="33"/>
          </reference>
          <reference field="4" count="1">
            <x v="687"/>
          </reference>
        </references>
      </pivotArea>
    </format>
    <format dxfId="1825">
      <pivotArea dataOnly="0" labelOnly="1" outline="0" fieldPosition="0">
        <references count="2">
          <reference field="3" count="1" selected="0">
            <x v="34"/>
          </reference>
          <reference field="4" count="1">
            <x v="688"/>
          </reference>
        </references>
      </pivotArea>
    </format>
    <format dxfId="1824">
      <pivotArea dataOnly="0" labelOnly="1" outline="0" fieldPosition="0">
        <references count="2">
          <reference field="3" count="1" selected="0">
            <x v="35"/>
          </reference>
          <reference field="4" count="1">
            <x v="690"/>
          </reference>
        </references>
      </pivotArea>
    </format>
    <format dxfId="1823">
      <pivotArea dataOnly="0" labelOnly="1" outline="0" fieldPosition="0">
        <references count="2">
          <reference field="3" count="1" selected="0">
            <x v="36"/>
          </reference>
          <reference field="4" count="1">
            <x v="691"/>
          </reference>
        </references>
      </pivotArea>
    </format>
    <format dxfId="1822">
      <pivotArea dataOnly="0" labelOnly="1" outline="0" fieldPosition="0">
        <references count="2">
          <reference field="3" count="1" selected="0">
            <x v="37"/>
          </reference>
          <reference field="4" count="1">
            <x v="692"/>
          </reference>
        </references>
      </pivotArea>
    </format>
    <format dxfId="1821">
      <pivotArea dataOnly="0" labelOnly="1" outline="0" fieldPosition="0">
        <references count="2">
          <reference field="3" count="1" selected="0">
            <x v="38"/>
          </reference>
          <reference field="4" count="1">
            <x v="742"/>
          </reference>
        </references>
      </pivotArea>
    </format>
    <format dxfId="1820">
      <pivotArea dataOnly="0" labelOnly="1" outline="0" fieldPosition="0">
        <references count="2">
          <reference field="3" count="1" selected="0">
            <x v="39"/>
          </reference>
          <reference field="4" count="1">
            <x v="743"/>
          </reference>
        </references>
      </pivotArea>
    </format>
    <format dxfId="1819">
      <pivotArea dataOnly="0" labelOnly="1" outline="0" fieldPosition="0">
        <references count="2">
          <reference field="3" count="1" selected="0">
            <x v="40"/>
          </reference>
          <reference field="4" count="1">
            <x v="795"/>
          </reference>
        </references>
      </pivotArea>
    </format>
    <format dxfId="1818">
      <pivotArea dataOnly="0" labelOnly="1" outline="0" fieldPosition="0">
        <references count="2">
          <reference field="3" count="1" selected="0">
            <x v="41"/>
          </reference>
          <reference field="4" count="1">
            <x v="796"/>
          </reference>
        </references>
      </pivotArea>
    </format>
    <format dxfId="1817">
      <pivotArea dataOnly="0" labelOnly="1" outline="0" fieldPosition="0">
        <references count="2">
          <reference field="3" count="1" selected="0">
            <x v="42"/>
          </reference>
          <reference field="4" count="1">
            <x v="793"/>
          </reference>
        </references>
      </pivotArea>
    </format>
    <format dxfId="1816">
      <pivotArea dataOnly="0" labelOnly="1" outline="0" fieldPosition="0">
        <references count="2">
          <reference field="3" count="1" selected="0">
            <x v="43"/>
          </reference>
          <reference field="4" count="1">
            <x v="801"/>
          </reference>
        </references>
      </pivotArea>
    </format>
    <format dxfId="1815">
      <pivotArea dataOnly="0" labelOnly="1" outline="0" fieldPosition="0">
        <references count="2">
          <reference field="3" count="1" selected="0">
            <x v="44"/>
          </reference>
          <reference field="4" count="1">
            <x v="889"/>
          </reference>
        </references>
      </pivotArea>
    </format>
    <format dxfId="1814">
      <pivotArea dataOnly="0" labelOnly="1" outline="0" fieldPosition="0">
        <references count="2">
          <reference field="3" count="1" selected="0">
            <x v="45"/>
          </reference>
          <reference field="4" count="1">
            <x v="1209"/>
          </reference>
        </references>
      </pivotArea>
    </format>
    <format dxfId="1813">
      <pivotArea dataOnly="0" labelOnly="1" outline="0" fieldPosition="0">
        <references count="2">
          <reference field="3" count="1" selected="0">
            <x v="46"/>
          </reference>
          <reference field="4" count="1">
            <x v="1210"/>
          </reference>
        </references>
      </pivotArea>
    </format>
    <format dxfId="1812">
      <pivotArea dataOnly="0" labelOnly="1" outline="0" fieldPosition="0">
        <references count="2">
          <reference field="3" count="1" selected="0">
            <x v="47"/>
          </reference>
          <reference field="4" count="1">
            <x v="1212"/>
          </reference>
        </references>
      </pivotArea>
    </format>
    <format dxfId="1811">
      <pivotArea dataOnly="0" labelOnly="1" outline="0" fieldPosition="0">
        <references count="2">
          <reference field="3" count="1" selected="0">
            <x v="48"/>
          </reference>
          <reference field="4" count="1">
            <x v="1259"/>
          </reference>
        </references>
      </pivotArea>
    </format>
    <format dxfId="1810">
      <pivotArea dataOnly="0" labelOnly="1" outline="0" fieldPosition="0">
        <references count="2">
          <reference field="3" count="1" selected="0">
            <x v="49"/>
          </reference>
          <reference field="4" count="1">
            <x v="1284"/>
          </reference>
        </references>
      </pivotArea>
    </format>
    <format dxfId="1809">
      <pivotArea dataOnly="0" labelOnly="1" outline="0" fieldPosition="0">
        <references count="2">
          <reference field="3" count="1" selected="0">
            <x v="50"/>
          </reference>
          <reference field="4" count="1">
            <x v="647"/>
          </reference>
        </references>
      </pivotArea>
    </format>
    <format dxfId="1808">
      <pivotArea dataOnly="0" labelOnly="1" outline="0" fieldPosition="0">
        <references count="2">
          <reference field="3" count="1" selected="0">
            <x v="51"/>
          </reference>
          <reference field="4" count="1">
            <x v="674"/>
          </reference>
        </references>
      </pivotArea>
    </format>
    <format dxfId="1807">
      <pivotArea dataOnly="0" labelOnly="1" outline="0" fieldPosition="0">
        <references count="2">
          <reference field="3" count="1" selected="0">
            <x v="52"/>
          </reference>
          <reference field="4" count="1">
            <x v="894"/>
          </reference>
        </references>
      </pivotArea>
    </format>
    <format dxfId="1806">
      <pivotArea dataOnly="0" labelOnly="1" outline="0" fieldPosition="0">
        <references count="2">
          <reference field="3" count="1" selected="0">
            <x v="53"/>
          </reference>
          <reference field="4" count="1">
            <x v="794"/>
          </reference>
        </references>
      </pivotArea>
    </format>
    <format dxfId="1805">
      <pivotArea dataOnly="0" labelOnly="1" outline="0" fieldPosition="0">
        <references count="2">
          <reference field="3" count="1" selected="0">
            <x v="54"/>
          </reference>
          <reference field="4" count="1">
            <x v="666"/>
          </reference>
        </references>
      </pivotArea>
    </format>
    <format dxfId="1804">
      <pivotArea dataOnly="0" labelOnly="1" outline="0" fieldPosition="0">
        <references count="2">
          <reference field="3" count="1" selected="0">
            <x v="55"/>
          </reference>
          <reference field="4" count="1">
            <x v="1260"/>
          </reference>
        </references>
      </pivotArea>
    </format>
    <format dxfId="1803">
      <pivotArea dataOnly="0" labelOnly="1" outline="0" fieldPosition="0">
        <references count="2">
          <reference field="3" count="1" selected="0">
            <x v="56"/>
          </reference>
          <reference field="4" count="1">
            <x v="744"/>
          </reference>
        </references>
      </pivotArea>
    </format>
    <format dxfId="1802">
      <pivotArea dataOnly="0" labelOnly="1" outline="0" fieldPosition="0">
        <references count="2">
          <reference field="3" count="1" selected="0">
            <x v="57"/>
          </reference>
          <reference field="4" count="1">
            <x v="646"/>
          </reference>
        </references>
      </pivotArea>
    </format>
    <format dxfId="1801">
      <pivotArea dataOnly="0" labelOnly="1" outline="0" fieldPosition="0">
        <references count="2">
          <reference field="3" count="1" selected="0">
            <x v="58"/>
          </reference>
          <reference field="4" count="1">
            <x v="665"/>
          </reference>
        </references>
      </pivotArea>
    </format>
    <format dxfId="1800">
      <pivotArea dataOnly="0" labelOnly="1" outline="0" fieldPosition="0">
        <references count="2">
          <reference field="3" count="1" selected="0">
            <x v="59"/>
          </reference>
          <reference field="4" count="1">
            <x v="26"/>
          </reference>
        </references>
      </pivotArea>
    </format>
    <format dxfId="1799">
      <pivotArea dataOnly="0" labelOnly="1" outline="0" fieldPosition="0">
        <references count="2">
          <reference field="3" count="1" selected="0">
            <x v="60"/>
          </reference>
          <reference field="4" count="1">
            <x v="28"/>
          </reference>
        </references>
      </pivotArea>
    </format>
    <format dxfId="1798">
      <pivotArea dataOnly="0" labelOnly="1" outline="0" fieldPosition="0">
        <references count="2">
          <reference field="3" count="1" selected="0">
            <x v="61"/>
          </reference>
          <reference field="4" count="1">
            <x v="91"/>
          </reference>
        </references>
      </pivotArea>
    </format>
    <format dxfId="1797">
      <pivotArea dataOnly="0" labelOnly="1" outline="0" fieldPosition="0">
        <references count="2">
          <reference field="3" count="1" selected="0">
            <x v="62"/>
          </reference>
          <reference field="4" count="1">
            <x v="225"/>
          </reference>
        </references>
      </pivotArea>
    </format>
    <format dxfId="1796">
      <pivotArea dataOnly="0" labelOnly="1" outline="0" fieldPosition="0">
        <references count="2">
          <reference field="3" count="1" selected="0">
            <x v="63"/>
          </reference>
          <reference field="4" count="1">
            <x v="226"/>
          </reference>
        </references>
      </pivotArea>
    </format>
    <format dxfId="1795">
      <pivotArea dataOnly="0" labelOnly="1" outline="0" fieldPosition="0">
        <references count="2">
          <reference field="3" count="1" selected="0">
            <x v="64"/>
          </reference>
          <reference field="4" count="1">
            <x v="227"/>
          </reference>
        </references>
      </pivotArea>
    </format>
    <format dxfId="1794">
      <pivotArea dataOnly="0" labelOnly="1" outline="0" fieldPosition="0">
        <references count="2">
          <reference field="3" count="1" selected="0">
            <x v="65"/>
          </reference>
          <reference field="4" count="1">
            <x v="228"/>
          </reference>
        </references>
      </pivotArea>
    </format>
    <format dxfId="1793">
      <pivotArea dataOnly="0" labelOnly="1" outline="0" fieldPosition="0">
        <references count="2">
          <reference field="3" count="1" selected="0">
            <x v="66"/>
          </reference>
          <reference field="4" count="1">
            <x v="330"/>
          </reference>
        </references>
      </pivotArea>
    </format>
    <format dxfId="1792">
      <pivotArea dataOnly="0" labelOnly="1" outline="0" fieldPosition="0">
        <references count="2">
          <reference field="3" count="1" selected="0">
            <x v="67"/>
          </reference>
          <reference field="4" count="1">
            <x v="332"/>
          </reference>
        </references>
      </pivotArea>
    </format>
    <format dxfId="1791">
      <pivotArea dataOnly="0" labelOnly="1" outline="0" fieldPosition="0">
        <references count="2">
          <reference field="3" count="1" selected="0">
            <x v="68"/>
          </reference>
          <reference field="4" count="1">
            <x v="333"/>
          </reference>
        </references>
      </pivotArea>
    </format>
    <format dxfId="1790">
      <pivotArea dataOnly="0" labelOnly="1" outline="0" fieldPosition="0">
        <references count="2">
          <reference field="3" count="1" selected="0">
            <x v="69"/>
          </reference>
          <reference field="4" count="1">
            <x v="334"/>
          </reference>
        </references>
      </pivotArea>
    </format>
    <format dxfId="1789">
      <pivotArea dataOnly="0" labelOnly="1" outline="0" fieldPosition="0">
        <references count="2">
          <reference field="3" count="1" selected="0">
            <x v="70"/>
          </reference>
          <reference field="4" count="1">
            <x v="404"/>
          </reference>
        </references>
      </pivotArea>
    </format>
    <format dxfId="1788">
      <pivotArea dataOnly="0" labelOnly="1" outline="0" fieldPosition="0">
        <references count="2">
          <reference field="3" count="1" selected="0">
            <x v="71"/>
          </reference>
          <reference field="4" count="1">
            <x v="618"/>
          </reference>
        </references>
      </pivotArea>
    </format>
    <format dxfId="1787">
      <pivotArea dataOnly="0" labelOnly="1" outline="0" fieldPosition="0">
        <references count="2">
          <reference field="3" count="1" selected="0">
            <x v="72"/>
          </reference>
          <reference field="4" count="1">
            <x v="620"/>
          </reference>
        </references>
      </pivotArea>
    </format>
    <format dxfId="1786">
      <pivotArea dataOnly="0" labelOnly="1" outline="0" fieldPosition="0">
        <references count="2">
          <reference field="3" count="1" selected="0">
            <x v="73"/>
          </reference>
          <reference field="4" count="1">
            <x v="693"/>
          </reference>
        </references>
      </pivotArea>
    </format>
    <format dxfId="1785">
      <pivotArea dataOnly="0" labelOnly="1" outline="0" fieldPosition="0">
        <references count="2">
          <reference field="3" count="1" selected="0">
            <x v="74"/>
          </reference>
          <reference field="4" count="1">
            <x v="698"/>
          </reference>
        </references>
      </pivotArea>
    </format>
    <format dxfId="1784">
      <pivotArea dataOnly="0" labelOnly="1" outline="0" fieldPosition="0">
        <references count="2">
          <reference field="3" count="1" selected="0">
            <x v="75"/>
          </reference>
          <reference field="4" count="1">
            <x v="699"/>
          </reference>
        </references>
      </pivotArea>
    </format>
    <format dxfId="1783">
      <pivotArea dataOnly="0" labelOnly="1" outline="0" fieldPosition="0">
        <references count="2">
          <reference field="3" count="1" selected="0">
            <x v="76"/>
          </reference>
          <reference field="4" count="1">
            <x v="792"/>
          </reference>
        </references>
      </pivotArea>
    </format>
    <format dxfId="1782">
      <pivotArea dataOnly="0" labelOnly="1" outline="0" fieldPosition="0">
        <references count="2">
          <reference field="3" count="1" selected="0">
            <x v="77"/>
          </reference>
          <reference field="4" count="1">
            <x v="871"/>
          </reference>
        </references>
      </pivotArea>
    </format>
    <format dxfId="1781">
      <pivotArea dataOnly="0" labelOnly="1" outline="0" fieldPosition="0">
        <references count="2">
          <reference field="3" count="1" selected="0">
            <x v="78"/>
          </reference>
          <reference field="4" count="1">
            <x v="872"/>
          </reference>
        </references>
      </pivotArea>
    </format>
    <format dxfId="1780">
      <pivotArea dataOnly="0" labelOnly="1" outline="0" fieldPosition="0">
        <references count="2">
          <reference field="3" count="1" selected="0">
            <x v="79"/>
          </reference>
          <reference field="4" count="1">
            <x v="873"/>
          </reference>
        </references>
      </pivotArea>
    </format>
    <format dxfId="1779">
      <pivotArea dataOnly="0" labelOnly="1" outline="0" fieldPosition="0">
        <references count="2">
          <reference field="3" count="1" selected="0">
            <x v="80"/>
          </reference>
          <reference field="4" count="1">
            <x v="963"/>
          </reference>
        </references>
      </pivotArea>
    </format>
    <format dxfId="1778">
      <pivotArea dataOnly="0" labelOnly="1" outline="0" fieldPosition="0">
        <references count="2">
          <reference field="3" count="1" selected="0">
            <x v="81"/>
          </reference>
          <reference field="4" count="1">
            <x v="964"/>
          </reference>
        </references>
      </pivotArea>
    </format>
    <format dxfId="1777">
      <pivotArea dataOnly="0" labelOnly="1" outline="0" fieldPosition="0">
        <references count="2">
          <reference field="3" count="1" selected="0">
            <x v="82"/>
          </reference>
          <reference field="4" count="1">
            <x v="1013"/>
          </reference>
        </references>
      </pivotArea>
    </format>
    <format dxfId="1776">
      <pivotArea dataOnly="0" labelOnly="1" outline="0" fieldPosition="0">
        <references count="2">
          <reference field="3" count="1" selected="0">
            <x v="83"/>
          </reference>
          <reference field="4" count="1">
            <x v="1035"/>
          </reference>
        </references>
      </pivotArea>
    </format>
    <format dxfId="1775">
      <pivotArea dataOnly="0" labelOnly="1" outline="0" fieldPosition="0">
        <references count="2">
          <reference field="3" count="1" selected="0">
            <x v="84"/>
          </reference>
          <reference field="4" count="1">
            <x v="1036"/>
          </reference>
        </references>
      </pivotArea>
    </format>
    <format dxfId="1774">
      <pivotArea dataOnly="0" labelOnly="1" outline="0" fieldPosition="0">
        <references count="2">
          <reference field="3" count="1" selected="0">
            <x v="85"/>
          </reference>
          <reference field="4" count="1">
            <x v="1037"/>
          </reference>
        </references>
      </pivotArea>
    </format>
    <format dxfId="1773">
      <pivotArea dataOnly="0" labelOnly="1" outline="0" fieldPosition="0">
        <references count="2">
          <reference field="3" count="1" selected="0">
            <x v="86"/>
          </reference>
          <reference field="4" count="1">
            <x v="1264"/>
          </reference>
        </references>
      </pivotArea>
    </format>
    <format dxfId="1772">
      <pivotArea dataOnly="0" labelOnly="1" outline="0" fieldPosition="0">
        <references count="2">
          <reference field="3" count="1" selected="0">
            <x v="87"/>
          </reference>
          <reference field="4" count="1">
            <x v="1420"/>
          </reference>
        </references>
      </pivotArea>
    </format>
    <format dxfId="1771">
      <pivotArea dataOnly="0" labelOnly="1" outline="0" fieldPosition="0">
        <references count="2">
          <reference field="3" count="1" selected="0">
            <x v="88"/>
          </reference>
          <reference field="4" count="1">
            <x v="1262"/>
          </reference>
        </references>
      </pivotArea>
    </format>
    <format dxfId="1770">
      <pivotArea dataOnly="0" labelOnly="1" outline="0" fieldPosition="0">
        <references count="2">
          <reference field="3" count="1" selected="0">
            <x v="89"/>
          </reference>
          <reference field="4" count="1">
            <x v="1267"/>
          </reference>
        </references>
      </pivotArea>
    </format>
    <format dxfId="1769">
      <pivotArea dataOnly="0" labelOnly="1" outline="0" fieldPosition="0">
        <references count="2">
          <reference field="3" count="1" selected="0">
            <x v="90"/>
          </reference>
          <reference field="4" count="1">
            <x v="1029"/>
          </reference>
        </references>
      </pivotArea>
    </format>
    <format dxfId="1768">
      <pivotArea dataOnly="0" labelOnly="1" outline="0" fieldPosition="0">
        <references count="2">
          <reference field="3" count="1" selected="0">
            <x v="91"/>
          </reference>
          <reference field="4" count="1">
            <x v="1030"/>
          </reference>
        </references>
      </pivotArea>
    </format>
    <format dxfId="1767">
      <pivotArea dataOnly="0" labelOnly="1" outline="0" fieldPosition="0">
        <references count="2">
          <reference field="3" count="1" selected="0">
            <x v="92"/>
          </reference>
          <reference field="4" count="1">
            <x v="1033"/>
          </reference>
        </references>
      </pivotArea>
    </format>
    <format dxfId="1766">
      <pivotArea dataOnly="0" labelOnly="1" outline="0" fieldPosition="0">
        <references count="2">
          <reference field="3" count="1" selected="0">
            <x v="93"/>
          </reference>
          <reference field="4" count="1">
            <x v="621"/>
          </reference>
        </references>
      </pivotArea>
    </format>
    <format dxfId="1765">
      <pivotArea dataOnly="0" labelOnly="1" outline="0" fieldPosition="0">
        <references count="2">
          <reference field="3" count="1" selected="0">
            <x v="133"/>
          </reference>
          <reference field="4" count="1">
            <x v="108"/>
          </reference>
        </references>
      </pivotArea>
    </format>
    <format dxfId="1764">
      <pivotArea dataOnly="0" labelOnly="1" outline="0" fieldPosition="0">
        <references count="2">
          <reference field="3" count="1" selected="0">
            <x v="134"/>
          </reference>
          <reference field="4" count="1">
            <x v="110"/>
          </reference>
        </references>
      </pivotArea>
    </format>
    <format dxfId="1763">
      <pivotArea dataOnly="0" labelOnly="1" outline="0" fieldPosition="0">
        <references count="2">
          <reference field="3" count="1" selected="0">
            <x v="135"/>
          </reference>
          <reference field="4" count="1">
            <x v="55"/>
          </reference>
        </references>
      </pivotArea>
    </format>
    <format dxfId="1762">
      <pivotArea dataOnly="0" labelOnly="1" outline="0" fieldPosition="0">
        <references count="2">
          <reference field="3" count="1" selected="0">
            <x v="136"/>
          </reference>
          <reference field="4" count="1">
            <x v="282"/>
          </reference>
        </references>
      </pivotArea>
    </format>
    <format dxfId="1761">
      <pivotArea dataOnly="0" labelOnly="1" outline="0" fieldPosition="0">
        <references count="2">
          <reference field="3" count="1" selected="0">
            <x v="137"/>
          </reference>
          <reference field="4" count="1">
            <x v="295"/>
          </reference>
        </references>
      </pivotArea>
    </format>
    <format dxfId="1760">
      <pivotArea dataOnly="0" labelOnly="1" outline="0" fieldPosition="0">
        <references count="2">
          <reference field="3" count="1" selected="0">
            <x v="138"/>
          </reference>
          <reference field="4" count="1">
            <x v="763"/>
          </reference>
        </references>
      </pivotArea>
    </format>
    <format dxfId="1759">
      <pivotArea dataOnly="0" labelOnly="1" outline="0" fieldPosition="0">
        <references count="2">
          <reference field="3" count="1" selected="0">
            <x v="139"/>
          </reference>
          <reference field="4" count="1">
            <x v="922"/>
          </reference>
        </references>
      </pivotArea>
    </format>
    <format dxfId="1758">
      <pivotArea dataOnly="0" labelOnly="1" outline="0" fieldPosition="0">
        <references count="2">
          <reference field="3" count="1" selected="0">
            <x v="140"/>
          </reference>
          <reference field="4" count="1">
            <x v="924"/>
          </reference>
        </references>
      </pivotArea>
    </format>
    <format dxfId="1757">
      <pivotArea dataOnly="0" labelOnly="1" outline="0" fieldPosition="0">
        <references count="2">
          <reference field="3" count="1" selected="0">
            <x v="141"/>
          </reference>
          <reference field="4" count="1">
            <x v="927"/>
          </reference>
        </references>
      </pivotArea>
    </format>
    <format dxfId="1756">
      <pivotArea dataOnly="0" labelOnly="1" outline="0" fieldPosition="0">
        <references count="2">
          <reference field="3" count="1" selected="0">
            <x v="142"/>
          </reference>
          <reference field="4" count="1">
            <x v="928"/>
          </reference>
        </references>
      </pivotArea>
    </format>
    <format dxfId="1755">
      <pivotArea dataOnly="0" labelOnly="1" outline="0" fieldPosition="0">
        <references count="2">
          <reference field="3" count="1" selected="0">
            <x v="143"/>
          </reference>
          <reference field="4" count="1">
            <x v="929"/>
          </reference>
        </references>
      </pivotArea>
    </format>
    <format dxfId="1754">
      <pivotArea dataOnly="0" labelOnly="1" outline="0" fieldPosition="0">
        <references count="2">
          <reference field="3" count="1" selected="0">
            <x v="144"/>
          </reference>
          <reference field="4" count="1">
            <x v="931"/>
          </reference>
        </references>
      </pivotArea>
    </format>
    <format dxfId="1753">
      <pivotArea dataOnly="0" labelOnly="1" outline="0" fieldPosition="0">
        <references count="2">
          <reference field="3" count="1" selected="0">
            <x v="145"/>
          </reference>
          <reference field="4" count="1">
            <x v="932"/>
          </reference>
        </references>
      </pivotArea>
    </format>
    <format dxfId="1752">
      <pivotArea dataOnly="0" labelOnly="1" outline="0" fieldPosition="0">
        <references count="2">
          <reference field="3" count="1" selected="0">
            <x v="146"/>
          </reference>
          <reference field="4" count="1">
            <x v="933"/>
          </reference>
        </references>
      </pivotArea>
    </format>
    <format dxfId="1751">
      <pivotArea dataOnly="0" labelOnly="1" outline="0" fieldPosition="0">
        <references count="2">
          <reference field="3" count="1" selected="0">
            <x v="147"/>
          </reference>
          <reference field="4" count="1">
            <x v="1101"/>
          </reference>
        </references>
      </pivotArea>
    </format>
    <format dxfId="1750">
      <pivotArea dataOnly="0" labelOnly="1" outline="0" fieldPosition="0">
        <references count="2">
          <reference field="3" count="1" selected="0">
            <x v="148"/>
          </reference>
          <reference field="4" count="1">
            <x v="1135"/>
          </reference>
        </references>
      </pivotArea>
    </format>
    <format dxfId="1749">
      <pivotArea dataOnly="0" labelOnly="1" outline="0" fieldPosition="0">
        <references count="2">
          <reference field="3" count="1" selected="0">
            <x v="149"/>
          </reference>
          <reference field="4" count="1">
            <x v="1288"/>
          </reference>
        </references>
      </pivotArea>
    </format>
    <format dxfId="1748">
      <pivotArea dataOnly="0" labelOnly="1" outline="0" fieldPosition="0">
        <references count="2">
          <reference field="3" count="1" selected="0">
            <x v="150"/>
          </reference>
          <reference field="4" count="1">
            <x v="1291"/>
          </reference>
        </references>
      </pivotArea>
    </format>
    <format dxfId="1747">
      <pivotArea dataOnly="0" labelOnly="1" outline="0" fieldPosition="0">
        <references count="2">
          <reference field="3" count="1" selected="0">
            <x v="151"/>
          </reference>
          <reference field="4" count="1">
            <x v="1292"/>
          </reference>
        </references>
      </pivotArea>
    </format>
    <format dxfId="1746">
      <pivotArea dataOnly="0" labelOnly="1" outline="0" fieldPosition="0">
        <references count="2">
          <reference field="3" count="1" selected="0">
            <x v="152"/>
          </reference>
          <reference field="4" count="1">
            <x v="1382"/>
          </reference>
        </references>
      </pivotArea>
    </format>
    <format dxfId="1745">
      <pivotArea dataOnly="0" labelOnly="1" outline="0" fieldPosition="0">
        <references count="2">
          <reference field="3" count="1" selected="0">
            <x v="153"/>
          </reference>
          <reference field="4" count="1">
            <x v="1433"/>
          </reference>
        </references>
      </pivotArea>
    </format>
    <format dxfId="1744">
      <pivotArea dataOnly="0" labelOnly="1" outline="0" fieldPosition="0">
        <references count="2">
          <reference field="3" count="1" selected="0">
            <x v="154"/>
          </reference>
          <reference field="4" count="1">
            <x v="1452"/>
          </reference>
        </references>
      </pivotArea>
    </format>
    <format dxfId="1743">
      <pivotArea dataOnly="0" labelOnly="1" outline="0" fieldPosition="0">
        <references count="2">
          <reference field="3" count="1" selected="0">
            <x v="155"/>
          </reference>
          <reference field="4" count="1">
            <x v="1455"/>
          </reference>
        </references>
      </pivotArea>
    </format>
    <format dxfId="1742">
      <pivotArea dataOnly="0" labelOnly="1" outline="0" fieldPosition="0">
        <references count="2">
          <reference field="3" count="1" selected="0">
            <x v="156"/>
          </reference>
          <reference field="4" count="1">
            <x v="1456"/>
          </reference>
        </references>
      </pivotArea>
    </format>
    <format dxfId="1741">
      <pivotArea dataOnly="0" labelOnly="1" outline="0" fieldPosition="0">
        <references count="2">
          <reference field="3" count="1" selected="0">
            <x v="157"/>
          </reference>
          <reference field="4" count="1">
            <x v="1458"/>
          </reference>
        </references>
      </pivotArea>
    </format>
    <format dxfId="1740">
      <pivotArea dataOnly="0" labelOnly="1" outline="0" fieldPosition="0">
        <references count="2">
          <reference field="3" count="1" selected="0">
            <x v="158"/>
          </reference>
          <reference field="4" count="1">
            <x v="1460"/>
          </reference>
        </references>
      </pivotArea>
    </format>
    <format dxfId="1739">
      <pivotArea dataOnly="0" labelOnly="1" outline="0" fieldPosition="0">
        <references count="2">
          <reference field="3" count="1" selected="0">
            <x v="159"/>
          </reference>
          <reference field="4" count="1">
            <x v="1466"/>
          </reference>
        </references>
      </pivotArea>
    </format>
    <format dxfId="1738">
      <pivotArea dataOnly="0" labelOnly="1" outline="0" fieldPosition="0">
        <references count="2">
          <reference field="3" count="1" selected="0">
            <x v="160"/>
          </reference>
          <reference field="4" count="1">
            <x v="651"/>
          </reference>
        </references>
      </pivotArea>
    </format>
    <format dxfId="1737">
      <pivotArea dataOnly="0" labelOnly="1" outline="0" fieldPosition="0">
        <references count="2">
          <reference field="3" count="1" selected="0">
            <x v="161"/>
          </reference>
          <reference field="4" count="1">
            <x v="655"/>
          </reference>
        </references>
      </pivotArea>
    </format>
    <format dxfId="1736">
      <pivotArea dataOnly="0" labelOnly="1" outline="0" fieldPosition="0">
        <references count="2">
          <reference field="3" count="1" selected="0">
            <x v="162"/>
          </reference>
          <reference field="4" count="1">
            <x v="1479"/>
          </reference>
        </references>
      </pivotArea>
    </format>
    <format dxfId="1735">
      <pivotArea dataOnly="0" labelOnly="1" outline="0" fieldPosition="0">
        <references count="2">
          <reference field="3" count="1" selected="0">
            <x v="163"/>
          </reference>
          <reference field="4" count="1">
            <x v="752"/>
          </reference>
        </references>
      </pivotArea>
    </format>
    <format dxfId="1734">
      <pivotArea dataOnly="0" labelOnly="1" outline="0" fieldPosition="0">
        <references count="2">
          <reference field="3" count="1" selected="0">
            <x v="164"/>
          </reference>
          <reference field="4" count="1">
            <x v="767"/>
          </reference>
        </references>
      </pivotArea>
    </format>
    <format dxfId="1733">
      <pivotArea dataOnly="0" labelOnly="1" outline="0" fieldPosition="0">
        <references count="2">
          <reference field="3" count="1" selected="0">
            <x v="165"/>
          </reference>
          <reference field="4" count="1">
            <x v="1207"/>
          </reference>
        </references>
      </pivotArea>
    </format>
    <format dxfId="1732">
      <pivotArea dataOnly="0" labelOnly="1" outline="0" fieldPosition="0">
        <references count="2">
          <reference field="3" count="1" selected="0">
            <x v="166"/>
          </reference>
          <reference field="4" count="1">
            <x v="1208"/>
          </reference>
        </references>
      </pivotArea>
    </format>
    <format dxfId="1731">
      <pivotArea dataOnly="0" labelOnly="1" outline="0" fieldPosition="0">
        <references count="2">
          <reference field="3" count="1" selected="0">
            <x v="167"/>
          </reference>
          <reference field="4" count="1">
            <x v="1281"/>
          </reference>
        </references>
      </pivotArea>
    </format>
    <format dxfId="1730">
      <pivotArea dataOnly="0" labelOnly="1" outline="0" fieldPosition="0">
        <references count="2">
          <reference field="3" count="1" selected="0">
            <x v="168"/>
          </reference>
          <reference field="4" count="1">
            <x v="1283"/>
          </reference>
        </references>
      </pivotArea>
    </format>
    <format dxfId="1729">
      <pivotArea dataOnly="0" labelOnly="1" outline="0" fieldPosition="0">
        <references count="2">
          <reference field="3" count="1" selected="0">
            <x v="169"/>
          </reference>
          <reference field="4" count="1">
            <x v="95"/>
          </reference>
        </references>
      </pivotArea>
    </format>
    <format dxfId="1728">
      <pivotArea dataOnly="0" labelOnly="1" outline="0" fieldPosition="0">
        <references count="2">
          <reference field="3" count="1" selected="0">
            <x v="170"/>
          </reference>
          <reference field="4" count="1">
            <x v="1190"/>
          </reference>
        </references>
      </pivotArea>
    </format>
    <format dxfId="1727">
      <pivotArea dataOnly="0" labelOnly="1" outline="0" fieldPosition="0">
        <references count="2">
          <reference field="3" count="1" selected="0">
            <x v="171"/>
          </reference>
          <reference field="4" count="1">
            <x v="3"/>
          </reference>
        </references>
      </pivotArea>
    </format>
    <format dxfId="1726">
      <pivotArea dataOnly="0" labelOnly="1" outline="0" fieldPosition="0">
        <references count="2">
          <reference field="3" count="1" selected="0">
            <x v="172"/>
          </reference>
          <reference field="4" count="1">
            <x v="558"/>
          </reference>
        </references>
      </pivotArea>
    </format>
    <format dxfId="1725">
      <pivotArea dataOnly="0" labelOnly="1" outline="0" fieldPosition="0">
        <references count="2">
          <reference field="3" count="1" selected="0">
            <x v="173"/>
          </reference>
          <reference field="4" count="1">
            <x v="244"/>
          </reference>
        </references>
      </pivotArea>
    </format>
    <format dxfId="1724">
      <pivotArea dataOnly="0" labelOnly="1" outline="0" fieldPosition="0">
        <references count="2">
          <reference field="3" count="1" selected="0">
            <x v="174"/>
          </reference>
          <reference field="4" count="1">
            <x v="1398"/>
          </reference>
        </references>
      </pivotArea>
    </format>
    <format dxfId="1723">
      <pivotArea dataOnly="0" labelOnly="1" outline="0" fieldPosition="0">
        <references count="2">
          <reference field="3" count="1" selected="0">
            <x v="175"/>
          </reference>
          <reference field="4" count="1">
            <x v="221"/>
          </reference>
        </references>
      </pivotArea>
    </format>
    <format dxfId="1722">
      <pivotArea dataOnly="0" labelOnly="1" outline="0" fieldPosition="0">
        <references count="2">
          <reference field="3" count="1" selected="0">
            <x v="176"/>
          </reference>
          <reference field="4" count="1">
            <x v="368"/>
          </reference>
        </references>
      </pivotArea>
    </format>
    <format dxfId="1721">
      <pivotArea dataOnly="0" labelOnly="1" outline="0" fieldPosition="0">
        <references count="2">
          <reference field="3" count="1" selected="0">
            <x v="177"/>
          </reference>
          <reference field="4" count="1">
            <x v="1290"/>
          </reference>
        </references>
      </pivotArea>
    </format>
    <format dxfId="1720">
      <pivotArea dataOnly="0" labelOnly="1" outline="0" fieldPosition="0">
        <references count="2">
          <reference field="3" count="1" selected="0">
            <x v="178"/>
          </reference>
          <reference field="4" count="1">
            <x v="755"/>
          </reference>
        </references>
      </pivotArea>
    </format>
    <format dxfId="1719">
      <pivotArea dataOnly="0" labelOnly="1" outline="0" fieldPosition="0">
        <references count="2">
          <reference field="3" count="1" selected="0">
            <x v="179"/>
          </reference>
          <reference field="4" count="1">
            <x v="1439"/>
          </reference>
        </references>
      </pivotArea>
    </format>
    <format dxfId="1718">
      <pivotArea dataOnly="0" labelOnly="1" outline="0" fieldPosition="0">
        <references count="2">
          <reference field="3" count="1" selected="0">
            <x v="180"/>
          </reference>
          <reference field="4" count="1">
            <x v="1289"/>
          </reference>
        </references>
      </pivotArea>
    </format>
    <format dxfId="1717">
      <pivotArea dataOnly="0" labelOnly="1" outline="0" fieldPosition="0">
        <references count="2">
          <reference field="3" count="1" selected="0">
            <x v="181"/>
          </reference>
          <reference field="4" count="1">
            <x v="1103"/>
          </reference>
        </references>
      </pivotArea>
    </format>
    <format dxfId="1716">
      <pivotArea dataOnly="0" labelOnly="1" outline="0" fieldPosition="0">
        <references count="2">
          <reference field="3" count="1" selected="0">
            <x v="182"/>
          </reference>
          <reference field="4" count="1">
            <x v="652"/>
          </reference>
        </references>
      </pivotArea>
    </format>
    <format dxfId="1715">
      <pivotArea dataOnly="0" labelOnly="1" outline="0" fieldPosition="0">
        <references count="2">
          <reference field="3" count="1" selected="0">
            <x v="183"/>
          </reference>
          <reference field="4" count="1">
            <x v="923"/>
          </reference>
        </references>
      </pivotArea>
    </format>
    <format dxfId="1714">
      <pivotArea dataOnly="0" labelOnly="1" outline="0" fieldPosition="0">
        <references count="2">
          <reference field="3" count="1" selected="0">
            <x v="184"/>
          </reference>
          <reference field="4" count="1">
            <x v="1480"/>
          </reference>
        </references>
      </pivotArea>
    </format>
    <format dxfId="1713">
      <pivotArea dataOnly="0" labelOnly="1" outline="0" fieldPosition="0">
        <references count="2">
          <reference field="3" count="1" selected="0">
            <x v="185"/>
          </reference>
          <reference field="4" count="1">
            <x v="1100"/>
          </reference>
        </references>
      </pivotArea>
    </format>
    <format dxfId="1712">
      <pivotArea dataOnly="0" labelOnly="1" outline="0" fieldPosition="0">
        <references count="2">
          <reference field="3" count="1" selected="0">
            <x v="186"/>
          </reference>
          <reference field="4" count="1">
            <x v="237"/>
          </reference>
        </references>
      </pivotArea>
    </format>
    <format dxfId="1711">
      <pivotArea dataOnly="0" labelOnly="1" outline="0" fieldPosition="0">
        <references count="2">
          <reference field="3" count="1" selected="0">
            <x v="187"/>
          </reference>
          <reference field="4" count="1">
            <x v="1076"/>
          </reference>
        </references>
      </pivotArea>
    </format>
    <format dxfId="1710">
      <pivotArea dataOnly="0" labelOnly="1" outline="0" fieldPosition="0">
        <references count="2">
          <reference field="3" count="1" selected="0">
            <x v="188"/>
          </reference>
          <reference field="4" count="1">
            <x v="1077"/>
          </reference>
        </references>
      </pivotArea>
    </format>
    <format dxfId="1709">
      <pivotArea dataOnly="0" labelOnly="1" outline="0" fieldPosition="0">
        <references count="2">
          <reference field="3" count="1" selected="0">
            <x v="189"/>
          </reference>
          <reference field="4" count="1">
            <x v="1065"/>
          </reference>
        </references>
      </pivotArea>
    </format>
    <format dxfId="1708">
      <pivotArea dataOnly="0" labelOnly="1" outline="0" fieldPosition="0">
        <references count="2">
          <reference field="3" count="1" selected="0">
            <x v="190"/>
          </reference>
          <reference field="4" count="1">
            <x v="1066"/>
          </reference>
        </references>
      </pivotArea>
    </format>
    <format dxfId="1707">
      <pivotArea dataOnly="0" labelOnly="1" outline="0" fieldPosition="0">
        <references count="2">
          <reference field="3" count="1" selected="0">
            <x v="191"/>
          </reference>
          <reference field="4" count="1">
            <x v="347"/>
          </reference>
        </references>
      </pivotArea>
    </format>
    <format dxfId="1706">
      <pivotArea dataOnly="0" labelOnly="1" outline="0" fieldPosition="0">
        <references count="2">
          <reference field="3" count="1" selected="0">
            <x v="192"/>
          </reference>
          <reference field="4" count="1">
            <x v="348"/>
          </reference>
        </references>
      </pivotArea>
    </format>
    <format dxfId="1705">
      <pivotArea dataOnly="0" labelOnly="1" outline="0" fieldPosition="0">
        <references count="2">
          <reference field="3" count="1" selected="0">
            <x v="193"/>
          </reference>
          <reference field="4" count="1">
            <x v="816"/>
          </reference>
        </references>
      </pivotArea>
    </format>
    <format dxfId="1704">
      <pivotArea dataOnly="0" labelOnly="1" outline="0" fieldPosition="0">
        <references count="2">
          <reference field="3" count="1" selected="0">
            <x v="194"/>
          </reference>
          <reference field="4" count="1">
            <x v="1219"/>
          </reference>
        </references>
      </pivotArea>
    </format>
    <format dxfId="1703">
      <pivotArea dataOnly="0" labelOnly="1" outline="0" fieldPosition="0">
        <references count="2">
          <reference field="3" count="1" selected="0">
            <x v="195"/>
          </reference>
          <reference field="4" count="1">
            <x v="1222"/>
          </reference>
        </references>
      </pivotArea>
    </format>
    <format dxfId="1702">
      <pivotArea dataOnly="0" labelOnly="1" outline="0" fieldPosition="0">
        <references count="2">
          <reference field="3" count="1" selected="0">
            <x v="196"/>
          </reference>
          <reference field="4" count="1">
            <x v="1234"/>
          </reference>
        </references>
      </pivotArea>
    </format>
    <format dxfId="1701">
      <pivotArea dataOnly="0" labelOnly="1" outline="0" fieldPosition="0">
        <references count="2">
          <reference field="3" count="1" selected="0">
            <x v="197"/>
          </reference>
          <reference field="4" count="1">
            <x v="1235"/>
          </reference>
        </references>
      </pivotArea>
    </format>
    <format dxfId="1700">
      <pivotArea dataOnly="0" labelOnly="1" outline="0" fieldPosition="0">
        <references count="2">
          <reference field="3" count="1" selected="0">
            <x v="198"/>
          </reference>
          <reference field="4" count="1">
            <x v="1236"/>
          </reference>
        </references>
      </pivotArea>
    </format>
    <format dxfId="1699">
      <pivotArea dataOnly="0" labelOnly="1" outline="0" fieldPosition="0">
        <references count="2">
          <reference field="3" count="1" selected="0">
            <x v="199"/>
          </reference>
          <reference field="4" count="1">
            <x v="1383"/>
          </reference>
        </references>
      </pivotArea>
    </format>
    <format dxfId="1698">
      <pivotArea dataOnly="0" labelOnly="1" outline="0" fieldPosition="0">
        <references count="2">
          <reference field="3" count="1" selected="0">
            <x v="200"/>
          </reference>
          <reference field="4" count="1">
            <x v="1495"/>
          </reference>
        </references>
      </pivotArea>
    </format>
    <format dxfId="1697">
      <pivotArea dataOnly="0" labelOnly="1" outline="0" fieldPosition="0">
        <references count="2">
          <reference field="3" count="1" selected="0">
            <x v="201"/>
          </reference>
          <reference field="4" count="1">
            <x v="1229"/>
          </reference>
        </references>
      </pivotArea>
    </format>
    <format dxfId="1696">
      <pivotArea dataOnly="0" labelOnly="1" outline="0" fieldPosition="0">
        <references count="2">
          <reference field="3" count="1" selected="0">
            <x v="202"/>
          </reference>
          <reference field="4" count="1">
            <x v="643"/>
          </reference>
        </references>
      </pivotArea>
    </format>
    <format dxfId="1695">
      <pivotArea dataOnly="0" labelOnly="1" outline="0" fieldPosition="0">
        <references count="2">
          <reference field="3" count="1" selected="0">
            <x v="203"/>
          </reference>
          <reference field="4" count="1">
            <x v="914"/>
          </reference>
        </references>
      </pivotArea>
    </format>
    <format dxfId="1694">
      <pivotArea dataOnly="0" labelOnly="1" outline="0" fieldPosition="0">
        <references count="2">
          <reference field="3" count="1" selected="0">
            <x v="204"/>
          </reference>
          <reference field="4" count="1">
            <x v="1071"/>
          </reference>
        </references>
      </pivotArea>
    </format>
    <format dxfId="1693">
      <pivotArea dataOnly="0" labelOnly="1" outline="0" fieldPosition="0">
        <references count="2">
          <reference field="3" count="1" selected="0">
            <x v="205"/>
          </reference>
          <reference field="4" count="1">
            <x v="1072"/>
          </reference>
        </references>
      </pivotArea>
    </format>
    <format dxfId="1692">
      <pivotArea dataOnly="0" labelOnly="1" outline="0" fieldPosition="0">
        <references count="2">
          <reference field="3" count="1" selected="0">
            <x v="206"/>
          </reference>
          <reference field="4" count="1">
            <x v="1073"/>
          </reference>
        </references>
      </pivotArea>
    </format>
    <format dxfId="1691">
      <pivotArea dataOnly="0" labelOnly="1" outline="0" fieldPosition="0">
        <references count="2">
          <reference field="3" count="1" selected="0">
            <x v="207"/>
          </reference>
          <reference field="4" count="1">
            <x v="1075"/>
          </reference>
        </references>
      </pivotArea>
    </format>
    <format dxfId="1690">
      <pivotArea dataOnly="0" labelOnly="1" outline="0" fieldPosition="0">
        <references count="2">
          <reference field="3" count="1" selected="0">
            <x v="208"/>
          </reference>
          <reference field="4" count="1">
            <x v="640"/>
          </reference>
        </references>
      </pivotArea>
    </format>
    <format dxfId="1689">
      <pivotArea dataOnly="0" labelOnly="1" outline="0" fieldPosition="0">
        <references count="2">
          <reference field="3" count="1" selected="0">
            <x v="209"/>
          </reference>
          <reference field="4" count="1">
            <x v="106"/>
          </reference>
        </references>
      </pivotArea>
    </format>
    <format dxfId="1688">
      <pivotArea dataOnly="0" labelOnly="1" outline="0" fieldPosition="0">
        <references count="2">
          <reference field="3" count="1" selected="0">
            <x v="210"/>
          </reference>
          <reference field="4" count="1">
            <x v="317"/>
          </reference>
        </references>
      </pivotArea>
    </format>
    <format dxfId="1687">
      <pivotArea dataOnly="0" labelOnly="1" outline="0" fieldPosition="0">
        <references count="2">
          <reference field="3" count="1" selected="0">
            <x v="211"/>
          </reference>
          <reference field="4" count="1">
            <x v="346"/>
          </reference>
        </references>
      </pivotArea>
    </format>
    <format dxfId="1686">
      <pivotArea dataOnly="0" labelOnly="1" outline="0" fieldPosition="0">
        <references count="2">
          <reference field="3" count="1" selected="0">
            <x v="212"/>
          </reference>
          <reference field="4" count="1">
            <x v="583"/>
          </reference>
        </references>
      </pivotArea>
    </format>
    <format dxfId="1685">
      <pivotArea dataOnly="0" labelOnly="1" outline="0" fieldPosition="0">
        <references count="2">
          <reference field="3" count="1" selected="0">
            <x v="213"/>
          </reference>
          <reference field="4" count="1">
            <x v="584"/>
          </reference>
        </references>
      </pivotArea>
    </format>
    <format dxfId="1684">
      <pivotArea dataOnly="0" labelOnly="1" outline="0" fieldPosition="0">
        <references count="2">
          <reference field="3" count="1" selected="0">
            <x v="214"/>
          </reference>
          <reference field="4" count="1">
            <x v="705"/>
          </reference>
        </references>
      </pivotArea>
    </format>
    <format dxfId="1683">
      <pivotArea dataOnly="0" labelOnly="1" outline="0" fieldPosition="0">
        <references count="2">
          <reference field="3" count="1" selected="0">
            <x v="215"/>
          </reference>
          <reference field="4" count="1">
            <x v="710"/>
          </reference>
        </references>
      </pivotArea>
    </format>
    <format dxfId="1682">
      <pivotArea dataOnly="0" labelOnly="1" outline="0" fieldPosition="0">
        <references count="2">
          <reference field="3" count="1" selected="0">
            <x v="216"/>
          </reference>
          <reference field="4" count="1">
            <x v="721"/>
          </reference>
        </references>
      </pivotArea>
    </format>
    <format dxfId="1681">
      <pivotArea dataOnly="0" labelOnly="1" outline="0" fieldPosition="0">
        <references count="2">
          <reference field="3" count="1" selected="0">
            <x v="217"/>
          </reference>
          <reference field="4" count="1">
            <x v="723"/>
          </reference>
        </references>
      </pivotArea>
    </format>
    <format dxfId="1680">
      <pivotArea dataOnly="0" labelOnly="1" outline="0" fieldPosition="0">
        <references count="2">
          <reference field="3" count="1" selected="0">
            <x v="218"/>
          </reference>
          <reference field="4" count="1">
            <x v="817"/>
          </reference>
        </references>
      </pivotArea>
    </format>
    <format dxfId="1679">
      <pivotArea dataOnly="0" labelOnly="1" outline="0" fieldPosition="0">
        <references count="2">
          <reference field="3" count="1" selected="0">
            <x v="219"/>
          </reference>
          <reference field="4" count="1">
            <x v="819"/>
          </reference>
        </references>
      </pivotArea>
    </format>
    <format dxfId="1678">
      <pivotArea dataOnly="0" labelOnly="1" outline="0" fieldPosition="0">
        <references count="2">
          <reference field="3" count="1" selected="0">
            <x v="220"/>
          </reference>
          <reference field="4" count="1">
            <x v="841"/>
          </reference>
        </references>
      </pivotArea>
    </format>
    <format dxfId="1677">
      <pivotArea dataOnly="0" labelOnly="1" outline="0" fieldPosition="0">
        <references count="2">
          <reference field="3" count="1" selected="0">
            <x v="221"/>
          </reference>
          <reference field="4" count="1">
            <x v="842"/>
          </reference>
        </references>
      </pivotArea>
    </format>
    <format dxfId="1676">
      <pivotArea dataOnly="0" labelOnly="1" outline="0" fieldPosition="0">
        <references count="2">
          <reference field="3" count="1" selected="0">
            <x v="222"/>
          </reference>
          <reference field="4" count="1">
            <x v="901"/>
          </reference>
        </references>
      </pivotArea>
    </format>
    <format dxfId="1675">
      <pivotArea dataOnly="0" labelOnly="1" outline="0" fieldPosition="0">
        <references count="2">
          <reference field="3" count="1" selected="0">
            <x v="223"/>
          </reference>
          <reference field="4" count="1">
            <x v="902"/>
          </reference>
        </references>
      </pivotArea>
    </format>
    <format dxfId="1674">
      <pivotArea dataOnly="0" labelOnly="1" outline="0" fieldPosition="0">
        <references count="2">
          <reference field="3" count="1" selected="0">
            <x v="224"/>
          </reference>
          <reference field="4" count="1">
            <x v="940"/>
          </reference>
        </references>
      </pivotArea>
    </format>
    <format dxfId="1673">
      <pivotArea dataOnly="0" labelOnly="1" outline="0" fieldPosition="0">
        <references count="2">
          <reference field="3" count="1" selected="0">
            <x v="225"/>
          </reference>
          <reference field="4" count="1">
            <x v="1200"/>
          </reference>
        </references>
      </pivotArea>
    </format>
    <format dxfId="1672">
      <pivotArea dataOnly="0" labelOnly="1" outline="0" fieldPosition="0">
        <references count="2">
          <reference field="3" count="1" selected="0">
            <x v="226"/>
          </reference>
          <reference field="4" count="1">
            <x v="1201"/>
          </reference>
        </references>
      </pivotArea>
    </format>
    <format dxfId="1671">
      <pivotArea dataOnly="0" labelOnly="1" outline="0" fieldPosition="0">
        <references count="2">
          <reference field="3" count="1" selected="0">
            <x v="227"/>
          </reference>
          <reference field="4" count="1">
            <x v="1202"/>
          </reference>
        </references>
      </pivotArea>
    </format>
    <format dxfId="1670">
      <pivotArea dataOnly="0" labelOnly="1" outline="0" fieldPosition="0">
        <references count="2">
          <reference field="3" count="1" selected="0">
            <x v="228"/>
          </reference>
          <reference field="4" count="1">
            <x v="1240"/>
          </reference>
        </references>
      </pivotArea>
    </format>
    <format dxfId="1669">
      <pivotArea dataOnly="0" labelOnly="1" outline="0" fieldPosition="0">
        <references count="2">
          <reference field="3" count="1" selected="0">
            <x v="229"/>
          </reference>
          <reference field="4" count="1">
            <x v="1355"/>
          </reference>
        </references>
      </pivotArea>
    </format>
    <format dxfId="1668">
      <pivotArea dataOnly="0" labelOnly="1" outline="0" fieldPosition="0">
        <references count="2">
          <reference field="3" count="1" selected="0">
            <x v="230"/>
          </reference>
          <reference field="4" count="1">
            <x v="1356"/>
          </reference>
        </references>
      </pivotArea>
    </format>
    <format dxfId="1667">
      <pivotArea dataOnly="0" labelOnly="1" outline="0" fieldPosition="0">
        <references count="2">
          <reference field="3" count="1" selected="0">
            <x v="231"/>
          </reference>
          <reference field="4" count="1">
            <x v="1357"/>
          </reference>
        </references>
      </pivotArea>
    </format>
    <format dxfId="1666">
      <pivotArea dataOnly="0" labelOnly="1" outline="0" fieldPosition="0">
        <references count="2">
          <reference field="3" count="1" selected="0">
            <x v="232"/>
          </reference>
          <reference field="4" count="1">
            <x v="1361"/>
          </reference>
        </references>
      </pivotArea>
    </format>
    <format dxfId="1665">
      <pivotArea dataOnly="0" labelOnly="1" outline="0" fieldPosition="0">
        <references count="2">
          <reference field="3" count="1" selected="0">
            <x v="233"/>
          </reference>
          <reference field="4" count="1">
            <x v="1363"/>
          </reference>
        </references>
      </pivotArea>
    </format>
    <format dxfId="1664">
      <pivotArea dataOnly="0" labelOnly="1" outline="0" fieldPosition="0">
        <references count="2">
          <reference field="3" count="1" selected="0">
            <x v="234"/>
          </reference>
          <reference field="4" count="1">
            <x v="1365"/>
          </reference>
        </references>
      </pivotArea>
    </format>
    <format dxfId="1663">
      <pivotArea dataOnly="0" labelOnly="1" outline="0" fieldPosition="0">
        <references count="2">
          <reference field="3" count="1" selected="0">
            <x v="235"/>
          </reference>
          <reference field="4" count="1">
            <x v="1390"/>
          </reference>
        </references>
      </pivotArea>
    </format>
    <format dxfId="1662">
      <pivotArea dataOnly="0" labelOnly="1" outline="0" fieldPosition="0">
        <references count="2">
          <reference field="3" count="1" selected="0">
            <x v="236"/>
          </reference>
          <reference field="4" count="1">
            <x v="1391"/>
          </reference>
        </references>
      </pivotArea>
    </format>
    <format dxfId="1661">
      <pivotArea dataOnly="0" labelOnly="1" outline="0" fieldPosition="0">
        <references count="2">
          <reference field="3" count="1" selected="0">
            <x v="237"/>
          </reference>
          <reference field="4" count="1">
            <x v="64"/>
          </reference>
        </references>
      </pivotArea>
    </format>
    <format dxfId="1660">
      <pivotArea dataOnly="0" labelOnly="1" outline="0" fieldPosition="0">
        <references count="2">
          <reference field="3" count="1" selected="0">
            <x v="238"/>
          </reference>
          <reference field="4" count="1">
            <x v="192"/>
          </reference>
        </references>
      </pivotArea>
    </format>
    <format dxfId="1659">
      <pivotArea dataOnly="0" labelOnly="1" outline="0" fieldPosition="0">
        <references count="2">
          <reference field="3" count="1" selected="0">
            <x v="239"/>
          </reference>
          <reference field="4" count="1">
            <x v="207"/>
          </reference>
        </references>
      </pivotArea>
    </format>
    <format dxfId="1658">
      <pivotArea dataOnly="0" labelOnly="1" outline="0" fieldPosition="0">
        <references count="2">
          <reference field="3" count="1" selected="0">
            <x v="240"/>
          </reference>
          <reference field="4" count="1">
            <x v="220"/>
          </reference>
        </references>
      </pivotArea>
    </format>
    <format dxfId="1657">
      <pivotArea dataOnly="0" labelOnly="1" outline="0" fieldPosition="0">
        <references count="2">
          <reference field="3" count="1" selected="0">
            <x v="241"/>
          </reference>
          <reference field="4" count="1">
            <x v="770"/>
          </reference>
        </references>
      </pivotArea>
    </format>
    <format dxfId="1656">
      <pivotArea dataOnly="0" labelOnly="1" outline="0" fieldPosition="0">
        <references count="2">
          <reference field="3" count="1" selected="0">
            <x v="242"/>
          </reference>
          <reference field="4" count="1">
            <x v="1349"/>
          </reference>
        </references>
      </pivotArea>
    </format>
    <format dxfId="1655">
      <pivotArea dataOnly="0" labelOnly="1" outline="0" fieldPosition="0">
        <references count="2">
          <reference field="3" count="1" selected="0">
            <x v="243"/>
          </reference>
          <reference field="4" count="1">
            <x v="1397"/>
          </reference>
        </references>
      </pivotArea>
    </format>
    <format dxfId="1654">
      <pivotArea dataOnly="0" labelOnly="1" outline="0" fieldPosition="0">
        <references count="2">
          <reference field="3" count="1" selected="0">
            <x v="244"/>
          </reference>
          <reference field="4" count="1">
            <x v="356"/>
          </reference>
        </references>
      </pivotArea>
    </format>
    <format dxfId="1653">
      <pivotArea dataOnly="0" labelOnly="1" outline="0" fieldPosition="0">
        <references count="2">
          <reference field="3" count="1" selected="0">
            <x v="245"/>
          </reference>
          <reference field="4" count="1">
            <x v="431"/>
          </reference>
        </references>
      </pivotArea>
    </format>
    <format dxfId="1652">
      <pivotArea dataOnly="0" labelOnly="1" outline="0" fieldPosition="0">
        <references count="2">
          <reference field="3" count="1" selected="0">
            <x v="246"/>
          </reference>
          <reference field="4" count="1">
            <x v="781"/>
          </reference>
        </references>
      </pivotArea>
    </format>
    <format dxfId="1651">
      <pivotArea dataOnly="0" labelOnly="1" outline="0" fieldPosition="0">
        <references count="2">
          <reference field="3" count="1" selected="0">
            <x v="247"/>
          </reference>
          <reference field="4" count="1">
            <x v="935"/>
          </reference>
        </references>
      </pivotArea>
    </format>
    <format dxfId="1650">
      <pivotArea dataOnly="0" labelOnly="1" outline="0" fieldPosition="0">
        <references count="2">
          <reference field="3" count="1" selected="0">
            <x v="248"/>
          </reference>
          <reference field="4" count="1">
            <x v="993"/>
          </reference>
        </references>
      </pivotArea>
    </format>
    <format dxfId="1649">
      <pivotArea dataOnly="0" labelOnly="1" outline="0" fieldPosition="0">
        <references count="2">
          <reference field="3" count="1" selected="0">
            <x v="249"/>
          </reference>
          <reference field="4" count="1">
            <x v="734"/>
          </reference>
        </references>
      </pivotArea>
    </format>
    <format dxfId="1648">
      <pivotArea dataOnly="0" labelOnly="1" outline="0" fieldPosition="0">
        <references count="2">
          <reference field="3" count="1" selected="0">
            <x v="250"/>
          </reference>
          <reference field="4" count="1">
            <x v="43"/>
          </reference>
        </references>
      </pivotArea>
    </format>
    <format dxfId="1647">
      <pivotArea dataOnly="0" labelOnly="1" outline="0" fieldPosition="0">
        <references count="2">
          <reference field="3" count="1" selected="0">
            <x v="251"/>
          </reference>
          <reference field="4" count="1">
            <x v="747"/>
          </reference>
        </references>
      </pivotArea>
    </format>
    <format dxfId="1646">
      <pivotArea dataOnly="0" labelOnly="1" outline="0" fieldPosition="0">
        <references count="2">
          <reference field="3" count="1" selected="0">
            <x v="252"/>
          </reference>
          <reference field="4" count="1">
            <x v="1242"/>
          </reference>
        </references>
      </pivotArea>
    </format>
    <format dxfId="1645">
      <pivotArea dataOnly="0" labelOnly="1" outline="0" fieldPosition="0">
        <references count="2">
          <reference field="3" count="1" selected="0">
            <x v="253"/>
          </reference>
          <reference field="4" count="1">
            <x v="380"/>
          </reference>
        </references>
      </pivotArea>
    </format>
    <format dxfId="1644">
      <pivotArea dataOnly="0" labelOnly="1" outline="0" fieldPosition="0">
        <references count="2">
          <reference field="3" count="1" selected="0">
            <x v="254"/>
          </reference>
          <reference field="4" count="1">
            <x v="1364"/>
          </reference>
        </references>
      </pivotArea>
    </format>
    <format dxfId="1643">
      <pivotArea dataOnly="0" labelOnly="1" outline="0" fieldPosition="0">
        <references count="2">
          <reference field="3" count="1" selected="0">
            <x v="255"/>
          </reference>
          <reference field="4" count="1">
            <x v="101"/>
          </reference>
        </references>
      </pivotArea>
    </format>
    <format dxfId="1642">
      <pivotArea dataOnly="0" labelOnly="1" outline="0" fieldPosition="0">
        <references count="2">
          <reference field="3" count="1" selected="0">
            <x v="256"/>
          </reference>
          <reference field="4" count="1">
            <x v="840"/>
          </reference>
        </references>
      </pivotArea>
    </format>
    <format dxfId="1641">
      <pivotArea dataOnly="0" labelOnly="1" outline="0" fieldPosition="0">
        <references count="2">
          <reference field="3" count="1" selected="0">
            <x v="257"/>
          </reference>
          <reference field="4" count="1">
            <x v="1310"/>
          </reference>
        </references>
      </pivotArea>
    </format>
    <format dxfId="1640">
      <pivotArea dataOnly="0" labelOnly="1" outline="0" fieldPosition="0">
        <references count="2">
          <reference field="3" count="1" selected="0">
            <x v="258"/>
          </reference>
          <reference field="4" count="1">
            <x v="418"/>
          </reference>
        </references>
      </pivotArea>
    </format>
    <format dxfId="1639">
      <pivotArea dataOnly="0" labelOnly="1" outline="0" fieldPosition="0">
        <references count="2">
          <reference field="3" count="1" selected="0">
            <x v="259"/>
          </reference>
          <reference field="4" count="1">
            <x v="419"/>
          </reference>
        </references>
      </pivotArea>
    </format>
    <format dxfId="1638">
      <pivotArea dataOnly="0" labelOnly="1" outline="0" fieldPosition="0">
        <references count="2">
          <reference field="3" count="1" selected="0">
            <x v="260"/>
          </reference>
          <reference field="4" count="1">
            <x v="92"/>
          </reference>
        </references>
      </pivotArea>
    </format>
    <format dxfId="1637">
      <pivotArea dataOnly="0" labelOnly="1" outline="0" fieldPosition="0">
        <references count="2">
          <reference field="3" count="1" selected="0">
            <x v="261"/>
          </reference>
          <reference field="4" count="1">
            <x v="224"/>
          </reference>
        </references>
      </pivotArea>
    </format>
    <format dxfId="1636">
      <pivotArea dataOnly="0" labelOnly="1" outline="0" fieldPosition="0">
        <references count="2">
          <reference field="3" count="1" selected="0">
            <x v="262"/>
          </reference>
          <reference field="4" count="1">
            <x v="318"/>
          </reference>
        </references>
      </pivotArea>
    </format>
    <format dxfId="1635">
      <pivotArea dataOnly="0" labelOnly="1" outline="0" fieldPosition="0">
        <references count="2">
          <reference field="3" count="1" selected="0">
            <x v="263"/>
          </reference>
          <reference field="4" count="1">
            <x v="319"/>
          </reference>
        </references>
      </pivotArea>
    </format>
    <format dxfId="1634">
      <pivotArea dataOnly="0" labelOnly="1" outline="0" fieldPosition="0">
        <references count="2">
          <reference field="3" count="1" selected="0">
            <x v="265"/>
          </reference>
          <reference field="4" count="1">
            <x v="291"/>
          </reference>
        </references>
      </pivotArea>
    </format>
    <format dxfId="1633">
      <pivotArea dataOnly="0" labelOnly="1" outline="0" fieldPosition="0">
        <references count="2">
          <reference field="3" count="1" selected="0">
            <x v="266"/>
          </reference>
          <reference field="4" count="1">
            <x v="748"/>
          </reference>
        </references>
      </pivotArea>
    </format>
    <format dxfId="1632">
      <pivotArea dataOnly="0" labelOnly="1" outline="0" fieldPosition="0">
        <references count="2">
          <reference field="3" count="1" selected="0">
            <x v="267"/>
          </reference>
          <reference field="4" count="1">
            <x v="1345"/>
          </reference>
        </references>
      </pivotArea>
    </format>
    <format dxfId="1631">
      <pivotArea dataOnly="0" labelOnly="1" outline="0" fieldPosition="0">
        <references count="2">
          <reference field="3" count="1" selected="0">
            <x v="268"/>
          </reference>
          <reference field="4" count="1">
            <x v="771"/>
          </reference>
        </references>
      </pivotArea>
    </format>
    <format dxfId="1630">
      <pivotArea dataOnly="0" labelOnly="1" outline="0" fieldPosition="0">
        <references count="2">
          <reference field="3" count="1" selected="0">
            <x v="269"/>
          </reference>
          <reference field="4" count="1">
            <x v="1381"/>
          </reference>
        </references>
      </pivotArea>
    </format>
    <format dxfId="1629">
      <pivotArea dataOnly="0" labelOnly="1" outline="0" fieldPosition="0">
        <references count="2">
          <reference field="3" count="1" selected="0">
            <x v="270"/>
          </reference>
          <reference field="4" count="1">
            <x v="1342"/>
          </reference>
        </references>
      </pivotArea>
    </format>
    <format dxfId="1628">
      <pivotArea dataOnly="0" labelOnly="1" outline="0" fieldPosition="0">
        <references count="2">
          <reference field="3" count="1" selected="0">
            <x v="271"/>
          </reference>
          <reference field="4" count="1">
            <x v="130"/>
          </reference>
        </references>
      </pivotArea>
    </format>
    <format dxfId="1627">
      <pivotArea dataOnly="0" labelOnly="1" outline="0" fieldPosition="0">
        <references count="2">
          <reference field="3" count="1" selected="0">
            <x v="272"/>
          </reference>
          <reference field="4" count="1">
            <x v="759"/>
          </reference>
        </references>
      </pivotArea>
    </format>
    <format dxfId="1626">
      <pivotArea dataOnly="0" labelOnly="1" outline="0" fieldPosition="0">
        <references count="2">
          <reference field="3" count="1" selected="0">
            <x v="273"/>
          </reference>
          <reference field="4" count="1">
            <x v="804"/>
          </reference>
        </references>
      </pivotArea>
    </format>
    <format dxfId="1625">
      <pivotArea dataOnly="0" labelOnly="1" outline="0" fieldPosition="0">
        <references count="2">
          <reference field="3" count="1" selected="0">
            <x v="274"/>
          </reference>
          <reference field="4" count="1">
            <x v="808"/>
          </reference>
        </references>
      </pivotArea>
    </format>
    <format dxfId="1624">
      <pivotArea dataOnly="0" labelOnly="1" outline="0" fieldPosition="0">
        <references count="2">
          <reference field="3" count="1" selected="0">
            <x v="275"/>
          </reference>
          <reference field="4" count="1">
            <x v="810"/>
          </reference>
        </references>
      </pivotArea>
    </format>
    <format dxfId="1623">
      <pivotArea dataOnly="0" labelOnly="1" outline="0" fieldPosition="0">
        <references count="2">
          <reference field="3" count="1" selected="0">
            <x v="276"/>
          </reference>
          <reference field="4" count="1">
            <x v="809"/>
          </reference>
        </references>
      </pivotArea>
    </format>
    <format dxfId="1622">
      <pivotArea dataOnly="0" labelOnly="1" outline="0" fieldPosition="0">
        <references count="2">
          <reference field="3" count="1" selected="0">
            <x v="277"/>
          </reference>
          <reference field="4" count="1">
            <x v="811"/>
          </reference>
        </references>
      </pivotArea>
    </format>
    <format dxfId="1621">
      <pivotArea dataOnly="0" labelOnly="1" outline="0" fieldPosition="0">
        <references count="2">
          <reference field="3" count="1" selected="0">
            <x v="278"/>
          </reference>
          <reference field="4" count="1">
            <x v="812"/>
          </reference>
        </references>
      </pivotArea>
    </format>
    <format dxfId="1620">
      <pivotArea dataOnly="0" labelOnly="1" outline="0" fieldPosition="0">
        <references count="2">
          <reference field="3" count="1" selected="0">
            <x v="279"/>
          </reference>
          <reference field="4" count="1">
            <x v="847"/>
          </reference>
        </references>
      </pivotArea>
    </format>
    <format dxfId="1619">
      <pivotArea dataOnly="0" labelOnly="1" outline="0" fieldPosition="0">
        <references count="2">
          <reference field="3" count="1" selected="0">
            <x v="280"/>
          </reference>
          <reference field="4" count="1">
            <x v="1112"/>
          </reference>
        </references>
      </pivotArea>
    </format>
    <format dxfId="1618">
      <pivotArea dataOnly="0" labelOnly="1" outline="0" fieldPosition="0">
        <references count="2">
          <reference field="3" count="1" selected="0">
            <x v="281"/>
          </reference>
          <reference field="4" count="1">
            <x v="1118"/>
          </reference>
        </references>
      </pivotArea>
    </format>
    <format dxfId="1617">
      <pivotArea dataOnly="0" labelOnly="1" outline="0" fieldPosition="0">
        <references count="2">
          <reference field="3" count="1" selected="0">
            <x v="282"/>
          </reference>
          <reference field="4" count="1">
            <x v="1115"/>
          </reference>
        </references>
      </pivotArea>
    </format>
    <format dxfId="1616">
      <pivotArea dataOnly="0" labelOnly="1" outline="0" fieldPosition="0">
        <references count="2">
          <reference field="3" count="1" selected="0">
            <x v="283"/>
          </reference>
          <reference field="4" count="1">
            <x v="951"/>
          </reference>
        </references>
      </pivotArea>
    </format>
    <format dxfId="1615">
      <pivotArea dataOnly="0" labelOnly="1" outline="0" fieldPosition="0">
        <references count="2">
          <reference field="3" count="1" selected="0">
            <x v="284"/>
          </reference>
          <reference field="4" count="1">
            <x v="1116"/>
          </reference>
        </references>
      </pivotArea>
    </format>
    <format dxfId="1614">
      <pivotArea dataOnly="0" labelOnly="1" outline="0" fieldPosition="0">
        <references count="2">
          <reference field="3" count="1" selected="0">
            <x v="285"/>
          </reference>
          <reference field="4" count="1">
            <x v="855"/>
          </reference>
        </references>
      </pivotArea>
    </format>
    <format dxfId="1613">
      <pivotArea dataOnly="0" labelOnly="1" outline="0" fieldPosition="0">
        <references count="2">
          <reference field="3" count="1" selected="0">
            <x v="286"/>
          </reference>
          <reference field="4" count="1">
            <x v="805"/>
          </reference>
        </references>
      </pivotArea>
    </format>
    <format dxfId="1612">
      <pivotArea dataOnly="0" labelOnly="1" outline="0" fieldPosition="0">
        <references count="2">
          <reference field="3" count="1" selected="0">
            <x v="287"/>
          </reference>
          <reference field="4" count="1">
            <x v="1119"/>
          </reference>
        </references>
      </pivotArea>
    </format>
    <format dxfId="1611">
      <pivotArea dataOnly="0" labelOnly="1" outline="0" fieldPosition="0">
        <references count="2">
          <reference field="3" count="1" selected="0">
            <x v="288"/>
          </reference>
          <reference field="4" count="1">
            <x v="806"/>
          </reference>
        </references>
      </pivotArea>
    </format>
    <format dxfId="1610">
      <pivotArea dataOnly="0" labelOnly="1" outline="0" fieldPosition="0">
        <references count="2">
          <reference field="3" count="1" selected="0">
            <x v="289"/>
          </reference>
          <reference field="4" count="1">
            <x v="850"/>
          </reference>
        </references>
      </pivotArea>
    </format>
    <format dxfId="1609">
      <pivotArea dataOnly="0" labelOnly="1" outline="0" fieldPosition="0">
        <references count="2">
          <reference field="3" count="1" selected="0">
            <x v="290"/>
          </reference>
          <reference field="4" count="1">
            <x v="851"/>
          </reference>
        </references>
      </pivotArea>
    </format>
    <format dxfId="1608">
      <pivotArea dataOnly="0" labelOnly="1" outline="0" fieldPosition="0">
        <references count="2">
          <reference field="3" count="1" selected="0">
            <x v="291"/>
          </reference>
          <reference field="4" count="1">
            <x v="853"/>
          </reference>
        </references>
      </pivotArea>
    </format>
    <format dxfId="1607">
      <pivotArea dataOnly="0" labelOnly="1" outline="0" fieldPosition="0">
        <references count="2">
          <reference field="3" count="1" selected="0">
            <x v="292"/>
          </reference>
          <reference field="4" count="1">
            <x v="854"/>
          </reference>
        </references>
      </pivotArea>
    </format>
    <format dxfId="1606">
      <pivotArea dataOnly="0" labelOnly="1" outline="0" fieldPosition="0">
        <references count="2">
          <reference field="3" count="1" selected="0">
            <x v="293"/>
          </reference>
          <reference field="4" count="1">
            <x v="857"/>
          </reference>
        </references>
      </pivotArea>
    </format>
    <format dxfId="1605">
      <pivotArea dataOnly="0" labelOnly="1" outline="0" fieldPosition="0">
        <references count="2">
          <reference field="3" count="1" selected="0">
            <x v="294"/>
          </reference>
          <reference field="4" count="1">
            <x v="194"/>
          </reference>
        </references>
      </pivotArea>
    </format>
    <format dxfId="1604">
      <pivotArea dataOnly="0" labelOnly="1" outline="0" fieldPosition="0">
        <references count="2">
          <reference field="3" count="1" selected="0">
            <x v="295"/>
          </reference>
          <reference field="4" count="1">
            <x v="256"/>
          </reference>
        </references>
      </pivotArea>
    </format>
    <format dxfId="1603">
      <pivotArea dataOnly="0" labelOnly="1" outline="0" fieldPosition="0">
        <references count="2">
          <reference field="3" count="1" selected="0">
            <x v="296"/>
          </reference>
          <reference field="4" count="1">
            <x v="250"/>
          </reference>
        </references>
      </pivotArea>
    </format>
    <format dxfId="1602">
      <pivotArea dataOnly="0" labelOnly="1" outline="0" fieldPosition="0">
        <references count="2">
          <reference field="3" count="1" selected="0">
            <x v="297"/>
          </reference>
          <reference field="4" count="1">
            <x v="593"/>
          </reference>
        </references>
      </pivotArea>
    </format>
    <format dxfId="1601">
      <pivotArea dataOnly="0" labelOnly="1" outline="0" fieldPosition="0">
        <references count="2">
          <reference field="3" count="1" selected="0">
            <x v="298"/>
          </reference>
          <reference field="4" count="1">
            <x v="596"/>
          </reference>
        </references>
      </pivotArea>
    </format>
    <format dxfId="1600">
      <pivotArea dataOnly="0" labelOnly="1" outline="0" fieldPosition="0">
        <references count="2">
          <reference field="3" count="1" selected="0">
            <x v="299"/>
          </reference>
          <reference field="4" count="1">
            <x v="597"/>
          </reference>
        </references>
      </pivotArea>
    </format>
    <format dxfId="1599">
      <pivotArea dataOnly="0" labelOnly="1" outline="0" fieldPosition="0">
        <references count="2">
          <reference field="3" count="1" selected="0">
            <x v="300"/>
          </reference>
          <reference field="4" count="1">
            <x v="599"/>
          </reference>
        </references>
      </pivotArea>
    </format>
    <format dxfId="1598">
      <pivotArea dataOnly="0" labelOnly="1" outline="0" fieldPosition="0">
        <references count="2">
          <reference field="3" count="1" selected="0">
            <x v="301"/>
          </reference>
          <reference field="4" count="1">
            <x v="603"/>
          </reference>
        </references>
      </pivotArea>
    </format>
    <format dxfId="1597">
      <pivotArea dataOnly="0" labelOnly="1" outline="0" fieldPosition="0">
        <references count="2">
          <reference field="3" count="1" selected="0">
            <x v="302"/>
          </reference>
          <reference field="4" count="1">
            <x v="604"/>
          </reference>
        </references>
      </pivotArea>
    </format>
    <format dxfId="1596">
      <pivotArea dataOnly="0" labelOnly="1" outline="0" fieldPosition="0">
        <references count="2">
          <reference field="3" count="1" selected="0">
            <x v="303"/>
          </reference>
          <reference field="4" count="1">
            <x v="606"/>
          </reference>
        </references>
      </pivotArea>
    </format>
    <format dxfId="1595">
      <pivotArea dataOnly="0" labelOnly="1" outline="0" fieldPosition="0">
        <references count="2">
          <reference field="3" count="1" selected="0">
            <x v="304"/>
          </reference>
          <reference field="4" count="1">
            <x v="607"/>
          </reference>
        </references>
      </pivotArea>
    </format>
    <format dxfId="1594">
      <pivotArea dataOnly="0" labelOnly="1" outline="0" fieldPosition="0">
        <references count="2">
          <reference field="3" count="1" selected="0">
            <x v="305"/>
          </reference>
          <reference field="4" count="1">
            <x v="608"/>
          </reference>
        </references>
      </pivotArea>
    </format>
    <format dxfId="1593">
      <pivotArea dataOnly="0" labelOnly="1" outline="0" fieldPosition="0">
        <references count="2">
          <reference field="3" count="1" selected="0">
            <x v="306"/>
          </reference>
          <reference field="4" count="1">
            <x v="918"/>
          </reference>
        </references>
      </pivotArea>
    </format>
    <format dxfId="1592">
      <pivotArea dataOnly="0" labelOnly="1" outline="0" fieldPosition="0">
        <references count="2">
          <reference field="3" count="1" selected="0">
            <x v="307"/>
          </reference>
          <reference field="4" count="1">
            <x v="1061"/>
          </reference>
        </references>
      </pivotArea>
    </format>
    <format dxfId="1591">
      <pivotArea dataOnly="0" labelOnly="1" outline="0" fieldPosition="0">
        <references count="2">
          <reference field="3" count="1" selected="0">
            <x v="308"/>
          </reference>
          <reference field="4" count="1">
            <x v="1062"/>
          </reference>
        </references>
      </pivotArea>
    </format>
    <format dxfId="1590">
      <pivotArea dataOnly="0" labelOnly="1" outline="0" fieldPosition="0">
        <references count="2">
          <reference field="3" count="1" selected="0">
            <x v="309"/>
          </reference>
          <reference field="4" count="1">
            <x v="1188"/>
          </reference>
        </references>
      </pivotArea>
    </format>
    <format dxfId="1589">
      <pivotArea dataOnly="0" labelOnly="1" outline="0" fieldPosition="0">
        <references count="2">
          <reference field="3" count="1" selected="0">
            <x v="310"/>
          </reference>
          <reference field="4" count="1">
            <x v="1187"/>
          </reference>
        </references>
      </pivotArea>
    </format>
    <format dxfId="1588">
      <pivotArea dataOnly="0" labelOnly="1" outline="0" fieldPosition="0">
        <references count="2">
          <reference field="3" count="1" selected="0">
            <x v="311"/>
          </reference>
          <reference field="4" count="1">
            <x v="1192"/>
          </reference>
        </references>
      </pivotArea>
    </format>
    <format dxfId="1587">
      <pivotArea dataOnly="0" labelOnly="1" outline="0" fieldPosition="0">
        <references count="2">
          <reference field="3" count="1" selected="0">
            <x v="312"/>
          </reference>
          <reference field="4" count="1">
            <x v="1196"/>
          </reference>
        </references>
      </pivotArea>
    </format>
    <format dxfId="1586">
      <pivotArea dataOnly="0" labelOnly="1" outline="0" fieldPosition="0">
        <references count="2">
          <reference field="3" count="1" selected="0">
            <x v="313"/>
          </reference>
          <reference field="4" count="1">
            <x v="754"/>
          </reference>
        </references>
      </pivotArea>
    </format>
    <format dxfId="1585">
      <pivotArea dataOnly="0" labelOnly="1" outline="0" fieldPosition="0">
        <references count="2">
          <reference field="3" count="1" selected="0">
            <x v="314"/>
          </reference>
          <reference field="4" count="1">
            <x v="70"/>
          </reference>
        </references>
      </pivotArea>
    </format>
    <format dxfId="1584">
      <pivotArea dataOnly="0" labelOnly="1" outline="0" fieldPosition="0">
        <references count="2">
          <reference field="3" count="1" selected="0">
            <x v="315"/>
          </reference>
          <reference field="4" count="1">
            <x v="71"/>
          </reference>
        </references>
      </pivotArea>
    </format>
    <format dxfId="1583">
      <pivotArea dataOnly="0" labelOnly="1" outline="0" fieldPosition="0">
        <references count="2">
          <reference field="3" count="1" selected="0">
            <x v="316"/>
          </reference>
          <reference field="4" count="1">
            <x v="178"/>
          </reference>
        </references>
      </pivotArea>
    </format>
    <format dxfId="1582">
      <pivotArea dataOnly="0" labelOnly="1" outline="0" fieldPosition="0">
        <references count="2">
          <reference field="3" count="1" selected="0">
            <x v="317"/>
          </reference>
          <reference field="4" count="1">
            <x v="179"/>
          </reference>
        </references>
      </pivotArea>
    </format>
    <format dxfId="1581">
      <pivotArea dataOnly="0" labelOnly="1" outline="0" fieldPosition="0">
        <references count="2">
          <reference field="3" count="1" selected="0">
            <x v="318"/>
          </reference>
          <reference field="4" count="1">
            <x v="15"/>
          </reference>
        </references>
      </pivotArea>
    </format>
    <format dxfId="1580">
      <pivotArea dataOnly="0" labelOnly="1" outline="0" fieldPosition="0">
        <references count="2">
          <reference field="3" count="1" selected="0">
            <x v="319"/>
          </reference>
          <reference field="4" count="1">
            <x v="88"/>
          </reference>
        </references>
      </pivotArea>
    </format>
    <format dxfId="1579">
      <pivotArea dataOnly="0" labelOnly="1" outline="0" fieldPosition="0">
        <references count="2">
          <reference field="3" count="1" selected="0">
            <x v="320"/>
          </reference>
          <reference field="4" count="1">
            <x v="176"/>
          </reference>
        </references>
      </pivotArea>
    </format>
    <format dxfId="1578">
      <pivotArea dataOnly="0" labelOnly="1" outline="0" fieldPosition="0">
        <references count="2">
          <reference field="3" count="1" selected="0">
            <x v="321"/>
          </reference>
          <reference field="4" count="1">
            <x v="1368"/>
          </reference>
        </references>
      </pivotArea>
    </format>
    <format dxfId="1577">
      <pivotArea dataOnly="0" labelOnly="1" outline="0" fieldPosition="0">
        <references count="2">
          <reference field="3" count="1" selected="0">
            <x v="322"/>
          </reference>
          <reference field="4" count="1">
            <x v="193"/>
          </reference>
        </references>
      </pivotArea>
    </format>
    <format dxfId="1576">
      <pivotArea dataOnly="0" labelOnly="1" outline="0" fieldPosition="0">
        <references count="2">
          <reference field="3" count="1" selected="0">
            <x v="323"/>
          </reference>
          <reference field="4" count="1">
            <x v="299"/>
          </reference>
        </references>
      </pivotArea>
    </format>
    <format dxfId="1575">
      <pivotArea dataOnly="0" labelOnly="1" outline="0" fieldPosition="0">
        <references count="2">
          <reference field="3" count="1" selected="0">
            <x v="324"/>
          </reference>
          <reference field="4" count="1">
            <x v="381"/>
          </reference>
        </references>
      </pivotArea>
    </format>
    <format dxfId="1574">
      <pivotArea dataOnly="0" labelOnly="1" outline="0" fieldPosition="0">
        <references count="2">
          <reference field="3" count="1" selected="0">
            <x v="325"/>
          </reference>
          <reference field="4" count="1">
            <x v="493"/>
          </reference>
        </references>
      </pivotArea>
    </format>
    <format dxfId="1573">
      <pivotArea dataOnly="0" labelOnly="1" outline="0" fieldPosition="0">
        <references count="2">
          <reference field="3" count="1" selected="0">
            <x v="326"/>
          </reference>
          <reference field="4" count="1">
            <x v="1166"/>
          </reference>
        </references>
      </pivotArea>
    </format>
    <format dxfId="1572">
      <pivotArea dataOnly="0" labelOnly="1" outline="0" fieldPosition="0">
        <references count="2">
          <reference field="3" count="1" selected="0">
            <x v="327"/>
          </reference>
          <reference field="4" count="1">
            <x v="497"/>
          </reference>
        </references>
      </pivotArea>
    </format>
    <format dxfId="1571">
      <pivotArea dataOnly="0" labelOnly="1" outline="0" fieldPosition="0">
        <references count="2">
          <reference field="3" count="1" selected="0">
            <x v="328"/>
          </reference>
          <reference field="4" count="1">
            <x v="1167"/>
          </reference>
        </references>
      </pivotArea>
    </format>
    <format dxfId="1570">
      <pivotArea dataOnly="0" labelOnly="1" outline="0" fieldPosition="0">
        <references count="2">
          <reference field="3" count="1" selected="0">
            <x v="329"/>
          </reference>
          <reference field="4" count="1">
            <x v="378"/>
          </reference>
        </references>
      </pivotArea>
    </format>
    <format dxfId="1569">
      <pivotArea dataOnly="0" labelOnly="1" outline="0" fieldPosition="0">
        <references count="2">
          <reference field="3" count="1" selected="0">
            <x v="330"/>
          </reference>
          <reference field="4" count="1">
            <x v="309"/>
          </reference>
        </references>
      </pivotArea>
    </format>
    <format dxfId="1568">
      <pivotArea dataOnly="0" labelOnly="1" outline="0" fieldPosition="0">
        <references count="2">
          <reference field="3" count="1" selected="0">
            <x v="331"/>
          </reference>
          <reference field="4" count="1">
            <x v="312"/>
          </reference>
        </references>
      </pivotArea>
    </format>
    <format dxfId="1567">
      <pivotArea dataOnly="0" labelOnly="1" outline="0" fieldPosition="0">
        <references count="2">
          <reference field="3" count="1" selected="0">
            <x v="332"/>
          </reference>
          <reference field="4" count="1">
            <x v="321"/>
          </reference>
        </references>
      </pivotArea>
    </format>
    <format dxfId="1566">
      <pivotArea dataOnly="0" labelOnly="1" outline="0" fieldPosition="0">
        <references count="2">
          <reference field="3" count="1" selected="0">
            <x v="333"/>
          </reference>
          <reference field="4" count="1">
            <x v="590"/>
          </reference>
        </references>
      </pivotArea>
    </format>
    <format dxfId="1565">
      <pivotArea dataOnly="0" labelOnly="1" outline="0" fieldPosition="0">
        <references count="2">
          <reference field="3" count="1" selected="0">
            <x v="334"/>
          </reference>
          <reference field="4" count="1">
            <x v="776"/>
          </reference>
        </references>
      </pivotArea>
    </format>
    <format dxfId="1564">
      <pivotArea dataOnly="0" labelOnly="1" outline="0" fieldPosition="0">
        <references count="2">
          <reference field="3" count="1" selected="0">
            <x v="335"/>
          </reference>
          <reference field="4" count="1">
            <x v="316"/>
          </reference>
        </references>
      </pivotArea>
    </format>
    <format dxfId="1563">
      <pivotArea dataOnly="0" labelOnly="1" outline="0" fieldPosition="0">
        <references count="2">
          <reference field="3" count="1" selected="0">
            <x v="336"/>
          </reference>
          <reference field="4" count="1">
            <x v="787"/>
          </reference>
        </references>
      </pivotArea>
    </format>
    <format dxfId="1562">
      <pivotArea dataOnly="0" labelOnly="1" outline="0" fieldPosition="0">
        <references count="2">
          <reference field="3" count="1" selected="0">
            <x v="337"/>
          </reference>
          <reference field="4" count="1">
            <x v="174"/>
          </reference>
        </references>
      </pivotArea>
    </format>
    <format dxfId="1561">
      <pivotArea dataOnly="0" labelOnly="1" outline="0" fieldPosition="0">
        <references count="2">
          <reference field="3" count="1" selected="0">
            <x v="338"/>
          </reference>
          <reference field="4" count="1">
            <x v="966"/>
          </reference>
        </references>
      </pivotArea>
    </format>
    <format dxfId="1560">
      <pivotArea dataOnly="0" labelOnly="1" outline="0" fieldPosition="0">
        <references count="2">
          <reference field="3" count="1" selected="0">
            <x v="339"/>
          </reference>
          <reference field="4" count="1">
            <x v="967"/>
          </reference>
        </references>
      </pivotArea>
    </format>
    <format dxfId="1559">
      <pivotArea dataOnly="0" labelOnly="1" outline="0" fieldPosition="0">
        <references count="2">
          <reference field="3" count="1" selected="0">
            <x v="340"/>
          </reference>
          <reference field="4" count="1">
            <x v="994"/>
          </reference>
        </references>
      </pivotArea>
    </format>
    <format dxfId="1558">
      <pivotArea dataOnly="0" labelOnly="1" outline="0" fieldPosition="0">
        <references count="2">
          <reference field="3" count="1" selected="0">
            <x v="341"/>
          </reference>
          <reference field="4" count="1">
            <x v="995"/>
          </reference>
        </references>
      </pivotArea>
    </format>
    <format dxfId="1557">
      <pivotArea dataOnly="0" labelOnly="1" outline="0" fieldPosition="0">
        <references count="2">
          <reference field="3" count="1" selected="0">
            <x v="342"/>
          </reference>
          <reference field="4" count="1">
            <x v="1313"/>
          </reference>
        </references>
      </pivotArea>
    </format>
    <format dxfId="1556">
      <pivotArea dataOnly="0" labelOnly="1" outline="0" fieldPosition="0">
        <references count="2">
          <reference field="3" count="1" selected="0">
            <x v="343"/>
          </reference>
          <reference field="4" count="1">
            <x v="1245"/>
          </reference>
        </references>
      </pivotArea>
    </format>
    <format dxfId="1555">
      <pivotArea dataOnly="0" labelOnly="1" outline="0" fieldPosition="0">
        <references count="2">
          <reference field="3" count="1" selected="0">
            <x v="344"/>
          </reference>
          <reference field="4" count="1">
            <x v="1319"/>
          </reference>
        </references>
      </pivotArea>
    </format>
    <format dxfId="1554">
      <pivotArea dataOnly="0" labelOnly="1" outline="0" fieldPosition="0">
        <references count="2">
          <reference field="3" count="1" selected="0">
            <x v="345"/>
          </reference>
          <reference field="4" count="1">
            <x v="1395"/>
          </reference>
        </references>
      </pivotArea>
    </format>
    <format dxfId="1553">
      <pivotArea dataOnly="0" labelOnly="1" outline="0" fieldPosition="0">
        <references count="2">
          <reference field="3" count="1" selected="0">
            <x v="346"/>
          </reference>
          <reference field="4" count="1">
            <x v="589"/>
          </reference>
        </references>
      </pivotArea>
    </format>
    <format dxfId="1552">
      <pivotArea dataOnly="0" labelOnly="1" outline="0" fieldPosition="0">
        <references count="2">
          <reference field="3" count="1" selected="0">
            <x v="347"/>
          </reference>
          <reference field="4" count="1">
            <x v="1158"/>
          </reference>
        </references>
      </pivotArea>
    </format>
    <format dxfId="1551">
      <pivotArea dataOnly="0" labelOnly="1" outline="0" fieldPosition="0">
        <references count="2">
          <reference field="3" count="1" selected="0">
            <x v="349"/>
          </reference>
          <reference field="4" count="1">
            <x v="175"/>
          </reference>
        </references>
      </pivotArea>
    </format>
    <format dxfId="1550">
      <pivotArea dataOnly="0" labelOnly="1" outline="0" fieldPosition="0">
        <references count="2">
          <reference field="3" count="1" selected="0">
            <x v="350"/>
          </reference>
          <reference field="4" count="1">
            <x v="1163"/>
          </reference>
        </references>
      </pivotArea>
    </format>
    <format dxfId="1549">
      <pivotArea dataOnly="0" labelOnly="1" outline="0" fieldPosition="0">
        <references count="2">
          <reference field="3" count="1" selected="0">
            <x v="351"/>
          </reference>
          <reference field="4" count="1">
            <x v="102"/>
          </reference>
        </references>
      </pivotArea>
    </format>
    <format dxfId="1548">
      <pivotArea dataOnly="0" labelOnly="1" outline="0" fieldPosition="0">
        <references count="2">
          <reference field="3" count="1" selected="0">
            <x v="352"/>
          </reference>
          <reference field="4" count="1">
            <x v="69"/>
          </reference>
        </references>
      </pivotArea>
    </format>
    <format dxfId="1547">
      <pivotArea dataOnly="0" labelOnly="1" outline="0" fieldPosition="0">
        <references count="2">
          <reference field="3" count="1" selected="0">
            <x v="353"/>
          </reference>
          <reference field="4" count="1">
            <x v="293"/>
          </reference>
        </references>
      </pivotArea>
    </format>
    <format dxfId="1546">
      <pivotArea dataOnly="0" labelOnly="1" outline="0" fieldPosition="0">
        <references count="1">
          <reference field="4294967294" count="3">
            <x v="0"/>
            <x v="2"/>
            <x v="4"/>
          </reference>
        </references>
      </pivotArea>
    </format>
    <format dxfId="1545">
      <pivotArea outline="0" collapsedLevelsAreSubtotals="1" fieldPosition="0"/>
    </format>
    <format dxfId="1544">
      <pivotArea dataOnly="0" labelOnly="1" outline="0" fieldPosition="0">
        <references count="1">
          <reference field="4294967294" count="3">
            <x v="0"/>
            <x v="2"/>
            <x v="4"/>
          </reference>
        </references>
      </pivotArea>
    </format>
    <format dxfId="1543">
      <pivotArea outline="0" fieldPosition="0">
        <references count="1">
          <reference field="4294967294" count="1" selected="0">
            <x v="6"/>
          </reference>
        </references>
      </pivotArea>
    </format>
    <format dxfId="15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541">
      <pivotArea field="3" type="button" dataOnly="0" labelOnly="1" outline="0" axis="axisRow" fieldPosition="0"/>
    </format>
    <format dxfId="1540">
      <pivotArea field="4" type="button" dataOnly="0" labelOnly="1" outline="0" axis="axisRow" fieldPosition="1"/>
    </format>
    <format dxfId="1539">
      <pivotArea dataOnly="0" labelOnly="1" outline="0" fieldPosition="0">
        <references count="1">
          <reference field="4294967294" count="6">
            <x v="0"/>
            <x v="2"/>
            <x v="4"/>
            <x v="5"/>
            <x v="6"/>
            <x v="7"/>
          </reference>
        </references>
      </pivotArea>
    </format>
    <format dxfId="1538">
      <pivotArea field="3" type="button" dataOnly="0" labelOnly="1" outline="0" axis="axisRow" fieldPosition="0"/>
    </format>
    <format dxfId="1537">
      <pivotArea field="4" type="button" dataOnly="0" labelOnly="1" outline="0" axis="axisRow" fieldPosition="1"/>
    </format>
    <format dxfId="1536">
      <pivotArea dataOnly="0" labelOnly="1" outline="0" fieldPosition="0">
        <references count="1">
          <reference field="4294967294" count="6">
            <x v="0"/>
            <x v="2"/>
            <x v="4"/>
            <x v="5"/>
            <x v="6"/>
            <x v="7"/>
          </reference>
        </references>
      </pivotArea>
    </format>
    <format dxfId="1535">
      <pivotArea outline="0" fieldPosition="0">
        <references count="1">
          <reference field="4294967294" count="1">
            <x v="7"/>
          </reference>
        </references>
      </pivotArea>
    </format>
    <format dxfId="1534">
      <pivotArea outline="0" fieldPosition="0">
        <references count="1">
          <reference field="4294967294" count="1" selected="0">
            <x v="7"/>
          </reference>
        </references>
      </pivotArea>
    </format>
    <format dxfId="1533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532">
      <pivotArea outline="0" fieldPosition="0">
        <references count="1">
          <reference field="4294967294" count="1" selected="0">
            <x v="3"/>
          </reference>
        </references>
      </pivotArea>
    </format>
    <format dxfId="1531">
      <pivotArea dataOnly="0" labelOnly="1" outline="0" fieldPosition="0">
        <references count="2">
          <reference field="3" count="1" selected="0">
            <x v="1040"/>
          </reference>
          <reference field="4" count="1">
            <x v="1179"/>
          </reference>
        </references>
      </pivotArea>
    </format>
    <format dxfId="1530">
      <pivotArea dataOnly="0" labelOnly="1" outline="0" fieldPosition="0">
        <references count="2">
          <reference field="3" count="1" selected="0">
            <x v="1196"/>
          </reference>
          <reference field="4" count="1">
            <x v="712"/>
          </reference>
        </references>
      </pivotArea>
    </format>
    <format dxfId="1529">
      <pivotArea dataOnly="0" labelOnly="1" outline="0" fieldPosition="0">
        <references count="2">
          <reference field="3" count="1" selected="0">
            <x v="1130"/>
          </reference>
          <reference field="4" count="1">
            <x v="410"/>
          </reference>
        </references>
      </pivotArea>
    </format>
    <format dxfId="1528">
      <pivotArea dataOnly="0" labelOnly="1" outline="0" fieldPosition="0">
        <references count="2">
          <reference field="3" count="1" selected="0">
            <x v="1193"/>
          </reference>
          <reference field="4" count="1">
            <x v="707"/>
          </reference>
        </references>
      </pivotArea>
    </format>
    <format dxfId="1527">
      <pivotArea dataOnly="0" labelOnly="1" outline="0" fieldPosition="0">
        <references count="2">
          <reference field="3" count="1" selected="0">
            <x v="872"/>
          </reference>
          <reference field="4" count="1">
            <x v="411"/>
          </reference>
        </references>
      </pivotArea>
    </format>
    <format dxfId="1526">
      <pivotArea dataOnly="0" labelOnly="1" outline="0" fieldPosition="0">
        <references count="2">
          <reference field="3" count="1" selected="0">
            <x v="980"/>
          </reference>
          <reference field="4" count="1">
            <x v="1426"/>
          </reference>
        </references>
      </pivotArea>
    </format>
    <format dxfId="1525">
      <pivotArea dataOnly="0" labelOnly="1" outline="0" fieldPosition="0">
        <references count="2">
          <reference field="3" count="1" selected="0">
            <x v="1289"/>
          </reference>
          <reference field="4" count="1">
            <x v="1021"/>
          </reference>
        </references>
      </pivotArea>
    </format>
    <format dxfId="1524">
      <pivotArea dataOnly="0" labelOnly="1" outline="0" fieldPosition="0">
        <references count="2">
          <reference field="3" count="1" selected="0">
            <x v="235"/>
          </reference>
          <reference field="4" count="1">
            <x v="1390"/>
          </reference>
        </references>
      </pivotArea>
    </format>
    <format dxfId="1523">
      <pivotArea dataOnly="0" labelOnly="1" outline="0" fieldPosition="0">
        <references count="2">
          <reference field="3" count="1" selected="0">
            <x v="1287"/>
          </reference>
          <reference field="4" count="1">
            <x v="1016"/>
          </reference>
        </references>
      </pivotArea>
    </format>
    <format dxfId="1522">
      <pivotArea dataOnly="0" labelOnly="1" outline="0" fieldPosition="0">
        <references count="2">
          <reference field="3" count="1" selected="0">
            <x v="1288"/>
          </reference>
          <reference field="4" count="1">
            <x v="1020"/>
          </reference>
        </references>
      </pivotArea>
    </format>
    <format dxfId="1521">
      <pivotArea dataOnly="0" labelOnly="1" outline="0" fieldPosition="0">
        <references count="2">
          <reference field="3" count="1" selected="0">
            <x v="1291"/>
          </reference>
          <reference field="4" count="1">
            <x v="1019"/>
          </reference>
        </references>
      </pivotArea>
    </format>
    <format dxfId="1520">
      <pivotArea dataOnly="0" labelOnly="1" outline="0" fieldPosition="0">
        <references count="2">
          <reference field="3" count="1" selected="0">
            <x v="445"/>
          </reference>
          <reference field="4" count="1">
            <x v="729"/>
          </reference>
        </references>
      </pivotArea>
    </format>
    <format dxfId="1519">
      <pivotArea dataOnly="0" labelOnly="1" outline="0" fieldPosition="0">
        <references count="2">
          <reference field="3" count="1" selected="0">
            <x v="692"/>
          </reference>
          <reference field="4" count="1">
            <x v="33"/>
          </reference>
        </references>
      </pivotArea>
    </format>
    <format dxfId="1518">
      <pivotArea dataOnly="0" labelOnly="1" outline="0" fieldPosition="0">
        <references count="2">
          <reference field="3" count="1" selected="0">
            <x v="231"/>
          </reference>
          <reference field="4" count="1">
            <x v="1357"/>
          </reference>
        </references>
      </pivotArea>
    </format>
    <format dxfId="1517">
      <pivotArea dataOnly="0" labelOnly="1" outline="0" fieldPosition="0">
        <references count="2">
          <reference field="3" count="1" selected="0">
            <x v="814"/>
          </reference>
          <reference field="4" count="1">
            <x v="34"/>
          </reference>
        </references>
      </pivotArea>
    </format>
    <format dxfId="1516">
      <pivotArea dataOnly="0" labelOnly="1" outline="0" fieldPosition="0">
        <references count="2">
          <reference field="3" count="1" selected="0">
            <x v="1292"/>
          </reference>
          <reference field="4" count="1">
            <x v="1018"/>
          </reference>
        </references>
      </pivotArea>
    </format>
    <format dxfId="1515">
      <pivotArea dataOnly="0" labelOnly="1" outline="0" fieldPosition="0">
        <references count="2">
          <reference field="3" count="1" selected="0">
            <x v="367"/>
          </reference>
          <reference field="4" count="1">
            <x v="582"/>
          </reference>
        </references>
      </pivotArea>
    </format>
    <format dxfId="1514">
      <pivotArea dataOnly="0" labelOnly="1" outline="0" fieldPosition="0">
        <references count="2">
          <reference field="3" count="1" selected="0">
            <x v="1290"/>
          </reference>
          <reference field="4" count="1">
            <x v="1022"/>
          </reference>
        </references>
      </pivotArea>
    </format>
    <format dxfId="1513">
      <pivotArea dataOnly="0" labelOnly="1" outline="0" fieldPosition="0">
        <references count="2">
          <reference field="3" count="1" selected="0">
            <x v="267"/>
          </reference>
          <reference field="4" count="1">
            <x v="1345"/>
          </reference>
        </references>
      </pivotArea>
    </format>
    <format dxfId="1512">
      <pivotArea dataOnly="0" labelOnly="1" outline="0" fieldPosition="0">
        <references count="2">
          <reference field="3" count="1" selected="0">
            <x v="67"/>
          </reference>
          <reference field="4" count="1">
            <x v="332"/>
          </reference>
        </references>
      </pivotArea>
    </format>
    <format dxfId="1511">
      <pivotArea dataOnly="0" labelOnly="1" outline="0" fieldPosition="0">
        <references count="2">
          <reference field="3" count="1" selected="0">
            <x v="1208"/>
          </reference>
          <reference field="4" count="1">
            <x v="718"/>
          </reference>
        </references>
      </pivotArea>
    </format>
    <format dxfId="1510">
      <pivotArea dataOnly="0" labelOnly="1" outline="0" fieldPosition="0">
        <references count="2">
          <reference field="3" count="1" selected="0">
            <x v="213"/>
          </reference>
          <reference field="4" count="1">
            <x v="584"/>
          </reference>
        </references>
      </pivotArea>
    </format>
    <format dxfId="1509">
      <pivotArea dataOnly="0" labelOnly="1" outline="0" fieldPosition="0">
        <references count="2">
          <reference field="3" count="1" selected="0">
            <x v="1312"/>
          </reference>
          <reference field="4" count="1">
            <x v="1332"/>
          </reference>
        </references>
      </pivotArea>
    </format>
    <format dxfId="1508">
      <pivotArea dataOnly="0" labelOnly="1" outline="0" fieldPosition="0">
        <references count="2">
          <reference field="3" count="1" selected="0">
            <x v="68"/>
          </reference>
          <reference field="4" count="1">
            <x v="333"/>
          </reference>
        </references>
      </pivotArea>
    </format>
    <format dxfId="1507">
      <pivotArea dataOnly="0" labelOnly="1" outline="0" fieldPosition="0">
        <references count="2">
          <reference field="3" count="1" selected="0">
            <x v="404"/>
          </reference>
          <reference field="4" count="1">
            <x v="211"/>
          </reference>
        </references>
      </pivotArea>
    </format>
    <format dxfId="1506">
      <pivotArea dataOnly="0" labelOnly="1" outline="0" fieldPosition="0">
        <references count="2">
          <reference field="3" count="1" selected="0">
            <x v="221"/>
          </reference>
          <reference field="4" count="1">
            <x v="842"/>
          </reference>
        </references>
      </pivotArea>
    </format>
    <format dxfId="1505">
      <pivotArea dataOnly="0" labelOnly="1" outline="0" fieldPosition="0">
        <references count="2">
          <reference field="3" count="1" selected="0">
            <x v="938"/>
          </reference>
          <reference field="4" count="1">
            <x v="1418"/>
          </reference>
        </references>
      </pivotArea>
    </format>
    <format dxfId="1504">
      <pivotArea outline="0" fieldPosition="0">
        <references count="3">
          <reference field="3" count="1" selected="0">
            <x v="721"/>
          </reference>
          <reference field="4" count="1" selected="0">
            <x v="1186"/>
          </reference>
          <reference field="14" count="1" selected="0">
            <x v="29"/>
          </reference>
        </references>
      </pivotArea>
    </format>
    <format dxfId="1503">
      <pivotArea dataOnly="0" labelOnly="1" outline="0" fieldPosition="0">
        <references count="1">
          <reference field="3" count="1">
            <x v="721"/>
          </reference>
        </references>
      </pivotArea>
    </format>
    <format dxfId="1502">
      <pivotArea dataOnly="0" labelOnly="1" outline="0" fieldPosition="0">
        <references count="2">
          <reference field="3" count="1" selected="0">
            <x v="721"/>
          </reference>
          <reference field="4" count="1">
            <x v="1186"/>
          </reference>
        </references>
      </pivotArea>
    </format>
    <format dxfId="1501">
      <pivotArea dataOnly="0" labelOnly="1" outline="0" fieldPosition="0">
        <references count="3">
          <reference field="3" count="1" selected="0">
            <x v="721"/>
          </reference>
          <reference field="4" count="1" selected="0">
            <x v="1186"/>
          </reference>
          <reference field="14" count="1">
            <x v="29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3" connectionId="1" xr16:uid="{601E4D24-1564-41F4-99D2-3AAE950BAA69}" autoFormatId="16" applyNumberFormats="0" applyBorderFormats="0" applyFontFormats="0" applyPatternFormats="0" applyAlignmentFormats="0" applyWidthHeightFormats="0">
  <queryTableRefresh nextId="24">
    <queryTableFields count="17">
      <queryTableField id="1" name="PROJE_KODU" tableColumnId="1"/>
      <queryTableField id="2" name="KARAVAN_ADI" tableColumnId="2"/>
      <queryTableField id="3" name="ALT_KOD_TÜR" tableColumnId="3"/>
      <queryTableField id="4" name="ALT_KOD" tableColumnId="4"/>
      <queryTableField id="5" name="ALT_ADI" tableColumnId="5"/>
      <queryTableField id="6" name="MIKTAR" tableColumnId="6"/>
      <queryTableField id="7" name="BIRIM" tableColumnId="7"/>
      <queryTableField id="8" name="PROJELERE_ÇIKIŞLAR_YENI" tableColumnId="8"/>
      <queryTableField id="9" name="ELDE_KALAN" tableColumnId="9"/>
      <queryTableField id="18" name="ÜRETİM DEPO" tableColumnId="12"/>
      <queryTableField id="14" dataBound="0" tableColumnId="14"/>
      <queryTableField id="10" name="AÇIK_SATINALMA_SİPARİŞLERİ" tableColumnId="10"/>
      <queryTableField id="15" dataBound="0" tableColumnId="15"/>
      <queryTableField id="11" name="BIRIM_FIYATLAR" tableColumnId="11"/>
      <queryTableField id="19" name="SON SATINALMA CARİ ÜNVANI" tableColumnId="17"/>
      <queryTableField id="16" name="TUTAR" tableColumnId="16"/>
      <queryTableField id="13" name="ALTSTOKGRUPKODU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ALTSTOKGRUPKODU" xr10:uid="{37FCB239-BCAD-4D2B-8A2A-460D15CED380}" sourceName="ALTSTOKGRUPKODU">
  <pivotTables>
    <pivotTable tabId="4" name="PivotTable1"/>
  </pivotTables>
  <data>
    <tabular pivotCacheId="1818920627">
      <items count="22">
        <i x="0" s="1"/>
        <i x="5" s="1"/>
        <i x="11" s="1"/>
        <i x="12" s="1"/>
        <i x="6" s="1"/>
        <i x="7" s="1"/>
        <i x="1" s="1"/>
        <i x="13" s="1"/>
        <i x="2" s="1"/>
        <i x="3" s="1"/>
        <i x="9" s="1"/>
        <i x="4" s="1"/>
        <i x="10" s="1"/>
        <i x="8" s="1"/>
        <i x="17" s="1" nd="1"/>
        <i x="18" s="1" nd="1"/>
        <i x="21" s="1" nd="1"/>
        <i x="15" s="1" nd="1"/>
        <i x="20" s="1" nd="1"/>
        <i x="19" s="1" nd="1"/>
        <i x="14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Dilimleyici_SON_SATINALMA_CARİ_ÜNVANI" xr10:uid="{CE81DEAE-7741-41B8-ABA3-211A4D662D1B}" sourceName="SON SATINALMA CARİ ÜNVANI">
  <pivotTables>
    <pivotTable tabId="4" name="PivotTable1"/>
  </pivotTables>
  <data>
    <tabular pivotCacheId="1818920627">
      <items count="299">
        <i x="98" s="1"/>
        <i x="28" s="1"/>
        <i x="15" s="1"/>
        <i x="104" s="1"/>
        <i x="37" s="1"/>
        <i x="84" s="1"/>
        <i x="21" s="1"/>
        <i x="78" s="1"/>
        <i x="93" s="1"/>
        <i x="51" s="1"/>
        <i x="16" s="1"/>
        <i x="57" s="1"/>
        <i x="102" s="1"/>
        <i x="35" s="1"/>
        <i x="112" s="1"/>
        <i x="83" s="1"/>
        <i x="68" s="1"/>
        <i x="58" s="1"/>
        <i x="36" s="1"/>
        <i x="34" s="1"/>
        <i x="109" s="1"/>
        <i x="73" s="1"/>
        <i x="0" s="1"/>
        <i x="76" s="1"/>
        <i x="70" s="1"/>
        <i x="10" s="1"/>
        <i x="7" s="1"/>
        <i x="95" s="1"/>
        <i x="41" s="1"/>
        <i x="77" s="1"/>
        <i x="56" s="1"/>
        <i x="71" s="1"/>
        <i x="113" s="1"/>
        <i x="43" s="1"/>
        <i x="46" s="1"/>
        <i x="89" s="1"/>
        <i x="2" s="1"/>
        <i x="3" s="1"/>
        <i x="31" s="1"/>
        <i x="85" s="1"/>
        <i x="48" s="1"/>
        <i x="27" s="1"/>
        <i x="97" s="1"/>
        <i x="66" s="1"/>
        <i x="12" s="1"/>
        <i x="49" s="1"/>
        <i x="52" s="1"/>
        <i x="105" s="1"/>
        <i x="38" s="1"/>
        <i x="22" s="1"/>
        <i x="111" s="1"/>
        <i x="90" s="1"/>
        <i x="39" s="1"/>
        <i x="87" s="1"/>
        <i x="60" s="1"/>
        <i x="101" s="1"/>
        <i x="100" s="1"/>
        <i x="53" s="1"/>
        <i x="47" s="1"/>
        <i x="67" s="1"/>
        <i x="62" s="1"/>
        <i x="26" s="1"/>
        <i x="75" s="1"/>
        <i x="5" s="1"/>
        <i x="91" s="1"/>
        <i x="25" s="1"/>
        <i x="30" s="1"/>
        <i x="86" s="1"/>
        <i x="20" s="1"/>
        <i x="32" s="1"/>
        <i x="33" s="1"/>
        <i x="54" s="1"/>
        <i x="59" s="1"/>
        <i x="14" s="1"/>
        <i x="55" s="1"/>
        <i x="44" s="1"/>
        <i x="64" s="1"/>
        <i x="65" s="1"/>
        <i x="8" s="1"/>
        <i x="103" s="1"/>
        <i x="29" s="1"/>
        <i x="92" s="1"/>
        <i x="79" s="1"/>
        <i x="45" s="1"/>
        <i x="9" s="1"/>
        <i x="106" s="1"/>
        <i x="40" s="1"/>
        <i x="108" s="1"/>
        <i x="107" s="1"/>
        <i x="11" s="1"/>
        <i x="42" s="1"/>
        <i x="110" s="1"/>
        <i x="18" s="1"/>
        <i x="63" s="1"/>
        <i x="88" s="1"/>
        <i x="19" s="1"/>
        <i x="69" s="1"/>
        <i x="50" s="1"/>
        <i x="13" s="1"/>
        <i x="17" s="1"/>
        <i x="61" s="1"/>
        <i x="80" s="1"/>
        <i x="81" s="1"/>
        <i x="96" s="1"/>
        <i x="94" s="1"/>
        <i x="4" s="1"/>
        <i x="24" s="1"/>
        <i x="72" s="1"/>
        <i x="1" s="1"/>
        <i x="23" s="1"/>
        <i x="82" s="1"/>
        <i x="74" s="1"/>
        <i x="114" s="1"/>
        <i x="99" s="1"/>
        <i x="6" s="1"/>
        <i x="118" s="1" nd="1"/>
        <i x="260" s="1" nd="1"/>
        <i x="149" s="1" nd="1"/>
        <i x="145" s="1" nd="1"/>
        <i x="250" s="1" nd="1"/>
        <i x="151" s="1" nd="1"/>
        <i x="168" s="1" nd="1"/>
        <i x="180" s="1" nd="1"/>
        <i x="116" s="1" nd="1"/>
        <i x="288" s="1" nd="1"/>
        <i x="277" s="1" nd="1"/>
        <i x="130" s="1" nd="1"/>
        <i x="204" s="1" nd="1"/>
        <i x="217" s="1" nd="1"/>
        <i x="287" s="1" nd="1"/>
        <i x="247" s="1" nd="1"/>
        <i x="265" s="1" nd="1"/>
        <i x="210" s="1" nd="1"/>
        <i x="141" s="1" nd="1"/>
        <i x="245" s="1" nd="1"/>
        <i x="176" s="1" nd="1"/>
        <i x="155" s="1" nd="1"/>
        <i x="296" s="1" nd="1"/>
        <i x="261" s="1" nd="1"/>
        <i x="231" s="1" nd="1"/>
        <i x="206" s="1" nd="1"/>
        <i x="175" s="1" nd="1"/>
        <i x="197" s="1" nd="1"/>
        <i x="121" s="1" nd="1"/>
        <i x="154" s="1" nd="1"/>
        <i x="293" s="1" nd="1"/>
        <i x="284" s="1" nd="1"/>
        <i x="123" s="1" nd="1"/>
        <i x="238" s="1" nd="1"/>
        <i x="216" s="1" nd="1"/>
        <i x="199" s="1" nd="1"/>
        <i x="185" s="1" nd="1"/>
        <i x="133" s="1" nd="1"/>
        <i x="241" s="1" nd="1"/>
        <i x="251" s="1" nd="1"/>
        <i x="138" s="1" nd="1"/>
        <i x="281" s="1" nd="1"/>
        <i x="146" s="1" nd="1"/>
        <i x="193" s="1" nd="1"/>
        <i x="278" s="1" nd="1"/>
        <i x="139" s="1" nd="1"/>
        <i x="263" s="1" nd="1"/>
        <i x="298" s="1" nd="1"/>
        <i x="272" s="1" nd="1"/>
        <i x="119" s="1" nd="1"/>
        <i x="173" s="1" nd="1"/>
        <i x="234" s="1" nd="1"/>
        <i x="221" s="1" nd="1"/>
        <i x="202" s="1" nd="1"/>
        <i x="246" s="1" nd="1"/>
        <i x="240" s="1" nd="1"/>
        <i x="230" s="1" nd="1"/>
        <i x="205" s="1" nd="1"/>
        <i x="274" s="1" nd="1"/>
        <i x="164" s="1" nd="1"/>
        <i x="258" s="1" nd="1"/>
        <i x="131" s="1" nd="1"/>
        <i x="208" s="1" nd="1"/>
        <i x="279" s="1" nd="1"/>
        <i x="286" s="1" nd="1"/>
        <i x="271" s="1" nd="1"/>
        <i x="264" s="1" nd="1"/>
        <i x="276" s="1" nd="1"/>
        <i x="254" s="1" nd="1"/>
        <i x="226" s="1" nd="1"/>
        <i x="150" s="1" nd="1"/>
        <i x="259" s="1" nd="1"/>
        <i x="292" s="1" nd="1"/>
        <i x="211" s="1" nd="1"/>
        <i x="200" s="1" nd="1"/>
        <i x="152" s="1" nd="1"/>
        <i x="120" s="1" nd="1"/>
        <i x="207" s="1" nd="1"/>
        <i x="223" s="1" nd="1"/>
        <i x="122" s="1" nd="1"/>
        <i x="235" s="1" nd="1"/>
        <i x="256" s="1" nd="1"/>
        <i x="215" s="1" nd="1"/>
        <i x="248" s="1" nd="1"/>
        <i x="212" s="1" nd="1"/>
        <i x="132" s="1" nd="1"/>
        <i x="229" s="1" nd="1"/>
        <i x="219" s="1" nd="1"/>
        <i x="243" s="1" nd="1"/>
        <i x="192" s="1" nd="1"/>
        <i x="283" s="1" nd="1"/>
        <i x="179" s="1" nd="1"/>
        <i x="174" s="1" nd="1"/>
        <i x="147" s="1" nd="1"/>
        <i x="228" s="1" nd="1"/>
        <i x="232" s="1" nd="1"/>
        <i x="134" s="1" nd="1"/>
        <i x="124" s="1" nd="1"/>
        <i x="237" s="1" nd="1"/>
        <i x="257" s="1" nd="1"/>
        <i x="227" s="1" nd="1"/>
        <i x="177" s="1" nd="1"/>
        <i x="169" s="1" nd="1"/>
        <i x="290" s="1" nd="1"/>
        <i x="209" s="1" nd="1"/>
        <i x="186" s="1" nd="1"/>
        <i x="153" s="1" nd="1"/>
        <i x="142" s="1" nd="1"/>
        <i x="170" s="1" nd="1"/>
        <i x="218" s="1" nd="1"/>
        <i x="160" s="1" nd="1"/>
        <i x="158" s="1" nd="1"/>
        <i x="252" s="1" nd="1"/>
        <i x="275" s="1" nd="1"/>
        <i x="262" s="1" nd="1"/>
        <i x="135" s="1" nd="1"/>
        <i x="178" s="1" nd="1"/>
        <i x="166" s="1" nd="1"/>
        <i x="188" s="1" nd="1"/>
        <i x="163" s="1" nd="1"/>
        <i x="236" s="1" nd="1"/>
        <i x="255" s="1" nd="1"/>
        <i x="157" s="1" nd="1"/>
        <i x="156" s="1" nd="1"/>
        <i x="115" s="1" nd="1"/>
        <i x="183" s="1" nd="1"/>
        <i x="201" s="1" nd="1"/>
        <i x="189" s="1" nd="1"/>
        <i x="129" s="1" nd="1"/>
        <i x="198" s="1" nd="1"/>
        <i x="294" s="1" nd="1"/>
        <i x="137" s="1" nd="1"/>
        <i x="225" s="1" nd="1"/>
        <i x="167" s="1" nd="1"/>
        <i x="273" s="1" nd="1"/>
        <i x="285" s="1" nd="1"/>
        <i x="182" s="1" nd="1"/>
        <i x="171" s="1" nd="1"/>
        <i x="266" s="1" nd="1"/>
        <i x="244" s="1" nd="1"/>
        <i x="165" s="1" nd="1"/>
        <i x="297" s="1" nd="1"/>
        <i x="127" s="1" nd="1"/>
        <i x="214" s="1" nd="1"/>
        <i x="140" s="1" nd="1"/>
        <i x="280" s="1" nd="1"/>
        <i x="196" s="1" nd="1"/>
        <i x="161" s="1" nd="1"/>
        <i x="253" s="1" nd="1"/>
        <i x="268" s="1" nd="1"/>
        <i x="213" s="1" nd="1"/>
        <i x="148" s="1" nd="1"/>
        <i x="224" s="1" nd="1"/>
        <i x="191" s="1" nd="1"/>
        <i x="242" s="1" nd="1"/>
        <i x="249" s="1" nd="1"/>
        <i x="267" s="1" nd="1"/>
        <i x="159" s="1" nd="1"/>
        <i x="194" s="1" nd="1"/>
        <i x="239" s="1" nd="1"/>
        <i x="190" s="1" nd="1"/>
        <i x="203" s="1" nd="1"/>
        <i x="128" s="1" nd="1"/>
        <i x="136" s="1" nd="1"/>
        <i x="282" s="1" nd="1"/>
        <i x="269" s="1" nd="1"/>
        <i x="144" s="1" nd="1"/>
        <i x="233" s="1" nd="1"/>
        <i x="270" s="1" nd="1"/>
        <i x="126" s="1" nd="1"/>
        <i x="117" s="1" nd="1"/>
        <i x="291" s="1" nd="1"/>
        <i x="162" s="1" nd="1"/>
        <i x="187" s="1" nd="1"/>
        <i x="184" s="1" nd="1"/>
        <i x="222" s="1" nd="1"/>
        <i x="289" s="1" nd="1"/>
        <i x="295" s="1" nd="1"/>
        <i x="181" s="1" nd="1"/>
        <i x="143" s="1" nd="1"/>
        <i x="195" s="1" nd="1"/>
        <i x="220" s="1" nd="1"/>
        <i x="172" s="1" nd="1"/>
        <i x="12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LTSTOKGRUPKODU" xr10:uid="{7D6E9D4B-1FF6-4AD8-AFBA-0781255300B5}" cache="Dilimleyici_ALTSTOKGRUPKODU" caption="ALTSTOKGRUPKODU" columnCount="9" style="SlicerStyleLight3" rowHeight="234950"/>
  <slicer name="SON SATINALMA CARİ ÜNVANI" xr10:uid="{993A8EF4-7D19-4499-B96B-6BC7F38A5A33}" cache="Dilimleyici_SON_SATINALMA_CARİ_ÜNVANI" caption="SON SATINALMA CARİ ÜNVANI" columnCount="5" style="SlicerStyleLight3" rowHeight="360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D8A9F-0341-4F3B-8112-38FCE694E490}" name="DST_123_ÜRETİM_İHTİYAÇ_RAPORU_BURAK_YENI1309" displayName="DST_123_ÜRETİM_İHTİYAÇ_RAPORU_BURAK_YENI1309" ref="A1:Q5983" tableType="queryTable" totalsRowShown="0">
  <autoFilter ref="A1:Q5983" xr:uid="{C07D8A9F-0341-4F3B-8112-38FCE694E490}"/>
  <tableColumns count="17">
    <tableColumn id="1" xr3:uid="{3A13FAB1-B0CB-473E-AE7A-189F0F8CCB8C}" uniqueName="1" name="PROJE_KODU" queryTableFieldId="1" dataDxfId="10"/>
    <tableColumn id="2" xr3:uid="{5A5E4075-5FE0-4B1F-A02A-4338775F7347}" uniqueName="2" name="KARAVAN_ADI" queryTableFieldId="2" dataDxfId="9"/>
    <tableColumn id="3" xr3:uid="{EB73E39C-BCD6-4C21-8D2D-6307DB788A13}" uniqueName="3" name="ALT_KOD_TÜR" queryTableFieldId="3" dataDxfId="8"/>
    <tableColumn id="4" xr3:uid="{A7A81C5C-A4B8-4F5D-927D-51CC4A8C2F52}" uniqueName="4" name="ALT_KOD" queryTableFieldId="4" dataDxfId="7"/>
    <tableColumn id="5" xr3:uid="{4EA2435B-EDC6-4C0C-B803-420080F1D3A7}" uniqueName="5" name="ALT_ADI" queryTableFieldId="5" dataDxfId="6"/>
    <tableColumn id="6" xr3:uid="{AAF4C453-340D-4F28-A058-07C449E0634B}" uniqueName="6" name="MIKTAR" queryTableFieldId="6"/>
    <tableColumn id="7" xr3:uid="{8472C985-4EE8-40A8-BDCE-DB5719F982BF}" uniqueName="7" name="BIRIM" queryTableFieldId="7" dataDxfId="5"/>
    <tableColumn id="8" xr3:uid="{2A13C44D-762B-4D7C-A5D4-A6392E807165}" uniqueName="8" name="PROJELERE_ÇIKIŞLAR_YENI" queryTableFieldId="8"/>
    <tableColumn id="9" xr3:uid="{4C5111D2-C660-4E39-B68A-7BC31AC4BFC6}" uniqueName="9" name="ELDE_KALAN" queryTableFieldId="9"/>
    <tableColumn id="12" xr3:uid="{C7CF1334-E9AE-4CBA-9098-255640010132}" uniqueName="12" name="ÜRETİM DEPO" queryTableFieldId="18" dataDxfId="4"/>
    <tableColumn id="14" xr3:uid="{3803789C-9423-4BDA-8B66-A3991D3F2E12}" uniqueName="14" name="SATINALMA" queryTableFieldId="14" dataDxfId="3">
      <calculatedColumnFormula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calculatedColumnFormula>
    </tableColumn>
    <tableColumn id="10" xr3:uid="{BC5C8775-B18D-46B7-B7F9-8193CDDEC17A}" uniqueName="10" name="AÇIK_SATINALMA_SİPARİŞLERİ" queryTableFieldId="10"/>
    <tableColumn id="15" xr3:uid="{6F55B117-7BED-4D56-B6B4-DF7E7F113AB7}" uniqueName="15" name="TOPLAM" queryTableFieldId="15" dataDxfId="2">
      <calculatedColumnFormula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calculatedColumnFormula>
    </tableColumn>
    <tableColumn id="11" xr3:uid="{7EAA3F6A-436E-4887-80D4-B41A903B2575}" uniqueName="11" name="BIRIM_FIYATLAR" queryTableFieldId="11"/>
    <tableColumn id="17" xr3:uid="{D7CBD5DE-DAEE-40FD-8E59-3A3A5E27C91B}" uniqueName="17" name="SON SATINALMA CARİ ÜNVANI" queryTableFieldId="19" dataDxfId="1"/>
    <tableColumn id="16" xr3:uid="{A7E542DA-3C90-4F4E-B03F-E9084A3891D6}" uniqueName="16" name="TUTAR" queryTableFieldId="16"/>
    <tableColumn id="13" xr3:uid="{AA89BD3E-3B09-4277-8CA1-9DA7AF7E57B8}" uniqueName="13" name="ALTSTOKGRUPKODU" queryTableFieldId="13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C0B5-FDA8-4526-9BB9-892A64759316}">
  <dimension ref="A1:N301"/>
  <sheetViews>
    <sheetView workbookViewId="0">
      <selection activeCell="B1" sqref="B1"/>
    </sheetView>
  </sheetViews>
  <sheetFormatPr defaultRowHeight="15" x14ac:dyDescent="0.25"/>
  <cols>
    <col min="1" max="1" width="23.140625" bestFit="1" customWidth="1"/>
    <col min="2" max="2" width="54.85546875" bestFit="1" customWidth="1"/>
    <col min="3" max="3" width="21.7109375" bestFit="1" customWidth="1"/>
    <col min="4" max="4" width="8.5703125" bestFit="1" customWidth="1"/>
    <col min="5" max="5" width="8.85546875" bestFit="1" customWidth="1"/>
    <col min="6" max="6" width="10.140625" bestFit="1" customWidth="1"/>
    <col min="7" max="7" width="19" bestFit="1" customWidth="1"/>
    <col min="8" max="8" width="10.140625" bestFit="1" customWidth="1"/>
    <col min="9" max="9" width="9.42578125" bestFit="1" customWidth="1"/>
    <col min="10" max="10" width="9.28515625" bestFit="1" customWidth="1"/>
    <col min="11" max="11" width="9.140625" bestFit="1" customWidth="1"/>
    <col min="12" max="12" width="8.5703125" bestFit="1" customWidth="1"/>
    <col min="13" max="13" width="9.42578125" bestFit="1" customWidth="1"/>
    <col min="14" max="15" width="9.85546875" bestFit="1" customWidth="1"/>
    <col min="16" max="16" width="9.28515625" bestFit="1" customWidth="1"/>
  </cols>
  <sheetData>
    <row r="1" spans="1:14" x14ac:dyDescent="0.25">
      <c r="A1" s="6" t="s">
        <v>164</v>
      </c>
      <c r="B1" t="s">
        <v>1097</v>
      </c>
    </row>
    <row r="2" spans="1:14" x14ac:dyDescent="0.25">
      <c r="A2" s="6" t="s">
        <v>166</v>
      </c>
      <c r="B2" t="s">
        <v>303</v>
      </c>
    </row>
    <row r="4" spans="1:14" x14ac:dyDescent="0.25">
      <c r="A4" s="6" t="s">
        <v>304</v>
      </c>
      <c r="C4" s="6" t="s">
        <v>175</v>
      </c>
    </row>
    <row r="5" spans="1:14" x14ac:dyDescent="0.25">
      <c r="A5" s="6" t="s">
        <v>167</v>
      </c>
      <c r="B5" s="6" t="s">
        <v>168</v>
      </c>
      <c r="D5" t="s">
        <v>185</v>
      </c>
      <c r="E5" t="s">
        <v>222</v>
      </c>
      <c r="F5" t="s">
        <v>181</v>
      </c>
      <c r="G5" t="s">
        <v>178</v>
      </c>
      <c r="H5" t="s">
        <v>184</v>
      </c>
      <c r="I5" t="s">
        <v>179</v>
      </c>
      <c r="J5" t="s">
        <v>182</v>
      </c>
      <c r="K5" t="s">
        <v>484</v>
      </c>
      <c r="L5" t="s">
        <v>641</v>
      </c>
      <c r="M5" t="s">
        <v>642</v>
      </c>
      <c r="N5" t="s">
        <v>678</v>
      </c>
    </row>
    <row r="6" spans="1:14" x14ac:dyDescent="0.25">
      <c r="A6" t="s">
        <v>122</v>
      </c>
      <c r="B6" t="s">
        <v>123</v>
      </c>
      <c r="C6" s="23"/>
      <c r="D6" s="23">
        <v>27</v>
      </c>
      <c r="E6" s="23"/>
      <c r="F6" s="23"/>
      <c r="G6" s="23"/>
      <c r="H6" s="23"/>
      <c r="I6" s="23"/>
      <c r="J6" s="23"/>
      <c r="K6" s="23"/>
      <c r="L6" s="23"/>
      <c r="M6" s="23"/>
      <c r="N6" s="23"/>
    </row>
    <row r="7" spans="1:14" x14ac:dyDescent="0.25">
      <c r="A7" t="s">
        <v>261</v>
      </c>
      <c r="B7" t="s">
        <v>262</v>
      </c>
      <c r="C7" s="23"/>
      <c r="D7" s="23"/>
      <c r="E7" s="23"/>
      <c r="F7" s="23"/>
      <c r="G7" s="23"/>
      <c r="H7" s="23">
        <v>0.85000000000000009</v>
      </c>
      <c r="I7" s="23"/>
      <c r="J7" s="23"/>
      <c r="K7" s="23"/>
      <c r="L7" s="23"/>
      <c r="M7" s="23"/>
      <c r="N7" s="23"/>
    </row>
    <row r="8" spans="1:14" x14ac:dyDescent="0.25">
      <c r="A8" t="s">
        <v>140</v>
      </c>
      <c r="B8" t="s">
        <v>141</v>
      </c>
      <c r="C8" s="23"/>
      <c r="D8" s="23">
        <v>1</v>
      </c>
      <c r="E8" s="23"/>
      <c r="F8" s="23"/>
      <c r="G8" s="23"/>
      <c r="H8" s="23"/>
      <c r="I8" s="23"/>
      <c r="J8" s="23"/>
      <c r="K8" s="23"/>
      <c r="L8" s="23"/>
      <c r="M8" s="23"/>
      <c r="N8" s="23"/>
    </row>
    <row r="9" spans="1:14" x14ac:dyDescent="0.25">
      <c r="A9" t="s">
        <v>142</v>
      </c>
      <c r="B9" t="s">
        <v>143</v>
      </c>
      <c r="C9" s="23"/>
      <c r="D9" s="23">
        <v>21</v>
      </c>
      <c r="E9" s="23"/>
      <c r="F9" s="23"/>
      <c r="G9" s="23"/>
      <c r="H9" s="23"/>
      <c r="I9" s="23"/>
      <c r="J9" s="23"/>
      <c r="K9" s="23"/>
      <c r="L9" s="23"/>
      <c r="M9" s="23"/>
      <c r="N9" s="23"/>
    </row>
    <row r="10" spans="1:14" x14ac:dyDescent="0.25">
      <c r="A10" t="s">
        <v>135</v>
      </c>
      <c r="B10" t="s">
        <v>136</v>
      </c>
      <c r="C10" s="23"/>
      <c r="D10" s="23">
        <v>7.5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</row>
    <row r="11" spans="1:14" x14ac:dyDescent="0.25">
      <c r="A11" t="s">
        <v>32</v>
      </c>
      <c r="B11" t="s">
        <v>33</v>
      </c>
      <c r="C11" s="23"/>
      <c r="D11" s="23">
        <v>1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1:14" x14ac:dyDescent="0.25">
      <c r="A12" t="s">
        <v>2</v>
      </c>
      <c r="B12" t="s">
        <v>424</v>
      </c>
      <c r="C12" s="23"/>
      <c r="D12" s="23"/>
      <c r="E12" s="23">
        <v>2</v>
      </c>
      <c r="F12" s="23"/>
      <c r="G12" s="23"/>
      <c r="H12" s="23"/>
      <c r="I12" s="23"/>
      <c r="J12" s="23"/>
      <c r="K12" s="23"/>
      <c r="L12" s="23"/>
      <c r="M12" s="23"/>
      <c r="N12" s="23"/>
    </row>
    <row r="13" spans="1:14" x14ac:dyDescent="0.25">
      <c r="A13" t="s">
        <v>230</v>
      </c>
      <c r="B13" t="s">
        <v>231</v>
      </c>
      <c r="C13" s="23"/>
      <c r="D13" s="23"/>
      <c r="E13" s="23">
        <v>2</v>
      </c>
      <c r="F13" s="23"/>
      <c r="G13" s="23"/>
      <c r="H13" s="23"/>
      <c r="I13" s="23"/>
      <c r="J13" s="23"/>
      <c r="K13" s="23"/>
      <c r="L13" s="23"/>
      <c r="M13" s="23"/>
      <c r="N13" s="23"/>
    </row>
    <row r="14" spans="1:14" x14ac:dyDescent="0.25">
      <c r="A14" t="s">
        <v>232</v>
      </c>
      <c r="B14" t="s">
        <v>233</v>
      </c>
      <c r="C14" s="23"/>
      <c r="D14" s="23"/>
      <c r="E14" s="23">
        <v>2</v>
      </c>
      <c r="F14" s="23"/>
      <c r="G14" s="23"/>
      <c r="H14" s="23"/>
      <c r="I14" s="23"/>
      <c r="J14" s="23"/>
      <c r="K14" s="23"/>
      <c r="L14" s="23"/>
      <c r="M14" s="23"/>
      <c r="N14" s="23"/>
    </row>
    <row r="15" spans="1:14" x14ac:dyDescent="0.25">
      <c r="A15" t="s">
        <v>234</v>
      </c>
      <c r="B15" t="s">
        <v>235</v>
      </c>
      <c r="C15" s="23"/>
      <c r="D15" s="23"/>
      <c r="E15" s="23">
        <v>2</v>
      </c>
      <c r="F15" s="23"/>
      <c r="G15" s="23"/>
      <c r="H15" s="23"/>
      <c r="I15" s="23"/>
      <c r="J15" s="23"/>
      <c r="K15" s="23"/>
      <c r="L15" s="23"/>
      <c r="M15" s="23"/>
      <c r="N15" s="23"/>
    </row>
    <row r="16" spans="1:14" x14ac:dyDescent="0.25">
      <c r="A16" t="s">
        <v>19</v>
      </c>
      <c r="B16" t="s">
        <v>20</v>
      </c>
      <c r="C16" s="23"/>
      <c r="D16" s="23"/>
      <c r="E16" s="23">
        <v>2</v>
      </c>
      <c r="F16" s="23"/>
      <c r="G16" s="23"/>
      <c r="H16" s="23"/>
      <c r="I16" s="23"/>
      <c r="J16" s="23"/>
      <c r="K16" s="23"/>
      <c r="L16" s="23"/>
      <c r="M16" s="23"/>
      <c r="N16" s="23"/>
    </row>
    <row r="17" spans="1:14" x14ac:dyDescent="0.25">
      <c r="A17" t="s">
        <v>21</v>
      </c>
      <c r="B17" t="s">
        <v>22</v>
      </c>
      <c r="C17" s="23"/>
      <c r="D17" s="23"/>
      <c r="E17" s="23">
        <v>1.5</v>
      </c>
      <c r="F17" s="23"/>
      <c r="G17" s="23"/>
      <c r="H17" s="23"/>
      <c r="I17" s="23"/>
      <c r="J17" s="23"/>
      <c r="K17" s="23"/>
      <c r="L17" s="23"/>
      <c r="M17" s="23"/>
      <c r="N17" s="23"/>
    </row>
    <row r="18" spans="1:14" x14ac:dyDescent="0.25">
      <c r="A18" t="s">
        <v>5</v>
      </c>
      <c r="B18" t="s">
        <v>6</v>
      </c>
      <c r="C18" s="23"/>
      <c r="D18" s="23"/>
      <c r="E18" s="23">
        <v>1.6</v>
      </c>
      <c r="F18" s="23"/>
      <c r="G18" s="23"/>
      <c r="H18" s="23"/>
      <c r="I18" s="23"/>
      <c r="J18" s="23"/>
      <c r="K18" s="23"/>
      <c r="L18" s="23"/>
      <c r="M18" s="23"/>
      <c r="N18" s="23"/>
    </row>
    <row r="19" spans="1:14" x14ac:dyDescent="0.25">
      <c r="A19" t="s">
        <v>23</v>
      </c>
      <c r="B19" t="s">
        <v>305</v>
      </c>
      <c r="C19" s="23"/>
      <c r="D19" s="23"/>
      <c r="E19" s="23">
        <v>1</v>
      </c>
      <c r="F19" s="23"/>
      <c r="G19" s="23"/>
      <c r="H19" s="23"/>
      <c r="I19" s="23"/>
      <c r="J19" s="23"/>
      <c r="K19" s="23"/>
      <c r="L19" s="23"/>
      <c r="M19" s="23"/>
      <c r="N19" s="23"/>
    </row>
    <row r="20" spans="1:14" x14ac:dyDescent="0.25">
      <c r="A20" t="s">
        <v>203</v>
      </c>
      <c r="B20" t="s">
        <v>204</v>
      </c>
      <c r="C20" s="23"/>
      <c r="D20" s="23"/>
      <c r="E20" s="23">
        <v>0.1</v>
      </c>
      <c r="F20" s="23"/>
      <c r="G20" s="23"/>
      <c r="H20" s="23"/>
      <c r="I20" s="23"/>
      <c r="J20" s="23"/>
      <c r="K20" s="23"/>
      <c r="L20" s="23"/>
      <c r="M20" s="23"/>
      <c r="N20" s="23"/>
    </row>
    <row r="21" spans="1:14" x14ac:dyDescent="0.25">
      <c r="A21" t="s">
        <v>238</v>
      </c>
      <c r="B21" t="s">
        <v>306</v>
      </c>
      <c r="C21" s="23"/>
      <c r="D21" s="23"/>
      <c r="E21" s="23">
        <v>2</v>
      </c>
      <c r="F21" s="23"/>
      <c r="G21" s="23"/>
      <c r="H21" s="23"/>
      <c r="I21" s="23"/>
      <c r="J21" s="23"/>
      <c r="K21" s="23"/>
      <c r="L21" s="23"/>
      <c r="M21" s="23"/>
      <c r="N21" s="23"/>
    </row>
    <row r="22" spans="1:14" x14ac:dyDescent="0.25">
      <c r="A22" t="s">
        <v>239</v>
      </c>
      <c r="B22" t="s">
        <v>307</v>
      </c>
      <c r="C22" s="23"/>
      <c r="D22" s="23"/>
      <c r="E22" s="23">
        <v>2</v>
      </c>
      <c r="F22" s="23"/>
      <c r="G22" s="23"/>
      <c r="H22" s="23"/>
      <c r="I22" s="23"/>
      <c r="J22" s="23"/>
      <c r="K22" s="23"/>
      <c r="L22" s="23"/>
      <c r="M22" s="23"/>
      <c r="N22" s="23"/>
    </row>
    <row r="23" spans="1:14" x14ac:dyDescent="0.25">
      <c r="A23" t="s">
        <v>60</v>
      </c>
      <c r="B23" t="s">
        <v>61</v>
      </c>
      <c r="C23" s="23"/>
      <c r="D23" s="23"/>
      <c r="E23" s="23">
        <v>1</v>
      </c>
      <c r="F23" s="23"/>
      <c r="G23" s="23"/>
      <c r="H23" s="23"/>
      <c r="I23" s="23"/>
      <c r="J23" s="23"/>
      <c r="K23" s="23"/>
      <c r="L23" s="23"/>
      <c r="M23" s="23"/>
      <c r="N23" s="23"/>
    </row>
    <row r="24" spans="1:14" x14ac:dyDescent="0.25">
      <c r="A24" t="s">
        <v>9</v>
      </c>
      <c r="B24" t="s">
        <v>10</v>
      </c>
      <c r="C24" s="23"/>
      <c r="D24" s="23"/>
      <c r="E24" s="23">
        <v>4</v>
      </c>
      <c r="F24" s="23"/>
      <c r="G24" s="23"/>
      <c r="H24" s="23"/>
      <c r="I24" s="23"/>
      <c r="J24" s="23"/>
      <c r="K24" s="23"/>
      <c r="L24" s="23"/>
      <c r="M24" s="23"/>
      <c r="N24" s="23"/>
    </row>
    <row r="25" spans="1:14" x14ac:dyDescent="0.25">
      <c r="A25" t="s">
        <v>38</v>
      </c>
      <c r="B25" t="s">
        <v>39</v>
      </c>
      <c r="C25" s="23"/>
      <c r="D25" s="23"/>
      <c r="E25" s="23">
        <v>2</v>
      </c>
      <c r="F25" s="23"/>
      <c r="G25" s="23"/>
      <c r="H25" s="23"/>
      <c r="I25" s="23"/>
      <c r="J25" s="23"/>
      <c r="K25" s="23"/>
      <c r="L25" s="23"/>
      <c r="M25" s="23"/>
      <c r="N25" s="23"/>
    </row>
    <row r="26" spans="1:14" x14ac:dyDescent="0.25">
      <c r="A26" t="s">
        <v>124</v>
      </c>
      <c r="B26" t="s">
        <v>634</v>
      </c>
      <c r="C26" s="23"/>
      <c r="D26" s="23"/>
      <c r="E26" s="23">
        <v>0.2</v>
      </c>
      <c r="F26" s="23"/>
      <c r="G26" s="23"/>
      <c r="H26" s="23"/>
      <c r="I26" s="23"/>
      <c r="J26" s="23"/>
      <c r="K26" s="23"/>
      <c r="L26" s="23"/>
      <c r="M26" s="23"/>
      <c r="N26" s="23"/>
    </row>
    <row r="27" spans="1:14" x14ac:dyDescent="0.25">
      <c r="A27" t="s">
        <v>257</v>
      </c>
      <c r="B27" t="s">
        <v>310</v>
      </c>
      <c r="C27" s="23"/>
      <c r="D27" s="23"/>
      <c r="E27" s="23">
        <v>2</v>
      </c>
      <c r="F27" s="23"/>
      <c r="G27" s="23"/>
      <c r="H27" s="23"/>
      <c r="I27" s="23"/>
      <c r="J27" s="23"/>
      <c r="K27" s="23"/>
      <c r="L27" s="23"/>
      <c r="M27" s="23"/>
      <c r="N27" s="23"/>
    </row>
    <row r="28" spans="1:14" x14ac:dyDescent="0.25">
      <c r="A28" t="s">
        <v>138</v>
      </c>
      <c r="B28" t="s">
        <v>139</v>
      </c>
      <c r="C28" s="23"/>
      <c r="D28" s="23"/>
      <c r="E28" s="23">
        <v>2</v>
      </c>
      <c r="F28" s="23"/>
      <c r="G28" s="23"/>
      <c r="H28" s="23"/>
      <c r="I28" s="23"/>
      <c r="J28" s="23"/>
      <c r="K28" s="23"/>
      <c r="L28" s="23"/>
      <c r="M28" s="23"/>
      <c r="N28" s="23"/>
    </row>
    <row r="29" spans="1:14" x14ac:dyDescent="0.25">
      <c r="A29" t="s">
        <v>134</v>
      </c>
      <c r="B29" t="s">
        <v>311</v>
      </c>
      <c r="C29" s="23"/>
      <c r="D29" s="23"/>
      <c r="E29" s="23">
        <v>1</v>
      </c>
      <c r="F29" s="23"/>
      <c r="G29" s="23"/>
      <c r="H29" s="23"/>
      <c r="I29" s="23"/>
      <c r="J29" s="23"/>
      <c r="K29" s="23"/>
      <c r="L29" s="23"/>
      <c r="M29" s="23"/>
      <c r="N29" s="23"/>
    </row>
    <row r="30" spans="1:14" x14ac:dyDescent="0.25">
      <c r="A30" t="s">
        <v>219</v>
      </c>
      <c r="B30" t="s">
        <v>220</v>
      </c>
      <c r="C30" s="23"/>
      <c r="D30" s="23"/>
      <c r="E30" s="23">
        <v>2</v>
      </c>
      <c r="F30" s="23"/>
      <c r="G30" s="23"/>
      <c r="H30" s="23"/>
      <c r="I30" s="23"/>
      <c r="J30" s="23"/>
      <c r="K30" s="23"/>
      <c r="L30" s="23"/>
      <c r="M30" s="23"/>
      <c r="N30" s="23"/>
    </row>
    <row r="31" spans="1:14" x14ac:dyDescent="0.25">
      <c r="A31" t="s">
        <v>202</v>
      </c>
      <c r="B31" t="s">
        <v>226</v>
      </c>
      <c r="C31" s="23"/>
      <c r="D31" s="23"/>
      <c r="E31" s="23">
        <v>3</v>
      </c>
      <c r="F31" s="23"/>
      <c r="G31" s="23"/>
      <c r="H31" s="23"/>
      <c r="I31" s="23"/>
      <c r="J31" s="23"/>
      <c r="K31" s="23"/>
      <c r="L31" s="23"/>
      <c r="M31" s="23"/>
      <c r="N31" s="23"/>
    </row>
    <row r="32" spans="1:14" x14ac:dyDescent="0.25">
      <c r="A32" t="s">
        <v>0</v>
      </c>
      <c r="B32" t="s">
        <v>1</v>
      </c>
      <c r="C32" s="23"/>
      <c r="D32" s="23"/>
      <c r="E32" s="23">
        <v>2</v>
      </c>
      <c r="F32" s="23"/>
      <c r="G32" s="23"/>
      <c r="H32" s="23"/>
      <c r="I32" s="23"/>
      <c r="J32" s="23"/>
      <c r="K32" s="23"/>
      <c r="L32" s="23"/>
      <c r="M32" s="23"/>
      <c r="N32" s="23"/>
    </row>
    <row r="33" spans="1:14" x14ac:dyDescent="0.25">
      <c r="A33" t="s">
        <v>15</v>
      </c>
      <c r="B33" t="s">
        <v>16</v>
      </c>
      <c r="C33" s="23"/>
      <c r="D33" s="23"/>
      <c r="E33" s="23">
        <v>1</v>
      </c>
      <c r="F33" s="23"/>
      <c r="G33" s="23"/>
      <c r="H33" s="23"/>
      <c r="I33" s="23"/>
      <c r="J33" s="23"/>
      <c r="K33" s="23"/>
      <c r="L33" s="23"/>
      <c r="M33" s="23"/>
      <c r="N33" s="23"/>
    </row>
    <row r="34" spans="1:14" x14ac:dyDescent="0.25">
      <c r="A34" t="s">
        <v>50</v>
      </c>
      <c r="B34" t="s">
        <v>51</v>
      </c>
      <c r="C34" s="23"/>
      <c r="D34" s="23"/>
      <c r="E34" s="23">
        <v>1</v>
      </c>
      <c r="F34" s="23"/>
      <c r="G34" s="23"/>
      <c r="H34" s="23"/>
      <c r="I34" s="23"/>
      <c r="J34" s="23"/>
      <c r="K34" s="23"/>
      <c r="L34" s="23"/>
      <c r="M34" s="23"/>
      <c r="N34" s="23"/>
    </row>
    <row r="35" spans="1:14" x14ac:dyDescent="0.25">
      <c r="A35" t="s">
        <v>52</v>
      </c>
      <c r="B35" t="s">
        <v>53</v>
      </c>
      <c r="C35" s="23"/>
      <c r="D35" s="23"/>
      <c r="E35" s="23">
        <v>1</v>
      </c>
      <c r="F35" s="23"/>
      <c r="G35" s="23"/>
      <c r="H35" s="23"/>
      <c r="I35" s="23"/>
      <c r="J35" s="23"/>
      <c r="K35" s="23"/>
      <c r="L35" s="23"/>
      <c r="M35" s="23"/>
      <c r="N35" s="23"/>
    </row>
    <row r="36" spans="1:14" x14ac:dyDescent="0.25">
      <c r="A36" t="s">
        <v>54</v>
      </c>
      <c r="B36" t="s">
        <v>55</v>
      </c>
      <c r="C36" s="23"/>
      <c r="D36" s="23"/>
      <c r="E36" s="23">
        <v>1</v>
      </c>
      <c r="F36" s="23"/>
      <c r="G36" s="23"/>
      <c r="H36" s="23"/>
      <c r="I36" s="23"/>
      <c r="J36" s="23"/>
      <c r="K36" s="23"/>
      <c r="L36" s="23"/>
      <c r="M36" s="23"/>
      <c r="N36" s="23"/>
    </row>
    <row r="37" spans="1:14" x14ac:dyDescent="0.25">
      <c r="A37" t="s">
        <v>17</v>
      </c>
      <c r="B37" t="s">
        <v>18</v>
      </c>
      <c r="C37" s="23"/>
      <c r="D37" s="23"/>
      <c r="E37" s="23">
        <v>1</v>
      </c>
      <c r="F37" s="23"/>
      <c r="G37" s="23"/>
      <c r="H37" s="23"/>
      <c r="I37" s="23"/>
      <c r="J37" s="23"/>
      <c r="K37" s="23"/>
      <c r="L37" s="23"/>
      <c r="M37" s="23"/>
      <c r="N37" s="23"/>
    </row>
    <row r="38" spans="1:14" x14ac:dyDescent="0.25">
      <c r="A38" t="s">
        <v>58</v>
      </c>
      <c r="B38" t="s">
        <v>59</v>
      </c>
      <c r="C38" s="23"/>
      <c r="D38" s="23"/>
      <c r="E38" s="23">
        <v>1</v>
      </c>
      <c r="F38" s="23"/>
      <c r="G38" s="23"/>
      <c r="H38" s="23"/>
      <c r="I38" s="23"/>
      <c r="J38" s="23"/>
      <c r="K38" s="23"/>
      <c r="L38" s="23"/>
      <c r="M38" s="23"/>
      <c r="N38" s="23"/>
    </row>
    <row r="39" spans="1:14" x14ac:dyDescent="0.25">
      <c r="A39" t="s">
        <v>34</v>
      </c>
      <c r="B39" t="s">
        <v>35</v>
      </c>
      <c r="C39" s="23"/>
      <c r="D39" s="23"/>
      <c r="E39" s="23">
        <v>2</v>
      </c>
      <c r="F39" s="23"/>
      <c r="G39" s="23"/>
      <c r="H39" s="23"/>
      <c r="I39" s="23"/>
      <c r="J39" s="23"/>
      <c r="K39" s="23"/>
      <c r="L39" s="23"/>
      <c r="M39" s="23"/>
      <c r="N39" s="23"/>
    </row>
    <row r="40" spans="1:14" x14ac:dyDescent="0.25">
      <c r="A40" t="s">
        <v>36</v>
      </c>
      <c r="B40" t="s">
        <v>37</v>
      </c>
      <c r="C40" s="23"/>
      <c r="D40" s="23"/>
      <c r="E40" s="23">
        <v>3</v>
      </c>
      <c r="F40" s="23"/>
      <c r="G40" s="23"/>
      <c r="H40" s="23"/>
      <c r="I40" s="23"/>
      <c r="J40" s="23"/>
      <c r="K40" s="23"/>
      <c r="L40" s="23"/>
      <c r="M40" s="23"/>
      <c r="N40" s="23"/>
    </row>
    <row r="41" spans="1:14" x14ac:dyDescent="0.25">
      <c r="A41" t="s">
        <v>7</v>
      </c>
      <c r="B41" t="s">
        <v>8</v>
      </c>
      <c r="C41" s="23"/>
      <c r="D41" s="23"/>
      <c r="E41" s="23">
        <v>1</v>
      </c>
      <c r="F41" s="23"/>
      <c r="G41" s="23"/>
      <c r="H41" s="23"/>
      <c r="I41" s="23"/>
      <c r="J41" s="23"/>
      <c r="K41" s="23"/>
      <c r="L41" s="23"/>
      <c r="M41" s="23"/>
      <c r="N41" s="23"/>
    </row>
    <row r="42" spans="1:14" x14ac:dyDescent="0.25">
      <c r="A42" t="s">
        <v>162</v>
      </c>
      <c r="B42" t="s">
        <v>163</v>
      </c>
      <c r="C42" s="23"/>
      <c r="D42" s="23"/>
      <c r="E42" s="23">
        <v>1</v>
      </c>
      <c r="F42" s="23"/>
      <c r="G42" s="23"/>
      <c r="H42" s="23"/>
      <c r="I42" s="23"/>
      <c r="J42" s="23"/>
      <c r="K42" s="23"/>
      <c r="L42" s="23"/>
      <c r="M42" s="23"/>
      <c r="N42" s="23"/>
    </row>
    <row r="43" spans="1:14" x14ac:dyDescent="0.25">
      <c r="A43" t="s">
        <v>265</v>
      </c>
      <c r="B43" t="s">
        <v>420</v>
      </c>
      <c r="C43" s="23"/>
      <c r="D43" s="23"/>
      <c r="E43" s="23">
        <v>1</v>
      </c>
      <c r="F43" s="23"/>
      <c r="G43" s="23"/>
      <c r="H43" s="23"/>
      <c r="I43" s="23"/>
      <c r="J43" s="23"/>
      <c r="K43" s="23"/>
      <c r="L43" s="23"/>
      <c r="M43" s="23"/>
      <c r="N43" s="23"/>
    </row>
    <row r="44" spans="1:14" x14ac:dyDescent="0.25">
      <c r="A44" t="s">
        <v>271</v>
      </c>
      <c r="B44" t="s">
        <v>272</v>
      </c>
      <c r="C44" s="23"/>
      <c r="D44" s="23"/>
      <c r="E44" s="23">
        <v>1</v>
      </c>
      <c r="F44" s="23"/>
      <c r="G44" s="23"/>
      <c r="H44" s="23"/>
      <c r="I44" s="23"/>
      <c r="J44" s="23"/>
      <c r="K44" s="23"/>
      <c r="L44" s="23"/>
      <c r="M44" s="23"/>
      <c r="N44" s="23"/>
    </row>
    <row r="45" spans="1:14" x14ac:dyDescent="0.25">
      <c r="A45" t="s">
        <v>205</v>
      </c>
      <c r="B45" t="s">
        <v>206</v>
      </c>
      <c r="C45" s="23"/>
      <c r="D45" s="23"/>
      <c r="E45" s="23"/>
      <c r="F45" s="23">
        <v>1</v>
      </c>
      <c r="G45" s="23"/>
      <c r="H45" s="23"/>
      <c r="I45" s="23"/>
      <c r="J45" s="23"/>
      <c r="K45" s="23"/>
      <c r="L45" s="23"/>
      <c r="M45" s="23"/>
      <c r="N45" s="23"/>
    </row>
    <row r="46" spans="1:14" x14ac:dyDescent="0.25">
      <c r="A46" t="s">
        <v>240</v>
      </c>
      <c r="B46" t="s">
        <v>241</v>
      </c>
      <c r="C46" s="23"/>
      <c r="D46" s="23"/>
      <c r="E46" s="23"/>
      <c r="F46" s="23">
        <v>3.6100000000000003</v>
      </c>
      <c r="G46" s="23"/>
      <c r="H46" s="23"/>
      <c r="I46" s="23"/>
      <c r="J46" s="23"/>
      <c r="K46" s="23"/>
      <c r="L46" s="23"/>
      <c r="M46" s="23"/>
      <c r="N46" s="23"/>
    </row>
    <row r="47" spans="1:14" x14ac:dyDescent="0.25">
      <c r="A47" t="s">
        <v>207</v>
      </c>
      <c r="B47" t="s">
        <v>282</v>
      </c>
      <c r="C47" s="23"/>
      <c r="D47" s="23"/>
      <c r="E47" s="23"/>
      <c r="F47" s="23">
        <v>0.69</v>
      </c>
      <c r="G47" s="23"/>
      <c r="H47" s="23"/>
      <c r="I47" s="23"/>
      <c r="J47" s="23"/>
      <c r="K47" s="23"/>
      <c r="L47" s="23"/>
      <c r="M47" s="23"/>
      <c r="N47" s="23"/>
    </row>
    <row r="48" spans="1:14" x14ac:dyDescent="0.25">
      <c r="A48" t="s">
        <v>208</v>
      </c>
      <c r="B48" t="s">
        <v>283</v>
      </c>
      <c r="C48" s="23"/>
      <c r="D48" s="23"/>
      <c r="E48" s="23"/>
      <c r="F48" s="23">
        <v>3.3900000000000006</v>
      </c>
      <c r="G48" s="23"/>
      <c r="H48" s="23"/>
      <c r="I48" s="23"/>
      <c r="J48" s="23"/>
      <c r="K48" s="23"/>
      <c r="L48" s="23"/>
      <c r="M48" s="23"/>
      <c r="N48" s="23"/>
    </row>
    <row r="49" spans="1:14" x14ac:dyDescent="0.25">
      <c r="A49" t="s">
        <v>243</v>
      </c>
      <c r="B49" t="s">
        <v>244</v>
      </c>
      <c r="C49" s="23"/>
      <c r="D49" s="23"/>
      <c r="E49" s="23"/>
      <c r="F49" s="23">
        <v>1.35</v>
      </c>
      <c r="G49" s="23"/>
      <c r="H49" s="23"/>
      <c r="I49" s="23"/>
      <c r="J49" s="23"/>
      <c r="K49" s="23"/>
      <c r="L49" s="23"/>
      <c r="M49" s="23"/>
      <c r="N49" s="23"/>
    </row>
    <row r="50" spans="1:14" x14ac:dyDescent="0.25">
      <c r="A50" t="s">
        <v>455</v>
      </c>
      <c r="B50" t="s">
        <v>456</v>
      </c>
      <c r="C50" s="23"/>
      <c r="D50" s="23"/>
      <c r="E50" s="23"/>
      <c r="F50" s="23">
        <v>2</v>
      </c>
      <c r="G50" s="23"/>
      <c r="H50" s="23"/>
      <c r="I50" s="23"/>
      <c r="J50" s="23"/>
      <c r="K50" s="23"/>
      <c r="L50" s="23"/>
      <c r="M50" s="23"/>
      <c r="N50" s="23"/>
    </row>
    <row r="51" spans="1:14" x14ac:dyDescent="0.25">
      <c r="A51" t="s">
        <v>284</v>
      </c>
      <c r="B51" t="s">
        <v>285</v>
      </c>
      <c r="C51" s="23"/>
      <c r="D51" s="23"/>
      <c r="E51" s="23"/>
      <c r="F51" s="23">
        <v>1.35</v>
      </c>
      <c r="G51" s="23"/>
      <c r="H51" s="23"/>
      <c r="I51" s="23"/>
      <c r="J51" s="23"/>
      <c r="K51" s="23"/>
      <c r="L51" s="23"/>
      <c r="M51" s="23"/>
      <c r="N51" s="23"/>
    </row>
    <row r="52" spans="1:14" x14ac:dyDescent="0.25">
      <c r="A52" t="s">
        <v>24</v>
      </c>
      <c r="B52" t="s">
        <v>25</v>
      </c>
      <c r="C52" s="23"/>
      <c r="D52" s="23"/>
      <c r="E52" s="23"/>
      <c r="F52" s="23">
        <v>1</v>
      </c>
      <c r="G52" s="23"/>
      <c r="H52" s="23"/>
      <c r="I52" s="23"/>
      <c r="J52" s="23"/>
      <c r="K52" s="23"/>
      <c r="L52" s="23"/>
      <c r="M52" s="23"/>
      <c r="N52" s="23"/>
    </row>
    <row r="53" spans="1:14" x14ac:dyDescent="0.25">
      <c r="A53" t="s">
        <v>245</v>
      </c>
      <c r="B53" t="s">
        <v>246</v>
      </c>
      <c r="C53" s="23"/>
      <c r="D53" s="23"/>
      <c r="E53" s="23"/>
      <c r="F53" s="23">
        <v>2</v>
      </c>
      <c r="G53" s="23"/>
      <c r="H53" s="23"/>
      <c r="I53" s="23"/>
      <c r="J53" s="23"/>
      <c r="K53" s="23"/>
      <c r="L53" s="23"/>
      <c r="M53" s="23"/>
      <c r="N53" s="23"/>
    </row>
    <row r="54" spans="1:14" x14ac:dyDescent="0.25">
      <c r="A54" t="s">
        <v>674</v>
      </c>
      <c r="B54" t="s">
        <v>675</v>
      </c>
      <c r="C54" s="23"/>
      <c r="D54" s="23"/>
      <c r="E54" s="23"/>
      <c r="F54" s="23">
        <v>7</v>
      </c>
      <c r="G54" s="23"/>
      <c r="H54" s="23"/>
      <c r="I54" s="23"/>
      <c r="J54" s="23"/>
      <c r="K54" s="23"/>
      <c r="L54" s="23"/>
      <c r="M54" s="23"/>
      <c r="N54" s="23"/>
    </row>
    <row r="55" spans="1:14" x14ac:dyDescent="0.25">
      <c r="A55" t="s">
        <v>419</v>
      </c>
      <c r="B55" t="s">
        <v>1225</v>
      </c>
      <c r="C55" s="23"/>
      <c r="D55" s="23"/>
      <c r="E55" s="23"/>
      <c r="F55" s="23">
        <v>4</v>
      </c>
      <c r="G55" s="23"/>
      <c r="H55" s="23"/>
      <c r="I55" s="23"/>
      <c r="J55" s="23"/>
      <c r="K55" s="23"/>
      <c r="L55" s="23"/>
      <c r="M55" s="23"/>
      <c r="N55" s="23"/>
    </row>
    <row r="56" spans="1:14" x14ac:dyDescent="0.25">
      <c r="A56" t="s">
        <v>28</v>
      </c>
      <c r="B56" t="s">
        <v>29</v>
      </c>
      <c r="C56" s="23"/>
      <c r="D56" s="23"/>
      <c r="E56" s="23"/>
      <c r="F56" s="23">
        <v>83</v>
      </c>
      <c r="G56" s="23"/>
      <c r="H56" s="23"/>
      <c r="I56" s="23"/>
      <c r="J56" s="23"/>
      <c r="K56" s="23"/>
      <c r="L56" s="23"/>
      <c r="M56" s="23"/>
      <c r="N56" s="23"/>
    </row>
    <row r="57" spans="1:14" x14ac:dyDescent="0.25">
      <c r="A57" t="s">
        <v>42</v>
      </c>
      <c r="B57" t="s">
        <v>43</v>
      </c>
      <c r="C57" s="23"/>
      <c r="D57" s="23"/>
      <c r="E57" s="23"/>
      <c r="F57" s="23">
        <v>83</v>
      </c>
      <c r="G57" s="23"/>
      <c r="H57" s="23"/>
      <c r="I57" s="23"/>
      <c r="J57" s="23"/>
      <c r="K57" s="23"/>
      <c r="L57" s="23"/>
      <c r="M57" s="23"/>
      <c r="N57" s="23"/>
    </row>
    <row r="58" spans="1:14" x14ac:dyDescent="0.25">
      <c r="A58" t="s">
        <v>911</v>
      </c>
      <c r="B58" t="s">
        <v>912</v>
      </c>
      <c r="C58" s="23"/>
      <c r="D58" s="23"/>
      <c r="E58" s="23"/>
      <c r="F58" s="23">
        <v>16</v>
      </c>
      <c r="G58" s="23"/>
      <c r="H58" s="23"/>
      <c r="I58" s="23"/>
      <c r="J58" s="23"/>
      <c r="K58" s="23"/>
      <c r="L58" s="23"/>
      <c r="M58" s="23"/>
      <c r="N58" s="23"/>
    </row>
    <row r="59" spans="1:14" x14ac:dyDescent="0.25">
      <c r="A59" t="s">
        <v>397</v>
      </c>
      <c r="B59" t="s">
        <v>398</v>
      </c>
      <c r="C59" s="23"/>
      <c r="D59" s="23"/>
      <c r="E59" s="23"/>
      <c r="F59" s="23">
        <v>30</v>
      </c>
      <c r="G59" s="23"/>
      <c r="H59" s="23"/>
      <c r="I59" s="23"/>
      <c r="J59" s="23"/>
      <c r="K59" s="23"/>
      <c r="L59" s="23"/>
      <c r="M59" s="23"/>
      <c r="N59" s="23"/>
    </row>
    <row r="60" spans="1:14" x14ac:dyDescent="0.25">
      <c r="A60" t="s">
        <v>352</v>
      </c>
      <c r="B60" t="s">
        <v>353</v>
      </c>
      <c r="C60" s="23"/>
      <c r="D60" s="23"/>
      <c r="E60" s="23"/>
      <c r="F60" s="23">
        <v>149</v>
      </c>
      <c r="G60" s="23"/>
      <c r="H60" s="23"/>
      <c r="I60" s="23"/>
      <c r="J60" s="23"/>
      <c r="K60" s="23"/>
      <c r="L60" s="23"/>
      <c r="M60" s="23"/>
      <c r="N60" s="23"/>
    </row>
    <row r="61" spans="1:14" x14ac:dyDescent="0.25">
      <c r="A61" t="s">
        <v>417</v>
      </c>
      <c r="B61" t="s">
        <v>418</v>
      </c>
      <c r="C61" s="23"/>
      <c r="D61" s="23"/>
      <c r="E61" s="23"/>
      <c r="F61" s="23">
        <v>21</v>
      </c>
      <c r="G61" s="23"/>
      <c r="H61" s="23"/>
      <c r="I61" s="23"/>
      <c r="J61" s="23"/>
      <c r="K61" s="23"/>
      <c r="L61" s="23"/>
      <c r="M61" s="23"/>
      <c r="N61" s="23"/>
    </row>
    <row r="62" spans="1:14" x14ac:dyDescent="0.25">
      <c r="A62" t="s">
        <v>388</v>
      </c>
      <c r="B62" t="s">
        <v>389</v>
      </c>
      <c r="C62" s="23"/>
      <c r="D62" s="23"/>
      <c r="E62" s="23"/>
      <c r="F62" s="23">
        <v>32</v>
      </c>
      <c r="G62" s="23"/>
      <c r="H62" s="23"/>
      <c r="I62" s="23"/>
      <c r="J62" s="23"/>
      <c r="K62" s="23"/>
      <c r="L62" s="23"/>
      <c r="M62" s="23"/>
      <c r="N62" s="23"/>
    </row>
    <row r="63" spans="1:14" x14ac:dyDescent="0.25">
      <c r="A63" t="s">
        <v>529</v>
      </c>
      <c r="B63" t="s">
        <v>530</v>
      </c>
      <c r="C63" s="23"/>
      <c r="D63" s="23"/>
      <c r="E63" s="23"/>
      <c r="F63" s="23">
        <v>18</v>
      </c>
      <c r="G63" s="23"/>
      <c r="H63" s="23"/>
      <c r="I63" s="23"/>
      <c r="J63" s="23"/>
      <c r="K63" s="23"/>
      <c r="L63" s="23"/>
      <c r="M63" s="23"/>
      <c r="N63" s="23"/>
    </row>
    <row r="64" spans="1:14" x14ac:dyDescent="0.25">
      <c r="A64" t="s">
        <v>209</v>
      </c>
      <c r="B64" t="s">
        <v>286</v>
      </c>
      <c r="C64" s="23"/>
      <c r="D64" s="23"/>
      <c r="E64" s="23"/>
      <c r="F64" s="23">
        <v>25</v>
      </c>
      <c r="G64" s="23"/>
      <c r="H64" s="23"/>
      <c r="I64" s="23"/>
      <c r="J64" s="23"/>
      <c r="K64" s="23"/>
      <c r="L64" s="23"/>
      <c r="M64" s="23"/>
      <c r="N64" s="23"/>
    </row>
    <row r="65" spans="1:14" x14ac:dyDescent="0.25">
      <c r="A65" t="s">
        <v>30</v>
      </c>
      <c r="B65" t="s">
        <v>31</v>
      </c>
      <c r="C65" s="23"/>
      <c r="D65" s="23"/>
      <c r="E65" s="23"/>
      <c r="F65" s="23">
        <v>23</v>
      </c>
      <c r="G65" s="23"/>
      <c r="H65" s="23"/>
      <c r="I65" s="23"/>
      <c r="J65" s="23"/>
      <c r="K65" s="23"/>
      <c r="L65" s="23"/>
      <c r="M65" s="23"/>
      <c r="N65" s="23"/>
    </row>
    <row r="66" spans="1:14" x14ac:dyDescent="0.25">
      <c r="A66" t="s">
        <v>44</v>
      </c>
      <c r="B66" t="s">
        <v>45</v>
      </c>
      <c r="C66" s="23"/>
      <c r="D66" s="23"/>
      <c r="E66" s="23"/>
      <c r="F66" s="23">
        <v>18</v>
      </c>
      <c r="G66" s="23"/>
      <c r="H66" s="23"/>
      <c r="I66" s="23"/>
      <c r="J66" s="23"/>
      <c r="K66" s="23"/>
      <c r="L66" s="23"/>
      <c r="M66" s="23"/>
      <c r="N66" s="23"/>
    </row>
    <row r="67" spans="1:14" x14ac:dyDescent="0.25">
      <c r="A67" t="s">
        <v>906</v>
      </c>
      <c r="B67" t="s">
        <v>907</v>
      </c>
      <c r="C67" s="23"/>
      <c r="D67" s="23"/>
      <c r="E67" s="23"/>
      <c r="F67" s="23">
        <v>1</v>
      </c>
      <c r="G67" s="23"/>
      <c r="H67" s="23"/>
      <c r="I67" s="23"/>
      <c r="J67" s="23"/>
      <c r="K67" s="23"/>
      <c r="L67" s="23"/>
      <c r="M67" s="23"/>
      <c r="N67" s="23"/>
    </row>
    <row r="68" spans="1:14" x14ac:dyDescent="0.25">
      <c r="A68" t="s">
        <v>64</v>
      </c>
      <c r="B68" t="s">
        <v>65</v>
      </c>
      <c r="C68" s="23"/>
      <c r="D68" s="23"/>
      <c r="E68" s="23"/>
      <c r="F68" s="23">
        <v>2</v>
      </c>
      <c r="G68" s="23"/>
      <c r="H68" s="23"/>
      <c r="I68" s="23"/>
      <c r="J68" s="23"/>
      <c r="K68" s="23"/>
      <c r="L68" s="23"/>
      <c r="M68" s="23"/>
      <c r="N68" s="23"/>
    </row>
    <row r="69" spans="1:14" x14ac:dyDescent="0.25">
      <c r="A69" t="s">
        <v>46</v>
      </c>
      <c r="B69" t="s">
        <v>47</v>
      </c>
      <c r="C69" s="23"/>
      <c r="D69" s="23"/>
      <c r="E69" s="23"/>
      <c r="F69" s="23">
        <v>4</v>
      </c>
      <c r="G69" s="23"/>
      <c r="H69" s="23"/>
      <c r="I69" s="23"/>
      <c r="J69" s="23"/>
      <c r="K69" s="23"/>
      <c r="L69" s="23"/>
      <c r="M69" s="23"/>
      <c r="N69" s="23"/>
    </row>
    <row r="70" spans="1:14" x14ac:dyDescent="0.25">
      <c r="A70" t="s">
        <v>375</v>
      </c>
      <c r="B70" t="s">
        <v>376</v>
      </c>
      <c r="C70" s="23"/>
      <c r="D70" s="23"/>
      <c r="E70" s="23"/>
      <c r="F70" s="23">
        <v>2</v>
      </c>
      <c r="G70" s="23"/>
      <c r="H70" s="23"/>
      <c r="I70" s="23"/>
      <c r="J70" s="23"/>
      <c r="K70" s="23"/>
      <c r="L70" s="23"/>
      <c r="M70" s="23"/>
      <c r="N70" s="23"/>
    </row>
    <row r="71" spans="1:14" x14ac:dyDescent="0.25">
      <c r="A71" t="s">
        <v>66</v>
      </c>
      <c r="B71" t="s">
        <v>67</v>
      </c>
      <c r="C71" s="23"/>
      <c r="D71" s="23"/>
      <c r="E71" s="23"/>
      <c r="F71" s="23">
        <v>11</v>
      </c>
      <c r="G71" s="23"/>
      <c r="H71" s="23"/>
      <c r="I71" s="23"/>
      <c r="J71" s="23"/>
      <c r="K71" s="23"/>
      <c r="L71" s="23"/>
      <c r="M71" s="23"/>
      <c r="N71" s="23"/>
    </row>
    <row r="72" spans="1:14" x14ac:dyDescent="0.25">
      <c r="A72" t="s">
        <v>354</v>
      </c>
      <c r="B72" t="s">
        <v>355</v>
      </c>
      <c r="C72" s="23"/>
      <c r="D72" s="23"/>
      <c r="E72" s="23"/>
      <c r="F72" s="23">
        <v>32</v>
      </c>
      <c r="G72" s="23"/>
      <c r="H72" s="23"/>
      <c r="I72" s="23"/>
      <c r="J72" s="23"/>
      <c r="K72" s="23"/>
      <c r="L72" s="23"/>
      <c r="M72" s="23"/>
      <c r="N72" s="23"/>
    </row>
    <row r="73" spans="1:14" x14ac:dyDescent="0.25">
      <c r="A73" t="s">
        <v>652</v>
      </c>
      <c r="B73" t="s">
        <v>653</v>
      </c>
      <c r="C73" s="23"/>
      <c r="D73" s="23"/>
      <c r="E73" s="23"/>
      <c r="F73" s="23">
        <v>25</v>
      </c>
      <c r="G73" s="23"/>
      <c r="H73" s="23"/>
      <c r="I73" s="23"/>
      <c r="J73" s="23"/>
      <c r="K73" s="23"/>
      <c r="L73" s="23"/>
      <c r="M73" s="23"/>
      <c r="N73" s="23"/>
    </row>
    <row r="74" spans="1:14" x14ac:dyDescent="0.25">
      <c r="A74" t="s">
        <v>368</v>
      </c>
      <c r="B74" t="s">
        <v>369</v>
      </c>
      <c r="C74" s="23"/>
      <c r="D74" s="23"/>
      <c r="E74" s="23"/>
      <c r="F74" s="23">
        <v>48</v>
      </c>
      <c r="G74" s="23"/>
      <c r="H74" s="23"/>
      <c r="I74" s="23"/>
      <c r="J74" s="23"/>
      <c r="K74" s="23"/>
      <c r="L74" s="23"/>
      <c r="M74" s="23"/>
      <c r="N74" s="23"/>
    </row>
    <row r="75" spans="1:14" x14ac:dyDescent="0.25">
      <c r="A75" t="s">
        <v>131</v>
      </c>
      <c r="B75" t="s">
        <v>132</v>
      </c>
      <c r="C75" s="23"/>
      <c r="D75" s="23"/>
      <c r="E75" s="23"/>
      <c r="F75" s="23">
        <v>88</v>
      </c>
      <c r="G75" s="23"/>
      <c r="H75" s="23"/>
      <c r="I75" s="23"/>
      <c r="J75" s="23"/>
      <c r="K75" s="23"/>
      <c r="L75" s="23"/>
      <c r="M75" s="23"/>
      <c r="N75" s="23"/>
    </row>
    <row r="76" spans="1:14" x14ac:dyDescent="0.25">
      <c r="A76" t="s">
        <v>292</v>
      </c>
      <c r="B76" t="s">
        <v>293</v>
      </c>
      <c r="C76" s="23"/>
      <c r="D76" s="23"/>
      <c r="E76" s="23"/>
      <c r="F76" s="23">
        <v>4</v>
      </c>
      <c r="G76" s="23"/>
      <c r="H76" s="23"/>
      <c r="I76" s="23"/>
      <c r="J76" s="23"/>
      <c r="K76" s="23"/>
      <c r="L76" s="23"/>
      <c r="M76" s="23"/>
      <c r="N76" s="23"/>
    </row>
    <row r="77" spans="1:14" x14ac:dyDescent="0.25">
      <c r="A77" t="s">
        <v>295</v>
      </c>
      <c r="B77" t="s">
        <v>324</v>
      </c>
      <c r="C77" s="23"/>
      <c r="D77" s="23"/>
      <c r="E77" s="23"/>
      <c r="F77" s="23">
        <v>0.09</v>
      </c>
      <c r="G77" s="23"/>
      <c r="H77" s="23"/>
      <c r="I77" s="23"/>
      <c r="J77" s="23"/>
      <c r="K77" s="23"/>
      <c r="L77" s="23"/>
      <c r="M77" s="23"/>
      <c r="N77" s="23"/>
    </row>
    <row r="78" spans="1:14" x14ac:dyDescent="0.25">
      <c r="A78" t="s">
        <v>154</v>
      </c>
      <c r="B78" t="s">
        <v>155</v>
      </c>
      <c r="C78" s="23"/>
      <c r="D78" s="23"/>
      <c r="E78" s="23"/>
      <c r="F78" s="23">
        <v>4</v>
      </c>
      <c r="G78" s="23"/>
      <c r="H78" s="23"/>
      <c r="I78" s="23"/>
      <c r="J78" s="23"/>
      <c r="K78" s="23"/>
      <c r="L78" s="23"/>
      <c r="M78" s="23"/>
      <c r="N78" s="23"/>
    </row>
    <row r="79" spans="1:14" x14ac:dyDescent="0.25">
      <c r="A79" t="s">
        <v>268</v>
      </c>
      <c r="B79" t="s">
        <v>269</v>
      </c>
      <c r="C79" s="23"/>
      <c r="D79" s="23"/>
      <c r="E79" s="23"/>
      <c r="F79" s="23">
        <v>2</v>
      </c>
      <c r="G79" s="23"/>
      <c r="H79" s="23"/>
      <c r="I79" s="23"/>
      <c r="J79" s="23"/>
      <c r="K79" s="23"/>
      <c r="L79" s="23"/>
      <c r="M79" s="23"/>
      <c r="N79" s="23"/>
    </row>
    <row r="80" spans="1:14" x14ac:dyDescent="0.25">
      <c r="A80" t="s">
        <v>129</v>
      </c>
      <c r="B80" t="s">
        <v>130</v>
      </c>
      <c r="C80" s="23"/>
      <c r="D80" s="23"/>
      <c r="E80" s="23"/>
      <c r="F80" s="23"/>
      <c r="G80" s="23"/>
      <c r="H80" s="23">
        <v>8.89</v>
      </c>
      <c r="I80" s="23"/>
      <c r="J80" s="23"/>
      <c r="K80" s="23"/>
      <c r="L80" s="23"/>
      <c r="M80" s="23"/>
      <c r="N80" s="23"/>
    </row>
    <row r="81" spans="1:14" x14ac:dyDescent="0.25">
      <c r="A81" t="s">
        <v>125</v>
      </c>
      <c r="B81" t="s">
        <v>126</v>
      </c>
      <c r="C81" s="23"/>
      <c r="D81" s="23"/>
      <c r="E81" s="23"/>
      <c r="F81" s="23"/>
      <c r="G81" s="23"/>
      <c r="H81" s="23">
        <v>8.89</v>
      </c>
      <c r="I81" s="23"/>
      <c r="J81" s="23"/>
      <c r="K81" s="23"/>
      <c r="L81" s="23"/>
      <c r="M81" s="23"/>
      <c r="N81" s="23"/>
    </row>
    <row r="82" spans="1:14" x14ac:dyDescent="0.25">
      <c r="A82" t="s">
        <v>69</v>
      </c>
      <c r="B82" t="s">
        <v>70</v>
      </c>
      <c r="C82" s="23"/>
      <c r="D82" s="23"/>
      <c r="E82" s="23"/>
      <c r="F82" s="23"/>
      <c r="G82" s="23"/>
      <c r="H82" s="23">
        <v>9.7099999999999991</v>
      </c>
      <c r="I82" s="23"/>
      <c r="J82" s="23"/>
      <c r="K82" s="23"/>
      <c r="L82" s="23"/>
      <c r="M82" s="23"/>
      <c r="N82" s="23"/>
    </row>
    <row r="83" spans="1:14" x14ac:dyDescent="0.25">
      <c r="A83" t="s">
        <v>100</v>
      </c>
      <c r="B83" t="s">
        <v>101</v>
      </c>
      <c r="C83" s="23"/>
      <c r="D83" s="23"/>
      <c r="E83" s="23"/>
      <c r="F83" s="23"/>
      <c r="G83" s="23"/>
      <c r="H83" s="23">
        <v>30.519999999999996</v>
      </c>
      <c r="I83" s="23"/>
      <c r="J83" s="23"/>
      <c r="K83" s="23"/>
      <c r="L83" s="23"/>
      <c r="M83" s="23"/>
      <c r="N83" s="23"/>
    </row>
    <row r="84" spans="1:14" x14ac:dyDescent="0.25">
      <c r="A84" t="s">
        <v>574</v>
      </c>
      <c r="B84" t="s">
        <v>575</v>
      </c>
      <c r="C84" s="23"/>
      <c r="D84" s="23"/>
      <c r="E84" s="23"/>
      <c r="F84" s="23"/>
      <c r="G84" s="23"/>
      <c r="H84" s="23">
        <v>0.7</v>
      </c>
      <c r="I84" s="23"/>
      <c r="J84" s="23"/>
      <c r="K84" s="23"/>
      <c r="L84" s="23"/>
      <c r="M84" s="23"/>
      <c r="N84" s="23"/>
    </row>
    <row r="85" spans="1:14" x14ac:dyDescent="0.25">
      <c r="A85" t="s">
        <v>104</v>
      </c>
      <c r="B85" t="s">
        <v>290</v>
      </c>
      <c r="C85" s="23"/>
      <c r="D85" s="23"/>
      <c r="E85" s="23"/>
      <c r="F85" s="23">
        <v>6.3</v>
      </c>
      <c r="G85" s="23"/>
      <c r="H85" s="23"/>
      <c r="I85" s="23"/>
      <c r="J85" s="23"/>
      <c r="K85" s="23"/>
      <c r="L85" s="23"/>
      <c r="M85" s="23"/>
      <c r="N85" s="23"/>
    </row>
    <row r="86" spans="1:14" x14ac:dyDescent="0.25">
      <c r="A86" t="s">
        <v>72</v>
      </c>
      <c r="B86" t="s">
        <v>251</v>
      </c>
      <c r="C86" s="23"/>
      <c r="D86" s="23"/>
      <c r="E86" s="23"/>
      <c r="F86" s="23">
        <v>11.199999999999998</v>
      </c>
      <c r="G86" s="23"/>
      <c r="H86" s="23"/>
      <c r="I86" s="23"/>
      <c r="J86" s="23"/>
      <c r="K86" s="23"/>
      <c r="L86" s="23"/>
      <c r="M86" s="23"/>
      <c r="N86" s="23"/>
    </row>
    <row r="87" spans="1:14" x14ac:dyDescent="0.25">
      <c r="A87" t="s">
        <v>121</v>
      </c>
      <c r="B87" t="s">
        <v>312</v>
      </c>
      <c r="C87" s="23"/>
      <c r="D87" s="23"/>
      <c r="E87" s="23"/>
      <c r="F87" s="23"/>
      <c r="G87" s="23"/>
      <c r="H87" s="23">
        <v>1.7</v>
      </c>
      <c r="I87" s="23"/>
      <c r="J87" s="23"/>
      <c r="K87" s="23"/>
      <c r="L87" s="23"/>
      <c r="M87" s="23"/>
      <c r="N87" s="23"/>
    </row>
    <row r="88" spans="1:14" x14ac:dyDescent="0.25">
      <c r="A88" t="s">
        <v>87</v>
      </c>
      <c r="B88" t="s">
        <v>88</v>
      </c>
      <c r="C88" s="23"/>
      <c r="D88" s="23"/>
      <c r="E88" s="23"/>
      <c r="F88" s="23"/>
      <c r="G88" s="23"/>
      <c r="H88" s="23">
        <v>3</v>
      </c>
      <c r="I88" s="23"/>
      <c r="J88" s="23"/>
      <c r="K88" s="23"/>
      <c r="L88" s="23"/>
      <c r="M88" s="23"/>
      <c r="N88" s="23"/>
    </row>
    <row r="89" spans="1:14" x14ac:dyDescent="0.25">
      <c r="A89" t="s">
        <v>258</v>
      </c>
      <c r="B89" t="s">
        <v>259</v>
      </c>
      <c r="C89" s="23"/>
      <c r="D89" s="23"/>
      <c r="E89" s="23"/>
      <c r="F89" s="23"/>
      <c r="G89" s="23"/>
      <c r="H89" s="23">
        <v>3.2</v>
      </c>
      <c r="I89" s="23"/>
      <c r="J89" s="23"/>
      <c r="K89" s="23"/>
      <c r="L89" s="23"/>
      <c r="M89" s="23"/>
      <c r="N89" s="23"/>
    </row>
    <row r="90" spans="1:14" x14ac:dyDescent="0.25">
      <c r="A90" t="s">
        <v>301</v>
      </c>
      <c r="B90" t="s">
        <v>302</v>
      </c>
      <c r="C90" s="23"/>
      <c r="D90" s="23"/>
      <c r="E90" s="23"/>
      <c r="F90" s="23">
        <v>9.5</v>
      </c>
      <c r="G90" s="23"/>
      <c r="H90" s="23"/>
      <c r="I90" s="23"/>
      <c r="J90" s="23"/>
      <c r="K90" s="23"/>
      <c r="L90" s="23"/>
      <c r="M90" s="23"/>
      <c r="N90" s="23"/>
    </row>
    <row r="91" spans="1:14" x14ac:dyDescent="0.25">
      <c r="A91" t="s">
        <v>287</v>
      </c>
      <c r="B91" t="s">
        <v>288</v>
      </c>
      <c r="C91" s="23"/>
      <c r="D91" s="23"/>
      <c r="E91" s="23"/>
      <c r="F91" s="23"/>
      <c r="G91" s="23"/>
      <c r="H91" s="23">
        <v>0.34</v>
      </c>
      <c r="I91" s="23"/>
      <c r="J91" s="23"/>
      <c r="K91" s="23"/>
      <c r="L91" s="23"/>
      <c r="M91" s="23"/>
      <c r="N91" s="23"/>
    </row>
    <row r="92" spans="1:14" x14ac:dyDescent="0.25">
      <c r="A92" t="s">
        <v>115</v>
      </c>
      <c r="B92" t="s">
        <v>116</v>
      </c>
      <c r="C92" s="23"/>
      <c r="D92" s="23"/>
      <c r="E92" s="23"/>
      <c r="F92" s="23"/>
      <c r="G92" s="23"/>
      <c r="H92" s="23">
        <v>1.9259999999999999</v>
      </c>
      <c r="I92" s="23"/>
      <c r="J92" s="23"/>
      <c r="K92" s="23"/>
      <c r="L92" s="23"/>
      <c r="M92" s="23"/>
      <c r="N92" s="23"/>
    </row>
    <row r="93" spans="1:14" x14ac:dyDescent="0.25">
      <c r="A93" t="s">
        <v>117</v>
      </c>
      <c r="B93" t="s">
        <v>118</v>
      </c>
      <c r="C93" s="23"/>
      <c r="D93" s="23"/>
      <c r="E93" s="23"/>
      <c r="F93" s="23"/>
      <c r="G93" s="23"/>
      <c r="H93" s="23">
        <v>105.7</v>
      </c>
      <c r="I93" s="23"/>
      <c r="J93" s="23"/>
      <c r="K93" s="23"/>
      <c r="L93" s="23"/>
      <c r="M93" s="23"/>
      <c r="N93" s="23"/>
    </row>
    <row r="94" spans="1:14" x14ac:dyDescent="0.25">
      <c r="A94" t="s">
        <v>102</v>
      </c>
      <c r="B94" t="s">
        <v>103</v>
      </c>
      <c r="C94" s="23"/>
      <c r="D94" s="23"/>
      <c r="E94" s="23"/>
      <c r="F94" s="23"/>
      <c r="G94" s="23"/>
      <c r="H94" s="23">
        <v>2.9299999999999997</v>
      </c>
      <c r="I94" s="23"/>
      <c r="J94" s="23"/>
      <c r="K94" s="23"/>
      <c r="L94" s="23"/>
      <c r="M94" s="23"/>
      <c r="N94" s="23"/>
    </row>
    <row r="95" spans="1:14" x14ac:dyDescent="0.25">
      <c r="A95" t="s">
        <v>71</v>
      </c>
      <c r="B95" t="s">
        <v>289</v>
      </c>
      <c r="C95" s="23"/>
      <c r="D95" s="23"/>
      <c r="E95" s="23"/>
      <c r="F95" s="23"/>
      <c r="G95" s="23"/>
      <c r="H95" s="23">
        <v>5.49</v>
      </c>
      <c r="I95" s="23"/>
      <c r="J95" s="23"/>
      <c r="K95" s="23"/>
      <c r="L95" s="23"/>
      <c r="M95" s="23"/>
      <c r="N95" s="23"/>
    </row>
    <row r="96" spans="1:14" x14ac:dyDescent="0.25">
      <c r="A96" t="s">
        <v>85</v>
      </c>
      <c r="B96" t="s">
        <v>86</v>
      </c>
      <c r="C96" s="23"/>
      <c r="D96" s="23"/>
      <c r="E96" s="23"/>
      <c r="F96" s="23"/>
      <c r="G96" s="23">
        <v>2</v>
      </c>
      <c r="H96" s="23"/>
      <c r="I96" s="23"/>
      <c r="J96" s="23"/>
      <c r="K96" s="23"/>
      <c r="L96" s="23"/>
      <c r="M96" s="23"/>
      <c r="N96" s="23"/>
    </row>
    <row r="97" spans="1:14" x14ac:dyDescent="0.25">
      <c r="A97" t="s">
        <v>777</v>
      </c>
      <c r="B97" t="s">
        <v>778</v>
      </c>
      <c r="C97" s="23"/>
      <c r="D97" s="23"/>
      <c r="E97" s="23"/>
      <c r="F97" s="23"/>
      <c r="G97" s="23">
        <v>1</v>
      </c>
      <c r="H97" s="23"/>
      <c r="I97" s="23"/>
      <c r="J97" s="23"/>
      <c r="K97" s="23"/>
      <c r="L97" s="23"/>
      <c r="M97" s="23"/>
      <c r="N97" s="23"/>
    </row>
    <row r="98" spans="1:14" x14ac:dyDescent="0.25">
      <c r="A98" t="s">
        <v>95</v>
      </c>
      <c r="B98" t="s">
        <v>96</v>
      </c>
      <c r="C98" s="23"/>
      <c r="D98" s="23"/>
      <c r="E98" s="23"/>
      <c r="F98" s="23"/>
      <c r="G98" s="23">
        <v>1</v>
      </c>
      <c r="H98" s="23"/>
      <c r="I98" s="23"/>
      <c r="J98" s="23"/>
      <c r="K98" s="23"/>
      <c r="L98" s="23"/>
      <c r="M98" s="23"/>
      <c r="N98" s="23"/>
    </row>
    <row r="99" spans="1:14" x14ac:dyDescent="0.25">
      <c r="A99" t="s">
        <v>111</v>
      </c>
      <c r="B99" t="s">
        <v>112</v>
      </c>
      <c r="C99" s="23"/>
      <c r="D99" s="23"/>
      <c r="E99" s="23"/>
      <c r="F99" s="23"/>
      <c r="G99" s="23">
        <v>1</v>
      </c>
      <c r="H99" s="23"/>
      <c r="I99" s="23"/>
      <c r="J99" s="23"/>
      <c r="K99" s="23"/>
      <c r="L99" s="23"/>
      <c r="M99" s="23"/>
      <c r="N99" s="23"/>
    </row>
    <row r="100" spans="1:14" x14ac:dyDescent="0.25">
      <c r="A100" t="s">
        <v>753</v>
      </c>
      <c r="B100" t="s">
        <v>754</v>
      </c>
      <c r="C100" s="23"/>
      <c r="D100" s="23"/>
      <c r="E100" s="23"/>
      <c r="F100" s="23"/>
      <c r="G100" s="23">
        <v>1</v>
      </c>
      <c r="H100" s="23"/>
      <c r="I100" s="23"/>
      <c r="J100" s="23"/>
      <c r="K100" s="23"/>
      <c r="L100" s="23"/>
      <c r="M100" s="23"/>
      <c r="N100" s="23"/>
    </row>
    <row r="101" spans="1:14" x14ac:dyDescent="0.25">
      <c r="A101" t="s">
        <v>199</v>
      </c>
      <c r="B101" t="s">
        <v>200</v>
      </c>
      <c r="C101" s="23"/>
      <c r="D101" s="23"/>
      <c r="E101" s="23"/>
      <c r="F101" s="23"/>
      <c r="G101" s="23">
        <v>1</v>
      </c>
      <c r="H101" s="23"/>
      <c r="I101" s="23"/>
      <c r="J101" s="23"/>
      <c r="K101" s="23"/>
      <c r="L101" s="23"/>
      <c r="M101" s="23"/>
      <c r="N101" s="23"/>
    </row>
    <row r="102" spans="1:14" x14ac:dyDescent="0.25">
      <c r="A102" t="s">
        <v>68</v>
      </c>
      <c r="B102" t="s">
        <v>586</v>
      </c>
      <c r="C102" s="23"/>
      <c r="D102" s="23"/>
      <c r="E102" s="23"/>
      <c r="F102" s="23"/>
      <c r="G102" s="23">
        <v>0.05</v>
      </c>
      <c r="H102" s="23"/>
      <c r="I102" s="23"/>
      <c r="J102" s="23"/>
      <c r="K102" s="23"/>
      <c r="L102" s="23"/>
      <c r="M102" s="23"/>
      <c r="N102" s="23"/>
    </row>
    <row r="103" spans="1:14" x14ac:dyDescent="0.25">
      <c r="A103" t="s">
        <v>671</v>
      </c>
      <c r="B103" t="s">
        <v>672</v>
      </c>
      <c r="C103" s="23"/>
      <c r="D103" s="23"/>
      <c r="E103" s="23"/>
      <c r="F103" s="23"/>
      <c r="G103" s="23">
        <v>1</v>
      </c>
      <c r="H103" s="23"/>
      <c r="I103" s="23"/>
      <c r="J103" s="23"/>
      <c r="K103" s="23"/>
      <c r="L103" s="23"/>
      <c r="M103" s="23"/>
      <c r="N103" s="23"/>
    </row>
    <row r="104" spans="1:14" x14ac:dyDescent="0.25">
      <c r="A104" t="s">
        <v>99</v>
      </c>
      <c r="B104" t="s">
        <v>250</v>
      </c>
      <c r="C104" s="23"/>
      <c r="D104" s="23"/>
      <c r="E104" s="23"/>
      <c r="F104" s="23"/>
      <c r="G104" s="23">
        <v>5</v>
      </c>
      <c r="H104" s="23"/>
      <c r="I104" s="23"/>
      <c r="J104" s="23"/>
      <c r="K104" s="23"/>
      <c r="L104" s="23"/>
      <c r="M104" s="23"/>
      <c r="N104" s="23"/>
    </row>
    <row r="105" spans="1:14" x14ac:dyDescent="0.25">
      <c r="A105" t="s">
        <v>757</v>
      </c>
      <c r="B105" t="s">
        <v>758</v>
      </c>
      <c r="C105" s="23"/>
      <c r="D105" s="23"/>
      <c r="E105" s="23"/>
      <c r="F105" s="23"/>
      <c r="G105" s="23">
        <v>1</v>
      </c>
      <c r="H105" s="23"/>
      <c r="I105" s="23"/>
      <c r="J105" s="23"/>
      <c r="K105" s="23"/>
      <c r="L105" s="23"/>
      <c r="M105" s="23"/>
      <c r="N105" s="23"/>
    </row>
    <row r="106" spans="1:14" x14ac:dyDescent="0.25">
      <c r="A106" t="s">
        <v>687</v>
      </c>
      <c r="B106" t="s">
        <v>688</v>
      </c>
      <c r="C106" s="23"/>
      <c r="D106" s="23"/>
      <c r="E106" s="23"/>
      <c r="F106" s="23"/>
      <c r="G106" s="23">
        <v>1</v>
      </c>
      <c r="H106" s="23"/>
      <c r="I106" s="23"/>
      <c r="J106" s="23"/>
      <c r="K106" s="23"/>
      <c r="L106" s="23"/>
      <c r="M106" s="23"/>
      <c r="N106" s="23"/>
    </row>
    <row r="107" spans="1:14" x14ac:dyDescent="0.25">
      <c r="A107" t="s">
        <v>711</v>
      </c>
      <c r="B107" t="s">
        <v>712</v>
      </c>
      <c r="C107" s="23"/>
      <c r="D107" s="23"/>
      <c r="E107" s="23"/>
      <c r="F107" s="23"/>
      <c r="G107" s="23">
        <v>1</v>
      </c>
      <c r="H107" s="23"/>
      <c r="I107" s="23"/>
      <c r="J107" s="23"/>
      <c r="K107" s="23"/>
      <c r="L107" s="23"/>
      <c r="M107" s="23"/>
      <c r="N107" s="23"/>
    </row>
    <row r="108" spans="1:14" x14ac:dyDescent="0.25">
      <c r="A108" t="s">
        <v>266</v>
      </c>
      <c r="B108" t="s">
        <v>267</v>
      </c>
      <c r="C108" s="23"/>
      <c r="D108" s="23"/>
      <c r="E108" s="23"/>
      <c r="F108" s="23"/>
      <c r="G108" s="23">
        <v>1</v>
      </c>
      <c r="H108" s="23"/>
      <c r="I108" s="23"/>
      <c r="J108" s="23"/>
      <c r="K108" s="23"/>
      <c r="L108" s="23"/>
      <c r="M108" s="23"/>
      <c r="N108" s="23"/>
    </row>
    <row r="109" spans="1:14" x14ac:dyDescent="0.25">
      <c r="A109" t="s">
        <v>270</v>
      </c>
      <c r="B109" t="s">
        <v>589</v>
      </c>
      <c r="C109" s="23"/>
      <c r="D109" s="23"/>
      <c r="E109" s="23"/>
      <c r="F109" s="23"/>
      <c r="G109" s="23">
        <v>1</v>
      </c>
      <c r="H109" s="23"/>
      <c r="I109" s="23"/>
      <c r="J109" s="23"/>
      <c r="K109" s="23"/>
      <c r="L109" s="23"/>
      <c r="M109" s="23"/>
      <c r="N109" s="23"/>
    </row>
    <row r="110" spans="1:14" x14ac:dyDescent="0.25">
      <c r="A110" t="s">
        <v>211</v>
      </c>
      <c r="B110" t="s">
        <v>212</v>
      </c>
      <c r="C110" s="23"/>
      <c r="D110" s="23"/>
      <c r="E110" s="23"/>
      <c r="F110" s="23"/>
      <c r="G110" s="23">
        <v>1</v>
      </c>
      <c r="H110" s="23"/>
      <c r="I110" s="23"/>
      <c r="J110" s="23"/>
      <c r="K110" s="23"/>
      <c r="L110" s="23"/>
      <c r="M110" s="23"/>
      <c r="N110" s="23"/>
    </row>
    <row r="111" spans="1:14" x14ac:dyDescent="0.25">
      <c r="A111" t="s">
        <v>610</v>
      </c>
      <c r="B111" t="s">
        <v>611</v>
      </c>
      <c r="C111" s="23"/>
      <c r="D111" s="23"/>
      <c r="E111" s="23"/>
      <c r="F111" s="23"/>
      <c r="G111" s="23"/>
      <c r="H111" s="23"/>
      <c r="I111" s="23"/>
      <c r="J111" s="23">
        <v>0.5</v>
      </c>
      <c r="K111" s="23"/>
      <c r="L111" s="23"/>
      <c r="M111" s="23"/>
      <c r="N111" s="23"/>
    </row>
    <row r="112" spans="1:14" x14ac:dyDescent="0.25">
      <c r="A112" t="s">
        <v>81</v>
      </c>
      <c r="B112" t="s">
        <v>82</v>
      </c>
      <c r="C112" s="23"/>
      <c r="D112" s="23"/>
      <c r="E112" s="23"/>
      <c r="F112" s="23"/>
      <c r="G112" s="23"/>
      <c r="H112" s="23"/>
      <c r="I112" s="23"/>
      <c r="J112" s="23">
        <v>0.5</v>
      </c>
      <c r="K112" s="23"/>
      <c r="L112" s="23"/>
      <c r="M112" s="23"/>
      <c r="N112" s="23"/>
    </row>
    <row r="113" spans="1:14" x14ac:dyDescent="0.25">
      <c r="A113" t="s">
        <v>146</v>
      </c>
      <c r="B113" t="s">
        <v>147</v>
      </c>
      <c r="C113" s="23"/>
      <c r="D113" s="23"/>
      <c r="E113" s="23"/>
      <c r="F113" s="23"/>
      <c r="G113" s="23"/>
      <c r="H113" s="23"/>
      <c r="I113" s="23"/>
      <c r="J113" s="23">
        <v>5</v>
      </c>
      <c r="K113" s="23"/>
      <c r="L113" s="23"/>
      <c r="M113" s="23"/>
      <c r="N113" s="23"/>
    </row>
    <row r="114" spans="1:14" x14ac:dyDescent="0.25">
      <c r="A114" t="s">
        <v>693</v>
      </c>
      <c r="B114" t="s">
        <v>694</v>
      </c>
      <c r="C114" s="23"/>
      <c r="D114" s="23"/>
      <c r="E114" s="23"/>
      <c r="F114" s="23"/>
      <c r="G114" s="23"/>
      <c r="H114" s="23"/>
      <c r="I114" s="23"/>
      <c r="J114" s="23">
        <v>13</v>
      </c>
      <c r="K114" s="23"/>
      <c r="L114" s="23"/>
      <c r="M114" s="23"/>
      <c r="N114" s="23"/>
    </row>
    <row r="115" spans="1:14" x14ac:dyDescent="0.25">
      <c r="A115" t="s">
        <v>127</v>
      </c>
      <c r="B115" t="s">
        <v>128</v>
      </c>
      <c r="C115" s="23"/>
      <c r="D115" s="23"/>
      <c r="E115" s="23"/>
      <c r="F115" s="23"/>
      <c r="G115" s="23"/>
      <c r="H115" s="23"/>
      <c r="I115" s="23"/>
      <c r="J115" s="23">
        <v>50</v>
      </c>
      <c r="K115" s="23"/>
      <c r="L115" s="23"/>
      <c r="M115" s="23"/>
      <c r="N115" s="23"/>
    </row>
    <row r="116" spans="1:14" x14ac:dyDescent="0.25">
      <c r="A116" t="s">
        <v>729</v>
      </c>
      <c r="B116" t="s">
        <v>730</v>
      </c>
      <c r="C116" s="23"/>
      <c r="D116" s="23"/>
      <c r="E116" s="23"/>
      <c r="F116" s="23"/>
      <c r="G116" s="23"/>
      <c r="H116" s="23"/>
      <c r="I116" s="23"/>
      <c r="J116" s="23">
        <v>9</v>
      </c>
      <c r="K116" s="23"/>
      <c r="L116" s="23"/>
      <c r="M116" s="23"/>
      <c r="N116" s="23"/>
    </row>
    <row r="117" spans="1:14" x14ac:dyDescent="0.25">
      <c r="A117" t="s">
        <v>970</v>
      </c>
      <c r="B117" t="s">
        <v>971</v>
      </c>
      <c r="C117" s="23"/>
      <c r="D117" s="23"/>
      <c r="E117" s="23"/>
      <c r="F117" s="23"/>
      <c r="G117" s="23"/>
      <c r="H117" s="23"/>
      <c r="I117" s="23"/>
      <c r="J117" s="23">
        <v>0.6</v>
      </c>
      <c r="K117" s="23"/>
      <c r="L117" s="23"/>
      <c r="M117" s="23"/>
      <c r="N117" s="23"/>
    </row>
    <row r="118" spans="1:14" x14ac:dyDescent="0.25">
      <c r="A118" t="s">
        <v>381</v>
      </c>
      <c r="B118" t="s">
        <v>382</v>
      </c>
      <c r="C118" s="23"/>
      <c r="D118" s="23"/>
      <c r="E118" s="23"/>
      <c r="F118" s="23"/>
      <c r="G118" s="23"/>
      <c r="H118" s="23"/>
      <c r="I118" s="23">
        <v>1.1000000000000001</v>
      </c>
      <c r="J118" s="23"/>
      <c r="K118" s="23"/>
      <c r="L118" s="23"/>
      <c r="M118" s="23"/>
      <c r="N118" s="23"/>
    </row>
    <row r="119" spans="1:14" x14ac:dyDescent="0.25">
      <c r="A119" t="s">
        <v>89</v>
      </c>
      <c r="B119" t="s">
        <v>90</v>
      </c>
      <c r="C119" s="23"/>
      <c r="D119" s="23"/>
      <c r="E119" s="23"/>
      <c r="F119" s="23"/>
      <c r="G119" s="23"/>
      <c r="H119" s="23"/>
      <c r="I119" s="23">
        <v>5.5</v>
      </c>
      <c r="J119" s="23"/>
      <c r="K119" s="23"/>
      <c r="L119" s="23"/>
      <c r="M119" s="23"/>
      <c r="N119" s="23"/>
    </row>
    <row r="120" spans="1:14" x14ac:dyDescent="0.25">
      <c r="A120" t="s">
        <v>313</v>
      </c>
      <c r="B120" t="s">
        <v>314</v>
      </c>
      <c r="C120" s="23"/>
      <c r="D120" s="23"/>
      <c r="E120" s="23"/>
      <c r="F120" s="23"/>
      <c r="G120" s="23"/>
      <c r="H120" s="23"/>
      <c r="I120" s="23">
        <v>5</v>
      </c>
      <c r="J120" s="23"/>
      <c r="K120" s="23"/>
      <c r="L120" s="23"/>
      <c r="M120" s="23"/>
      <c r="N120" s="23"/>
    </row>
    <row r="121" spans="1:14" x14ac:dyDescent="0.25">
      <c r="A121" t="s">
        <v>364</v>
      </c>
      <c r="B121" t="s">
        <v>365</v>
      </c>
      <c r="C121" s="23"/>
      <c r="D121" s="23"/>
      <c r="E121" s="23"/>
      <c r="F121" s="23"/>
      <c r="G121" s="23"/>
      <c r="H121" s="23"/>
      <c r="I121" s="23">
        <v>5.5</v>
      </c>
      <c r="J121" s="23"/>
      <c r="K121" s="23"/>
      <c r="L121" s="23"/>
      <c r="M121" s="23"/>
      <c r="N121" s="23"/>
    </row>
    <row r="122" spans="1:14" x14ac:dyDescent="0.25">
      <c r="A122" t="s">
        <v>362</v>
      </c>
      <c r="B122" t="s">
        <v>363</v>
      </c>
      <c r="C122" s="23"/>
      <c r="D122" s="23"/>
      <c r="E122" s="23"/>
      <c r="F122" s="23"/>
      <c r="G122" s="23"/>
      <c r="H122" s="23"/>
      <c r="I122" s="23">
        <v>5.5</v>
      </c>
      <c r="J122" s="23"/>
      <c r="K122" s="23"/>
      <c r="L122" s="23"/>
      <c r="M122" s="23"/>
      <c r="N122" s="23"/>
    </row>
    <row r="123" spans="1:14" x14ac:dyDescent="0.25">
      <c r="A123" t="s">
        <v>75</v>
      </c>
      <c r="B123" t="s">
        <v>76</v>
      </c>
      <c r="C123" s="23"/>
      <c r="D123" s="23"/>
      <c r="E123" s="23"/>
      <c r="F123" s="23"/>
      <c r="G123" s="23"/>
      <c r="H123" s="23"/>
      <c r="I123" s="23">
        <v>2</v>
      </c>
      <c r="J123" s="23"/>
      <c r="K123" s="23"/>
      <c r="L123" s="23"/>
      <c r="M123" s="23"/>
      <c r="N123" s="23"/>
    </row>
    <row r="124" spans="1:14" x14ac:dyDescent="0.25">
      <c r="A124" t="s">
        <v>119</v>
      </c>
      <c r="B124" t="s">
        <v>120</v>
      </c>
      <c r="C124" s="23"/>
      <c r="D124" s="23"/>
      <c r="E124" s="23"/>
      <c r="F124" s="23"/>
      <c r="G124" s="23"/>
      <c r="H124" s="23"/>
      <c r="I124" s="23">
        <v>4</v>
      </c>
      <c r="J124" s="23"/>
      <c r="K124" s="23"/>
      <c r="L124" s="23"/>
      <c r="M124" s="23"/>
      <c r="N124" s="23"/>
    </row>
    <row r="125" spans="1:14" x14ac:dyDescent="0.25">
      <c r="A125" t="s">
        <v>308</v>
      </c>
      <c r="B125" t="s">
        <v>309</v>
      </c>
      <c r="C125" s="23"/>
      <c r="D125" s="23"/>
      <c r="E125" s="23"/>
      <c r="F125" s="23"/>
      <c r="G125" s="23"/>
      <c r="H125" s="23"/>
      <c r="I125" s="23">
        <v>2</v>
      </c>
      <c r="J125" s="23"/>
      <c r="K125" s="23"/>
      <c r="L125" s="23"/>
      <c r="M125" s="23"/>
      <c r="N125" s="23"/>
    </row>
    <row r="126" spans="1:14" x14ac:dyDescent="0.25">
      <c r="A126" t="s">
        <v>77</v>
      </c>
      <c r="B126" t="s">
        <v>78</v>
      </c>
      <c r="C126" s="23"/>
      <c r="D126" s="23"/>
      <c r="E126" s="23"/>
      <c r="F126" s="23"/>
      <c r="G126" s="23"/>
      <c r="H126" s="23"/>
      <c r="I126" s="23">
        <v>3</v>
      </c>
      <c r="J126" s="23"/>
      <c r="K126" s="23"/>
      <c r="L126" s="23"/>
      <c r="M126" s="23"/>
      <c r="N126" s="23"/>
    </row>
    <row r="127" spans="1:14" x14ac:dyDescent="0.25">
      <c r="A127" t="s">
        <v>105</v>
      </c>
      <c r="B127" t="s">
        <v>106</v>
      </c>
      <c r="C127" s="23"/>
      <c r="D127" s="23"/>
      <c r="E127" s="23"/>
      <c r="F127" s="23"/>
      <c r="G127" s="23"/>
      <c r="H127" s="23"/>
      <c r="I127" s="23">
        <v>6</v>
      </c>
      <c r="J127" s="23"/>
      <c r="K127" s="23"/>
      <c r="L127" s="23"/>
      <c r="M127" s="23"/>
      <c r="N127" s="23"/>
    </row>
    <row r="128" spans="1:14" x14ac:dyDescent="0.25">
      <c r="A128" t="s">
        <v>373</v>
      </c>
      <c r="B128" t="s">
        <v>374</v>
      </c>
      <c r="C128" s="23"/>
      <c r="D128" s="23"/>
      <c r="E128" s="23"/>
      <c r="F128" s="23"/>
      <c r="G128" s="23"/>
      <c r="H128" s="23"/>
      <c r="I128" s="23">
        <v>5</v>
      </c>
      <c r="J128" s="23"/>
      <c r="K128" s="23"/>
      <c r="L128" s="23"/>
      <c r="M128" s="23"/>
      <c r="N128" s="23"/>
    </row>
    <row r="129" spans="1:14" x14ac:dyDescent="0.25">
      <c r="A129" t="s">
        <v>79</v>
      </c>
      <c r="B129" t="s">
        <v>80</v>
      </c>
      <c r="C129" s="23"/>
      <c r="D129" s="23"/>
      <c r="E129" s="23"/>
      <c r="F129" s="23"/>
      <c r="G129" s="23"/>
      <c r="H129" s="23"/>
      <c r="I129" s="23">
        <v>3</v>
      </c>
      <c r="J129" s="23"/>
      <c r="K129" s="23"/>
      <c r="L129" s="23"/>
      <c r="M129" s="23"/>
      <c r="N129" s="23"/>
    </row>
    <row r="130" spans="1:14" x14ac:dyDescent="0.25">
      <c r="A130" t="s">
        <v>93</v>
      </c>
      <c r="B130" t="s">
        <v>94</v>
      </c>
      <c r="C130" s="23"/>
      <c r="D130" s="23"/>
      <c r="E130" s="23"/>
      <c r="F130" s="23"/>
      <c r="G130" s="23"/>
      <c r="H130" s="23"/>
      <c r="I130" s="23">
        <v>6</v>
      </c>
      <c r="J130" s="23"/>
      <c r="K130" s="23"/>
      <c r="L130" s="23"/>
      <c r="M130" s="23"/>
      <c r="N130" s="23"/>
    </row>
    <row r="131" spans="1:14" x14ac:dyDescent="0.25">
      <c r="A131" t="s">
        <v>383</v>
      </c>
      <c r="B131" t="s">
        <v>384</v>
      </c>
      <c r="C131" s="23"/>
      <c r="D131" s="23"/>
      <c r="E131" s="23"/>
      <c r="F131" s="23"/>
      <c r="G131" s="23"/>
      <c r="H131" s="23"/>
      <c r="I131" s="23">
        <v>1</v>
      </c>
      <c r="J131" s="23"/>
      <c r="K131" s="23"/>
      <c r="L131" s="23"/>
      <c r="M131" s="23"/>
      <c r="N131" s="23"/>
    </row>
    <row r="132" spans="1:14" x14ac:dyDescent="0.25">
      <c r="A132" t="s">
        <v>465</v>
      </c>
      <c r="B132" t="s">
        <v>466</v>
      </c>
      <c r="C132" s="23"/>
      <c r="D132" s="23"/>
      <c r="E132" s="23"/>
      <c r="F132" s="23"/>
      <c r="G132" s="23"/>
      <c r="H132" s="23"/>
      <c r="I132" s="23">
        <v>2</v>
      </c>
      <c r="J132" s="23"/>
      <c r="K132" s="23"/>
      <c r="L132" s="23"/>
      <c r="M132" s="23"/>
      <c r="N132" s="23"/>
    </row>
    <row r="133" spans="1:14" x14ac:dyDescent="0.25">
      <c r="A133" t="s">
        <v>619</v>
      </c>
      <c r="B133" t="s">
        <v>828</v>
      </c>
      <c r="C133" s="23"/>
      <c r="D133" s="23"/>
      <c r="E133" s="23"/>
      <c r="F133" s="23"/>
      <c r="G133" s="23"/>
      <c r="H133" s="23"/>
      <c r="I133" s="23">
        <v>1</v>
      </c>
      <c r="J133" s="23"/>
      <c r="K133" s="23"/>
      <c r="L133" s="23"/>
      <c r="M133" s="23"/>
      <c r="N133" s="23"/>
    </row>
    <row r="134" spans="1:14" x14ac:dyDescent="0.25">
      <c r="A134" t="s">
        <v>470</v>
      </c>
      <c r="B134" t="s">
        <v>471</v>
      </c>
      <c r="C134" s="23"/>
      <c r="D134" s="23"/>
      <c r="E134" s="23"/>
      <c r="F134" s="23"/>
      <c r="G134" s="23"/>
      <c r="H134" s="23"/>
      <c r="I134" s="23">
        <v>1</v>
      </c>
      <c r="J134" s="23"/>
      <c r="K134" s="23"/>
      <c r="L134" s="23"/>
      <c r="M134" s="23"/>
      <c r="N134" s="23"/>
    </row>
    <row r="135" spans="1:14" x14ac:dyDescent="0.25">
      <c r="A135" t="s">
        <v>73</v>
      </c>
      <c r="B135" t="s">
        <v>74</v>
      </c>
      <c r="C135" s="23"/>
      <c r="D135" s="23"/>
      <c r="E135" s="23"/>
      <c r="F135" s="23"/>
      <c r="G135" s="23"/>
      <c r="H135" s="23"/>
      <c r="I135" s="23">
        <v>1</v>
      </c>
      <c r="J135" s="23"/>
      <c r="K135" s="23"/>
      <c r="L135" s="23"/>
      <c r="M135" s="23"/>
      <c r="N135" s="23"/>
    </row>
    <row r="136" spans="1:14" x14ac:dyDescent="0.25">
      <c r="A136" t="s">
        <v>698</v>
      </c>
      <c r="B136" t="s">
        <v>699</v>
      </c>
      <c r="C136" s="23"/>
      <c r="D136" s="23"/>
      <c r="E136" s="23"/>
      <c r="F136" s="23"/>
      <c r="G136" s="23"/>
      <c r="H136" s="23"/>
      <c r="I136" s="23">
        <v>1</v>
      </c>
      <c r="J136" s="23"/>
      <c r="K136" s="23"/>
      <c r="L136" s="23"/>
      <c r="M136" s="23"/>
      <c r="N136" s="23"/>
    </row>
    <row r="137" spans="1:14" x14ac:dyDescent="0.25">
      <c r="A137" t="s">
        <v>91</v>
      </c>
      <c r="B137" t="s">
        <v>92</v>
      </c>
      <c r="C137" s="23"/>
      <c r="D137" s="23"/>
      <c r="E137" s="23"/>
      <c r="F137" s="23"/>
      <c r="G137" s="23"/>
      <c r="H137" s="23"/>
      <c r="I137" s="23">
        <v>1</v>
      </c>
      <c r="J137" s="23"/>
      <c r="K137" s="23"/>
      <c r="L137" s="23"/>
      <c r="M137" s="23"/>
      <c r="N137" s="23"/>
    </row>
    <row r="138" spans="1:14" x14ac:dyDescent="0.25">
      <c r="A138" t="s">
        <v>965</v>
      </c>
      <c r="B138" t="s">
        <v>966</v>
      </c>
      <c r="C138" s="23"/>
      <c r="D138" s="23"/>
      <c r="E138" s="23"/>
      <c r="F138" s="23"/>
      <c r="G138" s="23">
        <v>1</v>
      </c>
      <c r="H138" s="23"/>
      <c r="I138" s="23"/>
      <c r="J138" s="23"/>
      <c r="K138" s="23"/>
      <c r="L138" s="23"/>
      <c r="M138" s="23"/>
      <c r="N138" s="23"/>
    </row>
    <row r="139" spans="1:14" x14ac:dyDescent="0.25">
      <c r="A139" t="s">
        <v>107</v>
      </c>
      <c r="B139" t="s">
        <v>108</v>
      </c>
      <c r="C139" s="23"/>
      <c r="D139" s="23"/>
      <c r="E139" s="23"/>
      <c r="F139" s="23"/>
      <c r="G139" s="23"/>
      <c r="H139" s="23"/>
      <c r="I139" s="23">
        <v>1</v>
      </c>
      <c r="J139" s="23"/>
      <c r="K139" s="23"/>
      <c r="L139" s="23"/>
      <c r="M139" s="23"/>
      <c r="N139" s="23"/>
    </row>
    <row r="140" spans="1:14" x14ac:dyDescent="0.25">
      <c r="A140" t="s">
        <v>160</v>
      </c>
      <c r="B140" t="s">
        <v>161</v>
      </c>
      <c r="C140" s="23"/>
      <c r="D140" s="23"/>
      <c r="E140" s="23"/>
      <c r="F140" s="23"/>
      <c r="G140" s="23"/>
      <c r="H140" s="23"/>
      <c r="I140" s="23">
        <v>0.23</v>
      </c>
      <c r="J140" s="23"/>
      <c r="K140" s="23"/>
      <c r="L140" s="23"/>
      <c r="M140" s="23"/>
      <c r="N140" s="23"/>
    </row>
    <row r="141" spans="1:14" x14ac:dyDescent="0.25">
      <c r="A141" t="s">
        <v>158</v>
      </c>
      <c r="B141" t="s">
        <v>159</v>
      </c>
      <c r="C141" s="23"/>
      <c r="D141" s="23"/>
      <c r="E141" s="23"/>
      <c r="F141" s="23"/>
      <c r="G141" s="23"/>
      <c r="H141" s="23"/>
      <c r="I141" s="23">
        <v>1</v>
      </c>
      <c r="J141" s="23"/>
      <c r="K141" s="23"/>
      <c r="L141" s="23"/>
      <c r="M141" s="23"/>
      <c r="N141" s="23"/>
    </row>
    <row r="142" spans="1:14" x14ac:dyDescent="0.25">
      <c r="A142" t="s">
        <v>275</v>
      </c>
      <c r="B142" t="s">
        <v>276</v>
      </c>
      <c r="C142" s="23"/>
      <c r="D142" s="23"/>
      <c r="E142" s="23"/>
      <c r="F142" s="23"/>
      <c r="G142" s="23">
        <v>1</v>
      </c>
      <c r="H142" s="23"/>
      <c r="I142" s="23"/>
      <c r="J142" s="23"/>
      <c r="K142" s="23"/>
      <c r="L142" s="23"/>
      <c r="M142" s="23"/>
      <c r="N142" s="23"/>
    </row>
    <row r="143" spans="1:14" x14ac:dyDescent="0.25">
      <c r="A143" t="s">
        <v>681</v>
      </c>
      <c r="B143" t="s">
        <v>682</v>
      </c>
      <c r="C143" s="23"/>
      <c r="D143" s="23"/>
      <c r="E143" s="23"/>
      <c r="F143" s="23">
        <v>1</v>
      </c>
      <c r="G143" s="23"/>
      <c r="H143" s="23"/>
      <c r="I143" s="23"/>
      <c r="J143" s="23"/>
      <c r="K143" s="23"/>
      <c r="L143" s="23"/>
      <c r="M143" s="23"/>
      <c r="N143" s="23"/>
    </row>
    <row r="144" spans="1:14" x14ac:dyDescent="0.25">
      <c r="A144" t="s">
        <v>320</v>
      </c>
      <c r="B144" t="s">
        <v>321</v>
      </c>
      <c r="C144" s="23"/>
      <c r="D144" s="23"/>
      <c r="E144" s="23"/>
      <c r="F144" s="23"/>
      <c r="G144" s="23"/>
      <c r="H144" s="23"/>
      <c r="I144" s="23"/>
      <c r="J144" s="23">
        <v>0.124</v>
      </c>
      <c r="K144" s="23"/>
      <c r="L144" s="23"/>
      <c r="M144" s="23"/>
      <c r="N144" s="23"/>
    </row>
    <row r="145" spans="1:14" x14ac:dyDescent="0.25">
      <c r="A145" t="s">
        <v>322</v>
      </c>
      <c r="B145" t="s">
        <v>323</v>
      </c>
      <c r="C145" s="23"/>
      <c r="D145" s="23"/>
      <c r="E145" s="23"/>
      <c r="F145" s="23">
        <v>6.35</v>
      </c>
      <c r="G145" s="23"/>
      <c r="H145" s="23"/>
      <c r="I145" s="23"/>
      <c r="J145" s="23"/>
      <c r="K145" s="23"/>
      <c r="L145" s="23"/>
      <c r="M145" s="23"/>
      <c r="N145" s="23"/>
    </row>
    <row r="146" spans="1:14" x14ac:dyDescent="0.25">
      <c r="A146" t="s">
        <v>553</v>
      </c>
      <c r="B146" t="s">
        <v>554</v>
      </c>
      <c r="C146" s="23"/>
      <c r="D146" s="23"/>
      <c r="E146" s="23"/>
      <c r="F146" s="23">
        <v>0.67</v>
      </c>
      <c r="G146" s="23"/>
      <c r="H146" s="23"/>
      <c r="I146" s="23"/>
      <c r="J146" s="23"/>
      <c r="K146" s="23"/>
      <c r="L146" s="23"/>
      <c r="M146" s="23"/>
      <c r="N146" s="23"/>
    </row>
    <row r="147" spans="1:14" x14ac:dyDescent="0.25">
      <c r="A147" t="s">
        <v>325</v>
      </c>
      <c r="B147" t="s">
        <v>326</v>
      </c>
      <c r="C147" s="23"/>
      <c r="D147" s="23"/>
      <c r="E147" s="23"/>
      <c r="F147" s="23"/>
      <c r="G147" s="23"/>
      <c r="H147" s="23"/>
      <c r="I147" s="23">
        <v>0.18</v>
      </c>
      <c r="J147" s="23"/>
      <c r="K147" s="23"/>
      <c r="L147" s="23"/>
      <c r="M147" s="23"/>
      <c r="N147" s="23"/>
    </row>
    <row r="148" spans="1:14" x14ac:dyDescent="0.25">
      <c r="A148" t="s">
        <v>328</v>
      </c>
      <c r="B148" t="s">
        <v>329</v>
      </c>
      <c r="C148" s="23"/>
      <c r="D148" s="23"/>
      <c r="E148" s="23"/>
      <c r="F148" s="23">
        <v>0.1</v>
      </c>
      <c r="G148" s="23"/>
      <c r="H148" s="23"/>
      <c r="I148" s="23"/>
      <c r="J148" s="23"/>
      <c r="K148" s="23"/>
      <c r="L148" s="23"/>
      <c r="M148" s="23"/>
      <c r="N148" s="23"/>
    </row>
    <row r="149" spans="1:14" x14ac:dyDescent="0.25">
      <c r="A149" t="s">
        <v>330</v>
      </c>
      <c r="B149" t="s">
        <v>331</v>
      </c>
      <c r="C149" s="23"/>
      <c r="D149" s="23"/>
      <c r="E149" s="23"/>
      <c r="F149" s="23">
        <v>6</v>
      </c>
      <c r="G149" s="23"/>
      <c r="H149" s="23"/>
      <c r="I149" s="23"/>
      <c r="J149" s="23"/>
      <c r="K149" s="23"/>
      <c r="L149" s="23"/>
      <c r="M149" s="23"/>
      <c r="N149" s="23"/>
    </row>
    <row r="150" spans="1:14" x14ac:dyDescent="0.25">
      <c r="A150" t="s">
        <v>332</v>
      </c>
      <c r="B150" t="s">
        <v>333</v>
      </c>
      <c r="C150" s="23"/>
      <c r="D150" s="23"/>
      <c r="E150" s="23"/>
      <c r="F150" s="23">
        <v>2</v>
      </c>
      <c r="G150" s="23"/>
      <c r="H150" s="23"/>
      <c r="I150" s="23"/>
      <c r="J150" s="23"/>
      <c r="K150" s="23"/>
      <c r="L150" s="23"/>
      <c r="M150" s="23"/>
      <c r="N150" s="23"/>
    </row>
    <row r="151" spans="1:14" x14ac:dyDescent="0.25">
      <c r="A151" t="s">
        <v>334</v>
      </c>
      <c r="B151" t="s">
        <v>335</v>
      </c>
      <c r="C151" s="23"/>
      <c r="D151" s="23"/>
      <c r="E151" s="23"/>
      <c r="F151" s="23">
        <v>1</v>
      </c>
      <c r="G151" s="23"/>
      <c r="H151" s="23"/>
      <c r="I151" s="23"/>
      <c r="J151" s="23"/>
      <c r="K151" s="23"/>
      <c r="L151" s="23"/>
      <c r="M151" s="23"/>
      <c r="N151" s="23"/>
    </row>
    <row r="152" spans="1:14" x14ac:dyDescent="0.25">
      <c r="A152" t="s">
        <v>339</v>
      </c>
      <c r="B152" t="s">
        <v>340</v>
      </c>
      <c r="C152" s="23"/>
      <c r="D152" s="23"/>
      <c r="E152" s="23"/>
      <c r="F152" s="23"/>
      <c r="G152" s="23"/>
      <c r="H152" s="23">
        <v>16.66</v>
      </c>
      <c r="I152" s="23"/>
      <c r="J152" s="23"/>
      <c r="K152" s="23"/>
      <c r="L152" s="23"/>
      <c r="M152" s="23"/>
      <c r="N152" s="23"/>
    </row>
    <row r="153" spans="1:14" x14ac:dyDescent="0.25">
      <c r="A153" t="s">
        <v>341</v>
      </c>
      <c r="B153" t="s">
        <v>342</v>
      </c>
      <c r="C153" s="23"/>
      <c r="D153" s="23"/>
      <c r="E153" s="23"/>
      <c r="F153" s="23">
        <v>2.04</v>
      </c>
      <c r="G153" s="23"/>
      <c r="H153" s="23"/>
      <c r="I153" s="23"/>
      <c r="J153" s="23"/>
      <c r="K153" s="23"/>
      <c r="L153" s="23"/>
      <c r="M153" s="23"/>
      <c r="N153" s="23"/>
    </row>
    <row r="154" spans="1:14" x14ac:dyDescent="0.25">
      <c r="A154" t="s">
        <v>343</v>
      </c>
      <c r="B154" t="s">
        <v>344</v>
      </c>
      <c r="C154" s="23"/>
      <c r="D154" s="23"/>
      <c r="E154" s="23"/>
      <c r="F154" s="23"/>
      <c r="G154" s="23"/>
      <c r="H154" s="23">
        <v>0.1</v>
      </c>
      <c r="I154" s="23"/>
      <c r="J154" s="23"/>
      <c r="K154" s="23"/>
      <c r="L154" s="23"/>
      <c r="M154" s="23"/>
      <c r="N154" s="23"/>
    </row>
    <row r="155" spans="1:14" x14ac:dyDescent="0.25">
      <c r="A155" t="s">
        <v>345</v>
      </c>
      <c r="B155" t="s">
        <v>346</v>
      </c>
      <c r="C155" s="23"/>
      <c r="D155" s="23"/>
      <c r="E155" s="23"/>
      <c r="F155" s="23">
        <v>3</v>
      </c>
      <c r="G155" s="23"/>
      <c r="H155" s="23"/>
      <c r="I155" s="23"/>
      <c r="J155" s="23"/>
      <c r="K155" s="23"/>
      <c r="L155" s="23"/>
      <c r="M155" s="23"/>
      <c r="N155" s="23"/>
    </row>
    <row r="156" spans="1:14" x14ac:dyDescent="0.25">
      <c r="A156" t="s">
        <v>348</v>
      </c>
      <c r="B156" t="s">
        <v>349</v>
      </c>
      <c r="C156" s="23"/>
      <c r="D156" s="23"/>
      <c r="E156" s="23"/>
      <c r="F156" s="23"/>
      <c r="G156" s="23"/>
      <c r="H156" s="23">
        <v>0.1</v>
      </c>
      <c r="I156" s="23"/>
      <c r="J156" s="23"/>
      <c r="K156" s="23"/>
      <c r="L156" s="23"/>
      <c r="M156" s="23"/>
      <c r="N156" s="23"/>
    </row>
    <row r="157" spans="1:14" x14ac:dyDescent="0.25">
      <c r="A157" t="s">
        <v>350</v>
      </c>
      <c r="B157" t="s">
        <v>351</v>
      </c>
      <c r="C157" s="23"/>
      <c r="D157" s="23"/>
      <c r="E157" s="23"/>
      <c r="F157" s="23"/>
      <c r="G157" s="23"/>
      <c r="H157" s="23">
        <v>0.5</v>
      </c>
      <c r="I157" s="23"/>
      <c r="J157" s="23"/>
      <c r="K157" s="23"/>
      <c r="L157" s="23"/>
      <c r="M157" s="23"/>
      <c r="N157" s="23"/>
    </row>
    <row r="158" spans="1:14" x14ac:dyDescent="0.25">
      <c r="A158" t="s">
        <v>356</v>
      </c>
      <c r="B158" t="s">
        <v>357</v>
      </c>
      <c r="C158" s="23"/>
      <c r="D158" s="23"/>
      <c r="E158" s="23"/>
      <c r="F158" s="23">
        <v>16</v>
      </c>
      <c r="G158" s="23"/>
      <c r="H158" s="23"/>
      <c r="I158" s="23"/>
      <c r="J158" s="23"/>
      <c r="K158" s="23"/>
      <c r="L158" s="23"/>
      <c r="M158" s="23"/>
      <c r="N158" s="23"/>
    </row>
    <row r="159" spans="1:14" x14ac:dyDescent="0.25">
      <c r="A159" t="s">
        <v>358</v>
      </c>
      <c r="B159" t="s">
        <v>359</v>
      </c>
      <c r="C159" s="23"/>
      <c r="D159" s="23"/>
      <c r="E159" s="23"/>
      <c r="F159" s="23">
        <v>8</v>
      </c>
      <c r="G159" s="23"/>
      <c r="H159" s="23"/>
      <c r="I159" s="23"/>
      <c r="J159" s="23"/>
      <c r="K159" s="23"/>
      <c r="L159" s="23"/>
      <c r="M159" s="23"/>
      <c r="N159" s="23"/>
    </row>
    <row r="160" spans="1:14" x14ac:dyDescent="0.25">
      <c r="A160" t="s">
        <v>360</v>
      </c>
      <c r="B160" t="s">
        <v>361</v>
      </c>
      <c r="C160" s="23"/>
      <c r="D160" s="23"/>
      <c r="E160" s="23"/>
      <c r="F160" s="23">
        <v>14</v>
      </c>
      <c r="G160" s="23"/>
      <c r="H160" s="23"/>
      <c r="I160" s="23"/>
      <c r="J160" s="23"/>
      <c r="K160" s="23"/>
      <c r="L160" s="23"/>
      <c r="M160" s="23"/>
      <c r="N160" s="23"/>
    </row>
    <row r="161" spans="1:14" x14ac:dyDescent="0.25">
      <c r="A161" t="s">
        <v>366</v>
      </c>
      <c r="B161" t="s">
        <v>367</v>
      </c>
      <c r="C161" s="23"/>
      <c r="D161" s="23"/>
      <c r="E161" s="23"/>
      <c r="F161" s="23">
        <v>18</v>
      </c>
      <c r="G161" s="23"/>
      <c r="H161" s="23"/>
      <c r="I161" s="23"/>
      <c r="J161" s="23"/>
      <c r="K161" s="23"/>
      <c r="L161" s="23"/>
      <c r="M161" s="23"/>
      <c r="N161" s="23"/>
    </row>
    <row r="162" spans="1:14" x14ac:dyDescent="0.25">
      <c r="A162" t="s">
        <v>371</v>
      </c>
      <c r="B162" t="s">
        <v>372</v>
      </c>
      <c r="C162" s="23"/>
      <c r="D162" s="23"/>
      <c r="E162" s="23"/>
      <c r="F162" s="23">
        <v>14</v>
      </c>
      <c r="G162" s="23"/>
      <c r="H162" s="23"/>
      <c r="I162" s="23"/>
      <c r="J162" s="23"/>
      <c r="K162" s="23"/>
      <c r="L162" s="23"/>
      <c r="M162" s="23"/>
      <c r="N162" s="23"/>
    </row>
    <row r="163" spans="1:14" x14ac:dyDescent="0.25">
      <c r="A163" t="s">
        <v>679</v>
      </c>
      <c r="B163" t="s">
        <v>680</v>
      </c>
      <c r="C163" s="23"/>
      <c r="D163" s="23"/>
      <c r="E163" s="23"/>
      <c r="F163" s="23">
        <v>15</v>
      </c>
      <c r="G163" s="23"/>
      <c r="H163" s="23"/>
      <c r="I163" s="23"/>
      <c r="J163" s="23"/>
      <c r="K163" s="23"/>
      <c r="L163" s="23"/>
      <c r="M163" s="23"/>
      <c r="N163" s="23"/>
    </row>
    <row r="164" spans="1:14" x14ac:dyDescent="0.25">
      <c r="A164" t="s">
        <v>377</v>
      </c>
      <c r="B164" t="s">
        <v>378</v>
      </c>
      <c r="C164" s="23"/>
      <c r="D164" s="23"/>
      <c r="E164" s="23"/>
      <c r="F164" s="23"/>
      <c r="G164" s="23"/>
      <c r="H164" s="23"/>
      <c r="I164" s="23">
        <v>3</v>
      </c>
      <c r="J164" s="23"/>
      <c r="K164" s="23"/>
      <c r="L164" s="23"/>
      <c r="M164" s="23"/>
      <c r="N164" s="23"/>
    </row>
    <row r="165" spans="1:14" x14ac:dyDescent="0.25">
      <c r="A165" t="s">
        <v>379</v>
      </c>
      <c r="B165" t="s">
        <v>380</v>
      </c>
      <c r="C165" s="23"/>
      <c r="D165" s="23"/>
      <c r="E165" s="23"/>
      <c r="F165" s="23"/>
      <c r="G165" s="23"/>
      <c r="H165" s="23"/>
      <c r="I165" s="23">
        <v>1</v>
      </c>
      <c r="J165" s="23"/>
      <c r="K165" s="23"/>
      <c r="L165" s="23"/>
      <c r="M165" s="23"/>
      <c r="N165" s="23"/>
    </row>
    <row r="166" spans="1:14" x14ac:dyDescent="0.25">
      <c r="A166" t="s">
        <v>385</v>
      </c>
      <c r="B166" t="s">
        <v>386</v>
      </c>
      <c r="C166" s="23"/>
      <c r="D166" s="23"/>
      <c r="E166" s="23"/>
      <c r="F166" s="23">
        <v>21</v>
      </c>
      <c r="G166" s="23"/>
      <c r="H166" s="23"/>
      <c r="I166" s="23"/>
      <c r="J166" s="23"/>
      <c r="K166" s="23"/>
      <c r="L166" s="23"/>
      <c r="M166" s="23"/>
      <c r="N166" s="23"/>
    </row>
    <row r="167" spans="1:14" x14ac:dyDescent="0.25">
      <c r="A167" t="s">
        <v>527</v>
      </c>
      <c r="B167" t="s">
        <v>528</v>
      </c>
      <c r="C167" s="23"/>
      <c r="D167" s="23"/>
      <c r="E167" s="23"/>
      <c r="F167" s="23">
        <v>1</v>
      </c>
      <c r="G167" s="23"/>
      <c r="H167" s="23"/>
      <c r="I167" s="23"/>
      <c r="J167" s="23"/>
      <c r="K167" s="23"/>
      <c r="L167" s="23"/>
      <c r="M167" s="23"/>
      <c r="N167" s="23"/>
    </row>
    <row r="168" spans="1:14" x14ac:dyDescent="0.25">
      <c r="A168" t="s">
        <v>387</v>
      </c>
      <c r="B168" t="s">
        <v>614</v>
      </c>
      <c r="C168" s="23"/>
      <c r="D168" s="23"/>
      <c r="E168" s="23"/>
      <c r="F168" s="23"/>
      <c r="G168" s="23"/>
      <c r="H168" s="23"/>
      <c r="I168" s="23"/>
      <c r="J168" s="23">
        <v>1</v>
      </c>
      <c r="K168" s="23"/>
      <c r="L168" s="23"/>
      <c r="M168" s="23"/>
      <c r="N168" s="23"/>
    </row>
    <row r="169" spans="1:14" x14ac:dyDescent="0.25">
      <c r="A169" t="s">
        <v>392</v>
      </c>
      <c r="B169" t="s">
        <v>393</v>
      </c>
      <c r="C169" s="23"/>
      <c r="D169" s="23"/>
      <c r="E169" s="23"/>
      <c r="F169" s="23"/>
      <c r="G169" s="23"/>
      <c r="H169" s="23"/>
      <c r="I169" s="23"/>
      <c r="J169" s="23">
        <v>16.240000000000002</v>
      </c>
      <c r="K169" s="23"/>
      <c r="L169" s="23"/>
      <c r="M169" s="23"/>
      <c r="N169" s="23"/>
    </row>
    <row r="170" spans="1:14" x14ac:dyDescent="0.25">
      <c r="A170" t="s">
        <v>395</v>
      </c>
      <c r="B170" t="s">
        <v>396</v>
      </c>
      <c r="C170" s="23"/>
      <c r="D170" s="23"/>
      <c r="E170" s="23"/>
      <c r="F170" s="23"/>
      <c r="G170" s="23"/>
      <c r="H170" s="23">
        <v>1</v>
      </c>
      <c r="I170" s="23"/>
      <c r="J170" s="23"/>
      <c r="K170" s="23"/>
      <c r="L170" s="23"/>
      <c r="M170" s="23"/>
      <c r="N170" s="23"/>
    </row>
    <row r="171" spans="1:14" x14ac:dyDescent="0.25">
      <c r="A171" t="s">
        <v>894</v>
      </c>
      <c r="B171" t="s">
        <v>895</v>
      </c>
      <c r="C171" s="23"/>
      <c r="D171" s="23"/>
      <c r="E171" s="23"/>
      <c r="F171" s="23"/>
      <c r="G171" s="23"/>
      <c r="H171" s="23">
        <v>0.05</v>
      </c>
      <c r="I171" s="23"/>
      <c r="J171" s="23"/>
      <c r="K171" s="23"/>
      <c r="L171" s="23"/>
      <c r="M171" s="23"/>
      <c r="N171" s="23"/>
    </row>
    <row r="172" spans="1:14" x14ac:dyDescent="0.25">
      <c r="A172" t="s">
        <v>405</v>
      </c>
      <c r="B172" t="s">
        <v>406</v>
      </c>
      <c r="C172" s="23"/>
      <c r="D172" s="23"/>
      <c r="E172" s="23">
        <v>5</v>
      </c>
      <c r="F172" s="23"/>
      <c r="G172" s="23"/>
      <c r="H172" s="23"/>
      <c r="I172" s="23"/>
      <c r="J172" s="23"/>
      <c r="K172" s="23"/>
      <c r="L172" s="23"/>
      <c r="M172" s="23"/>
      <c r="N172" s="23"/>
    </row>
    <row r="173" spans="1:14" x14ac:dyDescent="0.25">
      <c r="A173" t="s">
        <v>407</v>
      </c>
      <c r="B173" t="s">
        <v>408</v>
      </c>
      <c r="C173" s="23"/>
      <c r="D173" s="23"/>
      <c r="E173" s="23">
        <v>1</v>
      </c>
      <c r="F173" s="23"/>
      <c r="G173" s="23"/>
      <c r="H173" s="23"/>
      <c r="I173" s="23"/>
      <c r="J173" s="23"/>
      <c r="K173" s="23"/>
      <c r="L173" s="23"/>
      <c r="M173" s="23"/>
      <c r="N173" s="23"/>
    </row>
    <row r="174" spans="1:14" x14ac:dyDescent="0.25">
      <c r="A174" t="s">
        <v>409</v>
      </c>
      <c r="B174" t="s">
        <v>410</v>
      </c>
      <c r="C174" s="23"/>
      <c r="D174" s="23"/>
      <c r="E174" s="23">
        <v>26</v>
      </c>
      <c r="F174" s="23"/>
      <c r="G174" s="23"/>
      <c r="H174" s="23"/>
      <c r="I174" s="23"/>
      <c r="J174" s="23"/>
      <c r="K174" s="23"/>
      <c r="L174" s="23"/>
      <c r="M174" s="23"/>
      <c r="N174" s="23"/>
    </row>
    <row r="175" spans="1:14" x14ac:dyDescent="0.25">
      <c r="A175" t="s">
        <v>411</v>
      </c>
      <c r="B175" t="s">
        <v>412</v>
      </c>
      <c r="C175" s="23"/>
      <c r="D175" s="23"/>
      <c r="E175" s="23"/>
      <c r="F175" s="23">
        <v>0.01</v>
      </c>
      <c r="G175" s="23"/>
      <c r="H175" s="23"/>
      <c r="I175" s="23"/>
      <c r="J175" s="23"/>
      <c r="K175" s="23"/>
      <c r="L175" s="23"/>
      <c r="M175" s="23"/>
      <c r="N175" s="23"/>
    </row>
    <row r="176" spans="1:14" x14ac:dyDescent="0.25">
      <c r="A176" t="s">
        <v>414</v>
      </c>
      <c r="B176" t="s">
        <v>665</v>
      </c>
      <c r="C176" s="23"/>
      <c r="D176" s="23"/>
      <c r="E176" s="23">
        <v>0.2</v>
      </c>
      <c r="F176" s="23"/>
      <c r="G176" s="23"/>
      <c r="H176" s="23"/>
      <c r="I176" s="23"/>
      <c r="J176" s="23"/>
      <c r="K176" s="23"/>
      <c r="L176" s="23"/>
      <c r="M176" s="23"/>
      <c r="N176" s="23"/>
    </row>
    <row r="177" spans="1:14" x14ac:dyDescent="0.25">
      <c r="A177" t="s">
        <v>415</v>
      </c>
      <c r="B177" t="s">
        <v>416</v>
      </c>
      <c r="C177" s="23"/>
      <c r="D177" s="23"/>
      <c r="E177" s="23">
        <v>0.1</v>
      </c>
      <c r="F177" s="23"/>
      <c r="G177" s="23"/>
      <c r="H177" s="23"/>
      <c r="I177" s="23"/>
      <c r="J177" s="23"/>
      <c r="K177" s="23"/>
      <c r="L177" s="23"/>
      <c r="M177" s="23"/>
      <c r="N177" s="23"/>
    </row>
    <row r="178" spans="1:14" x14ac:dyDescent="0.25">
      <c r="A178" t="s">
        <v>421</v>
      </c>
      <c r="B178" t="s">
        <v>422</v>
      </c>
      <c r="C178" s="23"/>
      <c r="D178" s="23">
        <v>1</v>
      </c>
      <c r="E178" s="23"/>
      <c r="F178" s="23"/>
      <c r="G178" s="23"/>
      <c r="H178" s="23"/>
      <c r="I178" s="23"/>
      <c r="J178" s="23"/>
      <c r="K178" s="23"/>
      <c r="L178" s="23"/>
      <c r="M178" s="23"/>
      <c r="N178" s="23"/>
    </row>
    <row r="179" spans="1:14" x14ac:dyDescent="0.25">
      <c r="A179" t="s">
        <v>427</v>
      </c>
      <c r="B179" t="s">
        <v>428</v>
      </c>
      <c r="C179" s="23"/>
      <c r="D179" s="23"/>
      <c r="E179" s="23">
        <v>1</v>
      </c>
      <c r="F179" s="23"/>
      <c r="G179" s="23"/>
      <c r="H179" s="23"/>
      <c r="I179" s="23"/>
      <c r="J179" s="23"/>
      <c r="K179" s="23"/>
      <c r="L179" s="23"/>
      <c r="M179" s="23"/>
      <c r="N179" s="23"/>
    </row>
    <row r="180" spans="1:14" x14ac:dyDescent="0.25">
      <c r="A180" t="s">
        <v>430</v>
      </c>
      <c r="B180" t="s">
        <v>431</v>
      </c>
      <c r="C180" s="23"/>
      <c r="D180" s="23"/>
      <c r="E180" s="23"/>
      <c r="F180" s="23"/>
      <c r="G180" s="23"/>
      <c r="H180" s="23"/>
      <c r="I180" s="23">
        <v>1</v>
      </c>
      <c r="J180" s="23"/>
      <c r="K180" s="23"/>
      <c r="L180" s="23"/>
      <c r="M180" s="23"/>
      <c r="N180" s="23"/>
    </row>
    <row r="181" spans="1:14" x14ac:dyDescent="0.25">
      <c r="A181" t="s">
        <v>432</v>
      </c>
      <c r="B181" t="s">
        <v>433</v>
      </c>
      <c r="C181" s="23"/>
      <c r="D181" s="23"/>
      <c r="E181" s="23"/>
      <c r="F181" s="23"/>
      <c r="G181" s="23"/>
      <c r="H181" s="23"/>
      <c r="I181" s="23">
        <v>1</v>
      </c>
      <c r="J181" s="23"/>
      <c r="K181" s="23"/>
      <c r="L181" s="23"/>
      <c r="M181" s="23"/>
      <c r="N181" s="23"/>
    </row>
    <row r="182" spans="1:14" x14ac:dyDescent="0.25">
      <c r="A182" t="s">
        <v>434</v>
      </c>
      <c r="B182" t="s">
        <v>435</v>
      </c>
      <c r="C182" s="23"/>
      <c r="D182" s="23"/>
      <c r="E182" s="23"/>
      <c r="F182" s="23"/>
      <c r="G182" s="23"/>
      <c r="H182" s="23"/>
      <c r="I182" s="23">
        <v>1</v>
      </c>
      <c r="J182" s="23"/>
      <c r="K182" s="23"/>
      <c r="L182" s="23"/>
      <c r="M182" s="23"/>
      <c r="N182" s="23"/>
    </row>
    <row r="183" spans="1:14" x14ac:dyDescent="0.25">
      <c r="A183" t="s">
        <v>436</v>
      </c>
      <c r="B183" t="s">
        <v>437</v>
      </c>
      <c r="C183" s="23"/>
      <c r="D183" s="23"/>
      <c r="E183" s="23"/>
      <c r="F183" s="23"/>
      <c r="G183" s="23"/>
      <c r="H183" s="23"/>
      <c r="I183" s="23">
        <v>1</v>
      </c>
      <c r="J183" s="23"/>
      <c r="K183" s="23"/>
      <c r="L183" s="23"/>
      <c r="M183" s="23"/>
      <c r="N183" s="23"/>
    </row>
    <row r="184" spans="1:14" x14ac:dyDescent="0.25">
      <c r="A184" t="s">
        <v>438</v>
      </c>
      <c r="B184" t="s">
        <v>439</v>
      </c>
      <c r="C184" s="23"/>
      <c r="D184" s="23"/>
      <c r="E184" s="23"/>
      <c r="F184" s="23"/>
      <c r="G184" s="23"/>
      <c r="H184" s="23"/>
      <c r="I184" s="23">
        <v>1</v>
      </c>
      <c r="J184" s="23"/>
      <c r="K184" s="23"/>
      <c r="L184" s="23"/>
      <c r="M184" s="23"/>
      <c r="N184" s="23"/>
    </row>
    <row r="185" spans="1:14" x14ac:dyDescent="0.25">
      <c r="A185" t="s">
        <v>440</v>
      </c>
      <c r="B185" t="s">
        <v>441</v>
      </c>
      <c r="C185" s="23"/>
      <c r="D185" s="23"/>
      <c r="E185" s="23"/>
      <c r="F185" s="23"/>
      <c r="G185" s="23"/>
      <c r="H185" s="23"/>
      <c r="I185" s="23">
        <v>1</v>
      </c>
      <c r="J185" s="23"/>
      <c r="K185" s="23"/>
      <c r="L185" s="23"/>
      <c r="M185" s="23"/>
      <c r="N185" s="23"/>
    </row>
    <row r="186" spans="1:14" x14ac:dyDescent="0.25">
      <c r="A186" t="s">
        <v>442</v>
      </c>
      <c r="B186" t="s">
        <v>443</v>
      </c>
      <c r="C186" s="23"/>
      <c r="D186" s="23"/>
      <c r="E186" s="23"/>
      <c r="F186" s="23"/>
      <c r="G186" s="23"/>
      <c r="H186" s="23"/>
      <c r="I186" s="23">
        <v>1</v>
      </c>
      <c r="J186" s="23"/>
      <c r="K186" s="23"/>
      <c r="L186" s="23"/>
      <c r="M186" s="23"/>
      <c r="N186" s="23"/>
    </row>
    <row r="187" spans="1:14" x14ac:dyDescent="0.25">
      <c r="A187" t="s">
        <v>444</v>
      </c>
      <c r="B187" t="s">
        <v>445</v>
      </c>
      <c r="C187" s="23"/>
      <c r="D187" s="23"/>
      <c r="E187" s="23"/>
      <c r="F187" s="23"/>
      <c r="G187" s="23"/>
      <c r="H187" s="23"/>
      <c r="I187" s="23">
        <v>1</v>
      </c>
      <c r="J187" s="23"/>
      <c r="K187" s="23"/>
      <c r="L187" s="23"/>
      <c r="M187" s="23"/>
      <c r="N187" s="23"/>
    </row>
    <row r="188" spans="1:14" x14ac:dyDescent="0.25">
      <c r="A188" t="s">
        <v>446</v>
      </c>
      <c r="B188" t="s">
        <v>630</v>
      </c>
      <c r="C188" s="23"/>
      <c r="D188" s="23"/>
      <c r="E188" s="23"/>
      <c r="F188" s="23">
        <v>2</v>
      </c>
      <c r="G188" s="23"/>
      <c r="H188" s="23"/>
      <c r="I188" s="23"/>
      <c r="J188" s="23"/>
      <c r="K188" s="23"/>
      <c r="L188" s="23"/>
      <c r="M188" s="23"/>
      <c r="N188" s="23"/>
    </row>
    <row r="189" spans="1:14" x14ac:dyDescent="0.25">
      <c r="A189" t="s">
        <v>447</v>
      </c>
      <c r="B189" t="s">
        <v>448</v>
      </c>
      <c r="C189" s="23"/>
      <c r="D189" s="23"/>
      <c r="E189" s="23"/>
      <c r="F189" s="23">
        <v>1</v>
      </c>
      <c r="G189" s="23"/>
      <c r="H189" s="23"/>
      <c r="I189" s="23"/>
      <c r="J189" s="23"/>
      <c r="K189" s="23"/>
      <c r="L189" s="23"/>
      <c r="M189" s="23"/>
      <c r="N189" s="23"/>
    </row>
    <row r="190" spans="1:14" x14ac:dyDescent="0.25">
      <c r="A190" t="s">
        <v>449</v>
      </c>
      <c r="B190" t="s">
        <v>450</v>
      </c>
      <c r="C190" s="23"/>
      <c r="D190" s="23"/>
      <c r="E190" s="23">
        <v>2</v>
      </c>
      <c r="F190" s="23"/>
      <c r="G190" s="23"/>
      <c r="H190" s="23"/>
      <c r="I190" s="23"/>
      <c r="J190" s="23"/>
      <c r="K190" s="23"/>
      <c r="L190" s="23"/>
      <c r="M190" s="23"/>
      <c r="N190" s="23"/>
    </row>
    <row r="191" spans="1:14" x14ac:dyDescent="0.25">
      <c r="A191" t="s">
        <v>451</v>
      </c>
      <c r="B191" t="s">
        <v>625</v>
      </c>
      <c r="C191" s="23"/>
      <c r="D191" s="23"/>
      <c r="E191" s="23"/>
      <c r="F191" s="23"/>
      <c r="G191" s="23"/>
      <c r="H191" s="23"/>
      <c r="I191" s="23">
        <v>2</v>
      </c>
      <c r="J191" s="23"/>
      <c r="K191" s="23"/>
      <c r="L191" s="23"/>
      <c r="M191" s="23"/>
      <c r="N191" s="23"/>
    </row>
    <row r="192" spans="1:14" x14ac:dyDescent="0.25">
      <c r="A192" t="s">
        <v>452</v>
      </c>
      <c r="B192" t="s">
        <v>453</v>
      </c>
      <c r="C192" s="23"/>
      <c r="D192" s="23"/>
      <c r="E192" s="23"/>
      <c r="F192" s="23"/>
      <c r="G192" s="23"/>
      <c r="H192" s="23"/>
      <c r="I192" s="23">
        <v>1</v>
      </c>
      <c r="J192" s="23"/>
      <c r="K192" s="23"/>
      <c r="L192" s="23"/>
      <c r="M192" s="23"/>
      <c r="N192" s="23"/>
    </row>
    <row r="193" spans="1:14" x14ac:dyDescent="0.25">
      <c r="A193" t="s">
        <v>457</v>
      </c>
      <c r="B193" t="s">
        <v>458</v>
      </c>
      <c r="C193" s="23"/>
      <c r="D193" s="23"/>
      <c r="E193" s="23"/>
      <c r="F193" s="23">
        <v>70</v>
      </c>
      <c r="G193" s="23"/>
      <c r="H193" s="23"/>
      <c r="I193" s="23"/>
      <c r="J193" s="23"/>
      <c r="K193" s="23"/>
      <c r="L193" s="23"/>
      <c r="M193" s="23"/>
      <c r="N193" s="23"/>
    </row>
    <row r="194" spans="1:14" x14ac:dyDescent="0.25">
      <c r="A194" t="s">
        <v>459</v>
      </c>
      <c r="B194" t="s">
        <v>460</v>
      </c>
      <c r="C194" s="23"/>
      <c r="D194" s="23"/>
      <c r="E194" s="23"/>
      <c r="F194" s="23"/>
      <c r="G194" s="23"/>
      <c r="H194" s="23">
        <v>0.12000000000000001</v>
      </c>
      <c r="I194" s="23"/>
      <c r="J194" s="23"/>
      <c r="K194" s="23"/>
      <c r="L194" s="23"/>
      <c r="M194" s="23"/>
      <c r="N194" s="23"/>
    </row>
    <row r="195" spans="1:14" x14ac:dyDescent="0.25">
      <c r="A195" t="s">
        <v>461</v>
      </c>
      <c r="B195" t="s">
        <v>462</v>
      </c>
      <c r="C195" s="23"/>
      <c r="D195" s="23"/>
      <c r="E195" s="23"/>
      <c r="F195" s="23">
        <v>1.5</v>
      </c>
      <c r="G195" s="23"/>
      <c r="H195" s="23"/>
      <c r="I195" s="23"/>
      <c r="J195" s="23"/>
      <c r="K195" s="23"/>
      <c r="L195" s="23"/>
      <c r="M195" s="23"/>
      <c r="N195" s="23"/>
    </row>
    <row r="196" spans="1:14" x14ac:dyDescent="0.25">
      <c r="A196" t="s">
        <v>463</v>
      </c>
      <c r="B196" t="s">
        <v>464</v>
      </c>
      <c r="C196" s="23"/>
      <c r="D196" s="23"/>
      <c r="E196" s="23"/>
      <c r="F196" s="23"/>
      <c r="G196" s="23"/>
      <c r="H196" s="23">
        <v>1.05</v>
      </c>
      <c r="I196" s="23"/>
      <c r="J196" s="23"/>
      <c r="K196" s="23"/>
      <c r="L196" s="23"/>
      <c r="M196" s="23"/>
      <c r="N196" s="23"/>
    </row>
    <row r="197" spans="1:14" x14ac:dyDescent="0.25">
      <c r="A197" t="s">
        <v>899</v>
      </c>
      <c r="B197" t="s">
        <v>900</v>
      </c>
      <c r="C197" s="23"/>
      <c r="D197" s="23"/>
      <c r="E197" s="23"/>
      <c r="F197" s="23"/>
      <c r="G197" s="23"/>
      <c r="H197" s="23">
        <v>0.5</v>
      </c>
      <c r="I197" s="23"/>
      <c r="J197" s="23"/>
      <c r="K197" s="23"/>
      <c r="L197" s="23"/>
      <c r="M197" s="23"/>
      <c r="N197" s="23"/>
    </row>
    <row r="198" spans="1:14" x14ac:dyDescent="0.25">
      <c r="A198" t="s">
        <v>467</v>
      </c>
      <c r="B198" t="s">
        <v>468</v>
      </c>
      <c r="C198" s="23"/>
      <c r="D198" s="23"/>
      <c r="E198" s="23"/>
      <c r="F198" s="23">
        <v>80</v>
      </c>
      <c r="G198" s="23"/>
      <c r="H198" s="23"/>
      <c r="I198" s="23"/>
      <c r="J198" s="23"/>
      <c r="K198" s="23"/>
      <c r="L198" s="23"/>
      <c r="M198" s="23"/>
      <c r="N198" s="23"/>
    </row>
    <row r="199" spans="1:14" x14ac:dyDescent="0.25">
      <c r="A199" t="s">
        <v>469</v>
      </c>
      <c r="B199" t="s">
        <v>580</v>
      </c>
      <c r="C199" s="23"/>
      <c r="D199" s="23"/>
      <c r="E199" s="23"/>
      <c r="F199" s="23"/>
      <c r="G199" s="23"/>
      <c r="H199" s="23">
        <v>2</v>
      </c>
      <c r="I199" s="23"/>
      <c r="J199" s="23"/>
      <c r="K199" s="23"/>
      <c r="L199" s="23"/>
      <c r="M199" s="23"/>
      <c r="N199" s="23"/>
    </row>
    <row r="200" spans="1:14" x14ac:dyDescent="0.25">
      <c r="A200" t="s">
        <v>676</v>
      </c>
      <c r="B200" t="s">
        <v>677</v>
      </c>
      <c r="C200" s="23"/>
      <c r="D200" s="23"/>
      <c r="E200" s="23"/>
      <c r="F200" s="23">
        <v>2</v>
      </c>
      <c r="G200" s="23"/>
      <c r="H200" s="23"/>
      <c r="I200" s="23"/>
      <c r="J200" s="23"/>
      <c r="K200" s="23"/>
      <c r="L200" s="23"/>
      <c r="M200" s="23"/>
      <c r="N200" s="23"/>
    </row>
    <row r="201" spans="1:14" x14ac:dyDescent="0.25">
      <c r="A201" t="s">
        <v>472</v>
      </c>
      <c r="B201" t="s">
        <v>473</v>
      </c>
      <c r="C201" s="23"/>
      <c r="D201" s="23"/>
      <c r="E201" s="23"/>
      <c r="F201" s="23">
        <v>16</v>
      </c>
      <c r="G201" s="23"/>
      <c r="H201" s="23"/>
      <c r="I201" s="23"/>
      <c r="J201" s="23"/>
      <c r="K201" s="23"/>
      <c r="L201" s="23"/>
      <c r="M201" s="23"/>
      <c r="N201" s="23"/>
    </row>
    <row r="202" spans="1:14" x14ac:dyDescent="0.25">
      <c r="A202" t="s">
        <v>474</v>
      </c>
      <c r="B202" t="s">
        <v>475</v>
      </c>
      <c r="C202" s="23"/>
      <c r="D202" s="23"/>
      <c r="E202" s="23"/>
      <c r="F202" s="23">
        <v>52</v>
      </c>
      <c r="G202" s="23"/>
      <c r="H202" s="23"/>
      <c r="I202" s="23"/>
      <c r="J202" s="23"/>
      <c r="K202" s="23"/>
      <c r="L202" s="23"/>
      <c r="M202" s="23"/>
      <c r="N202" s="23"/>
    </row>
    <row r="203" spans="1:14" x14ac:dyDescent="0.25">
      <c r="A203" t="s">
        <v>476</v>
      </c>
      <c r="B203" t="s">
        <v>477</v>
      </c>
      <c r="C203" s="23"/>
      <c r="D203" s="23"/>
      <c r="E203" s="23"/>
      <c r="F203" s="23">
        <v>1</v>
      </c>
      <c r="G203" s="23"/>
      <c r="H203" s="23"/>
      <c r="I203" s="23"/>
      <c r="J203" s="23"/>
      <c r="K203" s="23"/>
      <c r="L203" s="23"/>
      <c r="M203" s="23"/>
      <c r="N203" s="23"/>
    </row>
    <row r="204" spans="1:14" x14ac:dyDescent="0.25">
      <c r="A204" t="s">
        <v>478</v>
      </c>
      <c r="B204" t="s">
        <v>565</v>
      </c>
      <c r="C204" s="23"/>
      <c r="D204" s="23"/>
      <c r="E204" s="23"/>
      <c r="F204" s="23">
        <v>0.5</v>
      </c>
      <c r="G204" s="23"/>
      <c r="H204" s="23"/>
      <c r="I204" s="23"/>
      <c r="J204" s="23"/>
      <c r="K204" s="23"/>
      <c r="L204" s="23"/>
      <c r="M204" s="23"/>
      <c r="N204" s="23"/>
    </row>
    <row r="205" spans="1:14" x14ac:dyDescent="0.25">
      <c r="A205" t="s">
        <v>479</v>
      </c>
      <c r="B205" t="s">
        <v>480</v>
      </c>
      <c r="C205" s="23"/>
      <c r="D205" s="23"/>
      <c r="E205" s="23"/>
      <c r="F205" s="23">
        <v>50</v>
      </c>
      <c r="G205" s="23"/>
      <c r="H205" s="23"/>
      <c r="I205" s="23"/>
      <c r="J205" s="23"/>
      <c r="K205" s="23"/>
      <c r="L205" s="23"/>
      <c r="M205" s="23"/>
      <c r="N205" s="23"/>
    </row>
    <row r="206" spans="1:14" x14ac:dyDescent="0.25">
      <c r="A206" t="s">
        <v>481</v>
      </c>
      <c r="B206" t="s">
        <v>482</v>
      </c>
      <c r="C206" s="23"/>
      <c r="D206" s="23"/>
      <c r="E206" s="23"/>
      <c r="F206" s="23">
        <v>35</v>
      </c>
      <c r="G206" s="23"/>
      <c r="H206" s="23"/>
      <c r="I206" s="23"/>
      <c r="J206" s="23"/>
      <c r="K206" s="23"/>
      <c r="L206" s="23"/>
      <c r="M206" s="23"/>
      <c r="N206" s="23"/>
    </row>
    <row r="207" spans="1:14" x14ac:dyDescent="0.25">
      <c r="A207" t="s">
        <v>487</v>
      </c>
      <c r="B207" t="s">
        <v>488</v>
      </c>
      <c r="C207" s="23"/>
      <c r="D207" s="23"/>
      <c r="E207" s="23"/>
      <c r="F207" s="23"/>
      <c r="G207" s="23"/>
      <c r="H207" s="23"/>
      <c r="I207" s="23"/>
      <c r="J207" s="23"/>
      <c r="K207" s="23">
        <v>2</v>
      </c>
      <c r="L207" s="23"/>
      <c r="M207" s="23"/>
      <c r="N207" s="23"/>
    </row>
    <row r="208" spans="1:14" x14ac:dyDescent="0.25">
      <c r="A208" t="s">
        <v>489</v>
      </c>
      <c r="B208" t="s">
        <v>490</v>
      </c>
      <c r="C208" s="23"/>
      <c r="D208" s="23"/>
      <c r="E208" s="23"/>
      <c r="F208" s="23"/>
      <c r="G208" s="23"/>
      <c r="H208" s="23"/>
      <c r="I208" s="23"/>
      <c r="J208" s="23"/>
      <c r="K208" s="23">
        <v>2</v>
      </c>
      <c r="L208" s="23"/>
      <c r="M208" s="23"/>
      <c r="N208" s="23"/>
    </row>
    <row r="209" spans="1:14" x14ac:dyDescent="0.25">
      <c r="A209" t="s">
        <v>492</v>
      </c>
      <c r="B209" t="s">
        <v>493</v>
      </c>
      <c r="C209" s="23"/>
      <c r="D209" s="23">
        <v>14</v>
      </c>
      <c r="E209" s="23"/>
      <c r="F209" s="23"/>
      <c r="G209" s="23"/>
      <c r="H209" s="23"/>
      <c r="I209" s="23"/>
      <c r="J209" s="23"/>
      <c r="K209" s="23"/>
      <c r="L209" s="23"/>
      <c r="M209" s="23"/>
      <c r="N209" s="23"/>
    </row>
    <row r="210" spans="1:14" x14ac:dyDescent="0.25">
      <c r="A210" t="s">
        <v>494</v>
      </c>
      <c r="B210" t="s">
        <v>495</v>
      </c>
      <c r="C210" s="23"/>
      <c r="D210" s="23">
        <v>22</v>
      </c>
      <c r="E210" s="23"/>
      <c r="F210" s="23"/>
      <c r="G210" s="23"/>
      <c r="H210" s="23"/>
      <c r="I210" s="23"/>
      <c r="J210" s="23"/>
      <c r="K210" s="23"/>
      <c r="L210" s="23"/>
      <c r="M210" s="23"/>
      <c r="N210" s="23"/>
    </row>
    <row r="211" spans="1:14" x14ac:dyDescent="0.25">
      <c r="A211" t="s">
        <v>497</v>
      </c>
      <c r="B211" t="s">
        <v>498</v>
      </c>
      <c r="C211" s="23">
        <v>1</v>
      </c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</row>
    <row r="212" spans="1:14" x14ac:dyDescent="0.25">
      <c r="A212" t="s">
        <v>499</v>
      </c>
      <c r="B212" t="s">
        <v>500</v>
      </c>
      <c r="C212" s="23">
        <v>1</v>
      </c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</row>
    <row r="213" spans="1:14" x14ac:dyDescent="0.25">
      <c r="A213" t="s">
        <v>839</v>
      </c>
      <c r="B213" t="s">
        <v>840</v>
      </c>
      <c r="C213" s="23"/>
      <c r="D213" s="23"/>
      <c r="E213" s="23">
        <v>0.2</v>
      </c>
      <c r="F213" s="23"/>
      <c r="G213" s="23"/>
      <c r="H213" s="23"/>
      <c r="I213" s="23"/>
      <c r="J213" s="23"/>
      <c r="K213" s="23"/>
      <c r="L213" s="23"/>
      <c r="M213" s="23"/>
      <c r="N213" s="23"/>
    </row>
    <row r="214" spans="1:14" x14ac:dyDescent="0.25">
      <c r="A214" t="s">
        <v>501</v>
      </c>
      <c r="B214" t="s">
        <v>502</v>
      </c>
      <c r="C214" s="23"/>
      <c r="D214" s="23"/>
      <c r="E214" s="23">
        <v>1.5</v>
      </c>
      <c r="F214" s="23"/>
      <c r="G214" s="23"/>
      <c r="H214" s="23"/>
      <c r="I214" s="23"/>
      <c r="J214" s="23"/>
      <c r="K214" s="23"/>
      <c r="L214" s="23"/>
      <c r="M214" s="23"/>
      <c r="N214" s="23"/>
    </row>
    <row r="215" spans="1:14" x14ac:dyDescent="0.25">
      <c r="A215" t="s">
        <v>503</v>
      </c>
      <c r="B215" t="s">
        <v>504</v>
      </c>
      <c r="C215" s="23"/>
      <c r="D215" s="23"/>
      <c r="E215" s="23">
        <v>2</v>
      </c>
      <c r="F215" s="23"/>
      <c r="G215" s="23"/>
      <c r="H215" s="23"/>
      <c r="I215" s="23"/>
      <c r="J215" s="23"/>
      <c r="K215" s="23"/>
      <c r="L215" s="23"/>
      <c r="M215" s="23"/>
      <c r="N215" s="23"/>
    </row>
    <row r="216" spans="1:14" x14ac:dyDescent="0.25">
      <c r="A216" t="s">
        <v>506</v>
      </c>
      <c r="B216" t="s">
        <v>507</v>
      </c>
      <c r="C216" s="23"/>
      <c r="D216" s="23"/>
      <c r="E216" s="23">
        <v>1</v>
      </c>
      <c r="F216" s="23"/>
      <c r="G216" s="23"/>
      <c r="H216" s="23"/>
      <c r="I216" s="23"/>
      <c r="J216" s="23"/>
      <c r="K216" s="23"/>
      <c r="L216" s="23"/>
      <c r="M216" s="23"/>
      <c r="N216" s="23"/>
    </row>
    <row r="217" spans="1:14" x14ac:dyDescent="0.25">
      <c r="A217" t="s">
        <v>1131</v>
      </c>
      <c r="B217" t="s">
        <v>1132</v>
      </c>
      <c r="C217" s="23"/>
      <c r="D217" s="23"/>
      <c r="E217" s="23">
        <v>1</v>
      </c>
      <c r="F217" s="23"/>
      <c r="G217" s="23"/>
      <c r="H217" s="23"/>
      <c r="I217" s="23"/>
      <c r="J217" s="23"/>
      <c r="K217" s="23"/>
      <c r="L217" s="23"/>
      <c r="M217" s="23"/>
      <c r="N217" s="23"/>
    </row>
    <row r="218" spans="1:14" x14ac:dyDescent="0.25">
      <c r="A218" t="s">
        <v>509</v>
      </c>
      <c r="B218" t="s">
        <v>510</v>
      </c>
      <c r="C218" s="23"/>
      <c r="D218" s="23"/>
      <c r="E218" s="23">
        <v>1</v>
      </c>
      <c r="F218" s="23"/>
      <c r="G218" s="23"/>
      <c r="H218" s="23"/>
      <c r="I218" s="23"/>
      <c r="J218" s="23"/>
      <c r="K218" s="23"/>
      <c r="L218" s="23"/>
      <c r="M218" s="23"/>
      <c r="N218" s="23"/>
    </row>
    <row r="219" spans="1:14" x14ac:dyDescent="0.25">
      <c r="A219" t="s">
        <v>511</v>
      </c>
      <c r="B219" t="s">
        <v>512</v>
      </c>
      <c r="C219" s="23"/>
      <c r="D219" s="23"/>
      <c r="E219" s="23">
        <v>2</v>
      </c>
      <c r="F219" s="23"/>
      <c r="G219" s="23"/>
      <c r="H219" s="23"/>
      <c r="I219" s="23"/>
      <c r="J219" s="23"/>
      <c r="K219" s="23"/>
      <c r="L219" s="23"/>
      <c r="M219" s="23"/>
      <c r="N219" s="23"/>
    </row>
    <row r="220" spans="1:14" x14ac:dyDescent="0.25">
      <c r="A220" t="s">
        <v>513</v>
      </c>
      <c r="B220" t="s">
        <v>514</v>
      </c>
      <c r="C220" s="23"/>
      <c r="D220" s="23"/>
      <c r="E220" s="23">
        <v>2</v>
      </c>
      <c r="F220" s="23"/>
      <c r="G220" s="23"/>
      <c r="H220" s="23"/>
      <c r="I220" s="23"/>
      <c r="J220" s="23"/>
      <c r="K220" s="23"/>
      <c r="L220" s="23"/>
      <c r="M220" s="23"/>
      <c r="N220" s="23"/>
    </row>
    <row r="221" spans="1:14" x14ac:dyDescent="0.25">
      <c r="A221" t="s">
        <v>515</v>
      </c>
      <c r="B221" t="s">
        <v>516</v>
      </c>
      <c r="C221" s="23"/>
      <c r="D221" s="23"/>
      <c r="E221" s="23"/>
      <c r="F221" s="23">
        <v>0.7</v>
      </c>
      <c r="G221" s="23"/>
      <c r="H221" s="23"/>
      <c r="I221" s="23"/>
      <c r="J221" s="23"/>
      <c r="K221" s="23"/>
      <c r="L221" s="23"/>
      <c r="M221" s="23"/>
      <c r="N221" s="23"/>
    </row>
    <row r="222" spans="1:14" x14ac:dyDescent="0.25">
      <c r="A222" t="s">
        <v>517</v>
      </c>
      <c r="B222" t="s">
        <v>518</v>
      </c>
      <c r="C222" s="23"/>
      <c r="D222" s="23"/>
      <c r="E222" s="23"/>
      <c r="F222" s="23">
        <v>2</v>
      </c>
      <c r="G222" s="23"/>
      <c r="H222" s="23"/>
      <c r="I222" s="23"/>
      <c r="J222" s="23"/>
      <c r="K222" s="23"/>
      <c r="L222" s="23"/>
      <c r="M222" s="23"/>
      <c r="N222" s="23"/>
    </row>
    <row r="223" spans="1:14" x14ac:dyDescent="0.25">
      <c r="A223" t="s">
        <v>519</v>
      </c>
      <c r="B223" t="s">
        <v>520</v>
      </c>
      <c r="C223" s="23"/>
      <c r="D223" s="23"/>
      <c r="E223" s="23"/>
      <c r="F223" s="23">
        <v>3.17</v>
      </c>
      <c r="G223" s="23"/>
      <c r="H223" s="23"/>
      <c r="I223" s="23"/>
      <c r="J223" s="23"/>
      <c r="K223" s="23"/>
      <c r="L223" s="23"/>
      <c r="M223" s="23"/>
      <c r="N223" s="23"/>
    </row>
    <row r="224" spans="1:14" x14ac:dyDescent="0.25">
      <c r="A224" t="s">
        <v>525</v>
      </c>
      <c r="B224" t="s">
        <v>526</v>
      </c>
      <c r="C224" s="23"/>
      <c r="D224" s="23"/>
      <c r="E224" s="23"/>
      <c r="F224" s="23">
        <v>7</v>
      </c>
      <c r="G224" s="23"/>
      <c r="H224" s="23"/>
      <c r="I224" s="23"/>
      <c r="J224" s="23"/>
      <c r="K224" s="23"/>
      <c r="L224" s="23"/>
      <c r="M224" s="23"/>
      <c r="N224" s="23"/>
    </row>
    <row r="225" spans="1:14" x14ac:dyDescent="0.25">
      <c r="A225" t="s">
        <v>531</v>
      </c>
      <c r="B225" t="s">
        <v>532</v>
      </c>
      <c r="C225" s="23"/>
      <c r="D225" s="23"/>
      <c r="E225" s="23"/>
      <c r="F225" s="23">
        <v>0.25</v>
      </c>
      <c r="G225" s="23"/>
      <c r="H225" s="23"/>
      <c r="I225" s="23"/>
      <c r="J225" s="23"/>
      <c r="K225" s="23"/>
      <c r="L225" s="23"/>
      <c r="M225" s="23"/>
      <c r="N225" s="23"/>
    </row>
    <row r="226" spans="1:14" x14ac:dyDescent="0.25">
      <c r="A226" t="s">
        <v>533</v>
      </c>
      <c r="B226" t="s">
        <v>534</v>
      </c>
      <c r="C226" s="23"/>
      <c r="D226" s="23"/>
      <c r="E226" s="23"/>
      <c r="F226" s="23">
        <v>10</v>
      </c>
      <c r="G226" s="23"/>
      <c r="H226" s="23"/>
      <c r="I226" s="23"/>
      <c r="J226" s="23"/>
      <c r="K226" s="23"/>
      <c r="L226" s="23"/>
      <c r="M226" s="23"/>
      <c r="N226" s="23"/>
    </row>
    <row r="227" spans="1:14" x14ac:dyDescent="0.25">
      <c r="A227" t="s">
        <v>535</v>
      </c>
      <c r="B227" t="s">
        <v>536</v>
      </c>
      <c r="C227" s="23"/>
      <c r="D227" s="23"/>
      <c r="E227" s="23"/>
      <c r="F227" s="23">
        <v>4</v>
      </c>
      <c r="G227" s="23"/>
      <c r="H227" s="23"/>
      <c r="I227" s="23"/>
      <c r="J227" s="23"/>
      <c r="K227" s="23"/>
      <c r="L227" s="23"/>
      <c r="M227" s="23"/>
      <c r="N227" s="23"/>
    </row>
    <row r="228" spans="1:14" x14ac:dyDescent="0.25">
      <c r="A228" t="s">
        <v>537</v>
      </c>
      <c r="B228" t="s">
        <v>538</v>
      </c>
      <c r="C228" s="23"/>
      <c r="D228" s="23"/>
      <c r="E228" s="23"/>
      <c r="F228" s="23">
        <v>7</v>
      </c>
      <c r="G228" s="23"/>
      <c r="H228" s="23"/>
      <c r="I228" s="23"/>
      <c r="J228" s="23"/>
      <c r="K228" s="23"/>
      <c r="L228" s="23"/>
      <c r="M228" s="23"/>
      <c r="N228" s="23"/>
    </row>
    <row r="229" spans="1:14" x14ac:dyDescent="0.25">
      <c r="A229" t="s">
        <v>539</v>
      </c>
      <c r="B229" t="s">
        <v>540</v>
      </c>
      <c r="C229" s="23"/>
      <c r="D229" s="23"/>
      <c r="E229" s="23"/>
      <c r="F229" s="23">
        <v>8</v>
      </c>
      <c r="G229" s="23"/>
      <c r="H229" s="23"/>
      <c r="I229" s="23"/>
      <c r="J229" s="23"/>
      <c r="K229" s="23"/>
      <c r="L229" s="23"/>
      <c r="M229" s="23"/>
      <c r="N229" s="23"/>
    </row>
    <row r="230" spans="1:14" x14ac:dyDescent="0.25">
      <c r="A230" t="s">
        <v>541</v>
      </c>
      <c r="B230" t="s">
        <v>542</v>
      </c>
      <c r="C230" s="23"/>
      <c r="D230" s="23"/>
      <c r="E230" s="23"/>
      <c r="F230" s="23">
        <v>4</v>
      </c>
      <c r="G230" s="23"/>
      <c r="H230" s="23"/>
      <c r="I230" s="23"/>
      <c r="J230" s="23"/>
      <c r="K230" s="23"/>
      <c r="L230" s="23"/>
      <c r="M230" s="23"/>
      <c r="N230" s="23"/>
    </row>
    <row r="231" spans="1:14" x14ac:dyDescent="0.25">
      <c r="A231" t="s">
        <v>927</v>
      </c>
      <c r="B231" t="s">
        <v>928</v>
      </c>
      <c r="C231" s="23"/>
      <c r="D231" s="23"/>
      <c r="E231" s="23"/>
      <c r="F231" s="23">
        <v>1</v>
      </c>
      <c r="G231" s="23"/>
      <c r="H231" s="23"/>
      <c r="I231" s="23"/>
      <c r="J231" s="23"/>
      <c r="K231" s="23"/>
      <c r="L231" s="23"/>
      <c r="M231" s="23"/>
      <c r="N231" s="23"/>
    </row>
    <row r="232" spans="1:14" x14ac:dyDescent="0.25">
      <c r="A232" t="s">
        <v>545</v>
      </c>
      <c r="B232" t="s">
        <v>546</v>
      </c>
      <c r="C232" s="23"/>
      <c r="D232" s="23"/>
      <c r="E232" s="23"/>
      <c r="F232" s="23">
        <v>4</v>
      </c>
      <c r="G232" s="23"/>
      <c r="H232" s="23"/>
      <c r="I232" s="23"/>
      <c r="J232" s="23"/>
      <c r="K232" s="23"/>
      <c r="L232" s="23"/>
      <c r="M232" s="23"/>
      <c r="N232" s="23"/>
    </row>
    <row r="233" spans="1:14" x14ac:dyDescent="0.25">
      <c r="A233" t="s">
        <v>549</v>
      </c>
      <c r="B233" t="s">
        <v>550</v>
      </c>
      <c r="C233" s="23"/>
      <c r="D233" s="23"/>
      <c r="E233" s="23"/>
      <c r="F233" s="23">
        <v>30</v>
      </c>
      <c r="G233" s="23"/>
      <c r="H233" s="23"/>
      <c r="I233" s="23"/>
      <c r="J233" s="23"/>
      <c r="K233" s="23"/>
      <c r="L233" s="23"/>
      <c r="M233" s="23"/>
      <c r="N233" s="23"/>
    </row>
    <row r="234" spans="1:14" x14ac:dyDescent="0.25">
      <c r="A234" t="s">
        <v>841</v>
      </c>
      <c r="B234" t="s">
        <v>842</v>
      </c>
      <c r="C234" s="23"/>
      <c r="D234" s="23"/>
      <c r="E234" s="23"/>
      <c r="F234" s="23">
        <v>5</v>
      </c>
      <c r="G234" s="23"/>
      <c r="H234" s="23"/>
      <c r="I234" s="23"/>
      <c r="J234" s="23"/>
      <c r="K234" s="23"/>
      <c r="L234" s="23"/>
      <c r="M234" s="23"/>
      <c r="N234" s="23"/>
    </row>
    <row r="235" spans="1:14" x14ac:dyDescent="0.25">
      <c r="A235" t="s">
        <v>551</v>
      </c>
      <c r="B235" t="s">
        <v>552</v>
      </c>
      <c r="C235" s="23"/>
      <c r="D235" s="23"/>
      <c r="E235" s="23"/>
      <c r="F235" s="23">
        <v>2</v>
      </c>
      <c r="G235" s="23"/>
      <c r="H235" s="23"/>
      <c r="I235" s="23"/>
      <c r="J235" s="23"/>
      <c r="K235" s="23"/>
      <c r="L235" s="23"/>
      <c r="M235" s="23"/>
      <c r="N235" s="23"/>
    </row>
    <row r="236" spans="1:14" x14ac:dyDescent="0.25">
      <c r="A236" t="s">
        <v>559</v>
      </c>
      <c r="B236" t="s">
        <v>560</v>
      </c>
      <c r="C236" s="23"/>
      <c r="D236" s="23"/>
      <c r="E236" s="23"/>
      <c r="F236" s="23">
        <v>1</v>
      </c>
      <c r="G236" s="23"/>
      <c r="H236" s="23"/>
      <c r="I236" s="23"/>
      <c r="J236" s="23"/>
      <c r="K236" s="23"/>
      <c r="L236" s="23"/>
      <c r="M236" s="23"/>
      <c r="N236" s="23"/>
    </row>
    <row r="237" spans="1:14" x14ac:dyDescent="0.25">
      <c r="A237" t="s">
        <v>561</v>
      </c>
      <c r="B237" t="s">
        <v>562</v>
      </c>
      <c r="C237" s="23"/>
      <c r="D237" s="23"/>
      <c r="E237" s="23"/>
      <c r="F237" s="23">
        <v>1.5</v>
      </c>
      <c r="G237" s="23"/>
      <c r="H237" s="23"/>
      <c r="I237" s="23"/>
      <c r="J237" s="23"/>
      <c r="K237" s="23"/>
      <c r="L237" s="23"/>
      <c r="M237" s="23"/>
      <c r="N237" s="23"/>
    </row>
    <row r="238" spans="1:14" x14ac:dyDescent="0.25">
      <c r="A238" t="s">
        <v>563</v>
      </c>
      <c r="B238" t="s">
        <v>564</v>
      </c>
      <c r="C238" s="23"/>
      <c r="D238" s="23"/>
      <c r="E238" s="23"/>
      <c r="F238" s="23">
        <v>7</v>
      </c>
      <c r="G238" s="23"/>
      <c r="H238" s="23"/>
      <c r="I238" s="23"/>
      <c r="J238" s="23"/>
      <c r="K238" s="23"/>
      <c r="L238" s="23"/>
      <c r="M238" s="23"/>
      <c r="N238" s="23"/>
    </row>
    <row r="239" spans="1:14" x14ac:dyDescent="0.25">
      <c r="A239" t="s">
        <v>566</v>
      </c>
      <c r="B239" t="s">
        <v>567</v>
      </c>
      <c r="C239" s="23"/>
      <c r="D239" s="23"/>
      <c r="E239" s="23"/>
      <c r="F239" s="23">
        <v>2</v>
      </c>
      <c r="G239" s="23"/>
      <c r="H239" s="23"/>
      <c r="I239" s="23"/>
      <c r="J239" s="23"/>
      <c r="K239" s="23"/>
      <c r="L239" s="23"/>
      <c r="M239" s="23"/>
      <c r="N239" s="23"/>
    </row>
    <row r="240" spans="1:14" x14ac:dyDescent="0.25">
      <c r="A240" t="s">
        <v>568</v>
      </c>
      <c r="B240" t="s">
        <v>569</v>
      </c>
      <c r="C240" s="23"/>
      <c r="D240" s="23"/>
      <c r="E240" s="23"/>
      <c r="F240" s="23">
        <v>65</v>
      </c>
      <c r="G240" s="23"/>
      <c r="H240" s="23"/>
      <c r="I240" s="23"/>
      <c r="J240" s="23"/>
      <c r="K240" s="23"/>
      <c r="L240" s="23"/>
      <c r="M240" s="23"/>
      <c r="N240" s="23"/>
    </row>
    <row r="241" spans="1:14" x14ac:dyDescent="0.25">
      <c r="A241" t="s">
        <v>570</v>
      </c>
      <c r="B241" t="s">
        <v>571</v>
      </c>
      <c r="C241" s="23"/>
      <c r="D241" s="23"/>
      <c r="E241" s="23"/>
      <c r="F241" s="23">
        <v>4</v>
      </c>
      <c r="G241" s="23"/>
      <c r="H241" s="23"/>
      <c r="I241" s="23"/>
      <c r="J241" s="23"/>
      <c r="K241" s="23"/>
      <c r="L241" s="23"/>
      <c r="M241" s="23"/>
      <c r="N241" s="23"/>
    </row>
    <row r="242" spans="1:14" x14ac:dyDescent="0.25">
      <c r="A242" t="s">
        <v>943</v>
      </c>
      <c r="B242" t="s">
        <v>944</v>
      </c>
      <c r="C242" s="23"/>
      <c r="D242" s="23"/>
      <c r="E242" s="23"/>
      <c r="F242" s="23"/>
      <c r="G242" s="23"/>
      <c r="H242" s="23">
        <v>1</v>
      </c>
      <c r="I242" s="23"/>
      <c r="J242" s="23"/>
      <c r="K242" s="23"/>
      <c r="L242" s="23"/>
      <c r="M242" s="23"/>
      <c r="N242" s="23"/>
    </row>
    <row r="243" spans="1:14" x14ac:dyDescent="0.25">
      <c r="A243" t="s">
        <v>576</v>
      </c>
      <c r="B243" t="s">
        <v>577</v>
      </c>
      <c r="C243" s="23"/>
      <c r="D243" s="23"/>
      <c r="E243" s="23"/>
      <c r="F243" s="23"/>
      <c r="G243" s="23"/>
      <c r="H243" s="23">
        <v>5.85</v>
      </c>
      <c r="I243" s="23"/>
      <c r="J243" s="23"/>
      <c r="K243" s="23"/>
      <c r="L243" s="23"/>
      <c r="M243" s="23"/>
      <c r="N243" s="23"/>
    </row>
    <row r="244" spans="1:14" x14ac:dyDescent="0.25">
      <c r="A244" t="s">
        <v>578</v>
      </c>
      <c r="B244" t="s">
        <v>579</v>
      </c>
      <c r="C244" s="23"/>
      <c r="D244" s="23"/>
      <c r="E244" s="23"/>
      <c r="F244" s="23"/>
      <c r="G244" s="23"/>
      <c r="H244" s="23">
        <v>0.2</v>
      </c>
      <c r="I244" s="23"/>
      <c r="J244" s="23"/>
      <c r="K244" s="23"/>
      <c r="L244" s="23"/>
      <c r="M244" s="23"/>
      <c r="N244" s="23"/>
    </row>
    <row r="245" spans="1:14" x14ac:dyDescent="0.25">
      <c r="A245" t="s">
        <v>581</v>
      </c>
      <c r="B245" t="s">
        <v>582</v>
      </c>
      <c r="C245" s="23"/>
      <c r="D245" s="23"/>
      <c r="E245" s="23"/>
      <c r="F245" s="23"/>
      <c r="G245" s="23"/>
      <c r="H245" s="23">
        <v>22.3</v>
      </c>
      <c r="I245" s="23"/>
      <c r="J245" s="23"/>
      <c r="K245" s="23"/>
      <c r="L245" s="23"/>
      <c r="M245" s="23"/>
      <c r="N245" s="23"/>
    </row>
    <row r="246" spans="1:14" x14ac:dyDescent="0.25">
      <c r="A246" t="s">
        <v>583</v>
      </c>
      <c r="B246" t="s">
        <v>584</v>
      </c>
      <c r="C246" s="23"/>
      <c r="D246" s="23"/>
      <c r="E246" s="23"/>
      <c r="F246" s="23"/>
      <c r="G246" s="23"/>
      <c r="H246" s="23">
        <v>5.9</v>
      </c>
      <c r="I246" s="23"/>
      <c r="J246" s="23"/>
      <c r="K246" s="23"/>
      <c r="L246" s="23"/>
      <c r="M246" s="23"/>
      <c r="N246" s="23"/>
    </row>
    <row r="247" spans="1:14" x14ac:dyDescent="0.25">
      <c r="A247" t="s">
        <v>587</v>
      </c>
      <c r="B247" t="s">
        <v>588</v>
      </c>
      <c r="C247" s="23"/>
      <c r="D247" s="23"/>
      <c r="E247" s="23"/>
      <c r="F247" s="23"/>
      <c r="G247" s="23">
        <v>1</v>
      </c>
      <c r="H247" s="23"/>
      <c r="I247" s="23"/>
      <c r="J247" s="23"/>
      <c r="K247" s="23"/>
      <c r="L247" s="23"/>
      <c r="M247" s="23"/>
      <c r="N247" s="23"/>
    </row>
    <row r="248" spans="1:14" x14ac:dyDescent="0.25">
      <c r="A248" t="s">
        <v>591</v>
      </c>
      <c r="B248" t="s">
        <v>592</v>
      </c>
      <c r="C248" s="23"/>
      <c r="D248" s="23"/>
      <c r="E248" s="23"/>
      <c r="F248" s="23">
        <v>1</v>
      </c>
      <c r="G248" s="23"/>
      <c r="H248" s="23"/>
      <c r="I248" s="23"/>
      <c r="J248" s="23"/>
      <c r="K248" s="23"/>
      <c r="L248" s="23"/>
      <c r="M248" s="23"/>
      <c r="N248" s="23"/>
    </row>
    <row r="249" spans="1:14" x14ac:dyDescent="0.25">
      <c r="A249" t="s">
        <v>773</v>
      </c>
      <c r="B249" t="s">
        <v>774</v>
      </c>
      <c r="C249" s="23"/>
      <c r="D249" s="23"/>
      <c r="E249" s="23"/>
      <c r="F249" s="23"/>
      <c r="G249" s="23">
        <v>4</v>
      </c>
      <c r="H249" s="23"/>
      <c r="I249" s="23"/>
      <c r="J249" s="23"/>
      <c r="K249" s="23"/>
      <c r="L249" s="23"/>
      <c r="M249" s="23"/>
      <c r="N249" s="23"/>
    </row>
    <row r="250" spans="1:14" x14ac:dyDescent="0.25">
      <c r="A250" t="s">
        <v>596</v>
      </c>
      <c r="B250" t="s">
        <v>597</v>
      </c>
      <c r="C250" s="23"/>
      <c r="D250" s="23"/>
      <c r="E250" s="23"/>
      <c r="F250" s="23"/>
      <c r="G250" s="23">
        <v>1</v>
      </c>
      <c r="H250" s="23"/>
      <c r="I250" s="23"/>
      <c r="J250" s="23"/>
      <c r="K250" s="23"/>
      <c r="L250" s="23"/>
      <c r="M250" s="23"/>
      <c r="N250" s="23"/>
    </row>
    <row r="251" spans="1:14" x14ac:dyDescent="0.25">
      <c r="A251" t="s">
        <v>1049</v>
      </c>
      <c r="B251" t="s">
        <v>1050</v>
      </c>
      <c r="C251" s="23"/>
      <c r="D251" s="23"/>
      <c r="E251" s="23"/>
      <c r="F251" s="23"/>
      <c r="G251" s="23">
        <v>1</v>
      </c>
      <c r="H251" s="23"/>
      <c r="I251" s="23"/>
      <c r="J251" s="23"/>
      <c r="K251" s="23"/>
      <c r="L251" s="23"/>
      <c r="M251" s="23"/>
      <c r="N251" s="23"/>
    </row>
    <row r="252" spans="1:14" x14ac:dyDescent="0.25">
      <c r="A252" t="s">
        <v>608</v>
      </c>
      <c r="B252" t="s">
        <v>609</v>
      </c>
      <c r="C252" s="23"/>
      <c r="D252" s="23"/>
      <c r="E252" s="23"/>
      <c r="F252" s="23"/>
      <c r="G252" s="23">
        <v>2</v>
      </c>
      <c r="H252" s="23"/>
      <c r="I252" s="23"/>
      <c r="J252" s="23"/>
      <c r="K252" s="23"/>
      <c r="L252" s="23"/>
      <c r="M252" s="23"/>
      <c r="N252" s="23"/>
    </row>
    <row r="253" spans="1:14" x14ac:dyDescent="0.25">
      <c r="A253" t="s">
        <v>612</v>
      </c>
      <c r="B253" t="s">
        <v>613</v>
      </c>
      <c r="C253" s="23"/>
      <c r="D253" s="23"/>
      <c r="E253" s="23"/>
      <c r="F253" s="23"/>
      <c r="G253" s="23"/>
      <c r="H253" s="23"/>
      <c r="I253" s="23"/>
      <c r="J253" s="23">
        <v>50</v>
      </c>
      <c r="K253" s="23"/>
      <c r="L253" s="23"/>
      <c r="M253" s="23"/>
      <c r="N253" s="23"/>
    </row>
    <row r="254" spans="1:14" x14ac:dyDescent="0.25">
      <c r="A254" t="s">
        <v>615</v>
      </c>
      <c r="B254" t="s">
        <v>616</v>
      </c>
      <c r="C254" s="23"/>
      <c r="D254" s="23"/>
      <c r="E254" s="23"/>
      <c r="F254" s="23"/>
      <c r="G254" s="23"/>
      <c r="H254" s="23"/>
      <c r="I254" s="23"/>
      <c r="J254" s="23">
        <v>0.5</v>
      </c>
      <c r="K254" s="23"/>
      <c r="L254" s="23"/>
      <c r="M254" s="23"/>
      <c r="N254" s="23"/>
    </row>
    <row r="255" spans="1:14" x14ac:dyDescent="0.25">
      <c r="A255" t="s">
        <v>867</v>
      </c>
      <c r="B255" t="s">
        <v>868</v>
      </c>
      <c r="C255" s="23"/>
      <c r="D255" s="23"/>
      <c r="E255" s="23"/>
      <c r="F255" s="23"/>
      <c r="G255" s="23"/>
      <c r="H255" s="23"/>
      <c r="I255" s="23">
        <v>4</v>
      </c>
      <c r="J255" s="23"/>
      <c r="K255" s="23"/>
      <c r="L255" s="23"/>
      <c r="M255" s="23"/>
      <c r="N255" s="23"/>
    </row>
    <row r="256" spans="1:14" x14ac:dyDescent="0.25">
      <c r="A256" t="s">
        <v>627</v>
      </c>
      <c r="B256" t="s">
        <v>628</v>
      </c>
      <c r="C256" s="23"/>
      <c r="D256" s="23"/>
      <c r="E256" s="23"/>
      <c r="F256" s="23"/>
      <c r="G256" s="23"/>
      <c r="H256" s="23"/>
      <c r="I256" s="23">
        <v>2</v>
      </c>
      <c r="J256" s="23"/>
      <c r="K256" s="23"/>
      <c r="L256" s="23"/>
      <c r="M256" s="23"/>
      <c r="N256" s="23"/>
    </row>
    <row r="257" spans="1:14" x14ac:dyDescent="0.25">
      <c r="A257" t="s">
        <v>659</v>
      </c>
      <c r="B257" t="s">
        <v>660</v>
      </c>
      <c r="C257" s="23"/>
      <c r="D257" s="23"/>
      <c r="E257" s="23"/>
      <c r="F257" s="23">
        <v>1</v>
      </c>
      <c r="G257" s="23"/>
      <c r="H257" s="23"/>
      <c r="I257" s="23"/>
      <c r="J257" s="23"/>
      <c r="K257" s="23"/>
      <c r="L257" s="23"/>
      <c r="M257" s="23"/>
      <c r="N257" s="23"/>
    </row>
    <row r="258" spans="1:14" x14ac:dyDescent="0.25">
      <c r="A258" t="s">
        <v>631</v>
      </c>
      <c r="B258" t="s">
        <v>632</v>
      </c>
      <c r="C258" s="23"/>
      <c r="D258" s="23"/>
      <c r="E258" s="23"/>
      <c r="F258" s="23">
        <v>430</v>
      </c>
      <c r="G258" s="23"/>
      <c r="H258" s="23"/>
      <c r="I258" s="23"/>
      <c r="J258" s="23"/>
      <c r="K258" s="23"/>
      <c r="L258" s="23"/>
      <c r="M258" s="23"/>
      <c r="N258" s="23"/>
    </row>
    <row r="259" spans="1:14" x14ac:dyDescent="0.25">
      <c r="A259" t="s">
        <v>749</v>
      </c>
      <c r="B259" t="s">
        <v>750</v>
      </c>
      <c r="C259" s="23"/>
      <c r="D259" s="23"/>
      <c r="E259" s="23"/>
      <c r="F259" s="23">
        <v>4</v>
      </c>
      <c r="G259" s="23"/>
      <c r="H259" s="23"/>
      <c r="I259" s="23"/>
      <c r="J259" s="23"/>
      <c r="K259" s="23"/>
      <c r="L259" s="23"/>
      <c r="M259" s="23"/>
      <c r="N259" s="23"/>
    </row>
    <row r="260" spans="1:14" x14ac:dyDescent="0.25">
      <c r="A260" t="s">
        <v>1105</v>
      </c>
      <c r="B260" t="s">
        <v>1106</v>
      </c>
      <c r="C260" s="23"/>
      <c r="D260" s="23"/>
      <c r="E260" s="23"/>
      <c r="F260" s="23"/>
      <c r="G260" s="23"/>
      <c r="H260" s="23">
        <v>0.5</v>
      </c>
      <c r="I260" s="23"/>
      <c r="J260" s="23"/>
      <c r="K260" s="23"/>
      <c r="L260" s="23"/>
      <c r="M260" s="23"/>
      <c r="N260" s="23"/>
    </row>
    <row r="261" spans="1:14" x14ac:dyDescent="0.25">
      <c r="A261" t="s">
        <v>902</v>
      </c>
      <c r="B261" t="s">
        <v>903</v>
      </c>
      <c r="C261" s="23"/>
      <c r="D261" s="23"/>
      <c r="E261" s="23"/>
      <c r="F261" s="23">
        <v>4</v>
      </c>
      <c r="G261" s="23"/>
      <c r="H261" s="23"/>
      <c r="I261" s="23"/>
      <c r="J261" s="23"/>
      <c r="K261" s="23"/>
      <c r="L261" s="23"/>
      <c r="M261" s="23"/>
      <c r="N261" s="23"/>
    </row>
    <row r="262" spans="1:14" x14ac:dyDescent="0.25">
      <c r="A262" t="s">
        <v>638</v>
      </c>
      <c r="B262" t="s">
        <v>639</v>
      </c>
      <c r="C262" s="23"/>
      <c r="D262" s="23"/>
      <c r="E262" s="23"/>
      <c r="F262" s="23"/>
      <c r="G262" s="23"/>
      <c r="H262" s="23"/>
      <c r="I262" s="23"/>
      <c r="J262" s="23"/>
      <c r="K262" s="23"/>
      <c r="L262" s="23">
        <v>1</v>
      </c>
      <c r="M262" s="23"/>
      <c r="N262" s="23"/>
    </row>
    <row r="263" spans="1:14" x14ac:dyDescent="0.25">
      <c r="A263" t="s">
        <v>683</v>
      </c>
      <c r="B263" t="s">
        <v>684</v>
      </c>
      <c r="C263" s="23"/>
      <c r="D263" s="23"/>
      <c r="E263" s="23"/>
      <c r="F263" s="23"/>
      <c r="G263" s="23">
        <v>2</v>
      </c>
      <c r="H263" s="23"/>
      <c r="I263" s="23"/>
      <c r="J263" s="23"/>
      <c r="K263" s="23"/>
      <c r="L263" s="23"/>
      <c r="M263" s="23"/>
      <c r="N263" s="23"/>
    </row>
    <row r="264" spans="1:14" x14ac:dyDescent="0.25">
      <c r="A264" t="s">
        <v>685</v>
      </c>
      <c r="B264" t="s">
        <v>686</v>
      </c>
      <c r="C264" s="23"/>
      <c r="D264" s="23"/>
      <c r="E264" s="23"/>
      <c r="F264" s="23"/>
      <c r="G264" s="23">
        <v>1</v>
      </c>
      <c r="H264" s="23"/>
      <c r="I264" s="23"/>
      <c r="J264" s="23"/>
      <c r="K264" s="23"/>
      <c r="L264" s="23"/>
      <c r="M264" s="23"/>
      <c r="N264" s="23"/>
    </row>
    <row r="265" spans="1:14" x14ac:dyDescent="0.25">
      <c r="A265" t="s">
        <v>643</v>
      </c>
      <c r="B265" t="s">
        <v>644</v>
      </c>
      <c r="C265" s="23"/>
      <c r="D265" s="23"/>
      <c r="E265" s="23"/>
      <c r="F265" s="23"/>
      <c r="G265" s="23">
        <v>3</v>
      </c>
      <c r="H265" s="23"/>
      <c r="I265" s="23"/>
      <c r="J265" s="23"/>
      <c r="K265" s="23"/>
      <c r="L265" s="23"/>
      <c r="M265" s="23"/>
      <c r="N265" s="23"/>
    </row>
    <row r="266" spans="1:14" x14ac:dyDescent="0.25">
      <c r="A266" t="s">
        <v>866</v>
      </c>
      <c r="B266" t="s">
        <v>645</v>
      </c>
      <c r="C266" s="23"/>
      <c r="D266" s="23"/>
      <c r="E266" s="23"/>
      <c r="F266" s="23"/>
      <c r="G266" s="23">
        <v>2</v>
      </c>
      <c r="H266" s="23"/>
      <c r="I266" s="23"/>
      <c r="J266" s="23"/>
      <c r="K266" s="23"/>
      <c r="L266" s="23"/>
      <c r="M266" s="23"/>
      <c r="N266" s="23"/>
    </row>
    <row r="267" spans="1:14" x14ac:dyDescent="0.25">
      <c r="A267" t="s">
        <v>646</v>
      </c>
      <c r="B267" t="s">
        <v>647</v>
      </c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>
        <v>1</v>
      </c>
      <c r="N267" s="23"/>
    </row>
    <row r="268" spans="1:14" x14ac:dyDescent="0.25">
      <c r="A268" t="s">
        <v>851</v>
      </c>
      <c r="B268" t="s">
        <v>852</v>
      </c>
      <c r="C268" s="23"/>
      <c r="D268" s="23"/>
      <c r="E268" s="23"/>
      <c r="F268" s="23">
        <v>1</v>
      </c>
      <c r="G268" s="23"/>
      <c r="H268" s="23"/>
      <c r="I268" s="23"/>
      <c r="J268" s="23"/>
      <c r="K268" s="23"/>
      <c r="L268" s="23"/>
      <c r="M268" s="23"/>
      <c r="N268" s="23"/>
    </row>
    <row r="269" spans="1:14" x14ac:dyDescent="0.25">
      <c r="A269" t="s">
        <v>853</v>
      </c>
      <c r="B269" t="s">
        <v>854</v>
      </c>
      <c r="C269" s="23"/>
      <c r="D269" s="23"/>
      <c r="E269" s="23"/>
      <c r="F269" s="23">
        <v>16</v>
      </c>
      <c r="G269" s="23"/>
      <c r="H269" s="23"/>
      <c r="I269" s="23"/>
      <c r="J269" s="23"/>
      <c r="K269" s="23"/>
      <c r="L269" s="23"/>
      <c r="M269" s="23"/>
      <c r="N269" s="23"/>
    </row>
    <row r="270" spans="1:14" x14ac:dyDescent="0.25">
      <c r="A270" t="s">
        <v>650</v>
      </c>
      <c r="B270" t="s">
        <v>651</v>
      </c>
      <c r="C270" s="23"/>
      <c r="D270" s="23"/>
      <c r="E270" s="23"/>
      <c r="F270" s="23"/>
      <c r="G270" s="23"/>
      <c r="H270" s="23">
        <v>6</v>
      </c>
      <c r="I270" s="23"/>
      <c r="J270" s="23"/>
      <c r="K270" s="23"/>
      <c r="L270" s="23"/>
      <c r="M270" s="23"/>
      <c r="N270" s="23"/>
    </row>
    <row r="271" spans="1:14" x14ac:dyDescent="0.25">
      <c r="A271" t="s">
        <v>690</v>
      </c>
      <c r="B271" t="s">
        <v>691</v>
      </c>
      <c r="C271" s="23"/>
      <c r="D271" s="23"/>
      <c r="E271" s="23"/>
      <c r="F271" s="23"/>
      <c r="G271" s="23">
        <v>1</v>
      </c>
      <c r="H271" s="23"/>
      <c r="I271" s="23"/>
      <c r="J271" s="23"/>
      <c r="K271" s="23"/>
      <c r="L271" s="23"/>
      <c r="M271" s="23"/>
      <c r="N271" s="23"/>
    </row>
    <row r="272" spans="1:14" x14ac:dyDescent="0.25">
      <c r="A272" t="s">
        <v>717</v>
      </c>
      <c r="B272" t="s">
        <v>718</v>
      </c>
      <c r="C272" s="23"/>
      <c r="D272" s="23"/>
      <c r="E272" s="23">
        <v>0.2</v>
      </c>
      <c r="F272" s="23"/>
      <c r="G272" s="23"/>
      <c r="H272" s="23"/>
      <c r="I272" s="23"/>
      <c r="J272" s="23"/>
      <c r="K272" s="23"/>
      <c r="L272" s="23"/>
      <c r="M272" s="23"/>
      <c r="N272" s="23"/>
    </row>
    <row r="273" spans="1:14" x14ac:dyDescent="0.25">
      <c r="A273" t="s">
        <v>981</v>
      </c>
      <c r="B273" t="s">
        <v>982</v>
      </c>
      <c r="C273" s="23"/>
      <c r="D273" s="23"/>
      <c r="E273" s="23"/>
      <c r="F273" s="23"/>
      <c r="G273" s="23">
        <v>1</v>
      </c>
      <c r="H273" s="23"/>
      <c r="I273" s="23"/>
      <c r="J273" s="23"/>
      <c r="K273" s="23"/>
      <c r="L273" s="23"/>
      <c r="M273" s="23"/>
      <c r="N273" s="23"/>
    </row>
    <row r="274" spans="1:14" x14ac:dyDescent="0.25">
      <c r="A274" t="s">
        <v>661</v>
      </c>
      <c r="B274" t="s">
        <v>662</v>
      </c>
      <c r="C274" s="23"/>
      <c r="D274" s="23"/>
      <c r="E274" s="23"/>
      <c r="F274" s="23"/>
      <c r="G274" s="23"/>
      <c r="H274" s="23">
        <v>1</v>
      </c>
      <c r="I274" s="23"/>
      <c r="J274" s="23"/>
      <c r="K274" s="23"/>
      <c r="L274" s="23"/>
      <c r="M274" s="23"/>
      <c r="N274" s="23"/>
    </row>
    <row r="275" spans="1:14" x14ac:dyDescent="0.25">
      <c r="A275" t="s">
        <v>663</v>
      </c>
      <c r="B275" t="s">
        <v>664</v>
      </c>
      <c r="C275" s="23"/>
      <c r="D275" s="23"/>
      <c r="E275" s="23"/>
      <c r="F275" s="23"/>
      <c r="G275" s="23"/>
      <c r="H275" s="23">
        <v>18</v>
      </c>
      <c r="I275" s="23"/>
      <c r="J275" s="23"/>
      <c r="K275" s="23"/>
      <c r="L275" s="23"/>
      <c r="M275" s="23"/>
      <c r="N275" s="23"/>
    </row>
    <row r="276" spans="1:14" x14ac:dyDescent="0.25">
      <c r="A276" t="s">
        <v>1066</v>
      </c>
      <c r="B276" t="s">
        <v>1067</v>
      </c>
      <c r="C276" s="23"/>
      <c r="D276" s="23"/>
      <c r="E276" s="23">
        <v>12</v>
      </c>
      <c r="F276" s="23"/>
      <c r="G276" s="23"/>
      <c r="H276" s="23"/>
      <c r="I276" s="23"/>
      <c r="J276" s="23"/>
      <c r="K276" s="23"/>
      <c r="L276" s="23"/>
      <c r="M276" s="23"/>
      <c r="N276" s="23"/>
    </row>
    <row r="277" spans="1:14" x14ac:dyDescent="0.25">
      <c r="A277" t="s">
        <v>735</v>
      </c>
      <c r="B277" t="s">
        <v>736</v>
      </c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>
        <v>1</v>
      </c>
    </row>
    <row r="278" spans="1:14" x14ac:dyDescent="0.25">
      <c r="A278" t="s">
        <v>737</v>
      </c>
      <c r="B278" t="s">
        <v>738</v>
      </c>
      <c r="C278" s="23"/>
      <c r="D278" s="23"/>
      <c r="E278" s="23"/>
      <c r="F278" s="23"/>
      <c r="G278" s="23">
        <v>1</v>
      </c>
      <c r="H278" s="23"/>
      <c r="I278" s="23"/>
      <c r="J278" s="23"/>
      <c r="K278" s="23"/>
      <c r="L278" s="23"/>
      <c r="M278" s="23"/>
      <c r="N278" s="23"/>
    </row>
    <row r="279" spans="1:14" x14ac:dyDescent="0.25">
      <c r="A279" t="s">
        <v>739</v>
      </c>
      <c r="B279" t="s">
        <v>740</v>
      </c>
      <c r="C279" s="23"/>
      <c r="D279" s="23"/>
      <c r="E279" s="23"/>
      <c r="F279" s="23"/>
      <c r="G279" s="23">
        <v>1</v>
      </c>
      <c r="H279" s="23"/>
      <c r="I279" s="23"/>
      <c r="J279" s="23"/>
      <c r="K279" s="23"/>
      <c r="L279" s="23"/>
      <c r="M279" s="23"/>
      <c r="N279" s="23"/>
    </row>
    <row r="280" spans="1:14" x14ac:dyDescent="0.25">
      <c r="A280" t="s">
        <v>741</v>
      </c>
      <c r="B280" t="s">
        <v>742</v>
      </c>
      <c r="C280" s="23"/>
      <c r="D280" s="23"/>
      <c r="E280" s="23"/>
      <c r="F280" s="23"/>
      <c r="G280" s="23">
        <v>1</v>
      </c>
      <c r="H280" s="23"/>
      <c r="I280" s="23"/>
      <c r="J280" s="23"/>
      <c r="K280" s="23"/>
      <c r="L280" s="23"/>
      <c r="M280" s="23"/>
      <c r="N280" s="23"/>
    </row>
    <row r="281" spans="1:14" x14ac:dyDescent="0.25">
      <c r="A281" t="s">
        <v>719</v>
      </c>
      <c r="B281" t="s">
        <v>720</v>
      </c>
      <c r="C281" s="23"/>
      <c r="D281" s="23"/>
      <c r="E281" s="23"/>
      <c r="F281" s="23"/>
      <c r="G281" s="23">
        <v>1</v>
      </c>
      <c r="H281" s="23"/>
      <c r="I281" s="23"/>
      <c r="J281" s="23"/>
      <c r="K281" s="23"/>
      <c r="L281" s="23"/>
      <c r="M281" s="23"/>
      <c r="N281" s="23"/>
    </row>
    <row r="282" spans="1:14" x14ac:dyDescent="0.25">
      <c r="A282" t="s">
        <v>847</v>
      </c>
      <c r="B282" t="s">
        <v>848</v>
      </c>
      <c r="C282" s="23"/>
      <c r="D282" s="23"/>
      <c r="E282" s="23"/>
      <c r="F282" s="23"/>
      <c r="G282" s="23"/>
      <c r="H282" s="23"/>
      <c r="I282" s="23"/>
      <c r="J282" s="23">
        <v>3</v>
      </c>
      <c r="K282" s="23"/>
      <c r="L282" s="23"/>
      <c r="M282" s="23"/>
      <c r="N282" s="23"/>
    </row>
    <row r="283" spans="1:14" x14ac:dyDescent="0.25">
      <c r="A283" t="s">
        <v>764</v>
      </c>
      <c r="B283" t="s">
        <v>765</v>
      </c>
      <c r="C283" s="23"/>
      <c r="D283" s="23"/>
      <c r="E283" s="23">
        <v>1</v>
      </c>
      <c r="F283" s="23"/>
      <c r="G283" s="23"/>
      <c r="H283" s="23"/>
      <c r="I283" s="23"/>
      <c r="J283" s="23"/>
      <c r="K283" s="23"/>
      <c r="L283" s="23"/>
      <c r="M283" s="23"/>
      <c r="N283" s="23"/>
    </row>
    <row r="284" spans="1:14" x14ac:dyDescent="0.25">
      <c r="A284" t="s">
        <v>779</v>
      </c>
      <c r="B284" t="s">
        <v>133</v>
      </c>
      <c r="C284" s="23"/>
      <c r="D284" s="23"/>
      <c r="E284" s="23">
        <v>10</v>
      </c>
      <c r="F284" s="23"/>
      <c r="G284" s="23"/>
      <c r="H284" s="23"/>
      <c r="I284" s="23"/>
      <c r="J284" s="23"/>
      <c r="K284" s="23"/>
      <c r="L284" s="23"/>
      <c r="M284" s="23"/>
      <c r="N284" s="23"/>
    </row>
    <row r="285" spans="1:14" x14ac:dyDescent="0.25">
      <c r="A285" t="s">
        <v>793</v>
      </c>
      <c r="B285" t="s">
        <v>137</v>
      </c>
      <c r="C285" s="23"/>
      <c r="D285" s="23"/>
      <c r="E285" s="23">
        <v>8</v>
      </c>
      <c r="F285" s="23"/>
      <c r="G285" s="23"/>
      <c r="H285" s="23"/>
      <c r="I285" s="23"/>
      <c r="J285" s="23"/>
      <c r="K285" s="23"/>
      <c r="L285" s="23"/>
      <c r="M285" s="23"/>
      <c r="N285" s="23"/>
    </row>
    <row r="286" spans="1:14" x14ac:dyDescent="0.25">
      <c r="A286" t="s">
        <v>780</v>
      </c>
      <c r="B286" t="s">
        <v>781</v>
      </c>
      <c r="C286" s="23"/>
      <c r="D286" s="23"/>
      <c r="E286" s="23"/>
      <c r="F286" s="23"/>
      <c r="G286" s="23">
        <v>2</v>
      </c>
      <c r="H286" s="23"/>
      <c r="I286" s="23"/>
      <c r="J286" s="23"/>
      <c r="K286" s="23"/>
      <c r="L286" s="23"/>
      <c r="M286" s="23"/>
      <c r="N286" s="23"/>
    </row>
    <row r="287" spans="1:14" x14ac:dyDescent="0.25">
      <c r="A287" t="s">
        <v>782</v>
      </c>
      <c r="B287" t="s">
        <v>783</v>
      </c>
      <c r="C287" s="23"/>
      <c r="D287" s="23"/>
      <c r="E287" s="23"/>
      <c r="F287" s="23"/>
      <c r="G287" s="23"/>
      <c r="H287" s="23"/>
      <c r="I287" s="23">
        <v>1</v>
      </c>
      <c r="J287" s="23"/>
      <c r="K287" s="23"/>
      <c r="L287" s="23"/>
      <c r="M287" s="23"/>
      <c r="N287" s="23"/>
    </row>
    <row r="288" spans="1:14" x14ac:dyDescent="0.25">
      <c r="A288" t="s">
        <v>784</v>
      </c>
      <c r="B288" t="s">
        <v>785</v>
      </c>
      <c r="C288" s="23"/>
      <c r="D288" s="23"/>
      <c r="E288" s="23"/>
      <c r="F288" s="23"/>
      <c r="G288" s="23"/>
      <c r="H288" s="23"/>
      <c r="I288" s="23">
        <v>1</v>
      </c>
      <c r="J288" s="23"/>
      <c r="K288" s="23"/>
      <c r="L288" s="23"/>
      <c r="M288" s="23"/>
      <c r="N288" s="23"/>
    </row>
    <row r="289" spans="1:14" x14ac:dyDescent="0.25">
      <c r="A289" t="s">
        <v>803</v>
      </c>
      <c r="B289" t="s">
        <v>823</v>
      </c>
      <c r="C289" s="23"/>
      <c r="D289" s="23"/>
      <c r="E289" s="23"/>
      <c r="F289" s="23">
        <v>1</v>
      </c>
      <c r="G289" s="23"/>
      <c r="H289" s="23"/>
      <c r="I289" s="23"/>
      <c r="J289" s="23"/>
      <c r="K289" s="23"/>
      <c r="L289" s="23"/>
      <c r="M289" s="23"/>
      <c r="N289" s="23"/>
    </row>
    <row r="290" spans="1:14" x14ac:dyDescent="0.25">
      <c r="A290" t="s">
        <v>831</v>
      </c>
      <c r="B290" t="s">
        <v>832</v>
      </c>
      <c r="C290" s="23"/>
      <c r="D290" s="23">
        <v>5</v>
      </c>
      <c r="E290" s="23"/>
      <c r="F290" s="23"/>
      <c r="G290" s="23"/>
      <c r="H290" s="23"/>
      <c r="I290" s="23"/>
      <c r="J290" s="23"/>
      <c r="K290" s="23"/>
      <c r="L290" s="23"/>
      <c r="M290" s="23"/>
      <c r="N290" s="23"/>
    </row>
    <row r="291" spans="1:14" x14ac:dyDescent="0.25">
      <c r="A291" t="s">
        <v>834</v>
      </c>
      <c r="B291" t="s">
        <v>835</v>
      </c>
      <c r="C291" s="23"/>
      <c r="D291" s="23">
        <v>0.5</v>
      </c>
      <c r="E291" s="23"/>
      <c r="F291" s="23"/>
      <c r="G291" s="23"/>
      <c r="H291" s="23"/>
      <c r="I291" s="23"/>
      <c r="J291" s="23"/>
      <c r="K291" s="23"/>
      <c r="L291" s="23"/>
      <c r="M291" s="23"/>
      <c r="N291" s="23"/>
    </row>
    <row r="292" spans="1:14" x14ac:dyDescent="0.25">
      <c r="A292" t="s">
        <v>837</v>
      </c>
      <c r="B292" t="s">
        <v>838</v>
      </c>
      <c r="C292" s="23"/>
      <c r="D292" s="23">
        <v>120</v>
      </c>
      <c r="E292" s="23"/>
      <c r="F292" s="23"/>
      <c r="G292" s="23"/>
      <c r="H292" s="23"/>
      <c r="I292" s="23"/>
      <c r="J292" s="23"/>
      <c r="K292" s="23"/>
      <c r="L292" s="23"/>
      <c r="M292" s="23"/>
      <c r="N292" s="23"/>
    </row>
    <row r="293" spans="1:14" x14ac:dyDescent="0.25">
      <c r="A293" t="s">
        <v>845</v>
      </c>
      <c r="B293" t="s">
        <v>846</v>
      </c>
      <c r="C293" s="23"/>
      <c r="D293" s="23"/>
      <c r="E293" s="23"/>
      <c r="F293" s="23"/>
      <c r="G293" s="23">
        <v>4</v>
      </c>
      <c r="H293" s="23"/>
      <c r="I293" s="23"/>
      <c r="J293" s="23"/>
      <c r="K293" s="23"/>
      <c r="L293" s="23"/>
      <c r="M293" s="23"/>
      <c r="N293" s="23"/>
    </row>
    <row r="294" spans="1:14" x14ac:dyDescent="0.25">
      <c r="A294" t="s">
        <v>880</v>
      </c>
      <c r="B294" t="s">
        <v>881</v>
      </c>
      <c r="C294" s="23"/>
      <c r="D294" s="23"/>
      <c r="E294" s="23">
        <v>1</v>
      </c>
      <c r="F294" s="23"/>
      <c r="G294" s="23"/>
      <c r="H294" s="23"/>
      <c r="I294" s="23"/>
      <c r="J294" s="23"/>
      <c r="K294" s="23"/>
      <c r="L294" s="23"/>
      <c r="M294" s="23"/>
      <c r="N294" s="23"/>
    </row>
    <row r="295" spans="1:14" x14ac:dyDescent="0.25">
      <c r="A295" t="s">
        <v>1028</v>
      </c>
      <c r="B295" t="s">
        <v>1029</v>
      </c>
      <c r="C295" s="23"/>
      <c r="D295" s="23"/>
      <c r="E295" s="23"/>
      <c r="F295" s="23"/>
      <c r="G295" s="23"/>
      <c r="H295" s="23">
        <v>0.125</v>
      </c>
      <c r="I295" s="23"/>
      <c r="J295" s="23"/>
      <c r="K295" s="23"/>
      <c r="L295" s="23"/>
      <c r="M295" s="23"/>
      <c r="N295" s="23"/>
    </row>
    <row r="296" spans="1:14" x14ac:dyDescent="0.25">
      <c r="A296" t="s">
        <v>1075</v>
      </c>
      <c r="B296" t="s">
        <v>1076</v>
      </c>
      <c r="C296" s="23"/>
      <c r="D296" s="23"/>
      <c r="E296" s="23"/>
      <c r="F296" s="23"/>
      <c r="G296" s="23">
        <v>1</v>
      </c>
      <c r="H296" s="23"/>
      <c r="I296" s="23"/>
      <c r="J296" s="23"/>
      <c r="K296" s="23"/>
      <c r="L296" s="23"/>
      <c r="M296" s="23"/>
      <c r="N296" s="23"/>
    </row>
    <row r="297" spans="1:14" x14ac:dyDescent="0.25">
      <c r="A297" t="s">
        <v>1077</v>
      </c>
      <c r="B297" t="s">
        <v>1078</v>
      </c>
      <c r="C297" s="23"/>
      <c r="D297" s="23"/>
      <c r="E297" s="23"/>
      <c r="F297" s="23"/>
      <c r="G297" s="23"/>
      <c r="H297" s="23"/>
      <c r="I297" s="23">
        <v>1</v>
      </c>
      <c r="J297" s="23"/>
      <c r="K297" s="23"/>
      <c r="L297" s="23"/>
      <c r="M297" s="23"/>
      <c r="N297" s="23"/>
    </row>
    <row r="298" spans="1:14" x14ac:dyDescent="0.25">
      <c r="A298" t="s">
        <v>1081</v>
      </c>
      <c r="B298" t="s">
        <v>1082</v>
      </c>
      <c r="C298" s="23"/>
      <c r="D298" s="23"/>
      <c r="E298" s="23"/>
      <c r="F298" s="23"/>
      <c r="G298" s="23"/>
      <c r="H298" s="23"/>
      <c r="I298" s="23">
        <v>3</v>
      </c>
      <c r="J298" s="23"/>
      <c r="K298" s="23"/>
      <c r="L298" s="23"/>
      <c r="M298" s="23"/>
      <c r="N298" s="23"/>
    </row>
    <row r="299" spans="1:14" x14ac:dyDescent="0.25">
      <c r="A299" t="s">
        <v>1121</v>
      </c>
      <c r="B299" t="s">
        <v>1122</v>
      </c>
      <c r="C299" s="23"/>
      <c r="D299" s="23"/>
      <c r="E299" s="23"/>
      <c r="F299" s="23"/>
      <c r="G299" s="23"/>
      <c r="H299" s="23">
        <v>0.2</v>
      </c>
      <c r="I299" s="23"/>
      <c r="J299" s="23"/>
      <c r="K299" s="23"/>
      <c r="L299" s="23"/>
      <c r="M299" s="23"/>
      <c r="N299" s="23"/>
    </row>
    <row r="300" spans="1:14" x14ac:dyDescent="0.25">
      <c r="A300" t="s">
        <v>1127</v>
      </c>
      <c r="B300" t="s">
        <v>1128</v>
      </c>
      <c r="C300" s="23"/>
      <c r="D300" s="23">
        <v>2</v>
      </c>
      <c r="E300" s="23"/>
      <c r="F300" s="23"/>
      <c r="G300" s="23"/>
      <c r="H300" s="23"/>
      <c r="I300" s="23"/>
      <c r="J300" s="23"/>
      <c r="K300" s="23"/>
      <c r="L300" s="23"/>
      <c r="M300" s="23"/>
      <c r="N300" s="23"/>
    </row>
    <row r="301" spans="1:14" x14ac:dyDescent="0.25">
      <c r="A301" t="s">
        <v>1136</v>
      </c>
      <c r="B301" t="s">
        <v>1137</v>
      </c>
      <c r="C301" s="23"/>
      <c r="D301" s="23"/>
      <c r="E301" s="23"/>
      <c r="F301" s="23">
        <v>2</v>
      </c>
      <c r="G301" s="23"/>
      <c r="H301" s="23"/>
      <c r="I301" s="23"/>
      <c r="J301" s="23"/>
      <c r="K301" s="23"/>
      <c r="L301" s="23"/>
      <c r="M301" s="23"/>
      <c r="N301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5D7D2-26FD-4DC1-B3DD-571830557BFF}">
  <dimension ref="A1:Q5983"/>
  <sheetViews>
    <sheetView zoomScaleNormal="100" workbookViewId="0">
      <selection activeCell="I6287" sqref="I628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6" hidden="1" customWidth="1"/>
    <col min="4" max="4" width="15.140625" bestFit="1" customWidth="1"/>
    <col min="5" max="5" width="54.85546875" bestFit="1" customWidth="1"/>
    <col min="6" max="6" width="10.28515625" bestFit="1" customWidth="1"/>
    <col min="7" max="7" width="8.5703125" bestFit="1" customWidth="1"/>
    <col min="8" max="8" width="27" bestFit="1" customWidth="1"/>
    <col min="9" max="9" width="14.42578125" bestFit="1" customWidth="1"/>
    <col min="10" max="10" width="15.7109375" style="10" bestFit="1" customWidth="1"/>
    <col min="11" max="11" width="13.85546875" bestFit="1" customWidth="1"/>
    <col min="12" max="12" width="30.85546875" bestFit="1" customWidth="1"/>
    <col min="13" max="13" width="12" bestFit="1" customWidth="1"/>
    <col min="14" max="14" width="18" bestFit="1" customWidth="1"/>
    <col min="15" max="15" width="81.140625" bestFit="1" customWidth="1"/>
    <col min="16" max="16" width="11" bestFit="1" customWidth="1"/>
    <col min="17" max="17" width="21.7109375" bestFit="1" customWidth="1"/>
    <col min="18" max="18" width="20.7109375" bestFit="1" customWidth="1"/>
  </cols>
  <sheetData>
    <row r="1" spans="1:17" x14ac:dyDescent="0.25">
      <c r="A1" t="s">
        <v>164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170</v>
      </c>
      <c r="H1" t="s">
        <v>201</v>
      </c>
      <c r="I1" t="s">
        <v>171</v>
      </c>
      <c r="J1" s="10" t="s">
        <v>213</v>
      </c>
      <c r="K1" t="s">
        <v>188</v>
      </c>
      <c r="L1" t="s">
        <v>172</v>
      </c>
      <c r="M1" t="s">
        <v>189</v>
      </c>
      <c r="N1" t="s">
        <v>173</v>
      </c>
      <c r="O1" t="s">
        <v>214</v>
      </c>
      <c r="P1" t="s">
        <v>174</v>
      </c>
      <c r="Q1" t="s">
        <v>175</v>
      </c>
    </row>
    <row r="2" spans="1:17" x14ac:dyDescent="0.25">
      <c r="A2" s="23" t="s">
        <v>1098</v>
      </c>
      <c r="B2" s="23" t="s">
        <v>1053</v>
      </c>
      <c r="C2" s="23" t="s">
        <v>176</v>
      </c>
      <c r="D2" s="23" t="s">
        <v>894</v>
      </c>
      <c r="E2" s="23" t="s">
        <v>895</v>
      </c>
      <c r="F2">
        <v>0.05</v>
      </c>
      <c r="G2" s="23" t="s">
        <v>186</v>
      </c>
      <c r="H2">
        <v>0</v>
      </c>
      <c r="I2">
        <v>0</v>
      </c>
      <c r="J2" s="10">
        <v>-2.7755575615628914E-17</v>
      </c>
      <c r="K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2">
        <v>0</v>
      </c>
      <c r="M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2">
        <v>142.5</v>
      </c>
      <c r="O2" s="23" t="s">
        <v>227</v>
      </c>
      <c r="P2">
        <v>7.125</v>
      </c>
      <c r="Q2" s="23" t="s">
        <v>184</v>
      </c>
    </row>
    <row r="3" spans="1:17" x14ac:dyDescent="0.25">
      <c r="A3" s="23" t="s">
        <v>1197</v>
      </c>
      <c r="B3" s="23" t="s">
        <v>1198</v>
      </c>
      <c r="C3" s="23" t="s">
        <v>176</v>
      </c>
      <c r="D3" s="23" t="s">
        <v>894</v>
      </c>
      <c r="E3" s="23" t="s">
        <v>895</v>
      </c>
      <c r="F3">
        <v>0.02</v>
      </c>
      <c r="G3" s="23" t="s">
        <v>186</v>
      </c>
      <c r="H3">
        <v>0</v>
      </c>
      <c r="I3">
        <v>0</v>
      </c>
      <c r="J3" s="10">
        <v>-2.7755575615628914E-17</v>
      </c>
      <c r="K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">
        <v>0</v>
      </c>
      <c r="M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">
        <v>142.5</v>
      </c>
      <c r="O3" s="23" t="s">
        <v>227</v>
      </c>
      <c r="P3">
        <v>2.85</v>
      </c>
      <c r="Q3" s="23" t="s">
        <v>184</v>
      </c>
    </row>
    <row r="4" spans="1:17" x14ac:dyDescent="0.25">
      <c r="A4" s="23" t="s">
        <v>1098</v>
      </c>
      <c r="B4" s="23" t="s">
        <v>1053</v>
      </c>
      <c r="C4" s="23" t="s">
        <v>176</v>
      </c>
      <c r="D4" s="23" t="s">
        <v>899</v>
      </c>
      <c r="E4" s="23" t="s">
        <v>900</v>
      </c>
      <c r="F4">
        <v>0.5</v>
      </c>
      <c r="G4" s="23" t="s">
        <v>177</v>
      </c>
      <c r="H4">
        <v>0</v>
      </c>
      <c r="I4">
        <v>0</v>
      </c>
      <c r="J4" s="10">
        <v>-1.7763568394002505E-15</v>
      </c>
      <c r="K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4">
        <v>10</v>
      </c>
      <c r="M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">
        <v>255.55</v>
      </c>
      <c r="O4" s="23" t="s">
        <v>901</v>
      </c>
      <c r="P4">
        <v>127.77500000000001</v>
      </c>
      <c r="Q4" s="23" t="s">
        <v>184</v>
      </c>
    </row>
    <row r="5" spans="1:17" x14ac:dyDescent="0.25">
      <c r="A5" s="23" t="s">
        <v>1057</v>
      </c>
      <c r="B5" s="23" t="s">
        <v>1056</v>
      </c>
      <c r="C5" s="23" t="s">
        <v>176</v>
      </c>
      <c r="D5" s="23" t="s">
        <v>368</v>
      </c>
      <c r="E5" s="23" t="s">
        <v>369</v>
      </c>
      <c r="F5">
        <v>47</v>
      </c>
      <c r="G5" s="23" t="s">
        <v>177</v>
      </c>
      <c r="H5">
        <v>0</v>
      </c>
      <c r="I5">
        <v>1200</v>
      </c>
      <c r="J5" s="10">
        <v>196</v>
      </c>
      <c r="K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">
        <v>0</v>
      </c>
      <c r="M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">
        <v>12.5</v>
      </c>
      <c r="O5" s="23" t="s">
        <v>370</v>
      </c>
      <c r="P5">
        <v>587.5</v>
      </c>
      <c r="Q5" s="23" t="s">
        <v>181</v>
      </c>
    </row>
    <row r="6" spans="1:17" x14ac:dyDescent="0.25">
      <c r="A6" s="23" t="s">
        <v>1057</v>
      </c>
      <c r="B6" s="23" t="s">
        <v>1056</v>
      </c>
      <c r="C6" s="23" t="s">
        <v>176</v>
      </c>
      <c r="D6" s="23" t="s">
        <v>545</v>
      </c>
      <c r="E6" s="23" t="s">
        <v>546</v>
      </c>
      <c r="F6">
        <v>4</v>
      </c>
      <c r="G6" s="23" t="s">
        <v>177</v>
      </c>
      <c r="H6">
        <v>0</v>
      </c>
      <c r="I6">
        <v>1000</v>
      </c>
      <c r="J6" s="10">
        <v>0</v>
      </c>
      <c r="K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">
        <v>0</v>
      </c>
      <c r="M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">
        <v>0.64</v>
      </c>
      <c r="O6" s="23" t="s">
        <v>242</v>
      </c>
      <c r="P6">
        <v>2.56</v>
      </c>
      <c r="Q6" s="23" t="s">
        <v>181</v>
      </c>
    </row>
    <row r="7" spans="1:17" x14ac:dyDescent="0.25">
      <c r="A7" s="23" t="s">
        <v>1057</v>
      </c>
      <c r="B7" s="23" t="s">
        <v>1056</v>
      </c>
      <c r="C7" s="23" t="s">
        <v>176</v>
      </c>
      <c r="D7" s="23" t="s">
        <v>1008</v>
      </c>
      <c r="E7" s="23" t="s">
        <v>1009</v>
      </c>
      <c r="F7">
        <v>2</v>
      </c>
      <c r="G7" s="23" t="s">
        <v>180</v>
      </c>
      <c r="H7">
        <v>0</v>
      </c>
      <c r="I7">
        <v>54</v>
      </c>
      <c r="J7" s="10">
        <v>10</v>
      </c>
      <c r="K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7">
        <v>0</v>
      </c>
      <c r="M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">
        <v>105.6</v>
      </c>
      <c r="O7" s="23" t="s">
        <v>256</v>
      </c>
      <c r="P7">
        <v>211.2</v>
      </c>
      <c r="Q7" s="23" t="s">
        <v>181</v>
      </c>
    </row>
    <row r="8" spans="1:17" x14ac:dyDescent="0.25">
      <c r="A8" s="23" t="s">
        <v>1097</v>
      </c>
      <c r="B8" s="23" t="s">
        <v>1095</v>
      </c>
      <c r="C8" s="23" t="s">
        <v>198</v>
      </c>
      <c r="D8" s="23" t="s">
        <v>497</v>
      </c>
      <c r="E8" s="23" t="s">
        <v>498</v>
      </c>
      <c r="F8">
        <v>1</v>
      </c>
      <c r="G8" s="23" t="s">
        <v>177</v>
      </c>
      <c r="H8">
        <v>0</v>
      </c>
      <c r="I8">
        <v>3</v>
      </c>
      <c r="J8" s="10">
        <v>8</v>
      </c>
      <c r="K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8">
        <v>0</v>
      </c>
      <c r="M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8" s="23" t="s">
        <v>714</v>
      </c>
      <c r="Q8" s="23" t="s">
        <v>761</v>
      </c>
    </row>
    <row r="9" spans="1:17" x14ac:dyDescent="0.25">
      <c r="A9" s="23" t="s">
        <v>1097</v>
      </c>
      <c r="B9" s="23" t="s">
        <v>1095</v>
      </c>
      <c r="C9" s="23" t="s">
        <v>176</v>
      </c>
      <c r="D9" s="23" t="s">
        <v>902</v>
      </c>
      <c r="E9" s="23" t="s">
        <v>903</v>
      </c>
      <c r="F9">
        <v>4</v>
      </c>
      <c r="G9" s="23" t="s">
        <v>177</v>
      </c>
      <c r="H9">
        <v>0</v>
      </c>
      <c r="I9">
        <v>102</v>
      </c>
      <c r="J9" s="10">
        <v>0</v>
      </c>
      <c r="K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9">
        <v>0</v>
      </c>
      <c r="M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">
        <v>7</v>
      </c>
      <c r="O9" s="23"/>
      <c r="P9">
        <v>28</v>
      </c>
      <c r="Q9" s="23" t="s">
        <v>181</v>
      </c>
    </row>
    <row r="10" spans="1:17" x14ac:dyDescent="0.25">
      <c r="A10" s="23" t="s">
        <v>1097</v>
      </c>
      <c r="B10" s="23" t="s">
        <v>1095</v>
      </c>
      <c r="C10" s="23" t="s">
        <v>176</v>
      </c>
      <c r="D10" s="23" t="s">
        <v>894</v>
      </c>
      <c r="E10" s="23" t="s">
        <v>895</v>
      </c>
      <c r="F10">
        <v>0.05</v>
      </c>
      <c r="G10" s="23" t="s">
        <v>186</v>
      </c>
      <c r="H10">
        <v>0</v>
      </c>
      <c r="I10">
        <v>0</v>
      </c>
      <c r="J10" s="10">
        <v>-2.7755575615628914E-17</v>
      </c>
      <c r="K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10">
        <v>0</v>
      </c>
      <c r="M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10">
        <v>142.5</v>
      </c>
      <c r="O10" s="23" t="s">
        <v>227</v>
      </c>
      <c r="P10">
        <v>7.125</v>
      </c>
      <c r="Q10" s="23" t="s">
        <v>184</v>
      </c>
    </row>
    <row r="11" spans="1:17" x14ac:dyDescent="0.25">
      <c r="A11" s="23" t="s">
        <v>1097</v>
      </c>
      <c r="B11" s="23" t="s">
        <v>1095</v>
      </c>
      <c r="C11" s="23" t="s">
        <v>176</v>
      </c>
      <c r="D11" s="23" t="s">
        <v>368</v>
      </c>
      <c r="E11" s="23" t="s">
        <v>369</v>
      </c>
      <c r="F11">
        <v>48</v>
      </c>
      <c r="G11" s="23" t="s">
        <v>177</v>
      </c>
      <c r="H11">
        <v>0</v>
      </c>
      <c r="I11">
        <v>1200</v>
      </c>
      <c r="J11" s="10">
        <v>196</v>
      </c>
      <c r="K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11">
        <v>0</v>
      </c>
      <c r="M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">
        <v>12.5</v>
      </c>
      <c r="O11" s="23" t="s">
        <v>370</v>
      </c>
      <c r="P11">
        <v>600</v>
      </c>
      <c r="Q11" s="23" t="s">
        <v>181</v>
      </c>
    </row>
    <row r="12" spans="1:17" x14ac:dyDescent="0.25">
      <c r="A12" s="23" t="s">
        <v>1197</v>
      </c>
      <c r="B12" s="23" t="s">
        <v>1198</v>
      </c>
      <c r="C12" s="23" t="s">
        <v>176</v>
      </c>
      <c r="D12" s="23" t="s">
        <v>899</v>
      </c>
      <c r="E12" s="23" t="s">
        <v>900</v>
      </c>
      <c r="F12">
        <v>1</v>
      </c>
      <c r="G12" s="23" t="s">
        <v>177</v>
      </c>
      <c r="H12">
        <v>0</v>
      </c>
      <c r="I12">
        <v>0</v>
      </c>
      <c r="J12" s="10">
        <v>-1.7763568394002505E-15</v>
      </c>
      <c r="K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12">
        <v>10</v>
      </c>
      <c r="M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">
        <v>255.55</v>
      </c>
      <c r="O12" s="23" t="s">
        <v>901</v>
      </c>
      <c r="P12">
        <v>255.55</v>
      </c>
      <c r="Q12" s="23" t="s">
        <v>184</v>
      </c>
    </row>
    <row r="13" spans="1:17" x14ac:dyDescent="0.25">
      <c r="A13" s="23" t="s">
        <v>1097</v>
      </c>
      <c r="B13" s="23" t="s">
        <v>1095</v>
      </c>
      <c r="C13" s="23" t="s">
        <v>176</v>
      </c>
      <c r="D13" s="23" t="s">
        <v>899</v>
      </c>
      <c r="E13" s="23" t="s">
        <v>900</v>
      </c>
      <c r="F13">
        <v>0.5</v>
      </c>
      <c r="G13" s="23" t="s">
        <v>177</v>
      </c>
      <c r="H13">
        <v>0</v>
      </c>
      <c r="I13">
        <v>0</v>
      </c>
      <c r="J13" s="10">
        <v>-1.7763568394002505E-15</v>
      </c>
      <c r="K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13">
        <v>10</v>
      </c>
      <c r="M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">
        <v>255.55</v>
      </c>
      <c r="O13" s="23" t="s">
        <v>901</v>
      </c>
      <c r="P13">
        <v>127.77500000000001</v>
      </c>
      <c r="Q13" s="23" t="s">
        <v>184</v>
      </c>
    </row>
    <row r="14" spans="1:17" x14ac:dyDescent="0.25">
      <c r="A14" s="23" t="s">
        <v>1097</v>
      </c>
      <c r="B14" s="23" t="s">
        <v>1095</v>
      </c>
      <c r="C14" s="23" t="s">
        <v>176</v>
      </c>
      <c r="D14" s="23" t="s">
        <v>545</v>
      </c>
      <c r="E14" s="23" t="s">
        <v>546</v>
      </c>
      <c r="F14">
        <v>4</v>
      </c>
      <c r="G14" s="23" t="s">
        <v>177</v>
      </c>
      <c r="H14">
        <v>0</v>
      </c>
      <c r="I14">
        <v>1000</v>
      </c>
      <c r="J14" s="10">
        <v>0</v>
      </c>
      <c r="K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14">
        <v>0</v>
      </c>
      <c r="M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">
        <v>0.64</v>
      </c>
      <c r="O14" s="23" t="s">
        <v>242</v>
      </c>
      <c r="P14">
        <v>2.56</v>
      </c>
      <c r="Q14" s="23" t="s">
        <v>181</v>
      </c>
    </row>
    <row r="15" spans="1:17" x14ac:dyDescent="0.25">
      <c r="A15" s="23" t="s">
        <v>1097</v>
      </c>
      <c r="B15" s="23" t="s">
        <v>1095</v>
      </c>
      <c r="C15" s="23" t="s">
        <v>176</v>
      </c>
      <c r="D15" s="23" t="s">
        <v>587</v>
      </c>
      <c r="E15" s="23" t="s">
        <v>588</v>
      </c>
      <c r="F15">
        <v>1</v>
      </c>
      <c r="G15" s="23" t="s">
        <v>177</v>
      </c>
      <c r="H15">
        <v>0</v>
      </c>
      <c r="I15">
        <v>0</v>
      </c>
      <c r="J15" s="10">
        <v>0</v>
      </c>
      <c r="K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15">
        <v>0</v>
      </c>
      <c r="M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15">
        <v>60</v>
      </c>
      <c r="O15" s="23" t="s">
        <v>429</v>
      </c>
      <c r="P15">
        <v>60</v>
      </c>
      <c r="Q15" s="23" t="s">
        <v>178</v>
      </c>
    </row>
    <row r="16" spans="1:17" x14ac:dyDescent="0.25">
      <c r="A16" s="23" t="s">
        <v>1143</v>
      </c>
      <c r="B16" s="23" t="s">
        <v>1054</v>
      </c>
      <c r="C16" s="23" t="s">
        <v>198</v>
      </c>
      <c r="D16" s="23" t="s">
        <v>497</v>
      </c>
      <c r="E16" s="23" t="s">
        <v>498</v>
      </c>
      <c r="F16">
        <v>1</v>
      </c>
      <c r="G16" s="23" t="s">
        <v>177</v>
      </c>
      <c r="H16">
        <v>0</v>
      </c>
      <c r="I16">
        <v>3</v>
      </c>
      <c r="J16" s="10">
        <v>8</v>
      </c>
      <c r="K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6">
        <v>0</v>
      </c>
      <c r="M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6" s="23" t="s">
        <v>714</v>
      </c>
      <c r="Q16" s="23" t="s">
        <v>761</v>
      </c>
    </row>
    <row r="17" spans="1:17" x14ac:dyDescent="0.25">
      <c r="A17" s="23" t="s">
        <v>1094</v>
      </c>
      <c r="B17" s="23" t="s">
        <v>1095</v>
      </c>
      <c r="C17" s="23" t="s">
        <v>176</v>
      </c>
      <c r="D17" s="23" t="s">
        <v>894</v>
      </c>
      <c r="E17" s="23" t="s">
        <v>895</v>
      </c>
      <c r="F17">
        <v>0.05</v>
      </c>
      <c r="G17" s="23" t="s">
        <v>186</v>
      </c>
      <c r="H17">
        <v>0</v>
      </c>
      <c r="I17">
        <v>0</v>
      </c>
      <c r="J17" s="10">
        <v>-2.7755575615628914E-17</v>
      </c>
      <c r="K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17">
        <v>0</v>
      </c>
      <c r="M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17">
        <v>142.5</v>
      </c>
      <c r="O17" s="23" t="s">
        <v>227</v>
      </c>
      <c r="P17">
        <v>7.125</v>
      </c>
      <c r="Q17" s="23" t="s">
        <v>184</v>
      </c>
    </row>
    <row r="18" spans="1:17" x14ac:dyDescent="0.25">
      <c r="A18" s="23" t="s">
        <v>1143</v>
      </c>
      <c r="B18" s="23" t="s">
        <v>1054</v>
      </c>
      <c r="C18" s="23" t="s">
        <v>176</v>
      </c>
      <c r="D18" s="23" t="s">
        <v>899</v>
      </c>
      <c r="E18" s="23" t="s">
        <v>900</v>
      </c>
      <c r="F18">
        <v>0.5</v>
      </c>
      <c r="G18" s="23" t="s">
        <v>177</v>
      </c>
      <c r="H18">
        <v>0</v>
      </c>
      <c r="I18">
        <v>0</v>
      </c>
      <c r="J18" s="10">
        <v>-1.7763568394002505E-15</v>
      </c>
      <c r="K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18">
        <v>10</v>
      </c>
      <c r="M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">
        <v>255.55</v>
      </c>
      <c r="O18" s="23" t="s">
        <v>901</v>
      </c>
      <c r="P18">
        <v>127.77500000000001</v>
      </c>
      <c r="Q18" s="23" t="s">
        <v>184</v>
      </c>
    </row>
    <row r="19" spans="1:17" x14ac:dyDescent="0.25">
      <c r="A19" s="23" t="s">
        <v>1150</v>
      </c>
      <c r="B19" s="23" t="s">
        <v>1145</v>
      </c>
      <c r="C19" s="23" t="s">
        <v>198</v>
      </c>
      <c r="D19" s="23" t="s">
        <v>497</v>
      </c>
      <c r="E19" s="23" t="s">
        <v>498</v>
      </c>
      <c r="F19">
        <v>1</v>
      </c>
      <c r="G19" s="23" t="s">
        <v>177</v>
      </c>
      <c r="H19">
        <v>0</v>
      </c>
      <c r="I19">
        <v>3</v>
      </c>
      <c r="J19" s="10">
        <v>8</v>
      </c>
      <c r="K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9">
        <v>0</v>
      </c>
      <c r="M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9" s="23" t="s">
        <v>714</v>
      </c>
      <c r="Q19" s="23" t="s">
        <v>761</v>
      </c>
    </row>
    <row r="20" spans="1:17" x14ac:dyDescent="0.25">
      <c r="A20" s="23" t="s">
        <v>1197</v>
      </c>
      <c r="B20" s="23" t="s">
        <v>1198</v>
      </c>
      <c r="C20" s="23" t="s">
        <v>198</v>
      </c>
      <c r="D20" s="23" t="s">
        <v>497</v>
      </c>
      <c r="E20" s="23" t="s">
        <v>498</v>
      </c>
      <c r="F20">
        <v>1</v>
      </c>
      <c r="G20" s="23" t="s">
        <v>177</v>
      </c>
      <c r="H20">
        <v>0</v>
      </c>
      <c r="I20">
        <v>3</v>
      </c>
      <c r="J20" s="10">
        <v>8</v>
      </c>
      <c r="K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0">
        <v>0</v>
      </c>
      <c r="M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0" s="23" t="s">
        <v>714</v>
      </c>
      <c r="Q20" s="23" t="s">
        <v>761</v>
      </c>
    </row>
    <row r="21" spans="1:17" x14ac:dyDescent="0.25">
      <c r="A21" s="23" t="s">
        <v>1062</v>
      </c>
      <c r="B21" s="23" t="s">
        <v>1053</v>
      </c>
      <c r="C21" s="23" t="s">
        <v>176</v>
      </c>
      <c r="D21" s="23" t="s">
        <v>894</v>
      </c>
      <c r="E21" s="23" t="s">
        <v>895</v>
      </c>
      <c r="F21">
        <v>1</v>
      </c>
      <c r="G21" s="23" t="s">
        <v>186</v>
      </c>
      <c r="H21">
        <v>0</v>
      </c>
      <c r="I21">
        <v>0</v>
      </c>
      <c r="J21" s="10">
        <v>-2.7755575615628914E-17</v>
      </c>
      <c r="K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21">
        <v>0</v>
      </c>
      <c r="M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21">
        <v>142.5</v>
      </c>
      <c r="O21" s="23" t="s">
        <v>227</v>
      </c>
      <c r="P21">
        <v>142.5</v>
      </c>
      <c r="Q21" s="23" t="s">
        <v>184</v>
      </c>
    </row>
    <row r="22" spans="1:17" x14ac:dyDescent="0.25">
      <c r="A22" s="23" t="s">
        <v>1098</v>
      </c>
      <c r="B22" s="23" t="s">
        <v>1053</v>
      </c>
      <c r="C22" s="23" t="s">
        <v>176</v>
      </c>
      <c r="D22" s="23" t="s">
        <v>368</v>
      </c>
      <c r="E22" s="23" t="s">
        <v>369</v>
      </c>
      <c r="F22">
        <v>48</v>
      </c>
      <c r="G22" s="23" t="s">
        <v>177</v>
      </c>
      <c r="H22">
        <v>0</v>
      </c>
      <c r="I22">
        <v>1200</v>
      </c>
      <c r="J22" s="10">
        <v>196</v>
      </c>
      <c r="K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2">
        <v>0</v>
      </c>
      <c r="M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">
        <v>12.5</v>
      </c>
      <c r="O22" s="23" t="s">
        <v>370</v>
      </c>
      <c r="P22">
        <v>600</v>
      </c>
      <c r="Q22" s="23" t="s">
        <v>181</v>
      </c>
    </row>
    <row r="23" spans="1:17" x14ac:dyDescent="0.25">
      <c r="A23" s="23" t="s">
        <v>1094</v>
      </c>
      <c r="B23" s="23" t="s">
        <v>1095</v>
      </c>
      <c r="C23" s="23" t="s">
        <v>198</v>
      </c>
      <c r="D23" s="23" t="s">
        <v>497</v>
      </c>
      <c r="E23" s="23" t="s">
        <v>498</v>
      </c>
      <c r="F23">
        <v>1</v>
      </c>
      <c r="G23" s="23" t="s">
        <v>177</v>
      </c>
      <c r="H23">
        <v>0</v>
      </c>
      <c r="I23">
        <v>3</v>
      </c>
      <c r="J23" s="10">
        <v>8</v>
      </c>
      <c r="K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3">
        <v>0</v>
      </c>
      <c r="M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3" s="23" t="s">
        <v>714</v>
      </c>
      <c r="Q23" s="23" t="s">
        <v>761</v>
      </c>
    </row>
    <row r="24" spans="1:17" x14ac:dyDescent="0.25">
      <c r="A24" s="23" t="s">
        <v>1094</v>
      </c>
      <c r="B24" s="23" t="s">
        <v>1095</v>
      </c>
      <c r="C24" s="23" t="s">
        <v>176</v>
      </c>
      <c r="D24" s="23" t="s">
        <v>902</v>
      </c>
      <c r="E24" s="23" t="s">
        <v>903</v>
      </c>
      <c r="F24">
        <v>4</v>
      </c>
      <c r="G24" s="23" t="s">
        <v>177</v>
      </c>
      <c r="H24">
        <v>0</v>
      </c>
      <c r="I24">
        <v>102</v>
      </c>
      <c r="J24" s="10">
        <v>0</v>
      </c>
      <c r="K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24">
        <v>0</v>
      </c>
      <c r="M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">
        <v>7</v>
      </c>
      <c r="O24" s="23"/>
      <c r="P24">
        <v>28</v>
      </c>
      <c r="Q24" s="23" t="s">
        <v>181</v>
      </c>
    </row>
    <row r="25" spans="1:17" x14ac:dyDescent="0.25">
      <c r="A25" s="23" t="s">
        <v>1143</v>
      </c>
      <c r="B25" s="23" t="s">
        <v>1054</v>
      </c>
      <c r="C25" s="23" t="s">
        <v>176</v>
      </c>
      <c r="D25" s="23" t="s">
        <v>894</v>
      </c>
      <c r="E25" s="23" t="s">
        <v>895</v>
      </c>
      <c r="F25">
        <v>0.05</v>
      </c>
      <c r="G25" s="23" t="s">
        <v>186</v>
      </c>
      <c r="H25">
        <v>0</v>
      </c>
      <c r="I25">
        <v>0</v>
      </c>
      <c r="J25" s="10">
        <v>-2.7755575615628914E-17</v>
      </c>
      <c r="K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25">
        <v>0</v>
      </c>
      <c r="M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25">
        <v>142.5</v>
      </c>
      <c r="O25" s="23" t="s">
        <v>227</v>
      </c>
      <c r="P25">
        <v>7.125</v>
      </c>
      <c r="Q25" s="23" t="s">
        <v>184</v>
      </c>
    </row>
    <row r="26" spans="1:17" x14ac:dyDescent="0.25">
      <c r="A26" s="23" t="s">
        <v>1094</v>
      </c>
      <c r="B26" s="23" t="s">
        <v>1095</v>
      </c>
      <c r="C26" s="23" t="s">
        <v>176</v>
      </c>
      <c r="D26" s="23" t="s">
        <v>368</v>
      </c>
      <c r="E26" s="23" t="s">
        <v>369</v>
      </c>
      <c r="F26">
        <v>48</v>
      </c>
      <c r="G26" s="23" t="s">
        <v>177</v>
      </c>
      <c r="H26">
        <v>0</v>
      </c>
      <c r="I26">
        <v>1200</v>
      </c>
      <c r="J26" s="10">
        <v>196</v>
      </c>
      <c r="K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6">
        <v>0</v>
      </c>
      <c r="M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">
        <v>12.5</v>
      </c>
      <c r="O26" s="23" t="s">
        <v>370</v>
      </c>
      <c r="P26">
        <v>600</v>
      </c>
      <c r="Q26" s="23" t="s">
        <v>181</v>
      </c>
    </row>
    <row r="27" spans="1:17" x14ac:dyDescent="0.25">
      <c r="A27" s="23" t="s">
        <v>1096</v>
      </c>
      <c r="B27" s="23" t="s">
        <v>1053</v>
      </c>
      <c r="C27" s="23" t="s">
        <v>176</v>
      </c>
      <c r="D27" s="23" t="s">
        <v>545</v>
      </c>
      <c r="E27" s="23" t="s">
        <v>546</v>
      </c>
      <c r="F27">
        <v>4</v>
      </c>
      <c r="G27" s="23" t="s">
        <v>177</v>
      </c>
      <c r="H27">
        <v>0</v>
      </c>
      <c r="I27">
        <v>1000</v>
      </c>
      <c r="J27" s="10">
        <v>0</v>
      </c>
      <c r="K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27">
        <v>0</v>
      </c>
      <c r="M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">
        <v>0.64</v>
      </c>
      <c r="O27" s="23" t="s">
        <v>242</v>
      </c>
      <c r="P27">
        <v>2.56</v>
      </c>
      <c r="Q27" s="23" t="s">
        <v>181</v>
      </c>
    </row>
    <row r="28" spans="1:17" x14ac:dyDescent="0.25">
      <c r="A28" s="23" t="s">
        <v>1094</v>
      </c>
      <c r="B28" s="23" t="s">
        <v>1095</v>
      </c>
      <c r="C28" s="23" t="s">
        <v>176</v>
      </c>
      <c r="D28" s="23" t="s">
        <v>545</v>
      </c>
      <c r="E28" s="23" t="s">
        <v>546</v>
      </c>
      <c r="F28">
        <v>4</v>
      </c>
      <c r="G28" s="23" t="s">
        <v>177</v>
      </c>
      <c r="H28">
        <v>0</v>
      </c>
      <c r="I28">
        <v>1000</v>
      </c>
      <c r="J28" s="10">
        <v>0</v>
      </c>
      <c r="K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28">
        <v>0</v>
      </c>
      <c r="M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">
        <v>0.64</v>
      </c>
      <c r="O28" s="23" t="s">
        <v>242</v>
      </c>
      <c r="P28">
        <v>2.56</v>
      </c>
      <c r="Q28" s="23" t="s">
        <v>181</v>
      </c>
    </row>
    <row r="29" spans="1:17" x14ac:dyDescent="0.25">
      <c r="A29" s="23" t="s">
        <v>1057</v>
      </c>
      <c r="B29" s="23" t="s">
        <v>1056</v>
      </c>
      <c r="C29" s="23" t="s">
        <v>176</v>
      </c>
      <c r="D29" s="23" t="s">
        <v>587</v>
      </c>
      <c r="E29" s="23" t="s">
        <v>588</v>
      </c>
      <c r="F29">
        <v>1</v>
      </c>
      <c r="G29" s="23" t="s">
        <v>177</v>
      </c>
      <c r="H29">
        <v>0</v>
      </c>
      <c r="I29">
        <v>0</v>
      </c>
      <c r="J29" s="10">
        <v>0</v>
      </c>
      <c r="K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29">
        <v>0</v>
      </c>
      <c r="M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29">
        <v>60</v>
      </c>
      <c r="O29" s="23" t="s">
        <v>429</v>
      </c>
      <c r="P29">
        <v>60</v>
      </c>
      <c r="Q29" s="23" t="s">
        <v>178</v>
      </c>
    </row>
    <row r="30" spans="1:17" x14ac:dyDescent="0.25">
      <c r="A30" s="23" t="s">
        <v>1094</v>
      </c>
      <c r="B30" s="23" t="s">
        <v>1095</v>
      </c>
      <c r="C30" s="23" t="s">
        <v>176</v>
      </c>
      <c r="D30" s="23" t="s">
        <v>587</v>
      </c>
      <c r="E30" s="23" t="s">
        <v>588</v>
      </c>
      <c r="F30">
        <v>1</v>
      </c>
      <c r="G30" s="23" t="s">
        <v>177</v>
      </c>
      <c r="H30">
        <v>0</v>
      </c>
      <c r="I30">
        <v>0</v>
      </c>
      <c r="J30" s="10">
        <v>0</v>
      </c>
      <c r="K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0">
        <v>0</v>
      </c>
      <c r="M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30">
        <v>60</v>
      </c>
      <c r="O30" s="23" t="s">
        <v>429</v>
      </c>
      <c r="P30">
        <v>60</v>
      </c>
      <c r="Q30" s="23" t="s">
        <v>178</v>
      </c>
    </row>
    <row r="31" spans="1:17" x14ac:dyDescent="0.25">
      <c r="A31" s="23" t="s">
        <v>1096</v>
      </c>
      <c r="B31" s="23" t="s">
        <v>1053</v>
      </c>
      <c r="C31" s="23" t="s">
        <v>176</v>
      </c>
      <c r="D31" s="23" t="s">
        <v>587</v>
      </c>
      <c r="E31" s="23" t="s">
        <v>588</v>
      </c>
      <c r="F31">
        <v>1</v>
      </c>
      <c r="G31" s="23" t="s">
        <v>177</v>
      </c>
      <c r="H31">
        <v>0</v>
      </c>
      <c r="I31">
        <v>0</v>
      </c>
      <c r="J31" s="10">
        <v>0</v>
      </c>
      <c r="K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1">
        <v>0</v>
      </c>
      <c r="M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31">
        <v>60</v>
      </c>
      <c r="O31" s="23" t="s">
        <v>429</v>
      </c>
      <c r="P31">
        <v>60</v>
      </c>
      <c r="Q31" s="23" t="s">
        <v>178</v>
      </c>
    </row>
    <row r="32" spans="1:17" x14ac:dyDescent="0.25">
      <c r="A32" s="23" t="s">
        <v>1197</v>
      </c>
      <c r="B32" s="23" t="s">
        <v>1198</v>
      </c>
      <c r="C32" s="23" t="s">
        <v>176</v>
      </c>
      <c r="D32" s="23" t="s">
        <v>463</v>
      </c>
      <c r="E32" s="23" t="s">
        <v>464</v>
      </c>
      <c r="F32">
        <v>0.54999999999999993</v>
      </c>
      <c r="G32" s="23" t="s">
        <v>177</v>
      </c>
      <c r="H32">
        <v>0</v>
      </c>
      <c r="I32">
        <v>0</v>
      </c>
      <c r="J32" s="10">
        <v>5.5999999999999961</v>
      </c>
      <c r="K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32">
        <v>0</v>
      </c>
      <c r="M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32">
        <v>162.51</v>
      </c>
      <c r="O32" s="23" t="s">
        <v>491</v>
      </c>
      <c r="P32">
        <v>89.380499999999984</v>
      </c>
      <c r="Q32" s="23" t="s">
        <v>184</v>
      </c>
    </row>
    <row r="33" spans="1:17" x14ac:dyDescent="0.25">
      <c r="A33" s="23" t="s">
        <v>1098</v>
      </c>
      <c r="B33" s="23" t="s">
        <v>1053</v>
      </c>
      <c r="C33" s="23" t="s">
        <v>176</v>
      </c>
      <c r="D33" s="23" t="s">
        <v>463</v>
      </c>
      <c r="E33" s="23" t="s">
        <v>464</v>
      </c>
      <c r="F33">
        <v>0.75</v>
      </c>
      <c r="G33" s="23" t="s">
        <v>177</v>
      </c>
      <c r="H33">
        <v>0.75</v>
      </c>
      <c r="I33">
        <v>0</v>
      </c>
      <c r="J33" s="10">
        <v>5.5999999999999961</v>
      </c>
      <c r="K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33">
        <v>0</v>
      </c>
      <c r="M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33">
        <v>162.51</v>
      </c>
      <c r="O33" s="23" t="s">
        <v>491</v>
      </c>
      <c r="P33">
        <v>121.88249999999999</v>
      </c>
      <c r="Q33" s="23" t="s">
        <v>184</v>
      </c>
    </row>
    <row r="34" spans="1:17" x14ac:dyDescent="0.25">
      <c r="A34" s="23" t="s">
        <v>1098</v>
      </c>
      <c r="B34" s="23" t="s">
        <v>1053</v>
      </c>
      <c r="C34" s="23" t="s">
        <v>176</v>
      </c>
      <c r="D34" s="23" t="s">
        <v>148</v>
      </c>
      <c r="E34" s="23" t="s">
        <v>149</v>
      </c>
      <c r="F34">
        <v>1</v>
      </c>
      <c r="G34" s="23" t="s">
        <v>177</v>
      </c>
      <c r="H34">
        <v>0</v>
      </c>
      <c r="I34">
        <v>2</v>
      </c>
      <c r="J34" s="10">
        <v>8</v>
      </c>
      <c r="K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4">
        <v>5</v>
      </c>
      <c r="M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34">
        <v>3152.4</v>
      </c>
      <c r="O34" s="23" t="s">
        <v>228</v>
      </c>
      <c r="P34">
        <v>3152.4</v>
      </c>
      <c r="Q34" s="23" t="s">
        <v>222</v>
      </c>
    </row>
    <row r="35" spans="1:17" x14ac:dyDescent="0.25">
      <c r="A35" s="23" t="s">
        <v>1197</v>
      </c>
      <c r="B35" s="23" t="s">
        <v>1198</v>
      </c>
      <c r="C35" s="23" t="s">
        <v>176</v>
      </c>
      <c r="D35" s="23" t="s">
        <v>232</v>
      </c>
      <c r="E35" s="23" t="s">
        <v>233</v>
      </c>
      <c r="F35">
        <v>2</v>
      </c>
      <c r="G35" s="23" t="s">
        <v>177</v>
      </c>
      <c r="H35">
        <v>0</v>
      </c>
      <c r="I35">
        <v>239</v>
      </c>
      <c r="J35" s="10">
        <v>90</v>
      </c>
      <c r="K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5">
        <v>0</v>
      </c>
      <c r="M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">
        <v>4</v>
      </c>
      <c r="O35" s="23" t="s">
        <v>221</v>
      </c>
      <c r="P35">
        <v>8</v>
      </c>
      <c r="Q35" s="23" t="s">
        <v>222</v>
      </c>
    </row>
    <row r="36" spans="1:17" x14ac:dyDescent="0.25">
      <c r="A36" s="23" t="s">
        <v>1098</v>
      </c>
      <c r="B36" s="23" t="s">
        <v>1053</v>
      </c>
      <c r="C36" s="23" t="s">
        <v>176</v>
      </c>
      <c r="D36" s="23" t="s">
        <v>232</v>
      </c>
      <c r="E36" s="23" t="s">
        <v>233</v>
      </c>
      <c r="F36">
        <v>2</v>
      </c>
      <c r="G36" s="23" t="s">
        <v>177</v>
      </c>
      <c r="H36">
        <v>0</v>
      </c>
      <c r="I36">
        <v>239</v>
      </c>
      <c r="J36" s="10">
        <v>90</v>
      </c>
      <c r="K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6">
        <v>0</v>
      </c>
      <c r="M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">
        <v>4</v>
      </c>
      <c r="O36" s="23" t="s">
        <v>221</v>
      </c>
      <c r="P36">
        <v>8</v>
      </c>
      <c r="Q36" s="23" t="s">
        <v>222</v>
      </c>
    </row>
    <row r="37" spans="1:17" x14ac:dyDescent="0.25">
      <c r="A37" s="23" t="s">
        <v>1057</v>
      </c>
      <c r="B37" s="23" t="s">
        <v>1056</v>
      </c>
      <c r="C37" s="23" t="s">
        <v>176</v>
      </c>
      <c r="D37" s="23" t="s">
        <v>485</v>
      </c>
      <c r="E37" s="23" t="s">
        <v>486</v>
      </c>
      <c r="F37">
        <v>2</v>
      </c>
      <c r="G37" s="23" t="s">
        <v>177</v>
      </c>
      <c r="H37">
        <v>0</v>
      </c>
      <c r="I37">
        <v>35</v>
      </c>
      <c r="J37" s="10">
        <v>8</v>
      </c>
      <c r="K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</v>
      </c>
      <c r="L37">
        <v>0</v>
      </c>
      <c r="M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">
        <v>94.17</v>
      </c>
      <c r="O37" s="23" t="s">
        <v>483</v>
      </c>
      <c r="P37">
        <v>188.34</v>
      </c>
      <c r="Q37" s="23" t="s">
        <v>484</v>
      </c>
    </row>
    <row r="38" spans="1:17" x14ac:dyDescent="0.25">
      <c r="A38" s="23" t="s">
        <v>1142</v>
      </c>
      <c r="B38" s="23" t="s">
        <v>1054</v>
      </c>
      <c r="C38" s="23" t="s">
        <v>176</v>
      </c>
      <c r="D38" s="23" t="s">
        <v>492</v>
      </c>
      <c r="E38" s="23" t="s">
        <v>493</v>
      </c>
      <c r="F38">
        <v>14</v>
      </c>
      <c r="G38" s="23" t="s">
        <v>180</v>
      </c>
      <c r="H38">
        <v>0</v>
      </c>
      <c r="I38">
        <v>0</v>
      </c>
      <c r="J38" s="10">
        <v>0</v>
      </c>
      <c r="K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8">
        <v>200</v>
      </c>
      <c r="M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8">
        <v>4.01</v>
      </c>
      <c r="O38" s="23" t="s">
        <v>708</v>
      </c>
      <c r="P38">
        <v>56.14</v>
      </c>
      <c r="Q38" s="23" t="s">
        <v>185</v>
      </c>
    </row>
    <row r="39" spans="1:17" x14ac:dyDescent="0.25">
      <c r="A39" s="23" t="s">
        <v>1149</v>
      </c>
      <c r="B39" s="23" t="s">
        <v>1145</v>
      </c>
      <c r="C39" s="23" t="s">
        <v>176</v>
      </c>
      <c r="D39" s="23" t="s">
        <v>463</v>
      </c>
      <c r="E39" s="23" t="s">
        <v>464</v>
      </c>
      <c r="F39">
        <v>0.54999999999999993</v>
      </c>
      <c r="G39" s="23" t="s">
        <v>177</v>
      </c>
      <c r="H39">
        <v>0</v>
      </c>
      <c r="I39">
        <v>0</v>
      </c>
      <c r="J39" s="10">
        <v>5.5999999999999961</v>
      </c>
      <c r="K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39">
        <v>0</v>
      </c>
      <c r="M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39">
        <v>162.51</v>
      </c>
      <c r="O39" s="23" t="s">
        <v>491</v>
      </c>
      <c r="P39">
        <v>89.380499999999984</v>
      </c>
      <c r="Q39" s="23" t="s">
        <v>184</v>
      </c>
    </row>
    <row r="40" spans="1:17" x14ac:dyDescent="0.25">
      <c r="A40" s="23" t="s">
        <v>1149</v>
      </c>
      <c r="B40" s="23" t="s">
        <v>1145</v>
      </c>
      <c r="C40" s="23" t="s">
        <v>176</v>
      </c>
      <c r="D40" s="23" t="s">
        <v>148</v>
      </c>
      <c r="E40" s="23" t="s">
        <v>149</v>
      </c>
      <c r="F40">
        <v>1</v>
      </c>
      <c r="G40" s="23" t="s">
        <v>177</v>
      </c>
      <c r="H40">
        <v>0</v>
      </c>
      <c r="I40">
        <v>2</v>
      </c>
      <c r="J40" s="10">
        <v>8</v>
      </c>
      <c r="K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0">
        <v>5</v>
      </c>
      <c r="M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40">
        <v>3152.4</v>
      </c>
      <c r="O40" s="23" t="s">
        <v>228</v>
      </c>
      <c r="P40">
        <v>3152.4</v>
      </c>
      <c r="Q40" s="23" t="s">
        <v>222</v>
      </c>
    </row>
    <row r="41" spans="1:17" x14ac:dyDescent="0.25">
      <c r="A41" s="23" t="s">
        <v>1062</v>
      </c>
      <c r="B41" s="23" t="s">
        <v>1053</v>
      </c>
      <c r="C41" s="23" t="s">
        <v>176</v>
      </c>
      <c r="D41" s="23" t="s">
        <v>463</v>
      </c>
      <c r="E41" s="23" t="s">
        <v>464</v>
      </c>
      <c r="F41">
        <v>0.81</v>
      </c>
      <c r="G41" s="23" t="s">
        <v>177</v>
      </c>
      <c r="H41">
        <v>0.81</v>
      </c>
      <c r="I41">
        <v>0</v>
      </c>
      <c r="J41" s="10">
        <v>5.5999999999999961</v>
      </c>
      <c r="K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41">
        <v>0</v>
      </c>
      <c r="M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41">
        <v>162.51</v>
      </c>
      <c r="O41" s="23" t="s">
        <v>491</v>
      </c>
      <c r="P41">
        <v>131.63310000000001</v>
      </c>
      <c r="Q41" s="23" t="s">
        <v>184</v>
      </c>
    </row>
    <row r="42" spans="1:17" x14ac:dyDescent="0.25">
      <c r="A42" s="23" t="s">
        <v>1062</v>
      </c>
      <c r="B42" s="23" t="s">
        <v>1053</v>
      </c>
      <c r="C42" s="23" t="s">
        <v>176</v>
      </c>
      <c r="D42" s="23" t="s">
        <v>492</v>
      </c>
      <c r="E42" s="23" t="s">
        <v>493</v>
      </c>
      <c r="F42">
        <v>15</v>
      </c>
      <c r="G42" s="23" t="s">
        <v>180</v>
      </c>
      <c r="H42">
        <v>0</v>
      </c>
      <c r="I42">
        <v>0</v>
      </c>
      <c r="J42" s="10">
        <v>0</v>
      </c>
      <c r="K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42">
        <v>200</v>
      </c>
      <c r="M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42">
        <v>4.01</v>
      </c>
      <c r="O42" s="23" t="s">
        <v>708</v>
      </c>
      <c r="P42">
        <v>60.15</v>
      </c>
      <c r="Q42" s="23" t="s">
        <v>185</v>
      </c>
    </row>
    <row r="43" spans="1:17" x14ac:dyDescent="0.25">
      <c r="A43" s="23" t="s">
        <v>1197</v>
      </c>
      <c r="B43" s="23" t="s">
        <v>1198</v>
      </c>
      <c r="C43" s="23" t="s">
        <v>176</v>
      </c>
      <c r="D43" s="23" t="s">
        <v>492</v>
      </c>
      <c r="E43" s="23" t="s">
        <v>493</v>
      </c>
      <c r="F43">
        <v>14</v>
      </c>
      <c r="G43" s="23" t="s">
        <v>180</v>
      </c>
      <c r="H43">
        <v>0</v>
      </c>
      <c r="I43">
        <v>0</v>
      </c>
      <c r="J43" s="10">
        <v>0</v>
      </c>
      <c r="K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43">
        <v>200</v>
      </c>
      <c r="M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43">
        <v>4.01</v>
      </c>
      <c r="O43" s="23" t="s">
        <v>708</v>
      </c>
      <c r="P43">
        <v>56.14</v>
      </c>
      <c r="Q43" s="23" t="s">
        <v>185</v>
      </c>
    </row>
    <row r="44" spans="1:17" x14ac:dyDescent="0.25">
      <c r="A44" s="23" t="s">
        <v>1098</v>
      </c>
      <c r="B44" s="23" t="s">
        <v>1053</v>
      </c>
      <c r="C44" s="23" t="s">
        <v>176</v>
      </c>
      <c r="D44" s="23" t="s">
        <v>492</v>
      </c>
      <c r="E44" s="23" t="s">
        <v>493</v>
      </c>
      <c r="F44">
        <v>14</v>
      </c>
      <c r="G44" s="23" t="s">
        <v>180</v>
      </c>
      <c r="H44">
        <v>0</v>
      </c>
      <c r="I44">
        <v>0</v>
      </c>
      <c r="J44" s="10">
        <v>0</v>
      </c>
      <c r="K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44">
        <v>200</v>
      </c>
      <c r="M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44">
        <v>4.01</v>
      </c>
      <c r="O44" s="23" t="s">
        <v>708</v>
      </c>
      <c r="P44">
        <v>56.14</v>
      </c>
      <c r="Q44" s="23" t="s">
        <v>185</v>
      </c>
    </row>
    <row r="45" spans="1:17" x14ac:dyDescent="0.25">
      <c r="A45" s="23" t="s">
        <v>1062</v>
      </c>
      <c r="B45" s="23" t="s">
        <v>1053</v>
      </c>
      <c r="C45" s="23" t="s">
        <v>176</v>
      </c>
      <c r="D45" s="23" t="s">
        <v>232</v>
      </c>
      <c r="E45" s="23" t="s">
        <v>233</v>
      </c>
      <c r="F45">
        <v>2</v>
      </c>
      <c r="G45" s="23" t="s">
        <v>177</v>
      </c>
      <c r="H45">
        <v>0</v>
      </c>
      <c r="I45">
        <v>239</v>
      </c>
      <c r="J45" s="10">
        <v>90</v>
      </c>
      <c r="K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45">
        <v>0</v>
      </c>
      <c r="M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">
        <v>4</v>
      </c>
      <c r="O45" s="23" t="s">
        <v>221</v>
      </c>
      <c r="P45">
        <v>8</v>
      </c>
      <c r="Q45" s="23" t="s">
        <v>222</v>
      </c>
    </row>
    <row r="46" spans="1:17" x14ac:dyDescent="0.25">
      <c r="A46" s="23" t="s">
        <v>1062</v>
      </c>
      <c r="B46" s="23" t="s">
        <v>1053</v>
      </c>
      <c r="C46" s="23" t="s">
        <v>176</v>
      </c>
      <c r="D46" s="23" t="s">
        <v>15</v>
      </c>
      <c r="E46" s="23" t="s">
        <v>16</v>
      </c>
      <c r="F46">
        <v>1</v>
      </c>
      <c r="G46" s="23" t="s">
        <v>177</v>
      </c>
      <c r="H46">
        <v>0</v>
      </c>
      <c r="I46">
        <v>7</v>
      </c>
      <c r="J46" s="10">
        <v>10</v>
      </c>
      <c r="K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6">
        <v>0</v>
      </c>
      <c r="M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46">
        <v>3383.99</v>
      </c>
      <c r="O46" s="23" t="s">
        <v>216</v>
      </c>
      <c r="P46">
        <v>3383.99</v>
      </c>
      <c r="Q46" s="23" t="s">
        <v>222</v>
      </c>
    </row>
    <row r="47" spans="1:17" x14ac:dyDescent="0.25">
      <c r="A47" s="23" t="s">
        <v>1142</v>
      </c>
      <c r="B47" s="23" t="s">
        <v>1054</v>
      </c>
      <c r="C47" s="23" t="s">
        <v>176</v>
      </c>
      <c r="D47" s="23" t="s">
        <v>148</v>
      </c>
      <c r="E47" s="23" t="s">
        <v>149</v>
      </c>
      <c r="F47">
        <v>2</v>
      </c>
      <c r="G47" s="23" t="s">
        <v>177</v>
      </c>
      <c r="H47">
        <v>0</v>
      </c>
      <c r="I47">
        <v>2</v>
      </c>
      <c r="J47" s="10">
        <v>8</v>
      </c>
      <c r="K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47">
        <v>5</v>
      </c>
      <c r="M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47">
        <v>3152.4</v>
      </c>
      <c r="O47" s="23" t="s">
        <v>228</v>
      </c>
      <c r="P47">
        <v>6304.8</v>
      </c>
      <c r="Q47" s="23" t="s">
        <v>222</v>
      </c>
    </row>
    <row r="48" spans="1:17" x14ac:dyDescent="0.25">
      <c r="A48" s="23" t="s">
        <v>1144</v>
      </c>
      <c r="B48" s="23" t="s">
        <v>1145</v>
      </c>
      <c r="C48" s="23" t="s">
        <v>176</v>
      </c>
      <c r="D48" s="23" t="s">
        <v>463</v>
      </c>
      <c r="E48" s="23" t="s">
        <v>464</v>
      </c>
      <c r="F48">
        <v>0.55000000000000004</v>
      </c>
      <c r="G48" s="23" t="s">
        <v>177</v>
      </c>
      <c r="H48">
        <v>0</v>
      </c>
      <c r="I48">
        <v>0</v>
      </c>
      <c r="J48" s="10">
        <v>5.5999999999999961</v>
      </c>
      <c r="K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48">
        <v>0</v>
      </c>
      <c r="M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48">
        <v>162.51</v>
      </c>
      <c r="O48" s="23" t="s">
        <v>491</v>
      </c>
      <c r="P48">
        <v>89.380499999999998</v>
      </c>
      <c r="Q48" s="23" t="s">
        <v>184</v>
      </c>
    </row>
    <row r="49" spans="1:17" x14ac:dyDescent="0.25">
      <c r="A49" s="23" t="s">
        <v>1142</v>
      </c>
      <c r="B49" s="23" t="s">
        <v>1054</v>
      </c>
      <c r="C49" s="23" t="s">
        <v>176</v>
      </c>
      <c r="D49" s="23" t="s">
        <v>463</v>
      </c>
      <c r="E49" s="23" t="s">
        <v>464</v>
      </c>
      <c r="F49">
        <v>0.54999999999999993</v>
      </c>
      <c r="G49" s="23" t="s">
        <v>177</v>
      </c>
      <c r="H49">
        <v>0</v>
      </c>
      <c r="I49">
        <v>0</v>
      </c>
      <c r="J49" s="10">
        <v>5.5999999999999961</v>
      </c>
      <c r="K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49">
        <v>0</v>
      </c>
      <c r="M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49">
        <v>162.51</v>
      </c>
      <c r="O49" s="23" t="s">
        <v>491</v>
      </c>
      <c r="P49">
        <v>89.380499999999984</v>
      </c>
      <c r="Q49" s="23" t="s">
        <v>184</v>
      </c>
    </row>
    <row r="50" spans="1:17" x14ac:dyDescent="0.25">
      <c r="A50" s="23" t="s">
        <v>1143</v>
      </c>
      <c r="B50" s="23" t="s">
        <v>1054</v>
      </c>
      <c r="C50" s="23" t="s">
        <v>176</v>
      </c>
      <c r="D50" s="23" t="s">
        <v>463</v>
      </c>
      <c r="E50" s="23" t="s">
        <v>464</v>
      </c>
      <c r="F50">
        <v>0.75</v>
      </c>
      <c r="G50" s="23" t="s">
        <v>177</v>
      </c>
      <c r="H50">
        <v>0</v>
      </c>
      <c r="I50">
        <v>0</v>
      </c>
      <c r="J50" s="10">
        <v>5.5999999999999961</v>
      </c>
      <c r="K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0">
        <v>0</v>
      </c>
      <c r="M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0">
        <v>162.51</v>
      </c>
      <c r="O50" s="23" t="s">
        <v>491</v>
      </c>
      <c r="P50">
        <v>121.88249999999999</v>
      </c>
      <c r="Q50" s="23" t="s">
        <v>184</v>
      </c>
    </row>
    <row r="51" spans="1:17" x14ac:dyDescent="0.25">
      <c r="A51" s="23" t="s">
        <v>1143</v>
      </c>
      <c r="B51" s="23" t="s">
        <v>1054</v>
      </c>
      <c r="C51" s="23" t="s">
        <v>176</v>
      </c>
      <c r="D51" s="23" t="s">
        <v>148</v>
      </c>
      <c r="E51" s="23" t="s">
        <v>149</v>
      </c>
      <c r="F51">
        <v>2</v>
      </c>
      <c r="G51" s="23" t="s">
        <v>177</v>
      </c>
      <c r="H51">
        <v>0</v>
      </c>
      <c r="I51">
        <v>2</v>
      </c>
      <c r="J51" s="10">
        <v>8</v>
      </c>
      <c r="K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1">
        <v>5</v>
      </c>
      <c r="M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1">
        <v>3152.4</v>
      </c>
      <c r="O51" s="23" t="s">
        <v>228</v>
      </c>
      <c r="P51">
        <v>6304.8</v>
      </c>
      <c r="Q51" s="23" t="s">
        <v>222</v>
      </c>
    </row>
    <row r="52" spans="1:17" x14ac:dyDescent="0.25">
      <c r="A52" s="23" t="s">
        <v>1094</v>
      </c>
      <c r="B52" s="23" t="s">
        <v>1095</v>
      </c>
      <c r="C52" s="23" t="s">
        <v>176</v>
      </c>
      <c r="D52" s="23" t="s">
        <v>492</v>
      </c>
      <c r="E52" s="23" t="s">
        <v>493</v>
      </c>
      <c r="F52">
        <v>14</v>
      </c>
      <c r="G52" s="23" t="s">
        <v>180</v>
      </c>
      <c r="H52">
        <v>0</v>
      </c>
      <c r="I52">
        <v>0</v>
      </c>
      <c r="J52" s="10">
        <v>0</v>
      </c>
      <c r="K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52">
        <v>200</v>
      </c>
      <c r="M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52">
        <v>4.01</v>
      </c>
      <c r="O52" s="23" t="s">
        <v>708</v>
      </c>
      <c r="P52">
        <v>56.14</v>
      </c>
      <c r="Q52" s="23" t="s">
        <v>185</v>
      </c>
    </row>
    <row r="53" spans="1:17" x14ac:dyDescent="0.25">
      <c r="A53" s="23" t="s">
        <v>1096</v>
      </c>
      <c r="B53" s="23" t="s">
        <v>1053</v>
      </c>
      <c r="C53" s="23" t="s">
        <v>176</v>
      </c>
      <c r="D53" s="23" t="s">
        <v>492</v>
      </c>
      <c r="E53" s="23" t="s">
        <v>493</v>
      </c>
      <c r="F53">
        <v>15</v>
      </c>
      <c r="G53" s="23" t="s">
        <v>180</v>
      </c>
      <c r="H53">
        <v>0</v>
      </c>
      <c r="I53">
        <v>0</v>
      </c>
      <c r="J53" s="10">
        <v>0</v>
      </c>
      <c r="K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53">
        <v>200</v>
      </c>
      <c r="M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53">
        <v>4.01</v>
      </c>
      <c r="O53" s="23" t="s">
        <v>708</v>
      </c>
      <c r="P53">
        <v>60.15</v>
      </c>
      <c r="Q53" s="23" t="s">
        <v>185</v>
      </c>
    </row>
    <row r="54" spans="1:17" x14ac:dyDescent="0.25">
      <c r="A54" s="23" t="s">
        <v>1150</v>
      </c>
      <c r="B54" s="23" t="s">
        <v>1145</v>
      </c>
      <c r="C54" s="23" t="s">
        <v>176</v>
      </c>
      <c r="D54" s="23" t="s">
        <v>463</v>
      </c>
      <c r="E54" s="23" t="s">
        <v>464</v>
      </c>
      <c r="F54">
        <v>0.54999999999999993</v>
      </c>
      <c r="G54" s="23" t="s">
        <v>177</v>
      </c>
      <c r="H54">
        <v>0</v>
      </c>
      <c r="I54">
        <v>0</v>
      </c>
      <c r="J54" s="10">
        <v>5.5999999999999961</v>
      </c>
      <c r="K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4">
        <v>0</v>
      </c>
      <c r="M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4">
        <v>162.51</v>
      </c>
      <c r="O54" s="23" t="s">
        <v>491</v>
      </c>
      <c r="P54">
        <v>89.380499999999984</v>
      </c>
      <c r="Q54" s="23" t="s">
        <v>184</v>
      </c>
    </row>
    <row r="55" spans="1:17" x14ac:dyDescent="0.25">
      <c r="A55" s="23" t="s">
        <v>1097</v>
      </c>
      <c r="B55" s="23" t="s">
        <v>1095</v>
      </c>
      <c r="C55" s="23" t="s">
        <v>176</v>
      </c>
      <c r="D55" s="23" t="s">
        <v>463</v>
      </c>
      <c r="E55" s="23" t="s">
        <v>464</v>
      </c>
      <c r="F55">
        <v>1.05</v>
      </c>
      <c r="G55" s="23" t="s">
        <v>177</v>
      </c>
      <c r="H55">
        <v>0</v>
      </c>
      <c r="I55">
        <v>0</v>
      </c>
      <c r="J55" s="10">
        <v>5.5999999999999961</v>
      </c>
      <c r="K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5">
        <v>0</v>
      </c>
      <c r="M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5">
        <v>162.51</v>
      </c>
      <c r="O55" s="23" t="s">
        <v>491</v>
      </c>
      <c r="P55">
        <v>170.63550000000001</v>
      </c>
      <c r="Q55" s="23" t="s">
        <v>184</v>
      </c>
    </row>
    <row r="56" spans="1:17" x14ac:dyDescent="0.25">
      <c r="A56" s="23" t="s">
        <v>1097</v>
      </c>
      <c r="B56" s="23" t="s">
        <v>1095</v>
      </c>
      <c r="C56" s="23" t="s">
        <v>176</v>
      </c>
      <c r="D56" s="23" t="s">
        <v>492</v>
      </c>
      <c r="E56" s="23" t="s">
        <v>493</v>
      </c>
      <c r="F56">
        <v>14</v>
      </c>
      <c r="G56" s="23" t="s">
        <v>180</v>
      </c>
      <c r="H56">
        <v>0</v>
      </c>
      <c r="I56">
        <v>0</v>
      </c>
      <c r="J56" s="10">
        <v>0</v>
      </c>
      <c r="K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56">
        <v>200</v>
      </c>
      <c r="M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56">
        <v>4.01</v>
      </c>
      <c r="O56" s="23" t="s">
        <v>708</v>
      </c>
      <c r="P56">
        <v>56.14</v>
      </c>
      <c r="Q56" s="23" t="s">
        <v>185</v>
      </c>
    </row>
    <row r="57" spans="1:17" x14ac:dyDescent="0.25">
      <c r="A57" s="23" t="s">
        <v>1097</v>
      </c>
      <c r="B57" s="23" t="s">
        <v>1095</v>
      </c>
      <c r="C57" s="23" t="s">
        <v>176</v>
      </c>
      <c r="D57" s="23" t="s">
        <v>232</v>
      </c>
      <c r="E57" s="23" t="s">
        <v>233</v>
      </c>
      <c r="F57">
        <v>2</v>
      </c>
      <c r="G57" s="23" t="s">
        <v>177</v>
      </c>
      <c r="H57">
        <v>0</v>
      </c>
      <c r="I57">
        <v>239</v>
      </c>
      <c r="J57" s="10">
        <v>90</v>
      </c>
      <c r="K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57">
        <v>0</v>
      </c>
      <c r="M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">
        <v>4</v>
      </c>
      <c r="O57" s="23" t="s">
        <v>221</v>
      </c>
      <c r="P57">
        <v>8</v>
      </c>
      <c r="Q57" s="23" t="s">
        <v>222</v>
      </c>
    </row>
    <row r="58" spans="1:17" x14ac:dyDescent="0.25">
      <c r="A58" s="23" t="s">
        <v>1097</v>
      </c>
      <c r="B58" s="23" t="s">
        <v>1095</v>
      </c>
      <c r="C58" s="23" t="s">
        <v>176</v>
      </c>
      <c r="D58" s="23" t="s">
        <v>15</v>
      </c>
      <c r="E58" s="23" t="s">
        <v>16</v>
      </c>
      <c r="F58">
        <v>1</v>
      </c>
      <c r="G58" s="23" t="s">
        <v>177</v>
      </c>
      <c r="H58">
        <v>0</v>
      </c>
      <c r="I58">
        <v>7</v>
      </c>
      <c r="J58" s="10">
        <v>10</v>
      </c>
      <c r="K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8">
        <v>0</v>
      </c>
      <c r="M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58">
        <v>3383.99</v>
      </c>
      <c r="O58" s="23" t="s">
        <v>216</v>
      </c>
      <c r="P58">
        <v>3383.99</v>
      </c>
      <c r="Q58" s="23" t="s">
        <v>222</v>
      </c>
    </row>
    <row r="59" spans="1:17" x14ac:dyDescent="0.25">
      <c r="A59" s="23" t="s">
        <v>1058</v>
      </c>
      <c r="B59" s="23" t="s">
        <v>1059</v>
      </c>
      <c r="C59" s="23" t="s">
        <v>176</v>
      </c>
      <c r="D59" s="23" t="s">
        <v>820</v>
      </c>
      <c r="E59" s="23" t="s">
        <v>821</v>
      </c>
      <c r="F59">
        <v>5</v>
      </c>
      <c r="G59" s="23" t="s">
        <v>177</v>
      </c>
      <c r="H59">
        <v>5</v>
      </c>
      <c r="I59">
        <v>15</v>
      </c>
      <c r="J59" s="10">
        <v>10</v>
      </c>
      <c r="K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59">
        <v>0</v>
      </c>
      <c r="M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59">
        <v>177.29</v>
      </c>
      <c r="O59" s="23" t="s">
        <v>277</v>
      </c>
      <c r="P59">
        <v>886.44999999999993</v>
      </c>
      <c r="Q59" s="23" t="s">
        <v>181</v>
      </c>
    </row>
    <row r="60" spans="1:17" x14ac:dyDescent="0.25">
      <c r="A60" s="23" t="s">
        <v>1147</v>
      </c>
      <c r="B60" s="23" t="s">
        <v>1145</v>
      </c>
      <c r="C60" s="23" t="s">
        <v>176</v>
      </c>
      <c r="D60" s="23" t="s">
        <v>820</v>
      </c>
      <c r="E60" s="23" t="s">
        <v>821</v>
      </c>
      <c r="F60">
        <v>5</v>
      </c>
      <c r="G60" s="23" t="s">
        <v>177</v>
      </c>
      <c r="H60">
        <v>0</v>
      </c>
      <c r="I60">
        <v>15</v>
      </c>
      <c r="J60" s="10">
        <v>10</v>
      </c>
      <c r="K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60">
        <v>0</v>
      </c>
      <c r="M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60">
        <v>177.29</v>
      </c>
      <c r="O60" s="23" t="s">
        <v>277</v>
      </c>
      <c r="P60">
        <v>886.44999999999993</v>
      </c>
      <c r="Q60" s="23" t="s">
        <v>181</v>
      </c>
    </row>
    <row r="61" spans="1:17" x14ac:dyDescent="0.25">
      <c r="A61" s="23" t="s">
        <v>1100</v>
      </c>
      <c r="B61" s="23" t="s">
        <v>1101</v>
      </c>
      <c r="C61" s="23" t="s">
        <v>176</v>
      </c>
      <c r="D61" s="23" t="s">
        <v>127</v>
      </c>
      <c r="E61" s="23" t="s">
        <v>128</v>
      </c>
      <c r="F61">
        <v>50</v>
      </c>
      <c r="G61" s="23" t="s">
        <v>180</v>
      </c>
      <c r="H61">
        <v>0</v>
      </c>
      <c r="I61">
        <v>0</v>
      </c>
      <c r="J61" s="10">
        <v>1804.0000000000018</v>
      </c>
      <c r="K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61">
        <v>0</v>
      </c>
      <c r="M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61">
        <v>9.68</v>
      </c>
      <c r="O61" s="23" t="s">
        <v>1152</v>
      </c>
      <c r="P61">
        <v>484</v>
      </c>
      <c r="Q61" s="23" t="s">
        <v>182</v>
      </c>
    </row>
    <row r="62" spans="1:17" x14ac:dyDescent="0.25">
      <c r="A62" s="23" t="s">
        <v>1100</v>
      </c>
      <c r="B62" s="23" t="s">
        <v>1101</v>
      </c>
      <c r="C62" s="23" t="s">
        <v>176</v>
      </c>
      <c r="D62" s="23" t="s">
        <v>129</v>
      </c>
      <c r="E62" s="23" t="s">
        <v>130</v>
      </c>
      <c r="F62">
        <v>9.6300000000000008</v>
      </c>
      <c r="G62" s="23" t="s">
        <v>186</v>
      </c>
      <c r="H62">
        <v>0</v>
      </c>
      <c r="I62">
        <v>0</v>
      </c>
      <c r="J62" s="10">
        <v>260.61</v>
      </c>
      <c r="K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2">
        <v>0</v>
      </c>
      <c r="M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2">
        <v>136.18</v>
      </c>
      <c r="O62" s="23" t="s">
        <v>254</v>
      </c>
      <c r="P62">
        <v>1311.4134000000001</v>
      </c>
      <c r="Q62" s="23" t="s">
        <v>184</v>
      </c>
    </row>
    <row r="63" spans="1:17" x14ac:dyDescent="0.25">
      <c r="A63" s="23" t="s">
        <v>1100</v>
      </c>
      <c r="B63" s="23" t="s">
        <v>1101</v>
      </c>
      <c r="C63" s="23" t="s">
        <v>176</v>
      </c>
      <c r="D63" s="23" t="s">
        <v>834</v>
      </c>
      <c r="E63" s="23" t="s">
        <v>835</v>
      </c>
      <c r="F63">
        <v>0.5</v>
      </c>
      <c r="G63" s="23" t="s">
        <v>180</v>
      </c>
      <c r="H63">
        <v>0</v>
      </c>
      <c r="I63">
        <v>0</v>
      </c>
      <c r="J63" s="10">
        <v>36.5</v>
      </c>
      <c r="K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3">
        <v>0</v>
      </c>
      <c r="M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3">
        <v>27.81</v>
      </c>
      <c r="O63" s="23" t="s">
        <v>836</v>
      </c>
      <c r="P63">
        <v>13.904999999999999</v>
      </c>
      <c r="Q63" s="23" t="s">
        <v>185</v>
      </c>
    </row>
    <row r="64" spans="1:17" x14ac:dyDescent="0.25">
      <c r="A64" s="23" t="s">
        <v>1149</v>
      </c>
      <c r="B64" s="23" t="s">
        <v>1145</v>
      </c>
      <c r="C64" s="23" t="s">
        <v>176</v>
      </c>
      <c r="D64" s="23" t="s">
        <v>129</v>
      </c>
      <c r="E64" s="23" t="s">
        <v>130</v>
      </c>
      <c r="F64">
        <v>7</v>
      </c>
      <c r="G64" s="23" t="s">
        <v>186</v>
      </c>
      <c r="H64">
        <v>0</v>
      </c>
      <c r="I64">
        <v>0</v>
      </c>
      <c r="J64" s="10">
        <v>260.61</v>
      </c>
      <c r="K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4">
        <v>0</v>
      </c>
      <c r="M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4">
        <v>136.18</v>
      </c>
      <c r="O64" s="23" t="s">
        <v>254</v>
      </c>
      <c r="P64">
        <v>953.26</v>
      </c>
      <c r="Q64" s="23" t="s">
        <v>184</v>
      </c>
    </row>
    <row r="65" spans="1:17" x14ac:dyDescent="0.25">
      <c r="A65" s="23" t="s">
        <v>1149</v>
      </c>
      <c r="B65" s="23" t="s">
        <v>1145</v>
      </c>
      <c r="C65" s="23" t="s">
        <v>176</v>
      </c>
      <c r="D65" s="23" t="s">
        <v>834</v>
      </c>
      <c r="E65" s="23" t="s">
        <v>835</v>
      </c>
      <c r="F65">
        <v>0.5</v>
      </c>
      <c r="G65" s="23" t="s">
        <v>180</v>
      </c>
      <c r="H65">
        <v>0</v>
      </c>
      <c r="I65">
        <v>0</v>
      </c>
      <c r="J65" s="10">
        <v>36.5</v>
      </c>
      <c r="K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5">
        <v>0</v>
      </c>
      <c r="M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5">
        <v>27.81</v>
      </c>
      <c r="O65" s="23" t="s">
        <v>836</v>
      </c>
      <c r="P65">
        <v>13.904999999999999</v>
      </c>
      <c r="Q65" s="23" t="s">
        <v>185</v>
      </c>
    </row>
    <row r="66" spans="1:17" x14ac:dyDescent="0.25">
      <c r="A66" s="23" t="s">
        <v>1144</v>
      </c>
      <c r="B66" s="23" t="s">
        <v>1145</v>
      </c>
      <c r="C66" s="23" t="s">
        <v>176</v>
      </c>
      <c r="D66" s="23" t="s">
        <v>358</v>
      </c>
      <c r="E66" s="23" t="s">
        <v>359</v>
      </c>
      <c r="F66">
        <v>20</v>
      </c>
      <c r="G66" s="23" t="s">
        <v>177</v>
      </c>
      <c r="H66">
        <v>0</v>
      </c>
      <c r="I66">
        <v>500</v>
      </c>
      <c r="J66" s="10">
        <v>490</v>
      </c>
      <c r="K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6">
        <v>0</v>
      </c>
      <c r="M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">
        <v>1.6</v>
      </c>
      <c r="O66" s="23" t="s">
        <v>242</v>
      </c>
      <c r="P66">
        <v>32</v>
      </c>
      <c r="Q66" s="23" t="s">
        <v>181</v>
      </c>
    </row>
    <row r="67" spans="1:17" x14ac:dyDescent="0.25">
      <c r="A67" s="23" t="s">
        <v>1055</v>
      </c>
      <c r="B67" s="23" t="s">
        <v>1056</v>
      </c>
      <c r="C67" s="23" t="s">
        <v>176</v>
      </c>
      <c r="D67" s="23" t="s">
        <v>129</v>
      </c>
      <c r="E67" s="23" t="s">
        <v>130</v>
      </c>
      <c r="F67">
        <v>6</v>
      </c>
      <c r="G67" s="23" t="s">
        <v>186</v>
      </c>
      <c r="H67">
        <v>6</v>
      </c>
      <c r="I67">
        <v>0</v>
      </c>
      <c r="J67" s="10">
        <v>260.61</v>
      </c>
      <c r="K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7">
        <v>0</v>
      </c>
      <c r="M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7">
        <v>136.18</v>
      </c>
      <c r="O67" s="23" t="s">
        <v>254</v>
      </c>
      <c r="P67">
        <v>817.08</v>
      </c>
      <c r="Q67" s="23" t="s">
        <v>184</v>
      </c>
    </row>
    <row r="68" spans="1:17" x14ac:dyDescent="0.25">
      <c r="A68" s="23" t="s">
        <v>1055</v>
      </c>
      <c r="B68" s="23" t="s">
        <v>1056</v>
      </c>
      <c r="C68" s="23" t="s">
        <v>176</v>
      </c>
      <c r="D68" s="23" t="s">
        <v>834</v>
      </c>
      <c r="E68" s="23" t="s">
        <v>835</v>
      </c>
      <c r="F68">
        <v>0.5</v>
      </c>
      <c r="G68" s="23" t="s">
        <v>180</v>
      </c>
      <c r="H68">
        <v>0</v>
      </c>
      <c r="I68">
        <v>0</v>
      </c>
      <c r="J68" s="10">
        <v>36.5</v>
      </c>
      <c r="K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8">
        <v>0</v>
      </c>
      <c r="M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8">
        <v>27.81</v>
      </c>
      <c r="O68" s="23" t="s">
        <v>836</v>
      </c>
      <c r="P68">
        <v>13.904999999999999</v>
      </c>
      <c r="Q68" s="23" t="s">
        <v>185</v>
      </c>
    </row>
    <row r="69" spans="1:17" x14ac:dyDescent="0.25">
      <c r="A69" s="23" t="s">
        <v>1146</v>
      </c>
      <c r="B69" s="23" t="s">
        <v>1145</v>
      </c>
      <c r="C69" s="23" t="s">
        <v>176</v>
      </c>
      <c r="D69" s="23" t="s">
        <v>820</v>
      </c>
      <c r="E69" s="23" t="s">
        <v>821</v>
      </c>
      <c r="F69">
        <v>5</v>
      </c>
      <c r="G69" s="23" t="s">
        <v>177</v>
      </c>
      <c r="H69">
        <v>0</v>
      </c>
      <c r="I69">
        <v>15</v>
      </c>
      <c r="J69" s="10">
        <v>10</v>
      </c>
      <c r="K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69">
        <v>0</v>
      </c>
      <c r="M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69">
        <v>177.29</v>
      </c>
      <c r="O69" s="23" t="s">
        <v>277</v>
      </c>
      <c r="P69">
        <v>886.44999999999993</v>
      </c>
      <c r="Q69" s="23" t="s">
        <v>181</v>
      </c>
    </row>
    <row r="70" spans="1:17" x14ac:dyDescent="0.25">
      <c r="A70" s="23" t="s">
        <v>1144</v>
      </c>
      <c r="B70" s="23" t="s">
        <v>1145</v>
      </c>
      <c r="C70" s="23" t="s">
        <v>176</v>
      </c>
      <c r="D70" s="23" t="s">
        <v>820</v>
      </c>
      <c r="E70" s="23" t="s">
        <v>821</v>
      </c>
      <c r="F70">
        <v>5</v>
      </c>
      <c r="G70" s="23" t="s">
        <v>177</v>
      </c>
      <c r="H70">
        <v>0</v>
      </c>
      <c r="I70">
        <v>15</v>
      </c>
      <c r="J70" s="10">
        <v>10</v>
      </c>
      <c r="K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70">
        <v>0</v>
      </c>
      <c r="M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70">
        <v>177.29</v>
      </c>
      <c r="O70" s="23" t="s">
        <v>277</v>
      </c>
      <c r="P70">
        <v>886.44999999999993</v>
      </c>
      <c r="Q70" s="23" t="s">
        <v>181</v>
      </c>
    </row>
    <row r="71" spans="1:17" x14ac:dyDescent="0.25">
      <c r="A71" s="23" t="s">
        <v>1144</v>
      </c>
      <c r="B71" s="23" t="s">
        <v>1145</v>
      </c>
      <c r="C71" s="23" t="s">
        <v>176</v>
      </c>
      <c r="D71" s="23" t="s">
        <v>129</v>
      </c>
      <c r="E71" s="23" t="s">
        <v>130</v>
      </c>
      <c r="F71">
        <v>7</v>
      </c>
      <c r="G71" s="23" t="s">
        <v>186</v>
      </c>
      <c r="H71">
        <v>0</v>
      </c>
      <c r="I71">
        <v>0</v>
      </c>
      <c r="J71" s="10">
        <v>260.61</v>
      </c>
      <c r="K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71">
        <v>0</v>
      </c>
      <c r="M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71">
        <v>136.18</v>
      </c>
      <c r="O71" s="23" t="s">
        <v>254</v>
      </c>
      <c r="P71">
        <v>953.26</v>
      </c>
      <c r="Q71" s="23" t="s">
        <v>184</v>
      </c>
    </row>
    <row r="72" spans="1:17" x14ac:dyDescent="0.25">
      <c r="A72" s="23" t="s">
        <v>1146</v>
      </c>
      <c r="B72" s="23" t="s">
        <v>1145</v>
      </c>
      <c r="C72" s="23" t="s">
        <v>176</v>
      </c>
      <c r="D72" s="23" t="s">
        <v>834</v>
      </c>
      <c r="E72" s="23" t="s">
        <v>835</v>
      </c>
      <c r="F72">
        <v>0.5</v>
      </c>
      <c r="G72" s="23" t="s">
        <v>180</v>
      </c>
      <c r="H72">
        <v>0</v>
      </c>
      <c r="I72">
        <v>0</v>
      </c>
      <c r="J72" s="10">
        <v>36.5</v>
      </c>
      <c r="K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72">
        <v>0</v>
      </c>
      <c r="M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72">
        <v>27.81</v>
      </c>
      <c r="O72" s="23" t="s">
        <v>836</v>
      </c>
      <c r="P72">
        <v>13.904999999999999</v>
      </c>
      <c r="Q72" s="23" t="s">
        <v>185</v>
      </c>
    </row>
    <row r="73" spans="1:17" x14ac:dyDescent="0.25">
      <c r="A73" s="23" t="s">
        <v>1144</v>
      </c>
      <c r="B73" s="23" t="s">
        <v>1145</v>
      </c>
      <c r="C73" s="23" t="s">
        <v>176</v>
      </c>
      <c r="D73" s="23" t="s">
        <v>834</v>
      </c>
      <c r="E73" s="23" t="s">
        <v>835</v>
      </c>
      <c r="F73">
        <v>0.5</v>
      </c>
      <c r="G73" s="23" t="s">
        <v>180</v>
      </c>
      <c r="H73">
        <v>0</v>
      </c>
      <c r="I73">
        <v>0</v>
      </c>
      <c r="J73" s="10">
        <v>36.5</v>
      </c>
      <c r="K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73">
        <v>0</v>
      </c>
      <c r="M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73">
        <v>27.81</v>
      </c>
      <c r="O73" s="23" t="s">
        <v>836</v>
      </c>
      <c r="P73">
        <v>13.904999999999999</v>
      </c>
      <c r="Q73" s="23" t="s">
        <v>185</v>
      </c>
    </row>
    <row r="74" spans="1:17" x14ac:dyDescent="0.25">
      <c r="A74" s="23" t="s">
        <v>1149</v>
      </c>
      <c r="B74" s="23" t="s">
        <v>1145</v>
      </c>
      <c r="C74" s="23" t="s">
        <v>176</v>
      </c>
      <c r="D74" s="23" t="s">
        <v>358</v>
      </c>
      <c r="E74" s="23" t="s">
        <v>359</v>
      </c>
      <c r="F74">
        <v>16</v>
      </c>
      <c r="G74" s="23" t="s">
        <v>177</v>
      </c>
      <c r="H74">
        <v>0</v>
      </c>
      <c r="I74">
        <v>500</v>
      </c>
      <c r="J74" s="10">
        <v>490</v>
      </c>
      <c r="K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74">
        <v>0</v>
      </c>
      <c r="M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">
        <v>1.6</v>
      </c>
      <c r="O74" s="23" t="s">
        <v>242</v>
      </c>
      <c r="P74">
        <v>25.6</v>
      </c>
      <c r="Q74" s="23" t="s">
        <v>181</v>
      </c>
    </row>
    <row r="75" spans="1:17" x14ac:dyDescent="0.25">
      <c r="A75" s="23" t="s">
        <v>1146</v>
      </c>
      <c r="B75" s="23" t="s">
        <v>1145</v>
      </c>
      <c r="C75" s="23" t="s">
        <v>176</v>
      </c>
      <c r="D75" s="23" t="s">
        <v>358</v>
      </c>
      <c r="E75" s="23" t="s">
        <v>359</v>
      </c>
      <c r="F75">
        <v>12</v>
      </c>
      <c r="G75" s="23" t="s">
        <v>177</v>
      </c>
      <c r="H75">
        <v>0</v>
      </c>
      <c r="I75">
        <v>500</v>
      </c>
      <c r="J75" s="10">
        <v>490</v>
      </c>
      <c r="K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75">
        <v>0</v>
      </c>
      <c r="M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">
        <v>1.6</v>
      </c>
      <c r="O75" s="23" t="s">
        <v>242</v>
      </c>
      <c r="P75">
        <v>19.200000000000003</v>
      </c>
      <c r="Q75" s="23" t="s">
        <v>181</v>
      </c>
    </row>
    <row r="76" spans="1:17" x14ac:dyDescent="0.25">
      <c r="A76" s="23" t="s">
        <v>1055</v>
      </c>
      <c r="B76" s="23" t="s">
        <v>1056</v>
      </c>
      <c r="C76" s="23" t="s">
        <v>176</v>
      </c>
      <c r="D76" s="23" t="s">
        <v>890</v>
      </c>
      <c r="E76" s="23" t="s">
        <v>891</v>
      </c>
      <c r="F76">
        <v>4</v>
      </c>
      <c r="G76" s="23" t="s">
        <v>177</v>
      </c>
      <c r="H76">
        <v>0</v>
      </c>
      <c r="I76">
        <v>634</v>
      </c>
      <c r="J76" s="10">
        <v>0</v>
      </c>
      <c r="K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-618</v>
      </c>
      <c r="L76">
        <v>0</v>
      </c>
      <c r="M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">
        <v>1</v>
      </c>
      <c r="O76" s="23" t="s">
        <v>242</v>
      </c>
      <c r="P76">
        <v>4</v>
      </c>
      <c r="Q76" s="23" t="s">
        <v>181</v>
      </c>
    </row>
    <row r="77" spans="1:17" x14ac:dyDescent="0.25">
      <c r="A77" s="23" t="s">
        <v>1099</v>
      </c>
      <c r="B77" s="23" t="s">
        <v>1056</v>
      </c>
      <c r="C77" s="23" t="s">
        <v>176</v>
      </c>
      <c r="D77" s="23" t="s">
        <v>890</v>
      </c>
      <c r="E77" s="23" t="s">
        <v>891</v>
      </c>
      <c r="F77">
        <v>8</v>
      </c>
      <c r="G77" s="23" t="s">
        <v>177</v>
      </c>
      <c r="H77">
        <v>0</v>
      </c>
      <c r="I77">
        <v>634</v>
      </c>
      <c r="J77" s="10">
        <v>0</v>
      </c>
      <c r="K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-618</v>
      </c>
      <c r="L77">
        <v>0</v>
      </c>
      <c r="M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">
        <v>1</v>
      </c>
      <c r="O77" s="23" t="s">
        <v>242</v>
      </c>
      <c r="P77">
        <v>8</v>
      </c>
      <c r="Q77" s="23" t="s">
        <v>181</v>
      </c>
    </row>
    <row r="78" spans="1:17" x14ac:dyDescent="0.25">
      <c r="A78" s="23" t="s">
        <v>1147</v>
      </c>
      <c r="B78" s="23" t="s">
        <v>1145</v>
      </c>
      <c r="C78" s="23" t="s">
        <v>176</v>
      </c>
      <c r="D78" s="23" t="s">
        <v>358</v>
      </c>
      <c r="E78" s="23" t="s">
        <v>359</v>
      </c>
      <c r="F78">
        <v>16</v>
      </c>
      <c r="G78" s="23" t="s">
        <v>177</v>
      </c>
      <c r="H78">
        <v>0</v>
      </c>
      <c r="I78">
        <v>500</v>
      </c>
      <c r="J78" s="10">
        <v>490</v>
      </c>
      <c r="K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78">
        <v>0</v>
      </c>
      <c r="M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">
        <v>1.6</v>
      </c>
      <c r="O78" s="23" t="s">
        <v>242</v>
      </c>
      <c r="P78">
        <v>25.6</v>
      </c>
      <c r="Q78" s="23" t="s">
        <v>181</v>
      </c>
    </row>
    <row r="79" spans="1:17" x14ac:dyDescent="0.25">
      <c r="A79" s="23" t="s">
        <v>1055</v>
      </c>
      <c r="B79" s="23" t="s">
        <v>1056</v>
      </c>
      <c r="C79" s="23" t="s">
        <v>176</v>
      </c>
      <c r="D79" s="23" t="s">
        <v>358</v>
      </c>
      <c r="E79" s="23" t="s">
        <v>359</v>
      </c>
      <c r="F79">
        <v>12</v>
      </c>
      <c r="G79" s="23" t="s">
        <v>177</v>
      </c>
      <c r="H79">
        <v>0</v>
      </c>
      <c r="I79">
        <v>500</v>
      </c>
      <c r="J79" s="10">
        <v>490</v>
      </c>
      <c r="K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79">
        <v>0</v>
      </c>
      <c r="M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">
        <v>1.6</v>
      </c>
      <c r="O79" s="23" t="s">
        <v>242</v>
      </c>
      <c r="P79">
        <v>19.200000000000003</v>
      </c>
      <c r="Q79" s="23" t="s">
        <v>181</v>
      </c>
    </row>
    <row r="80" spans="1:17" x14ac:dyDescent="0.25">
      <c r="A80" s="23" t="s">
        <v>1148</v>
      </c>
      <c r="B80" s="23" t="s">
        <v>1054</v>
      </c>
      <c r="C80" s="23" t="s">
        <v>176</v>
      </c>
      <c r="D80" s="23" t="s">
        <v>358</v>
      </c>
      <c r="E80" s="23" t="s">
        <v>359</v>
      </c>
      <c r="F80">
        <v>8</v>
      </c>
      <c r="G80" s="23" t="s">
        <v>177</v>
      </c>
      <c r="H80">
        <v>0</v>
      </c>
      <c r="I80">
        <v>500</v>
      </c>
      <c r="J80" s="10">
        <v>490</v>
      </c>
      <c r="K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80">
        <v>0</v>
      </c>
      <c r="M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">
        <v>1.6</v>
      </c>
      <c r="O80" s="23" t="s">
        <v>242</v>
      </c>
      <c r="P80">
        <v>12.8</v>
      </c>
      <c r="Q80" s="23" t="s">
        <v>181</v>
      </c>
    </row>
    <row r="81" spans="1:17" x14ac:dyDescent="0.25">
      <c r="A81" s="23" t="s">
        <v>1099</v>
      </c>
      <c r="B81" s="23" t="s">
        <v>1056</v>
      </c>
      <c r="C81" s="23" t="s">
        <v>176</v>
      </c>
      <c r="D81" s="23" t="s">
        <v>358</v>
      </c>
      <c r="E81" s="23" t="s">
        <v>359</v>
      </c>
      <c r="F81">
        <v>16</v>
      </c>
      <c r="G81" s="23" t="s">
        <v>177</v>
      </c>
      <c r="H81">
        <v>0</v>
      </c>
      <c r="I81">
        <v>500</v>
      </c>
      <c r="J81" s="10">
        <v>490</v>
      </c>
      <c r="K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81">
        <v>0</v>
      </c>
      <c r="M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">
        <v>1.6</v>
      </c>
      <c r="O81" s="23" t="s">
        <v>242</v>
      </c>
      <c r="P81">
        <v>25.6</v>
      </c>
      <c r="Q81" s="23" t="s">
        <v>181</v>
      </c>
    </row>
    <row r="82" spans="1:17" x14ac:dyDescent="0.25">
      <c r="A82" s="23" t="s">
        <v>1058</v>
      </c>
      <c r="B82" s="23" t="s">
        <v>1059</v>
      </c>
      <c r="C82" s="23" t="s">
        <v>176</v>
      </c>
      <c r="D82" s="23" t="s">
        <v>834</v>
      </c>
      <c r="E82" s="23" t="s">
        <v>835</v>
      </c>
      <c r="F82">
        <v>0.5</v>
      </c>
      <c r="G82" s="23" t="s">
        <v>180</v>
      </c>
      <c r="H82">
        <v>0</v>
      </c>
      <c r="I82">
        <v>0</v>
      </c>
      <c r="J82" s="10">
        <v>36.5</v>
      </c>
      <c r="K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2">
        <v>0</v>
      </c>
      <c r="M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2">
        <v>27.81</v>
      </c>
      <c r="O82" s="23" t="s">
        <v>836</v>
      </c>
      <c r="P82">
        <v>13.904999999999999</v>
      </c>
      <c r="Q82" s="23" t="s">
        <v>185</v>
      </c>
    </row>
    <row r="83" spans="1:17" x14ac:dyDescent="0.25">
      <c r="A83" s="23" t="s">
        <v>1150</v>
      </c>
      <c r="B83" s="23" t="s">
        <v>1145</v>
      </c>
      <c r="C83" s="23" t="s">
        <v>176</v>
      </c>
      <c r="D83" s="23" t="s">
        <v>820</v>
      </c>
      <c r="E83" s="23" t="s">
        <v>821</v>
      </c>
      <c r="F83">
        <v>5</v>
      </c>
      <c r="G83" s="23" t="s">
        <v>177</v>
      </c>
      <c r="H83">
        <v>0</v>
      </c>
      <c r="I83">
        <v>15</v>
      </c>
      <c r="J83" s="10">
        <v>10</v>
      </c>
      <c r="K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83">
        <v>0</v>
      </c>
      <c r="M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83">
        <v>177.29</v>
      </c>
      <c r="O83" s="23" t="s">
        <v>277</v>
      </c>
      <c r="P83">
        <v>886.44999999999993</v>
      </c>
      <c r="Q83" s="23" t="s">
        <v>181</v>
      </c>
    </row>
    <row r="84" spans="1:17" x14ac:dyDescent="0.25">
      <c r="A84" s="23" t="s">
        <v>1150</v>
      </c>
      <c r="B84" s="23" t="s">
        <v>1145</v>
      </c>
      <c r="C84" s="23" t="s">
        <v>176</v>
      </c>
      <c r="D84" s="23" t="s">
        <v>129</v>
      </c>
      <c r="E84" s="23" t="s">
        <v>130</v>
      </c>
      <c r="F84">
        <v>7</v>
      </c>
      <c r="G84" s="23" t="s">
        <v>186</v>
      </c>
      <c r="H84">
        <v>0</v>
      </c>
      <c r="I84">
        <v>0</v>
      </c>
      <c r="J84" s="10">
        <v>260.61</v>
      </c>
      <c r="K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84">
        <v>0</v>
      </c>
      <c r="M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84">
        <v>136.18</v>
      </c>
      <c r="O84" s="23" t="s">
        <v>254</v>
      </c>
      <c r="P84">
        <v>953.26</v>
      </c>
      <c r="Q84" s="23" t="s">
        <v>184</v>
      </c>
    </row>
    <row r="85" spans="1:17" x14ac:dyDescent="0.25">
      <c r="A85" s="23" t="s">
        <v>1150</v>
      </c>
      <c r="B85" s="23" t="s">
        <v>1145</v>
      </c>
      <c r="C85" s="23" t="s">
        <v>176</v>
      </c>
      <c r="D85" s="23" t="s">
        <v>834</v>
      </c>
      <c r="E85" s="23" t="s">
        <v>835</v>
      </c>
      <c r="F85">
        <v>0.5</v>
      </c>
      <c r="G85" s="23" t="s">
        <v>180</v>
      </c>
      <c r="H85">
        <v>0</v>
      </c>
      <c r="I85">
        <v>0</v>
      </c>
      <c r="J85" s="10">
        <v>36.5</v>
      </c>
      <c r="K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85">
        <v>0</v>
      </c>
      <c r="M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85">
        <v>27.81</v>
      </c>
      <c r="O85" s="23" t="s">
        <v>836</v>
      </c>
      <c r="P85">
        <v>13.904999999999999</v>
      </c>
      <c r="Q85" s="23" t="s">
        <v>185</v>
      </c>
    </row>
    <row r="86" spans="1:17" x14ac:dyDescent="0.25">
      <c r="A86" s="23" t="s">
        <v>1150</v>
      </c>
      <c r="B86" s="23" t="s">
        <v>1145</v>
      </c>
      <c r="C86" s="23" t="s">
        <v>176</v>
      </c>
      <c r="D86" s="23" t="s">
        <v>358</v>
      </c>
      <c r="E86" s="23" t="s">
        <v>359</v>
      </c>
      <c r="F86">
        <v>20</v>
      </c>
      <c r="G86" s="23" t="s">
        <v>177</v>
      </c>
      <c r="H86">
        <v>0</v>
      </c>
      <c r="I86">
        <v>500</v>
      </c>
      <c r="J86" s="10">
        <v>490</v>
      </c>
      <c r="K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86">
        <v>0</v>
      </c>
      <c r="M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">
        <v>1.6</v>
      </c>
      <c r="O86" s="23" t="s">
        <v>242</v>
      </c>
      <c r="P86">
        <v>32</v>
      </c>
      <c r="Q86" s="23" t="s">
        <v>181</v>
      </c>
    </row>
    <row r="87" spans="1:17" x14ac:dyDescent="0.25">
      <c r="A87" s="23" t="s">
        <v>1100</v>
      </c>
      <c r="B87" s="23" t="s">
        <v>1101</v>
      </c>
      <c r="C87" s="23" t="s">
        <v>176</v>
      </c>
      <c r="D87" s="23" t="s">
        <v>547</v>
      </c>
      <c r="E87" s="23" t="s">
        <v>548</v>
      </c>
      <c r="F87">
        <v>3</v>
      </c>
      <c r="G87" s="23" t="s">
        <v>177</v>
      </c>
      <c r="H87">
        <v>0</v>
      </c>
      <c r="I87">
        <v>109</v>
      </c>
      <c r="J87" s="10">
        <v>6</v>
      </c>
      <c r="K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87">
        <v>0</v>
      </c>
      <c r="M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">
        <v>90</v>
      </c>
      <c r="O87" s="23"/>
      <c r="P87">
        <v>270</v>
      </c>
      <c r="Q87" s="23" t="s">
        <v>181</v>
      </c>
    </row>
    <row r="88" spans="1:17" x14ac:dyDescent="0.25">
      <c r="A88" s="23" t="s">
        <v>1100</v>
      </c>
      <c r="B88" s="23" t="s">
        <v>1101</v>
      </c>
      <c r="C88" s="23" t="s">
        <v>176</v>
      </c>
      <c r="D88" s="23" t="s">
        <v>529</v>
      </c>
      <c r="E88" s="23" t="s">
        <v>530</v>
      </c>
      <c r="F88">
        <v>2</v>
      </c>
      <c r="G88" s="23" t="s">
        <v>177</v>
      </c>
      <c r="H88">
        <v>0</v>
      </c>
      <c r="I88">
        <v>1800</v>
      </c>
      <c r="J88" s="10">
        <v>773</v>
      </c>
      <c r="K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88">
        <v>0</v>
      </c>
      <c r="M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">
        <v>0.8</v>
      </c>
      <c r="O88" s="23" t="s">
        <v>242</v>
      </c>
      <c r="P88">
        <v>1.6</v>
      </c>
      <c r="Q88" s="23" t="s">
        <v>181</v>
      </c>
    </row>
    <row r="89" spans="1:17" x14ac:dyDescent="0.25">
      <c r="A89" s="23" t="s">
        <v>1144</v>
      </c>
      <c r="B89" s="23" t="s">
        <v>1145</v>
      </c>
      <c r="C89" s="23" t="s">
        <v>176</v>
      </c>
      <c r="D89" s="23" t="s">
        <v>1070</v>
      </c>
      <c r="E89" s="23" t="s">
        <v>1071</v>
      </c>
      <c r="F89">
        <v>0.5</v>
      </c>
      <c r="G89" s="23" t="s">
        <v>177</v>
      </c>
      <c r="H89">
        <v>0</v>
      </c>
      <c r="I89">
        <v>0</v>
      </c>
      <c r="J89" s="10">
        <v>0</v>
      </c>
      <c r="K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89">
        <v>0</v>
      </c>
      <c r="M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89">
        <v>83.33</v>
      </c>
      <c r="O89" s="23" t="s">
        <v>227</v>
      </c>
      <c r="P89">
        <v>41.664999999999999</v>
      </c>
      <c r="Q89" s="23" t="s">
        <v>184</v>
      </c>
    </row>
    <row r="90" spans="1:17" x14ac:dyDescent="0.25">
      <c r="A90" s="23" t="s">
        <v>1149</v>
      </c>
      <c r="B90" s="23" t="s">
        <v>1145</v>
      </c>
      <c r="C90" s="23" t="s">
        <v>176</v>
      </c>
      <c r="D90" s="23" t="s">
        <v>131</v>
      </c>
      <c r="E90" s="23" t="s">
        <v>132</v>
      </c>
      <c r="F90">
        <v>100</v>
      </c>
      <c r="G90" s="23" t="s">
        <v>177</v>
      </c>
      <c r="H90">
        <v>0</v>
      </c>
      <c r="I90">
        <v>2750</v>
      </c>
      <c r="J90" s="10">
        <v>0</v>
      </c>
      <c r="K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90">
        <v>0</v>
      </c>
      <c r="M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">
        <v>0.7</v>
      </c>
      <c r="O90" s="23" t="s">
        <v>242</v>
      </c>
      <c r="P90">
        <v>70</v>
      </c>
      <c r="Q90" s="23" t="s">
        <v>181</v>
      </c>
    </row>
    <row r="91" spans="1:17" x14ac:dyDescent="0.25">
      <c r="A91" s="23" t="s">
        <v>1149</v>
      </c>
      <c r="B91" s="23" t="s">
        <v>1145</v>
      </c>
      <c r="C91" s="23" t="s">
        <v>176</v>
      </c>
      <c r="D91" s="23" t="s">
        <v>529</v>
      </c>
      <c r="E91" s="23" t="s">
        <v>530</v>
      </c>
      <c r="F91">
        <v>10</v>
      </c>
      <c r="G91" s="23" t="s">
        <v>177</v>
      </c>
      <c r="H91">
        <v>0</v>
      </c>
      <c r="I91">
        <v>1800</v>
      </c>
      <c r="J91" s="10">
        <v>773</v>
      </c>
      <c r="K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1">
        <v>0</v>
      </c>
      <c r="M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">
        <v>0.8</v>
      </c>
      <c r="O91" s="23" t="s">
        <v>242</v>
      </c>
      <c r="P91">
        <v>8</v>
      </c>
      <c r="Q91" s="23" t="s">
        <v>181</v>
      </c>
    </row>
    <row r="92" spans="1:17" x14ac:dyDescent="0.25">
      <c r="A92" s="23" t="s">
        <v>1150</v>
      </c>
      <c r="B92" s="23" t="s">
        <v>1145</v>
      </c>
      <c r="C92" s="23" t="s">
        <v>176</v>
      </c>
      <c r="D92" s="23" t="s">
        <v>64</v>
      </c>
      <c r="E92" s="23" t="s">
        <v>65</v>
      </c>
      <c r="F92">
        <v>1</v>
      </c>
      <c r="G92" s="23" t="s">
        <v>177</v>
      </c>
      <c r="H92">
        <v>0</v>
      </c>
      <c r="I92">
        <v>38</v>
      </c>
      <c r="J92" s="10">
        <v>10</v>
      </c>
      <c r="K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2">
        <v>0</v>
      </c>
      <c r="M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">
        <v>95</v>
      </c>
      <c r="O92" s="23" t="s">
        <v>218</v>
      </c>
      <c r="P92">
        <v>95</v>
      </c>
      <c r="Q92" s="23" t="s">
        <v>181</v>
      </c>
    </row>
    <row r="93" spans="1:17" x14ac:dyDescent="0.25">
      <c r="A93" s="23" t="s">
        <v>1058</v>
      </c>
      <c r="B93" s="23" t="s">
        <v>1059</v>
      </c>
      <c r="C93" s="23" t="s">
        <v>176</v>
      </c>
      <c r="D93" s="23" t="s">
        <v>64</v>
      </c>
      <c r="E93" s="23" t="s">
        <v>65</v>
      </c>
      <c r="F93">
        <v>1</v>
      </c>
      <c r="G93" s="23" t="s">
        <v>177</v>
      </c>
      <c r="H93">
        <v>1</v>
      </c>
      <c r="I93">
        <v>38</v>
      </c>
      <c r="J93" s="10">
        <v>10</v>
      </c>
      <c r="K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3">
        <v>0</v>
      </c>
      <c r="M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">
        <v>95</v>
      </c>
      <c r="O93" s="23" t="s">
        <v>218</v>
      </c>
      <c r="P93">
        <v>95</v>
      </c>
      <c r="Q93" s="23" t="s">
        <v>181</v>
      </c>
    </row>
    <row r="94" spans="1:17" x14ac:dyDescent="0.25">
      <c r="A94" s="23" t="s">
        <v>1055</v>
      </c>
      <c r="B94" s="23" t="s">
        <v>1056</v>
      </c>
      <c r="C94" s="23" t="s">
        <v>176</v>
      </c>
      <c r="D94" s="23" t="s">
        <v>64</v>
      </c>
      <c r="E94" s="23" t="s">
        <v>65</v>
      </c>
      <c r="F94">
        <v>1</v>
      </c>
      <c r="G94" s="23" t="s">
        <v>177</v>
      </c>
      <c r="H94">
        <v>1</v>
      </c>
      <c r="I94">
        <v>38</v>
      </c>
      <c r="J94" s="10">
        <v>10</v>
      </c>
      <c r="K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4">
        <v>0</v>
      </c>
      <c r="M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">
        <v>95</v>
      </c>
      <c r="O94" s="23" t="s">
        <v>218</v>
      </c>
      <c r="P94">
        <v>95</v>
      </c>
      <c r="Q94" s="23" t="s">
        <v>181</v>
      </c>
    </row>
    <row r="95" spans="1:17" x14ac:dyDescent="0.25">
      <c r="A95" s="23" t="s">
        <v>1148</v>
      </c>
      <c r="B95" s="23" t="s">
        <v>1054</v>
      </c>
      <c r="C95" s="23" t="s">
        <v>176</v>
      </c>
      <c r="D95" s="23" t="s">
        <v>64</v>
      </c>
      <c r="E95" s="23" t="s">
        <v>65</v>
      </c>
      <c r="F95">
        <v>2</v>
      </c>
      <c r="G95" s="23" t="s">
        <v>177</v>
      </c>
      <c r="H95">
        <v>0</v>
      </c>
      <c r="I95">
        <v>38</v>
      </c>
      <c r="J95" s="10">
        <v>10</v>
      </c>
      <c r="K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95">
        <v>0</v>
      </c>
      <c r="M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">
        <v>95</v>
      </c>
      <c r="O95" s="23" t="s">
        <v>218</v>
      </c>
      <c r="P95">
        <v>190</v>
      </c>
      <c r="Q95" s="23" t="s">
        <v>181</v>
      </c>
    </row>
    <row r="96" spans="1:17" x14ac:dyDescent="0.25">
      <c r="A96" s="23" t="s">
        <v>1058</v>
      </c>
      <c r="B96" s="23" t="s">
        <v>1059</v>
      </c>
      <c r="C96" s="23" t="s">
        <v>176</v>
      </c>
      <c r="D96" s="23" t="s">
        <v>529</v>
      </c>
      <c r="E96" s="23" t="s">
        <v>530</v>
      </c>
      <c r="F96">
        <v>10</v>
      </c>
      <c r="G96" s="23" t="s">
        <v>177</v>
      </c>
      <c r="H96">
        <v>0</v>
      </c>
      <c r="I96">
        <v>1800</v>
      </c>
      <c r="J96" s="10">
        <v>773</v>
      </c>
      <c r="K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6">
        <v>0</v>
      </c>
      <c r="M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">
        <v>0.8</v>
      </c>
      <c r="O96" s="23" t="s">
        <v>242</v>
      </c>
      <c r="P96">
        <v>8</v>
      </c>
      <c r="Q96" s="23" t="s">
        <v>181</v>
      </c>
    </row>
    <row r="97" spans="1:17" x14ac:dyDescent="0.25">
      <c r="A97" s="23" t="s">
        <v>1150</v>
      </c>
      <c r="B97" s="23" t="s">
        <v>1145</v>
      </c>
      <c r="C97" s="23" t="s">
        <v>176</v>
      </c>
      <c r="D97" s="23" t="s">
        <v>1070</v>
      </c>
      <c r="E97" s="23" t="s">
        <v>1071</v>
      </c>
      <c r="F97">
        <v>0.5</v>
      </c>
      <c r="G97" s="23" t="s">
        <v>177</v>
      </c>
      <c r="H97">
        <v>0</v>
      </c>
      <c r="I97">
        <v>0</v>
      </c>
      <c r="J97" s="10">
        <v>0</v>
      </c>
      <c r="K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97">
        <v>0</v>
      </c>
      <c r="M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97">
        <v>83.33</v>
      </c>
      <c r="O97" s="23" t="s">
        <v>227</v>
      </c>
      <c r="P97">
        <v>41.664999999999999</v>
      </c>
      <c r="Q97" s="23" t="s">
        <v>184</v>
      </c>
    </row>
    <row r="98" spans="1:17" x14ac:dyDescent="0.25">
      <c r="A98" s="23" t="s">
        <v>1150</v>
      </c>
      <c r="B98" s="23" t="s">
        <v>1145</v>
      </c>
      <c r="C98" s="23" t="s">
        <v>176</v>
      </c>
      <c r="D98" s="23" t="s">
        <v>529</v>
      </c>
      <c r="E98" s="23" t="s">
        <v>530</v>
      </c>
      <c r="F98">
        <v>10</v>
      </c>
      <c r="G98" s="23" t="s">
        <v>177</v>
      </c>
      <c r="H98">
        <v>0</v>
      </c>
      <c r="I98">
        <v>1800</v>
      </c>
      <c r="J98" s="10">
        <v>773</v>
      </c>
      <c r="K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98">
        <v>0</v>
      </c>
      <c r="M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">
        <v>0.8</v>
      </c>
      <c r="O98" s="23" t="s">
        <v>242</v>
      </c>
      <c r="P98">
        <v>8</v>
      </c>
      <c r="Q98" s="23" t="s">
        <v>181</v>
      </c>
    </row>
    <row r="99" spans="1:17" x14ac:dyDescent="0.25">
      <c r="A99" s="23" t="s">
        <v>1147</v>
      </c>
      <c r="B99" s="23" t="s">
        <v>1145</v>
      </c>
      <c r="C99" s="23" t="s">
        <v>176</v>
      </c>
      <c r="D99" s="23" t="s">
        <v>1070</v>
      </c>
      <c r="E99" s="23" t="s">
        <v>1071</v>
      </c>
      <c r="F99">
        <v>0.5</v>
      </c>
      <c r="G99" s="23" t="s">
        <v>177</v>
      </c>
      <c r="H99">
        <v>0</v>
      </c>
      <c r="I99">
        <v>0</v>
      </c>
      <c r="J99" s="10">
        <v>0</v>
      </c>
      <c r="K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99">
        <v>0</v>
      </c>
      <c r="M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99">
        <v>83.33</v>
      </c>
      <c r="O99" s="23" t="s">
        <v>227</v>
      </c>
      <c r="P99">
        <v>41.664999999999999</v>
      </c>
      <c r="Q99" s="23" t="s">
        <v>184</v>
      </c>
    </row>
    <row r="100" spans="1:17" x14ac:dyDescent="0.25">
      <c r="A100" s="23" t="s">
        <v>1055</v>
      </c>
      <c r="B100" s="23" t="s">
        <v>1056</v>
      </c>
      <c r="C100" s="23" t="s">
        <v>176</v>
      </c>
      <c r="D100" s="23" t="s">
        <v>131</v>
      </c>
      <c r="E100" s="23" t="s">
        <v>132</v>
      </c>
      <c r="F100">
        <v>118</v>
      </c>
      <c r="G100" s="23" t="s">
        <v>177</v>
      </c>
      <c r="H100">
        <v>0</v>
      </c>
      <c r="I100">
        <v>2750</v>
      </c>
      <c r="J100" s="10">
        <v>0</v>
      </c>
      <c r="K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00">
        <v>0</v>
      </c>
      <c r="M1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">
        <v>0.7</v>
      </c>
      <c r="O100" s="23" t="s">
        <v>242</v>
      </c>
      <c r="P100">
        <v>82.6</v>
      </c>
      <c r="Q100" s="23" t="s">
        <v>181</v>
      </c>
    </row>
    <row r="101" spans="1:17" x14ac:dyDescent="0.25">
      <c r="A101" s="23" t="s">
        <v>1100</v>
      </c>
      <c r="B101" s="23" t="s">
        <v>1101</v>
      </c>
      <c r="C101" s="23" t="s">
        <v>176</v>
      </c>
      <c r="D101" s="23" t="s">
        <v>131</v>
      </c>
      <c r="E101" s="23" t="s">
        <v>132</v>
      </c>
      <c r="F101">
        <v>130</v>
      </c>
      <c r="G101" s="23" t="s">
        <v>177</v>
      </c>
      <c r="H101">
        <v>0</v>
      </c>
      <c r="I101">
        <v>2750</v>
      </c>
      <c r="J101" s="10">
        <v>0</v>
      </c>
      <c r="K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01">
        <v>0</v>
      </c>
      <c r="M1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">
        <v>0.7</v>
      </c>
      <c r="O101" s="23" t="s">
        <v>242</v>
      </c>
      <c r="P101">
        <v>91</v>
      </c>
      <c r="Q101" s="23" t="s">
        <v>181</v>
      </c>
    </row>
    <row r="102" spans="1:17" x14ac:dyDescent="0.25">
      <c r="A102" s="23" t="s">
        <v>1148</v>
      </c>
      <c r="B102" s="23" t="s">
        <v>1054</v>
      </c>
      <c r="C102" s="23" t="s">
        <v>176</v>
      </c>
      <c r="D102" s="23" t="s">
        <v>529</v>
      </c>
      <c r="E102" s="23" t="s">
        <v>530</v>
      </c>
      <c r="F102">
        <v>18</v>
      </c>
      <c r="G102" s="23" t="s">
        <v>177</v>
      </c>
      <c r="H102">
        <v>0</v>
      </c>
      <c r="I102">
        <v>1800</v>
      </c>
      <c r="J102" s="10">
        <v>773</v>
      </c>
      <c r="K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2">
        <v>0</v>
      </c>
      <c r="M1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">
        <v>0.8</v>
      </c>
      <c r="O102" s="23" t="s">
        <v>242</v>
      </c>
      <c r="P102">
        <v>14.4</v>
      </c>
      <c r="Q102" s="23" t="s">
        <v>181</v>
      </c>
    </row>
    <row r="103" spans="1:17" x14ac:dyDescent="0.25">
      <c r="A103" s="23" t="s">
        <v>1055</v>
      </c>
      <c r="B103" s="23" t="s">
        <v>1056</v>
      </c>
      <c r="C103" s="23" t="s">
        <v>176</v>
      </c>
      <c r="D103" s="23" t="s">
        <v>529</v>
      </c>
      <c r="E103" s="23" t="s">
        <v>530</v>
      </c>
      <c r="F103">
        <v>3</v>
      </c>
      <c r="G103" s="23" t="s">
        <v>177</v>
      </c>
      <c r="H103">
        <v>0</v>
      </c>
      <c r="I103">
        <v>1800</v>
      </c>
      <c r="J103" s="10">
        <v>773</v>
      </c>
      <c r="K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3">
        <v>0</v>
      </c>
      <c r="M1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">
        <v>0.8</v>
      </c>
      <c r="O103" s="23" t="s">
        <v>242</v>
      </c>
      <c r="P103">
        <v>2.4000000000000004</v>
      </c>
      <c r="Q103" s="23" t="s">
        <v>181</v>
      </c>
    </row>
    <row r="104" spans="1:17" x14ac:dyDescent="0.25">
      <c r="A104" s="23" t="s">
        <v>1099</v>
      </c>
      <c r="B104" s="23" t="s">
        <v>1056</v>
      </c>
      <c r="C104" s="23" t="s">
        <v>176</v>
      </c>
      <c r="D104" s="23" t="s">
        <v>529</v>
      </c>
      <c r="E104" s="23" t="s">
        <v>530</v>
      </c>
      <c r="F104">
        <v>3</v>
      </c>
      <c r="G104" s="23" t="s">
        <v>177</v>
      </c>
      <c r="H104">
        <v>0</v>
      </c>
      <c r="I104">
        <v>1800</v>
      </c>
      <c r="J104" s="10">
        <v>773</v>
      </c>
      <c r="K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4">
        <v>0</v>
      </c>
      <c r="M1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">
        <v>0.8</v>
      </c>
      <c r="O104" s="23" t="s">
        <v>242</v>
      </c>
      <c r="P104">
        <v>2.4000000000000004</v>
      </c>
      <c r="Q104" s="23" t="s">
        <v>181</v>
      </c>
    </row>
    <row r="105" spans="1:17" x14ac:dyDescent="0.25">
      <c r="A105" s="23" t="s">
        <v>1149</v>
      </c>
      <c r="B105" s="23" t="s">
        <v>1145</v>
      </c>
      <c r="C105" s="23" t="s">
        <v>176</v>
      </c>
      <c r="D105" s="23" t="s">
        <v>1070</v>
      </c>
      <c r="E105" s="23" t="s">
        <v>1071</v>
      </c>
      <c r="F105">
        <v>0.5</v>
      </c>
      <c r="G105" s="23" t="s">
        <v>177</v>
      </c>
      <c r="H105">
        <v>0</v>
      </c>
      <c r="I105">
        <v>0</v>
      </c>
      <c r="J105" s="10">
        <v>0</v>
      </c>
      <c r="K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105">
        <v>0</v>
      </c>
      <c r="M1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105">
        <v>83.33</v>
      </c>
      <c r="O105" s="23" t="s">
        <v>227</v>
      </c>
      <c r="P105">
        <v>41.664999999999999</v>
      </c>
      <c r="Q105" s="23" t="s">
        <v>184</v>
      </c>
    </row>
    <row r="106" spans="1:17" x14ac:dyDescent="0.25">
      <c r="A106" s="23" t="s">
        <v>1144</v>
      </c>
      <c r="B106" s="23" t="s">
        <v>1145</v>
      </c>
      <c r="C106" s="23" t="s">
        <v>176</v>
      </c>
      <c r="D106" s="23" t="s">
        <v>131</v>
      </c>
      <c r="E106" s="23" t="s">
        <v>132</v>
      </c>
      <c r="F106">
        <v>88</v>
      </c>
      <c r="G106" s="23" t="s">
        <v>177</v>
      </c>
      <c r="H106">
        <v>0</v>
      </c>
      <c r="I106">
        <v>2750</v>
      </c>
      <c r="J106" s="10">
        <v>0</v>
      </c>
      <c r="K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06">
        <v>0</v>
      </c>
      <c r="M1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">
        <v>0.7</v>
      </c>
      <c r="O106" s="23" t="s">
        <v>242</v>
      </c>
      <c r="P106">
        <v>61.599999999999994</v>
      </c>
      <c r="Q106" s="23" t="s">
        <v>181</v>
      </c>
    </row>
    <row r="107" spans="1:17" x14ac:dyDescent="0.25">
      <c r="A107" s="23" t="s">
        <v>1146</v>
      </c>
      <c r="B107" s="23" t="s">
        <v>1145</v>
      </c>
      <c r="C107" s="23" t="s">
        <v>176</v>
      </c>
      <c r="D107" s="23" t="s">
        <v>131</v>
      </c>
      <c r="E107" s="23" t="s">
        <v>132</v>
      </c>
      <c r="F107">
        <v>100</v>
      </c>
      <c r="G107" s="23" t="s">
        <v>177</v>
      </c>
      <c r="H107">
        <v>0</v>
      </c>
      <c r="I107">
        <v>2750</v>
      </c>
      <c r="J107" s="10">
        <v>0</v>
      </c>
      <c r="K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07">
        <v>0</v>
      </c>
      <c r="M1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">
        <v>0.7</v>
      </c>
      <c r="O107" s="23" t="s">
        <v>242</v>
      </c>
      <c r="P107">
        <v>70</v>
      </c>
      <c r="Q107" s="23" t="s">
        <v>181</v>
      </c>
    </row>
    <row r="108" spans="1:17" x14ac:dyDescent="0.25">
      <c r="A108" s="23" t="s">
        <v>1144</v>
      </c>
      <c r="B108" s="23" t="s">
        <v>1145</v>
      </c>
      <c r="C108" s="23" t="s">
        <v>176</v>
      </c>
      <c r="D108" s="23" t="s">
        <v>529</v>
      </c>
      <c r="E108" s="23" t="s">
        <v>530</v>
      </c>
      <c r="F108">
        <v>10</v>
      </c>
      <c r="G108" s="23" t="s">
        <v>177</v>
      </c>
      <c r="H108">
        <v>0</v>
      </c>
      <c r="I108">
        <v>1800</v>
      </c>
      <c r="J108" s="10">
        <v>773</v>
      </c>
      <c r="K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8">
        <v>0</v>
      </c>
      <c r="M1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">
        <v>0.8</v>
      </c>
      <c r="O108" s="23" t="s">
        <v>242</v>
      </c>
      <c r="P108">
        <v>8</v>
      </c>
      <c r="Q108" s="23" t="s">
        <v>181</v>
      </c>
    </row>
    <row r="109" spans="1:17" x14ac:dyDescent="0.25">
      <c r="A109" s="23" t="s">
        <v>1146</v>
      </c>
      <c r="B109" s="23" t="s">
        <v>1145</v>
      </c>
      <c r="C109" s="23" t="s">
        <v>176</v>
      </c>
      <c r="D109" s="23" t="s">
        <v>529</v>
      </c>
      <c r="E109" s="23" t="s">
        <v>530</v>
      </c>
      <c r="F109">
        <v>10</v>
      </c>
      <c r="G109" s="23" t="s">
        <v>177</v>
      </c>
      <c r="H109">
        <v>0</v>
      </c>
      <c r="I109">
        <v>1800</v>
      </c>
      <c r="J109" s="10">
        <v>773</v>
      </c>
      <c r="K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9">
        <v>0</v>
      </c>
      <c r="M1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">
        <v>0.8</v>
      </c>
      <c r="O109" s="23" t="s">
        <v>242</v>
      </c>
      <c r="P109">
        <v>8</v>
      </c>
      <c r="Q109" s="23" t="s">
        <v>181</v>
      </c>
    </row>
    <row r="110" spans="1:17" x14ac:dyDescent="0.25">
      <c r="A110" s="23" t="s">
        <v>1149</v>
      </c>
      <c r="B110" s="23" t="s">
        <v>1145</v>
      </c>
      <c r="C110" s="23" t="s">
        <v>176</v>
      </c>
      <c r="D110" s="23" t="s">
        <v>64</v>
      </c>
      <c r="E110" s="23" t="s">
        <v>65</v>
      </c>
      <c r="F110">
        <v>1</v>
      </c>
      <c r="G110" s="23" t="s">
        <v>177</v>
      </c>
      <c r="H110">
        <v>0</v>
      </c>
      <c r="I110">
        <v>38</v>
      </c>
      <c r="J110" s="10">
        <v>10</v>
      </c>
      <c r="K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10">
        <v>0</v>
      </c>
      <c r="M1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">
        <v>95</v>
      </c>
      <c r="O110" s="23" t="s">
        <v>218</v>
      </c>
      <c r="P110">
        <v>95</v>
      </c>
      <c r="Q110" s="23" t="s">
        <v>181</v>
      </c>
    </row>
    <row r="111" spans="1:17" x14ac:dyDescent="0.25">
      <c r="A111" s="23" t="s">
        <v>1058</v>
      </c>
      <c r="B111" s="23" t="s">
        <v>1059</v>
      </c>
      <c r="C111" s="23" t="s">
        <v>176</v>
      </c>
      <c r="D111" s="23" t="s">
        <v>131</v>
      </c>
      <c r="E111" s="23" t="s">
        <v>132</v>
      </c>
      <c r="F111">
        <v>104</v>
      </c>
      <c r="G111" s="23" t="s">
        <v>177</v>
      </c>
      <c r="H111">
        <v>0</v>
      </c>
      <c r="I111">
        <v>2750</v>
      </c>
      <c r="J111" s="10">
        <v>0</v>
      </c>
      <c r="K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11">
        <v>0</v>
      </c>
      <c r="M1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">
        <v>0.7</v>
      </c>
      <c r="O111" s="23" t="s">
        <v>242</v>
      </c>
      <c r="P111">
        <v>72.8</v>
      </c>
      <c r="Q111" s="23" t="s">
        <v>181</v>
      </c>
    </row>
    <row r="112" spans="1:17" x14ac:dyDescent="0.25">
      <c r="A112" s="23" t="s">
        <v>1147</v>
      </c>
      <c r="B112" s="23" t="s">
        <v>1145</v>
      </c>
      <c r="C112" s="23" t="s">
        <v>176</v>
      </c>
      <c r="D112" s="23" t="s">
        <v>131</v>
      </c>
      <c r="E112" s="23" t="s">
        <v>132</v>
      </c>
      <c r="F112">
        <v>100</v>
      </c>
      <c r="G112" s="23" t="s">
        <v>177</v>
      </c>
      <c r="H112">
        <v>0</v>
      </c>
      <c r="I112">
        <v>2750</v>
      </c>
      <c r="J112" s="10">
        <v>0</v>
      </c>
      <c r="K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12">
        <v>0</v>
      </c>
      <c r="M1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">
        <v>0.7</v>
      </c>
      <c r="O112" s="23" t="s">
        <v>242</v>
      </c>
      <c r="P112">
        <v>70</v>
      </c>
      <c r="Q112" s="23" t="s">
        <v>181</v>
      </c>
    </row>
    <row r="113" spans="1:17" x14ac:dyDescent="0.25">
      <c r="A113" s="23" t="s">
        <v>1148</v>
      </c>
      <c r="B113" s="23" t="s">
        <v>1054</v>
      </c>
      <c r="C113" s="23" t="s">
        <v>176</v>
      </c>
      <c r="D113" s="23" t="s">
        <v>131</v>
      </c>
      <c r="E113" s="23" t="s">
        <v>132</v>
      </c>
      <c r="F113">
        <v>100</v>
      </c>
      <c r="G113" s="23" t="s">
        <v>177</v>
      </c>
      <c r="H113">
        <v>0</v>
      </c>
      <c r="I113">
        <v>2750</v>
      </c>
      <c r="J113" s="10">
        <v>0</v>
      </c>
      <c r="K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113">
        <v>0</v>
      </c>
      <c r="M1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">
        <v>0.7</v>
      </c>
      <c r="O113" s="23" t="s">
        <v>242</v>
      </c>
      <c r="P113">
        <v>70</v>
      </c>
      <c r="Q113" s="23" t="s">
        <v>181</v>
      </c>
    </row>
    <row r="114" spans="1:17" x14ac:dyDescent="0.25">
      <c r="A114" s="23" t="s">
        <v>1100</v>
      </c>
      <c r="B114" s="23" t="s">
        <v>1101</v>
      </c>
      <c r="C114" s="23" t="s">
        <v>176</v>
      </c>
      <c r="D114" s="23" t="s">
        <v>415</v>
      </c>
      <c r="E114" s="23" t="s">
        <v>416</v>
      </c>
      <c r="F114">
        <v>0.2</v>
      </c>
      <c r="G114" s="23" t="s">
        <v>180</v>
      </c>
      <c r="H114">
        <v>0</v>
      </c>
      <c r="I114">
        <v>50</v>
      </c>
      <c r="J114" s="10">
        <v>6.3837823915946501E-15</v>
      </c>
      <c r="K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14">
        <v>0</v>
      </c>
      <c r="M1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">
        <v>25.41</v>
      </c>
      <c r="O114" s="23" t="s">
        <v>827</v>
      </c>
      <c r="P114">
        <v>5.0820000000000007</v>
      </c>
      <c r="Q114" s="23" t="s">
        <v>222</v>
      </c>
    </row>
    <row r="115" spans="1:17" x14ac:dyDescent="0.25">
      <c r="A115" s="23" t="s">
        <v>1149</v>
      </c>
      <c r="B115" s="23" t="s">
        <v>1145</v>
      </c>
      <c r="C115" s="23" t="s">
        <v>176</v>
      </c>
      <c r="D115" s="23" t="s">
        <v>415</v>
      </c>
      <c r="E115" s="23" t="s">
        <v>416</v>
      </c>
      <c r="F115">
        <v>0.1</v>
      </c>
      <c r="G115" s="23" t="s">
        <v>180</v>
      </c>
      <c r="H115">
        <v>0</v>
      </c>
      <c r="I115">
        <v>50</v>
      </c>
      <c r="J115" s="10">
        <v>6.3837823915946501E-15</v>
      </c>
      <c r="K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15">
        <v>0</v>
      </c>
      <c r="M1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">
        <v>25.41</v>
      </c>
      <c r="O115" s="23" t="s">
        <v>827</v>
      </c>
      <c r="P115">
        <v>2.5410000000000004</v>
      </c>
      <c r="Q115" s="23" t="s">
        <v>222</v>
      </c>
    </row>
    <row r="116" spans="1:17" x14ac:dyDescent="0.25">
      <c r="A116" s="23" t="s">
        <v>1146</v>
      </c>
      <c r="B116" s="23" t="s">
        <v>1145</v>
      </c>
      <c r="C116" s="23" t="s">
        <v>176</v>
      </c>
      <c r="D116" s="23" t="s">
        <v>360</v>
      </c>
      <c r="E116" s="23" t="s">
        <v>361</v>
      </c>
      <c r="F116">
        <v>2</v>
      </c>
      <c r="G116" s="23" t="s">
        <v>177</v>
      </c>
      <c r="H116">
        <v>0</v>
      </c>
      <c r="I116">
        <v>14472</v>
      </c>
      <c r="J116" s="10">
        <v>3376</v>
      </c>
      <c r="K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6">
        <v>0</v>
      </c>
      <c r="M1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">
        <v>0.04</v>
      </c>
      <c r="O116" s="23"/>
      <c r="P116">
        <v>0.08</v>
      </c>
      <c r="Q116" s="23" t="s">
        <v>181</v>
      </c>
    </row>
    <row r="117" spans="1:17" x14ac:dyDescent="0.25">
      <c r="A117" s="23" t="s">
        <v>1144</v>
      </c>
      <c r="B117" s="23" t="s">
        <v>1145</v>
      </c>
      <c r="C117" s="23" t="s">
        <v>176</v>
      </c>
      <c r="D117" s="23" t="s">
        <v>360</v>
      </c>
      <c r="E117" s="23" t="s">
        <v>361</v>
      </c>
      <c r="F117">
        <v>2</v>
      </c>
      <c r="G117" s="23" t="s">
        <v>177</v>
      </c>
      <c r="H117">
        <v>0</v>
      </c>
      <c r="I117">
        <v>14472</v>
      </c>
      <c r="J117" s="10">
        <v>3376</v>
      </c>
      <c r="K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17">
        <v>0</v>
      </c>
      <c r="M1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">
        <v>0.04</v>
      </c>
      <c r="O117" s="23"/>
      <c r="P117">
        <v>0.08</v>
      </c>
      <c r="Q117" s="23" t="s">
        <v>181</v>
      </c>
    </row>
    <row r="118" spans="1:17" x14ac:dyDescent="0.25">
      <c r="A118" s="23" t="s">
        <v>1149</v>
      </c>
      <c r="B118" s="23" t="s">
        <v>1145</v>
      </c>
      <c r="C118" s="23" t="s">
        <v>176</v>
      </c>
      <c r="D118" s="23" t="s">
        <v>457</v>
      </c>
      <c r="E118" s="23" t="s">
        <v>458</v>
      </c>
      <c r="F118">
        <v>78</v>
      </c>
      <c r="G118" s="23" t="s">
        <v>177</v>
      </c>
      <c r="H118">
        <v>0</v>
      </c>
      <c r="I118">
        <v>4000</v>
      </c>
      <c r="J118" s="10">
        <v>138</v>
      </c>
      <c r="K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18">
        <v>0</v>
      </c>
      <c r="M1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">
        <v>0.93</v>
      </c>
      <c r="O118" s="23" t="s">
        <v>883</v>
      </c>
      <c r="P118">
        <v>72.540000000000006</v>
      </c>
      <c r="Q118" s="23" t="s">
        <v>181</v>
      </c>
    </row>
    <row r="119" spans="1:17" x14ac:dyDescent="0.25">
      <c r="A119" s="23" t="s">
        <v>1144</v>
      </c>
      <c r="B119" s="23" t="s">
        <v>1145</v>
      </c>
      <c r="C119" s="23" t="s">
        <v>176</v>
      </c>
      <c r="D119" s="23" t="s">
        <v>66</v>
      </c>
      <c r="E119" s="23" t="s">
        <v>67</v>
      </c>
      <c r="F119">
        <v>3</v>
      </c>
      <c r="G119" s="23" t="s">
        <v>177</v>
      </c>
      <c r="H119">
        <v>0</v>
      </c>
      <c r="I119">
        <v>85</v>
      </c>
      <c r="J119" s="10">
        <v>43</v>
      </c>
      <c r="K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19">
        <v>40</v>
      </c>
      <c r="M1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">
        <v>60</v>
      </c>
      <c r="O119" s="23" t="s">
        <v>822</v>
      </c>
      <c r="P119">
        <v>180</v>
      </c>
      <c r="Q119" s="23" t="s">
        <v>181</v>
      </c>
    </row>
    <row r="120" spans="1:17" x14ac:dyDescent="0.25">
      <c r="A120" s="23" t="s">
        <v>1146</v>
      </c>
      <c r="B120" s="23" t="s">
        <v>1145</v>
      </c>
      <c r="C120" s="23" t="s">
        <v>176</v>
      </c>
      <c r="D120" s="23" t="s">
        <v>66</v>
      </c>
      <c r="E120" s="23" t="s">
        <v>67</v>
      </c>
      <c r="F120">
        <v>3</v>
      </c>
      <c r="G120" s="23" t="s">
        <v>177</v>
      </c>
      <c r="H120">
        <v>0</v>
      </c>
      <c r="I120">
        <v>85</v>
      </c>
      <c r="J120" s="10">
        <v>43</v>
      </c>
      <c r="K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0">
        <v>40</v>
      </c>
      <c r="M1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">
        <v>60</v>
      </c>
      <c r="O120" s="23" t="s">
        <v>822</v>
      </c>
      <c r="P120">
        <v>180</v>
      </c>
      <c r="Q120" s="23" t="s">
        <v>181</v>
      </c>
    </row>
    <row r="121" spans="1:17" x14ac:dyDescent="0.25">
      <c r="A121" s="23" t="s">
        <v>1100</v>
      </c>
      <c r="B121" s="23" t="s">
        <v>1101</v>
      </c>
      <c r="C121" s="23" t="s">
        <v>176</v>
      </c>
      <c r="D121" s="23" t="s">
        <v>457</v>
      </c>
      <c r="E121" s="23" t="s">
        <v>458</v>
      </c>
      <c r="F121">
        <v>74</v>
      </c>
      <c r="G121" s="23" t="s">
        <v>177</v>
      </c>
      <c r="H121">
        <v>0</v>
      </c>
      <c r="I121">
        <v>4000</v>
      </c>
      <c r="J121" s="10">
        <v>138</v>
      </c>
      <c r="K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1">
        <v>0</v>
      </c>
      <c r="M1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">
        <v>0.93</v>
      </c>
      <c r="O121" s="23" t="s">
        <v>883</v>
      </c>
      <c r="P121">
        <v>68.820000000000007</v>
      </c>
      <c r="Q121" s="23" t="s">
        <v>181</v>
      </c>
    </row>
    <row r="122" spans="1:17" x14ac:dyDescent="0.25">
      <c r="A122" s="23" t="s">
        <v>1058</v>
      </c>
      <c r="B122" s="23" t="s">
        <v>1059</v>
      </c>
      <c r="C122" s="23" t="s">
        <v>176</v>
      </c>
      <c r="D122" s="23" t="s">
        <v>415</v>
      </c>
      <c r="E122" s="23" t="s">
        <v>416</v>
      </c>
      <c r="F122">
        <v>0.1</v>
      </c>
      <c r="G122" s="23" t="s">
        <v>180</v>
      </c>
      <c r="H122">
        <v>0</v>
      </c>
      <c r="I122">
        <v>50</v>
      </c>
      <c r="J122" s="10">
        <v>6.3837823915946501E-15</v>
      </c>
      <c r="K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22">
        <v>0</v>
      </c>
      <c r="M1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">
        <v>25.41</v>
      </c>
      <c r="O122" s="23" t="s">
        <v>827</v>
      </c>
      <c r="P122">
        <v>2.5410000000000004</v>
      </c>
      <c r="Q122" s="23" t="s">
        <v>222</v>
      </c>
    </row>
    <row r="123" spans="1:17" x14ac:dyDescent="0.25">
      <c r="A123" s="23" t="s">
        <v>1148</v>
      </c>
      <c r="B123" s="23" t="s">
        <v>1054</v>
      </c>
      <c r="C123" s="23" t="s">
        <v>176</v>
      </c>
      <c r="D123" s="23" t="s">
        <v>757</v>
      </c>
      <c r="E123" s="23" t="s">
        <v>758</v>
      </c>
      <c r="F123">
        <v>1</v>
      </c>
      <c r="G123" s="23" t="s">
        <v>177</v>
      </c>
      <c r="H123">
        <v>0</v>
      </c>
      <c r="I123">
        <v>4</v>
      </c>
      <c r="J123" s="10">
        <v>2</v>
      </c>
      <c r="K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23">
        <v>2</v>
      </c>
      <c r="M1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">
        <v>1667.14</v>
      </c>
      <c r="O123" s="23" t="s">
        <v>633</v>
      </c>
      <c r="P123">
        <v>1667.14</v>
      </c>
      <c r="Q123" s="23" t="s">
        <v>178</v>
      </c>
    </row>
    <row r="124" spans="1:17" x14ac:dyDescent="0.25">
      <c r="A124" s="23" t="s">
        <v>1148</v>
      </c>
      <c r="B124" s="23" t="s">
        <v>1054</v>
      </c>
      <c r="C124" s="23" t="s">
        <v>176</v>
      </c>
      <c r="D124" s="23" t="s">
        <v>360</v>
      </c>
      <c r="E124" s="23" t="s">
        <v>361</v>
      </c>
      <c r="F124">
        <v>14</v>
      </c>
      <c r="G124" s="23" t="s">
        <v>177</v>
      </c>
      <c r="H124">
        <v>0</v>
      </c>
      <c r="I124">
        <v>14472</v>
      </c>
      <c r="J124" s="10">
        <v>3376</v>
      </c>
      <c r="K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24">
        <v>0</v>
      </c>
      <c r="M1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">
        <v>0.04</v>
      </c>
      <c r="O124" s="23"/>
      <c r="P124">
        <v>0.56000000000000005</v>
      </c>
      <c r="Q124" s="23" t="s">
        <v>181</v>
      </c>
    </row>
    <row r="125" spans="1:17" x14ac:dyDescent="0.25">
      <c r="A125" s="23" t="s">
        <v>1147</v>
      </c>
      <c r="B125" s="23" t="s">
        <v>1145</v>
      </c>
      <c r="C125" s="23" t="s">
        <v>176</v>
      </c>
      <c r="D125" s="23" t="s">
        <v>360</v>
      </c>
      <c r="E125" s="23" t="s">
        <v>361</v>
      </c>
      <c r="F125">
        <v>2</v>
      </c>
      <c r="G125" s="23" t="s">
        <v>177</v>
      </c>
      <c r="H125">
        <v>0</v>
      </c>
      <c r="I125">
        <v>14472</v>
      </c>
      <c r="J125" s="10">
        <v>3376</v>
      </c>
      <c r="K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25">
        <v>0</v>
      </c>
      <c r="M1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">
        <v>0.04</v>
      </c>
      <c r="O125" s="23"/>
      <c r="P125">
        <v>0.08</v>
      </c>
      <c r="Q125" s="23" t="s">
        <v>181</v>
      </c>
    </row>
    <row r="126" spans="1:17" x14ac:dyDescent="0.25">
      <c r="A126" s="23" t="s">
        <v>1150</v>
      </c>
      <c r="B126" s="23" t="s">
        <v>1145</v>
      </c>
      <c r="C126" s="23" t="s">
        <v>176</v>
      </c>
      <c r="D126" s="23" t="s">
        <v>415</v>
      </c>
      <c r="E126" s="23" t="s">
        <v>416</v>
      </c>
      <c r="F126">
        <v>0.1</v>
      </c>
      <c r="G126" s="23" t="s">
        <v>180</v>
      </c>
      <c r="H126">
        <v>0</v>
      </c>
      <c r="I126">
        <v>50</v>
      </c>
      <c r="J126" s="10">
        <v>6.3837823915946501E-15</v>
      </c>
      <c r="K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26">
        <v>0</v>
      </c>
      <c r="M1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">
        <v>25.41</v>
      </c>
      <c r="O126" s="23" t="s">
        <v>827</v>
      </c>
      <c r="P126">
        <v>2.5410000000000004</v>
      </c>
      <c r="Q126" s="23" t="s">
        <v>222</v>
      </c>
    </row>
    <row r="127" spans="1:17" x14ac:dyDescent="0.25">
      <c r="A127" s="23" t="s">
        <v>1149</v>
      </c>
      <c r="B127" s="23" t="s">
        <v>1145</v>
      </c>
      <c r="C127" s="23" t="s">
        <v>176</v>
      </c>
      <c r="D127" s="23" t="s">
        <v>360</v>
      </c>
      <c r="E127" s="23" t="s">
        <v>361</v>
      </c>
      <c r="F127">
        <v>2</v>
      </c>
      <c r="G127" s="23" t="s">
        <v>177</v>
      </c>
      <c r="H127">
        <v>0</v>
      </c>
      <c r="I127">
        <v>14472</v>
      </c>
      <c r="J127" s="10">
        <v>3376</v>
      </c>
      <c r="K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27">
        <v>0</v>
      </c>
      <c r="M1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">
        <v>0.04</v>
      </c>
      <c r="O127" s="23"/>
      <c r="P127">
        <v>0.08</v>
      </c>
      <c r="Q127" s="23" t="s">
        <v>181</v>
      </c>
    </row>
    <row r="128" spans="1:17" x14ac:dyDescent="0.25">
      <c r="A128" s="23" t="s">
        <v>1150</v>
      </c>
      <c r="B128" s="23" t="s">
        <v>1145</v>
      </c>
      <c r="C128" s="23" t="s">
        <v>176</v>
      </c>
      <c r="D128" s="23" t="s">
        <v>457</v>
      </c>
      <c r="E128" s="23" t="s">
        <v>458</v>
      </c>
      <c r="F128">
        <v>78</v>
      </c>
      <c r="G128" s="23" t="s">
        <v>177</v>
      </c>
      <c r="H128">
        <v>0</v>
      </c>
      <c r="I128">
        <v>4000</v>
      </c>
      <c r="J128" s="10">
        <v>138</v>
      </c>
      <c r="K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28">
        <v>0</v>
      </c>
      <c r="M1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">
        <v>0.93</v>
      </c>
      <c r="O128" s="23" t="s">
        <v>883</v>
      </c>
      <c r="P128">
        <v>72.540000000000006</v>
      </c>
      <c r="Q128" s="23" t="s">
        <v>181</v>
      </c>
    </row>
    <row r="129" spans="1:17" x14ac:dyDescent="0.25">
      <c r="A129" s="23" t="s">
        <v>1149</v>
      </c>
      <c r="B129" s="23" t="s">
        <v>1145</v>
      </c>
      <c r="C129" s="23" t="s">
        <v>176</v>
      </c>
      <c r="D129" s="23" t="s">
        <v>66</v>
      </c>
      <c r="E129" s="23" t="s">
        <v>67</v>
      </c>
      <c r="F129">
        <v>3</v>
      </c>
      <c r="G129" s="23" t="s">
        <v>177</v>
      </c>
      <c r="H129">
        <v>0</v>
      </c>
      <c r="I129">
        <v>85</v>
      </c>
      <c r="J129" s="10">
        <v>43</v>
      </c>
      <c r="K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29">
        <v>40</v>
      </c>
      <c r="M1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">
        <v>60</v>
      </c>
      <c r="O129" s="23" t="s">
        <v>822</v>
      </c>
      <c r="P129">
        <v>180</v>
      </c>
      <c r="Q129" s="23" t="s">
        <v>181</v>
      </c>
    </row>
    <row r="130" spans="1:17" x14ac:dyDescent="0.25">
      <c r="A130" s="23" t="s">
        <v>1055</v>
      </c>
      <c r="B130" s="23" t="s">
        <v>1056</v>
      </c>
      <c r="C130" s="23" t="s">
        <v>176</v>
      </c>
      <c r="D130" s="23" t="s">
        <v>415</v>
      </c>
      <c r="E130" s="23" t="s">
        <v>416</v>
      </c>
      <c r="F130">
        <v>0.1</v>
      </c>
      <c r="G130" s="23" t="s">
        <v>180</v>
      </c>
      <c r="H130">
        <v>0</v>
      </c>
      <c r="I130">
        <v>50</v>
      </c>
      <c r="J130" s="10">
        <v>6.3837823915946501E-15</v>
      </c>
      <c r="K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30">
        <v>0</v>
      </c>
      <c r="M1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">
        <v>25.41</v>
      </c>
      <c r="O130" s="23" t="s">
        <v>827</v>
      </c>
      <c r="P130">
        <v>2.5410000000000004</v>
      </c>
      <c r="Q130" s="23" t="s">
        <v>222</v>
      </c>
    </row>
    <row r="131" spans="1:17" x14ac:dyDescent="0.25">
      <c r="A131" s="23" t="s">
        <v>1099</v>
      </c>
      <c r="B131" s="23" t="s">
        <v>1056</v>
      </c>
      <c r="C131" s="23" t="s">
        <v>176</v>
      </c>
      <c r="D131" s="23" t="s">
        <v>415</v>
      </c>
      <c r="E131" s="23" t="s">
        <v>416</v>
      </c>
      <c r="F131">
        <v>0.1</v>
      </c>
      <c r="G131" s="23" t="s">
        <v>180</v>
      </c>
      <c r="H131">
        <v>0</v>
      </c>
      <c r="I131">
        <v>50</v>
      </c>
      <c r="J131" s="10">
        <v>6.3837823915946501E-15</v>
      </c>
      <c r="K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31">
        <v>0</v>
      </c>
      <c r="M1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">
        <v>25.41</v>
      </c>
      <c r="O131" s="23" t="s">
        <v>827</v>
      </c>
      <c r="P131">
        <v>2.5410000000000004</v>
      </c>
      <c r="Q131" s="23" t="s">
        <v>222</v>
      </c>
    </row>
    <row r="132" spans="1:17" x14ac:dyDescent="0.25">
      <c r="A132" s="23" t="s">
        <v>1100</v>
      </c>
      <c r="B132" s="23" t="s">
        <v>1101</v>
      </c>
      <c r="C132" s="23" t="s">
        <v>176</v>
      </c>
      <c r="D132" s="23" t="s">
        <v>757</v>
      </c>
      <c r="E132" s="23" t="s">
        <v>758</v>
      </c>
      <c r="F132">
        <v>1</v>
      </c>
      <c r="G132" s="23" t="s">
        <v>177</v>
      </c>
      <c r="H132">
        <v>0</v>
      </c>
      <c r="I132">
        <v>4</v>
      </c>
      <c r="J132" s="10">
        <v>2</v>
      </c>
      <c r="K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32">
        <v>2</v>
      </c>
      <c r="M1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">
        <v>1667.14</v>
      </c>
      <c r="O132" s="23" t="s">
        <v>633</v>
      </c>
      <c r="P132">
        <v>1667.14</v>
      </c>
      <c r="Q132" s="23" t="s">
        <v>178</v>
      </c>
    </row>
    <row r="133" spans="1:17" x14ac:dyDescent="0.25">
      <c r="A133" s="23" t="s">
        <v>1100</v>
      </c>
      <c r="B133" s="23" t="s">
        <v>1101</v>
      </c>
      <c r="C133" s="23" t="s">
        <v>176</v>
      </c>
      <c r="D133" s="23" t="s">
        <v>360</v>
      </c>
      <c r="E133" s="23" t="s">
        <v>361</v>
      </c>
      <c r="F133">
        <v>10</v>
      </c>
      <c r="G133" s="23" t="s">
        <v>177</v>
      </c>
      <c r="H133">
        <v>0</v>
      </c>
      <c r="I133">
        <v>14472</v>
      </c>
      <c r="J133" s="10">
        <v>3376</v>
      </c>
      <c r="K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33">
        <v>0</v>
      </c>
      <c r="M1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">
        <v>0.04</v>
      </c>
      <c r="O133" s="23"/>
      <c r="P133">
        <v>0.4</v>
      </c>
      <c r="Q133" s="23" t="s">
        <v>181</v>
      </c>
    </row>
    <row r="134" spans="1:17" x14ac:dyDescent="0.25">
      <c r="A134" s="23" t="s">
        <v>1144</v>
      </c>
      <c r="B134" s="23" t="s">
        <v>1145</v>
      </c>
      <c r="C134" s="23" t="s">
        <v>176</v>
      </c>
      <c r="D134" s="23" t="s">
        <v>415</v>
      </c>
      <c r="E134" s="23" t="s">
        <v>416</v>
      </c>
      <c r="F134">
        <v>0.1</v>
      </c>
      <c r="G134" s="23" t="s">
        <v>180</v>
      </c>
      <c r="H134">
        <v>0</v>
      </c>
      <c r="I134">
        <v>50</v>
      </c>
      <c r="J134" s="10">
        <v>6.3837823915946501E-15</v>
      </c>
      <c r="K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34">
        <v>0</v>
      </c>
      <c r="M1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">
        <v>25.41</v>
      </c>
      <c r="O134" s="23" t="s">
        <v>827</v>
      </c>
      <c r="P134">
        <v>2.5410000000000004</v>
      </c>
      <c r="Q134" s="23" t="s">
        <v>222</v>
      </c>
    </row>
    <row r="135" spans="1:17" x14ac:dyDescent="0.25">
      <c r="A135" s="23" t="s">
        <v>1146</v>
      </c>
      <c r="B135" s="23" t="s">
        <v>1145</v>
      </c>
      <c r="C135" s="23" t="s">
        <v>176</v>
      </c>
      <c r="D135" s="23" t="s">
        <v>415</v>
      </c>
      <c r="E135" s="23" t="s">
        <v>416</v>
      </c>
      <c r="F135">
        <v>0.1</v>
      </c>
      <c r="G135" s="23" t="s">
        <v>180</v>
      </c>
      <c r="H135">
        <v>0</v>
      </c>
      <c r="I135">
        <v>50</v>
      </c>
      <c r="J135" s="10">
        <v>6.3837823915946501E-15</v>
      </c>
      <c r="K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35">
        <v>0</v>
      </c>
      <c r="M1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">
        <v>25.41</v>
      </c>
      <c r="O135" s="23" t="s">
        <v>827</v>
      </c>
      <c r="P135">
        <v>2.5410000000000004</v>
      </c>
      <c r="Q135" s="23" t="s">
        <v>222</v>
      </c>
    </row>
    <row r="136" spans="1:17" x14ac:dyDescent="0.25">
      <c r="A136" s="23" t="s">
        <v>1144</v>
      </c>
      <c r="B136" s="23" t="s">
        <v>1145</v>
      </c>
      <c r="C136" s="23" t="s">
        <v>176</v>
      </c>
      <c r="D136" s="23" t="s">
        <v>457</v>
      </c>
      <c r="E136" s="23" t="s">
        <v>458</v>
      </c>
      <c r="F136">
        <v>78</v>
      </c>
      <c r="G136" s="23" t="s">
        <v>177</v>
      </c>
      <c r="H136">
        <v>0</v>
      </c>
      <c r="I136">
        <v>4000</v>
      </c>
      <c r="J136" s="10">
        <v>138</v>
      </c>
      <c r="K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136">
        <v>0</v>
      </c>
      <c r="M1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">
        <v>0.93</v>
      </c>
      <c r="O136" s="23" t="s">
        <v>883</v>
      </c>
      <c r="P136">
        <v>72.540000000000006</v>
      </c>
      <c r="Q136" s="23" t="s">
        <v>181</v>
      </c>
    </row>
    <row r="137" spans="1:17" x14ac:dyDescent="0.25">
      <c r="A137" s="23" t="s">
        <v>1147</v>
      </c>
      <c r="B137" s="23" t="s">
        <v>1145</v>
      </c>
      <c r="C137" s="23" t="s">
        <v>176</v>
      </c>
      <c r="D137" s="23" t="s">
        <v>415</v>
      </c>
      <c r="E137" s="23" t="s">
        <v>416</v>
      </c>
      <c r="F137">
        <v>0.1</v>
      </c>
      <c r="G137" s="23" t="s">
        <v>180</v>
      </c>
      <c r="H137">
        <v>0</v>
      </c>
      <c r="I137">
        <v>50</v>
      </c>
      <c r="J137" s="10">
        <v>6.3837823915946501E-15</v>
      </c>
      <c r="K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37">
        <v>0</v>
      </c>
      <c r="M1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">
        <v>25.41</v>
      </c>
      <c r="O137" s="23" t="s">
        <v>827</v>
      </c>
      <c r="P137">
        <v>2.5410000000000004</v>
      </c>
      <c r="Q137" s="23" t="s">
        <v>222</v>
      </c>
    </row>
    <row r="138" spans="1:17" x14ac:dyDescent="0.25">
      <c r="A138" s="23" t="s">
        <v>1148</v>
      </c>
      <c r="B138" s="23" t="s">
        <v>1054</v>
      </c>
      <c r="C138" s="23" t="s">
        <v>176</v>
      </c>
      <c r="D138" s="23" t="s">
        <v>415</v>
      </c>
      <c r="E138" s="23" t="s">
        <v>416</v>
      </c>
      <c r="F138">
        <v>0.1</v>
      </c>
      <c r="G138" s="23" t="s">
        <v>180</v>
      </c>
      <c r="H138">
        <v>0</v>
      </c>
      <c r="I138">
        <v>50</v>
      </c>
      <c r="J138" s="10">
        <v>6.3837823915946501E-15</v>
      </c>
      <c r="K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138">
        <v>0</v>
      </c>
      <c r="M1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">
        <v>25.41</v>
      </c>
      <c r="O138" s="23" t="s">
        <v>827</v>
      </c>
      <c r="P138">
        <v>2.5410000000000004</v>
      </c>
      <c r="Q138" s="23" t="s">
        <v>222</v>
      </c>
    </row>
    <row r="139" spans="1:17" x14ac:dyDescent="0.25">
      <c r="A139" s="23" t="s">
        <v>1058</v>
      </c>
      <c r="B139" s="23" t="s">
        <v>1059</v>
      </c>
      <c r="C139" s="23" t="s">
        <v>176</v>
      </c>
      <c r="D139" s="23" t="s">
        <v>360</v>
      </c>
      <c r="E139" s="23" t="s">
        <v>361</v>
      </c>
      <c r="F139">
        <v>2</v>
      </c>
      <c r="G139" s="23" t="s">
        <v>177</v>
      </c>
      <c r="H139">
        <v>0</v>
      </c>
      <c r="I139">
        <v>14472</v>
      </c>
      <c r="J139" s="10">
        <v>3376</v>
      </c>
      <c r="K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39">
        <v>0</v>
      </c>
      <c r="M1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">
        <v>0.04</v>
      </c>
      <c r="O139" s="23"/>
      <c r="P139">
        <v>0.08</v>
      </c>
      <c r="Q139" s="23" t="s">
        <v>181</v>
      </c>
    </row>
    <row r="140" spans="1:17" x14ac:dyDescent="0.25">
      <c r="A140" s="23" t="s">
        <v>1055</v>
      </c>
      <c r="B140" s="23" t="s">
        <v>1056</v>
      </c>
      <c r="C140" s="23" t="s">
        <v>176</v>
      </c>
      <c r="D140" s="23" t="s">
        <v>360</v>
      </c>
      <c r="E140" s="23" t="s">
        <v>361</v>
      </c>
      <c r="F140">
        <v>16</v>
      </c>
      <c r="G140" s="23" t="s">
        <v>177</v>
      </c>
      <c r="H140">
        <v>0</v>
      </c>
      <c r="I140">
        <v>14472</v>
      </c>
      <c r="J140" s="10">
        <v>3376</v>
      </c>
      <c r="K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40">
        <v>0</v>
      </c>
      <c r="M1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">
        <v>0.04</v>
      </c>
      <c r="O140" s="23"/>
      <c r="P140">
        <v>0.64</v>
      </c>
      <c r="Q140" s="23" t="s">
        <v>181</v>
      </c>
    </row>
    <row r="141" spans="1:17" x14ac:dyDescent="0.25">
      <c r="A141" s="23" t="s">
        <v>1099</v>
      </c>
      <c r="B141" s="23" t="s">
        <v>1056</v>
      </c>
      <c r="C141" s="23" t="s">
        <v>176</v>
      </c>
      <c r="D141" s="23" t="s">
        <v>360</v>
      </c>
      <c r="E141" s="23" t="s">
        <v>361</v>
      </c>
      <c r="F141">
        <v>16</v>
      </c>
      <c r="G141" s="23" t="s">
        <v>177</v>
      </c>
      <c r="H141">
        <v>0</v>
      </c>
      <c r="I141">
        <v>14472</v>
      </c>
      <c r="J141" s="10">
        <v>3376</v>
      </c>
      <c r="K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141">
        <v>0</v>
      </c>
      <c r="M1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">
        <v>0.04</v>
      </c>
      <c r="O141" s="23"/>
      <c r="P141">
        <v>0.64</v>
      </c>
      <c r="Q141" s="23" t="s">
        <v>181</v>
      </c>
    </row>
    <row r="142" spans="1:17" x14ac:dyDescent="0.25">
      <c r="A142" s="23" t="s">
        <v>1150</v>
      </c>
      <c r="B142" s="23" t="s">
        <v>1145</v>
      </c>
      <c r="C142" s="23" t="s">
        <v>176</v>
      </c>
      <c r="D142" s="23" t="s">
        <v>66</v>
      </c>
      <c r="E142" s="23" t="s">
        <v>67</v>
      </c>
      <c r="F142">
        <v>3</v>
      </c>
      <c r="G142" s="23" t="s">
        <v>177</v>
      </c>
      <c r="H142">
        <v>0</v>
      </c>
      <c r="I142">
        <v>85</v>
      </c>
      <c r="J142" s="10">
        <v>43</v>
      </c>
      <c r="K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142">
        <v>40</v>
      </c>
      <c r="M1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">
        <v>60</v>
      </c>
      <c r="O142" s="23" t="s">
        <v>822</v>
      </c>
      <c r="P142">
        <v>180</v>
      </c>
      <c r="Q142" s="23" t="s">
        <v>181</v>
      </c>
    </row>
    <row r="143" spans="1:17" x14ac:dyDescent="0.25">
      <c r="A143" s="23" t="s">
        <v>1099</v>
      </c>
      <c r="B143" s="23" t="s">
        <v>1056</v>
      </c>
      <c r="C143" s="23" t="s">
        <v>176</v>
      </c>
      <c r="D143" s="23" t="s">
        <v>62</v>
      </c>
      <c r="E143" s="23" t="s">
        <v>63</v>
      </c>
      <c r="F143">
        <v>6</v>
      </c>
      <c r="G143" s="23" t="s">
        <v>180</v>
      </c>
      <c r="H143">
        <v>0</v>
      </c>
      <c r="I143">
        <v>260</v>
      </c>
      <c r="J143" s="10">
        <v>0</v>
      </c>
      <c r="K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143">
        <v>0</v>
      </c>
      <c r="M1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">
        <v>8.4</v>
      </c>
      <c r="O143" s="23" t="s">
        <v>827</v>
      </c>
      <c r="P143">
        <v>50.400000000000006</v>
      </c>
      <c r="Q143" s="23" t="s">
        <v>181</v>
      </c>
    </row>
    <row r="144" spans="1:17" x14ac:dyDescent="0.25">
      <c r="A144" s="23" t="s">
        <v>1197</v>
      </c>
      <c r="B144" s="23" t="s">
        <v>1198</v>
      </c>
      <c r="C144" s="23" t="s">
        <v>176</v>
      </c>
      <c r="D144" s="23" t="s">
        <v>15</v>
      </c>
      <c r="E144" s="23" t="s">
        <v>16</v>
      </c>
      <c r="F144">
        <v>1</v>
      </c>
      <c r="G144" s="23" t="s">
        <v>177</v>
      </c>
      <c r="H144">
        <v>0</v>
      </c>
      <c r="I144">
        <v>7</v>
      </c>
      <c r="J144" s="10">
        <v>10</v>
      </c>
      <c r="K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4">
        <v>0</v>
      </c>
      <c r="M1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144">
        <v>3383.99</v>
      </c>
      <c r="O144" s="23" t="s">
        <v>216</v>
      </c>
      <c r="P144">
        <v>3383.99</v>
      </c>
      <c r="Q144" s="23" t="s">
        <v>222</v>
      </c>
    </row>
    <row r="145" spans="1:17" x14ac:dyDescent="0.25">
      <c r="A145" s="23" t="s">
        <v>1197</v>
      </c>
      <c r="B145" s="23" t="s">
        <v>1198</v>
      </c>
      <c r="C145" s="23" t="s">
        <v>176</v>
      </c>
      <c r="D145" s="23" t="s">
        <v>261</v>
      </c>
      <c r="E145" s="23" t="s">
        <v>262</v>
      </c>
      <c r="F145">
        <v>0.7</v>
      </c>
      <c r="G145" s="23" t="s">
        <v>177</v>
      </c>
      <c r="H145">
        <v>0</v>
      </c>
      <c r="I145">
        <v>5</v>
      </c>
      <c r="J145" s="10">
        <v>0.30000000000001581</v>
      </c>
      <c r="K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45">
        <v>0</v>
      </c>
      <c r="M1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45">
        <v>1622.4</v>
      </c>
      <c r="O145" s="23" t="s">
        <v>263</v>
      </c>
      <c r="P145">
        <v>1135.68</v>
      </c>
      <c r="Q145" s="23" t="s">
        <v>184</v>
      </c>
    </row>
    <row r="146" spans="1:17" x14ac:dyDescent="0.25">
      <c r="A146" s="23" t="s">
        <v>1098</v>
      </c>
      <c r="B146" s="23" t="s">
        <v>1053</v>
      </c>
      <c r="C146" s="23" t="s">
        <v>176</v>
      </c>
      <c r="D146" s="23" t="s">
        <v>261</v>
      </c>
      <c r="E146" s="23" t="s">
        <v>262</v>
      </c>
      <c r="F146">
        <v>0.89999999999999991</v>
      </c>
      <c r="G146" s="23" t="s">
        <v>177</v>
      </c>
      <c r="H146">
        <v>0</v>
      </c>
      <c r="I146">
        <v>5</v>
      </c>
      <c r="J146" s="10">
        <v>0.30000000000001581</v>
      </c>
      <c r="K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46">
        <v>0</v>
      </c>
      <c r="M1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46">
        <v>1622.4</v>
      </c>
      <c r="O146" s="23" t="s">
        <v>263</v>
      </c>
      <c r="P146">
        <v>1460.1599999999999</v>
      </c>
      <c r="Q146" s="23" t="s">
        <v>184</v>
      </c>
    </row>
    <row r="147" spans="1:17" x14ac:dyDescent="0.25">
      <c r="A147" s="23" t="s">
        <v>1098</v>
      </c>
      <c r="B147" s="23" t="s">
        <v>1053</v>
      </c>
      <c r="C147" s="23" t="s">
        <v>176</v>
      </c>
      <c r="D147" s="23" t="s">
        <v>729</v>
      </c>
      <c r="E147" s="23" t="s">
        <v>730</v>
      </c>
      <c r="F147">
        <v>9</v>
      </c>
      <c r="G147" s="23" t="s">
        <v>180</v>
      </c>
      <c r="H147">
        <v>0</v>
      </c>
      <c r="I147">
        <v>0</v>
      </c>
      <c r="J147" s="10">
        <v>344</v>
      </c>
      <c r="K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47">
        <v>0</v>
      </c>
      <c r="M1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47">
        <v>20.420000000000002</v>
      </c>
      <c r="O147" s="23" t="s">
        <v>224</v>
      </c>
      <c r="P147">
        <v>183.78000000000003</v>
      </c>
      <c r="Q147" s="23" t="s">
        <v>182</v>
      </c>
    </row>
    <row r="148" spans="1:17" x14ac:dyDescent="0.25">
      <c r="A148" s="23" t="s">
        <v>1197</v>
      </c>
      <c r="B148" s="23" t="s">
        <v>1198</v>
      </c>
      <c r="C148" s="23" t="s">
        <v>176</v>
      </c>
      <c r="D148" s="23" t="s">
        <v>729</v>
      </c>
      <c r="E148" s="23" t="s">
        <v>730</v>
      </c>
      <c r="F148">
        <v>9</v>
      </c>
      <c r="G148" s="23" t="s">
        <v>180</v>
      </c>
      <c r="H148">
        <v>0</v>
      </c>
      <c r="I148">
        <v>0</v>
      </c>
      <c r="J148" s="10">
        <v>344</v>
      </c>
      <c r="K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48">
        <v>0</v>
      </c>
      <c r="M1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48">
        <v>20.420000000000002</v>
      </c>
      <c r="O148" s="23" t="s">
        <v>224</v>
      </c>
      <c r="P148">
        <v>183.78000000000003</v>
      </c>
      <c r="Q148" s="23" t="s">
        <v>182</v>
      </c>
    </row>
    <row r="149" spans="1:17" x14ac:dyDescent="0.25">
      <c r="A149" s="23" t="s">
        <v>1097</v>
      </c>
      <c r="B149" s="23" t="s">
        <v>1095</v>
      </c>
      <c r="C149" s="23" t="s">
        <v>176</v>
      </c>
      <c r="D149" s="23" t="s">
        <v>352</v>
      </c>
      <c r="E149" s="23" t="s">
        <v>353</v>
      </c>
      <c r="F149">
        <v>149</v>
      </c>
      <c r="G149" s="23" t="s">
        <v>177</v>
      </c>
      <c r="H149">
        <v>0</v>
      </c>
      <c r="I149">
        <v>4000</v>
      </c>
      <c r="J149" s="10">
        <v>7366</v>
      </c>
      <c r="K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49">
        <v>0</v>
      </c>
      <c r="M1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">
        <v>0.35</v>
      </c>
      <c r="O149" s="23" t="s">
        <v>242</v>
      </c>
      <c r="P149">
        <v>52.15</v>
      </c>
      <c r="Q149" s="23" t="s">
        <v>181</v>
      </c>
    </row>
    <row r="150" spans="1:17" x14ac:dyDescent="0.25">
      <c r="A150" s="23" t="s">
        <v>1096</v>
      </c>
      <c r="B150" s="23" t="s">
        <v>1053</v>
      </c>
      <c r="C150" s="23" t="s">
        <v>176</v>
      </c>
      <c r="D150" s="23" t="s">
        <v>261</v>
      </c>
      <c r="E150" s="23" t="s">
        <v>262</v>
      </c>
      <c r="F150">
        <v>1.2</v>
      </c>
      <c r="G150" s="23" t="s">
        <v>177</v>
      </c>
      <c r="H150">
        <v>0</v>
      </c>
      <c r="I150">
        <v>5</v>
      </c>
      <c r="J150" s="10">
        <v>0.30000000000001581</v>
      </c>
      <c r="K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50">
        <v>0</v>
      </c>
      <c r="M1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50">
        <v>1622.4</v>
      </c>
      <c r="O150" s="23" t="s">
        <v>263</v>
      </c>
      <c r="P150">
        <v>1946.88</v>
      </c>
      <c r="Q150" s="23" t="s">
        <v>184</v>
      </c>
    </row>
    <row r="151" spans="1:17" x14ac:dyDescent="0.25">
      <c r="A151" s="23" t="s">
        <v>1057</v>
      </c>
      <c r="B151" s="23" t="s">
        <v>1056</v>
      </c>
      <c r="C151" s="23" t="s">
        <v>176</v>
      </c>
      <c r="D151" s="23" t="s">
        <v>791</v>
      </c>
      <c r="E151" s="23" t="s">
        <v>829</v>
      </c>
      <c r="F151">
        <v>6</v>
      </c>
      <c r="G151" s="23" t="s">
        <v>180</v>
      </c>
      <c r="H151">
        <v>0</v>
      </c>
      <c r="I151">
        <v>100</v>
      </c>
      <c r="J151" s="10">
        <v>50</v>
      </c>
      <c r="K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51">
        <v>0</v>
      </c>
      <c r="M1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">
        <v>46</v>
      </c>
      <c r="O151" s="23" t="s">
        <v>792</v>
      </c>
      <c r="P151">
        <v>276</v>
      </c>
      <c r="Q151" s="23" t="s">
        <v>222</v>
      </c>
    </row>
    <row r="152" spans="1:17" x14ac:dyDescent="0.25">
      <c r="A152" s="23" t="s">
        <v>1143</v>
      </c>
      <c r="B152" s="23" t="s">
        <v>1054</v>
      </c>
      <c r="C152" s="23" t="s">
        <v>176</v>
      </c>
      <c r="D152" s="23" t="s">
        <v>791</v>
      </c>
      <c r="E152" s="23" t="s">
        <v>829</v>
      </c>
      <c r="F152">
        <v>6</v>
      </c>
      <c r="G152" s="23" t="s">
        <v>180</v>
      </c>
      <c r="H152">
        <v>0</v>
      </c>
      <c r="I152">
        <v>100</v>
      </c>
      <c r="J152" s="10">
        <v>50</v>
      </c>
      <c r="K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52">
        <v>0</v>
      </c>
      <c r="M1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">
        <v>46</v>
      </c>
      <c r="O152" s="23" t="s">
        <v>792</v>
      </c>
      <c r="P152">
        <v>276</v>
      </c>
      <c r="Q152" s="23" t="s">
        <v>222</v>
      </c>
    </row>
    <row r="153" spans="1:17" x14ac:dyDescent="0.25">
      <c r="A153" s="23" t="s">
        <v>1062</v>
      </c>
      <c r="B153" s="23" t="s">
        <v>1053</v>
      </c>
      <c r="C153" s="23" t="s">
        <v>176</v>
      </c>
      <c r="D153" s="23" t="s">
        <v>465</v>
      </c>
      <c r="E153" s="23" t="s">
        <v>466</v>
      </c>
      <c r="F153">
        <v>2</v>
      </c>
      <c r="G153" s="23" t="s">
        <v>177</v>
      </c>
      <c r="H153">
        <v>0</v>
      </c>
      <c r="I153">
        <v>222</v>
      </c>
      <c r="J153" s="10">
        <v>2</v>
      </c>
      <c r="K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53">
        <v>0</v>
      </c>
      <c r="M1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">
        <v>11.5</v>
      </c>
      <c r="O153" s="23" t="s">
        <v>242</v>
      </c>
      <c r="P153">
        <v>23</v>
      </c>
      <c r="Q153" s="23" t="s">
        <v>179</v>
      </c>
    </row>
    <row r="154" spans="1:17" x14ac:dyDescent="0.25">
      <c r="A154" s="23" t="s">
        <v>1062</v>
      </c>
      <c r="B154" s="23" t="s">
        <v>1053</v>
      </c>
      <c r="C154" s="23" t="s">
        <v>176</v>
      </c>
      <c r="D154" s="23" t="s">
        <v>261</v>
      </c>
      <c r="E154" s="23" t="s">
        <v>262</v>
      </c>
      <c r="F154">
        <v>1.2</v>
      </c>
      <c r="G154" s="23" t="s">
        <v>177</v>
      </c>
      <c r="H154">
        <v>0</v>
      </c>
      <c r="I154">
        <v>5</v>
      </c>
      <c r="J154" s="10">
        <v>0.30000000000001581</v>
      </c>
      <c r="K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54">
        <v>0</v>
      </c>
      <c r="M1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54">
        <v>1622.4</v>
      </c>
      <c r="O154" s="23" t="s">
        <v>263</v>
      </c>
      <c r="P154">
        <v>1946.88</v>
      </c>
      <c r="Q154" s="23" t="s">
        <v>184</v>
      </c>
    </row>
    <row r="155" spans="1:17" x14ac:dyDescent="0.25">
      <c r="A155" s="23" t="s">
        <v>1062</v>
      </c>
      <c r="B155" s="23" t="s">
        <v>1053</v>
      </c>
      <c r="C155" s="23" t="s">
        <v>176</v>
      </c>
      <c r="D155" s="23" t="s">
        <v>352</v>
      </c>
      <c r="E155" s="23" t="s">
        <v>353</v>
      </c>
      <c r="F155">
        <v>113</v>
      </c>
      <c r="G155" s="23" t="s">
        <v>177</v>
      </c>
      <c r="H155">
        <v>0</v>
      </c>
      <c r="I155">
        <v>4000</v>
      </c>
      <c r="J155" s="10">
        <v>7366</v>
      </c>
      <c r="K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55">
        <v>0</v>
      </c>
      <c r="M1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">
        <v>0.35</v>
      </c>
      <c r="O155" s="23" t="s">
        <v>242</v>
      </c>
      <c r="P155">
        <v>39.549999999999997</v>
      </c>
      <c r="Q155" s="23" t="s">
        <v>181</v>
      </c>
    </row>
    <row r="156" spans="1:17" x14ac:dyDescent="0.25">
      <c r="A156" s="23" t="s">
        <v>1142</v>
      </c>
      <c r="B156" s="23" t="s">
        <v>1054</v>
      </c>
      <c r="C156" s="23" t="s">
        <v>176</v>
      </c>
      <c r="D156" s="23" t="s">
        <v>465</v>
      </c>
      <c r="E156" s="23" t="s">
        <v>466</v>
      </c>
      <c r="F156">
        <v>2</v>
      </c>
      <c r="G156" s="23" t="s">
        <v>177</v>
      </c>
      <c r="H156">
        <v>0</v>
      </c>
      <c r="I156">
        <v>222</v>
      </c>
      <c r="J156" s="10">
        <v>2</v>
      </c>
      <c r="K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56">
        <v>0</v>
      </c>
      <c r="M1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">
        <v>11.5</v>
      </c>
      <c r="O156" s="23" t="s">
        <v>242</v>
      </c>
      <c r="P156">
        <v>23</v>
      </c>
      <c r="Q156" s="23" t="s">
        <v>179</v>
      </c>
    </row>
    <row r="157" spans="1:17" x14ac:dyDescent="0.25">
      <c r="A157" s="23" t="s">
        <v>1142</v>
      </c>
      <c r="B157" s="23" t="s">
        <v>1054</v>
      </c>
      <c r="C157" s="23" t="s">
        <v>176</v>
      </c>
      <c r="D157" s="23" t="s">
        <v>261</v>
      </c>
      <c r="E157" s="23" t="s">
        <v>262</v>
      </c>
      <c r="F157">
        <v>0.7</v>
      </c>
      <c r="G157" s="23" t="s">
        <v>177</v>
      </c>
      <c r="H157">
        <v>0</v>
      </c>
      <c r="I157">
        <v>5</v>
      </c>
      <c r="J157" s="10">
        <v>0.30000000000001581</v>
      </c>
      <c r="K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57">
        <v>0</v>
      </c>
      <c r="M1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57">
        <v>1622.4</v>
      </c>
      <c r="O157" s="23" t="s">
        <v>263</v>
      </c>
      <c r="P157">
        <v>1135.68</v>
      </c>
      <c r="Q157" s="23" t="s">
        <v>184</v>
      </c>
    </row>
    <row r="158" spans="1:17" x14ac:dyDescent="0.25">
      <c r="A158" s="23" t="s">
        <v>1142</v>
      </c>
      <c r="B158" s="23" t="s">
        <v>1054</v>
      </c>
      <c r="C158" s="23" t="s">
        <v>176</v>
      </c>
      <c r="D158" s="23" t="s">
        <v>791</v>
      </c>
      <c r="E158" s="23" t="s">
        <v>829</v>
      </c>
      <c r="F158">
        <v>6</v>
      </c>
      <c r="G158" s="23" t="s">
        <v>180</v>
      </c>
      <c r="H158">
        <v>0</v>
      </c>
      <c r="I158">
        <v>100</v>
      </c>
      <c r="J158" s="10">
        <v>50</v>
      </c>
      <c r="K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58">
        <v>0</v>
      </c>
      <c r="M1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">
        <v>46</v>
      </c>
      <c r="O158" s="23" t="s">
        <v>792</v>
      </c>
      <c r="P158">
        <v>276</v>
      </c>
      <c r="Q158" s="23" t="s">
        <v>222</v>
      </c>
    </row>
    <row r="159" spans="1:17" x14ac:dyDescent="0.25">
      <c r="A159" s="23" t="s">
        <v>1142</v>
      </c>
      <c r="B159" s="23" t="s">
        <v>1054</v>
      </c>
      <c r="C159" s="23" t="s">
        <v>176</v>
      </c>
      <c r="D159" s="23" t="s">
        <v>352</v>
      </c>
      <c r="E159" s="23" t="s">
        <v>353</v>
      </c>
      <c r="F159">
        <v>249</v>
      </c>
      <c r="G159" s="23" t="s">
        <v>177</v>
      </c>
      <c r="H159">
        <v>0</v>
      </c>
      <c r="I159">
        <v>4000</v>
      </c>
      <c r="J159" s="10">
        <v>7366</v>
      </c>
      <c r="K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59">
        <v>0</v>
      </c>
      <c r="M1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">
        <v>0.35</v>
      </c>
      <c r="O159" s="23" t="s">
        <v>242</v>
      </c>
      <c r="P159">
        <v>87.149999999999991</v>
      </c>
      <c r="Q159" s="23" t="s">
        <v>181</v>
      </c>
    </row>
    <row r="160" spans="1:17" x14ac:dyDescent="0.25">
      <c r="A160" s="23" t="s">
        <v>1096</v>
      </c>
      <c r="B160" s="23" t="s">
        <v>1053</v>
      </c>
      <c r="C160" s="23" t="s">
        <v>176</v>
      </c>
      <c r="D160" s="23" t="s">
        <v>352</v>
      </c>
      <c r="E160" s="23" t="s">
        <v>353</v>
      </c>
      <c r="F160">
        <v>113</v>
      </c>
      <c r="G160" s="23" t="s">
        <v>177</v>
      </c>
      <c r="H160">
        <v>0</v>
      </c>
      <c r="I160">
        <v>4000</v>
      </c>
      <c r="J160" s="10">
        <v>7366</v>
      </c>
      <c r="K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0">
        <v>0</v>
      </c>
      <c r="M1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">
        <v>0.35</v>
      </c>
      <c r="O160" s="23" t="s">
        <v>242</v>
      </c>
      <c r="P160">
        <v>39.549999999999997</v>
      </c>
      <c r="Q160" s="23" t="s">
        <v>181</v>
      </c>
    </row>
    <row r="161" spans="1:17" x14ac:dyDescent="0.25">
      <c r="A161" s="23" t="s">
        <v>1197</v>
      </c>
      <c r="B161" s="23" t="s">
        <v>1198</v>
      </c>
      <c r="C161" s="23" t="s">
        <v>176</v>
      </c>
      <c r="D161" s="23" t="s">
        <v>465</v>
      </c>
      <c r="E161" s="23" t="s">
        <v>466</v>
      </c>
      <c r="F161">
        <v>2</v>
      </c>
      <c r="G161" s="23" t="s">
        <v>177</v>
      </c>
      <c r="H161">
        <v>0</v>
      </c>
      <c r="I161">
        <v>222</v>
      </c>
      <c r="J161" s="10">
        <v>2</v>
      </c>
      <c r="K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1">
        <v>0</v>
      </c>
      <c r="M1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">
        <v>11.5</v>
      </c>
      <c r="O161" s="23" t="s">
        <v>242</v>
      </c>
      <c r="P161">
        <v>23</v>
      </c>
      <c r="Q161" s="23" t="s">
        <v>179</v>
      </c>
    </row>
    <row r="162" spans="1:17" x14ac:dyDescent="0.25">
      <c r="A162" s="23" t="s">
        <v>1098</v>
      </c>
      <c r="B162" s="23" t="s">
        <v>1053</v>
      </c>
      <c r="C162" s="23" t="s">
        <v>176</v>
      </c>
      <c r="D162" s="23" t="s">
        <v>465</v>
      </c>
      <c r="E162" s="23" t="s">
        <v>466</v>
      </c>
      <c r="F162">
        <v>2</v>
      </c>
      <c r="G162" s="23" t="s">
        <v>177</v>
      </c>
      <c r="H162">
        <v>0</v>
      </c>
      <c r="I162">
        <v>222</v>
      </c>
      <c r="J162" s="10">
        <v>2</v>
      </c>
      <c r="K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2">
        <v>0</v>
      </c>
      <c r="M1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">
        <v>11.5</v>
      </c>
      <c r="O162" s="23" t="s">
        <v>242</v>
      </c>
      <c r="P162">
        <v>23</v>
      </c>
      <c r="Q162" s="23" t="s">
        <v>179</v>
      </c>
    </row>
    <row r="163" spans="1:17" x14ac:dyDescent="0.25">
      <c r="A163" s="23" t="s">
        <v>1098</v>
      </c>
      <c r="B163" s="23" t="s">
        <v>1053</v>
      </c>
      <c r="C163" s="23" t="s">
        <v>176</v>
      </c>
      <c r="D163" s="23" t="s">
        <v>791</v>
      </c>
      <c r="E163" s="23" t="s">
        <v>829</v>
      </c>
      <c r="F163">
        <v>6</v>
      </c>
      <c r="G163" s="23" t="s">
        <v>180</v>
      </c>
      <c r="H163">
        <v>0</v>
      </c>
      <c r="I163">
        <v>100</v>
      </c>
      <c r="J163" s="10">
        <v>50</v>
      </c>
      <c r="K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63">
        <v>0</v>
      </c>
      <c r="M1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">
        <v>46</v>
      </c>
      <c r="O163" s="23" t="s">
        <v>792</v>
      </c>
      <c r="P163">
        <v>276</v>
      </c>
      <c r="Q163" s="23" t="s">
        <v>222</v>
      </c>
    </row>
    <row r="164" spans="1:17" x14ac:dyDescent="0.25">
      <c r="A164" s="23" t="s">
        <v>1098</v>
      </c>
      <c r="B164" s="23" t="s">
        <v>1053</v>
      </c>
      <c r="C164" s="23" t="s">
        <v>176</v>
      </c>
      <c r="D164" s="23" t="s">
        <v>352</v>
      </c>
      <c r="E164" s="23" t="s">
        <v>353</v>
      </c>
      <c r="F164">
        <v>82</v>
      </c>
      <c r="G164" s="23" t="s">
        <v>177</v>
      </c>
      <c r="H164">
        <v>0</v>
      </c>
      <c r="I164">
        <v>4000</v>
      </c>
      <c r="J164" s="10">
        <v>7366</v>
      </c>
      <c r="K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4">
        <v>0</v>
      </c>
      <c r="M1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">
        <v>0.35</v>
      </c>
      <c r="O164" s="23" t="s">
        <v>242</v>
      </c>
      <c r="P164">
        <v>28.7</v>
      </c>
      <c r="Q164" s="23" t="s">
        <v>181</v>
      </c>
    </row>
    <row r="165" spans="1:17" x14ac:dyDescent="0.25">
      <c r="A165" s="23" t="s">
        <v>1096</v>
      </c>
      <c r="B165" s="23" t="s">
        <v>1053</v>
      </c>
      <c r="C165" s="23" t="s">
        <v>176</v>
      </c>
      <c r="D165" s="23" t="s">
        <v>465</v>
      </c>
      <c r="E165" s="23" t="s">
        <v>466</v>
      </c>
      <c r="F165">
        <v>2</v>
      </c>
      <c r="G165" s="23" t="s">
        <v>177</v>
      </c>
      <c r="H165">
        <v>0</v>
      </c>
      <c r="I165">
        <v>222</v>
      </c>
      <c r="J165" s="10">
        <v>2</v>
      </c>
      <c r="K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5">
        <v>0</v>
      </c>
      <c r="M1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">
        <v>11.5</v>
      </c>
      <c r="O165" s="23" t="s">
        <v>242</v>
      </c>
      <c r="P165">
        <v>23</v>
      </c>
      <c r="Q165" s="23" t="s">
        <v>179</v>
      </c>
    </row>
    <row r="166" spans="1:17" x14ac:dyDescent="0.25">
      <c r="A166" s="23" t="s">
        <v>1094</v>
      </c>
      <c r="B166" s="23" t="s">
        <v>1095</v>
      </c>
      <c r="C166" s="23" t="s">
        <v>176</v>
      </c>
      <c r="D166" s="23" t="s">
        <v>465</v>
      </c>
      <c r="E166" s="23" t="s">
        <v>466</v>
      </c>
      <c r="F166">
        <v>2</v>
      </c>
      <c r="G166" s="23" t="s">
        <v>177</v>
      </c>
      <c r="H166">
        <v>0</v>
      </c>
      <c r="I166">
        <v>222</v>
      </c>
      <c r="J166" s="10">
        <v>2</v>
      </c>
      <c r="K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6">
        <v>0</v>
      </c>
      <c r="M1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">
        <v>11.5</v>
      </c>
      <c r="O166" s="23" t="s">
        <v>242</v>
      </c>
      <c r="P166">
        <v>23</v>
      </c>
      <c r="Q166" s="23" t="s">
        <v>179</v>
      </c>
    </row>
    <row r="167" spans="1:17" x14ac:dyDescent="0.25">
      <c r="A167" s="23" t="s">
        <v>1143</v>
      </c>
      <c r="B167" s="23" t="s">
        <v>1054</v>
      </c>
      <c r="C167" s="23" t="s">
        <v>176</v>
      </c>
      <c r="D167" s="23" t="s">
        <v>261</v>
      </c>
      <c r="E167" s="23" t="s">
        <v>262</v>
      </c>
      <c r="F167">
        <v>0.89999999999999991</v>
      </c>
      <c r="G167" s="23" t="s">
        <v>177</v>
      </c>
      <c r="H167">
        <v>0</v>
      </c>
      <c r="I167">
        <v>5</v>
      </c>
      <c r="J167" s="10">
        <v>0.30000000000001581</v>
      </c>
      <c r="K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67">
        <v>0</v>
      </c>
      <c r="M1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67">
        <v>1622.4</v>
      </c>
      <c r="O167" s="23" t="s">
        <v>263</v>
      </c>
      <c r="P167">
        <v>1460.1599999999999</v>
      </c>
      <c r="Q167" s="23" t="s">
        <v>184</v>
      </c>
    </row>
    <row r="168" spans="1:17" x14ac:dyDescent="0.25">
      <c r="A168" s="23" t="s">
        <v>1147</v>
      </c>
      <c r="B168" s="23" t="s">
        <v>1145</v>
      </c>
      <c r="C168" s="23" t="s">
        <v>176</v>
      </c>
      <c r="D168" s="23" t="s">
        <v>465</v>
      </c>
      <c r="E168" s="23" t="s">
        <v>466</v>
      </c>
      <c r="F168">
        <v>2</v>
      </c>
      <c r="G168" s="23" t="s">
        <v>177</v>
      </c>
      <c r="H168">
        <v>0</v>
      </c>
      <c r="I168">
        <v>222</v>
      </c>
      <c r="J168" s="10">
        <v>2</v>
      </c>
      <c r="K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8">
        <v>0</v>
      </c>
      <c r="M1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">
        <v>11.5</v>
      </c>
      <c r="O168" s="23" t="s">
        <v>242</v>
      </c>
      <c r="P168">
        <v>23</v>
      </c>
      <c r="Q168" s="23" t="s">
        <v>179</v>
      </c>
    </row>
    <row r="169" spans="1:17" x14ac:dyDescent="0.25">
      <c r="A169" s="23" t="s">
        <v>1148</v>
      </c>
      <c r="B169" s="23" t="s">
        <v>1054</v>
      </c>
      <c r="C169" s="23" t="s">
        <v>176</v>
      </c>
      <c r="D169" s="23" t="s">
        <v>465</v>
      </c>
      <c r="E169" s="23" t="s">
        <v>466</v>
      </c>
      <c r="F169">
        <v>2</v>
      </c>
      <c r="G169" s="23" t="s">
        <v>177</v>
      </c>
      <c r="H169">
        <v>0</v>
      </c>
      <c r="I169">
        <v>222</v>
      </c>
      <c r="J169" s="10">
        <v>2</v>
      </c>
      <c r="K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9">
        <v>0</v>
      </c>
      <c r="M1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">
        <v>11.5</v>
      </c>
      <c r="O169" s="23" t="s">
        <v>242</v>
      </c>
      <c r="P169">
        <v>23</v>
      </c>
      <c r="Q169" s="23" t="s">
        <v>179</v>
      </c>
    </row>
    <row r="170" spans="1:17" x14ac:dyDescent="0.25">
      <c r="A170" s="23" t="s">
        <v>1100</v>
      </c>
      <c r="B170" s="23" t="s">
        <v>1101</v>
      </c>
      <c r="C170" s="23" t="s">
        <v>176</v>
      </c>
      <c r="D170" s="23" t="s">
        <v>261</v>
      </c>
      <c r="E170" s="23" t="s">
        <v>262</v>
      </c>
      <c r="F170">
        <v>0.89999999999999991</v>
      </c>
      <c r="G170" s="23" t="s">
        <v>177</v>
      </c>
      <c r="H170">
        <v>0</v>
      </c>
      <c r="I170">
        <v>5</v>
      </c>
      <c r="J170" s="10">
        <v>0.30000000000001581</v>
      </c>
      <c r="K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70">
        <v>0</v>
      </c>
      <c r="M1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70">
        <v>1622.4</v>
      </c>
      <c r="O170" s="23" t="s">
        <v>263</v>
      </c>
      <c r="P170">
        <v>1460.1599999999999</v>
      </c>
      <c r="Q170" s="23" t="s">
        <v>184</v>
      </c>
    </row>
    <row r="171" spans="1:17" x14ac:dyDescent="0.25">
      <c r="A171" s="23" t="s">
        <v>1142</v>
      </c>
      <c r="B171" s="23" t="s">
        <v>1054</v>
      </c>
      <c r="C171" s="23" t="s">
        <v>176</v>
      </c>
      <c r="D171" s="23" t="s">
        <v>1136</v>
      </c>
      <c r="E171" s="23" t="s">
        <v>1137</v>
      </c>
      <c r="F171">
        <v>3</v>
      </c>
      <c r="G171" s="23" t="s">
        <v>177</v>
      </c>
      <c r="H171">
        <v>0</v>
      </c>
      <c r="I171">
        <v>0</v>
      </c>
      <c r="J171" s="10">
        <v>0</v>
      </c>
      <c r="K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71">
        <v>200</v>
      </c>
      <c r="M1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">
        <v>12</v>
      </c>
      <c r="O171" s="23" t="s">
        <v>242</v>
      </c>
      <c r="P171">
        <v>36</v>
      </c>
      <c r="Q171" s="23" t="s">
        <v>181</v>
      </c>
    </row>
    <row r="172" spans="1:17" x14ac:dyDescent="0.25">
      <c r="A172" s="23" t="s">
        <v>1142</v>
      </c>
      <c r="B172" s="23" t="s">
        <v>1054</v>
      </c>
      <c r="C172" s="23" t="s">
        <v>176</v>
      </c>
      <c r="D172" s="23" t="s">
        <v>325</v>
      </c>
      <c r="E172" s="23" t="s">
        <v>326</v>
      </c>
      <c r="F172">
        <v>0.10400000000000001</v>
      </c>
      <c r="G172" s="23" t="s">
        <v>177</v>
      </c>
      <c r="H172">
        <v>0</v>
      </c>
      <c r="I172">
        <v>0</v>
      </c>
      <c r="J172" s="10">
        <v>-6.6613381477509392E-16</v>
      </c>
      <c r="K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72">
        <v>0</v>
      </c>
      <c r="M1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72">
        <v>1575</v>
      </c>
      <c r="O172" s="23" t="s">
        <v>327</v>
      </c>
      <c r="P172">
        <v>163.80000000000001</v>
      </c>
      <c r="Q172" s="23" t="s">
        <v>179</v>
      </c>
    </row>
    <row r="173" spans="1:17" x14ac:dyDescent="0.25">
      <c r="A173" s="23" t="s">
        <v>1142</v>
      </c>
      <c r="B173" s="23" t="s">
        <v>1054</v>
      </c>
      <c r="C173" s="23" t="s">
        <v>176</v>
      </c>
      <c r="D173" s="23" t="s">
        <v>150</v>
      </c>
      <c r="E173" s="23" t="s">
        <v>151</v>
      </c>
      <c r="F173">
        <v>1.3</v>
      </c>
      <c r="G173" s="23" t="s">
        <v>177</v>
      </c>
      <c r="H173">
        <v>0</v>
      </c>
      <c r="I173">
        <v>5</v>
      </c>
      <c r="J173" s="10">
        <v>0</v>
      </c>
      <c r="K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73">
        <v>5</v>
      </c>
      <c r="M1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73">
        <v>1147</v>
      </c>
      <c r="O173" s="23" t="s">
        <v>673</v>
      </c>
      <c r="P173">
        <v>1491.1000000000001</v>
      </c>
      <c r="Q173" s="23" t="s">
        <v>185</v>
      </c>
    </row>
    <row r="174" spans="1:17" x14ac:dyDescent="0.25">
      <c r="A174" s="23" t="s">
        <v>1150</v>
      </c>
      <c r="B174" s="23" t="s">
        <v>1145</v>
      </c>
      <c r="C174" s="23" t="s">
        <v>176</v>
      </c>
      <c r="D174" s="23" t="s">
        <v>1136</v>
      </c>
      <c r="E174" s="23" t="s">
        <v>1137</v>
      </c>
      <c r="F174">
        <v>3</v>
      </c>
      <c r="G174" s="23" t="s">
        <v>177</v>
      </c>
      <c r="H174">
        <v>0</v>
      </c>
      <c r="I174">
        <v>0</v>
      </c>
      <c r="J174" s="10">
        <v>0</v>
      </c>
      <c r="K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74">
        <v>200</v>
      </c>
      <c r="M1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">
        <v>12</v>
      </c>
      <c r="O174" s="23" t="s">
        <v>242</v>
      </c>
      <c r="P174">
        <v>36</v>
      </c>
      <c r="Q174" s="23" t="s">
        <v>181</v>
      </c>
    </row>
    <row r="175" spans="1:17" x14ac:dyDescent="0.25">
      <c r="A175" s="23" t="s">
        <v>1150</v>
      </c>
      <c r="B175" s="23" t="s">
        <v>1145</v>
      </c>
      <c r="C175" s="23" t="s">
        <v>176</v>
      </c>
      <c r="D175" s="23" t="s">
        <v>325</v>
      </c>
      <c r="E175" s="23" t="s">
        <v>326</v>
      </c>
      <c r="F175">
        <v>0.10400000000000001</v>
      </c>
      <c r="G175" s="23" t="s">
        <v>177</v>
      </c>
      <c r="H175">
        <v>0</v>
      </c>
      <c r="I175">
        <v>0</v>
      </c>
      <c r="J175" s="10">
        <v>-6.6613381477509392E-16</v>
      </c>
      <c r="K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75">
        <v>0</v>
      </c>
      <c r="M1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75">
        <v>1575</v>
      </c>
      <c r="O175" s="23" t="s">
        <v>327</v>
      </c>
      <c r="P175">
        <v>163.80000000000001</v>
      </c>
      <c r="Q175" s="23" t="s">
        <v>179</v>
      </c>
    </row>
    <row r="176" spans="1:17" x14ac:dyDescent="0.25">
      <c r="A176" s="23" t="s">
        <v>1097</v>
      </c>
      <c r="B176" s="23" t="s">
        <v>1095</v>
      </c>
      <c r="C176" s="23" t="s">
        <v>176</v>
      </c>
      <c r="D176" s="23" t="s">
        <v>1136</v>
      </c>
      <c r="E176" s="23" t="s">
        <v>1137</v>
      </c>
      <c r="F176">
        <v>2</v>
      </c>
      <c r="G176" s="23" t="s">
        <v>177</v>
      </c>
      <c r="H176">
        <v>0</v>
      </c>
      <c r="I176">
        <v>0</v>
      </c>
      <c r="J176" s="10">
        <v>0</v>
      </c>
      <c r="K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76">
        <v>200</v>
      </c>
      <c r="M1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">
        <v>12</v>
      </c>
      <c r="O176" s="23" t="s">
        <v>242</v>
      </c>
      <c r="P176">
        <v>24</v>
      </c>
      <c r="Q176" s="23" t="s">
        <v>181</v>
      </c>
    </row>
    <row r="177" spans="1:17" x14ac:dyDescent="0.25">
      <c r="A177" s="23" t="s">
        <v>1097</v>
      </c>
      <c r="B177" s="23" t="s">
        <v>1095</v>
      </c>
      <c r="C177" s="23" t="s">
        <v>176</v>
      </c>
      <c r="D177" s="23" t="s">
        <v>325</v>
      </c>
      <c r="E177" s="23" t="s">
        <v>326</v>
      </c>
      <c r="F177">
        <v>0.18</v>
      </c>
      <c r="G177" s="23" t="s">
        <v>177</v>
      </c>
      <c r="H177">
        <v>0</v>
      </c>
      <c r="I177">
        <v>0</v>
      </c>
      <c r="J177" s="10">
        <v>-6.6613381477509392E-16</v>
      </c>
      <c r="K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77">
        <v>0</v>
      </c>
      <c r="M1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77">
        <v>1575</v>
      </c>
      <c r="O177" s="23" t="s">
        <v>327</v>
      </c>
      <c r="P177">
        <v>283.5</v>
      </c>
      <c r="Q177" s="23" t="s">
        <v>179</v>
      </c>
    </row>
    <row r="178" spans="1:17" x14ac:dyDescent="0.25">
      <c r="A178" s="23" t="s">
        <v>1098</v>
      </c>
      <c r="B178" s="23" t="s">
        <v>1053</v>
      </c>
      <c r="C178" s="23" t="s">
        <v>176</v>
      </c>
      <c r="D178" s="23" t="s">
        <v>150</v>
      </c>
      <c r="E178" s="23" t="s">
        <v>151</v>
      </c>
      <c r="F178">
        <v>0.2</v>
      </c>
      <c r="G178" s="23" t="s">
        <v>177</v>
      </c>
      <c r="H178">
        <v>0</v>
      </c>
      <c r="I178">
        <v>5</v>
      </c>
      <c r="J178" s="10">
        <v>0</v>
      </c>
      <c r="K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78">
        <v>5</v>
      </c>
      <c r="M1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78">
        <v>1147</v>
      </c>
      <c r="O178" s="23" t="s">
        <v>673</v>
      </c>
      <c r="P178">
        <v>229.4</v>
      </c>
      <c r="Q178" s="23" t="s">
        <v>185</v>
      </c>
    </row>
    <row r="179" spans="1:17" x14ac:dyDescent="0.25">
      <c r="A179" s="23" t="s">
        <v>1197</v>
      </c>
      <c r="B179" s="23" t="s">
        <v>1198</v>
      </c>
      <c r="C179" s="23" t="s">
        <v>176</v>
      </c>
      <c r="D179" s="23" t="s">
        <v>150</v>
      </c>
      <c r="E179" s="23" t="s">
        <v>151</v>
      </c>
      <c r="F179">
        <v>1.3</v>
      </c>
      <c r="G179" s="23" t="s">
        <v>177</v>
      </c>
      <c r="H179">
        <v>0</v>
      </c>
      <c r="I179">
        <v>5</v>
      </c>
      <c r="J179" s="10">
        <v>0</v>
      </c>
      <c r="K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79">
        <v>5</v>
      </c>
      <c r="M1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79">
        <v>1147</v>
      </c>
      <c r="O179" s="23" t="s">
        <v>673</v>
      </c>
      <c r="P179">
        <v>1491.1000000000001</v>
      </c>
      <c r="Q179" s="23" t="s">
        <v>185</v>
      </c>
    </row>
    <row r="180" spans="1:17" x14ac:dyDescent="0.25">
      <c r="A180" s="23" t="s">
        <v>1057</v>
      </c>
      <c r="B180" s="23" t="s">
        <v>1056</v>
      </c>
      <c r="C180" s="23" t="s">
        <v>176</v>
      </c>
      <c r="D180" s="23" t="s">
        <v>325</v>
      </c>
      <c r="E180" s="23" t="s">
        <v>326</v>
      </c>
      <c r="F180">
        <v>0.10400000000000001</v>
      </c>
      <c r="G180" s="23" t="s">
        <v>177</v>
      </c>
      <c r="H180">
        <v>0</v>
      </c>
      <c r="I180">
        <v>0</v>
      </c>
      <c r="J180" s="10">
        <v>-6.6613381477509392E-16</v>
      </c>
      <c r="K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0">
        <v>0</v>
      </c>
      <c r="M1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0">
        <v>1575</v>
      </c>
      <c r="O180" s="23" t="s">
        <v>327</v>
      </c>
      <c r="P180">
        <v>163.80000000000001</v>
      </c>
      <c r="Q180" s="23" t="s">
        <v>179</v>
      </c>
    </row>
    <row r="181" spans="1:17" x14ac:dyDescent="0.25">
      <c r="A181" s="23" t="s">
        <v>1143</v>
      </c>
      <c r="B181" s="23" t="s">
        <v>1054</v>
      </c>
      <c r="C181" s="23" t="s">
        <v>176</v>
      </c>
      <c r="D181" s="23" t="s">
        <v>325</v>
      </c>
      <c r="E181" s="23" t="s">
        <v>326</v>
      </c>
      <c r="F181">
        <v>0.18</v>
      </c>
      <c r="G181" s="23" t="s">
        <v>177</v>
      </c>
      <c r="H181">
        <v>0</v>
      </c>
      <c r="I181">
        <v>0</v>
      </c>
      <c r="J181" s="10">
        <v>-6.6613381477509392E-16</v>
      </c>
      <c r="K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1">
        <v>0</v>
      </c>
      <c r="M1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1">
        <v>1575</v>
      </c>
      <c r="O181" s="23" t="s">
        <v>327</v>
      </c>
      <c r="P181">
        <v>283.5</v>
      </c>
      <c r="Q181" s="23" t="s">
        <v>179</v>
      </c>
    </row>
    <row r="182" spans="1:17" x14ac:dyDescent="0.25">
      <c r="A182" s="23" t="s">
        <v>1149</v>
      </c>
      <c r="B182" s="23" t="s">
        <v>1145</v>
      </c>
      <c r="C182" s="23" t="s">
        <v>176</v>
      </c>
      <c r="D182" s="23" t="s">
        <v>1136</v>
      </c>
      <c r="E182" s="23" t="s">
        <v>1137</v>
      </c>
      <c r="F182">
        <v>3</v>
      </c>
      <c r="G182" s="23" t="s">
        <v>177</v>
      </c>
      <c r="H182">
        <v>0</v>
      </c>
      <c r="I182">
        <v>0</v>
      </c>
      <c r="J182" s="10">
        <v>0</v>
      </c>
      <c r="K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82">
        <v>200</v>
      </c>
      <c r="M1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">
        <v>12</v>
      </c>
      <c r="O182" s="23" t="s">
        <v>242</v>
      </c>
      <c r="P182">
        <v>36</v>
      </c>
      <c r="Q182" s="23" t="s">
        <v>181</v>
      </c>
    </row>
    <row r="183" spans="1:17" x14ac:dyDescent="0.25">
      <c r="A183" s="23" t="s">
        <v>1197</v>
      </c>
      <c r="B183" s="23" t="s">
        <v>1198</v>
      </c>
      <c r="C183" s="23" t="s">
        <v>176</v>
      </c>
      <c r="D183" s="23" t="s">
        <v>325</v>
      </c>
      <c r="E183" s="23" t="s">
        <v>326</v>
      </c>
      <c r="F183">
        <v>0.10400000000000001</v>
      </c>
      <c r="G183" s="23" t="s">
        <v>177</v>
      </c>
      <c r="H183">
        <v>0</v>
      </c>
      <c r="I183">
        <v>0</v>
      </c>
      <c r="J183" s="10">
        <v>-6.6613381477509392E-16</v>
      </c>
      <c r="K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3">
        <v>0</v>
      </c>
      <c r="M1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3">
        <v>1575</v>
      </c>
      <c r="O183" s="23" t="s">
        <v>327</v>
      </c>
      <c r="P183">
        <v>163.80000000000001</v>
      </c>
      <c r="Q183" s="23" t="s">
        <v>179</v>
      </c>
    </row>
    <row r="184" spans="1:17" x14ac:dyDescent="0.25">
      <c r="A184" s="23" t="s">
        <v>1062</v>
      </c>
      <c r="B184" s="23" t="s">
        <v>1053</v>
      </c>
      <c r="C184" s="23" t="s">
        <v>176</v>
      </c>
      <c r="D184" s="23" t="s">
        <v>325</v>
      </c>
      <c r="E184" s="23" t="s">
        <v>326</v>
      </c>
      <c r="F184">
        <v>0.18</v>
      </c>
      <c r="G184" s="23" t="s">
        <v>177</v>
      </c>
      <c r="H184">
        <v>0</v>
      </c>
      <c r="I184">
        <v>0</v>
      </c>
      <c r="J184" s="10">
        <v>-6.6613381477509392E-16</v>
      </c>
      <c r="K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4">
        <v>0</v>
      </c>
      <c r="M1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4">
        <v>1575</v>
      </c>
      <c r="O184" s="23" t="s">
        <v>327</v>
      </c>
      <c r="P184">
        <v>283.5</v>
      </c>
      <c r="Q184" s="23" t="s">
        <v>179</v>
      </c>
    </row>
    <row r="185" spans="1:17" x14ac:dyDescent="0.25">
      <c r="A185" s="23" t="s">
        <v>1098</v>
      </c>
      <c r="B185" s="23" t="s">
        <v>1053</v>
      </c>
      <c r="C185" s="23" t="s">
        <v>176</v>
      </c>
      <c r="D185" s="23" t="s">
        <v>325</v>
      </c>
      <c r="E185" s="23" t="s">
        <v>326</v>
      </c>
      <c r="F185">
        <v>0.10400000000000001</v>
      </c>
      <c r="G185" s="23" t="s">
        <v>177</v>
      </c>
      <c r="H185">
        <v>0</v>
      </c>
      <c r="I185">
        <v>0</v>
      </c>
      <c r="J185" s="10">
        <v>-6.6613381477509392E-16</v>
      </c>
      <c r="K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5">
        <v>0</v>
      </c>
      <c r="M1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5">
        <v>1575</v>
      </c>
      <c r="O185" s="23" t="s">
        <v>327</v>
      </c>
      <c r="P185">
        <v>163.80000000000001</v>
      </c>
      <c r="Q185" s="23" t="s">
        <v>179</v>
      </c>
    </row>
    <row r="186" spans="1:17" x14ac:dyDescent="0.25">
      <c r="A186" s="23" t="s">
        <v>1094</v>
      </c>
      <c r="B186" s="23" t="s">
        <v>1095</v>
      </c>
      <c r="C186" s="23" t="s">
        <v>176</v>
      </c>
      <c r="D186" s="23" t="s">
        <v>1136</v>
      </c>
      <c r="E186" s="23" t="s">
        <v>1137</v>
      </c>
      <c r="F186">
        <v>2</v>
      </c>
      <c r="G186" s="23" t="s">
        <v>177</v>
      </c>
      <c r="H186">
        <v>0</v>
      </c>
      <c r="I186">
        <v>0</v>
      </c>
      <c r="J186" s="10">
        <v>0</v>
      </c>
      <c r="K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86">
        <v>200</v>
      </c>
      <c r="M1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">
        <v>12</v>
      </c>
      <c r="O186" s="23" t="s">
        <v>242</v>
      </c>
      <c r="P186">
        <v>24</v>
      </c>
      <c r="Q186" s="23" t="s">
        <v>181</v>
      </c>
    </row>
    <row r="187" spans="1:17" x14ac:dyDescent="0.25">
      <c r="A187" s="23" t="s">
        <v>1094</v>
      </c>
      <c r="B187" s="23" t="s">
        <v>1095</v>
      </c>
      <c r="C187" s="23" t="s">
        <v>176</v>
      </c>
      <c r="D187" s="23" t="s">
        <v>1113</v>
      </c>
      <c r="E187" s="23" t="s">
        <v>1114</v>
      </c>
      <c r="F187">
        <v>50</v>
      </c>
      <c r="G187" s="23" t="s">
        <v>180</v>
      </c>
      <c r="H187">
        <v>0</v>
      </c>
      <c r="I187">
        <v>0</v>
      </c>
      <c r="J187" s="10">
        <v>0</v>
      </c>
      <c r="K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50</v>
      </c>
      <c r="L187">
        <v>0</v>
      </c>
      <c r="M1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147.5</v>
      </c>
      <c r="N187">
        <v>2.95</v>
      </c>
      <c r="O187" s="23"/>
      <c r="P187">
        <v>147.5</v>
      </c>
      <c r="Q187" s="23" t="s">
        <v>182</v>
      </c>
    </row>
    <row r="188" spans="1:17" x14ac:dyDescent="0.25">
      <c r="A188" s="23" t="s">
        <v>1094</v>
      </c>
      <c r="B188" s="23" t="s">
        <v>1095</v>
      </c>
      <c r="C188" s="23" t="s">
        <v>176</v>
      </c>
      <c r="D188" s="23" t="s">
        <v>325</v>
      </c>
      <c r="E188" s="23" t="s">
        <v>326</v>
      </c>
      <c r="F188">
        <v>0.18</v>
      </c>
      <c r="G188" s="23" t="s">
        <v>177</v>
      </c>
      <c r="H188">
        <v>0</v>
      </c>
      <c r="I188">
        <v>0</v>
      </c>
      <c r="J188" s="10">
        <v>-6.6613381477509392E-16</v>
      </c>
      <c r="K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8">
        <v>0</v>
      </c>
      <c r="M1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8">
        <v>1575</v>
      </c>
      <c r="O188" s="23" t="s">
        <v>327</v>
      </c>
      <c r="P188">
        <v>283.5</v>
      </c>
      <c r="Q188" s="23" t="s">
        <v>179</v>
      </c>
    </row>
    <row r="189" spans="1:17" x14ac:dyDescent="0.25">
      <c r="A189" s="23" t="s">
        <v>1096</v>
      </c>
      <c r="B189" s="23" t="s">
        <v>1053</v>
      </c>
      <c r="C189" s="23" t="s">
        <v>176</v>
      </c>
      <c r="D189" s="23" t="s">
        <v>325</v>
      </c>
      <c r="E189" s="23" t="s">
        <v>326</v>
      </c>
      <c r="F189">
        <v>0.18</v>
      </c>
      <c r="G189" s="23" t="s">
        <v>177</v>
      </c>
      <c r="H189">
        <v>0</v>
      </c>
      <c r="I189">
        <v>0</v>
      </c>
      <c r="J189" s="10">
        <v>-6.6613381477509392E-16</v>
      </c>
      <c r="K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89">
        <v>0</v>
      </c>
      <c r="M1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89">
        <v>1575</v>
      </c>
      <c r="O189" s="23" t="s">
        <v>327</v>
      </c>
      <c r="P189">
        <v>283.5</v>
      </c>
      <c r="Q189" s="23" t="s">
        <v>179</v>
      </c>
    </row>
    <row r="190" spans="1:17" x14ac:dyDescent="0.25">
      <c r="A190" s="23" t="s">
        <v>1057</v>
      </c>
      <c r="B190" s="23" t="s">
        <v>1056</v>
      </c>
      <c r="C190" s="23" t="s">
        <v>176</v>
      </c>
      <c r="D190" s="23" t="s">
        <v>150</v>
      </c>
      <c r="E190" s="23" t="s">
        <v>151</v>
      </c>
      <c r="F190">
        <v>1</v>
      </c>
      <c r="G190" s="23" t="s">
        <v>177</v>
      </c>
      <c r="H190">
        <v>0</v>
      </c>
      <c r="I190">
        <v>5</v>
      </c>
      <c r="J190" s="10">
        <v>0</v>
      </c>
      <c r="K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90">
        <v>5</v>
      </c>
      <c r="M1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90">
        <v>1147</v>
      </c>
      <c r="O190" s="23" t="s">
        <v>673</v>
      </c>
      <c r="P190">
        <v>1147</v>
      </c>
      <c r="Q190" s="23" t="s">
        <v>185</v>
      </c>
    </row>
    <row r="191" spans="1:17" x14ac:dyDescent="0.25">
      <c r="A191" s="23" t="s">
        <v>1146</v>
      </c>
      <c r="B191" s="23" t="s">
        <v>1145</v>
      </c>
      <c r="C191" s="23" t="s">
        <v>176</v>
      </c>
      <c r="D191" s="23" t="s">
        <v>1136</v>
      </c>
      <c r="E191" s="23" t="s">
        <v>1137</v>
      </c>
      <c r="F191">
        <v>3</v>
      </c>
      <c r="G191" s="23" t="s">
        <v>177</v>
      </c>
      <c r="H191">
        <v>0</v>
      </c>
      <c r="I191">
        <v>0</v>
      </c>
      <c r="J191" s="10">
        <v>0</v>
      </c>
      <c r="K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91">
        <v>200</v>
      </c>
      <c r="M1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">
        <v>12</v>
      </c>
      <c r="O191" s="23" t="s">
        <v>242</v>
      </c>
      <c r="P191">
        <v>36</v>
      </c>
      <c r="Q191" s="23" t="s">
        <v>181</v>
      </c>
    </row>
    <row r="192" spans="1:17" x14ac:dyDescent="0.25">
      <c r="A192" s="23" t="s">
        <v>1149</v>
      </c>
      <c r="B192" s="23" t="s">
        <v>1145</v>
      </c>
      <c r="C192" s="23" t="s">
        <v>176</v>
      </c>
      <c r="D192" s="23" t="s">
        <v>325</v>
      </c>
      <c r="E192" s="23" t="s">
        <v>326</v>
      </c>
      <c r="F192">
        <v>0.10400000000000001</v>
      </c>
      <c r="G192" s="23" t="s">
        <v>177</v>
      </c>
      <c r="H192">
        <v>0</v>
      </c>
      <c r="I192">
        <v>0</v>
      </c>
      <c r="J192" s="10">
        <v>-6.6613381477509392E-16</v>
      </c>
      <c r="K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92">
        <v>0</v>
      </c>
      <c r="M1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92">
        <v>1575</v>
      </c>
      <c r="O192" s="23" t="s">
        <v>327</v>
      </c>
      <c r="P192">
        <v>163.80000000000001</v>
      </c>
      <c r="Q192" s="23" t="s">
        <v>179</v>
      </c>
    </row>
    <row r="193" spans="1:17" x14ac:dyDescent="0.25">
      <c r="A193" s="23" t="s">
        <v>1197</v>
      </c>
      <c r="B193" s="23" t="s">
        <v>1198</v>
      </c>
      <c r="C193" s="23" t="s">
        <v>176</v>
      </c>
      <c r="D193" s="23" t="s">
        <v>1136</v>
      </c>
      <c r="E193" s="23" t="s">
        <v>1137</v>
      </c>
      <c r="F193">
        <v>3</v>
      </c>
      <c r="G193" s="23" t="s">
        <v>177</v>
      </c>
      <c r="H193">
        <v>0</v>
      </c>
      <c r="I193">
        <v>0</v>
      </c>
      <c r="J193" s="10">
        <v>0</v>
      </c>
      <c r="K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193">
        <v>200</v>
      </c>
      <c r="M1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">
        <v>12</v>
      </c>
      <c r="O193" s="23" t="s">
        <v>242</v>
      </c>
      <c r="P193">
        <v>36</v>
      </c>
      <c r="Q193" s="23" t="s">
        <v>181</v>
      </c>
    </row>
    <row r="194" spans="1:17" x14ac:dyDescent="0.25">
      <c r="A194" s="23" t="s">
        <v>1144</v>
      </c>
      <c r="B194" s="23" t="s">
        <v>1145</v>
      </c>
      <c r="C194" s="23" t="s">
        <v>176</v>
      </c>
      <c r="D194" s="23" t="s">
        <v>325</v>
      </c>
      <c r="E194" s="23" t="s">
        <v>326</v>
      </c>
      <c r="F194">
        <v>0.10400000000000001</v>
      </c>
      <c r="G194" s="23" t="s">
        <v>177</v>
      </c>
      <c r="H194">
        <v>0</v>
      </c>
      <c r="I194">
        <v>0</v>
      </c>
      <c r="J194" s="10">
        <v>-6.6613381477509392E-16</v>
      </c>
      <c r="K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94">
        <v>0</v>
      </c>
      <c r="M1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94">
        <v>1575</v>
      </c>
      <c r="O194" s="23" t="s">
        <v>327</v>
      </c>
      <c r="P194">
        <v>163.80000000000001</v>
      </c>
      <c r="Q194" s="23" t="s">
        <v>179</v>
      </c>
    </row>
    <row r="195" spans="1:17" x14ac:dyDescent="0.25">
      <c r="A195" s="23" t="s">
        <v>1149</v>
      </c>
      <c r="B195" s="23" t="s">
        <v>1145</v>
      </c>
      <c r="C195" s="23" t="s">
        <v>176</v>
      </c>
      <c r="D195" s="23" t="s">
        <v>150</v>
      </c>
      <c r="E195" s="23" t="s">
        <v>151</v>
      </c>
      <c r="F195">
        <v>1.3</v>
      </c>
      <c r="G195" s="23" t="s">
        <v>177</v>
      </c>
      <c r="H195">
        <v>0</v>
      </c>
      <c r="I195">
        <v>5</v>
      </c>
      <c r="J195" s="10">
        <v>0</v>
      </c>
      <c r="K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95">
        <v>5</v>
      </c>
      <c r="M1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95">
        <v>1147</v>
      </c>
      <c r="O195" s="23" t="s">
        <v>673</v>
      </c>
      <c r="P195">
        <v>1491.1000000000001</v>
      </c>
      <c r="Q195" s="23" t="s">
        <v>185</v>
      </c>
    </row>
    <row r="196" spans="1:17" x14ac:dyDescent="0.25">
      <c r="A196" s="23" t="s">
        <v>1146</v>
      </c>
      <c r="B196" s="23" t="s">
        <v>1145</v>
      </c>
      <c r="C196" s="23" t="s">
        <v>176</v>
      </c>
      <c r="D196" s="23" t="s">
        <v>325</v>
      </c>
      <c r="E196" s="23" t="s">
        <v>326</v>
      </c>
      <c r="F196">
        <v>0.10400000000000001</v>
      </c>
      <c r="G196" s="23" t="s">
        <v>177</v>
      </c>
      <c r="H196">
        <v>0</v>
      </c>
      <c r="I196">
        <v>0</v>
      </c>
      <c r="J196" s="10">
        <v>-6.6613381477509392E-16</v>
      </c>
      <c r="K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196">
        <v>0</v>
      </c>
      <c r="M1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196">
        <v>1575</v>
      </c>
      <c r="O196" s="23" t="s">
        <v>327</v>
      </c>
      <c r="P196">
        <v>163.80000000000001</v>
      </c>
      <c r="Q196" s="23" t="s">
        <v>179</v>
      </c>
    </row>
    <row r="197" spans="1:17" x14ac:dyDescent="0.25">
      <c r="A197" s="23" t="s">
        <v>1146</v>
      </c>
      <c r="B197" s="23" t="s">
        <v>1145</v>
      </c>
      <c r="C197" s="23" t="s">
        <v>176</v>
      </c>
      <c r="D197" s="23" t="s">
        <v>150</v>
      </c>
      <c r="E197" s="23" t="s">
        <v>151</v>
      </c>
      <c r="F197">
        <v>1.3</v>
      </c>
      <c r="G197" s="23" t="s">
        <v>177</v>
      </c>
      <c r="H197">
        <v>0</v>
      </c>
      <c r="I197">
        <v>5</v>
      </c>
      <c r="J197" s="10">
        <v>0</v>
      </c>
      <c r="K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97">
        <v>5</v>
      </c>
      <c r="M1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97">
        <v>1147</v>
      </c>
      <c r="O197" s="23" t="s">
        <v>673</v>
      </c>
      <c r="P197">
        <v>1491.1000000000001</v>
      </c>
      <c r="Q197" s="23" t="s">
        <v>185</v>
      </c>
    </row>
    <row r="198" spans="1:17" x14ac:dyDescent="0.25">
      <c r="A198" s="23" t="s">
        <v>1144</v>
      </c>
      <c r="B198" s="23" t="s">
        <v>1145</v>
      </c>
      <c r="C198" s="23" t="s">
        <v>176</v>
      </c>
      <c r="D198" s="23" t="s">
        <v>150</v>
      </c>
      <c r="E198" s="23" t="s">
        <v>151</v>
      </c>
      <c r="F198">
        <v>1.3</v>
      </c>
      <c r="G198" s="23" t="s">
        <v>177</v>
      </c>
      <c r="H198">
        <v>0</v>
      </c>
      <c r="I198">
        <v>5</v>
      </c>
      <c r="J198" s="10">
        <v>0</v>
      </c>
      <c r="K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198">
        <v>5</v>
      </c>
      <c r="M1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198">
        <v>1147</v>
      </c>
      <c r="O198" s="23" t="s">
        <v>673</v>
      </c>
      <c r="P198">
        <v>1491.1000000000001</v>
      </c>
      <c r="Q198" s="23" t="s">
        <v>185</v>
      </c>
    </row>
    <row r="199" spans="1:17" x14ac:dyDescent="0.25">
      <c r="A199" s="23" t="s">
        <v>1098</v>
      </c>
      <c r="B199" s="23" t="s">
        <v>1053</v>
      </c>
      <c r="C199" s="23" t="s">
        <v>176</v>
      </c>
      <c r="D199" s="23" t="s">
        <v>332</v>
      </c>
      <c r="E199" s="23" t="s">
        <v>333</v>
      </c>
      <c r="F199">
        <v>1</v>
      </c>
      <c r="G199" s="23" t="s">
        <v>177</v>
      </c>
      <c r="H199">
        <v>0</v>
      </c>
      <c r="I199">
        <v>809</v>
      </c>
      <c r="J199" s="10">
        <v>0</v>
      </c>
      <c r="K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199">
        <v>0</v>
      </c>
      <c r="M1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">
        <v>2.4</v>
      </c>
      <c r="O199" s="23" t="s">
        <v>242</v>
      </c>
      <c r="P199">
        <v>2.4</v>
      </c>
      <c r="Q199" s="23" t="s">
        <v>181</v>
      </c>
    </row>
    <row r="200" spans="1:17" x14ac:dyDescent="0.25">
      <c r="A200" s="23" t="s">
        <v>1197</v>
      </c>
      <c r="B200" s="23" t="s">
        <v>1198</v>
      </c>
      <c r="C200" s="23" t="s">
        <v>176</v>
      </c>
      <c r="D200" s="23" t="s">
        <v>913</v>
      </c>
      <c r="E200" s="23" t="s">
        <v>914</v>
      </c>
      <c r="F200">
        <v>3</v>
      </c>
      <c r="G200" s="23" t="s">
        <v>180</v>
      </c>
      <c r="H200">
        <v>0</v>
      </c>
      <c r="I200">
        <v>100</v>
      </c>
      <c r="J200" s="10">
        <v>26</v>
      </c>
      <c r="K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200">
        <v>0</v>
      </c>
      <c r="M2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">
        <v>49.1</v>
      </c>
      <c r="O200" s="23" t="s">
        <v>827</v>
      </c>
      <c r="P200">
        <v>147.30000000000001</v>
      </c>
      <c r="Q200" s="23" t="s">
        <v>222</v>
      </c>
    </row>
    <row r="201" spans="1:17" x14ac:dyDescent="0.25">
      <c r="A201" s="23" t="s">
        <v>1098</v>
      </c>
      <c r="B201" s="23" t="s">
        <v>1053</v>
      </c>
      <c r="C201" s="23" t="s">
        <v>176</v>
      </c>
      <c r="D201" s="23" t="s">
        <v>42</v>
      </c>
      <c r="E201" s="23" t="s">
        <v>43</v>
      </c>
      <c r="F201">
        <v>56</v>
      </c>
      <c r="G201" s="23" t="s">
        <v>177</v>
      </c>
      <c r="H201">
        <v>0</v>
      </c>
      <c r="I201">
        <v>2800</v>
      </c>
      <c r="J201" s="10">
        <v>2439</v>
      </c>
      <c r="K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01">
        <v>0</v>
      </c>
      <c r="M2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">
        <v>0.18</v>
      </c>
      <c r="O201" s="23" t="s">
        <v>242</v>
      </c>
      <c r="P201">
        <v>10.08</v>
      </c>
      <c r="Q201" s="23" t="s">
        <v>181</v>
      </c>
    </row>
    <row r="202" spans="1:17" x14ac:dyDescent="0.25">
      <c r="A202" s="23" t="s">
        <v>1096</v>
      </c>
      <c r="B202" s="23" t="s">
        <v>1053</v>
      </c>
      <c r="C202" s="23" t="s">
        <v>176</v>
      </c>
      <c r="D202" s="23" t="s">
        <v>42</v>
      </c>
      <c r="E202" s="23" t="s">
        <v>43</v>
      </c>
      <c r="F202">
        <v>68</v>
      </c>
      <c r="G202" s="23" t="s">
        <v>177</v>
      </c>
      <c r="H202">
        <v>0</v>
      </c>
      <c r="I202">
        <v>2800</v>
      </c>
      <c r="J202" s="10">
        <v>2439</v>
      </c>
      <c r="K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02">
        <v>0</v>
      </c>
      <c r="M2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">
        <v>0.18</v>
      </c>
      <c r="O202" s="23" t="s">
        <v>242</v>
      </c>
      <c r="P202">
        <v>12.24</v>
      </c>
      <c r="Q202" s="23" t="s">
        <v>181</v>
      </c>
    </row>
    <row r="203" spans="1:17" x14ac:dyDescent="0.25">
      <c r="A203" s="23" t="s">
        <v>1197</v>
      </c>
      <c r="B203" s="23" t="s">
        <v>1198</v>
      </c>
      <c r="C203" s="23" t="s">
        <v>176</v>
      </c>
      <c r="D203" s="23" t="s">
        <v>332</v>
      </c>
      <c r="E203" s="23" t="s">
        <v>333</v>
      </c>
      <c r="F203">
        <v>2</v>
      </c>
      <c r="G203" s="23" t="s">
        <v>177</v>
      </c>
      <c r="H203">
        <v>0</v>
      </c>
      <c r="I203">
        <v>809</v>
      </c>
      <c r="J203" s="10">
        <v>0</v>
      </c>
      <c r="K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03">
        <v>0</v>
      </c>
      <c r="M2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">
        <v>2.4</v>
      </c>
      <c r="O203" s="23" t="s">
        <v>242</v>
      </c>
      <c r="P203">
        <v>4.8</v>
      </c>
      <c r="Q203" s="23" t="s">
        <v>181</v>
      </c>
    </row>
    <row r="204" spans="1:17" x14ac:dyDescent="0.25">
      <c r="A204" s="23" t="s">
        <v>1197</v>
      </c>
      <c r="B204" s="23" t="s">
        <v>1198</v>
      </c>
      <c r="C204" s="23" t="s">
        <v>176</v>
      </c>
      <c r="D204" s="23" t="s">
        <v>915</v>
      </c>
      <c r="E204" s="23" t="s">
        <v>916</v>
      </c>
      <c r="F204">
        <v>3</v>
      </c>
      <c r="G204" s="23" t="s">
        <v>180</v>
      </c>
      <c r="H204">
        <v>0</v>
      </c>
      <c r="I204">
        <v>100</v>
      </c>
      <c r="J204" s="10">
        <v>26</v>
      </c>
      <c r="K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204">
        <v>0</v>
      </c>
      <c r="M2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">
        <v>49.1</v>
      </c>
      <c r="O204" s="23" t="s">
        <v>827</v>
      </c>
      <c r="P204">
        <v>147.30000000000001</v>
      </c>
      <c r="Q204" s="23" t="s">
        <v>222</v>
      </c>
    </row>
    <row r="205" spans="1:17" x14ac:dyDescent="0.25">
      <c r="A205" s="23" t="s">
        <v>1197</v>
      </c>
      <c r="B205" s="23" t="s">
        <v>1198</v>
      </c>
      <c r="C205" s="23" t="s">
        <v>176</v>
      </c>
      <c r="D205" s="23" t="s">
        <v>42</v>
      </c>
      <c r="E205" s="23" t="s">
        <v>43</v>
      </c>
      <c r="F205">
        <v>33</v>
      </c>
      <c r="G205" s="23" t="s">
        <v>177</v>
      </c>
      <c r="H205">
        <v>0</v>
      </c>
      <c r="I205">
        <v>2800</v>
      </c>
      <c r="J205" s="10">
        <v>2439</v>
      </c>
      <c r="K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05">
        <v>0</v>
      </c>
      <c r="M2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">
        <v>0.18</v>
      </c>
      <c r="O205" s="23" t="s">
        <v>242</v>
      </c>
      <c r="P205">
        <v>5.9399999999999995</v>
      </c>
      <c r="Q205" s="23" t="s">
        <v>181</v>
      </c>
    </row>
    <row r="206" spans="1:17" x14ac:dyDescent="0.25">
      <c r="A206" s="23" t="s">
        <v>1097</v>
      </c>
      <c r="B206" s="23" t="s">
        <v>1095</v>
      </c>
      <c r="C206" s="23" t="s">
        <v>176</v>
      </c>
      <c r="D206" s="23" t="s">
        <v>42</v>
      </c>
      <c r="E206" s="23" t="s">
        <v>43</v>
      </c>
      <c r="F206">
        <v>83</v>
      </c>
      <c r="G206" s="23" t="s">
        <v>177</v>
      </c>
      <c r="H206">
        <v>0</v>
      </c>
      <c r="I206">
        <v>2800</v>
      </c>
      <c r="J206" s="10">
        <v>2439</v>
      </c>
      <c r="K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06">
        <v>0</v>
      </c>
      <c r="M2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">
        <v>0.18</v>
      </c>
      <c r="O206" s="23" t="s">
        <v>242</v>
      </c>
      <c r="P206">
        <v>14.94</v>
      </c>
      <c r="Q206" s="23" t="s">
        <v>181</v>
      </c>
    </row>
    <row r="207" spans="1:17" x14ac:dyDescent="0.25">
      <c r="A207" s="23" t="s">
        <v>1197</v>
      </c>
      <c r="B207" s="23" t="s">
        <v>1198</v>
      </c>
      <c r="C207" s="23" t="s">
        <v>176</v>
      </c>
      <c r="D207" s="23" t="s">
        <v>44</v>
      </c>
      <c r="E207" s="23" t="s">
        <v>45</v>
      </c>
      <c r="F207">
        <v>15</v>
      </c>
      <c r="G207" s="23" t="s">
        <v>177</v>
      </c>
      <c r="H207">
        <v>0</v>
      </c>
      <c r="I207">
        <v>170</v>
      </c>
      <c r="J207" s="10">
        <v>18</v>
      </c>
      <c r="K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207">
        <v>0</v>
      </c>
      <c r="M2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207">
        <v>16.5</v>
      </c>
      <c r="O207" s="23" t="s">
        <v>242</v>
      </c>
      <c r="P207">
        <v>247.5</v>
      </c>
      <c r="Q207" s="23" t="s">
        <v>181</v>
      </c>
    </row>
    <row r="208" spans="1:17" x14ac:dyDescent="0.25">
      <c r="A208" s="23" t="s">
        <v>1098</v>
      </c>
      <c r="B208" s="23" t="s">
        <v>1053</v>
      </c>
      <c r="C208" s="23" t="s">
        <v>176</v>
      </c>
      <c r="D208" s="23" t="s">
        <v>44</v>
      </c>
      <c r="E208" s="23" t="s">
        <v>45</v>
      </c>
      <c r="F208">
        <v>16</v>
      </c>
      <c r="G208" s="23" t="s">
        <v>177</v>
      </c>
      <c r="H208">
        <v>0</v>
      </c>
      <c r="I208">
        <v>170</v>
      </c>
      <c r="J208" s="10">
        <v>18</v>
      </c>
      <c r="K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208">
        <v>0</v>
      </c>
      <c r="M2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208">
        <v>16.5</v>
      </c>
      <c r="O208" s="23" t="s">
        <v>242</v>
      </c>
      <c r="P208">
        <v>264</v>
      </c>
      <c r="Q208" s="23" t="s">
        <v>181</v>
      </c>
    </row>
    <row r="209" spans="1:17" x14ac:dyDescent="0.25">
      <c r="A209" s="23" t="s">
        <v>1094</v>
      </c>
      <c r="B209" s="23" t="s">
        <v>1095</v>
      </c>
      <c r="C209" s="23" t="s">
        <v>176</v>
      </c>
      <c r="D209" s="23" t="s">
        <v>332</v>
      </c>
      <c r="E209" s="23" t="s">
        <v>333</v>
      </c>
      <c r="F209">
        <v>2</v>
      </c>
      <c r="G209" s="23" t="s">
        <v>177</v>
      </c>
      <c r="H209">
        <v>0</v>
      </c>
      <c r="I209">
        <v>809</v>
      </c>
      <c r="J209" s="10">
        <v>0</v>
      </c>
      <c r="K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09">
        <v>0</v>
      </c>
      <c r="M2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">
        <v>2.4</v>
      </c>
      <c r="O209" s="23" t="s">
        <v>242</v>
      </c>
      <c r="P209">
        <v>4.8</v>
      </c>
      <c r="Q209" s="23" t="s">
        <v>181</v>
      </c>
    </row>
    <row r="210" spans="1:17" x14ac:dyDescent="0.25">
      <c r="A210" s="23" t="s">
        <v>1094</v>
      </c>
      <c r="B210" s="23" t="s">
        <v>1095</v>
      </c>
      <c r="C210" s="23" t="s">
        <v>176</v>
      </c>
      <c r="D210" s="23" t="s">
        <v>42</v>
      </c>
      <c r="E210" s="23" t="s">
        <v>43</v>
      </c>
      <c r="F210">
        <v>83</v>
      </c>
      <c r="G210" s="23" t="s">
        <v>177</v>
      </c>
      <c r="H210">
        <v>0</v>
      </c>
      <c r="I210">
        <v>2800</v>
      </c>
      <c r="J210" s="10">
        <v>2439</v>
      </c>
      <c r="K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10">
        <v>0</v>
      </c>
      <c r="M2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">
        <v>0.18</v>
      </c>
      <c r="O210" s="23" t="s">
        <v>242</v>
      </c>
      <c r="P210">
        <v>14.94</v>
      </c>
      <c r="Q210" s="23" t="s">
        <v>181</v>
      </c>
    </row>
    <row r="211" spans="1:17" x14ac:dyDescent="0.25">
      <c r="A211" s="23" t="s">
        <v>1058</v>
      </c>
      <c r="B211" s="23" t="s">
        <v>1059</v>
      </c>
      <c r="C211" s="23" t="s">
        <v>176</v>
      </c>
      <c r="D211" s="23" t="s">
        <v>332</v>
      </c>
      <c r="E211" s="23" t="s">
        <v>333</v>
      </c>
      <c r="F211">
        <v>2</v>
      </c>
      <c r="G211" s="23" t="s">
        <v>177</v>
      </c>
      <c r="H211">
        <v>0</v>
      </c>
      <c r="I211">
        <v>809</v>
      </c>
      <c r="J211" s="10">
        <v>0</v>
      </c>
      <c r="K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1">
        <v>0</v>
      </c>
      <c r="M2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">
        <v>2.4</v>
      </c>
      <c r="O211" s="23" t="s">
        <v>242</v>
      </c>
      <c r="P211">
        <v>4.8</v>
      </c>
      <c r="Q211" s="23" t="s">
        <v>181</v>
      </c>
    </row>
    <row r="212" spans="1:17" x14ac:dyDescent="0.25">
      <c r="A212" s="23" t="s">
        <v>1147</v>
      </c>
      <c r="B212" s="23" t="s">
        <v>1145</v>
      </c>
      <c r="C212" s="23" t="s">
        <v>176</v>
      </c>
      <c r="D212" s="23" t="s">
        <v>332</v>
      </c>
      <c r="E212" s="23" t="s">
        <v>333</v>
      </c>
      <c r="F212">
        <v>2</v>
      </c>
      <c r="G212" s="23" t="s">
        <v>177</v>
      </c>
      <c r="H212">
        <v>0</v>
      </c>
      <c r="I212">
        <v>809</v>
      </c>
      <c r="J212" s="10">
        <v>0</v>
      </c>
      <c r="K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2">
        <v>0</v>
      </c>
      <c r="M2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">
        <v>2.4</v>
      </c>
      <c r="O212" s="23" t="s">
        <v>242</v>
      </c>
      <c r="P212">
        <v>4.8</v>
      </c>
      <c r="Q212" s="23" t="s">
        <v>181</v>
      </c>
    </row>
    <row r="213" spans="1:17" x14ac:dyDescent="0.25">
      <c r="A213" s="23" t="s">
        <v>1055</v>
      </c>
      <c r="B213" s="23" t="s">
        <v>1056</v>
      </c>
      <c r="C213" s="23" t="s">
        <v>176</v>
      </c>
      <c r="D213" s="23" t="s">
        <v>332</v>
      </c>
      <c r="E213" s="23" t="s">
        <v>333</v>
      </c>
      <c r="F213">
        <v>2</v>
      </c>
      <c r="G213" s="23" t="s">
        <v>177</v>
      </c>
      <c r="H213">
        <v>0</v>
      </c>
      <c r="I213">
        <v>809</v>
      </c>
      <c r="J213" s="10">
        <v>0</v>
      </c>
      <c r="K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3">
        <v>0</v>
      </c>
      <c r="M2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">
        <v>2.4</v>
      </c>
      <c r="O213" s="23" t="s">
        <v>242</v>
      </c>
      <c r="P213">
        <v>4.8</v>
      </c>
      <c r="Q213" s="23" t="s">
        <v>181</v>
      </c>
    </row>
    <row r="214" spans="1:17" x14ac:dyDescent="0.25">
      <c r="A214" s="23" t="s">
        <v>1148</v>
      </c>
      <c r="B214" s="23" t="s">
        <v>1054</v>
      </c>
      <c r="C214" s="23" t="s">
        <v>176</v>
      </c>
      <c r="D214" s="23" t="s">
        <v>332</v>
      </c>
      <c r="E214" s="23" t="s">
        <v>333</v>
      </c>
      <c r="F214">
        <v>2</v>
      </c>
      <c r="G214" s="23" t="s">
        <v>177</v>
      </c>
      <c r="H214">
        <v>0</v>
      </c>
      <c r="I214">
        <v>809</v>
      </c>
      <c r="J214" s="10">
        <v>0</v>
      </c>
      <c r="K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4">
        <v>0</v>
      </c>
      <c r="M2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">
        <v>2.4</v>
      </c>
      <c r="O214" s="23" t="s">
        <v>242</v>
      </c>
      <c r="P214">
        <v>4.8</v>
      </c>
      <c r="Q214" s="23" t="s">
        <v>181</v>
      </c>
    </row>
    <row r="215" spans="1:17" x14ac:dyDescent="0.25">
      <c r="A215" s="23" t="s">
        <v>1099</v>
      </c>
      <c r="B215" s="23" t="s">
        <v>1056</v>
      </c>
      <c r="C215" s="23" t="s">
        <v>176</v>
      </c>
      <c r="D215" s="23" t="s">
        <v>332</v>
      </c>
      <c r="E215" s="23" t="s">
        <v>333</v>
      </c>
      <c r="F215">
        <v>2</v>
      </c>
      <c r="G215" s="23" t="s">
        <v>177</v>
      </c>
      <c r="H215">
        <v>0</v>
      </c>
      <c r="I215">
        <v>809</v>
      </c>
      <c r="J215" s="10">
        <v>0</v>
      </c>
      <c r="K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5">
        <v>0</v>
      </c>
      <c r="M2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">
        <v>2.4</v>
      </c>
      <c r="O215" s="23" t="s">
        <v>242</v>
      </c>
      <c r="P215">
        <v>4.8</v>
      </c>
      <c r="Q215" s="23" t="s">
        <v>181</v>
      </c>
    </row>
    <row r="216" spans="1:17" x14ac:dyDescent="0.25">
      <c r="A216" s="23" t="s">
        <v>1097</v>
      </c>
      <c r="B216" s="23" t="s">
        <v>1095</v>
      </c>
      <c r="C216" s="23" t="s">
        <v>176</v>
      </c>
      <c r="D216" s="23" t="s">
        <v>44</v>
      </c>
      <c r="E216" s="23" t="s">
        <v>45</v>
      </c>
      <c r="F216">
        <v>18</v>
      </c>
      <c r="G216" s="23" t="s">
        <v>177</v>
      </c>
      <c r="H216">
        <v>0</v>
      </c>
      <c r="I216">
        <v>170</v>
      </c>
      <c r="J216" s="10">
        <v>18</v>
      </c>
      <c r="K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216">
        <v>0</v>
      </c>
      <c r="M2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216">
        <v>16.5</v>
      </c>
      <c r="O216" s="23" t="s">
        <v>242</v>
      </c>
      <c r="P216">
        <v>297</v>
      </c>
      <c r="Q216" s="23" t="s">
        <v>181</v>
      </c>
    </row>
    <row r="217" spans="1:17" x14ac:dyDescent="0.25">
      <c r="A217" s="23" t="s">
        <v>1143</v>
      </c>
      <c r="B217" s="23" t="s">
        <v>1054</v>
      </c>
      <c r="C217" s="23" t="s">
        <v>176</v>
      </c>
      <c r="D217" s="23" t="s">
        <v>332</v>
      </c>
      <c r="E217" s="23" t="s">
        <v>333</v>
      </c>
      <c r="F217">
        <v>2</v>
      </c>
      <c r="G217" s="23" t="s">
        <v>177</v>
      </c>
      <c r="H217">
        <v>0</v>
      </c>
      <c r="I217">
        <v>809</v>
      </c>
      <c r="J217" s="10">
        <v>0</v>
      </c>
      <c r="K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7">
        <v>0</v>
      </c>
      <c r="M2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">
        <v>2.4</v>
      </c>
      <c r="O217" s="23" t="s">
        <v>242</v>
      </c>
      <c r="P217">
        <v>4.8</v>
      </c>
      <c r="Q217" s="23" t="s">
        <v>181</v>
      </c>
    </row>
    <row r="218" spans="1:17" x14ac:dyDescent="0.25">
      <c r="A218" s="23" t="s">
        <v>1057</v>
      </c>
      <c r="B218" s="23" t="s">
        <v>1056</v>
      </c>
      <c r="C218" s="23" t="s">
        <v>176</v>
      </c>
      <c r="D218" s="23" t="s">
        <v>332</v>
      </c>
      <c r="E218" s="23" t="s">
        <v>333</v>
      </c>
      <c r="F218">
        <v>2</v>
      </c>
      <c r="G218" s="23" t="s">
        <v>177</v>
      </c>
      <c r="H218">
        <v>0</v>
      </c>
      <c r="I218">
        <v>809</v>
      </c>
      <c r="J218" s="10">
        <v>0</v>
      </c>
      <c r="K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18">
        <v>0</v>
      </c>
      <c r="M2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">
        <v>2.4</v>
      </c>
      <c r="O218" s="23" t="s">
        <v>242</v>
      </c>
      <c r="P218">
        <v>4.8</v>
      </c>
      <c r="Q218" s="23" t="s">
        <v>181</v>
      </c>
    </row>
    <row r="219" spans="1:17" x14ac:dyDescent="0.25">
      <c r="A219" s="23" t="s">
        <v>1057</v>
      </c>
      <c r="B219" s="23" t="s">
        <v>1056</v>
      </c>
      <c r="C219" s="23" t="s">
        <v>176</v>
      </c>
      <c r="D219" s="23" t="s">
        <v>210</v>
      </c>
      <c r="E219" s="23" t="s">
        <v>294</v>
      </c>
      <c r="F219">
        <v>12</v>
      </c>
      <c r="G219" s="23" t="s">
        <v>177</v>
      </c>
      <c r="H219">
        <v>0</v>
      </c>
      <c r="I219">
        <v>0</v>
      </c>
      <c r="J219" s="10">
        <v>0</v>
      </c>
      <c r="K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33</v>
      </c>
      <c r="L219">
        <v>0</v>
      </c>
      <c r="M2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3.96</v>
      </c>
      <c r="N219">
        <v>0.12</v>
      </c>
      <c r="O219" s="23" t="s">
        <v>229</v>
      </c>
      <c r="P219">
        <v>1.44</v>
      </c>
      <c r="Q219" s="23" t="s">
        <v>222</v>
      </c>
    </row>
    <row r="220" spans="1:17" x14ac:dyDescent="0.25">
      <c r="A220" s="23" t="s">
        <v>1057</v>
      </c>
      <c r="B220" s="23" t="s">
        <v>1056</v>
      </c>
      <c r="C220" s="23" t="s">
        <v>176</v>
      </c>
      <c r="D220" s="23" t="s">
        <v>915</v>
      </c>
      <c r="E220" s="23" t="s">
        <v>916</v>
      </c>
      <c r="F220">
        <v>3</v>
      </c>
      <c r="G220" s="23" t="s">
        <v>180</v>
      </c>
      <c r="H220">
        <v>0</v>
      </c>
      <c r="I220">
        <v>100</v>
      </c>
      <c r="J220" s="10">
        <v>26</v>
      </c>
      <c r="K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220">
        <v>0</v>
      </c>
      <c r="M2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0">
        <v>49.1</v>
      </c>
      <c r="O220" s="23" t="s">
        <v>827</v>
      </c>
      <c r="P220">
        <v>147.30000000000001</v>
      </c>
      <c r="Q220" s="23" t="s">
        <v>222</v>
      </c>
    </row>
    <row r="221" spans="1:17" x14ac:dyDescent="0.25">
      <c r="A221" s="23" t="s">
        <v>1057</v>
      </c>
      <c r="B221" s="23" t="s">
        <v>1056</v>
      </c>
      <c r="C221" s="23" t="s">
        <v>176</v>
      </c>
      <c r="D221" s="23" t="s">
        <v>42</v>
      </c>
      <c r="E221" s="23" t="s">
        <v>43</v>
      </c>
      <c r="F221">
        <v>143</v>
      </c>
      <c r="G221" s="23" t="s">
        <v>177</v>
      </c>
      <c r="H221">
        <v>0</v>
      </c>
      <c r="I221">
        <v>2800</v>
      </c>
      <c r="J221" s="10">
        <v>2439</v>
      </c>
      <c r="K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21">
        <v>0</v>
      </c>
      <c r="M2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">
        <v>0.18</v>
      </c>
      <c r="O221" s="23" t="s">
        <v>242</v>
      </c>
      <c r="P221">
        <v>25.74</v>
      </c>
      <c r="Q221" s="23" t="s">
        <v>181</v>
      </c>
    </row>
    <row r="222" spans="1:17" x14ac:dyDescent="0.25">
      <c r="A222" s="23" t="s">
        <v>1100</v>
      </c>
      <c r="B222" s="23" t="s">
        <v>1101</v>
      </c>
      <c r="C222" s="23" t="s">
        <v>176</v>
      </c>
      <c r="D222" s="23" t="s">
        <v>332</v>
      </c>
      <c r="E222" s="23" t="s">
        <v>333</v>
      </c>
      <c r="F222">
        <v>2</v>
      </c>
      <c r="G222" s="23" t="s">
        <v>177</v>
      </c>
      <c r="H222">
        <v>0</v>
      </c>
      <c r="I222">
        <v>809</v>
      </c>
      <c r="J222" s="10">
        <v>0</v>
      </c>
      <c r="K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22">
        <v>0</v>
      </c>
      <c r="M2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">
        <v>2.4</v>
      </c>
      <c r="O222" s="23" t="s">
        <v>242</v>
      </c>
      <c r="P222">
        <v>4.8</v>
      </c>
      <c r="Q222" s="23" t="s">
        <v>181</v>
      </c>
    </row>
    <row r="223" spans="1:17" x14ac:dyDescent="0.25">
      <c r="A223" s="23" t="s">
        <v>1062</v>
      </c>
      <c r="B223" s="23" t="s">
        <v>1053</v>
      </c>
      <c r="C223" s="23" t="s">
        <v>176</v>
      </c>
      <c r="D223" s="23" t="s">
        <v>332</v>
      </c>
      <c r="E223" s="23" t="s">
        <v>333</v>
      </c>
      <c r="F223">
        <v>4</v>
      </c>
      <c r="G223" s="23" t="s">
        <v>177</v>
      </c>
      <c r="H223">
        <v>0</v>
      </c>
      <c r="I223">
        <v>809</v>
      </c>
      <c r="J223" s="10">
        <v>0</v>
      </c>
      <c r="K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223">
        <v>0</v>
      </c>
      <c r="M2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">
        <v>2.4</v>
      </c>
      <c r="O223" s="23" t="s">
        <v>242</v>
      </c>
      <c r="P223">
        <v>9.6</v>
      </c>
      <c r="Q223" s="23" t="s">
        <v>181</v>
      </c>
    </row>
    <row r="224" spans="1:17" x14ac:dyDescent="0.25">
      <c r="A224" s="23" t="s">
        <v>1062</v>
      </c>
      <c r="B224" s="23" t="s">
        <v>1053</v>
      </c>
      <c r="C224" s="23" t="s">
        <v>176</v>
      </c>
      <c r="D224" s="23" t="s">
        <v>42</v>
      </c>
      <c r="E224" s="23" t="s">
        <v>43</v>
      </c>
      <c r="F224">
        <v>68</v>
      </c>
      <c r="G224" s="23" t="s">
        <v>177</v>
      </c>
      <c r="H224">
        <v>0</v>
      </c>
      <c r="I224">
        <v>2800</v>
      </c>
      <c r="J224" s="10">
        <v>2439</v>
      </c>
      <c r="K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224">
        <v>0</v>
      </c>
      <c r="M2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">
        <v>0.18</v>
      </c>
      <c r="O224" s="23" t="s">
        <v>242</v>
      </c>
      <c r="P224">
        <v>12.24</v>
      </c>
      <c r="Q224" s="23" t="s">
        <v>181</v>
      </c>
    </row>
    <row r="225" spans="1:17" x14ac:dyDescent="0.25">
      <c r="A225" s="23" t="s">
        <v>1062</v>
      </c>
      <c r="B225" s="23" t="s">
        <v>1053</v>
      </c>
      <c r="C225" s="23" t="s">
        <v>176</v>
      </c>
      <c r="D225" s="23" t="s">
        <v>44</v>
      </c>
      <c r="E225" s="23" t="s">
        <v>45</v>
      </c>
      <c r="F225">
        <v>18</v>
      </c>
      <c r="G225" s="23" t="s">
        <v>177</v>
      </c>
      <c r="H225">
        <v>0</v>
      </c>
      <c r="I225">
        <v>170</v>
      </c>
      <c r="J225" s="10">
        <v>18</v>
      </c>
      <c r="K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225">
        <v>0</v>
      </c>
      <c r="M2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225">
        <v>16.5</v>
      </c>
      <c r="O225" s="23" t="s">
        <v>242</v>
      </c>
      <c r="P225">
        <v>297</v>
      </c>
      <c r="Q225" s="23" t="s">
        <v>181</v>
      </c>
    </row>
    <row r="226" spans="1:17" x14ac:dyDescent="0.25">
      <c r="A226" s="26" t="s">
        <v>1062</v>
      </c>
      <c r="B226" s="26" t="s">
        <v>1053</v>
      </c>
      <c r="C226" s="23" t="s">
        <v>176</v>
      </c>
      <c r="D226" s="26" t="s">
        <v>578</v>
      </c>
      <c r="E226" s="26" t="s">
        <v>579</v>
      </c>
      <c r="F226" s="13">
        <v>0.2</v>
      </c>
      <c r="G226" s="26" t="s">
        <v>186</v>
      </c>
      <c r="H226">
        <v>0</v>
      </c>
      <c r="I226">
        <v>12</v>
      </c>
      <c r="J226" s="10">
        <v>1.2000000000000011</v>
      </c>
      <c r="K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26">
        <v>0</v>
      </c>
      <c r="M2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">
        <v>221.8</v>
      </c>
      <c r="O226" s="23" t="s">
        <v>491</v>
      </c>
      <c r="P226">
        <v>44.360000000000007</v>
      </c>
      <c r="Q226" s="23" t="s">
        <v>184</v>
      </c>
    </row>
    <row r="227" spans="1:17" x14ac:dyDescent="0.25">
      <c r="A227" s="23" t="s">
        <v>1062</v>
      </c>
      <c r="B227" s="23" t="s">
        <v>1053</v>
      </c>
      <c r="C227" s="23" t="s">
        <v>176</v>
      </c>
      <c r="D227" s="23" t="s">
        <v>32</v>
      </c>
      <c r="E227" s="23" t="s">
        <v>33</v>
      </c>
      <c r="F227">
        <v>2.5</v>
      </c>
      <c r="G227" s="23" t="s">
        <v>177</v>
      </c>
      <c r="H227">
        <v>0</v>
      </c>
      <c r="I227">
        <v>0</v>
      </c>
      <c r="J227" s="10">
        <v>16</v>
      </c>
      <c r="K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27">
        <v>20</v>
      </c>
      <c r="M2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27">
        <v>2726.42</v>
      </c>
      <c r="O227" s="23" t="s">
        <v>1226</v>
      </c>
      <c r="P227">
        <v>6816.05</v>
      </c>
      <c r="Q227" s="23" t="s">
        <v>185</v>
      </c>
    </row>
    <row r="228" spans="1:17" x14ac:dyDescent="0.25">
      <c r="A228" s="23" t="s">
        <v>1097</v>
      </c>
      <c r="B228" s="23" t="s">
        <v>1095</v>
      </c>
      <c r="C228" s="23" t="s">
        <v>176</v>
      </c>
      <c r="D228" s="23" t="s">
        <v>34</v>
      </c>
      <c r="E228" s="23" t="s">
        <v>35</v>
      </c>
      <c r="F228">
        <v>2</v>
      </c>
      <c r="G228" s="23" t="s">
        <v>177</v>
      </c>
      <c r="H228">
        <v>0</v>
      </c>
      <c r="I228">
        <v>8</v>
      </c>
      <c r="J228" s="10">
        <v>8</v>
      </c>
      <c r="K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28">
        <v>10</v>
      </c>
      <c r="M2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">
        <v>62.83</v>
      </c>
      <c r="O228" s="23" t="s">
        <v>1104</v>
      </c>
      <c r="P228">
        <v>125.66</v>
      </c>
      <c r="Q228" s="23" t="s">
        <v>222</v>
      </c>
    </row>
    <row r="229" spans="1:17" x14ac:dyDescent="0.25">
      <c r="A229" s="23" t="s">
        <v>1097</v>
      </c>
      <c r="B229" s="23" t="s">
        <v>1095</v>
      </c>
      <c r="C229" s="23" t="s">
        <v>176</v>
      </c>
      <c r="D229" s="23" t="s">
        <v>911</v>
      </c>
      <c r="E229" s="23" t="s">
        <v>912</v>
      </c>
      <c r="F229">
        <v>16</v>
      </c>
      <c r="G229" s="23" t="s">
        <v>177</v>
      </c>
      <c r="H229">
        <v>0</v>
      </c>
      <c r="I229">
        <v>1000</v>
      </c>
      <c r="J229" s="10">
        <v>0</v>
      </c>
      <c r="K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229">
        <v>0</v>
      </c>
      <c r="M2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">
        <v>0.15</v>
      </c>
      <c r="O229" s="23" t="s">
        <v>242</v>
      </c>
      <c r="P229">
        <v>2.4</v>
      </c>
      <c r="Q229" s="23" t="s">
        <v>181</v>
      </c>
    </row>
    <row r="230" spans="1:17" x14ac:dyDescent="0.25">
      <c r="A230" s="23" t="s">
        <v>1062</v>
      </c>
      <c r="B230" s="23" t="s">
        <v>1053</v>
      </c>
      <c r="C230" s="23" t="s">
        <v>176</v>
      </c>
      <c r="D230" s="23" t="s">
        <v>397</v>
      </c>
      <c r="E230" s="23" t="s">
        <v>398</v>
      </c>
      <c r="F230">
        <v>10</v>
      </c>
      <c r="G230" s="23" t="s">
        <v>177</v>
      </c>
      <c r="H230">
        <v>0</v>
      </c>
      <c r="I230">
        <v>2000</v>
      </c>
      <c r="J230" s="10">
        <v>7604</v>
      </c>
      <c r="K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230">
        <v>0</v>
      </c>
      <c r="M2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">
        <v>0.3</v>
      </c>
      <c r="O230" s="23" t="s">
        <v>242</v>
      </c>
      <c r="P230">
        <v>3</v>
      </c>
      <c r="Q230" s="23" t="s">
        <v>181</v>
      </c>
    </row>
    <row r="231" spans="1:17" x14ac:dyDescent="0.25">
      <c r="A231" s="23" t="s">
        <v>1097</v>
      </c>
      <c r="B231" s="23" t="s">
        <v>1095</v>
      </c>
      <c r="C231" s="23" t="s">
        <v>176</v>
      </c>
      <c r="D231" s="23" t="s">
        <v>397</v>
      </c>
      <c r="E231" s="23" t="s">
        <v>398</v>
      </c>
      <c r="F231">
        <v>30</v>
      </c>
      <c r="G231" s="23" t="s">
        <v>177</v>
      </c>
      <c r="H231">
        <v>0</v>
      </c>
      <c r="I231">
        <v>2000</v>
      </c>
      <c r="J231" s="10">
        <v>7604</v>
      </c>
      <c r="K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231">
        <v>0</v>
      </c>
      <c r="M2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">
        <v>0.3</v>
      </c>
      <c r="O231" s="23" t="s">
        <v>242</v>
      </c>
      <c r="P231">
        <v>9</v>
      </c>
      <c r="Q231" s="23" t="s">
        <v>181</v>
      </c>
    </row>
    <row r="232" spans="1:17" x14ac:dyDescent="0.25">
      <c r="A232" s="23" t="s">
        <v>1096</v>
      </c>
      <c r="B232" s="23" t="s">
        <v>1053</v>
      </c>
      <c r="C232" s="23" t="s">
        <v>176</v>
      </c>
      <c r="D232" s="23" t="s">
        <v>578</v>
      </c>
      <c r="E232" s="23" t="s">
        <v>579</v>
      </c>
      <c r="F232">
        <v>0.2</v>
      </c>
      <c r="G232" s="23" t="s">
        <v>186</v>
      </c>
      <c r="H232">
        <v>0</v>
      </c>
      <c r="I232">
        <v>12</v>
      </c>
      <c r="J232" s="10">
        <v>1.2000000000000011</v>
      </c>
      <c r="K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32">
        <v>0</v>
      </c>
      <c r="M2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">
        <v>221.8</v>
      </c>
      <c r="O232" s="23" t="s">
        <v>491</v>
      </c>
      <c r="P232">
        <v>44.360000000000007</v>
      </c>
      <c r="Q232" s="23" t="s">
        <v>184</v>
      </c>
    </row>
    <row r="233" spans="1:17" x14ac:dyDescent="0.25">
      <c r="A233" s="23" t="s">
        <v>1143</v>
      </c>
      <c r="B233" s="23" t="s">
        <v>1054</v>
      </c>
      <c r="C233" s="23" t="s">
        <v>176</v>
      </c>
      <c r="D233" s="23" t="s">
        <v>578</v>
      </c>
      <c r="E233" s="23" t="s">
        <v>579</v>
      </c>
      <c r="F233">
        <v>0.2</v>
      </c>
      <c r="G233" s="23" t="s">
        <v>186</v>
      </c>
      <c r="H233">
        <v>0</v>
      </c>
      <c r="I233">
        <v>12</v>
      </c>
      <c r="J233" s="10">
        <v>1.2000000000000011</v>
      </c>
      <c r="K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33">
        <v>0</v>
      </c>
      <c r="M2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">
        <v>221.8</v>
      </c>
      <c r="O233" s="23" t="s">
        <v>491</v>
      </c>
      <c r="P233">
        <v>44.360000000000007</v>
      </c>
      <c r="Q233" s="23" t="s">
        <v>184</v>
      </c>
    </row>
    <row r="234" spans="1:17" x14ac:dyDescent="0.25">
      <c r="A234" s="23" t="s">
        <v>1094</v>
      </c>
      <c r="B234" s="23" t="s">
        <v>1095</v>
      </c>
      <c r="C234" s="23" t="s">
        <v>176</v>
      </c>
      <c r="D234" s="23" t="s">
        <v>578</v>
      </c>
      <c r="E234" s="23" t="s">
        <v>579</v>
      </c>
      <c r="F234">
        <v>0.2</v>
      </c>
      <c r="G234" s="23" t="s">
        <v>186</v>
      </c>
      <c r="H234">
        <v>0</v>
      </c>
      <c r="I234">
        <v>12</v>
      </c>
      <c r="J234" s="10">
        <v>1.2000000000000011</v>
      </c>
      <c r="K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34">
        <v>0</v>
      </c>
      <c r="M2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">
        <v>221.8</v>
      </c>
      <c r="O234" s="23" t="s">
        <v>491</v>
      </c>
      <c r="P234">
        <v>44.360000000000007</v>
      </c>
      <c r="Q234" s="23" t="s">
        <v>184</v>
      </c>
    </row>
    <row r="235" spans="1:17" x14ac:dyDescent="0.25">
      <c r="A235" s="23" t="s">
        <v>1057</v>
      </c>
      <c r="B235" s="23" t="s">
        <v>1056</v>
      </c>
      <c r="C235" s="23" t="s">
        <v>176</v>
      </c>
      <c r="D235" s="23" t="s">
        <v>543</v>
      </c>
      <c r="E235" s="23" t="s">
        <v>544</v>
      </c>
      <c r="F235">
        <v>1</v>
      </c>
      <c r="G235" s="23" t="s">
        <v>177</v>
      </c>
      <c r="H235">
        <v>0</v>
      </c>
      <c r="I235">
        <v>18</v>
      </c>
      <c r="J235" s="10">
        <v>28</v>
      </c>
      <c r="K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35">
        <v>0</v>
      </c>
      <c r="M2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">
        <v>2</v>
      </c>
      <c r="O235" s="23"/>
      <c r="P235">
        <v>2</v>
      </c>
      <c r="Q235" s="23" t="s">
        <v>181</v>
      </c>
    </row>
    <row r="236" spans="1:17" x14ac:dyDescent="0.25">
      <c r="A236" s="23" t="s">
        <v>1094</v>
      </c>
      <c r="B236" s="23" t="s">
        <v>1095</v>
      </c>
      <c r="C236" s="23" t="s">
        <v>176</v>
      </c>
      <c r="D236" s="23" t="s">
        <v>32</v>
      </c>
      <c r="E236" s="23" t="s">
        <v>33</v>
      </c>
      <c r="F236">
        <v>1</v>
      </c>
      <c r="G236" s="23" t="s">
        <v>177</v>
      </c>
      <c r="H236">
        <v>0</v>
      </c>
      <c r="I236">
        <v>0</v>
      </c>
      <c r="J236" s="10">
        <v>16</v>
      </c>
      <c r="K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36">
        <v>20</v>
      </c>
      <c r="M2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36">
        <v>2726.42</v>
      </c>
      <c r="O236" s="23" t="s">
        <v>1226</v>
      </c>
      <c r="P236">
        <v>2726.42</v>
      </c>
      <c r="Q236" s="23" t="s">
        <v>185</v>
      </c>
    </row>
    <row r="237" spans="1:17" x14ac:dyDescent="0.25">
      <c r="A237" s="23" t="s">
        <v>1057</v>
      </c>
      <c r="B237" s="23" t="s">
        <v>1056</v>
      </c>
      <c r="C237" s="23" t="s">
        <v>176</v>
      </c>
      <c r="D237" s="23" t="s">
        <v>32</v>
      </c>
      <c r="E237" s="23" t="s">
        <v>33</v>
      </c>
      <c r="F237">
        <v>1</v>
      </c>
      <c r="G237" s="23" t="s">
        <v>177</v>
      </c>
      <c r="H237">
        <v>0</v>
      </c>
      <c r="I237">
        <v>0</v>
      </c>
      <c r="J237" s="10">
        <v>16</v>
      </c>
      <c r="K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37">
        <v>20</v>
      </c>
      <c r="M2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37">
        <v>2726.42</v>
      </c>
      <c r="O237" s="23" t="s">
        <v>1226</v>
      </c>
      <c r="P237">
        <v>2726.42</v>
      </c>
      <c r="Q237" s="23" t="s">
        <v>185</v>
      </c>
    </row>
    <row r="238" spans="1:17" x14ac:dyDescent="0.25">
      <c r="A238" s="23" t="s">
        <v>1096</v>
      </c>
      <c r="B238" s="23" t="s">
        <v>1053</v>
      </c>
      <c r="C238" s="23" t="s">
        <v>176</v>
      </c>
      <c r="D238" s="23" t="s">
        <v>32</v>
      </c>
      <c r="E238" s="23" t="s">
        <v>33</v>
      </c>
      <c r="F238">
        <v>2.5</v>
      </c>
      <c r="G238" s="23" t="s">
        <v>177</v>
      </c>
      <c r="H238">
        <v>0</v>
      </c>
      <c r="I238">
        <v>0</v>
      </c>
      <c r="J238" s="10">
        <v>16</v>
      </c>
      <c r="K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38">
        <v>20</v>
      </c>
      <c r="M2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38">
        <v>2726.42</v>
      </c>
      <c r="O238" s="23" t="s">
        <v>1226</v>
      </c>
      <c r="P238">
        <v>6816.05</v>
      </c>
      <c r="Q238" s="23" t="s">
        <v>185</v>
      </c>
    </row>
    <row r="239" spans="1:17" x14ac:dyDescent="0.25">
      <c r="A239" s="23" t="s">
        <v>1143</v>
      </c>
      <c r="B239" s="23" t="s">
        <v>1054</v>
      </c>
      <c r="C239" s="23" t="s">
        <v>176</v>
      </c>
      <c r="D239" s="23" t="s">
        <v>32</v>
      </c>
      <c r="E239" s="23" t="s">
        <v>33</v>
      </c>
      <c r="F239">
        <v>2</v>
      </c>
      <c r="G239" s="23" t="s">
        <v>177</v>
      </c>
      <c r="H239">
        <v>0</v>
      </c>
      <c r="I239">
        <v>0</v>
      </c>
      <c r="J239" s="10">
        <v>16</v>
      </c>
      <c r="K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39">
        <v>20</v>
      </c>
      <c r="M2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39">
        <v>2726.42</v>
      </c>
      <c r="O239" s="23" t="s">
        <v>1226</v>
      </c>
      <c r="P239">
        <v>5452.84</v>
      </c>
      <c r="Q239" s="23" t="s">
        <v>185</v>
      </c>
    </row>
    <row r="240" spans="1:17" x14ac:dyDescent="0.25">
      <c r="A240" s="23" t="s">
        <v>1143</v>
      </c>
      <c r="B240" s="23" t="s">
        <v>1054</v>
      </c>
      <c r="C240" s="23" t="s">
        <v>176</v>
      </c>
      <c r="D240" s="23" t="s">
        <v>34</v>
      </c>
      <c r="E240" s="23" t="s">
        <v>35</v>
      </c>
      <c r="F240">
        <v>2</v>
      </c>
      <c r="G240" s="23" t="s">
        <v>177</v>
      </c>
      <c r="H240">
        <v>0</v>
      </c>
      <c r="I240">
        <v>8</v>
      </c>
      <c r="J240" s="10">
        <v>8</v>
      </c>
      <c r="K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0">
        <v>10</v>
      </c>
      <c r="M2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">
        <v>62.83</v>
      </c>
      <c r="O240" s="23" t="s">
        <v>1104</v>
      </c>
      <c r="P240">
        <v>125.66</v>
      </c>
      <c r="Q240" s="23" t="s">
        <v>222</v>
      </c>
    </row>
    <row r="241" spans="1:17" x14ac:dyDescent="0.25">
      <c r="A241" s="23" t="s">
        <v>1143</v>
      </c>
      <c r="B241" s="23" t="s">
        <v>1054</v>
      </c>
      <c r="C241" s="23" t="s">
        <v>176</v>
      </c>
      <c r="D241" s="23" t="s">
        <v>911</v>
      </c>
      <c r="E241" s="23" t="s">
        <v>912</v>
      </c>
      <c r="F241">
        <v>16</v>
      </c>
      <c r="G241" s="23" t="s">
        <v>177</v>
      </c>
      <c r="H241">
        <v>0</v>
      </c>
      <c r="I241">
        <v>1000</v>
      </c>
      <c r="J241" s="10">
        <v>0</v>
      </c>
      <c r="K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241">
        <v>0</v>
      </c>
      <c r="M2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">
        <v>0.15</v>
      </c>
      <c r="O241" s="23" t="s">
        <v>242</v>
      </c>
      <c r="P241">
        <v>2.4</v>
      </c>
      <c r="Q241" s="23" t="s">
        <v>181</v>
      </c>
    </row>
    <row r="242" spans="1:17" x14ac:dyDescent="0.25">
      <c r="A242" s="23" t="s">
        <v>1097</v>
      </c>
      <c r="B242" s="23" t="s">
        <v>1095</v>
      </c>
      <c r="C242" s="23" t="s">
        <v>176</v>
      </c>
      <c r="D242" s="23" t="s">
        <v>578</v>
      </c>
      <c r="E242" s="23" t="s">
        <v>579</v>
      </c>
      <c r="F242">
        <v>0.2</v>
      </c>
      <c r="G242" s="23" t="s">
        <v>186</v>
      </c>
      <c r="H242">
        <v>0</v>
      </c>
      <c r="I242">
        <v>12</v>
      </c>
      <c r="J242" s="10">
        <v>1.2000000000000011</v>
      </c>
      <c r="K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42">
        <v>0</v>
      </c>
      <c r="M2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">
        <v>221.8</v>
      </c>
      <c r="O242" s="23" t="s">
        <v>491</v>
      </c>
      <c r="P242">
        <v>44.360000000000007</v>
      </c>
      <c r="Q242" s="23" t="s">
        <v>184</v>
      </c>
    </row>
    <row r="243" spans="1:17" x14ac:dyDescent="0.25">
      <c r="A243" s="23" t="s">
        <v>1097</v>
      </c>
      <c r="B243" s="23" t="s">
        <v>1095</v>
      </c>
      <c r="C243" s="23" t="s">
        <v>176</v>
      </c>
      <c r="D243" s="23" t="s">
        <v>32</v>
      </c>
      <c r="E243" s="23" t="s">
        <v>33</v>
      </c>
      <c r="F243">
        <v>1</v>
      </c>
      <c r="G243" s="23" t="s">
        <v>177</v>
      </c>
      <c r="H243">
        <v>0</v>
      </c>
      <c r="I243">
        <v>0</v>
      </c>
      <c r="J243" s="10">
        <v>16</v>
      </c>
      <c r="K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43">
        <v>20</v>
      </c>
      <c r="M2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43">
        <v>2726.42</v>
      </c>
      <c r="O243" s="23" t="s">
        <v>1226</v>
      </c>
      <c r="P243">
        <v>2726.42</v>
      </c>
      <c r="Q243" s="23" t="s">
        <v>185</v>
      </c>
    </row>
    <row r="244" spans="1:17" x14ac:dyDescent="0.25">
      <c r="A244" s="23" t="s">
        <v>1142</v>
      </c>
      <c r="B244" s="23" t="s">
        <v>1054</v>
      </c>
      <c r="C244" s="23" t="s">
        <v>176</v>
      </c>
      <c r="D244" s="23" t="s">
        <v>397</v>
      </c>
      <c r="E244" s="23" t="s">
        <v>398</v>
      </c>
      <c r="F244">
        <v>31</v>
      </c>
      <c r="G244" s="23" t="s">
        <v>177</v>
      </c>
      <c r="H244">
        <v>0</v>
      </c>
      <c r="I244">
        <v>2000</v>
      </c>
      <c r="J244" s="10">
        <v>7604</v>
      </c>
      <c r="K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244">
        <v>0</v>
      </c>
      <c r="M2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">
        <v>0.3</v>
      </c>
      <c r="O244" s="23" t="s">
        <v>242</v>
      </c>
      <c r="P244">
        <v>9.2999999999999989</v>
      </c>
      <c r="Q244" s="23" t="s">
        <v>181</v>
      </c>
    </row>
    <row r="245" spans="1:17" x14ac:dyDescent="0.25">
      <c r="A245" s="23" t="s">
        <v>1096</v>
      </c>
      <c r="B245" s="23" t="s">
        <v>1053</v>
      </c>
      <c r="C245" s="23" t="s">
        <v>176</v>
      </c>
      <c r="D245" s="23" t="s">
        <v>397</v>
      </c>
      <c r="E245" s="23" t="s">
        <v>398</v>
      </c>
      <c r="F245">
        <v>10</v>
      </c>
      <c r="G245" s="23" t="s">
        <v>177</v>
      </c>
      <c r="H245">
        <v>0</v>
      </c>
      <c r="I245">
        <v>2000</v>
      </c>
      <c r="J245" s="10">
        <v>7604</v>
      </c>
      <c r="K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245">
        <v>0</v>
      </c>
      <c r="M2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">
        <v>0.3</v>
      </c>
      <c r="O245" s="23" t="s">
        <v>242</v>
      </c>
      <c r="P245">
        <v>3</v>
      </c>
      <c r="Q245" s="23" t="s">
        <v>181</v>
      </c>
    </row>
    <row r="246" spans="1:17" x14ac:dyDescent="0.25">
      <c r="A246" s="23" t="s">
        <v>1143</v>
      </c>
      <c r="B246" s="23" t="s">
        <v>1054</v>
      </c>
      <c r="C246" s="23" t="s">
        <v>176</v>
      </c>
      <c r="D246" s="23" t="s">
        <v>909</v>
      </c>
      <c r="E246" s="23" t="s">
        <v>910</v>
      </c>
      <c r="F246">
        <v>6</v>
      </c>
      <c r="G246" s="23" t="s">
        <v>177</v>
      </c>
      <c r="H246">
        <v>0</v>
      </c>
      <c r="I246">
        <v>0</v>
      </c>
      <c r="J246" s="10">
        <v>106</v>
      </c>
      <c r="K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46">
        <v>0</v>
      </c>
      <c r="M2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1.7399999999999998</v>
      </c>
      <c r="N246">
        <v>0.28999999999999998</v>
      </c>
      <c r="O246" s="23"/>
      <c r="P246">
        <v>1.7399999999999998</v>
      </c>
      <c r="Q246" s="23" t="s">
        <v>181</v>
      </c>
    </row>
    <row r="247" spans="1:17" x14ac:dyDescent="0.25">
      <c r="A247" s="23" t="s">
        <v>1197</v>
      </c>
      <c r="B247" s="23" t="s">
        <v>1198</v>
      </c>
      <c r="C247" s="23" t="s">
        <v>176</v>
      </c>
      <c r="D247" s="23" t="s">
        <v>397</v>
      </c>
      <c r="E247" s="23" t="s">
        <v>398</v>
      </c>
      <c r="F247">
        <v>31</v>
      </c>
      <c r="G247" s="23" t="s">
        <v>177</v>
      </c>
      <c r="H247">
        <v>0</v>
      </c>
      <c r="I247">
        <v>2000</v>
      </c>
      <c r="J247" s="10">
        <v>7604</v>
      </c>
      <c r="K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247">
        <v>0</v>
      </c>
      <c r="M2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">
        <v>0.3</v>
      </c>
      <c r="O247" s="23" t="s">
        <v>242</v>
      </c>
      <c r="P247">
        <v>9.2999999999999989</v>
      </c>
      <c r="Q247" s="23" t="s">
        <v>181</v>
      </c>
    </row>
    <row r="248" spans="1:17" x14ac:dyDescent="0.25">
      <c r="A248" s="23" t="s">
        <v>1098</v>
      </c>
      <c r="B248" s="23" t="s">
        <v>1053</v>
      </c>
      <c r="C248" s="23" t="s">
        <v>176</v>
      </c>
      <c r="D248" s="23" t="s">
        <v>397</v>
      </c>
      <c r="E248" s="23" t="s">
        <v>398</v>
      </c>
      <c r="F248">
        <v>20</v>
      </c>
      <c r="G248" s="23" t="s">
        <v>177</v>
      </c>
      <c r="H248">
        <v>0</v>
      </c>
      <c r="I248">
        <v>2000</v>
      </c>
      <c r="J248" s="10">
        <v>7604</v>
      </c>
      <c r="K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248">
        <v>0</v>
      </c>
      <c r="M2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">
        <v>0.3</v>
      </c>
      <c r="O248" s="23" t="s">
        <v>242</v>
      </c>
      <c r="P248">
        <v>6</v>
      </c>
      <c r="Q248" s="23" t="s">
        <v>181</v>
      </c>
    </row>
    <row r="249" spans="1:17" x14ac:dyDescent="0.25">
      <c r="A249" s="23" t="s">
        <v>1142</v>
      </c>
      <c r="B249" s="23" t="s">
        <v>1054</v>
      </c>
      <c r="C249" s="23" t="s">
        <v>176</v>
      </c>
      <c r="D249" s="23" t="s">
        <v>32</v>
      </c>
      <c r="E249" s="23" t="s">
        <v>33</v>
      </c>
      <c r="F249">
        <v>1</v>
      </c>
      <c r="G249" s="23" t="s">
        <v>177</v>
      </c>
      <c r="H249">
        <v>0</v>
      </c>
      <c r="I249">
        <v>0</v>
      </c>
      <c r="J249" s="10">
        <v>16</v>
      </c>
      <c r="K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49">
        <v>20</v>
      </c>
      <c r="M2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49">
        <v>2726.42</v>
      </c>
      <c r="O249" s="23" t="s">
        <v>1226</v>
      </c>
      <c r="P249">
        <v>2726.42</v>
      </c>
      <c r="Q249" s="23" t="s">
        <v>185</v>
      </c>
    </row>
    <row r="250" spans="1:17" x14ac:dyDescent="0.25">
      <c r="A250" s="23" t="s">
        <v>1142</v>
      </c>
      <c r="B250" s="23" t="s">
        <v>1054</v>
      </c>
      <c r="C250" s="23" t="s">
        <v>176</v>
      </c>
      <c r="D250" s="23" t="s">
        <v>34</v>
      </c>
      <c r="E250" s="23" t="s">
        <v>35</v>
      </c>
      <c r="F250">
        <v>2</v>
      </c>
      <c r="G250" s="23" t="s">
        <v>177</v>
      </c>
      <c r="H250">
        <v>0</v>
      </c>
      <c r="I250">
        <v>8</v>
      </c>
      <c r="J250" s="10">
        <v>8</v>
      </c>
      <c r="K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50">
        <v>10</v>
      </c>
      <c r="M2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">
        <v>62.83</v>
      </c>
      <c r="O250" s="23" t="s">
        <v>1104</v>
      </c>
      <c r="P250">
        <v>125.66</v>
      </c>
      <c r="Q250" s="23" t="s">
        <v>222</v>
      </c>
    </row>
    <row r="251" spans="1:17" x14ac:dyDescent="0.25">
      <c r="A251" s="23" t="s">
        <v>1058</v>
      </c>
      <c r="B251" s="23" t="s">
        <v>1059</v>
      </c>
      <c r="C251" s="23" t="s">
        <v>176</v>
      </c>
      <c r="D251" s="23" t="s">
        <v>578</v>
      </c>
      <c r="E251" s="23" t="s">
        <v>579</v>
      </c>
      <c r="F251">
        <v>0.2</v>
      </c>
      <c r="G251" s="23" t="s">
        <v>186</v>
      </c>
      <c r="H251">
        <v>0</v>
      </c>
      <c r="I251">
        <v>12</v>
      </c>
      <c r="J251" s="10">
        <v>1.2000000000000011</v>
      </c>
      <c r="K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51">
        <v>0</v>
      </c>
      <c r="M2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">
        <v>221.8</v>
      </c>
      <c r="O251" s="23" t="s">
        <v>491</v>
      </c>
      <c r="P251">
        <v>44.360000000000007</v>
      </c>
      <c r="Q251" s="23" t="s">
        <v>184</v>
      </c>
    </row>
    <row r="252" spans="1:17" x14ac:dyDescent="0.25">
      <c r="A252" s="23" t="s">
        <v>1098</v>
      </c>
      <c r="B252" s="23" t="s">
        <v>1053</v>
      </c>
      <c r="C252" s="23" t="s">
        <v>176</v>
      </c>
      <c r="D252" s="23" t="s">
        <v>578</v>
      </c>
      <c r="E252" s="23" t="s">
        <v>579</v>
      </c>
      <c r="F252">
        <v>0.2</v>
      </c>
      <c r="G252" s="23" t="s">
        <v>186</v>
      </c>
      <c r="H252">
        <v>0</v>
      </c>
      <c r="I252">
        <v>12</v>
      </c>
      <c r="J252" s="10">
        <v>1.2000000000000011</v>
      </c>
      <c r="K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252">
        <v>0</v>
      </c>
      <c r="M2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">
        <v>221.8</v>
      </c>
      <c r="O252" s="23" t="s">
        <v>491</v>
      </c>
      <c r="P252">
        <v>44.360000000000007</v>
      </c>
      <c r="Q252" s="23" t="s">
        <v>184</v>
      </c>
    </row>
    <row r="253" spans="1:17" x14ac:dyDescent="0.25">
      <c r="A253" s="23" t="s">
        <v>1197</v>
      </c>
      <c r="B253" s="23" t="s">
        <v>1198</v>
      </c>
      <c r="C253" s="23" t="s">
        <v>176</v>
      </c>
      <c r="D253" s="23" t="s">
        <v>32</v>
      </c>
      <c r="E253" s="23" t="s">
        <v>33</v>
      </c>
      <c r="F253">
        <v>1</v>
      </c>
      <c r="G253" s="23" t="s">
        <v>177</v>
      </c>
      <c r="H253">
        <v>0</v>
      </c>
      <c r="I253">
        <v>0</v>
      </c>
      <c r="J253" s="10">
        <v>16</v>
      </c>
      <c r="K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53">
        <v>20</v>
      </c>
      <c r="M2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253">
        <v>2726.42</v>
      </c>
      <c r="O253" s="23" t="s">
        <v>1226</v>
      </c>
      <c r="P253">
        <v>2726.42</v>
      </c>
      <c r="Q253" s="23" t="s">
        <v>185</v>
      </c>
    </row>
    <row r="254" spans="1:17" x14ac:dyDescent="0.25">
      <c r="A254" s="23" t="s">
        <v>1149</v>
      </c>
      <c r="B254" s="23" t="s">
        <v>1145</v>
      </c>
      <c r="C254" s="23" t="s">
        <v>176</v>
      </c>
      <c r="D254" s="23" t="s">
        <v>17</v>
      </c>
      <c r="E254" s="23" t="s">
        <v>18</v>
      </c>
      <c r="F254">
        <v>1</v>
      </c>
      <c r="G254" s="23" t="s">
        <v>177</v>
      </c>
      <c r="H254">
        <v>0</v>
      </c>
      <c r="I254">
        <v>7</v>
      </c>
      <c r="J254" s="10">
        <v>10</v>
      </c>
      <c r="K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54">
        <v>50</v>
      </c>
      <c r="M2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">
        <v>839.2</v>
      </c>
      <c r="O254" s="23" t="s">
        <v>236</v>
      </c>
      <c r="P254">
        <v>839.2</v>
      </c>
      <c r="Q254" s="23" t="s">
        <v>222</v>
      </c>
    </row>
    <row r="255" spans="1:17" x14ac:dyDescent="0.25">
      <c r="A255" s="23" t="s">
        <v>1144</v>
      </c>
      <c r="B255" s="23" t="s">
        <v>1145</v>
      </c>
      <c r="C255" s="23" t="s">
        <v>176</v>
      </c>
      <c r="D255" s="23" t="s">
        <v>17</v>
      </c>
      <c r="E255" s="23" t="s">
        <v>18</v>
      </c>
      <c r="F255">
        <v>1</v>
      </c>
      <c r="G255" s="23" t="s">
        <v>177</v>
      </c>
      <c r="H255">
        <v>0</v>
      </c>
      <c r="I255">
        <v>7</v>
      </c>
      <c r="J255" s="10">
        <v>10</v>
      </c>
      <c r="K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55">
        <v>50</v>
      </c>
      <c r="M2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">
        <v>839.2</v>
      </c>
      <c r="O255" s="23" t="s">
        <v>236</v>
      </c>
      <c r="P255">
        <v>839.2</v>
      </c>
      <c r="Q255" s="23" t="s">
        <v>222</v>
      </c>
    </row>
    <row r="256" spans="1:17" x14ac:dyDescent="0.25">
      <c r="A256" s="23" t="s">
        <v>1146</v>
      </c>
      <c r="B256" s="23" t="s">
        <v>1145</v>
      </c>
      <c r="C256" s="23" t="s">
        <v>176</v>
      </c>
      <c r="D256" s="23" t="s">
        <v>17</v>
      </c>
      <c r="E256" s="23" t="s">
        <v>18</v>
      </c>
      <c r="F256">
        <v>1</v>
      </c>
      <c r="G256" s="23" t="s">
        <v>177</v>
      </c>
      <c r="H256">
        <v>0</v>
      </c>
      <c r="I256">
        <v>7</v>
      </c>
      <c r="J256" s="10">
        <v>10</v>
      </c>
      <c r="K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56">
        <v>50</v>
      </c>
      <c r="M2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">
        <v>839.2</v>
      </c>
      <c r="O256" s="23" t="s">
        <v>236</v>
      </c>
      <c r="P256">
        <v>839.2</v>
      </c>
      <c r="Q256" s="23" t="s">
        <v>222</v>
      </c>
    </row>
    <row r="257" spans="1:17" x14ac:dyDescent="0.25">
      <c r="A257" s="23" t="s">
        <v>1149</v>
      </c>
      <c r="B257" s="23" t="s">
        <v>1145</v>
      </c>
      <c r="C257" s="23" t="s">
        <v>176</v>
      </c>
      <c r="D257" s="23" t="s">
        <v>21</v>
      </c>
      <c r="E257" s="23" t="s">
        <v>22</v>
      </c>
      <c r="F257">
        <v>4</v>
      </c>
      <c r="G257" s="23" t="s">
        <v>180</v>
      </c>
      <c r="H257">
        <v>0</v>
      </c>
      <c r="I257">
        <v>100</v>
      </c>
      <c r="J257" s="10">
        <v>105.5</v>
      </c>
      <c r="K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7">
        <v>0</v>
      </c>
      <c r="M2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">
        <v>131.25</v>
      </c>
      <c r="O257" s="23" t="s">
        <v>827</v>
      </c>
      <c r="P257">
        <v>525</v>
      </c>
      <c r="Q257" s="23" t="s">
        <v>222</v>
      </c>
    </row>
    <row r="258" spans="1:17" x14ac:dyDescent="0.25">
      <c r="A258" s="23" t="s">
        <v>1146</v>
      </c>
      <c r="B258" s="23" t="s">
        <v>1145</v>
      </c>
      <c r="C258" s="23" t="s">
        <v>176</v>
      </c>
      <c r="D258" s="23" t="s">
        <v>21</v>
      </c>
      <c r="E258" s="23" t="s">
        <v>22</v>
      </c>
      <c r="F258">
        <v>4</v>
      </c>
      <c r="G258" s="23" t="s">
        <v>180</v>
      </c>
      <c r="H258">
        <v>0</v>
      </c>
      <c r="I258">
        <v>100</v>
      </c>
      <c r="J258" s="10">
        <v>105.5</v>
      </c>
      <c r="K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8">
        <v>0</v>
      </c>
      <c r="M2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">
        <v>131.25</v>
      </c>
      <c r="O258" s="23" t="s">
        <v>827</v>
      </c>
      <c r="P258">
        <v>525</v>
      </c>
      <c r="Q258" s="23" t="s">
        <v>222</v>
      </c>
    </row>
    <row r="259" spans="1:17" x14ac:dyDescent="0.25">
      <c r="A259" s="23" t="s">
        <v>1148</v>
      </c>
      <c r="B259" s="23" t="s">
        <v>1054</v>
      </c>
      <c r="C259" s="23" t="s">
        <v>176</v>
      </c>
      <c r="D259" s="23" t="s">
        <v>1136</v>
      </c>
      <c r="E259" s="23" t="s">
        <v>1137</v>
      </c>
      <c r="F259">
        <v>2</v>
      </c>
      <c r="G259" s="23" t="s">
        <v>177</v>
      </c>
      <c r="H259">
        <v>0</v>
      </c>
      <c r="I259">
        <v>0</v>
      </c>
      <c r="J259" s="10">
        <v>0</v>
      </c>
      <c r="K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59">
        <v>200</v>
      </c>
      <c r="M2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">
        <v>12</v>
      </c>
      <c r="O259" s="23" t="s">
        <v>242</v>
      </c>
      <c r="P259">
        <v>24</v>
      </c>
      <c r="Q259" s="23" t="s">
        <v>181</v>
      </c>
    </row>
    <row r="260" spans="1:17" x14ac:dyDescent="0.25">
      <c r="A260" s="23" t="s">
        <v>1147</v>
      </c>
      <c r="B260" s="23" t="s">
        <v>1145</v>
      </c>
      <c r="C260" s="23" t="s">
        <v>176</v>
      </c>
      <c r="D260" s="23" t="s">
        <v>325</v>
      </c>
      <c r="E260" s="23" t="s">
        <v>326</v>
      </c>
      <c r="F260">
        <v>0.10400000000000001</v>
      </c>
      <c r="G260" s="23" t="s">
        <v>177</v>
      </c>
      <c r="H260">
        <v>0</v>
      </c>
      <c r="I260">
        <v>0</v>
      </c>
      <c r="J260" s="10">
        <v>-6.6613381477509392E-16</v>
      </c>
      <c r="K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260">
        <v>0</v>
      </c>
      <c r="M2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260">
        <v>1575</v>
      </c>
      <c r="O260" s="23" t="s">
        <v>327</v>
      </c>
      <c r="P260">
        <v>163.80000000000001</v>
      </c>
      <c r="Q260" s="23" t="s">
        <v>179</v>
      </c>
    </row>
    <row r="261" spans="1:17" x14ac:dyDescent="0.25">
      <c r="A261" s="23" t="s">
        <v>1148</v>
      </c>
      <c r="B261" s="23" t="s">
        <v>1054</v>
      </c>
      <c r="C261" s="23" t="s">
        <v>176</v>
      </c>
      <c r="D261" s="23" t="s">
        <v>325</v>
      </c>
      <c r="E261" s="23" t="s">
        <v>326</v>
      </c>
      <c r="F261">
        <v>0.18</v>
      </c>
      <c r="G261" s="23" t="s">
        <v>177</v>
      </c>
      <c r="H261">
        <v>0</v>
      </c>
      <c r="I261">
        <v>0</v>
      </c>
      <c r="J261" s="10">
        <v>-6.6613381477509392E-16</v>
      </c>
      <c r="K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261">
        <v>0</v>
      </c>
      <c r="M2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261">
        <v>1575</v>
      </c>
      <c r="O261" s="23" t="s">
        <v>327</v>
      </c>
      <c r="P261">
        <v>283.5</v>
      </c>
      <c r="Q261" s="23" t="s">
        <v>179</v>
      </c>
    </row>
    <row r="262" spans="1:17" x14ac:dyDescent="0.25">
      <c r="A262" s="23" t="s">
        <v>1099</v>
      </c>
      <c r="B262" s="23" t="s">
        <v>1056</v>
      </c>
      <c r="C262" s="23" t="s">
        <v>176</v>
      </c>
      <c r="D262" s="23" t="s">
        <v>325</v>
      </c>
      <c r="E262" s="23" t="s">
        <v>326</v>
      </c>
      <c r="F262">
        <v>0.10400000000000001</v>
      </c>
      <c r="G262" s="23" t="s">
        <v>177</v>
      </c>
      <c r="H262">
        <v>0</v>
      </c>
      <c r="I262">
        <v>0</v>
      </c>
      <c r="J262" s="10">
        <v>-6.6613381477509392E-16</v>
      </c>
      <c r="K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262">
        <v>0</v>
      </c>
      <c r="M2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262">
        <v>1575</v>
      </c>
      <c r="O262" s="23" t="s">
        <v>327</v>
      </c>
      <c r="P262">
        <v>163.80000000000001</v>
      </c>
      <c r="Q262" s="23" t="s">
        <v>179</v>
      </c>
    </row>
    <row r="263" spans="1:17" x14ac:dyDescent="0.25">
      <c r="A263" s="23" t="s">
        <v>1055</v>
      </c>
      <c r="B263" s="23" t="s">
        <v>1056</v>
      </c>
      <c r="C263" s="23" t="s">
        <v>176</v>
      </c>
      <c r="D263" s="23" t="s">
        <v>150</v>
      </c>
      <c r="E263" s="23" t="s">
        <v>151</v>
      </c>
      <c r="F263">
        <v>1</v>
      </c>
      <c r="G263" s="23" t="s">
        <v>177</v>
      </c>
      <c r="H263">
        <v>0</v>
      </c>
      <c r="I263">
        <v>5</v>
      </c>
      <c r="J263" s="10">
        <v>0</v>
      </c>
      <c r="K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63">
        <v>5</v>
      </c>
      <c r="M2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63">
        <v>1147</v>
      </c>
      <c r="O263" s="23" t="s">
        <v>673</v>
      </c>
      <c r="P263">
        <v>1147</v>
      </c>
      <c r="Q263" s="23" t="s">
        <v>185</v>
      </c>
    </row>
    <row r="264" spans="1:17" x14ac:dyDescent="0.25">
      <c r="A264" s="23" t="s">
        <v>1055</v>
      </c>
      <c r="B264" s="23" t="s">
        <v>1056</v>
      </c>
      <c r="C264" s="23" t="s">
        <v>176</v>
      </c>
      <c r="D264" s="23" t="s">
        <v>325</v>
      </c>
      <c r="E264" s="23" t="s">
        <v>326</v>
      </c>
      <c r="F264">
        <v>0.10400000000000001</v>
      </c>
      <c r="G264" s="23" t="s">
        <v>177</v>
      </c>
      <c r="H264">
        <v>0</v>
      </c>
      <c r="I264">
        <v>0</v>
      </c>
      <c r="J264" s="10">
        <v>-6.6613381477509392E-16</v>
      </c>
      <c r="K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264">
        <v>0</v>
      </c>
      <c r="M2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264">
        <v>1575</v>
      </c>
      <c r="O264" s="23" t="s">
        <v>327</v>
      </c>
      <c r="P264">
        <v>163.80000000000001</v>
      </c>
      <c r="Q264" s="23" t="s">
        <v>179</v>
      </c>
    </row>
    <row r="265" spans="1:17" x14ac:dyDescent="0.25">
      <c r="A265" s="23" t="s">
        <v>1100</v>
      </c>
      <c r="B265" s="23" t="s">
        <v>1101</v>
      </c>
      <c r="C265" s="23" t="s">
        <v>176</v>
      </c>
      <c r="D265" s="23" t="s">
        <v>325</v>
      </c>
      <c r="E265" s="23" t="s">
        <v>326</v>
      </c>
      <c r="F265">
        <v>0.254</v>
      </c>
      <c r="G265" s="23" t="s">
        <v>177</v>
      </c>
      <c r="H265">
        <v>0</v>
      </c>
      <c r="I265">
        <v>0</v>
      </c>
      <c r="J265" s="10">
        <v>-6.6613381477509392E-16</v>
      </c>
      <c r="K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265">
        <v>0</v>
      </c>
      <c r="M2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265">
        <v>1575</v>
      </c>
      <c r="O265" s="23" t="s">
        <v>327</v>
      </c>
      <c r="P265">
        <v>400.05</v>
      </c>
      <c r="Q265" s="23" t="s">
        <v>179</v>
      </c>
    </row>
    <row r="266" spans="1:17" x14ac:dyDescent="0.25">
      <c r="A266" s="23" t="s">
        <v>1147</v>
      </c>
      <c r="B266" s="23" t="s">
        <v>1145</v>
      </c>
      <c r="C266" s="23" t="s">
        <v>176</v>
      </c>
      <c r="D266" s="23" t="s">
        <v>150</v>
      </c>
      <c r="E266" s="23" t="s">
        <v>151</v>
      </c>
      <c r="F266">
        <v>1.3</v>
      </c>
      <c r="G266" s="23" t="s">
        <v>177</v>
      </c>
      <c r="H266">
        <v>0</v>
      </c>
      <c r="I266">
        <v>5</v>
      </c>
      <c r="J266" s="10">
        <v>0</v>
      </c>
      <c r="K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66">
        <v>5</v>
      </c>
      <c r="M2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66">
        <v>1147</v>
      </c>
      <c r="O266" s="23" t="s">
        <v>673</v>
      </c>
      <c r="P266">
        <v>1491.1000000000001</v>
      </c>
      <c r="Q266" s="23" t="s">
        <v>185</v>
      </c>
    </row>
    <row r="267" spans="1:17" x14ac:dyDescent="0.25">
      <c r="A267" s="23" t="s">
        <v>1100</v>
      </c>
      <c r="B267" s="23" t="s">
        <v>1101</v>
      </c>
      <c r="C267" s="23" t="s">
        <v>176</v>
      </c>
      <c r="D267" s="23" t="s">
        <v>17</v>
      </c>
      <c r="E267" s="23" t="s">
        <v>18</v>
      </c>
      <c r="F267">
        <v>1</v>
      </c>
      <c r="G267" s="23" t="s">
        <v>177</v>
      </c>
      <c r="H267">
        <v>0</v>
      </c>
      <c r="I267">
        <v>7</v>
      </c>
      <c r="J267" s="10">
        <v>10</v>
      </c>
      <c r="K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67">
        <v>50</v>
      </c>
      <c r="M2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">
        <v>839.2</v>
      </c>
      <c r="O267" s="23" t="s">
        <v>236</v>
      </c>
      <c r="P267">
        <v>839.2</v>
      </c>
      <c r="Q267" s="23" t="s">
        <v>222</v>
      </c>
    </row>
    <row r="268" spans="1:17" x14ac:dyDescent="0.25">
      <c r="A268" s="23" t="s">
        <v>1055</v>
      </c>
      <c r="B268" s="23" t="s">
        <v>1056</v>
      </c>
      <c r="C268" s="23" t="s">
        <v>176</v>
      </c>
      <c r="D268" s="23" t="s">
        <v>21</v>
      </c>
      <c r="E268" s="23" t="s">
        <v>22</v>
      </c>
      <c r="F268">
        <v>5</v>
      </c>
      <c r="G268" s="23" t="s">
        <v>180</v>
      </c>
      <c r="H268">
        <v>0</v>
      </c>
      <c r="I268">
        <v>100</v>
      </c>
      <c r="J268" s="10">
        <v>105.5</v>
      </c>
      <c r="K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8">
        <v>0</v>
      </c>
      <c r="M2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">
        <v>131.25</v>
      </c>
      <c r="O268" s="23" t="s">
        <v>827</v>
      </c>
      <c r="P268">
        <v>656.25</v>
      </c>
      <c r="Q268" s="23" t="s">
        <v>222</v>
      </c>
    </row>
    <row r="269" spans="1:17" x14ac:dyDescent="0.25">
      <c r="A269" s="23" t="s">
        <v>1100</v>
      </c>
      <c r="B269" s="23" t="s">
        <v>1101</v>
      </c>
      <c r="C269" s="23" t="s">
        <v>176</v>
      </c>
      <c r="D269" s="23" t="s">
        <v>21</v>
      </c>
      <c r="E269" s="23" t="s">
        <v>22</v>
      </c>
      <c r="F269">
        <v>8</v>
      </c>
      <c r="G269" s="23" t="s">
        <v>180</v>
      </c>
      <c r="H269">
        <v>0</v>
      </c>
      <c r="I269">
        <v>100</v>
      </c>
      <c r="J269" s="10">
        <v>105.5</v>
      </c>
      <c r="K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9">
        <v>0</v>
      </c>
      <c r="M2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">
        <v>131.25</v>
      </c>
      <c r="O269" s="23" t="s">
        <v>827</v>
      </c>
      <c r="P269">
        <v>1050</v>
      </c>
      <c r="Q269" s="23" t="s">
        <v>222</v>
      </c>
    </row>
    <row r="270" spans="1:17" x14ac:dyDescent="0.25">
      <c r="A270" s="23" t="s">
        <v>1144</v>
      </c>
      <c r="B270" s="23" t="s">
        <v>1145</v>
      </c>
      <c r="C270" s="23" t="s">
        <v>176</v>
      </c>
      <c r="D270" s="23" t="s">
        <v>21</v>
      </c>
      <c r="E270" s="23" t="s">
        <v>22</v>
      </c>
      <c r="F270">
        <v>4</v>
      </c>
      <c r="G270" s="23" t="s">
        <v>180</v>
      </c>
      <c r="H270">
        <v>0</v>
      </c>
      <c r="I270">
        <v>100</v>
      </c>
      <c r="J270" s="10">
        <v>105.5</v>
      </c>
      <c r="K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70">
        <v>0</v>
      </c>
      <c r="M2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">
        <v>131.25</v>
      </c>
      <c r="O270" s="23" t="s">
        <v>827</v>
      </c>
      <c r="P270">
        <v>525</v>
      </c>
      <c r="Q270" s="23" t="s">
        <v>222</v>
      </c>
    </row>
    <row r="271" spans="1:17" x14ac:dyDescent="0.25">
      <c r="A271" s="23" t="s">
        <v>1147</v>
      </c>
      <c r="B271" s="23" t="s">
        <v>1145</v>
      </c>
      <c r="C271" s="23" t="s">
        <v>176</v>
      </c>
      <c r="D271" s="23" t="s">
        <v>1136</v>
      </c>
      <c r="E271" s="23" t="s">
        <v>1137</v>
      </c>
      <c r="F271">
        <v>3</v>
      </c>
      <c r="G271" s="23" t="s">
        <v>177</v>
      </c>
      <c r="H271">
        <v>0</v>
      </c>
      <c r="I271">
        <v>0</v>
      </c>
      <c r="J271" s="10">
        <v>0</v>
      </c>
      <c r="K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271">
        <v>200</v>
      </c>
      <c r="M2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">
        <v>12</v>
      </c>
      <c r="O271" s="23" t="s">
        <v>242</v>
      </c>
      <c r="P271">
        <v>36</v>
      </c>
      <c r="Q271" s="23" t="s">
        <v>181</v>
      </c>
    </row>
    <row r="272" spans="1:17" x14ac:dyDescent="0.25">
      <c r="A272" s="23" t="s">
        <v>1100</v>
      </c>
      <c r="B272" s="23" t="s">
        <v>1101</v>
      </c>
      <c r="C272" s="23" t="s">
        <v>176</v>
      </c>
      <c r="D272" s="23" t="s">
        <v>150</v>
      </c>
      <c r="E272" s="23" t="s">
        <v>151</v>
      </c>
      <c r="F272">
        <v>1</v>
      </c>
      <c r="G272" s="23" t="s">
        <v>177</v>
      </c>
      <c r="H272">
        <v>0</v>
      </c>
      <c r="I272">
        <v>5</v>
      </c>
      <c r="J272" s="10">
        <v>0</v>
      </c>
      <c r="K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72">
        <v>5</v>
      </c>
      <c r="M2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72">
        <v>1147</v>
      </c>
      <c r="O272" s="23" t="s">
        <v>673</v>
      </c>
      <c r="P272">
        <v>1147</v>
      </c>
      <c r="Q272" s="23" t="s">
        <v>185</v>
      </c>
    </row>
    <row r="273" spans="1:17" x14ac:dyDescent="0.25">
      <c r="A273" s="23" t="s">
        <v>1147</v>
      </c>
      <c r="B273" s="23" t="s">
        <v>1145</v>
      </c>
      <c r="C273" s="23" t="s">
        <v>176</v>
      </c>
      <c r="D273" s="23" t="s">
        <v>17</v>
      </c>
      <c r="E273" s="23" t="s">
        <v>18</v>
      </c>
      <c r="F273">
        <v>1</v>
      </c>
      <c r="G273" s="23" t="s">
        <v>177</v>
      </c>
      <c r="H273">
        <v>0</v>
      </c>
      <c r="I273">
        <v>7</v>
      </c>
      <c r="J273" s="10">
        <v>10</v>
      </c>
      <c r="K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73">
        <v>50</v>
      </c>
      <c r="M2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">
        <v>839.2</v>
      </c>
      <c r="O273" s="23" t="s">
        <v>236</v>
      </c>
      <c r="P273">
        <v>839.2</v>
      </c>
      <c r="Q273" s="23" t="s">
        <v>222</v>
      </c>
    </row>
    <row r="274" spans="1:17" x14ac:dyDescent="0.25">
      <c r="A274" s="23" t="s">
        <v>1148</v>
      </c>
      <c r="B274" s="23" t="s">
        <v>1054</v>
      </c>
      <c r="C274" s="23" t="s">
        <v>176</v>
      </c>
      <c r="D274" s="23" t="s">
        <v>17</v>
      </c>
      <c r="E274" s="23" t="s">
        <v>18</v>
      </c>
      <c r="F274">
        <v>1</v>
      </c>
      <c r="G274" s="23" t="s">
        <v>177</v>
      </c>
      <c r="H274">
        <v>0</v>
      </c>
      <c r="I274">
        <v>7</v>
      </c>
      <c r="J274" s="10">
        <v>10</v>
      </c>
      <c r="K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74">
        <v>50</v>
      </c>
      <c r="M2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">
        <v>839.2</v>
      </c>
      <c r="O274" s="23" t="s">
        <v>236</v>
      </c>
      <c r="P274">
        <v>839.2</v>
      </c>
      <c r="Q274" s="23" t="s">
        <v>222</v>
      </c>
    </row>
    <row r="275" spans="1:17" x14ac:dyDescent="0.25">
      <c r="A275" s="23" t="s">
        <v>1180</v>
      </c>
      <c r="B275" s="23" t="s">
        <v>1181</v>
      </c>
      <c r="C275" s="23" t="s">
        <v>176</v>
      </c>
      <c r="D275" s="23" t="s">
        <v>17</v>
      </c>
      <c r="E275" s="23" t="s">
        <v>18</v>
      </c>
      <c r="F275">
        <v>1</v>
      </c>
      <c r="G275" s="23" t="s">
        <v>177</v>
      </c>
      <c r="H275">
        <v>0</v>
      </c>
      <c r="I275">
        <v>7</v>
      </c>
      <c r="J275" s="10">
        <v>10</v>
      </c>
      <c r="K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75">
        <v>50</v>
      </c>
      <c r="M2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">
        <v>839.2</v>
      </c>
      <c r="O275" s="23" t="s">
        <v>236</v>
      </c>
      <c r="P275">
        <v>839.2</v>
      </c>
      <c r="Q275" s="23" t="s">
        <v>222</v>
      </c>
    </row>
    <row r="276" spans="1:17" x14ac:dyDescent="0.25">
      <c r="A276" s="23" t="s">
        <v>1150</v>
      </c>
      <c r="B276" s="23" t="s">
        <v>1145</v>
      </c>
      <c r="C276" s="23" t="s">
        <v>176</v>
      </c>
      <c r="D276" s="23" t="s">
        <v>30</v>
      </c>
      <c r="E276" s="23" t="s">
        <v>31</v>
      </c>
      <c r="F276">
        <v>43</v>
      </c>
      <c r="G276" s="23" t="s">
        <v>177</v>
      </c>
      <c r="H276">
        <v>0</v>
      </c>
      <c r="I276">
        <v>4500</v>
      </c>
      <c r="J276" s="10">
        <v>2426</v>
      </c>
      <c r="K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276">
        <v>0</v>
      </c>
      <c r="M2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">
        <v>1</v>
      </c>
      <c r="O276" s="23"/>
      <c r="P276">
        <v>43</v>
      </c>
      <c r="Q276" s="23" t="s">
        <v>181</v>
      </c>
    </row>
    <row r="277" spans="1:17" x14ac:dyDescent="0.25">
      <c r="A277" s="23" t="s">
        <v>1150</v>
      </c>
      <c r="B277" s="23" t="s">
        <v>1145</v>
      </c>
      <c r="C277" s="23" t="s">
        <v>176</v>
      </c>
      <c r="D277" s="23" t="s">
        <v>150</v>
      </c>
      <c r="E277" s="23" t="s">
        <v>151</v>
      </c>
      <c r="F277">
        <v>1.3</v>
      </c>
      <c r="G277" s="23" t="s">
        <v>177</v>
      </c>
      <c r="H277">
        <v>0</v>
      </c>
      <c r="I277">
        <v>5</v>
      </c>
      <c r="J277" s="10">
        <v>0</v>
      </c>
      <c r="K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277">
        <v>5</v>
      </c>
      <c r="M2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277">
        <v>1147</v>
      </c>
      <c r="O277" s="23" t="s">
        <v>673</v>
      </c>
      <c r="P277">
        <v>1491.1000000000001</v>
      </c>
      <c r="Q277" s="23" t="s">
        <v>185</v>
      </c>
    </row>
    <row r="278" spans="1:17" x14ac:dyDescent="0.25">
      <c r="A278" s="23" t="s">
        <v>1150</v>
      </c>
      <c r="B278" s="23" t="s">
        <v>1145</v>
      </c>
      <c r="C278" s="23" t="s">
        <v>176</v>
      </c>
      <c r="D278" s="23" t="s">
        <v>17</v>
      </c>
      <c r="E278" s="23" t="s">
        <v>18</v>
      </c>
      <c r="F278">
        <v>1</v>
      </c>
      <c r="G278" s="23" t="s">
        <v>177</v>
      </c>
      <c r="H278">
        <v>0</v>
      </c>
      <c r="I278">
        <v>7</v>
      </c>
      <c r="J278" s="10">
        <v>10</v>
      </c>
      <c r="K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278">
        <v>50</v>
      </c>
      <c r="M2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">
        <v>839.2</v>
      </c>
      <c r="O278" s="23" t="s">
        <v>236</v>
      </c>
      <c r="P278">
        <v>839.2</v>
      </c>
      <c r="Q278" s="23" t="s">
        <v>222</v>
      </c>
    </row>
    <row r="279" spans="1:17" x14ac:dyDescent="0.25">
      <c r="A279" s="23" t="s">
        <v>1150</v>
      </c>
      <c r="B279" s="23" t="s">
        <v>1145</v>
      </c>
      <c r="C279" s="23" t="s">
        <v>176</v>
      </c>
      <c r="D279" s="23" t="s">
        <v>21</v>
      </c>
      <c r="E279" s="23" t="s">
        <v>22</v>
      </c>
      <c r="F279">
        <v>4</v>
      </c>
      <c r="G279" s="23" t="s">
        <v>180</v>
      </c>
      <c r="H279">
        <v>0</v>
      </c>
      <c r="I279">
        <v>100</v>
      </c>
      <c r="J279" s="10">
        <v>105.5</v>
      </c>
      <c r="K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79">
        <v>0</v>
      </c>
      <c r="M2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">
        <v>131.25</v>
      </c>
      <c r="O279" s="23" t="s">
        <v>827</v>
      </c>
      <c r="P279">
        <v>525</v>
      </c>
      <c r="Q279" s="23" t="s">
        <v>222</v>
      </c>
    </row>
    <row r="280" spans="1:17" x14ac:dyDescent="0.25">
      <c r="A280" s="23" t="s">
        <v>1098</v>
      </c>
      <c r="B280" s="23" t="s">
        <v>1053</v>
      </c>
      <c r="C280" s="23" t="s">
        <v>198</v>
      </c>
      <c r="D280" s="23" t="s">
        <v>497</v>
      </c>
      <c r="E280" s="23" t="s">
        <v>498</v>
      </c>
      <c r="F280">
        <v>1</v>
      </c>
      <c r="G280" s="23" t="s">
        <v>177</v>
      </c>
      <c r="H280">
        <v>0</v>
      </c>
      <c r="I280">
        <v>3</v>
      </c>
      <c r="J280" s="10">
        <v>8</v>
      </c>
      <c r="K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80">
        <v>0</v>
      </c>
      <c r="M2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80" s="23" t="s">
        <v>714</v>
      </c>
      <c r="Q280" s="23" t="s">
        <v>761</v>
      </c>
    </row>
    <row r="281" spans="1:17" x14ac:dyDescent="0.25">
      <c r="A281" s="23" t="s">
        <v>1062</v>
      </c>
      <c r="B281" s="23" t="s">
        <v>1053</v>
      </c>
      <c r="C281" s="23" t="s">
        <v>176</v>
      </c>
      <c r="D281" s="23" t="s">
        <v>368</v>
      </c>
      <c r="E281" s="23" t="s">
        <v>369</v>
      </c>
      <c r="F281">
        <v>46</v>
      </c>
      <c r="G281" s="23" t="s">
        <v>177</v>
      </c>
      <c r="H281">
        <v>0</v>
      </c>
      <c r="I281">
        <v>1200</v>
      </c>
      <c r="J281" s="10">
        <v>196</v>
      </c>
      <c r="K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81">
        <v>0</v>
      </c>
      <c r="M2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">
        <v>12.5</v>
      </c>
      <c r="O281" s="23" t="s">
        <v>370</v>
      </c>
      <c r="P281">
        <v>575</v>
      </c>
      <c r="Q281" s="23" t="s">
        <v>181</v>
      </c>
    </row>
    <row r="282" spans="1:17" x14ac:dyDescent="0.25">
      <c r="A282" s="23" t="s">
        <v>1062</v>
      </c>
      <c r="B282" s="23" t="s">
        <v>1053</v>
      </c>
      <c r="C282" s="23" t="s">
        <v>176</v>
      </c>
      <c r="D282" s="23" t="s">
        <v>899</v>
      </c>
      <c r="E282" s="23" t="s">
        <v>900</v>
      </c>
      <c r="F282">
        <v>1</v>
      </c>
      <c r="G282" s="23" t="s">
        <v>177</v>
      </c>
      <c r="H282">
        <v>0</v>
      </c>
      <c r="I282">
        <v>0</v>
      </c>
      <c r="J282" s="10">
        <v>-1.7763568394002505E-15</v>
      </c>
      <c r="K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282">
        <v>10</v>
      </c>
      <c r="M2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">
        <v>255.55</v>
      </c>
      <c r="O282" s="23" t="s">
        <v>901</v>
      </c>
      <c r="P282">
        <v>255.55</v>
      </c>
      <c r="Q282" s="23" t="s">
        <v>184</v>
      </c>
    </row>
    <row r="283" spans="1:17" x14ac:dyDescent="0.25">
      <c r="A283" s="23" t="s">
        <v>1062</v>
      </c>
      <c r="B283" s="23" t="s">
        <v>1053</v>
      </c>
      <c r="C283" s="23" t="s">
        <v>176</v>
      </c>
      <c r="D283" s="23" t="s">
        <v>545</v>
      </c>
      <c r="E283" s="23" t="s">
        <v>546</v>
      </c>
      <c r="F283">
        <v>4</v>
      </c>
      <c r="G283" s="23" t="s">
        <v>177</v>
      </c>
      <c r="H283">
        <v>0</v>
      </c>
      <c r="I283">
        <v>1000</v>
      </c>
      <c r="J283" s="10">
        <v>0</v>
      </c>
      <c r="K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283">
        <v>0</v>
      </c>
      <c r="M2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">
        <v>0.64</v>
      </c>
      <c r="O283" s="23" t="s">
        <v>242</v>
      </c>
      <c r="P283">
        <v>2.56</v>
      </c>
      <c r="Q283" s="23" t="s">
        <v>181</v>
      </c>
    </row>
    <row r="284" spans="1:17" x14ac:dyDescent="0.25">
      <c r="A284" s="23" t="s">
        <v>1098</v>
      </c>
      <c r="B284" s="23" t="s">
        <v>1053</v>
      </c>
      <c r="C284" s="23" t="s">
        <v>176</v>
      </c>
      <c r="D284" s="23" t="s">
        <v>545</v>
      </c>
      <c r="E284" s="23" t="s">
        <v>546</v>
      </c>
      <c r="F284">
        <v>4</v>
      </c>
      <c r="G284" s="23" t="s">
        <v>177</v>
      </c>
      <c r="H284">
        <v>0</v>
      </c>
      <c r="I284">
        <v>1000</v>
      </c>
      <c r="J284" s="10">
        <v>0</v>
      </c>
      <c r="K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284">
        <v>0</v>
      </c>
      <c r="M2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">
        <v>0.64</v>
      </c>
      <c r="O284" s="23" t="s">
        <v>242</v>
      </c>
      <c r="P284">
        <v>2.56</v>
      </c>
      <c r="Q284" s="23" t="s">
        <v>181</v>
      </c>
    </row>
    <row r="285" spans="1:17" x14ac:dyDescent="0.25">
      <c r="A285" s="23" t="s">
        <v>1098</v>
      </c>
      <c r="B285" s="23" t="s">
        <v>1053</v>
      </c>
      <c r="C285" s="23" t="s">
        <v>176</v>
      </c>
      <c r="D285" s="23" t="s">
        <v>587</v>
      </c>
      <c r="E285" s="23" t="s">
        <v>588</v>
      </c>
      <c r="F285">
        <v>1</v>
      </c>
      <c r="G285" s="23" t="s">
        <v>177</v>
      </c>
      <c r="H285">
        <v>0</v>
      </c>
      <c r="I285">
        <v>0</v>
      </c>
      <c r="J285" s="10">
        <v>0</v>
      </c>
      <c r="K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285">
        <v>0</v>
      </c>
      <c r="M2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285">
        <v>60</v>
      </c>
      <c r="O285" s="23" t="s">
        <v>429</v>
      </c>
      <c r="P285">
        <v>60</v>
      </c>
      <c r="Q285" s="23" t="s">
        <v>178</v>
      </c>
    </row>
    <row r="286" spans="1:17" x14ac:dyDescent="0.25">
      <c r="A286" s="23" t="s">
        <v>1142</v>
      </c>
      <c r="B286" s="23" t="s">
        <v>1054</v>
      </c>
      <c r="C286" s="23" t="s">
        <v>198</v>
      </c>
      <c r="D286" s="23" t="s">
        <v>497</v>
      </c>
      <c r="E286" s="23" t="s">
        <v>498</v>
      </c>
      <c r="F286">
        <v>1</v>
      </c>
      <c r="G286" s="23" t="s">
        <v>177</v>
      </c>
      <c r="H286">
        <v>0</v>
      </c>
      <c r="I286">
        <v>3</v>
      </c>
      <c r="J286" s="10">
        <v>8</v>
      </c>
      <c r="K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86">
        <v>0</v>
      </c>
      <c r="M2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86" s="23" t="s">
        <v>714</v>
      </c>
      <c r="Q286" s="23" t="s">
        <v>761</v>
      </c>
    </row>
    <row r="287" spans="1:17" x14ac:dyDescent="0.25">
      <c r="A287" s="23" t="s">
        <v>1142</v>
      </c>
      <c r="B287" s="23" t="s">
        <v>1054</v>
      </c>
      <c r="C287" s="23" t="s">
        <v>176</v>
      </c>
      <c r="D287" s="23" t="s">
        <v>368</v>
      </c>
      <c r="E287" s="23" t="s">
        <v>369</v>
      </c>
      <c r="F287">
        <v>49</v>
      </c>
      <c r="G287" s="23" t="s">
        <v>177</v>
      </c>
      <c r="H287">
        <v>0</v>
      </c>
      <c r="I287">
        <v>1200</v>
      </c>
      <c r="J287" s="10">
        <v>196</v>
      </c>
      <c r="K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87">
        <v>0</v>
      </c>
      <c r="M2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">
        <v>12.5</v>
      </c>
      <c r="O287" s="23" t="s">
        <v>370</v>
      </c>
      <c r="P287">
        <v>612.5</v>
      </c>
      <c r="Q287" s="23" t="s">
        <v>181</v>
      </c>
    </row>
    <row r="288" spans="1:17" x14ac:dyDescent="0.25">
      <c r="A288" s="23" t="s">
        <v>1096</v>
      </c>
      <c r="B288" s="23" t="s">
        <v>1053</v>
      </c>
      <c r="C288" s="23" t="s">
        <v>176</v>
      </c>
      <c r="D288" s="23" t="s">
        <v>368</v>
      </c>
      <c r="E288" s="23" t="s">
        <v>369</v>
      </c>
      <c r="F288">
        <v>46</v>
      </c>
      <c r="G288" s="23" t="s">
        <v>177</v>
      </c>
      <c r="H288">
        <v>0</v>
      </c>
      <c r="I288">
        <v>1200</v>
      </c>
      <c r="J288" s="10">
        <v>196</v>
      </c>
      <c r="K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88">
        <v>0</v>
      </c>
      <c r="M2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">
        <v>12.5</v>
      </c>
      <c r="O288" s="23" t="s">
        <v>370</v>
      </c>
      <c r="P288">
        <v>575</v>
      </c>
      <c r="Q288" s="23" t="s">
        <v>181</v>
      </c>
    </row>
    <row r="289" spans="1:17" x14ac:dyDescent="0.25">
      <c r="A289" s="23" t="s">
        <v>1149</v>
      </c>
      <c r="B289" s="23" t="s">
        <v>1145</v>
      </c>
      <c r="C289" s="23" t="s">
        <v>198</v>
      </c>
      <c r="D289" s="23" t="s">
        <v>497</v>
      </c>
      <c r="E289" s="23" t="s">
        <v>498</v>
      </c>
      <c r="F289">
        <v>1</v>
      </c>
      <c r="G289" s="23" t="s">
        <v>177</v>
      </c>
      <c r="H289">
        <v>0</v>
      </c>
      <c r="I289">
        <v>3</v>
      </c>
      <c r="J289" s="10">
        <v>8</v>
      </c>
      <c r="K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89">
        <v>0</v>
      </c>
      <c r="M2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89" s="23" t="s">
        <v>714</v>
      </c>
      <c r="Q289" s="23" t="s">
        <v>761</v>
      </c>
    </row>
    <row r="290" spans="1:17" x14ac:dyDescent="0.25">
      <c r="A290" s="23" t="s">
        <v>1146</v>
      </c>
      <c r="B290" s="23" t="s">
        <v>1145</v>
      </c>
      <c r="C290" s="23" t="s">
        <v>198</v>
      </c>
      <c r="D290" s="23" t="s">
        <v>497</v>
      </c>
      <c r="E290" s="23" t="s">
        <v>498</v>
      </c>
      <c r="F290">
        <v>1</v>
      </c>
      <c r="G290" s="23" t="s">
        <v>177</v>
      </c>
      <c r="H290">
        <v>0</v>
      </c>
      <c r="I290">
        <v>3</v>
      </c>
      <c r="J290" s="10">
        <v>8</v>
      </c>
      <c r="K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0">
        <v>0</v>
      </c>
      <c r="M2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90" s="23" t="s">
        <v>714</v>
      </c>
      <c r="Q290" s="23" t="s">
        <v>761</v>
      </c>
    </row>
    <row r="291" spans="1:17" x14ac:dyDescent="0.25">
      <c r="A291" s="23" t="s">
        <v>1144</v>
      </c>
      <c r="B291" s="23" t="s">
        <v>1145</v>
      </c>
      <c r="C291" s="23" t="s">
        <v>198</v>
      </c>
      <c r="D291" s="23" t="s">
        <v>497</v>
      </c>
      <c r="E291" s="23" t="s">
        <v>498</v>
      </c>
      <c r="F291">
        <v>1</v>
      </c>
      <c r="G291" s="23" t="s">
        <v>177</v>
      </c>
      <c r="H291">
        <v>0</v>
      </c>
      <c r="I291">
        <v>3</v>
      </c>
      <c r="J291" s="10">
        <v>8</v>
      </c>
      <c r="K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1">
        <v>0</v>
      </c>
      <c r="M2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91" s="23" t="s">
        <v>714</v>
      </c>
      <c r="Q291" s="23" t="s">
        <v>761</v>
      </c>
    </row>
    <row r="292" spans="1:17" x14ac:dyDescent="0.25">
      <c r="A292" s="23" t="s">
        <v>1149</v>
      </c>
      <c r="B292" s="23" t="s">
        <v>1145</v>
      </c>
      <c r="C292" s="23" t="s">
        <v>176</v>
      </c>
      <c r="D292" s="23" t="s">
        <v>368</v>
      </c>
      <c r="E292" s="23" t="s">
        <v>369</v>
      </c>
      <c r="F292">
        <v>49</v>
      </c>
      <c r="G292" s="23" t="s">
        <v>177</v>
      </c>
      <c r="H292">
        <v>0</v>
      </c>
      <c r="I292">
        <v>1200</v>
      </c>
      <c r="J292" s="10">
        <v>196</v>
      </c>
      <c r="K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92">
        <v>0</v>
      </c>
      <c r="M2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">
        <v>12.5</v>
      </c>
      <c r="O292" s="23" t="s">
        <v>370</v>
      </c>
      <c r="P292">
        <v>612.5</v>
      </c>
      <c r="Q292" s="23" t="s">
        <v>181</v>
      </c>
    </row>
    <row r="293" spans="1:17" x14ac:dyDescent="0.25">
      <c r="A293" s="23" t="s">
        <v>1144</v>
      </c>
      <c r="B293" s="23" t="s">
        <v>1145</v>
      </c>
      <c r="C293" s="23" t="s">
        <v>176</v>
      </c>
      <c r="D293" s="23" t="s">
        <v>368</v>
      </c>
      <c r="E293" s="23" t="s">
        <v>369</v>
      </c>
      <c r="F293">
        <v>49</v>
      </c>
      <c r="G293" s="23" t="s">
        <v>177</v>
      </c>
      <c r="H293">
        <v>0</v>
      </c>
      <c r="I293">
        <v>1200</v>
      </c>
      <c r="J293" s="10">
        <v>196</v>
      </c>
      <c r="K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93">
        <v>0</v>
      </c>
      <c r="M2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">
        <v>12.5</v>
      </c>
      <c r="O293" s="23" t="s">
        <v>370</v>
      </c>
      <c r="P293">
        <v>612.5</v>
      </c>
      <c r="Q293" s="23" t="s">
        <v>181</v>
      </c>
    </row>
    <row r="294" spans="1:17" x14ac:dyDescent="0.25">
      <c r="A294" s="23" t="s">
        <v>1146</v>
      </c>
      <c r="B294" s="23" t="s">
        <v>1145</v>
      </c>
      <c r="C294" s="23" t="s">
        <v>176</v>
      </c>
      <c r="D294" s="23" t="s">
        <v>368</v>
      </c>
      <c r="E294" s="23" t="s">
        <v>369</v>
      </c>
      <c r="F294">
        <v>49</v>
      </c>
      <c r="G294" s="23" t="s">
        <v>177</v>
      </c>
      <c r="H294">
        <v>0</v>
      </c>
      <c r="I294">
        <v>1200</v>
      </c>
      <c r="J294" s="10">
        <v>196</v>
      </c>
      <c r="K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94">
        <v>0</v>
      </c>
      <c r="M2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">
        <v>12.5</v>
      </c>
      <c r="O294" s="23" t="s">
        <v>370</v>
      </c>
      <c r="P294">
        <v>612.5</v>
      </c>
      <c r="Q294" s="23" t="s">
        <v>181</v>
      </c>
    </row>
    <row r="295" spans="1:17" x14ac:dyDescent="0.25">
      <c r="A295" s="23" t="s">
        <v>1147</v>
      </c>
      <c r="B295" s="23" t="s">
        <v>1145</v>
      </c>
      <c r="C295" s="23" t="s">
        <v>198</v>
      </c>
      <c r="D295" s="23" t="s">
        <v>497</v>
      </c>
      <c r="E295" s="23" t="s">
        <v>498</v>
      </c>
      <c r="F295">
        <v>1</v>
      </c>
      <c r="G295" s="23" t="s">
        <v>177</v>
      </c>
      <c r="H295">
        <v>0</v>
      </c>
      <c r="I295">
        <v>3</v>
      </c>
      <c r="J295" s="10">
        <v>8</v>
      </c>
      <c r="K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5">
        <v>0</v>
      </c>
      <c r="M2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95" s="23" t="s">
        <v>714</v>
      </c>
      <c r="Q295" s="23" t="s">
        <v>761</v>
      </c>
    </row>
    <row r="296" spans="1:17" x14ac:dyDescent="0.25">
      <c r="A296" s="23" t="s">
        <v>1148</v>
      </c>
      <c r="B296" s="23" t="s">
        <v>1054</v>
      </c>
      <c r="C296" s="23" t="s">
        <v>198</v>
      </c>
      <c r="D296" s="23" t="s">
        <v>497</v>
      </c>
      <c r="E296" s="23" t="s">
        <v>498</v>
      </c>
      <c r="F296">
        <v>1</v>
      </c>
      <c r="G296" s="23" t="s">
        <v>177</v>
      </c>
      <c r="H296">
        <v>0</v>
      </c>
      <c r="I296">
        <v>3</v>
      </c>
      <c r="J296" s="10">
        <v>8</v>
      </c>
      <c r="K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6">
        <v>0</v>
      </c>
      <c r="M2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96" s="23" t="s">
        <v>714</v>
      </c>
      <c r="Q296" s="23" t="s">
        <v>761</v>
      </c>
    </row>
    <row r="297" spans="1:17" x14ac:dyDescent="0.25">
      <c r="A297" s="26" t="s">
        <v>1148</v>
      </c>
      <c r="B297" s="26" t="s">
        <v>1054</v>
      </c>
      <c r="C297" s="23" t="s">
        <v>176</v>
      </c>
      <c r="D297" s="26" t="s">
        <v>902</v>
      </c>
      <c r="E297" s="26" t="s">
        <v>903</v>
      </c>
      <c r="F297" s="13">
        <v>4</v>
      </c>
      <c r="G297" s="26" t="s">
        <v>177</v>
      </c>
      <c r="H297">
        <v>0</v>
      </c>
      <c r="I297">
        <v>102</v>
      </c>
      <c r="J297" s="10">
        <v>0</v>
      </c>
      <c r="K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297">
        <v>0</v>
      </c>
      <c r="M2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">
        <v>7</v>
      </c>
      <c r="O297" s="23"/>
      <c r="P297">
        <v>28</v>
      </c>
      <c r="Q297" s="23" t="s">
        <v>181</v>
      </c>
    </row>
    <row r="298" spans="1:17" x14ac:dyDescent="0.25">
      <c r="A298" s="23" t="s">
        <v>1100</v>
      </c>
      <c r="B298" s="23" t="s">
        <v>1101</v>
      </c>
      <c r="C298" s="23" t="s">
        <v>176</v>
      </c>
      <c r="D298" s="23" t="s">
        <v>894</v>
      </c>
      <c r="E298" s="23" t="s">
        <v>895</v>
      </c>
      <c r="F298">
        <v>0.05</v>
      </c>
      <c r="G298" s="23" t="s">
        <v>186</v>
      </c>
      <c r="H298">
        <v>0</v>
      </c>
      <c r="I298">
        <v>0</v>
      </c>
      <c r="J298" s="10">
        <v>-2.7755575615628914E-17</v>
      </c>
      <c r="K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298">
        <v>0</v>
      </c>
      <c r="M2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298">
        <v>142.5</v>
      </c>
      <c r="O298" s="23" t="s">
        <v>227</v>
      </c>
      <c r="P298">
        <v>7.125</v>
      </c>
      <c r="Q298" s="23" t="s">
        <v>184</v>
      </c>
    </row>
    <row r="299" spans="1:17" x14ac:dyDescent="0.25">
      <c r="A299" s="23" t="s">
        <v>1147</v>
      </c>
      <c r="B299" s="23" t="s">
        <v>1145</v>
      </c>
      <c r="C299" s="23" t="s">
        <v>176</v>
      </c>
      <c r="D299" s="23" t="s">
        <v>368</v>
      </c>
      <c r="E299" s="23" t="s">
        <v>369</v>
      </c>
      <c r="F299">
        <v>49</v>
      </c>
      <c r="G299" s="23" t="s">
        <v>177</v>
      </c>
      <c r="H299">
        <v>0</v>
      </c>
      <c r="I299">
        <v>1200</v>
      </c>
      <c r="J299" s="10">
        <v>196</v>
      </c>
      <c r="K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299">
        <v>0</v>
      </c>
      <c r="M2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">
        <v>12.5</v>
      </c>
      <c r="O299" s="23" t="s">
        <v>370</v>
      </c>
      <c r="P299">
        <v>612.5</v>
      </c>
      <c r="Q299" s="23" t="s">
        <v>181</v>
      </c>
    </row>
    <row r="300" spans="1:17" x14ac:dyDescent="0.25">
      <c r="A300" s="23" t="s">
        <v>1148</v>
      </c>
      <c r="B300" s="23" t="s">
        <v>1054</v>
      </c>
      <c r="C300" s="23" t="s">
        <v>176</v>
      </c>
      <c r="D300" s="23" t="s">
        <v>368</v>
      </c>
      <c r="E300" s="23" t="s">
        <v>369</v>
      </c>
      <c r="F300">
        <v>48</v>
      </c>
      <c r="G300" s="23" t="s">
        <v>177</v>
      </c>
      <c r="H300">
        <v>0</v>
      </c>
      <c r="I300">
        <v>1200</v>
      </c>
      <c r="J300" s="10">
        <v>196</v>
      </c>
      <c r="K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00">
        <v>0</v>
      </c>
      <c r="M3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">
        <v>12.5</v>
      </c>
      <c r="O300" s="23" t="s">
        <v>370</v>
      </c>
      <c r="P300">
        <v>600</v>
      </c>
      <c r="Q300" s="23" t="s">
        <v>181</v>
      </c>
    </row>
    <row r="301" spans="1:17" x14ac:dyDescent="0.25">
      <c r="A301" s="23" t="s">
        <v>1100</v>
      </c>
      <c r="B301" s="23" t="s">
        <v>1101</v>
      </c>
      <c r="C301" s="23" t="s">
        <v>176</v>
      </c>
      <c r="D301" s="23" t="s">
        <v>899</v>
      </c>
      <c r="E301" s="23" t="s">
        <v>900</v>
      </c>
      <c r="F301">
        <v>0.5</v>
      </c>
      <c r="G301" s="23" t="s">
        <v>177</v>
      </c>
      <c r="H301">
        <v>0</v>
      </c>
      <c r="I301">
        <v>0</v>
      </c>
      <c r="J301" s="10">
        <v>-1.7763568394002505E-15</v>
      </c>
      <c r="K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301">
        <v>10</v>
      </c>
      <c r="M3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">
        <v>255.55</v>
      </c>
      <c r="O301" s="23" t="s">
        <v>901</v>
      </c>
      <c r="P301">
        <v>127.77500000000001</v>
      </c>
      <c r="Q301" s="23" t="s">
        <v>184</v>
      </c>
    </row>
    <row r="302" spans="1:17" x14ac:dyDescent="0.25">
      <c r="A302" s="23" t="s">
        <v>1148</v>
      </c>
      <c r="B302" s="23" t="s">
        <v>1054</v>
      </c>
      <c r="C302" s="23" t="s">
        <v>176</v>
      </c>
      <c r="D302" s="23" t="s">
        <v>545</v>
      </c>
      <c r="E302" s="23" t="s">
        <v>546</v>
      </c>
      <c r="F302">
        <v>4</v>
      </c>
      <c r="G302" s="23" t="s">
        <v>177</v>
      </c>
      <c r="H302">
        <v>0</v>
      </c>
      <c r="I302">
        <v>1000</v>
      </c>
      <c r="J302" s="10">
        <v>0</v>
      </c>
      <c r="K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302">
        <v>0</v>
      </c>
      <c r="M3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">
        <v>0.64</v>
      </c>
      <c r="O302" s="23" t="s">
        <v>242</v>
      </c>
      <c r="P302">
        <v>2.56</v>
      </c>
      <c r="Q302" s="23" t="s">
        <v>181</v>
      </c>
    </row>
    <row r="303" spans="1:17" x14ac:dyDescent="0.25">
      <c r="A303" s="23" t="s">
        <v>1055</v>
      </c>
      <c r="B303" s="23" t="s">
        <v>1056</v>
      </c>
      <c r="C303" s="23" t="s">
        <v>176</v>
      </c>
      <c r="D303" s="23" t="s">
        <v>587</v>
      </c>
      <c r="E303" s="23" t="s">
        <v>588</v>
      </c>
      <c r="F303">
        <v>1</v>
      </c>
      <c r="G303" s="23" t="s">
        <v>177</v>
      </c>
      <c r="H303">
        <v>0</v>
      </c>
      <c r="I303">
        <v>0</v>
      </c>
      <c r="J303" s="10">
        <v>0</v>
      </c>
      <c r="K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03">
        <v>0</v>
      </c>
      <c r="M3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303">
        <v>60</v>
      </c>
      <c r="O303" s="23" t="s">
        <v>429</v>
      </c>
      <c r="P303">
        <v>60</v>
      </c>
      <c r="Q303" s="23" t="s">
        <v>178</v>
      </c>
    </row>
    <row r="304" spans="1:17" x14ac:dyDescent="0.25">
      <c r="A304" s="23" t="s">
        <v>1099</v>
      </c>
      <c r="B304" s="23" t="s">
        <v>1056</v>
      </c>
      <c r="C304" s="23" t="s">
        <v>176</v>
      </c>
      <c r="D304" s="23" t="s">
        <v>587</v>
      </c>
      <c r="E304" s="23" t="s">
        <v>588</v>
      </c>
      <c r="F304">
        <v>1</v>
      </c>
      <c r="G304" s="23" t="s">
        <v>177</v>
      </c>
      <c r="H304">
        <v>0</v>
      </c>
      <c r="I304">
        <v>0</v>
      </c>
      <c r="J304" s="10">
        <v>0</v>
      </c>
      <c r="K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04">
        <v>0</v>
      </c>
      <c r="M3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304">
        <v>60</v>
      </c>
      <c r="O304" s="23" t="s">
        <v>429</v>
      </c>
      <c r="P304">
        <v>60</v>
      </c>
      <c r="Q304" s="23" t="s">
        <v>178</v>
      </c>
    </row>
    <row r="305" spans="1:17" x14ac:dyDescent="0.25">
      <c r="A305" s="23" t="s">
        <v>1150</v>
      </c>
      <c r="B305" s="23" t="s">
        <v>1145</v>
      </c>
      <c r="C305" s="23" t="s">
        <v>176</v>
      </c>
      <c r="D305" s="23" t="s">
        <v>368</v>
      </c>
      <c r="E305" s="23" t="s">
        <v>369</v>
      </c>
      <c r="F305">
        <v>49</v>
      </c>
      <c r="G305" s="23" t="s">
        <v>177</v>
      </c>
      <c r="H305">
        <v>0</v>
      </c>
      <c r="I305">
        <v>1200</v>
      </c>
      <c r="J305" s="10">
        <v>196</v>
      </c>
      <c r="K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05">
        <v>0</v>
      </c>
      <c r="M3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">
        <v>12.5</v>
      </c>
      <c r="O305" s="23" t="s">
        <v>370</v>
      </c>
      <c r="P305">
        <v>612.5</v>
      </c>
      <c r="Q305" s="23" t="s">
        <v>181</v>
      </c>
    </row>
    <row r="306" spans="1:17" x14ac:dyDescent="0.25">
      <c r="A306" s="23" t="s">
        <v>1099</v>
      </c>
      <c r="B306" s="23" t="s">
        <v>1056</v>
      </c>
      <c r="C306" s="23" t="s">
        <v>198</v>
      </c>
      <c r="D306" s="23" t="s">
        <v>497</v>
      </c>
      <c r="E306" s="23" t="s">
        <v>498</v>
      </c>
      <c r="F306">
        <v>1</v>
      </c>
      <c r="G306" s="23" t="s">
        <v>177</v>
      </c>
      <c r="H306">
        <v>1</v>
      </c>
      <c r="I306">
        <v>3</v>
      </c>
      <c r="J306" s="10">
        <v>8</v>
      </c>
      <c r="K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06">
        <v>0</v>
      </c>
      <c r="M3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306" s="23" t="s">
        <v>714</v>
      </c>
      <c r="Q306" s="23" t="s">
        <v>761</v>
      </c>
    </row>
    <row r="307" spans="1:17" x14ac:dyDescent="0.25">
      <c r="A307" s="23" t="s">
        <v>1055</v>
      </c>
      <c r="B307" s="23" t="s">
        <v>1056</v>
      </c>
      <c r="C307" s="23" t="s">
        <v>176</v>
      </c>
      <c r="D307" s="23" t="s">
        <v>894</v>
      </c>
      <c r="E307" s="23" t="s">
        <v>895</v>
      </c>
      <c r="F307">
        <v>0.05</v>
      </c>
      <c r="G307" s="23" t="s">
        <v>186</v>
      </c>
      <c r="H307">
        <v>0</v>
      </c>
      <c r="I307">
        <v>0</v>
      </c>
      <c r="J307" s="10">
        <v>-2.7755575615628914E-17</v>
      </c>
      <c r="K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07">
        <v>0</v>
      </c>
      <c r="M3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07">
        <v>142.5</v>
      </c>
      <c r="O307" s="23" t="s">
        <v>227</v>
      </c>
      <c r="P307">
        <v>7.125</v>
      </c>
      <c r="Q307" s="23" t="s">
        <v>184</v>
      </c>
    </row>
    <row r="308" spans="1:17" x14ac:dyDescent="0.25">
      <c r="A308" s="23" t="s">
        <v>1148</v>
      </c>
      <c r="B308" s="23" t="s">
        <v>1054</v>
      </c>
      <c r="C308" s="23" t="s">
        <v>176</v>
      </c>
      <c r="D308" s="23" t="s">
        <v>894</v>
      </c>
      <c r="E308" s="23" t="s">
        <v>895</v>
      </c>
      <c r="F308">
        <v>0.05</v>
      </c>
      <c r="G308" s="23" t="s">
        <v>186</v>
      </c>
      <c r="H308">
        <v>0</v>
      </c>
      <c r="I308">
        <v>0</v>
      </c>
      <c r="J308" s="10">
        <v>-2.7755575615628914E-17</v>
      </c>
      <c r="K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1.37</v>
      </c>
      <c r="L308">
        <v>0</v>
      </c>
      <c r="M3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195.22500000000002</v>
      </c>
      <c r="N308">
        <v>142.5</v>
      </c>
      <c r="O308" s="23" t="s">
        <v>227</v>
      </c>
      <c r="P308">
        <v>7.125</v>
      </c>
      <c r="Q308" s="23" t="s">
        <v>184</v>
      </c>
    </row>
    <row r="309" spans="1:17" x14ac:dyDescent="0.25">
      <c r="A309" s="23" t="s">
        <v>1058</v>
      </c>
      <c r="B309" s="23" t="s">
        <v>1059</v>
      </c>
      <c r="C309" s="23" t="s">
        <v>176</v>
      </c>
      <c r="D309" s="23" t="s">
        <v>368</v>
      </c>
      <c r="E309" s="23" t="s">
        <v>369</v>
      </c>
      <c r="F309">
        <v>49</v>
      </c>
      <c r="G309" s="23" t="s">
        <v>177</v>
      </c>
      <c r="H309">
        <v>0</v>
      </c>
      <c r="I309">
        <v>1200</v>
      </c>
      <c r="J309" s="10">
        <v>196</v>
      </c>
      <c r="K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309">
        <v>0</v>
      </c>
      <c r="M3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">
        <v>12.5</v>
      </c>
      <c r="O309" s="23" t="s">
        <v>370</v>
      </c>
      <c r="P309">
        <v>612.5</v>
      </c>
      <c r="Q309" s="23" t="s">
        <v>181</v>
      </c>
    </row>
    <row r="310" spans="1:17" x14ac:dyDescent="0.25">
      <c r="A310" s="23" t="s">
        <v>1100</v>
      </c>
      <c r="B310" s="23" t="s">
        <v>1101</v>
      </c>
      <c r="C310" s="23" t="s">
        <v>176</v>
      </c>
      <c r="D310" s="23" t="s">
        <v>729</v>
      </c>
      <c r="E310" s="23" t="s">
        <v>730</v>
      </c>
      <c r="F310">
        <v>9</v>
      </c>
      <c r="G310" s="23" t="s">
        <v>180</v>
      </c>
      <c r="H310">
        <v>0</v>
      </c>
      <c r="I310">
        <v>0</v>
      </c>
      <c r="J310" s="10">
        <v>344</v>
      </c>
      <c r="K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10">
        <v>0</v>
      </c>
      <c r="M3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310">
        <v>20.420000000000002</v>
      </c>
      <c r="O310" s="23" t="s">
        <v>224</v>
      </c>
      <c r="P310">
        <v>183.78000000000003</v>
      </c>
      <c r="Q310" s="23" t="s">
        <v>182</v>
      </c>
    </row>
    <row r="311" spans="1:17" x14ac:dyDescent="0.25">
      <c r="A311" s="23" t="s">
        <v>1057</v>
      </c>
      <c r="B311" s="23" t="s">
        <v>1056</v>
      </c>
      <c r="C311" s="23" t="s">
        <v>176</v>
      </c>
      <c r="D311" s="23" t="s">
        <v>492</v>
      </c>
      <c r="E311" s="23" t="s">
        <v>493</v>
      </c>
      <c r="F311">
        <v>14</v>
      </c>
      <c r="G311" s="23" t="s">
        <v>180</v>
      </c>
      <c r="H311">
        <v>0</v>
      </c>
      <c r="I311">
        <v>0</v>
      </c>
      <c r="J311" s="10">
        <v>0</v>
      </c>
      <c r="K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11">
        <v>200</v>
      </c>
      <c r="M3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11">
        <v>4.01</v>
      </c>
      <c r="O311" s="23" t="s">
        <v>708</v>
      </c>
      <c r="P311">
        <v>56.14</v>
      </c>
      <c r="Q311" s="23" t="s">
        <v>185</v>
      </c>
    </row>
    <row r="312" spans="1:17" x14ac:dyDescent="0.25">
      <c r="A312" s="23" t="s">
        <v>1150</v>
      </c>
      <c r="B312" s="23" t="s">
        <v>1145</v>
      </c>
      <c r="C312" s="23" t="s">
        <v>176</v>
      </c>
      <c r="D312" s="23" t="s">
        <v>232</v>
      </c>
      <c r="E312" s="23" t="s">
        <v>233</v>
      </c>
      <c r="F312">
        <v>2</v>
      </c>
      <c r="G312" s="23" t="s">
        <v>177</v>
      </c>
      <c r="H312">
        <v>0</v>
      </c>
      <c r="I312">
        <v>239</v>
      </c>
      <c r="J312" s="10">
        <v>90</v>
      </c>
      <c r="K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12">
        <v>0</v>
      </c>
      <c r="M3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">
        <v>4</v>
      </c>
      <c r="O312" s="23" t="s">
        <v>221</v>
      </c>
      <c r="P312">
        <v>8</v>
      </c>
      <c r="Q312" s="23" t="s">
        <v>222</v>
      </c>
    </row>
    <row r="313" spans="1:17" x14ac:dyDescent="0.25">
      <c r="A313" s="23" t="s">
        <v>1150</v>
      </c>
      <c r="B313" s="23" t="s">
        <v>1145</v>
      </c>
      <c r="C313" s="23" t="s">
        <v>176</v>
      </c>
      <c r="D313" s="23" t="s">
        <v>15</v>
      </c>
      <c r="E313" s="23" t="s">
        <v>16</v>
      </c>
      <c r="F313">
        <v>1</v>
      </c>
      <c r="G313" s="23" t="s">
        <v>177</v>
      </c>
      <c r="H313">
        <v>0</v>
      </c>
      <c r="I313">
        <v>7</v>
      </c>
      <c r="J313" s="10">
        <v>10</v>
      </c>
      <c r="K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13">
        <v>0</v>
      </c>
      <c r="M3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313">
        <v>3383.99</v>
      </c>
      <c r="O313" s="23" t="s">
        <v>216</v>
      </c>
      <c r="P313">
        <v>3383.99</v>
      </c>
      <c r="Q313" s="23" t="s">
        <v>222</v>
      </c>
    </row>
    <row r="314" spans="1:17" x14ac:dyDescent="0.25">
      <c r="A314" s="23" t="s">
        <v>1149</v>
      </c>
      <c r="B314" s="23" t="s">
        <v>1145</v>
      </c>
      <c r="C314" s="23" t="s">
        <v>176</v>
      </c>
      <c r="D314" s="23" t="s">
        <v>492</v>
      </c>
      <c r="E314" s="23" t="s">
        <v>493</v>
      </c>
      <c r="F314">
        <v>14</v>
      </c>
      <c r="G314" s="23" t="s">
        <v>180</v>
      </c>
      <c r="H314">
        <v>0</v>
      </c>
      <c r="I314">
        <v>0</v>
      </c>
      <c r="J314" s="10">
        <v>0</v>
      </c>
      <c r="K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14">
        <v>200</v>
      </c>
      <c r="M3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14">
        <v>4.01</v>
      </c>
      <c r="O314" s="23" t="s">
        <v>708</v>
      </c>
      <c r="P314">
        <v>56.14</v>
      </c>
      <c r="Q314" s="23" t="s">
        <v>185</v>
      </c>
    </row>
    <row r="315" spans="1:17" x14ac:dyDescent="0.25">
      <c r="A315" s="23" t="s">
        <v>1146</v>
      </c>
      <c r="B315" s="23" t="s">
        <v>1145</v>
      </c>
      <c r="C315" s="23" t="s">
        <v>176</v>
      </c>
      <c r="D315" s="23" t="s">
        <v>492</v>
      </c>
      <c r="E315" s="23" t="s">
        <v>493</v>
      </c>
      <c r="F315">
        <v>14</v>
      </c>
      <c r="G315" s="23" t="s">
        <v>180</v>
      </c>
      <c r="H315">
        <v>0</v>
      </c>
      <c r="I315">
        <v>0</v>
      </c>
      <c r="J315" s="10">
        <v>0</v>
      </c>
      <c r="K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15">
        <v>200</v>
      </c>
      <c r="M3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15">
        <v>4.01</v>
      </c>
      <c r="O315" s="23" t="s">
        <v>708</v>
      </c>
      <c r="P315">
        <v>56.14</v>
      </c>
      <c r="Q315" s="23" t="s">
        <v>185</v>
      </c>
    </row>
    <row r="316" spans="1:17" x14ac:dyDescent="0.25">
      <c r="A316" s="23" t="s">
        <v>1144</v>
      </c>
      <c r="B316" s="23" t="s">
        <v>1145</v>
      </c>
      <c r="C316" s="23" t="s">
        <v>176</v>
      </c>
      <c r="D316" s="23" t="s">
        <v>492</v>
      </c>
      <c r="E316" s="23" t="s">
        <v>493</v>
      </c>
      <c r="F316">
        <v>14</v>
      </c>
      <c r="G316" s="23" t="s">
        <v>180</v>
      </c>
      <c r="H316">
        <v>0</v>
      </c>
      <c r="I316">
        <v>0</v>
      </c>
      <c r="J316" s="10">
        <v>0</v>
      </c>
      <c r="K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16">
        <v>200</v>
      </c>
      <c r="M3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16">
        <v>4.01</v>
      </c>
      <c r="O316" s="23" t="s">
        <v>708</v>
      </c>
      <c r="P316">
        <v>56.14</v>
      </c>
      <c r="Q316" s="23" t="s">
        <v>185</v>
      </c>
    </row>
    <row r="317" spans="1:17" x14ac:dyDescent="0.25">
      <c r="A317" s="23" t="s">
        <v>1146</v>
      </c>
      <c r="B317" s="23" t="s">
        <v>1145</v>
      </c>
      <c r="C317" s="23" t="s">
        <v>176</v>
      </c>
      <c r="D317" s="23" t="s">
        <v>15</v>
      </c>
      <c r="E317" s="23" t="s">
        <v>16</v>
      </c>
      <c r="F317">
        <v>1</v>
      </c>
      <c r="G317" s="23" t="s">
        <v>177</v>
      </c>
      <c r="H317">
        <v>0</v>
      </c>
      <c r="I317">
        <v>7</v>
      </c>
      <c r="J317" s="10">
        <v>10</v>
      </c>
      <c r="K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17">
        <v>0</v>
      </c>
      <c r="M3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317">
        <v>3383.99</v>
      </c>
      <c r="O317" s="23" t="s">
        <v>216</v>
      </c>
      <c r="P317">
        <v>3383.99</v>
      </c>
      <c r="Q317" s="23" t="s">
        <v>222</v>
      </c>
    </row>
    <row r="318" spans="1:17" x14ac:dyDescent="0.25">
      <c r="A318" s="23" t="s">
        <v>1144</v>
      </c>
      <c r="B318" s="23" t="s">
        <v>1145</v>
      </c>
      <c r="C318" s="23" t="s">
        <v>176</v>
      </c>
      <c r="D318" s="23" t="s">
        <v>15</v>
      </c>
      <c r="E318" s="23" t="s">
        <v>16</v>
      </c>
      <c r="F318">
        <v>1</v>
      </c>
      <c r="G318" s="23" t="s">
        <v>177</v>
      </c>
      <c r="H318">
        <v>0</v>
      </c>
      <c r="I318">
        <v>7</v>
      </c>
      <c r="J318" s="10">
        <v>10</v>
      </c>
      <c r="K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18">
        <v>0</v>
      </c>
      <c r="M3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318">
        <v>3383.99</v>
      </c>
      <c r="O318" s="23" t="s">
        <v>216</v>
      </c>
      <c r="P318">
        <v>3383.99</v>
      </c>
      <c r="Q318" s="23" t="s">
        <v>222</v>
      </c>
    </row>
    <row r="319" spans="1:17" x14ac:dyDescent="0.25">
      <c r="A319" s="23" t="s">
        <v>1146</v>
      </c>
      <c r="B319" s="23" t="s">
        <v>1145</v>
      </c>
      <c r="C319" s="23" t="s">
        <v>176</v>
      </c>
      <c r="D319" s="23" t="s">
        <v>148</v>
      </c>
      <c r="E319" s="23" t="s">
        <v>149</v>
      </c>
      <c r="F319">
        <v>1</v>
      </c>
      <c r="G319" s="23" t="s">
        <v>177</v>
      </c>
      <c r="H319">
        <v>0</v>
      </c>
      <c r="I319">
        <v>2</v>
      </c>
      <c r="J319" s="10">
        <v>8</v>
      </c>
      <c r="K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19">
        <v>5</v>
      </c>
      <c r="M3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319">
        <v>3152.4</v>
      </c>
      <c r="O319" s="23" t="s">
        <v>228</v>
      </c>
      <c r="P319">
        <v>3152.4</v>
      </c>
      <c r="Q319" s="23" t="s">
        <v>222</v>
      </c>
    </row>
    <row r="320" spans="1:17" x14ac:dyDescent="0.25">
      <c r="A320" s="23" t="s">
        <v>1146</v>
      </c>
      <c r="B320" s="23" t="s">
        <v>1145</v>
      </c>
      <c r="C320" s="23" t="s">
        <v>176</v>
      </c>
      <c r="D320" s="23" t="s">
        <v>232</v>
      </c>
      <c r="E320" s="23" t="s">
        <v>233</v>
      </c>
      <c r="F320">
        <v>2</v>
      </c>
      <c r="G320" s="23" t="s">
        <v>177</v>
      </c>
      <c r="H320">
        <v>0</v>
      </c>
      <c r="I320">
        <v>239</v>
      </c>
      <c r="J320" s="10">
        <v>90</v>
      </c>
      <c r="K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20">
        <v>0</v>
      </c>
      <c r="M3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">
        <v>4</v>
      </c>
      <c r="O320" s="23" t="s">
        <v>221</v>
      </c>
      <c r="P320">
        <v>8</v>
      </c>
      <c r="Q320" s="23" t="s">
        <v>222</v>
      </c>
    </row>
    <row r="321" spans="1:17" x14ac:dyDescent="0.25">
      <c r="A321" s="23" t="s">
        <v>1144</v>
      </c>
      <c r="B321" s="23" t="s">
        <v>1145</v>
      </c>
      <c r="C321" s="23" t="s">
        <v>176</v>
      </c>
      <c r="D321" s="23" t="s">
        <v>232</v>
      </c>
      <c r="E321" s="23" t="s">
        <v>233</v>
      </c>
      <c r="F321">
        <v>2</v>
      </c>
      <c r="G321" s="23" t="s">
        <v>177</v>
      </c>
      <c r="H321">
        <v>0</v>
      </c>
      <c r="I321">
        <v>239</v>
      </c>
      <c r="J321" s="10">
        <v>90</v>
      </c>
      <c r="K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21">
        <v>0</v>
      </c>
      <c r="M3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">
        <v>4</v>
      </c>
      <c r="O321" s="23" t="s">
        <v>221</v>
      </c>
      <c r="P321">
        <v>8</v>
      </c>
      <c r="Q321" s="23" t="s">
        <v>222</v>
      </c>
    </row>
    <row r="322" spans="1:17" x14ac:dyDescent="0.25">
      <c r="A322" s="23" t="s">
        <v>1149</v>
      </c>
      <c r="B322" s="23" t="s">
        <v>1145</v>
      </c>
      <c r="C322" s="23" t="s">
        <v>176</v>
      </c>
      <c r="D322" s="23" t="s">
        <v>15</v>
      </c>
      <c r="E322" s="23" t="s">
        <v>16</v>
      </c>
      <c r="F322">
        <v>1</v>
      </c>
      <c r="G322" s="23" t="s">
        <v>177</v>
      </c>
      <c r="H322">
        <v>0</v>
      </c>
      <c r="I322">
        <v>7</v>
      </c>
      <c r="J322" s="10">
        <v>10</v>
      </c>
      <c r="K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22">
        <v>0</v>
      </c>
      <c r="M3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322">
        <v>3383.99</v>
      </c>
      <c r="O322" s="23" t="s">
        <v>216</v>
      </c>
      <c r="P322">
        <v>3383.99</v>
      </c>
      <c r="Q322" s="23" t="s">
        <v>222</v>
      </c>
    </row>
    <row r="323" spans="1:17" x14ac:dyDescent="0.25">
      <c r="A323" s="23" t="s">
        <v>1100</v>
      </c>
      <c r="B323" s="23" t="s">
        <v>1101</v>
      </c>
      <c r="C323" s="23" t="s">
        <v>176</v>
      </c>
      <c r="D323" s="23" t="s">
        <v>148</v>
      </c>
      <c r="E323" s="23" t="s">
        <v>149</v>
      </c>
      <c r="F323">
        <v>3</v>
      </c>
      <c r="G323" s="23" t="s">
        <v>177</v>
      </c>
      <c r="H323">
        <v>0</v>
      </c>
      <c r="I323">
        <v>2</v>
      </c>
      <c r="J323" s="10">
        <v>8</v>
      </c>
      <c r="K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23">
        <v>5</v>
      </c>
      <c r="M3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323">
        <v>3152.4</v>
      </c>
      <c r="O323" s="23" t="s">
        <v>228</v>
      </c>
      <c r="P323">
        <v>9457.2000000000007</v>
      </c>
      <c r="Q323" s="23" t="s">
        <v>222</v>
      </c>
    </row>
    <row r="324" spans="1:17" x14ac:dyDescent="0.25">
      <c r="A324" s="23" t="s">
        <v>1147</v>
      </c>
      <c r="B324" s="23" t="s">
        <v>1145</v>
      </c>
      <c r="C324" s="23" t="s">
        <v>176</v>
      </c>
      <c r="D324" s="23" t="s">
        <v>492</v>
      </c>
      <c r="E324" s="23" t="s">
        <v>493</v>
      </c>
      <c r="F324">
        <v>14</v>
      </c>
      <c r="G324" s="23" t="s">
        <v>180</v>
      </c>
      <c r="H324">
        <v>0</v>
      </c>
      <c r="I324">
        <v>0</v>
      </c>
      <c r="J324" s="10">
        <v>0</v>
      </c>
      <c r="K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324">
        <v>200</v>
      </c>
      <c r="M3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324">
        <v>4.01</v>
      </c>
      <c r="O324" s="23" t="s">
        <v>708</v>
      </c>
      <c r="P324">
        <v>56.14</v>
      </c>
      <c r="Q324" s="23" t="s">
        <v>185</v>
      </c>
    </row>
    <row r="325" spans="1:17" x14ac:dyDescent="0.25">
      <c r="A325" s="23" t="s">
        <v>1058</v>
      </c>
      <c r="B325" s="23" t="s">
        <v>1059</v>
      </c>
      <c r="C325" s="23" t="s">
        <v>176</v>
      </c>
      <c r="D325" s="23" t="s">
        <v>485</v>
      </c>
      <c r="E325" s="23" t="s">
        <v>486</v>
      </c>
      <c r="F325">
        <v>2</v>
      </c>
      <c r="G325" s="23" t="s">
        <v>177</v>
      </c>
      <c r="H325">
        <v>0</v>
      </c>
      <c r="I325">
        <v>35</v>
      </c>
      <c r="J325" s="10">
        <v>8</v>
      </c>
      <c r="K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</v>
      </c>
      <c r="L325">
        <v>0</v>
      </c>
      <c r="M3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">
        <v>94.17</v>
      </c>
      <c r="O325" s="23" t="s">
        <v>483</v>
      </c>
      <c r="P325">
        <v>188.34</v>
      </c>
      <c r="Q325" s="23" t="s">
        <v>484</v>
      </c>
    </row>
    <row r="326" spans="1:17" x14ac:dyDescent="0.25">
      <c r="A326" s="23" t="s">
        <v>1055</v>
      </c>
      <c r="B326" s="23" t="s">
        <v>1056</v>
      </c>
      <c r="C326" s="23" t="s">
        <v>176</v>
      </c>
      <c r="D326" s="23" t="s">
        <v>485</v>
      </c>
      <c r="E326" s="23" t="s">
        <v>486</v>
      </c>
      <c r="F326">
        <v>2</v>
      </c>
      <c r="G326" s="23" t="s">
        <v>177</v>
      </c>
      <c r="H326">
        <v>0</v>
      </c>
      <c r="I326">
        <v>35</v>
      </c>
      <c r="J326" s="10">
        <v>8</v>
      </c>
      <c r="K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</v>
      </c>
      <c r="L326">
        <v>0</v>
      </c>
      <c r="M3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">
        <v>94.17</v>
      </c>
      <c r="O326" s="23" t="s">
        <v>483</v>
      </c>
      <c r="P326">
        <v>188.34</v>
      </c>
      <c r="Q326" s="23" t="s">
        <v>484</v>
      </c>
    </row>
    <row r="327" spans="1:17" x14ac:dyDescent="0.25">
      <c r="A327" s="23" t="s">
        <v>1055</v>
      </c>
      <c r="B327" s="23" t="s">
        <v>1056</v>
      </c>
      <c r="C327" s="23" t="s">
        <v>176</v>
      </c>
      <c r="D327" s="23" t="s">
        <v>463</v>
      </c>
      <c r="E327" s="23" t="s">
        <v>464</v>
      </c>
      <c r="F327">
        <v>0.7</v>
      </c>
      <c r="G327" s="23" t="s">
        <v>177</v>
      </c>
      <c r="H327">
        <v>0.7</v>
      </c>
      <c r="I327">
        <v>0</v>
      </c>
      <c r="J327" s="10">
        <v>5.5999999999999961</v>
      </c>
      <c r="K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327">
        <v>0</v>
      </c>
      <c r="M3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327">
        <v>162.51</v>
      </c>
      <c r="O327" s="23" t="s">
        <v>491</v>
      </c>
      <c r="P327">
        <v>113.75699999999999</v>
      </c>
      <c r="Q327" s="23" t="s">
        <v>184</v>
      </c>
    </row>
    <row r="328" spans="1:17" x14ac:dyDescent="0.25">
      <c r="A328" s="23" t="s">
        <v>1055</v>
      </c>
      <c r="B328" s="23" t="s">
        <v>1056</v>
      </c>
      <c r="C328" s="23" t="s">
        <v>176</v>
      </c>
      <c r="D328" s="23" t="s">
        <v>148</v>
      </c>
      <c r="E328" s="23" t="s">
        <v>149</v>
      </c>
      <c r="F328">
        <v>1</v>
      </c>
      <c r="G328" s="23" t="s">
        <v>177</v>
      </c>
      <c r="H328">
        <v>1</v>
      </c>
      <c r="I328">
        <v>2</v>
      </c>
      <c r="J328" s="10">
        <v>8</v>
      </c>
      <c r="K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28">
        <v>5</v>
      </c>
      <c r="M3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328">
        <v>3152.4</v>
      </c>
      <c r="O328" s="23" t="s">
        <v>228</v>
      </c>
      <c r="P328">
        <v>3152.4</v>
      </c>
      <c r="Q328" s="23" t="s">
        <v>222</v>
      </c>
    </row>
    <row r="329" spans="1:17" x14ac:dyDescent="0.25">
      <c r="A329" s="23" t="s">
        <v>1099</v>
      </c>
      <c r="B329" s="23" t="s">
        <v>1056</v>
      </c>
      <c r="C329" s="23" t="s">
        <v>176</v>
      </c>
      <c r="D329" s="23" t="s">
        <v>1102</v>
      </c>
      <c r="E329" s="23" t="s">
        <v>1103</v>
      </c>
      <c r="F329">
        <v>3</v>
      </c>
      <c r="G329" s="23" t="s">
        <v>180</v>
      </c>
      <c r="H329">
        <v>0</v>
      </c>
      <c r="I329">
        <v>0</v>
      </c>
      <c r="J329" s="10">
        <v>0</v>
      </c>
      <c r="K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329">
        <v>0</v>
      </c>
      <c r="M3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288</v>
      </c>
      <c r="N329">
        <v>96</v>
      </c>
      <c r="O329" s="23"/>
      <c r="P329">
        <v>288</v>
      </c>
      <c r="Q329" s="23" t="s">
        <v>185</v>
      </c>
    </row>
    <row r="330" spans="1:17" x14ac:dyDescent="0.25">
      <c r="A330" s="23" t="s">
        <v>1055</v>
      </c>
      <c r="B330" s="23" t="s">
        <v>1056</v>
      </c>
      <c r="C330" s="23" t="s">
        <v>176</v>
      </c>
      <c r="D330" s="23" t="s">
        <v>232</v>
      </c>
      <c r="E330" s="23" t="s">
        <v>233</v>
      </c>
      <c r="F330">
        <v>2</v>
      </c>
      <c r="G330" s="23" t="s">
        <v>177</v>
      </c>
      <c r="H330">
        <v>0</v>
      </c>
      <c r="I330">
        <v>239</v>
      </c>
      <c r="J330" s="10">
        <v>90</v>
      </c>
      <c r="K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330">
        <v>0</v>
      </c>
      <c r="M3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">
        <v>4</v>
      </c>
      <c r="O330" s="23" t="s">
        <v>221</v>
      </c>
      <c r="P330">
        <v>8</v>
      </c>
      <c r="Q330" s="23" t="s">
        <v>222</v>
      </c>
    </row>
    <row r="331" spans="1:17" x14ac:dyDescent="0.25">
      <c r="A331" s="23" t="s">
        <v>1058</v>
      </c>
      <c r="B331" s="23" t="s">
        <v>1059</v>
      </c>
      <c r="C331" s="23" t="s">
        <v>176</v>
      </c>
      <c r="D331" s="23" t="s">
        <v>15</v>
      </c>
      <c r="E331" s="23" t="s">
        <v>16</v>
      </c>
      <c r="F331">
        <v>1</v>
      </c>
      <c r="G331" s="23" t="s">
        <v>177</v>
      </c>
      <c r="H331">
        <v>1</v>
      </c>
      <c r="I331">
        <v>7</v>
      </c>
      <c r="J331" s="10">
        <v>10</v>
      </c>
      <c r="K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31">
        <v>0</v>
      </c>
      <c r="M3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331">
        <v>3383.99</v>
      </c>
      <c r="O331" s="23" t="s">
        <v>216</v>
      </c>
      <c r="P331">
        <v>3383.99</v>
      </c>
      <c r="Q331" s="23" t="s">
        <v>222</v>
      </c>
    </row>
    <row r="332" spans="1:17" x14ac:dyDescent="0.25">
      <c r="A332" s="23" t="s">
        <v>1147</v>
      </c>
      <c r="B332" s="23" t="s">
        <v>1145</v>
      </c>
      <c r="C332" s="23" t="s">
        <v>176</v>
      </c>
      <c r="D332" s="23" t="s">
        <v>15</v>
      </c>
      <c r="E332" s="23" t="s">
        <v>16</v>
      </c>
      <c r="F332">
        <v>1</v>
      </c>
      <c r="G332" s="23" t="s">
        <v>177</v>
      </c>
      <c r="H332">
        <v>0</v>
      </c>
      <c r="I332">
        <v>7</v>
      </c>
      <c r="J332" s="10">
        <v>10</v>
      </c>
      <c r="K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332">
        <v>0</v>
      </c>
      <c r="M3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332">
        <v>3383.99</v>
      </c>
      <c r="O332" s="23" t="s">
        <v>216</v>
      </c>
      <c r="P332">
        <v>3383.99</v>
      </c>
      <c r="Q332" s="23" t="s">
        <v>222</v>
      </c>
    </row>
    <row r="333" spans="1:17" x14ac:dyDescent="0.25">
      <c r="A333" s="23" t="s">
        <v>1058</v>
      </c>
      <c r="B333" s="23" t="s">
        <v>1059</v>
      </c>
      <c r="C333" s="23" t="s">
        <v>176</v>
      </c>
      <c r="D333" s="23" t="s">
        <v>28</v>
      </c>
      <c r="E333" s="23" t="s">
        <v>29</v>
      </c>
      <c r="F333">
        <v>135</v>
      </c>
      <c r="G333" s="23" t="s">
        <v>177</v>
      </c>
      <c r="H333">
        <v>0</v>
      </c>
      <c r="I333">
        <v>3000</v>
      </c>
      <c r="J333" s="10">
        <v>1048</v>
      </c>
      <c r="K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333">
        <v>0</v>
      </c>
      <c r="M3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">
        <v>2.92</v>
      </c>
      <c r="O333" s="23" t="s">
        <v>629</v>
      </c>
      <c r="P333">
        <v>394.2</v>
      </c>
      <c r="Q333" s="23" t="s">
        <v>181</v>
      </c>
    </row>
    <row r="334" spans="1:17" x14ac:dyDescent="0.25">
      <c r="A334" s="23" t="s">
        <v>1055</v>
      </c>
      <c r="B334" s="23" t="s">
        <v>1056</v>
      </c>
      <c r="C334" s="23" t="s">
        <v>176</v>
      </c>
      <c r="D334" s="23" t="s">
        <v>28</v>
      </c>
      <c r="E334" s="23" t="s">
        <v>29</v>
      </c>
      <c r="F334">
        <v>66</v>
      </c>
      <c r="G334" s="23" t="s">
        <v>177</v>
      </c>
      <c r="H334">
        <v>0</v>
      </c>
      <c r="I334">
        <v>3000</v>
      </c>
      <c r="J334" s="10">
        <v>1048</v>
      </c>
      <c r="K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334">
        <v>0</v>
      </c>
      <c r="M3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">
        <v>2.92</v>
      </c>
      <c r="O334" s="23" t="s">
        <v>629</v>
      </c>
      <c r="P334">
        <v>192.72</v>
      </c>
      <c r="Q334" s="23" t="s">
        <v>181</v>
      </c>
    </row>
    <row r="335" spans="1:17" x14ac:dyDescent="0.25">
      <c r="A335" s="23" t="s">
        <v>1099</v>
      </c>
      <c r="B335" s="23" t="s">
        <v>1056</v>
      </c>
      <c r="C335" s="23" t="s">
        <v>176</v>
      </c>
      <c r="D335" s="23" t="s">
        <v>28</v>
      </c>
      <c r="E335" s="23" t="s">
        <v>29</v>
      </c>
      <c r="F335">
        <v>50</v>
      </c>
      <c r="G335" s="23" t="s">
        <v>177</v>
      </c>
      <c r="H335">
        <v>0</v>
      </c>
      <c r="I335">
        <v>3000</v>
      </c>
      <c r="J335" s="10">
        <v>1048</v>
      </c>
      <c r="K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335">
        <v>0</v>
      </c>
      <c r="M3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">
        <v>2.92</v>
      </c>
      <c r="O335" s="23" t="s">
        <v>629</v>
      </c>
      <c r="P335">
        <v>146</v>
      </c>
      <c r="Q335" s="23" t="s">
        <v>181</v>
      </c>
    </row>
    <row r="336" spans="1:17" x14ac:dyDescent="0.25">
      <c r="A336" s="23" t="s">
        <v>1150</v>
      </c>
      <c r="B336" s="23" t="s">
        <v>1145</v>
      </c>
      <c r="C336" s="23" t="s">
        <v>176</v>
      </c>
      <c r="D336" s="23" t="s">
        <v>28</v>
      </c>
      <c r="E336" s="23" t="s">
        <v>29</v>
      </c>
      <c r="F336">
        <v>135</v>
      </c>
      <c r="G336" s="23" t="s">
        <v>177</v>
      </c>
      <c r="H336">
        <v>0</v>
      </c>
      <c r="I336">
        <v>3000</v>
      </c>
      <c r="J336" s="10">
        <v>1048</v>
      </c>
      <c r="K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336">
        <v>0</v>
      </c>
      <c r="M3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">
        <v>2.92</v>
      </c>
      <c r="O336" s="23" t="s">
        <v>629</v>
      </c>
      <c r="P336">
        <v>394.2</v>
      </c>
      <c r="Q336" s="23" t="s">
        <v>181</v>
      </c>
    </row>
    <row r="337" spans="1:17" x14ac:dyDescent="0.25">
      <c r="A337" s="23" t="s">
        <v>1099</v>
      </c>
      <c r="B337" s="23" t="s">
        <v>1056</v>
      </c>
      <c r="C337" s="23" t="s">
        <v>176</v>
      </c>
      <c r="D337" s="23" t="s">
        <v>929</v>
      </c>
      <c r="E337" s="23" t="s">
        <v>930</v>
      </c>
      <c r="F337">
        <v>3</v>
      </c>
      <c r="G337" s="23" t="s">
        <v>177</v>
      </c>
      <c r="H337">
        <v>3</v>
      </c>
      <c r="I337">
        <v>16</v>
      </c>
      <c r="J337" s="10">
        <v>9</v>
      </c>
      <c r="K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37">
        <v>0</v>
      </c>
      <c r="M3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">
        <v>110</v>
      </c>
      <c r="O337" s="23" t="s">
        <v>931</v>
      </c>
      <c r="P337">
        <v>330</v>
      </c>
      <c r="Q337" s="23" t="s">
        <v>178</v>
      </c>
    </row>
    <row r="338" spans="1:17" x14ac:dyDescent="0.25">
      <c r="A338" s="23" t="s">
        <v>1062</v>
      </c>
      <c r="B338" s="23" t="s">
        <v>1053</v>
      </c>
      <c r="C338" s="23" t="s">
        <v>176</v>
      </c>
      <c r="D338" s="23" t="s">
        <v>489</v>
      </c>
      <c r="E338" s="23" t="s">
        <v>490</v>
      </c>
      <c r="F338">
        <v>2</v>
      </c>
      <c r="G338" s="23" t="s">
        <v>177</v>
      </c>
      <c r="H338">
        <v>0</v>
      </c>
      <c r="I338">
        <v>0</v>
      </c>
      <c r="J338" s="10">
        <v>0</v>
      </c>
      <c r="K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38">
        <v>0</v>
      </c>
      <c r="M3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38">
        <v>75</v>
      </c>
      <c r="O338" s="23" t="s">
        <v>483</v>
      </c>
      <c r="P338">
        <v>150</v>
      </c>
      <c r="Q338" s="23" t="s">
        <v>484</v>
      </c>
    </row>
    <row r="339" spans="1:17" x14ac:dyDescent="0.25">
      <c r="A339" s="23" t="s">
        <v>1062</v>
      </c>
      <c r="B339" s="23" t="s">
        <v>1053</v>
      </c>
      <c r="C339" s="23" t="s">
        <v>176</v>
      </c>
      <c r="D339" s="23" t="s">
        <v>1063</v>
      </c>
      <c r="E339" s="23" t="s">
        <v>1064</v>
      </c>
      <c r="F339">
        <v>0.4</v>
      </c>
      <c r="G339" s="23" t="s">
        <v>180</v>
      </c>
      <c r="H339">
        <v>0</v>
      </c>
      <c r="I339">
        <v>0</v>
      </c>
      <c r="J339" s="10">
        <v>0</v>
      </c>
      <c r="K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339">
        <v>0</v>
      </c>
      <c r="M3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2.4000000000000004</v>
      </c>
      <c r="N339">
        <v>3</v>
      </c>
      <c r="O339" s="23"/>
      <c r="P339">
        <v>1.2000000000000002</v>
      </c>
      <c r="Q339" s="23" t="s">
        <v>222</v>
      </c>
    </row>
    <row r="340" spans="1:17" x14ac:dyDescent="0.25">
      <c r="A340" s="23" t="s">
        <v>1062</v>
      </c>
      <c r="B340" s="23" t="s">
        <v>1053</v>
      </c>
      <c r="C340" s="23" t="s">
        <v>176</v>
      </c>
      <c r="D340" s="23" t="s">
        <v>839</v>
      </c>
      <c r="E340" s="23" t="s">
        <v>840</v>
      </c>
      <c r="F340">
        <v>0.2</v>
      </c>
      <c r="G340" s="23" t="s">
        <v>180</v>
      </c>
      <c r="H340">
        <v>0</v>
      </c>
      <c r="I340">
        <v>0</v>
      </c>
      <c r="J340" s="10">
        <v>0</v>
      </c>
      <c r="K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40">
        <v>0</v>
      </c>
      <c r="M3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40">
        <v>5</v>
      </c>
      <c r="O340" s="23"/>
      <c r="P340">
        <v>1</v>
      </c>
      <c r="Q340" s="23" t="s">
        <v>222</v>
      </c>
    </row>
    <row r="341" spans="1:17" x14ac:dyDescent="0.25">
      <c r="A341" s="23" t="s">
        <v>1097</v>
      </c>
      <c r="B341" s="23" t="s">
        <v>1095</v>
      </c>
      <c r="C341" s="23" t="s">
        <v>176</v>
      </c>
      <c r="D341" s="23" t="s">
        <v>839</v>
      </c>
      <c r="E341" s="23" t="s">
        <v>840</v>
      </c>
      <c r="F341">
        <v>0.2</v>
      </c>
      <c r="G341" s="23" t="s">
        <v>180</v>
      </c>
      <c r="H341">
        <v>0</v>
      </c>
      <c r="I341">
        <v>0</v>
      </c>
      <c r="J341" s="10">
        <v>0</v>
      </c>
      <c r="K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41">
        <v>0</v>
      </c>
      <c r="M3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41">
        <v>5</v>
      </c>
      <c r="O341" s="23"/>
      <c r="P341">
        <v>1</v>
      </c>
      <c r="Q341" s="23" t="s">
        <v>222</v>
      </c>
    </row>
    <row r="342" spans="1:17" x14ac:dyDescent="0.25">
      <c r="A342" s="23" t="s">
        <v>1094</v>
      </c>
      <c r="B342" s="23" t="s">
        <v>1095</v>
      </c>
      <c r="C342" s="23" t="s">
        <v>176</v>
      </c>
      <c r="D342" s="23" t="s">
        <v>489</v>
      </c>
      <c r="E342" s="23" t="s">
        <v>490</v>
      </c>
      <c r="F342">
        <v>2</v>
      </c>
      <c r="G342" s="23" t="s">
        <v>177</v>
      </c>
      <c r="H342">
        <v>0</v>
      </c>
      <c r="I342">
        <v>0</v>
      </c>
      <c r="J342" s="10">
        <v>0</v>
      </c>
      <c r="K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42">
        <v>0</v>
      </c>
      <c r="M3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42">
        <v>75</v>
      </c>
      <c r="O342" s="23" t="s">
        <v>483</v>
      </c>
      <c r="P342">
        <v>150</v>
      </c>
      <c r="Q342" s="23" t="s">
        <v>484</v>
      </c>
    </row>
    <row r="343" spans="1:17" x14ac:dyDescent="0.25">
      <c r="A343" s="23" t="s">
        <v>1096</v>
      </c>
      <c r="B343" s="23" t="s">
        <v>1053</v>
      </c>
      <c r="C343" s="23" t="s">
        <v>176</v>
      </c>
      <c r="D343" s="23" t="s">
        <v>489</v>
      </c>
      <c r="E343" s="23" t="s">
        <v>490</v>
      </c>
      <c r="F343">
        <v>2</v>
      </c>
      <c r="G343" s="23" t="s">
        <v>177</v>
      </c>
      <c r="H343">
        <v>0</v>
      </c>
      <c r="I343">
        <v>0</v>
      </c>
      <c r="J343" s="10">
        <v>0</v>
      </c>
      <c r="K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43">
        <v>0</v>
      </c>
      <c r="M3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43">
        <v>75</v>
      </c>
      <c r="O343" s="23" t="s">
        <v>483</v>
      </c>
      <c r="P343">
        <v>150</v>
      </c>
      <c r="Q343" s="23" t="s">
        <v>484</v>
      </c>
    </row>
    <row r="344" spans="1:17" x14ac:dyDescent="0.25">
      <c r="A344" s="23" t="s">
        <v>1057</v>
      </c>
      <c r="B344" s="23" t="s">
        <v>1056</v>
      </c>
      <c r="C344" s="23" t="s">
        <v>176</v>
      </c>
      <c r="D344" s="23" t="s">
        <v>1025</v>
      </c>
      <c r="E344" s="23" t="s">
        <v>1026</v>
      </c>
      <c r="F344">
        <v>4</v>
      </c>
      <c r="G344" s="23" t="s">
        <v>177</v>
      </c>
      <c r="H344">
        <v>0</v>
      </c>
      <c r="I344">
        <v>842</v>
      </c>
      <c r="J344" s="10">
        <v>0</v>
      </c>
      <c r="K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-834</v>
      </c>
      <c r="L344">
        <v>0</v>
      </c>
      <c r="M3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">
        <v>0.93</v>
      </c>
      <c r="O344" s="23" t="s">
        <v>1027</v>
      </c>
      <c r="P344">
        <v>3.72</v>
      </c>
      <c r="Q344" s="23" t="s">
        <v>181</v>
      </c>
    </row>
    <row r="345" spans="1:17" x14ac:dyDescent="0.25">
      <c r="A345" s="23" t="s">
        <v>1094</v>
      </c>
      <c r="B345" s="23" t="s">
        <v>1095</v>
      </c>
      <c r="C345" s="23" t="s">
        <v>176</v>
      </c>
      <c r="D345" s="23" t="s">
        <v>1111</v>
      </c>
      <c r="E345" s="23" t="s">
        <v>1112</v>
      </c>
      <c r="F345">
        <v>1</v>
      </c>
      <c r="G345" s="23" t="s">
        <v>177</v>
      </c>
      <c r="H345">
        <v>0</v>
      </c>
      <c r="I345">
        <v>0</v>
      </c>
      <c r="J345" s="10">
        <v>0</v>
      </c>
      <c r="K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45">
        <v>0</v>
      </c>
      <c r="M3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2.12</v>
      </c>
      <c r="N345">
        <v>2.12</v>
      </c>
      <c r="O345" s="23"/>
      <c r="P345">
        <v>2.12</v>
      </c>
      <c r="Q345" s="23" t="s">
        <v>181</v>
      </c>
    </row>
    <row r="346" spans="1:17" x14ac:dyDescent="0.25">
      <c r="A346" s="23" t="s">
        <v>1057</v>
      </c>
      <c r="B346" s="23" t="s">
        <v>1056</v>
      </c>
      <c r="C346" s="23" t="s">
        <v>176</v>
      </c>
      <c r="D346" s="23" t="s">
        <v>839</v>
      </c>
      <c r="E346" s="23" t="s">
        <v>840</v>
      </c>
      <c r="F346">
        <v>0.05</v>
      </c>
      <c r="G346" s="23" t="s">
        <v>180</v>
      </c>
      <c r="H346">
        <v>0</v>
      </c>
      <c r="I346">
        <v>0</v>
      </c>
      <c r="J346" s="10">
        <v>0</v>
      </c>
      <c r="K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46">
        <v>0</v>
      </c>
      <c r="M3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46">
        <v>5</v>
      </c>
      <c r="O346" s="23"/>
      <c r="P346">
        <v>0.25</v>
      </c>
      <c r="Q346" s="23" t="s">
        <v>222</v>
      </c>
    </row>
    <row r="347" spans="1:17" x14ac:dyDescent="0.25">
      <c r="A347" s="23" t="s">
        <v>1094</v>
      </c>
      <c r="B347" s="23" t="s">
        <v>1095</v>
      </c>
      <c r="C347" s="23" t="s">
        <v>176</v>
      </c>
      <c r="D347" s="23" t="s">
        <v>839</v>
      </c>
      <c r="E347" s="23" t="s">
        <v>840</v>
      </c>
      <c r="F347">
        <v>0.2</v>
      </c>
      <c r="G347" s="23" t="s">
        <v>180</v>
      </c>
      <c r="H347">
        <v>0</v>
      </c>
      <c r="I347">
        <v>0</v>
      </c>
      <c r="J347" s="10">
        <v>0</v>
      </c>
      <c r="K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47">
        <v>0</v>
      </c>
      <c r="M3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47">
        <v>5</v>
      </c>
      <c r="O347" s="23"/>
      <c r="P347">
        <v>1</v>
      </c>
      <c r="Q347" s="23" t="s">
        <v>222</v>
      </c>
    </row>
    <row r="348" spans="1:17" x14ac:dyDescent="0.25">
      <c r="A348" s="23" t="s">
        <v>1146</v>
      </c>
      <c r="B348" s="23" t="s">
        <v>1145</v>
      </c>
      <c r="C348" s="23" t="s">
        <v>176</v>
      </c>
      <c r="D348" s="23" t="s">
        <v>839</v>
      </c>
      <c r="E348" s="23" t="s">
        <v>840</v>
      </c>
      <c r="F348">
        <v>0.05</v>
      </c>
      <c r="G348" s="23" t="s">
        <v>180</v>
      </c>
      <c r="H348">
        <v>0</v>
      </c>
      <c r="I348">
        <v>0</v>
      </c>
      <c r="J348" s="10">
        <v>0</v>
      </c>
      <c r="K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48">
        <v>0</v>
      </c>
      <c r="M3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48">
        <v>5</v>
      </c>
      <c r="O348" s="23"/>
      <c r="P348">
        <v>0.25</v>
      </c>
      <c r="Q348" s="23" t="s">
        <v>222</v>
      </c>
    </row>
    <row r="349" spans="1:17" x14ac:dyDescent="0.25">
      <c r="A349" s="23" t="s">
        <v>1144</v>
      </c>
      <c r="B349" s="23" t="s">
        <v>1145</v>
      </c>
      <c r="C349" s="23" t="s">
        <v>176</v>
      </c>
      <c r="D349" s="23" t="s">
        <v>839</v>
      </c>
      <c r="E349" s="23" t="s">
        <v>840</v>
      </c>
      <c r="F349">
        <v>0.05</v>
      </c>
      <c r="G349" s="23" t="s">
        <v>180</v>
      </c>
      <c r="H349">
        <v>0</v>
      </c>
      <c r="I349">
        <v>0</v>
      </c>
      <c r="J349" s="10">
        <v>0</v>
      </c>
      <c r="K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49">
        <v>0</v>
      </c>
      <c r="M3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49">
        <v>5</v>
      </c>
      <c r="O349" s="23"/>
      <c r="P349">
        <v>0.25</v>
      </c>
      <c r="Q349" s="23" t="s">
        <v>222</v>
      </c>
    </row>
    <row r="350" spans="1:17" x14ac:dyDescent="0.25">
      <c r="A350" s="23" t="s">
        <v>1097</v>
      </c>
      <c r="B350" s="23" t="s">
        <v>1095</v>
      </c>
      <c r="C350" s="23" t="s">
        <v>176</v>
      </c>
      <c r="D350" s="23" t="s">
        <v>489</v>
      </c>
      <c r="E350" s="23" t="s">
        <v>490</v>
      </c>
      <c r="F350">
        <v>2</v>
      </c>
      <c r="G350" s="23" t="s">
        <v>177</v>
      </c>
      <c r="H350">
        <v>0</v>
      </c>
      <c r="I350">
        <v>0</v>
      </c>
      <c r="J350" s="10">
        <v>0</v>
      </c>
      <c r="K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50">
        <v>0</v>
      </c>
      <c r="M3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50">
        <v>75</v>
      </c>
      <c r="O350" s="23" t="s">
        <v>483</v>
      </c>
      <c r="P350">
        <v>150</v>
      </c>
      <c r="Q350" s="23" t="s">
        <v>484</v>
      </c>
    </row>
    <row r="351" spans="1:17" x14ac:dyDescent="0.25">
      <c r="A351" s="23" t="s">
        <v>1197</v>
      </c>
      <c r="B351" s="23" t="s">
        <v>1198</v>
      </c>
      <c r="C351" s="23" t="s">
        <v>176</v>
      </c>
      <c r="D351" s="23" t="s">
        <v>839</v>
      </c>
      <c r="E351" s="23" t="s">
        <v>840</v>
      </c>
      <c r="F351">
        <v>0.05</v>
      </c>
      <c r="G351" s="23" t="s">
        <v>180</v>
      </c>
      <c r="H351">
        <v>0</v>
      </c>
      <c r="I351">
        <v>0</v>
      </c>
      <c r="J351" s="10">
        <v>0</v>
      </c>
      <c r="K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51">
        <v>0</v>
      </c>
      <c r="M3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51">
        <v>5</v>
      </c>
      <c r="O351" s="23"/>
      <c r="P351">
        <v>0.25</v>
      </c>
      <c r="Q351" s="23" t="s">
        <v>222</v>
      </c>
    </row>
    <row r="352" spans="1:17" x14ac:dyDescent="0.25">
      <c r="A352" s="23" t="s">
        <v>1143</v>
      </c>
      <c r="B352" s="23" t="s">
        <v>1054</v>
      </c>
      <c r="C352" s="23" t="s">
        <v>176</v>
      </c>
      <c r="D352" s="23" t="s">
        <v>489</v>
      </c>
      <c r="E352" s="23" t="s">
        <v>490</v>
      </c>
      <c r="F352">
        <v>2</v>
      </c>
      <c r="G352" s="23" t="s">
        <v>177</v>
      </c>
      <c r="H352">
        <v>0</v>
      </c>
      <c r="I352">
        <v>0</v>
      </c>
      <c r="J352" s="10">
        <v>0</v>
      </c>
      <c r="K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52">
        <v>0</v>
      </c>
      <c r="M3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52">
        <v>75</v>
      </c>
      <c r="O352" s="23" t="s">
        <v>483</v>
      </c>
      <c r="P352">
        <v>150</v>
      </c>
      <c r="Q352" s="23" t="s">
        <v>484</v>
      </c>
    </row>
    <row r="353" spans="1:17" x14ac:dyDescent="0.25">
      <c r="A353" s="23" t="s">
        <v>1142</v>
      </c>
      <c r="B353" s="23" t="s">
        <v>1054</v>
      </c>
      <c r="C353" s="23" t="s">
        <v>176</v>
      </c>
      <c r="D353" s="23" t="s">
        <v>839</v>
      </c>
      <c r="E353" s="23" t="s">
        <v>840</v>
      </c>
      <c r="F353">
        <v>0.05</v>
      </c>
      <c r="G353" s="23" t="s">
        <v>180</v>
      </c>
      <c r="H353">
        <v>0</v>
      </c>
      <c r="I353">
        <v>0</v>
      </c>
      <c r="J353" s="10">
        <v>0</v>
      </c>
      <c r="K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53">
        <v>0</v>
      </c>
      <c r="M3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53">
        <v>5</v>
      </c>
      <c r="O353" s="23"/>
      <c r="P353">
        <v>0.25</v>
      </c>
      <c r="Q353" s="23" t="s">
        <v>222</v>
      </c>
    </row>
    <row r="354" spans="1:17" x14ac:dyDescent="0.25">
      <c r="A354" s="23" t="s">
        <v>1150</v>
      </c>
      <c r="B354" s="23" t="s">
        <v>1145</v>
      </c>
      <c r="C354" s="23" t="s">
        <v>176</v>
      </c>
      <c r="D354" s="23" t="s">
        <v>839</v>
      </c>
      <c r="E354" s="23" t="s">
        <v>840</v>
      </c>
      <c r="F354">
        <v>0.05</v>
      </c>
      <c r="G354" s="23" t="s">
        <v>180</v>
      </c>
      <c r="H354">
        <v>0</v>
      </c>
      <c r="I354">
        <v>0</v>
      </c>
      <c r="J354" s="10">
        <v>0</v>
      </c>
      <c r="K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54">
        <v>0</v>
      </c>
      <c r="M3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54">
        <v>5</v>
      </c>
      <c r="O354" s="23"/>
      <c r="P354">
        <v>0.25</v>
      </c>
      <c r="Q354" s="23" t="s">
        <v>222</v>
      </c>
    </row>
    <row r="355" spans="1:17" x14ac:dyDescent="0.25">
      <c r="A355" s="23" t="s">
        <v>1098</v>
      </c>
      <c r="B355" s="23" t="s">
        <v>1053</v>
      </c>
      <c r="C355" s="23" t="s">
        <v>176</v>
      </c>
      <c r="D355" s="23" t="s">
        <v>489</v>
      </c>
      <c r="E355" s="23" t="s">
        <v>490</v>
      </c>
      <c r="F355">
        <v>2</v>
      </c>
      <c r="G355" s="23" t="s">
        <v>177</v>
      </c>
      <c r="H355">
        <v>0</v>
      </c>
      <c r="I355">
        <v>0</v>
      </c>
      <c r="J355" s="10">
        <v>0</v>
      </c>
      <c r="K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55">
        <v>0</v>
      </c>
      <c r="M3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55">
        <v>75</v>
      </c>
      <c r="O355" s="23" t="s">
        <v>483</v>
      </c>
      <c r="P355">
        <v>150</v>
      </c>
      <c r="Q355" s="23" t="s">
        <v>484</v>
      </c>
    </row>
    <row r="356" spans="1:17" x14ac:dyDescent="0.25">
      <c r="A356" s="23" t="s">
        <v>1096</v>
      </c>
      <c r="B356" s="23" t="s">
        <v>1053</v>
      </c>
      <c r="C356" s="23" t="s">
        <v>176</v>
      </c>
      <c r="D356" s="23" t="s">
        <v>1063</v>
      </c>
      <c r="E356" s="23" t="s">
        <v>1064</v>
      </c>
      <c r="F356">
        <v>0.4</v>
      </c>
      <c r="G356" s="23" t="s">
        <v>180</v>
      </c>
      <c r="H356">
        <v>0</v>
      </c>
      <c r="I356">
        <v>0</v>
      </c>
      <c r="J356" s="10">
        <v>0</v>
      </c>
      <c r="K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356">
        <v>0</v>
      </c>
      <c r="M3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2.4000000000000004</v>
      </c>
      <c r="N356">
        <v>3</v>
      </c>
      <c r="O356" s="23"/>
      <c r="P356">
        <v>1.2000000000000002</v>
      </c>
      <c r="Q356" s="23" t="s">
        <v>222</v>
      </c>
    </row>
    <row r="357" spans="1:17" x14ac:dyDescent="0.25">
      <c r="A357" s="23" t="s">
        <v>1096</v>
      </c>
      <c r="B357" s="23" t="s">
        <v>1053</v>
      </c>
      <c r="C357" s="23" t="s">
        <v>176</v>
      </c>
      <c r="D357" s="23" t="s">
        <v>839</v>
      </c>
      <c r="E357" s="23" t="s">
        <v>840</v>
      </c>
      <c r="F357">
        <v>0.2</v>
      </c>
      <c r="G357" s="23" t="s">
        <v>180</v>
      </c>
      <c r="H357">
        <v>0</v>
      </c>
      <c r="I357">
        <v>0</v>
      </c>
      <c r="J357" s="10">
        <v>0</v>
      </c>
      <c r="K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57">
        <v>0</v>
      </c>
      <c r="M3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57">
        <v>5</v>
      </c>
      <c r="O357" s="23"/>
      <c r="P357">
        <v>1</v>
      </c>
      <c r="Q357" s="23" t="s">
        <v>222</v>
      </c>
    </row>
    <row r="358" spans="1:17" x14ac:dyDescent="0.25">
      <c r="A358" s="23" t="s">
        <v>1143</v>
      </c>
      <c r="B358" s="23" t="s">
        <v>1054</v>
      </c>
      <c r="C358" s="23" t="s">
        <v>176</v>
      </c>
      <c r="D358" s="23" t="s">
        <v>839</v>
      </c>
      <c r="E358" s="23" t="s">
        <v>840</v>
      </c>
      <c r="F358">
        <v>0.2</v>
      </c>
      <c r="G358" s="23" t="s">
        <v>180</v>
      </c>
      <c r="H358">
        <v>0</v>
      </c>
      <c r="I358">
        <v>0</v>
      </c>
      <c r="J358" s="10">
        <v>0</v>
      </c>
      <c r="K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58">
        <v>0</v>
      </c>
      <c r="M3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58">
        <v>5</v>
      </c>
      <c r="O358" s="23"/>
      <c r="P358">
        <v>1</v>
      </c>
      <c r="Q358" s="23" t="s">
        <v>222</v>
      </c>
    </row>
    <row r="359" spans="1:17" x14ac:dyDescent="0.25">
      <c r="A359" s="23" t="s">
        <v>1149</v>
      </c>
      <c r="B359" s="23" t="s">
        <v>1145</v>
      </c>
      <c r="C359" s="23" t="s">
        <v>176</v>
      </c>
      <c r="D359" s="23" t="s">
        <v>839</v>
      </c>
      <c r="E359" s="23" t="s">
        <v>840</v>
      </c>
      <c r="F359">
        <v>0.05</v>
      </c>
      <c r="G359" s="23" t="s">
        <v>180</v>
      </c>
      <c r="H359">
        <v>0</v>
      </c>
      <c r="I359">
        <v>0</v>
      </c>
      <c r="J359" s="10">
        <v>0</v>
      </c>
      <c r="K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59">
        <v>0</v>
      </c>
      <c r="M3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59">
        <v>5</v>
      </c>
      <c r="O359" s="23"/>
      <c r="P359">
        <v>0.25</v>
      </c>
      <c r="Q359" s="23" t="s">
        <v>222</v>
      </c>
    </row>
    <row r="360" spans="1:17" x14ac:dyDescent="0.25">
      <c r="A360" s="23" t="s">
        <v>1150</v>
      </c>
      <c r="B360" s="23" t="s">
        <v>1145</v>
      </c>
      <c r="C360" s="23" t="s">
        <v>176</v>
      </c>
      <c r="D360" s="23" t="s">
        <v>19</v>
      </c>
      <c r="E360" s="23" t="s">
        <v>20</v>
      </c>
      <c r="F360">
        <v>4</v>
      </c>
      <c r="G360" s="23" t="s">
        <v>177</v>
      </c>
      <c r="H360">
        <v>0</v>
      </c>
      <c r="I360">
        <v>13</v>
      </c>
      <c r="J360" s="10">
        <v>22</v>
      </c>
      <c r="K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60">
        <v>30</v>
      </c>
      <c r="M3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">
        <v>122.1</v>
      </c>
      <c r="O360" s="23" t="s">
        <v>228</v>
      </c>
      <c r="P360">
        <v>488.4</v>
      </c>
      <c r="Q360" s="23" t="s">
        <v>222</v>
      </c>
    </row>
    <row r="361" spans="1:17" x14ac:dyDescent="0.25">
      <c r="A361" s="23" t="s">
        <v>1144</v>
      </c>
      <c r="B361" s="23" t="s">
        <v>1145</v>
      </c>
      <c r="C361" s="23" t="s">
        <v>176</v>
      </c>
      <c r="D361" s="23" t="s">
        <v>19</v>
      </c>
      <c r="E361" s="23" t="s">
        <v>20</v>
      </c>
      <c r="F361">
        <v>4</v>
      </c>
      <c r="G361" s="23" t="s">
        <v>177</v>
      </c>
      <c r="H361">
        <v>0</v>
      </c>
      <c r="I361">
        <v>13</v>
      </c>
      <c r="J361" s="10">
        <v>22</v>
      </c>
      <c r="K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61">
        <v>30</v>
      </c>
      <c r="M3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">
        <v>122.1</v>
      </c>
      <c r="O361" s="23" t="s">
        <v>228</v>
      </c>
      <c r="P361">
        <v>488.4</v>
      </c>
      <c r="Q361" s="23" t="s">
        <v>222</v>
      </c>
    </row>
    <row r="362" spans="1:17" x14ac:dyDescent="0.25">
      <c r="A362" s="23" t="s">
        <v>1100</v>
      </c>
      <c r="B362" s="23" t="s">
        <v>1101</v>
      </c>
      <c r="C362" s="23" t="s">
        <v>176</v>
      </c>
      <c r="D362" s="23" t="s">
        <v>489</v>
      </c>
      <c r="E362" s="23" t="s">
        <v>490</v>
      </c>
      <c r="F362">
        <v>2</v>
      </c>
      <c r="G362" s="23" t="s">
        <v>177</v>
      </c>
      <c r="H362">
        <v>0</v>
      </c>
      <c r="I362">
        <v>0</v>
      </c>
      <c r="J362" s="10">
        <v>0</v>
      </c>
      <c r="K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62">
        <v>0</v>
      </c>
      <c r="M3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62">
        <v>75</v>
      </c>
      <c r="O362" s="23" t="s">
        <v>483</v>
      </c>
      <c r="P362">
        <v>150</v>
      </c>
      <c r="Q362" s="23" t="s">
        <v>484</v>
      </c>
    </row>
    <row r="363" spans="1:17" x14ac:dyDescent="0.25">
      <c r="A363" s="23" t="s">
        <v>1147</v>
      </c>
      <c r="B363" s="23" t="s">
        <v>1145</v>
      </c>
      <c r="C363" s="23" t="s">
        <v>176</v>
      </c>
      <c r="D363" s="23" t="s">
        <v>839</v>
      </c>
      <c r="E363" s="23" t="s">
        <v>840</v>
      </c>
      <c r="F363">
        <v>0.05</v>
      </c>
      <c r="G363" s="23" t="s">
        <v>180</v>
      </c>
      <c r="H363">
        <v>0</v>
      </c>
      <c r="I363">
        <v>0</v>
      </c>
      <c r="J363" s="10">
        <v>0</v>
      </c>
      <c r="K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63">
        <v>0</v>
      </c>
      <c r="M3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63">
        <v>5</v>
      </c>
      <c r="O363" s="23"/>
      <c r="P363">
        <v>0.25</v>
      </c>
      <c r="Q363" s="23" t="s">
        <v>222</v>
      </c>
    </row>
    <row r="364" spans="1:17" x14ac:dyDescent="0.25">
      <c r="A364" s="23" t="s">
        <v>1100</v>
      </c>
      <c r="B364" s="23" t="s">
        <v>1101</v>
      </c>
      <c r="C364" s="23" t="s">
        <v>176</v>
      </c>
      <c r="D364" s="23" t="s">
        <v>839</v>
      </c>
      <c r="E364" s="23" t="s">
        <v>840</v>
      </c>
      <c r="F364">
        <v>0.05</v>
      </c>
      <c r="G364" s="23" t="s">
        <v>180</v>
      </c>
      <c r="H364">
        <v>0</v>
      </c>
      <c r="I364">
        <v>0</v>
      </c>
      <c r="J364" s="10">
        <v>0</v>
      </c>
      <c r="K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364">
        <v>0</v>
      </c>
      <c r="M3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364">
        <v>5</v>
      </c>
      <c r="O364" s="23"/>
      <c r="P364">
        <v>0.25</v>
      </c>
      <c r="Q364" s="23" t="s">
        <v>222</v>
      </c>
    </row>
    <row r="365" spans="1:17" x14ac:dyDescent="0.25">
      <c r="A365" s="23" t="s">
        <v>1100</v>
      </c>
      <c r="B365" s="23" t="s">
        <v>1101</v>
      </c>
      <c r="C365" s="23" t="s">
        <v>176</v>
      </c>
      <c r="D365" s="23" t="s">
        <v>19</v>
      </c>
      <c r="E365" s="23" t="s">
        <v>20</v>
      </c>
      <c r="F365">
        <v>7</v>
      </c>
      <c r="G365" s="23" t="s">
        <v>177</v>
      </c>
      <c r="H365">
        <v>0</v>
      </c>
      <c r="I365">
        <v>13</v>
      </c>
      <c r="J365" s="10">
        <v>22</v>
      </c>
      <c r="K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65">
        <v>30</v>
      </c>
      <c r="M3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">
        <v>122.1</v>
      </c>
      <c r="O365" s="23" t="s">
        <v>228</v>
      </c>
      <c r="P365">
        <v>854.69999999999993</v>
      </c>
      <c r="Q365" s="23" t="s">
        <v>222</v>
      </c>
    </row>
    <row r="366" spans="1:17" x14ac:dyDescent="0.25">
      <c r="A366" s="23" t="s">
        <v>1146</v>
      </c>
      <c r="B366" s="23" t="s">
        <v>1145</v>
      </c>
      <c r="C366" s="23" t="s">
        <v>176</v>
      </c>
      <c r="D366" s="23" t="s">
        <v>375</v>
      </c>
      <c r="E366" s="23" t="s">
        <v>376</v>
      </c>
      <c r="F366">
        <v>2</v>
      </c>
      <c r="G366" s="23" t="s">
        <v>177</v>
      </c>
      <c r="H366">
        <v>0</v>
      </c>
      <c r="I366">
        <v>42</v>
      </c>
      <c r="J366" s="10">
        <v>34</v>
      </c>
      <c r="K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66">
        <v>0</v>
      </c>
      <c r="M3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">
        <v>65</v>
      </c>
      <c r="O366" s="23" t="s">
        <v>242</v>
      </c>
      <c r="P366">
        <v>130</v>
      </c>
      <c r="Q366" s="23" t="s">
        <v>181</v>
      </c>
    </row>
    <row r="367" spans="1:17" x14ac:dyDescent="0.25">
      <c r="A367" s="23" t="s">
        <v>1149</v>
      </c>
      <c r="B367" s="23" t="s">
        <v>1145</v>
      </c>
      <c r="C367" s="23" t="s">
        <v>176</v>
      </c>
      <c r="D367" s="23" t="s">
        <v>19</v>
      </c>
      <c r="E367" s="23" t="s">
        <v>20</v>
      </c>
      <c r="F367">
        <v>3</v>
      </c>
      <c r="G367" s="23" t="s">
        <v>177</v>
      </c>
      <c r="H367">
        <v>0</v>
      </c>
      <c r="I367">
        <v>13</v>
      </c>
      <c r="J367" s="10">
        <v>22</v>
      </c>
      <c r="K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67">
        <v>30</v>
      </c>
      <c r="M3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">
        <v>122.1</v>
      </c>
      <c r="O367" s="23" t="s">
        <v>228</v>
      </c>
      <c r="P367">
        <v>366.29999999999995</v>
      </c>
      <c r="Q367" s="23" t="s">
        <v>222</v>
      </c>
    </row>
    <row r="368" spans="1:17" x14ac:dyDescent="0.25">
      <c r="A368" s="23" t="s">
        <v>1148</v>
      </c>
      <c r="B368" s="23" t="s">
        <v>1054</v>
      </c>
      <c r="C368" s="23" t="s">
        <v>176</v>
      </c>
      <c r="D368" s="23" t="s">
        <v>489</v>
      </c>
      <c r="E368" s="23" t="s">
        <v>490</v>
      </c>
      <c r="F368">
        <v>2</v>
      </c>
      <c r="G368" s="23" t="s">
        <v>177</v>
      </c>
      <c r="H368">
        <v>0</v>
      </c>
      <c r="I368">
        <v>0</v>
      </c>
      <c r="J368" s="10">
        <v>0</v>
      </c>
      <c r="K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68">
        <v>0</v>
      </c>
      <c r="M3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1200</v>
      </c>
      <c r="N368">
        <v>75</v>
      </c>
      <c r="O368" s="23" t="s">
        <v>483</v>
      </c>
      <c r="P368">
        <v>150</v>
      </c>
      <c r="Q368" s="23" t="s">
        <v>484</v>
      </c>
    </row>
    <row r="369" spans="1:17" x14ac:dyDescent="0.25">
      <c r="A369" s="23" t="s">
        <v>1099</v>
      </c>
      <c r="B369" s="23" t="s">
        <v>1056</v>
      </c>
      <c r="C369" s="23" t="s">
        <v>176</v>
      </c>
      <c r="D369" s="23" t="s">
        <v>1025</v>
      </c>
      <c r="E369" s="23" t="s">
        <v>1026</v>
      </c>
      <c r="F369">
        <v>4</v>
      </c>
      <c r="G369" s="23" t="s">
        <v>177</v>
      </c>
      <c r="H369">
        <v>0</v>
      </c>
      <c r="I369">
        <v>842</v>
      </c>
      <c r="J369" s="10">
        <v>0</v>
      </c>
      <c r="K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-834</v>
      </c>
      <c r="L369">
        <v>0</v>
      </c>
      <c r="M3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">
        <v>0.93</v>
      </c>
      <c r="O369" s="23" t="s">
        <v>1027</v>
      </c>
      <c r="P369">
        <v>3.72</v>
      </c>
      <c r="Q369" s="23" t="s">
        <v>181</v>
      </c>
    </row>
    <row r="370" spans="1:17" x14ac:dyDescent="0.25">
      <c r="A370" s="23" t="s">
        <v>1150</v>
      </c>
      <c r="B370" s="23" t="s">
        <v>1145</v>
      </c>
      <c r="C370" s="23" t="s">
        <v>176</v>
      </c>
      <c r="D370" s="23" t="s">
        <v>537</v>
      </c>
      <c r="E370" s="23" t="s">
        <v>538</v>
      </c>
      <c r="F370">
        <v>45</v>
      </c>
      <c r="G370" s="23" t="s">
        <v>177</v>
      </c>
      <c r="H370">
        <v>0</v>
      </c>
      <c r="I370">
        <v>2200</v>
      </c>
      <c r="J370" s="10">
        <v>0</v>
      </c>
      <c r="K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370">
        <v>0</v>
      </c>
      <c r="M3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">
        <v>0.7</v>
      </c>
      <c r="O370" s="23" t="s">
        <v>242</v>
      </c>
      <c r="P370">
        <v>31.499999999999996</v>
      </c>
      <c r="Q370" s="23" t="s">
        <v>181</v>
      </c>
    </row>
    <row r="371" spans="1:17" x14ac:dyDescent="0.25">
      <c r="A371" s="23" t="s">
        <v>1147</v>
      </c>
      <c r="B371" s="23" t="s">
        <v>1145</v>
      </c>
      <c r="C371" s="23" t="s">
        <v>176</v>
      </c>
      <c r="D371" s="23" t="s">
        <v>791</v>
      </c>
      <c r="E371" s="23" t="s">
        <v>829</v>
      </c>
      <c r="F371">
        <v>6</v>
      </c>
      <c r="G371" s="23" t="s">
        <v>180</v>
      </c>
      <c r="H371">
        <v>0</v>
      </c>
      <c r="I371">
        <v>100</v>
      </c>
      <c r="J371" s="10">
        <v>50</v>
      </c>
      <c r="K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71">
        <v>0</v>
      </c>
      <c r="M3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">
        <v>46</v>
      </c>
      <c r="O371" s="23" t="s">
        <v>792</v>
      </c>
      <c r="P371">
        <v>276</v>
      </c>
      <c r="Q371" s="23" t="s">
        <v>222</v>
      </c>
    </row>
    <row r="372" spans="1:17" x14ac:dyDescent="0.25">
      <c r="A372" s="23" t="s">
        <v>1097</v>
      </c>
      <c r="B372" s="23" t="s">
        <v>1095</v>
      </c>
      <c r="C372" s="23" t="s">
        <v>176</v>
      </c>
      <c r="D372" s="23" t="s">
        <v>465</v>
      </c>
      <c r="E372" s="23" t="s">
        <v>466</v>
      </c>
      <c r="F372">
        <v>2</v>
      </c>
      <c r="G372" s="23" t="s">
        <v>177</v>
      </c>
      <c r="H372">
        <v>0</v>
      </c>
      <c r="I372">
        <v>222</v>
      </c>
      <c r="J372" s="10">
        <v>2</v>
      </c>
      <c r="K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72">
        <v>0</v>
      </c>
      <c r="M3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">
        <v>11.5</v>
      </c>
      <c r="O372" s="23" t="s">
        <v>242</v>
      </c>
      <c r="P372">
        <v>23</v>
      </c>
      <c r="Q372" s="23" t="s">
        <v>179</v>
      </c>
    </row>
    <row r="373" spans="1:17" x14ac:dyDescent="0.25">
      <c r="A373" s="23" t="s">
        <v>1097</v>
      </c>
      <c r="B373" s="23" t="s">
        <v>1095</v>
      </c>
      <c r="C373" s="23" t="s">
        <v>176</v>
      </c>
      <c r="D373" s="23" t="s">
        <v>261</v>
      </c>
      <c r="E373" s="23" t="s">
        <v>262</v>
      </c>
      <c r="F373">
        <v>0.85000000000000009</v>
      </c>
      <c r="G373" s="23" t="s">
        <v>177</v>
      </c>
      <c r="H373">
        <v>0</v>
      </c>
      <c r="I373">
        <v>5</v>
      </c>
      <c r="J373" s="10">
        <v>0.30000000000001581</v>
      </c>
      <c r="K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373">
        <v>0</v>
      </c>
      <c r="M3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373">
        <v>1622.4</v>
      </c>
      <c r="O373" s="23" t="s">
        <v>263</v>
      </c>
      <c r="P373">
        <v>1379.0400000000002</v>
      </c>
      <c r="Q373" s="23" t="s">
        <v>184</v>
      </c>
    </row>
    <row r="374" spans="1:17" x14ac:dyDescent="0.25">
      <c r="A374" s="23" t="s">
        <v>1097</v>
      </c>
      <c r="B374" s="23" t="s">
        <v>1095</v>
      </c>
      <c r="C374" s="23" t="s">
        <v>176</v>
      </c>
      <c r="D374" s="23" t="s">
        <v>729</v>
      </c>
      <c r="E374" s="23" t="s">
        <v>730</v>
      </c>
      <c r="F374">
        <v>9</v>
      </c>
      <c r="G374" s="23" t="s">
        <v>180</v>
      </c>
      <c r="H374">
        <v>0</v>
      </c>
      <c r="I374">
        <v>0</v>
      </c>
      <c r="J374" s="10">
        <v>344</v>
      </c>
      <c r="K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74">
        <v>0</v>
      </c>
      <c r="M3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374">
        <v>20.420000000000002</v>
      </c>
      <c r="O374" s="23" t="s">
        <v>224</v>
      </c>
      <c r="P374">
        <v>183.78000000000003</v>
      </c>
      <c r="Q374" s="23" t="s">
        <v>182</v>
      </c>
    </row>
    <row r="375" spans="1:17" x14ac:dyDescent="0.25">
      <c r="A375" s="23" t="s">
        <v>1197</v>
      </c>
      <c r="B375" s="23" t="s">
        <v>1198</v>
      </c>
      <c r="C375" s="23" t="s">
        <v>176</v>
      </c>
      <c r="D375" s="23" t="s">
        <v>352</v>
      </c>
      <c r="E375" s="23" t="s">
        <v>353</v>
      </c>
      <c r="F375">
        <v>229</v>
      </c>
      <c r="G375" s="23" t="s">
        <v>177</v>
      </c>
      <c r="H375">
        <v>0</v>
      </c>
      <c r="I375">
        <v>4000</v>
      </c>
      <c r="J375" s="10">
        <v>7366</v>
      </c>
      <c r="K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375">
        <v>0</v>
      </c>
      <c r="M3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">
        <v>0.35</v>
      </c>
      <c r="O375" s="23" t="s">
        <v>242</v>
      </c>
      <c r="P375">
        <v>80.149999999999991</v>
      </c>
      <c r="Q375" s="23" t="s">
        <v>181</v>
      </c>
    </row>
    <row r="376" spans="1:17" x14ac:dyDescent="0.25">
      <c r="A376" s="23" t="s">
        <v>1057</v>
      </c>
      <c r="B376" s="23" t="s">
        <v>1056</v>
      </c>
      <c r="C376" s="23" t="s">
        <v>176</v>
      </c>
      <c r="D376" s="23" t="s">
        <v>465</v>
      </c>
      <c r="E376" s="23" t="s">
        <v>466</v>
      </c>
      <c r="F376">
        <v>2</v>
      </c>
      <c r="G376" s="23" t="s">
        <v>177</v>
      </c>
      <c r="H376">
        <v>0</v>
      </c>
      <c r="I376">
        <v>222</v>
      </c>
      <c r="J376" s="10">
        <v>2</v>
      </c>
      <c r="K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76">
        <v>0</v>
      </c>
      <c r="M3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">
        <v>11.5</v>
      </c>
      <c r="O376" s="23" t="s">
        <v>242</v>
      </c>
      <c r="P376">
        <v>23</v>
      </c>
      <c r="Q376" s="23" t="s">
        <v>179</v>
      </c>
    </row>
    <row r="377" spans="1:17" x14ac:dyDescent="0.25">
      <c r="A377" s="23" t="s">
        <v>1143</v>
      </c>
      <c r="B377" s="23" t="s">
        <v>1054</v>
      </c>
      <c r="C377" s="23" t="s">
        <v>176</v>
      </c>
      <c r="D377" s="23" t="s">
        <v>465</v>
      </c>
      <c r="E377" s="23" t="s">
        <v>466</v>
      </c>
      <c r="F377">
        <v>20</v>
      </c>
      <c r="G377" s="23" t="s">
        <v>177</v>
      </c>
      <c r="H377">
        <v>0</v>
      </c>
      <c r="I377">
        <v>222</v>
      </c>
      <c r="J377" s="10">
        <v>2</v>
      </c>
      <c r="K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77">
        <v>0</v>
      </c>
      <c r="M3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">
        <v>11.5</v>
      </c>
      <c r="O377" s="23" t="s">
        <v>242</v>
      </c>
      <c r="P377">
        <v>230</v>
      </c>
      <c r="Q377" s="23" t="s">
        <v>179</v>
      </c>
    </row>
    <row r="378" spans="1:17" x14ac:dyDescent="0.25">
      <c r="A378" s="23" t="s">
        <v>1094</v>
      </c>
      <c r="B378" s="23" t="s">
        <v>1095</v>
      </c>
      <c r="C378" s="23" t="s">
        <v>176</v>
      </c>
      <c r="D378" s="23" t="s">
        <v>261</v>
      </c>
      <c r="E378" s="23" t="s">
        <v>262</v>
      </c>
      <c r="F378">
        <v>0.85000000000000009</v>
      </c>
      <c r="G378" s="23" t="s">
        <v>177</v>
      </c>
      <c r="H378">
        <v>0</v>
      </c>
      <c r="I378">
        <v>5</v>
      </c>
      <c r="J378" s="10">
        <v>0.30000000000001581</v>
      </c>
      <c r="K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378">
        <v>0</v>
      </c>
      <c r="M3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378">
        <v>1622.4</v>
      </c>
      <c r="O378" s="23" t="s">
        <v>263</v>
      </c>
      <c r="P378">
        <v>1379.0400000000002</v>
      </c>
      <c r="Q378" s="23" t="s">
        <v>184</v>
      </c>
    </row>
    <row r="379" spans="1:17" x14ac:dyDescent="0.25">
      <c r="A379" s="23" t="s">
        <v>1057</v>
      </c>
      <c r="B379" s="23" t="s">
        <v>1056</v>
      </c>
      <c r="C379" s="23" t="s">
        <v>176</v>
      </c>
      <c r="D379" s="23" t="s">
        <v>261</v>
      </c>
      <c r="E379" s="23" t="s">
        <v>262</v>
      </c>
      <c r="F379">
        <v>0.7</v>
      </c>
      <c r="G379" s="23" t="s">
        <v>177</v>
      </c>
      <c r="H379">
        <v>0</v>
      </c>
      <c r="I379">
        <v>5</v>
      </c>
      <c r="J379" s="10">
        <v>0.30000000000001581</v>
      </c>
      <c r="K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379">
        <v>0</v>
      </c>
      <c r="M3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379">
        <v>1622.4</v>
      </c>
      <c r="O379" s="23" t="s">
        <v>263</v>
      </c>
      <c r="P379">
        <v>1135.68</v>
      </c>
      <c r="Q379" s="23" t="s">
        <v>184</v>
      </c>
    </row>
    <row r="380" spans="1:17" x14ac:dyDescent="0.25">
      <c r="A380" s="23" t="s">
        <v>1143</v>
      </c>
      <c r="B380" s="23" t="s">
        <v>1054</v>
      </c>
      <c r="C380" s="23" t="s">
        <v>176</v>
      </c>
      <c r="D380" s="23" t="s">
        <v>729</v>
      </c>
      <c r="E380" s="23" t="s">
        <v>730</v>
      </c>
      <c r="F380">
        <v>9</v>
      </c>
      <c r="G380" s="23" t="s">
        <v>180</v>
      </c>
      <c r="H380">
        <v>0</v>
      </c>
      <c r="I380">
        <v>0</v>
      </c>
      <c r="J380" s="10">
        <v>344</v>
      </c>
      <c r="K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80">
        <v>0</v>
      </c>
      <c r="M3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380">
        <v>20.420000000000002</v>
      </c>
      <c r="O380" s="23" t="s">
        <v>224</v>
      </c>
      <c r="P380">
        <v>183.78000000000003</v>
      </c>
      <c r="Q380" s="23" t="s">
        <v>182</v>
      </c>
    </row>
    <row r="381" spans="1:17" x14ac:dyDescent="0.25">
      <c r="A381" s="23" t="s">
        <v>1094</v>
      </c>
      <c r="B381" s="23" t="s">
        <v>1095</v>
      </c>
      <c r="C381" s="23" t="s">
        <v>176</v>
      </c>
      <c r="D381" s="23" t="s">
        <v>352</v>
      </c>
      <c r="E381" s="23" t="s">
        <v>353</v>
      </c>
      <c r="F381">
        <v>129</v>
      </c>
      <c r="G381" s="23" t="s">
        <v>177</v>
      </c>
      <c r="H381">
        <v>0</v>
      </c>
      <c r="I381">
        <v>4000</v>
      </c>
      <c r="J381" s="10">
        <v>7366</v>
      </c>
      <c r="K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381">
        <v>0</v>
      </c>
      <c r="M3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">
        <v>0.35</v>
      </c>
      <c r="O381" s="23" t="s">
        <v>242</v>
      </c>
      <c r="P381">
        <v>45.15</v>
      </c>
      <c r="Q381" s="23" t="s">
        <v>181</v>
      </c>
    </row>
    <row r="382" spans="1:17" x14ac:dyDescent="0.25">
      <c r="A382" s="23" t="s">
        <v>1058</v>
      </c>
      <c r="B382" s="23" t="s">
        <v>1059</v>
      </c>
      <c r="C382" s="23" t="s">
        <v>176</v>
      </c>
      <c r="D382" s="23" t="s">
        <v>465</v>
      </c>
      <c r="E382" s="23" t="s">
        <v>466</v>
      </c>
      <c r="F382">
        <v>2</v>
      </c>
      <c r="G382" s="23" t="s">
        <v>177</v>
      </c>
      <c r="H382">
        <v>0</v>
      </c>
      <c r="I382">
        <v>222</v>
      </c>
      <c r="J382" s="10">
        <v>2</v>
      </c>
      <c r="K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82">
        <v>0</v>
      </c>
      <c r="M3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">
        <v>11.5</v>
      </c>
      <c r="O382" s="23" t="s">
        <v>242</v>
      </c>
      <c r="P382">
        <v>23</v>
      </c>
      <c r="Q382" s="23" t="s">
        <v>179</v>
      </c>
    </row>
    <row r="383" spans="1:17" x14ac:dyDescent="0.25">
      <c r="A383" s="23" t="s">
        <v>1055</v>
      </c>
      <c r="B383" s="23" t="s">
        <v>1056</v>
      </c>
      <c r="C383" s="23" t="s">
        <v>176</v>
      </c>
      <c r="D383" s="23" t="s">
        <v>465</v>
      </c>
      <c r="E383" s="23" t="s">
        <v>466</v>
      </c>
      <c r="F383">
        <v>2</v>
      </c>
      <c r="G383" s="23" t="s">
        <v>177</v>
      </c>
      <c r="H383">
        <v>0</v>
      </c>
      <c r="I383">
        <v>222</v>
      </c>
      <c r="J383" s="10">
        <v>2</v>
      </c>
      <c r="K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83">
        <v>0</v>
      </c>
      <c r="M3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">
        <v>11.5</v>
      </c>
      <c r="O383" s="23" t="s">
        <v>242</v>
      </c>
      <c r="P383">
        <v>23</v>
      </c>
      <c r="Q383" s="23" t="s">
        <v>179</v>
      </c>
    </row>
    <row r="384" spans="1:17" x14ac:dyDescent="0.25">
      <c r="A384" s="23" t="s">
        <v>1099</v>
      </c>
      <c r="B384" s="23" t="s">
        <v>1056</v>
      </c>
      <c r="C384" s="23" t="s">
        <v>176</v>
      </c>
      <c r="D384" s="23" t="s">
        <v>465</v>
      </c>
      <c r="E384" s="23" t="s">
        <v>466</v>
      </c>
      <c r="F384">
        <v>2</v>
      </c>
      <c r="G384" s="23" t="s">
        <v>177</v>
      </c>
      <c r="H384">
        <v>0</v>
      </c>
      <c r="I384">
        <v>222</v>
      </c>
      <c r="J384" s="10">
        <v>2</v>
      </c>
      <c r="K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84">
        <v>0</v>
      </c>
      <c r="M3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">
        <v>11.5</v>
      </c>
      <c r="O384" s="23" t="s">
        <v>242</v>
      </c>
      <c r="P384">
        <v>23</v>
      </c>
      <c r="Q384" s="23" t="s">
        <v>179</v>
      </c>
    </row>
    <row r="385" spans="1:17" x14ac:dyDescent="0.25">
      <c r="A385" s="23" t="s">
        <v>1058</v>
      </c>
      <c r="B385" s="23" t="s">
        <v>1059</v>
      </c>
      <c r="C385" s="23" t="s">
        <v>176</v>
      </c>
      <c r="D385" s="23" t="s">
        <v>261</v>
      </c>
      <c r="E385" s="23" t="s">
        <v>262</v>
      </c>
      <c r="F385">
        <v>0.7</v>
      </c>
      <c r="G385" s="23" t="s">
        <v>177</v>
      </c>
      <c r="H385">
        <v>0</v>
      </c>
      <c r="I385">
        <v>5</v>
      </c>
      <c r="J385" s="10">
        <v>0.30000000000001581</v>
      </c>
      <c r="K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385">
        <v>0</v>
      </c>
      <c r="M3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385">
        <v>1622.4</v>
      </c>
      <c r="O385" s="23" t="s">
        <v>263</v>
      </c>
      <c r="P385">
        <v>1135.68</v>
      </c>
      <c r="Q385" s="23" t="s">
        <v>184</v>
      </c>
    </row>
    <row r="386" spans="1:17" x14ac:dyDescent="0.25">
      <c r="A386" s="23" t="s">
        <v>1100</v>
      </c>
      <c r="B386" s="23" t="s">
        <v>1101</v>
      </c>
      <c r="C386" s="23" t="s">
        <v>176</v>
      </c>
      <c r="D386" s="23" t="s">
        <v>791</v>
      </c>
      <c r="E386" s="23" t="s">
        <v>829</v>
      </c>
      <c r="F386">
        <v>6</v>
      </c>
      <c r="G386" s="23" t="s">
        <v>180</v>
      </c>
      <c r="H386">
        <v>0</v>
      </c>
      <c r="I386">
        <v>100</v>
      </c>
      <c r="J386" s="10">
        <v>50</v>
      </c>
      <c r="K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86">
        <v>0</v>
      </c>
      <c r="M3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">
        <v>46</v>
      </c>
      <c r="O386" s="23" t="s">
        <v>792</v>
      </c>
      <c r="P386">
        <v>276</v>
      </c>
      <c r="Q386" s="23" t="s">
        <v>222</v>
      </c>
    </row>
    <row r="387" spans="1:17" x14ac:dyDescent="0.25">
      <c r="A387" s="23" t="s">
        <v>1144</v>
      </c>
      <c r="B387" s="23" t="s">
        <v>1145</v>
      </c>
      <c r="C387" s="23" t="s">
        <v>176</v>
      </c>
      <c r="D387" s="23" t="s">
        <v>465</v>
      </c>
      <c r="E387" s="23" t="s">
        <v>466</v>
      </c>
      <c r="F387">
        <v>2</v>
      </c>
      <c r="G387" s="23" t="s">
        <v>177</v>
      </c>
      <c r="H387">
        <v>0</v>
      </c>
      <c r="I387">
        <v>222</v>
      </c>
      <c r="J387" s="10">
        <v>2</v>
      </c>
      <c r="K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87">
        <v>0</v>
      </c>
      <c r="M3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">
        <v>11.5</v>
      </c>
      <c r="O387" s="23" t="s">
        <v>242</v>
      </c>
      <c r="P387">
        <v>23</v>
      </c>
      <c r="Q387" s="23" t="s">
        <v>179</v>
      </c>
    </row>
    <row r="388" spans="1:17" x14ac:dyDescent="0.25">
      <c r="A388" s="23" t="s">
        <v>1146</v>
      </c>
      <c r="B388" s="23" t="s">
        <v>1145</v>
      </c>
      <c r="C388" s="23" t="s">
        <v>176</v>
      </c>
      <c r="D388" s="23" t="s">
        <v>465</v>
      </c>
      <c r="E388" s="23" t="s">
        <v>466</v>
      </c>
      <c r="F388">
        <v>2</v>
      </c>
      <c r="G388" s="23" t="s">
        <v>177</v>
      </c>
      <c r="H388">
        <v>0</v>
      </c>
      <c r="I388">
        <v>222</v>
      </c>
      <c r="J388" s="10">
        <v>2</v>
      </c>
      <c r="K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88">
        <v>0</v>
      </c>
      <c r="M3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">
        <v>11.5</v>
      </c>
      <c r="O388" s="23" t="s">
        <v>242</v>
      </c>
      <c r="P388">
        <v>23</v>
      </c>
      <c r="Q388" s="23" t="s">
        <v>179</v>
      </c>
    </row>
    <row r="389" spans="1:17" x14ac:dyDescent="0.25">
      <c r="A389" s="23" t="s">
        <v>1144</v>
      </c>
      <c r="B389" s="23" t="s">
        <v>1145</v>
      </c>
      <c r="C389" s="23" t="s">
        <v>176</v>
      </c>
      <c r="D389" s="23" t="s">
        <v>261</v>
      </c>
      <c r="E389" s="23" t="s">
        <v>262</v>
      </c>
      <c r="F389">
        <v>0.7</v>
      </c>
      <c r="G389" s="23" t="s">
        <v>177</v>
      </c>
      <c r="H389">
        <v>0</v>
      </c>
      <c r="I389">
        <v>5</v>
      </c>
      <c r="J389" s="10">
        <v>0.30000000000001581</v>
      </c>
      <c r="K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389">
        <v>0</v>
      </c>
      <c r="M3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389">
        <v>1622.4</v>
      </c>
      <c r="O389" s="23" t="s">
        <v>263</v>
      </c>
      <c r="P389">
        <v>1135.68</v>
      </c>
      <c r="Q389" s="23" t="s">
        <v>184</v>
      </c>
    </row>
    <row r="390" spans="1:17" x14ac:dyDescent="0.25">
      <c r="A390" s="23" t="s">
        <v>1146</v>
      </c>
      <c r="B390" s="23" t="s">
        <v>1145</v>
      </c>
      <c r="C390" s="23" t="s">
        <v>176</v>
      </c>
      <c r="D390" s="23" t="s">
        <v>261</v>
      </c>
      <c r="E390" s="23" t="s">
        <v>262</v>
      </c>
      <c r="F390">
        <v>0.7</v>
      </c>
      <c r="G390" s="23" t="s">
        <v>177</v>
      </c>
      <c r="H390">
        <v>0</v>
      </c>
      <c r="I390">
        <v>5</v>
      </c>
      <c r="J390" s="10">
        <v>0.30000000000001581</v>
      </c>
      <c r="K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390">
        <v>0</v>
      </c>
      <c r="M3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390">
        <v>1622.4</v>
      </c>
      <c r="O390" s="23" t="s">
        <v>263</v>
      </c>
      <c r="P390">
        <v>1135.68</v>
      </c>
      <c r="Q390" s="23" t="s">
        <v>184</v>
      </c>
    </row>
    <row r="391" spans="1:17" x14ac:dyDescent="0.25">
      <c r="A391" s="23" t="s">
        <v>1146</v>
      </c>
      <c r="B391" s="23" t="s">
        <v>1145</v>
      </c>
      <c r="C391" s="23" t="s">
        <v>176</v>
      </c>
      <c r="D391" s="23" t="s">
        <v>791</v>
      </c>
      <c r="E391" s="23" t="s">
        <v>829</v>
      </c>
      <c r="F391">
        <v>6</v>
      </c>
      <c r="G391" s="23" t="s">
        <v>180</v>
      </c>
      <c r="H391">
        <v>0</v>
      </c>
      <c r="I391">
        <v>100</v>
      </c>
      <c r="J391" s="10">
        <v>50</v>
      </c>
      <c r="K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1">
        <v>0</v>
      </c>
      <c r="M3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">
        <v>46</v>
      </c>
      <c r="O391" s="23" t="s">
        <v>792</v>
      </c>
      <c r="P391">
        <v>276</v>
      </c>
      <c r="Q391" s="23" t="s">
        <v>222</v>
      </c>
    </row>
    <row r="392" spans="1:17" x14ac:dyDescent="0.25">
      <c r="A392" s="23" t="s">
        <v>1144</v>
      </c>
      <c r="B392" s="23" t="s">
        <v>1145</v>
      </c>
      <c r="C392" s="23" t="s">
        <v>176</v>
      </c>
      <c r="D392" s="23" t="s">
        <v>791</v>
      </c>
      <c r="E392" s="23" t="s">
        <v>829</v>
      </c>
      <c r="F392">
        <v>6</v>
      </c>
      <c r="G392" s="23" t="s">
        <v>180</v>
      </c>
      <c r="H392">
        <v>0</v>
      </c>
      <c r="I392">
        <v>100</v>
      </c>
      <c r="J392" s="10">
        <v>50</v>
      </c>
      <c r="K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92">
        <v>0</v>
      </c>
      <c r="M3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">
        <v>46</v>
      </c>
      <c r="O392" s="23" t="s">
        <v>792</v>
      </c>
      <c r="P392">
        <v>276</v>
      </c>
      <c r="Q392" s="23" t="s">
        <v>222</v>
      </c>
    </row>
    <row r="393" spans="1:17" x14ac:dyDescent="0.25">
      <c r="A393" s="23" t="s">
        <v>1149</v>
      </c>
      <c r="B393" s="23" t="s">
        <v>1145</v>
      </c>
      <c r="C393" s="23" t="s">
        <v>176</v>
      </c>
      <c r="D393" s="23" t="s">
        <v>352</v>
      </c>
      <c r="E393" s="23" t="s">
        <v>353</v>
      </c>
      <c r="F393">
        <v>229</v>
      </c>
      <c r="G393" s="23" t="s">
        <v>177</v>
      </c>
      <c r="H393">
        <v>0</v>
      </c>
      <c r="I393">
        <v>4000</v>
      </c>
      <c r="J393" s="10">
        <v>7366</v>
      </c>
      <c r="K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393">
        <v>0</v>
      </c>
      <c r="M3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">
        <v>0.35</v>
      </c>
      <c r="O393" s="23" t="s">
        <v>242</v>
      </c>
      <c r="P393">
        <v>80.149999999999991</v>
      </c>
      <c r="Q393" s="23" t="s">
        <v>181</v>
      </c>
    </row>
    <row r="394" spans="1:17" x14ac:dyDescent="0.25">
      <c r="A394" s="23" t="s">
        <v>1143</v>
      </c>
      <c r="B394" s="23" t="s">
        <v>1054</v>
      </c>
      <c r="C394" s="23" t="s">
        <v>176</v>
      </c>
      <c r="D394" s="23" t="s">
        <v>352</v>
      </c>
      <c r="E394" s="23" t="s">
        <v>353</v>
      </c>
      <c r="F394">
        <v>162</v>
      </c>
      <c r="G394" s="23" t="s">
        <v>177</v>
      </c>
      <c r="H394">
        <v>0</v>
      </c>
      <c r="I394">
        <v>4000</v>
      </c>
      <c r="J394" s="10">
        <v>7366</v>
      </c>
      <c r="K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394">
        <v>0</v>
      </c>
      <c r="M3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">
        <v>0.35</v>
      </c>
      <c r="O394" s="23" t="s">
        <v>242</v>
      </c>
      <c r="P394">
        <v>56.699999999999996</v>
      </c>
      <c r="Q394" s="23" t="s">
        <v>181</v>
      </c>
    </row>
    <row r="395" spans="1:17" x14ac:dyDescent="0.25">
      <c r="A395" s="23" t="s">
        <v>1057</v>
      </c>
      <c r="B395" s="23" t="s">
        <v>1056</v>
      </c>
      <c r="C395" s="23" t="s">
        <v>176</v>
      </c>
      <c r="D395" s="23" t="s">
        <v>352</v>
      </c>
      <c r="E395" s="23" t="s">
        <v>353</v>
      </c>
      <c r="F395">
        <v>155</v>
      </c>
      <c r="G395" s="23" t="s">
        <v>177</v>
      </c>
      <c r="H395">
        <v>0</v>
      </c>
      <c r="I395">
        <v>4000</v>
      </c>
      <c r="J395" s="10">
        <v>7366</v>
      </c>
      <c r="K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395">
        <v>0</v>
      </c>
      <c r="M3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">
        <v>0.35</v>
      </c>
      <c r="O395" s="23" t="s">
        <v>242</v>
      </c>
      <c r="P395">
        <v>54.25</v>
      </c>
      <c r="Q395" s="23" t="s">
        <v>181</v>
      </c>
    </row>
    <row r="396" spans="1:17" x14ac:dyDescent="0.25">
      <c r="A396" s="23" t="s">
        <v>1100</v>
      </c>
      <c r="B396" s="23" t="s">
        <v>1101</v>
      </c>
      <c r="C396" s="23" t="s">
        <v>176</v>
      </c>
      <c r="D396" s="23" t="s">
        <v>465</v>
      </c>
      <c r="E396" s="23" t="s">
        <v>466</v>
      </c>
      <c r="F396">
        <v>2</v>
      </c>
      <c r="G396" s="23" t="s">
        <v>177</v>
      </c>
      <c r="H396">
        <v>0</v>
      </c>
      <c r="I396">
        <v>222</v>
      </c>
      <c r="J396" s="10">
        <v>2</v>
      </c>
      <c r="K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396">
        <v>0</v>
      </c>
      <c r="M3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">
        <v>11.5</v>
      </c>
      <c r="O396" s="23" t="s">
        <v>242</v>
      </c>
      <c r="P396">
        <v>23</v>
      </c>
      <c r="Q396" s="23" t="s">
        <v>179</v>
      </c>
    </row>
    <row r="397" spans="1:17" x14ac:dyDescent="0.25">
      <c r="A397" s="23" t="s">
        <v>1142</v>
      </c>
      <c r="B397" s="23" t="s">
        <v>1054</v>
      </c>
      <c r="C397" s="23" t="s">
        <v>176</v>
      </c>
      <c r="D397" s="23" t="s">
        <v>332</v>
      </c>
      <c r="E397" s="23" t="s">
        <v>333</v>
      </c>
      <c r="F397">
        <v>2</v>
      </c>
      <c r="G397" s="23" t="s">
        <v>177</v>
      </c>
      <c r="H397">
        <v>0</v>
      </c>
      <c r="I397">
        <v>809</v>
      </c>
      <c r="J397" s="10">
        <v>0</v>
      </c>
      <c r="K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397">
        <v>0</v>
      </c>
      <c r="M3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">
        <v>2.4</v>
      </c>
      <c r="O397" s="23" t="s">
        <v>242</v>
      </c>
      <c r="P397">
        <v>4.8</v>
      </c>
      <c r="Q397" s="23" t="s">
        <v>181</v>
      </c>
    </row>
    <row r="398" spans="1:17" x14ac:dyDescent="0.25">
      <c r="A398" s="23" t="s">
        <v>1096</v>
      </c>
      <c r="B398" s="23" t="s">
        <v>1053</v>
      </c>
      <c r="C398" s="23" t="s">
        <v>176</v>
      </c>
      <c r="D398" s="23" t="s">
        <v>332</v>
      </c>
      <c r="E398" s="23" t="s">
        <v>333</v>
      </c>
      <c r="F398">
        <v>4</v>
      </c>
      <c r="G398" s="23" t="s">
        <v>177</v>
      </c>
      <c r="H398">
        <v>0</v>
      </c>
      <c r="I398">
        <v>809</v>
      </c>
      <c r="J398" s="10">
        <v>0</v>
      </c>
      <c r="K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398">
        <v>0</v>
      </c>
      <c r="M3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">
        <v>2.4</v>
      </c>
      <c r="O398" s="23" t="s">
        <v>242</v>
      </c>
      <c r="P398">
        <v>9.6</v>
      </c>
      <c r="Q398" s="23" t="s">
        <v>181</v>
      </c>
    </row>
    <row r="399" spans="1:17" x14ac:dyDescent="0.25">
      <c r="A399" s="23" t="s">
        <v>1142</v>
      </c>
      <c r="B399" s="23" t="s">
        <v>1054</v>
      </c>
      <c r="C399" s="23" t="s">
        <v>176</v>
      </c>
      <c r="D399" s="23" t="s">
        <v>42</v>
      </c>
      <c r="E399" s="23" t="s">
        <v>43</v>
      </c>
      <c r="F399">
        <v>33</v>
      </c>
      <c r="G399" s="23" t="s">
        <v>177</v>
      </c>
      <c r="H399">
        <v>0</v>
      </c>
      <c r="I399">
        <v>2800</v>
      </c>
      <c r="J399" s="10">
        <v>2439</v>
      </c>
      <c r="K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399">
        <v>0</v>
      </c>
      <c r="M3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">
        <v>0.18</v>
      </c>
      <c r="O399" s="23" t="s">
        <v>242</v>
      </c>
      <c r="P399">
        <v>5.9399999999999995</v>
      </c>
      <c r="Q399" s="23" t="s">
        <v>181</v>
      </c>
    </row>
    <row r="400" spans="1:17" x14ac:dyDescent="0.25">
      <c r="A400" s="23" t="s">
        <v>1058</v>
      </c>
      <c r="B400" s="23" t="s">
        <v>1059</v>
      </c>
      <c r="C400" s="23" t="s">
        <v>176</v>
      </c>
      <c r="D400" s="23" t="s">
        <v>210</v>
      </c>
      <c r="E400" s="23" t="s">
        <v>294</v>
      </c>
      <c r="F400">
        <v>9</v>
      </c>
      <c r="G400" s="23" t="s">
        <v>177</v>
      </c>
      <c r="H400">
        <v>0</v>
      </c>
      <c r="I400">
        <v>0</v>
      </c>
      <c r="J400" s="10">
        <v>0</v>
      </c>
      <c r="K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33</v>
      </c>
      <c r="L400">
        <v>0</v>
      </c>
      <c r="M4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3.96</v>
      </c>
      <c r="N400">
        <v>0.12</v>
      </c>
      <c r="O400" s="23" t="s">
        <v>229</v>
      </c>
      <c r="P400">
        <v>1.08</v>
      </c>
      <c r="Q400" s="23" t="s">
        <v>222</v>
      </c>
    </row>
    <row r="401" spans="1:17" x14ac:dyDescent="0.25">
      <c r="A401" s="23" t="s">
        <v>1055</v>
      </c>
      <c r="B401" s="23" t="s">
        <v>1056</v>
      </c>
      <c r="C401" s="23" t="s">
        <v>176</v>
      </c>
      <c r="D401" s="23" t="s">
        <v>210</v>
      </c>
      <c r="E401" s="23" t="s">
        <v>294</v>
      </c>
      <c r="F401">
        <v>12</v>
      </c>
      <c r="G401" s="23" t="s">
        <v>177</v>
      </c>
      <c r="H401">
        <v>0</v>
      </c>
      <c r="I401">
        <v>0</v>
      </c>
      <c r="J401" s="10">
        <v>0</v>
      </c>
      <c r="K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33</v>
      </c>
      <c r="L401">
        <v>0</v>
      </c>
      <c r="M4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3.96</v>
      </c>
      <c r="N401">
        <v>0.12</v>
      </c>
      <c r="O401" s="23" t="s">
        <v>229</v>
      </c>
      <c r="P401">
        <v>1.44</v>
      </c>
      <c r="Q401" s="23" t="s">
        <v>222</v>
      </c>
    </row>
    <row r="402" spans="1:17" x14ac:dyDescent="0.25">
      <c r="A402" s="23" t="s">
        <v>1099</v>
      </c>
      <c r="B402" s="23" t="s">
        <v>1056</v>
      </c>
      <c r="C402" s="23" t="s">
        <v>176</v>
      </c>
      <c r="D402" s="23" t="s">
        <v>915</v>
      </c>
      <c r="E402" s="23" t="s">
        <v>916</v>
      </c>
      <c r="F402">
        <v>3</v>
      </c>
      <c r="G402" s="23" t="s">
        <v>180</v>
      </c>
      <c r="H402">
        <v>0</v>
      </c>
      <c r="I402">
        <v>100</v>
      </c>
      <c r="J402" s="10">
        <v>26</v>
      </c>
      <c r="K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402">
        <v>0</v>
      </c>
      <c r="M4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">
        <v>49.1</v>
      </c>
      <c r="O402" s="23" t="s">
        <v>827</v>
      </c>
      <c r="P402">
        <v>147.30000000000001</v>
      </c>
      <c r="Q402" s="23" t="s">
        <v>222</v>
      </c>
    </row>
    <row r="403" spans="1:17" x14ac:dyDescent="0.25">
      <c r="A403" s="23" t="s">
        <v>1058</v>
      </c>
      <c r="B403" s="23" t="s">
        <v>1059</v>
      </c>
      <c r="C403" s="23" t="s">
        <v>176</v>
      </c>
      <c r="D403" s="23" t="s">
        <v>913</v>
      </c>
      <c r="E403" s="23" t="s">
        <v>914</v>
      </c>
      <c r="F403">
        <v>3</v>
      </c>
      <c r="G403" s="23" t="s">
        <v>180</v>
      </c>
      <c r="H403">
        <v>0</v>
      </c>
      <c r="I403">
        <v>100</v>
      </c>
      <c r="J403" s="10">
        <v>26</v>
      </c>
      <c r="K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403">
        <v>0</v>
      </c>
      <c r="M4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">
        <v>49.1</v>
      </c>
      <c r="O403" s="23" t="s">
        <v>827</v>
      </c>
      <c r="P403">
        <v>147.30000000000001</v>
      </c>
      <c r="Q403" s="23" t="s">
        <v>222</v>
      </c>
    </row>
    <row r="404" spans="1:17" x14ac:dyDescent="0.25">
      <c r="A404" s="23" t="s">
        <v>1055</v>
      </c>
      <c r="B404" s="23" t="s">
        <v>1056</v>
      </c>
      <c r="C404" s="23" t="s">
        <v>176</v>
      </c>
      <c r="D404" s="23" t="s">
        <v>913</v>
      </c>
      <c r="E404" s="23" t="s">
        <v>914</v>
      </c>
      <c r="F404">
        <v>3</v>
      </c>
      <c r="G404" s="23" t="s">
        <v>180</v>
      </c>
      <c r="H404">
        <v>0</v>
      </c>
      <c r="I404">
        <v>100</v>
      </c>
      <c r="J404" s="10">
        <v>26</v>
      </c>
      <c r="K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404">
        <v>0</v>
      </c>
      <c r="M4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">
        <v>49.1</v>
      </c>
      <c r="O404" s="23" t="s">
        <v>827</v>
      </c>
      <c r="P404">
        <v>147.30000000000001</v>
      </c>
      <c r="Q404" s="23" t="s">
        <v>222</v>
      </c>
    </row>
    <row r="405" spans="1:17" x14ac:dyDescent="0.25">
      <c r="A405" s="23" t="s">
        <v>1099</v>
      </c>
      <c r="B405" s="23" t="s">
        <v>1056</v>
      </c>
      <c r="C405" s="23" t="s">
        <v>176</v>
      </c>
      <c r="D405" s="23" t="s">
        <v>913</v>
      </c>
      <c r="E405" s="23" t="s">
        <v>914</v>
      </c>
      <c r="F405">
        <v>3</v>
      </c>
      <c r="G405" s="23" t="s">
        <v>180</v>
      </c>
      <c r="H405">
        <v>0</v>
      </c>
      <c r="I405">
        <v>100</v>
      </c>
      <c r="J405" s="10">
        <v>26</v>
      </c>
      <c r="K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405">
        <v>0</v>
      </c>
      <c r="M4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">
        <v>49.1</v>
      </c>
      <c r="O405" s="23" t="s">
        <v>827</v>
      </c>
      <c r="P405">
        <v>147.30000000000001</v>
      </c>
      <c r="Q405" s="23" t="s">
        <v>222</v>
      </c>
    </row>
    <row r="406" spans="1:17" x14ac:dyDescent="0.25">
      <c r="A406" s="23" t="s">
        <v>1058</v>
      </c>
      <c r="B406" s="23" t="s">
        <v>1059</v>
      </c>
      <c r="C406" s="23" t="s">
        <v>176</v>
      </c>
      <c r="D406" s="23" t="s">
        <v>42</v>
      </c>
      <c r="E406" s="23" t="s">
        <v>43</v>
      </c>
      <c r="F406">
        <v>33</v>
      </c>
      <c r="G406" s="23" t="s">
        <v>177</v>
      </c>
      <c r="H406">
        <v>0</v>
      </c>
      <c r="I406">
        <v>2800</v>
      </c>
      <c r="J406" s="10">
        <v>2439</v>
      </c>
      <c r="K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6">
        <v>0</v>
      </c>
      <c r="M4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">
        <v>0.18</v>
      </c>
      <c r="O406" s="23" t="s">
        <v>242</v>
      </c>
      <c r="P406">
        <v>5.9399999999999995</v>
      </c>
      <c r="Q406" s="23" t="s">
        <v>181</v>
      </c>
    </row>
    <row r="407" spans="1:17" x14ac:dyDescent="0.25">
      <c r="A407" s="23" t="s">
        <v>1147</v>
      </c>
      <c r="B407" s="23" t="s">
        <v>1145</v>
      </c>
      <c r="C407" s="23" t="s">
        <v>176</v>
      </c>
      <c r="D407" s="23" t="s">
        <v>42</v>
      </c>
      <c r="E407" s="23" t="s">
        <v>43</v>
      </c>
      <c r="F407">
        <v>33</v>
      </c>
      <c r="G407" s="23" t="s">
        <v>177</v>
      </c>
      <c r="H407">
        <v>0</v>
      </c>
      <c r="I407">
        <v>2800</v>
      </c>
      <c r="J407" s="10">
        <v>2439</v>
      </c>
      <c r="K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7">
        <v>0</v>
      </c>
      <c r="M4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">
        <v>0.18</v>
      </c>
      <c r="O407" s="23" t="s">
        <v>242</v>
      </c>
      <c r="P407">
        <v>5.9399999999999995</v>
      </c>
      <c r="Q407" s="23" t="s">
        <v>181</v>
      </c>
    </row>
    <row r="408" spans="1:17" x14ac:dyDescent="0.25">
      <c r="A408" s="23" t="s">
        <v>1099</v>
      </c>
      <c r="B408" s="23" t="s">
        <v>1056</v>
      </c>
      <c r="C408" s="23" t="s">
        <v>176</v>
      </c>
      <c r="D408" s="23" t="s">
        <v>42</v>
      </c>
      <c r="E408" s="23" t="s">
        <v>43</v>
      </c>
      <c r="F408">
        <v>113</v>
      </c>
      <c r="G408" s="23" t="s">
        <v>177</v>
      </c>
      <c r="H408">
        <v>0</v>
      </c>
      <c r="I408">
        <v>2800</v>
      </c>
      <c r="J408" s="10">
        <v>2439</v>
      </c>
      <c r="K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08">
        <v>0</v>
      </c>
      <c r="M4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">
        <v>0.18</v>
      </c>
      <c r="O408" s="23" t="s">
        <v>242</v>
      </c>
      <c r="P408">
        <v>20.34</v>
      </c>
      <c r="Q408" s="23" t="s">
        <v>181</v>
      </c>
    </row>
    <row r="409" spans="1:17" x14ac:dyDescent="0.25">
      <c r="A409" s="23" t="s">
        <v>1150</v>
      </c>
      <c r="B409" s="23" t="s">
        <v>1145</v>
      </c>
      <c r="C409" s="23" t="s">
        <v>176</v>
      </c>
      <c r="D409" s="23" t="s">
        <v>332</v>
      </c>
      <c r="E409" s="23" t="s">
        <v>333</v>
      </c>
      <c r="F409">
        <v>2</v>
      </c>
      <c r="G409" s="23" t="s">
        <v>177</v>
      </c>
      <c r="H409">
        <v>0</v>
      </c>
      <c r="I409">
        <v>809</v>
      </c>
      <c r="J409" s="10">
        <v>0</v>
      </c>
      <c r="K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09">
        <v>0</v>
      </c>
      <c r="M4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">
        <v>2.4</v>
      </c>
      <c r="O409" s="23" t="s">
        <v>242</v>
      </c>
      <c r="P409">
        <v>4.8</v>
      </c>
      <c r="Q409" s="23" t="s">
        <v>181</v>
      </c>
    </row>
    <row r="410" spans="1:17" x14ac:dyDescent="0.25">
      <c r="A410" s="23" t="s">
        <v>1150</v>
      </c>
      <c r="B410" s="23" t="s">
        <v>1145</v>
      </c>
      <c r="C410" s="23" t="s">
        <v>176</v>
      </c>
      <c r="D410" s="23" t="s">
        <v>42</v>
      </c>
      <c r="E410" s="23" t="s">
        <v>43</v>
      </c>
      <c r="F410">
        <v>33</v>
      </c>
      <c r="G410" s="23" t="s">
        <v>177</v>
      </c>
      <c r="H410">
        <v>0</v>
      </c>
      <c r="I410">
        <v>2800</v>
      </c>
      <c r="J410" s="10">
        <v>2439</v>
      </c>
      <c r="K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10">
        <v>0</v>
      </c>
      <c r="M4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">
        <v>0.18</v>
      </c>
      <c r="O410" s="23" t="s">
        <v>242</v>
      </c>
      <c r="P410">
        <v>5.9399999999999995</v>
      </c>
      <c r="Q410" s="23" t="s">
        <v>181</v>
      </c>
    </row>
    <row r="411" spans="1:17" x14ac:dyDescent="0.25">
      <c r="A411" s="23" t="s">
        <v>1150</v>
      </c>
      <c r="B411" s="23" t="s">
        <v>1145</v>
      </c>
      <c r="C411" s="23" t="s">
        <v>176</v>
      </c>
      <c r="D411" s="23" t="s">
        <v>44</v>
      </c>
      <c r="E411" s="23" t="s">
        <v>45</v>
      </c>
      <c r="F411">
        <v>14</v>
      </c>
      <c r="G411" s="23" t="s">
        <v>177</v>
      </c>
      <c r="H411">
        <v>0</v>
      </c>
      <c r="I411">
        <v>170</v>
      </c>
      <c r="J411" s="10">
        <v>18</v>
      </c>
      <c r="K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1">
        <v>0</v>
      </c>
      <c r="M4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1">
        <v>16.5</v>
      </c>
      <c r="O411" s="23" t="s">
        <v>242</v>
      </c>
      <c r="P411">
        <v>231</v>
      </c>
      <c r="Q411" s="23" t="s">
        <v>181</v>
      </c>
    </row>
    <row r="412" spans="1:17" x14ac:dyDescent="0.25">
      <c r="A412" s="23" t="s">
        <v>1148</v>
      </c>
      <c r="B412" s="23" t="s">
        <v>1054</v>
      </c>
      <c r="C412" s="23" t="s">
        <v>176</v>
      </c>
      <c r="D412" s="23" t="s">
        <v>42</v>
      </c>
      <c r="E412" s="23" t="s">
        <v>43</v>
      </c>
      <c r="F412">
        <v>83</v>
      </c>
      <c r="G412" s="23" t="s">
        <v>177</v>
      </c>
      <c r="H412">
        <v>0</v>
      </c>
      <c r="I412">
        <v>2800</v>
      </c>
      <c r="J412" s="10">
        <v>2439</v>
      </c>
      <c r="K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12">
        <v>0</v>
      </c>
      <c r="M4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">
        <v>0.18</v>
      </c>
      <c r="O412" s="23" t="s">
        <v>242</v>
      </c>
      <c r="P412">
        <v>14.94</v>
      </c>
      <c r="Q412" s="23" t="s">
        <v>181</v>
      </c>
    </row>
    <row r="413" spans="1:17" x14ac:dyDescent="0.25">
      <c r="A413" s="23" t="s">
        <v>1150</v>
      </c>
      <c r="B413" s="23" t="s">
        <v>1145</v>
      </c>
      <c r="C413" s="23" t="s">
        <v>176</v>
      </c>
      <c r="D413" s="23" t="s">
        <v>48</v>
      </c>
      <c r="E413" s="23" t="s">
        <v>49</v>
      </c>
      <c r="F413">
        <v>2</v>
      </c>
      <c r="G413" s="23" t="s">
        <v>177</v>
      </c>
      <c r="H413">
        <v>0</v>
      </c>
      <c r="I413">
        <v>24</v>
      </c>
      <c r="J413" s="10">
        <v>27</v>
      </c>
      <c r="K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13">
        <v>0</v>
      </c>
      <c r="M4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13">
        <v>42</v>
      </c>
      <c r="O413" s="23" t="s">
        <v>247</v>
      </c>
      <c r="P413">
        <v>84</v>
      </c>
      <c r="Q413" s="23" t="s">
        <v>181</v>
      </c>
    </row>
    <row r="414" spans="1:17" x14ac:dyDescent="0.25">
      <c r="A414" s="23" t="s">
        <v>1098</v>
      </c>
      <c r="B414" s="23" t="s">
        <v>1053</v>
      </c>
      <c r="C414" s="23" t="s">
        <v>176</v>
      </c>
      <c r="D414" s="23" t="s">
        <v>652</v>
      </c>
      <c r="E414" s="23" t="s">
        <v>653</v>
      </c>
      <c r="F414">
        <v>25</v>
      </c>
      <c r="G414" s="23" t="s">
        <v>177</v>
      </c>
      <c r="H414">
        <v>0</v>
      </c>
      <c r="I414">
        <v>976</v>
      </c>
      <c r="J414" s="10">
        <v>167</v>
      </c>
      <c r="K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414">
        <v>0</v>
      </c>
      <c r="M4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">
        <v>3.46</v>
      </c>
      <c r="O414" s="23" t="s">
        <v>883</v>
      </c>
      <c r="P414">
        <v>86.5</v>
      </c>
      <c r="Q414" s="23" t="s">
        <v>181</v>
      </c>
    </row>
    <row r="415" spans="1:17" x14ac:dyDescent="0.25">
      <c r="A415" s="23" t="s">
        <v>1197</v>
      </c>
      <c r="B415" s="23" t="s">
        <v>1198</v>
      </c>
      <c r="C415" s="23" t="s">
        <v>176</v>
      </c>
      <c r="D415" s="23" t="s">
        <v>385</v>
      </c>
      <c r="E415" s="23" t="s">
        <v>386</v>
      </c>
      <c r="F415">
        <v>37</v>
      </c>
      <c r="G415" s="23" t="s">
        <v>177</v>
      </c>
      <c r="H415">
        <v>0</v>
      </c>
      <c r="I415">
        <v>495</v>
      </c>
      <c r="J415" s="10">
        <v>146</v>
      </c>
      <c r="K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15">
        <v>0</v>
      </c>
      <c r="M4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">
        <v>3.75</v>
      </c>
      <c r="O415" s="23" t="s">
        <v>629</v>
      </c>
      <c r="P415">
        <v>138.75</v>
      </c>
      <c r="Q415" s="23" t="s">
        <v>181</v>
      </c>
    </row>
    <row r="416" spans="1:17" x14ac:dyDescent="0.25">
      <c r="A416" s="23" t="s">
        <v>1149</v>
      </c>
      <c r="B416" s="23" t="s">
        <v>1145</v>
      </c>
      <c r="C416" s="23" t="s">
        <v>176</v>
      </c>
      <c r="D416" s="23" t="s">
        <v>332</v>
      </c>
      <c r="E416" s="23" t="s">
        <v>333</v>
      </c>
      <c r="F416">
        <v>2</v>
      </c>
      <c r="G416" s="23" t="s">
        <v>177</v>
      </c>
      <c r="H416">
        <v>0</v>
      </c>
      <c r="I416">
        <v>809</v>
      </c>
      <c r="J416" s="10">
        <v>0</v>
      </c>
      <c r="K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16">
        <v>0</v>
      </c>
      <c r="M4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">
        <v>2.4</v>
      </c>
      <c r="O416" s="23" t="s">
        <v>242</v>
      </c>
      <c r="P416">
        <v>4.8</v>
      </c>
      <c r="Q416" s="23" t="s">
        <v>181</v>
      </c>
    </row>
    <row r="417" spans="1:17" x14ac:dyDescent="0.25">
      <c r="A417" s="23" t="s">
        <v>1146</v>
      </c>
      <c r="B417" s="23" t="s">
        <v>1145</v>
      </c>
      <c r="C417" s="23" t="s">
        <v>176</v>
      </c>
      <c r="D417" s="23" t="s">
        <v>332</v>
      </c>
      <c r="E417" s="23" t="s">
        <v>333</v>
      </c>
      <c r="F417">
        <v>2</v>
      </c>
      <c r="G417" s="23" t="s">
        <v>177</v>
      </c>
      <c r="H417">
        <v>0</v>
      </c>
      <c r="I417">
        <v>809</v>
      </c>
      <c r="J417" s="10">
        <v>0</v>
      </c>
      <c r="K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17">
        <v>0</v>
      </c>
      <c r="M4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">
        <v>2.4</v>
      </c>
      <c r="O417" s="23" t="s">
        <v>242</v>
      </c>
      <c r="P417">
        <v>4.8</v>
      </c>
      <c r="Q417" s="23" t="s">
        <v>181</v>
      </c>
    </row>
    <row r="418" spans="1:17" x14ac:dyDescent="0.25">
      <c r="A418" s="23" t="s">
        <v>1149</v>
      </c>
      <c r="B418" s="23" t="s">
        <v>1145</v>
      </c>
      <c r="C418" s="23" t="s">
        <v>176</v>
      </c>
      <c r="D418" s="23" t="s">
        <v>42</v>
      </c>
      <c r="E418" s="23" t="s">
        <v>43</v>
      </c>
      <c r="F418">
        <v>33</v>
      </c>
      <c r="G418" s="23" t="s">
        <v>177</v>
      </c>
      <c r="H418">
        <v>0</v>
      </c>
      <c r="I418">
        <v>2800</v>
      </c>
      <c r="J418" s="10">
        <v>2439</v>
      </c>
      <c r="K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18">
        <v>0</v>
      </c>
      <c r="M4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">
        <v>0.18</v>
      </c>
      <c r="O418" s="23" t="s">
        <v>242</v>
      </c>
      <c r="P418">
        <v>5.9399999999999995</v>
      </c>
      <c r="Q418" s="23" t="s">
        <v>181</v>
      </c>
    </row>
    <row r="419" spans="1:17" x14ac:dyDescent="0.25">
      <c r="A419" s="23" t="s">
        <v>1149</v>
      </c>
      <c r="B419" s="23" t="s">
        <v>1145</v>
      </c>
      <c r="C419" s="23" t="s">
        <v>176</v>
      </c>
      <c r="D419" s="23" t="s">
        <v>44</v>
      </c>
      <c r="E419" s="23" t="s">
        <v>45</v>
      </c>
      <c r="F419">
        <v>14</v>
      </c>
      <c r="G419" s="23" t="s">
        <v>177</v>
      </c>
      <c r="H419">
        <v>0</v>
      </c>
      <c r="I419">
        <v>170</v>
      </c>
      <c r="J419" s="10">
        <v>18</v>
      </c>
      <c r="K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9">
        <v>0</v>
      </c>
      <c r="M4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19">
        <v>16.5</v>
      </c>
      <c r="O419" s="23" t="s">
        <v>242</v>
      </c>
      <c r="P419">
        <v>231</v>
      </c>
      <c r="Q419" s="23" t="s">
        <v>181</v>
      </c>
    </row>
    <row r="420" spans="1:17" x14ac:dyDescent="0.25">
      <c r="A420" s="23" t="s">
        <v>1149</v>
      </c>
      <c r="B420" s="23" t="s">
        <v>1145</v>
      </c>
      <c r="C420" s="23" t="s">
        <v>176</v>
      </c>
      <c r="D420" s="23" t="s">
        <v>48</v>
      </c>
      <c r="E420" s="23" t="s">
        <v>49</v>
      </c>
      <c r="F420">
        <v>2</v>
      </c>
      <c r="G420" s="23" t="s">
        <v>177</v>
      </c>
      <c r="H420">
        <v>0</v>
      </c>
      <c r="I420">
        <v>24</v>
      </c>
      <c r="J420" s="10">
        <v>27</v>
      </c>
      <c r="K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0">
        <v>0</v>
      </c>
      <c r="M4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20">
        <v>42</v>
      </c>
      <c r="O420" s="23" t="s">
        <v>247</v>
      </c>
      <c r="P420">
        <v>84</v>
      </c>
      <c r="Q420" s="23" t="s">
        <v>181</v>
      </c>
    </row>
    <row r="421" spans="1:17" x14ac:dyDescent="0.25">
      <c r="A421" s="23" t="s">
        <v>1062</v>
      </c>
      <c r="B421" s="23" t="s">
        <v>1053</v>
      </c>
      <c r="C421" s="23" t="s">
        <v>176</v>
      </c>
      <c r="D421" s="23" t="s">
        <v>652</v>
      </c>
      <c r="E421" s="23" t="s">
        <v>653</v>
      </c>
      <c r="F421">
        <v>25</v>
      </c>
      <c r="G421" s="23" t="s">
        <v>177</v>
      </c>
      <c r="H421">
        <v>0</v>
      </c>
      <c r="I421">
        <v>976</v>
      </c>
      <c r="J421" s="10">
        <v>167</v>
      </c>
      <c r="K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421">
        <v>0</v>
      </c>
      <c r="M4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">
        <v>3.46</v>
      </c>
      <c r="O421" s="23" t="s">
        <v>883</v>
      </c>
      <c r="P421">
        <v>86.5</v>
      </c>
      <c r="Q421" s="23" t="s">
        <v>181</v>
      </c>
    </row>
    <row r="422" spans="1:17" x14ac:dyDescent="0.25">
      <c r="A422" s="23" t="s">
        <v>1062</v>
      </c>
      <c r="B422" s="23" t="s">
        <v>1053</v>
      </c>
      <c r="C422" s="23" t="s">
        <v>176</v>
      </c>
      <c r="D422" s="23" t="s">
        <v>385</v>
      </c>
      <c r="E422" s="23" t="s">
        <v>386</v>
      </c>
      <c r="F422">
        <v>20</v>
      </c>
      <c r="G422" s="23" t="s">
        <v>177</v>
      </c>
      <c r="H422">
        <v>0</v>
      </c>
      <c r="I422">
        <v>495</v>
      </c>
      <c r="J422" s="10">
        <v>146</v>
      </c>
      <c r="K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22">
        <v>0</v>
      </c>
      <c r="M4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">
        <v>3.75</v>
      </c>
      <c r="O422" s="23" t="s">
        <v>629</v>
      </c>
      <c r="P422">
        <v>75</v>
      </c>
      <c r="Q422" s="23" t="s">
        <v>181</v>
      </c>
    </row>
    <row r="423" spans="1:17" x14ac:dyDescent="0.25">
      <c r="A423" s="23" t="s">
        <v>1098</v>
      </c>
      <c r="B423" s="23" t="s">
        <v>1053</v>
      </c>
      <c r="C423" s="23" t="s">
        <v>176</v>
      </c>
      <c r="D423" s="23" t="s">
        <v>385</v>
      </c>
      <c r="E423" s="23" t="s">
        <v>386</v>
      </c>
      <c r="F423">
        <v>16</v>
      </c>
      <c r="G423" s="23" t="s">
        <v>177</v>
      </c>
      <c r="H423">
        <v>0</v>
      </c>
      <c r="I423">
        <v>495</v>
      </c>
      <c r="J423" s="10">
        <v>146</v>
      </c>
      <c r="K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23">
        <v>0</v>
      </c>
      <c r="M4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">
        <v>3.75</v>
      </c>
      <c r="O423" s="23" t="s">
        <v>629</v>
      </c>
      <c r="P423">
        <v>60</v>
      </c>
      <c r="Q423" s="23" t="s">
        <v>181</v>
      </c>
    </row>
    <row r="424" spans="1:17" x14ac:dyDescent="0.25">
      <c r="A424" s="23" t="s">
        <v>1055</v>
      </c>
      <c r="B424" s="23" t="s">
        <v>1056</v>
      </c>
      <c r="C424" s="23" t="s">
        <v>176</v>
      </c>
      <c r="D424" s="23" t="s">
        <v>915</v>
      </c>
      <c r="E424" s="23" t="s">
        <v>916</v>
      </c>
      <c r="F424">
        <v>3</v>
      </c>
      <c r="G424" s="23" t="s">
        <v>180</v>
      </c>
      <c r="H424">
        <v>0</v>
      </c>
      <c r="I424">
        <v>100</v>
      </c>
      <c r="J424" s="10">
        <v>26</v>
      </c>
      <c r="K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424">
        <v>0</v>
      </c>
      <c r="M4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">
        <v>49.1</v>
      </c>
      <c r="O424" s="23" t="s">
        <v>827</v>
      </c>
      <c r="P424">
        <v>147.30000000000001</v>
      </c>
      <c r="Q424" s="23" t="s">
        <v>222</v>
      </c>
    </row>
    <row r="425" spans="1:17" x14ac:dyDescent="0.25">
      <c r="A425" s="23" t="s">
        <v>1055</v>
      </c>
      <c r="B425" s="23" t="s">
        <v>1056</v>
      </c>
      <c r="C425" s="23" t="s">
        <v>176</v>
      </c>
      <c r="D425" s="23" t="s">
        <v>42</v>
      </c>
      <c r="E425" s="23" t="s">
        <v>43</v>
      </c>
      <c r="F425">
        <v>143</v>
      </c>
      <c r="G425" s="23" t="s">
        <v>177</v>
      </c>
      <c r="H425">
        <v>0</v>
      </c>
      <c r="I425">
        <v>2800</v>
      </c>
      <c r="J425" s="10">
        <v>2439</v>
      </c>
      <c r="K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25">
        <v>0</v>
      </c>
      <c r="M4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">
        <v>0.18</v>
      </c>
      <c r="O425" s="23" t="s">
        <v>242</v>
      </c>
      <c r="P425">
        <v>25.74</v>
      </c>
      <c r="Q425" s="23" t="s">
        <v>181</v>
      </c>
    </row>
    <row r="426" spans="1:17" x14ac:dyDescent="0.25">
      <c r="A426" s="23" t="s">
        <v>1144</v>
      </c>
      <c r="B426" s="23" t="s">
        <v>1145</v>
      </c>
      <c r="C426" s="23" t="s">
        <v>176</v>
      </c>
      <c r="D426" s="23" t="s">
        <v>332</v>
      </c>
      <c r="E426" s="23" t="s">
        <v>333</v>
      </c>
      <c r="F426">
        <v>2</v>
      </c>
      <c r="G426" s="23" t="s">
        <v>177</v>
      </c>
      <c r="H426">
        <v>0</v>
      </c>
      <c r="I426">
        <v>809</v>
      </c>
      <c r="J426" s="10">
        <v>0</v>
      </c>
      <c r="K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426">
        <v>0</v>
      </c>
      <c r="M4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">
        <v>2.4</v>
      </c>
      <c r="O426" s="23" t="s">
        <v>242</v>
      </c>
      <c r="P426">
        <v>4.8</v>
      </c>
      <c r="Q426" s="23" t="s">
        <v>181</v>
      </c>
    </row>
    <row r="427" spans="1:17" x14ac:dyDescent="0.25">
      <c r="A427" s="23" t="s">
        <v>1144</v>
      </c>
      <c r="B427" s="23" t="s">
        <v>1145</v>
      </c>
      <c r="C427" s="23" t="s">
        <v>176</v>
      </c>
      <c r="D427" s="23" t="s">
        <v>42</v>
      </c>
      <c r="E427" s="23" t="s">
        <v>43</v>
      </c>
      <c r="F427">
        <v>33</v>
      </c>
      <c r="G427" s="23" t="s">
        <v>177</v>
      </c>
      <c r="H427">
        <v>0</v>
      </c>
      <c r="I427">
        <v>2800</v>
      </c>
      <c r="J427" s="10">
        <v>2439</v>
      </c>
      <c r="K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27">
        <v>0</v>
      </c>
      <c r="M4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">
        <v>0.18</v>
      </c>
      <c r="O427" s="23" t="s">
        <v>242</v>
      </c>
      <c r="P427">
        <v>5.9399999999999995</v>
      </c>
      <c r="Q427" s="23" t="s">
        <v>181</v>
      </c>
    </row>
    <row r="428" spans="1:17" x14ac:dyDescent="0.25">
      <c r="A428" s="23" t="s">
        <v>1146</v>
      </c>
      <c r="B428" s="23" t="s">
        <v>1145</v>
      </c>
      <c r="C428" s="23" t="s">
        <v>176</v>
      </c>
      <c r="D428" s="23" t="s">
        <v>42</v>
      </c>
      <c r="E428" s="23" t="s">
        <v>43</v>
      </c>
      <c r="F428">
        <v>33</v>
      </c>
      <c r="G428" s="23" t="s">
        <v>177</v>
      </c>
      <c r="H428">
        <v>0</v>
      </c>
      <c r="I428">
        <v>2800</v>
      </c>
      <c r="J428" s="10">
        <v>2439</v>
      </c>
      <c r="K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428">
        <v>0</v>
      </c>
      <c r="M4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">
        <v>0.18</v>
      </c>
      <c r="O428" s="23" t="s">
        <v>242</v>
      </c>
      <c r="P428">
        <v>5.9399999999999995</v>
      </c>
      <c r="Q428" s="23" t="s">
        <v>181</v>
      </c>
    </row>
    <row r="429" spans="1:17" x14ac:dyDescent="0.25">
      <c r="A429" s="23" t="s">
        <v>1144</v>
      </c>
      <c r="B429" s="23" t="s">
        <v>1145</v>
      </c>
      <c r="C429" s="23" t="s">
        <v>176</v>
      </c>
      <c r="D429" s="23" t="s">
        <v>44</v>
      </c>
      <c r="E429" s="23" t="s">
        <v>45</v>
      </c>
      <c r="F429">
        <v>14</v>
      </c>
      <c r="G429" s="23" t="s">
        <v>177</v>
      </c>
      <c r="H429">
        <v>0</v>
      </c>
      <c r="I429">
        <v>170</v>
      </c>
      <c r="J429" s="10">
        <v>18</v>
      </c>
      <c r="K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29">
        <v>0</v>
      </c>
      <c r="M4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29">
        <v>16.5</v>
      </c>
      <c r="O429" s="23" t="s">
        <v>242</v>
      </c>
      <c r="P429">
        <v>231</v>
      </c>
      <c r="Q429" s="23" t="s">
        <v>181</v>
      </c>
    </row>
    <row r="430" spans="1:17" x14ac:dyDescent="0.25">
      <c r="A430" s="23" t="s">
        <v>1146</v>
      </c>
      <c r="B430" s="23" t="s">
        <v>1145</v>
      </c>
      <c r="C430" s="23" t="s">
        <v>176</v>
      </c>
      <c r="D430" s="23" t="s">
        <v>44</v>
      </c>
      <c r="E430" s="23" t="s">
        <v>45</v>
      </c>
      <c r="F430">
        <v>14</v>
      </c>
      <c r="G430" s="23" t="s">
        <v>177</v>
      </c>
      <c r="H430">
        <v>0</v>
      </c>
      <c r="I430">
        <v>170</v>
      </c>
      <c r="J430" s="10">
        <v>18</v>
      </c>
      <c r="K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30">
        <v>0</v>
      </c>
      <c r="M4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30">
        <v>16.5</v>
      </c>
      <c r="O430" s="23" t="s">
        <v>242</v>
      </c>
      <c r="P430">
        <v>231</v>
      </c>
      <c r="Q430" s="23" t="s">
        <v>181</v>
      </c>
    </row>
    <row r="431" spans="1:17" x14ac:dyDescent="0.25">
      <c r="A431" s="23" t="s">
        <v>1144</v>
      </c>
      <c r="B431" s="23" t="s">
        <v>1145</v>
      </c>
      <c r="C431" s="23" t="s">
        <v>176</v>
      </c>
      <c r="D431" s="23" t="s">
        <v>48</v>
      </c>
      <c r="E431" s="23" t="s">
        <v>49</v>
      </c>
      <c r="F431">
        <v>2</v>
      </c>
      <c r="G431" s="23" t="s">
        <v>177</v>
      </c>
      <c r="H431">
        <v>0</v>
      </c>
      <c r="I431">
        <v>24</v>
      </c>
      <c r="J431" s="10">
        <v>27</v>
      </c>
      <c r="K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1">
        <v>0</v>
      </c>
      <c r="M4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31">
        <v>42</v>
      </c>
      <c r="O431" s="23" t="s">
        <v>247</v>
      </c>
      <c r="P431">
        <v>84</v>
      </c>
      <c r="Q431" s="23" t="s">
        <v>181</v>
      </c>
    </row>
    <row r="432" spans="1:17" x14ac:dyDescent="0.25">
      <c r="A432" s="23" t="s">
        <v>1146</v>
      </c>
      <c r="B432" s="23" t="s">
        <v>1145</v>
      </c>
      <c r="C432" s="23" t="s">
        <v>176</v>
      </c>
      <c r="D432" s="23" t="s">
        <v>48</v>
      </c>
      <c r="E432" s="23" t="s">
        <v>49</v>
      </c>
      <c r="F432">
        <v>2</v>
      </c>
      <c r="G432" s="23" t="s">
        <v>177</v>
      </c>
      <c r="H432">
        <v>0</v>
      </c>
      <c r="I432">
        <v>24</v>
      </c>
      <c r="J432" s="10">
        <v>27</v>
      </c>
      <c r="K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2">
        <v>0</v>
      </c>
      <c r="M4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32">
        <v>42</v>
      </c>
      <c r="O432" s="23" t="s">
        <v>247</v>
      </c>
      <c r="P432">
        <v>84</v>
      </c>
      <c r="Q432" s="23" t="s">
        <v>181</v>
      </c>
    </row>
    <row r="433" spans="1:17" x14ac:dyDescent="0.25">
      <c r="A433" s="23" t="s">
        <v>1097</v>
      </c>
      <c r="B433" s="23" t="s">
        <v>1095</v>
      </c>
      <c r="C433" s="23" t="s">
        <v>176</v>
      </c>
      <c r="D433" s="23" t="s">
        <v>652</v>
      </c>
      <c r="E433" s="23" t="s">
        <v>653</v>
      </c>
      <c r="F433">
        <v>25</v>
      </c>
      <c r="G433" s="23" t="s">
        <v>177</v>
      </c>
      <c r="H433">
        <v>0</v>
      </c>
      <c r="I433">
        <v>976</v>
      </c>
      <c r="J433" s="10">
        <v>167</v>
      </c>
      <c r="K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433">
        <v>0</v>
      </c>
      <c r="M4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">
        <v>3.46</v>
      </c>
      <c r="O433" s="23" t="s">
        <v>883</v>
      </c>
      <c r="P433">
        <v>86.5</v>
      </c>
      <c r="Q433" s="23" t="s">
        <v>181</v>
      </c>
    </row>
    <row r="434" spans="1:17" x14ac:dyDescent="0.25">
      <c r="A434" s="23" t="s">
        <v>1097</v>
      </c>
      <c r="B434" s="23" t="s">
        <v>1095</v>
      </c>
      <c r="C434" s="23" t="s">
        <v>176</v>
      </c>
      <c r="D434" s="23" t="s">
        <v>89</v>
      </c>
      <c r="E434" s="23" t="s">
        <v>90</v>
      </c>
      <c r="F434">
        <v>5.5</v>
      </c>
      <c r="G434" s="23" t="s">
        <v>180</v>
      </c>
      <c r="H434">
        <v>0</v>
      </c>
      <c r="I434">
        <v>125</v>
      </c>
      <c r="J434" s="10">
        <v>37.499999999999957</v>
      </c>
      <c r="K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434">
        <v>0</v>
      </c>
      <c r="M4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">
        <v>44</v>
      </c>
      <c r="O434" s="23" t="s">
        <v>315</v>
      </c>
      <c r="P434">
        <v>242</v>
      </c>
      <c r="Q434" s="23" t="s">
        <v>179</v>
      </c>
    </row>
    <row r="435" spans="1:17" x14ac:dyDescent="0.25">
      <c r="A435" s="23" t="s">
        <v>1094</v>
      </c>
      <c r="B435" s="23" t="s">
        <v>1095</v>
      </c>
      <c r="C435" s="23" t="s">
        <v>176</v>
      </c>
      <c r="D435" s="23" t="s">
        <v>44</v>
      </c>
      <c r="E435" s="23" t="s">
        <v>45</v>
      </c>
      <c r="F435">
        <v>18</v>
      </c>
      <c r="G435" s="23" t="s">
        <v>177</v>
      </c>
      <c r="H435">
        <v>0</v>
      </c>
      <c r="I435">
        <v>170</v>
      </c>
      <c r="J435" s="10">
        <v>18</v>
      </c>
      <c r="K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35">
        <v>0</v>
      </c>
      <c r="M4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35">
        <v>16.5</v>
      </c>
      <c r="O435" s="23" t="s">
        <v>242</v>
      </c>
      <c r="P435">
        <v>297</v>
      </c>
      <c r="Q435" s="23" t="s">
        <v>181</v>
      </c>
    </row>
    <row r="436" spans="1:17" x14ac:dyDescent="0.25">
      <c r="A436" s="23" t="s">
        <v>1057</v>
      </c>
      <c r="B436" s="23" t="s">
        <v>1056</v>
      </c>
      <c r="C436" s="23" t="s">
        <v>176</v>
      </c>
      <c r="D436" s="23" t="s">
        <v>44</v>
      </c>
      <c r="E436" s="23" t="s">
        <v>45</v>
      </c>
      <c r="F436">
        <v>14</v>
      </c>
      <c r="G436" s="23" t="s">
        <v>177</v>
      </c>
      <c r="H436">
        <v>0</v>
      </c>
      <c r="I436">
        <v>170</v>
      </c>
      <c r="J436" s="10">
        <v>18</v>
      </c>
      <c r="K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36">
        <v>0</v>
      </c>
      <c r="M4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36">
        <v>16.5</v>
      </c>
      <c r="O436" s="23" t="s">
        <v>242</v>
      </c>
      <c r="P436">
        <v>231</v>
      </c>
      <c r="Q436" s="23" t="s">
        <v>181</v>
      </c>
    </row>
    <row r="437" spans="1:17" x14ac:dyDescent="0.25">
      <c r="A437" s="23" t="s">
        <v>1143</v>
      </c>
      <c r="B437" s="23" t="s">
        <v>1054</v>
      </c>
      <c r="C437" s="23" t="s">
        <v>176</v>
      </c>
      <c r="D437" s="23" t="s">
        <v>48</v>
      </c>
      <c r="E437" s="23" t="s">
        <v>49</v>
      </c>
      <c r="F437">
        <v>4</v>
      </c>
      <c r="G437" s="23" t="s">
        <v>177</v>
      </c>
      <c r="H437">
        <v>0</v>
      </c>
      <c r="I437">
        <v>24</v>
      </c>
      <c r="J437" s="10">
        <v>27</v>
      </c>
      <c r="K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7">
        <v>0</v>
      </c>
      <c r="M4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37">
        <v>42</v>
      </c>
      <c r="O437" s="23" t="s">
        <v>247</v>
      </c>
      <c r="P437">
        <v>168</v>
      </c>
      <c r="Q437" s="23" t="s">
        <v>181</v>
      </c>
    </row>
    <row r="438" spans="1:17" x14ac:dyDescent="0.25">
      <c r="A438" s="23" t="s">
        <v>1143</v>
      </c>
      <c r="B438" s="23" t="s">
        <v>1054</v>
      </c>
      <c r="C438" s="23" t="s">
        <v>176</v>
      </c>
      <c r="D438" s="23" t="s">
        <v>652</v>
      </c>
      <c r="E438" s="23" t="s">
        <v>653</v>
      </c>
      <c r="F438">
        <v>25</v>
      </c>
      <c r="G438" s="23" t="s">
        <v>177</v>
      </c>
      <c r="H438">
        <v>0</v>
      </c>
      <c r="I438">
        <v>976</v>
      </c>
      <c r="J438" s="10">
        <v>167</v>
      </c>
      <c r="K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438">
        <v>0</v>
      </c>
      <c r="M4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">
        <v>3.46</v>
      </c>
      <c r="O438" s="23" t="s">
        <v>883</v>
      </c>
      <c r="P438">
        <v>86.5</v>
      </c>
      <c r="Q438" s="23" t="s">
        <v>181</v>
      </c>
    </row>
    <row r="439" spans="1:17" x14ac:dyDescent="0.25">
      <c r="A439" s="23" t="s">
        <v>1057</v>
      </c>
      <c r="B439" s="23" t="s">
        <v>1056</v>
      </c>
      <c r="C439" s="23" t="s">
        <v>176</v>
      </c>
      <c r="D439" s="23" t="s">
        <v>652</v>
      </c>
      <c r="E439" s="23" t="s">
        <v>653</v>
      </c>
      <c r="F439">
        <v>25</v>
      </c>
      <c r="G439" s="23" t="s">
        <v>177</v>
      </c>
      <c r="H439">
        <v>0</v>
      </c>
      <c r="I439">
        <v>976</v>
      </c>
      <c r="J439" s="10">
        <v>167</v>
      </c>
      <c r="K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439">
        <v>0</v>
      </c>
      <c r="M4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">
        <v>3.46</v>
      </c>
      <c r="O439" s="23" t="s">
        <v>883</v>
      </c>
      <c r="P439">
        <v>86.5</v>
      </c>
      <c r="Q439" s="23" t="s">
        <v>181</v>
      </c>
    </row>
    <row r="440" spans="1:17" x14ac:dyDescent="0.25">
      <c r="A440" s="23" t="s">
        <v>1142</v>
      </c>
      <c r="B440" s="23" t="s">
        <v>1054</v>
      </c>
      <c r="C440" s="23" t="s">
        <v>176</v>
      </c>
      <c r="D440" s="23" t="s">
        <v>385</v>
      </c>
      <c r="E440" s="23" t="s">
        <v>386</v>
      </c>
      <c r="F440">
        <v>37</v>
      </c>
      <c r="G440" s="23" t="s">
        <v>177</v>
      </c>
      <c r="H440">
        <v>0</v>
      </c>
      <c r="I440">
        <v>495</v>
      </c>
      <c r="J440" s="10">
        <v>146</v>
      </c>
      <c r="K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40">
        <v>0</v>
      </c>
      <c r="M4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">
        <v>3.75</v>
      </c>
      <c r="O440" s="23" t="s">
        <v>629</v>
      </c>
      <c r="P440">
        <v>138.75</v>
      </c>
      <c r="Q440" s="23" t="s">
        <v>181</v>
      </c>
    </row>
    <row r="441" spans="1:17" x14ac:dyDescent="0.25">
      <c r="A441" s="23" t="s">
        <v>1143</v>
      </c>
      <c r="B441" s="23" t="s">
        <v>1054</v>
      </c>
      <c r="C441" s="23" t="s">
        <v>176</v>
      </c>
      <c r="D441" s="23" t="s">
        <v>385</v>
      </c>
      <c r="E441" s="23" t="s">
        <v>386</v>
      </c>
      <c r="F441">
        <v>15</v>
      </c>
      <c r="G441" s="23" t="s">
        <v>177</v>
      </c>
      <c r="H441">
        <v>0</v>
      </c>
      <c r="I441">
        <v>495</v>
      </c>
      <c r="J441" s="10">
        <v>146</v>
      </c>
      <c r="K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41">
        <v>0</v>
      </c>
      <c r="M4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">
        <v>3.75</v>
      </c>
      <c r="O441" s="23" t="s">
        <v>629</v>
      </c>
      <c r="P441">
        <v>56.25</v>
      </c>
      <c r="Q441" s="23" t="s">
        <v>181</v>
      </c>
    </row>
    <row r="442" spans="1:17" x14ac:dyDescent="0.25">
      <c r="A442" s="23" t="s">
        <v>1100</v>
      </c>
      <c r="B442" s="23" t="s">
        <v>1101</v>
      </c>
      <c r="C442" s="23" t="s">
        <v>176</v>
      </c>
      <c r="D442" s="23" t="s">
        <v>44</v>
      </c>
      <c r="E442" s="23" t="s">
        <v>45</v>
      </c>
      <c r="F442">
        <v>14</v>
      </c>
      <c r="G442" s="23" t="s">
        <v>177</v>
      </c>
      <c r="H442">
        <v>0</v>
      </c>
      <c r="I442">
        <v>170</v>
      </c>
      <c r="J442" s="10">
        <v>18</v>
      </c>
      <c r="K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42">
        <v>0</v>
      </c>
      <c r="M4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42">
        <v>16.5</v>
      </c>
      <c r="O442" s="23" t="s">
        <v>242</v>
      </c>
      <c r="P442">
        <v>231</v>
      </c>
      <c r="Q442" s="23" t="s">
        <v>181</v>
      </c>
    </row>
    <row r="443" spans="1:17" x14ac:dyDescent="0.25">
      <c r="A443" s="23" t="s">
        <v>1055</v>
      </c>
      <c r="B443" s="23" t="s">
        <v>1056</v>
      </c>
      <c r="C443" s="23" t="s">
        <v>176</v>
      </c>
      <c r="D443" s="23" t="s">
        <v>44</v>
      </c>
      <c r="E443" s="23" t="s">
        <v>45</v>
      </c>
      <c r="F443">
        <v>14</v>
      </c>
      <c r="G443" s="23" t="s">
        <v>177</v>
      </c>
      <c r="H443">
        <v>0</v>
      </c>
      <c r="I443">
        <v>170</v>
      </c>
      <c r="J443" s="10">
        <v>18</v>
      </c>
      <c r="K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43">
        <v>0</v>
      </c>
      <c r="M4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443">
        <v>16.5</v>
      </c>
      <c r="O443" s="23" t="s">
        <v>242</v>
      </c>
      <c r="P443">
        <v>231</v>
      </c>
      <c r="Q443" s="23" t="s">
        <v>181</v>
      </c>
    </row>
    <row r="444" spans="1:17" x14ac:dyDescent="0.25">
      <c r="A444" s="23" t="s">
        <v>1197</v>
      </c>
      <c r="B444" s="23" t="s">
        <v>1198</v>
      </c>
      <c r="C444" s="23" t="s">
        <v>176</v>
      </c>
      <c r="D444" s="23" t="s">
        <v>48</v>
      </c>
      <c r="E444" s="23" t="s">
        <v>49</v>
      </c>
      <c r="F444">
        <v>2</v>
      </c>
      <c r="G444" s="23" t="s">
        <v>177</v>
      </c>
      <c r="H444">
        <v>0</v>
      </c>
      <c r="I444">
        <v>24</v>
      </c>
      <c r="J444" s="10">
        <v>27</v>
      </c>
      <c r="K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44">
        <v>0</v>
      </c>
      <c r="M4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44">
        <v>42</v>
      </c>
      <c r="O444" s="23" t="s">
        <v>247</v>
      </c>
      <c r="P444">
        <v>84</v>
      </c>
      <c r="Q444" s="23" t="s">
        <v>181</v>
      </c>
    </row>
    <row r="445" spans="1:17" x14ac:dyDescent="0.25">
      <c r="A445" s="23" t="s">
        <v>1098</v>
      </c>
      <c r="B445" s="23" t="s">
        <v>1053</v>
      </c>
      <c r="C445" s="23" t="s">
        <v>176</v>
      </c>
      <c r="D445" s="23" t="s">
        <v>48</v>
      </c>
      <c r="E445" s="23" t="s">
        <v>49</v>
      </c>
      <c r="F445">
        <v>2</v>
      </c>
      <c r="G445" s="23" t="s">
        <v>177</v>
      </c>
      <c r="H445">
        <v>0</v>
      </c>
      <c r="I445">
        <v>24</v>
      </c>
      <c r="J445" s="10">
        <v>27</v>
      </c>
      <c r="K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45">
        <v>0</v>
      </c>
      <c r="M4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45">
        <v>42</v>
      </c>
      <c r="O445" s="23" t="s">
        <v>247</v>
      </c>
      <c r="P445">
        <v>84</v>
      </c>
      <c r="Q445" s="23" t="s">
        <v>181</v>
      </c>
    </row>
    <row r="446" spans="1:17" x14ac:dyDescent="0.25">
      <c r="A446" s="23" t="s">
        <v>1097</v>
      </c>
      <c r="B446" s="23" t="s">
        <v>1095</v>
      </c>
      <c r="C446" s="23" t="s">
        <v>176</v>
      </c>
      <c r="D446" s="23" t="s">
        <v>356</v>
      </c>
      <c r="E446" s="23" t="s">
        <v>357</v>
      </c>
      <c r="F446">
        <v>16</v>
      </c>
      <c r="G446" s="23" t="s">
        <v>177</v>
      </c>
      <c r="H446">
        <v>0</v>
      </c>
      <c r="I446">
        <v>4822</v>
      </c>
      <c r="J446" s="10">
        <v>811</v>
      </c>
      <c r="K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446">
        <v>0</v>
      </c>
      <c r="M4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">
        <v>0.3</v>
      </c>
      <c r="O446" s="23" t="s">
        <v>242</v>
      </c>
      <c r="P446">
        <v>4.8</v>
      </c>
      <c r="Q446" s="23" t="s">
        <v>181</v>
      </c>
    </row>
    <row r="447" spans="1:17" x14ac:dyDescent="0.25">
      <c r="A447" s="23" t="s">
        <v>1098</v>
      </c>
      <c r="B447" s="23" t="s">
        <v>1053</v>
      </c>
      <c r="C447" s="23" t="s">
        <v>176</v>
      </c>
      <c r="D447" s="23" t="s">
        <v>356</v>
      </c>
      <c r="E447" s="23" t="s">
        <v>357</v>
      </c>
      <c r="F447">
        <v>24</v>
      </c>
      <c r="G447" s="23" t="s">
        <v>177</v>
      </c>
      <c r="H447">
        <v>0</v>
      </c>
      <c r="I447">
        <v>4822</v>
      </c>
      <c r="J447" s="10">
        <v>811</v>
      </c>
      <c r="K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447">
        <v>0</v>
      </c>
      <c r="M4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">
        <v>0.3</v>
      </c>
      <c r="O447" s="23" t="s">
        <v>242</v>
      </c>
      <c r="P447">
        <v>7.1999999999999993</v>
      </c>
      <c r="Q447" s="23" t="s">
        <v>181</v>
      </c>
    </row>
    <row r="448" spans="1:17" x14ac:dyDescent="0.25">
      <c r="A448" s="23" t="s">
        <v>1197</v>
      </c>
      <c r="B448" s="23" t="s">
        <v>1198</v>
      </c>
      <c r="C448" s="23" t="s">
        <v>176</v>
      </c>
      <c r="D448" s="23" t="s">
        <v>356</v>
      </c>
      <c r="E448" s="23" t="s">
        <v>357</v>
      </c>
      <c r="F448">
        <v>16</v>
      </c>
      <c r="G448" s="23" t="s">
        <v>177</v>
      </c>
      <c r="H448">
        <v>0</v>
      </c>
      <c r="I448">
        <v>4822</v>
      </c>
      <c r="J448" s="10">
        <v>811</v>
      </c>
      <c r="K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448">
        <v>0</v>
      </c>
      <c r="M4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">
        <v>0.3</v>
      </c>
      <c r="O448" s="23" t="s">
        <v>242</v>
      </c>
      <c r="P448">
        <v>4.8</v>
      </c>
      <c r="Q448" s="23" t="s">
        <v>181</v>
      </c>
    </row>
    <row r="449" spans="1:17" x14ac:dyDescent="0.25">
      <c r="A449" s="23" t="s">
        <v>1197</v>
      </c>
      <c r="B449" s="23" t="s">
        <v>1198</v>
      </c>
      <c r="C449" s="23" t="s">
        <v>176</v>
      </c>
      <c r="D449" s="23" t="s">
        <v>652</v>
      </c>
      <c r="E449" s="23" t="s">
        <v>653</v>
      </c>
      <c r="F449">
        <v>25</v>
      </c>
      <c r="G449" s="23" t="s">
        <v>177</v>
      </c>
      <c r="H449">
        <v>0</v>
      </c>
      <c r="I449">
        <v>976</v>
      </c>
      <c r="J449" s="10">
        <v>167</v>
      </c>
      <c r="K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449">
        <v>0</v>
      </c>
      <c r="M4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">
        <v>3.46</v>
      </c>
      <c r="O449" s="23" t="s">
        <v>883</v>
      </c>
      <c r="P449">
        <v>86.5</v>
      </c>
      <c r="Q449" s="23" t="s">
        <v>181</v>
      </c>
    </row>
    <row r="450" spans="1:17" x14ac:dyDescent="0.25">
      <c r="A450" s="23" t="s">
        <v>1097</v>
      </c>
      <c r="B450" s="23" t="s">
        <v>1095</v>
      </c>
      <c r="C450" s="23" t="s">
        <v>176</v>
      </c>
      <c r="D450" s="23" t="s">
        <v>385</v>
      </c>
      <c r="E450" s="23" t="s">
        <v>386</v>
      </c>
      <c r="F450">
        <v>21</v>
      </c>
      <c r="G450" s="23" t="s">
        <v>177</v>
      </c>
      <c r="H450">
        <v>0</v>
      </c>
      <c r="I450">
        <v>495</v>
      </c>
      <c r="J450" s="10">
        <v>146</v>
      </c>
      <c r="K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450">
        <v>0</v>
      </c>
      <c r="M4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">
        <v>3.75</v>
      </c>
      <c r="O450" s="23" t="s">
        <v>629</v>
      </c>
      <c r="P450">
        <v>78.75</v>
      </c>
      <c r="Q450" s="23" t="s">
        <v>181</v>
      </c>
    </row>
    <row r="451" spans="1:17" x14ac:dyDescent="0.25">
      <c r="A451" s="23" t="s">
        <v>1148</v>
      </c>
      <c r="B451" s="23" t="s">
        <v>1054</v>
      </c>
      <c r="C451" s="23" t="s">
        <v>176</v>
      </c>
      <c r="D451" s="23" t="s">
        <v>839</v>
      </c>
      <c r="E451" s="23" t="s">
        <v>840</v>
      </c>
      <c r="F451">
        <v>0.2</v>
      </c>
      <c r="G451" s="23" t="s">
        <v>180</v>
      </c>
      <c r="H451">
        <v>0</v>
      </c>
      <c r="I451">
        <v>0</v>
      </c>
      <c r="J451" s="10">
        <v>0</v>
      </c>
      <c r="K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451">
        <v>0</v>
      </c>
      <c r="M4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451">
        <v>5</v>
      </c>
      <c r="O451" s="23"/>
      <c r="P451">
        <v>1</v>
      </c>
      <c r="Q451" s="23" t="s">
        <v>222</v>
      </c>
    </row>
    <row r="452" spans="1:17" x14ac:dyDescent="0.25">
      <c r="A452" s="23" t="s">
        <v>1055</v>
      </c>
      <c r="B452" s="23" t="s">
        <v>1056</v>
      </c>
      <c r="C452" s="23" t="s">
        <v>176</v>
      </c>
      <c r="D452" s="23" t="s">
        <v>839</v>
      </c>
      <c r="E452" s="23" t="s">
        <v>840</v>
      </c>
      <c r="F452">
        <v>0.05</v>
      </c>
      <c r="G452" s="23" t="s">
        <v>180</v>
      </c>
      <c r="H452">
        <v>0</v>
      </c>
      <c r="I452">
        <v>0</v>
      </c>
      <c r="J452" s="10">
        <v>0</v>
      </c>
      <c r="K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452">
        <v>0</v>
      </c>
      <c r="M4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452">
        <v>5</v>
      </c>
      <c r="O452" s="23"/>
      <c r="P452">
        <v>0.25</v>
      </c>
      <c r="Q452" s="23" t="s">
        <v>222</v>
      </c>
    </row>
    <row r="453" spans="1:17" x14ac:dyDescent="0.25">
      <c r="A453" s="23" t="s">
        <v>1099</v>
      </c>
      <c r="B453" s="23" t="s">
        <v>1056</v>
      </c>
      <c r="C453" s="23" t="s">
        <v>176</v>
      </c>
      <c r="D453" s="23" t="s">
        <v>839</v>
      </c>
      <c r="E453" s="23" t="s">
        <v>840</v>
      </c>
      <c r="F453">
        <v>0.05</v>
      </c>
      <c r="G453" s="23" t="s">
        <v>180</v>
      </c>
      <c r="H453">
        <v>0</v>
      </c>
      <c r="I453">
        <v>0</v>
      </c>
      <c r="J453" s="10">
        <v>0</v>
      </c>
      <c r="K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453">
        <v>0</v>
      </c>
      <c r="M4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453">
        <v>5</v>
      </c>
      <c r="O453" s="23"/>
      <c r="P453">
        <v>0.25</v>
      </c>
      <c r="Q453" s="23" t="s">
        <v>222</v>
      </c>
    </row>
    <row r="454" spans="1:17" x14ac:dyDescent="0.25">
      <c r="A454" s="23" t="s">
        <v>1098</v>
      </c>
      <c r="B454" s="23" t="s">
        <v>1053</v>
      </c>
      <c r="C454" s="23" t="s">
        <v>176</v>
      </c>
      <c r="D454" s="23" t="s">
        <v>531</v>
      </c>
      <c r="E454" s="23" t="s">
        <v>532</v>
      </c>
      <c r="F454">
        <v>0.25</v>
      </c>
      <c r="G454" s="23" t="s">
        <v>177</v>
      </c>
      <c r="H454">
        <v>0</v>
      </c>
      <c r="I454">
        <v>5</v>
      </c>
      <c r="J454" s="10">
        <v>9.7999999999999936</v>
      </c>
      <c r="K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54">
        <v>0</v>
      </c>
      <c r="M4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54">
        <v>38</v>
      </c>
      <c r="O454" s="23" t="s">
        <v>242</v>
      </c>
      <c r="P454">
        <v>9.5</v>
      </c>
      <c r="Q454" s="23" t="s">
        <v>181</v>
      </c>
    </row>
    <row r="455" spans="1:17" x14ac:dyDescent="0.25">
      <c r="A455" s="23" t="s">
        <v>1197</v>
      </c>
      <c r="B455" s="23" t="s">
        <v>1198</v>
      </c>
      <c r="C455" s="23" t="s">
        <v>176</v>
      </c>
      <c r="D455" s="23" t="s">
        <v>371</v>
      </c>
      <c r="E455" s="23" t="s">
        <v>372</v>
      </c>
      <c r="F455">
        <v>10</v>
      </c>
      <c r="G455" s="23" t="s">
        <v>177</v>
      </c>
      <c r="H455">
        <v>0</v>
      </c>
      <c r="I455">
        <v>196</v>
      </c>
      <c r="J455" s="10">
        <v>31</v>
      </c>
      <c r="K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55">
        <v>0</v>
      </c>
      <c r="M4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55">
        <v>20</v>
      </c>
      <c r="O455" s="23" t="s">
        <v>242</v>
      </c>
      <c r="P455">
        <v>200</v>
      </c>
      <c r="Q455" s="23" t="s">
        <v>181</v>
      </c>
    </row>
    <row r="456" spans="1:17" x14ac:dyDescent="0.25">
      <c r="A456" s="23" t="s">
        <v>1062</v>
      </c>
      <c r="B456" s="23" t="s">
        <v>1053</v>
      </c>
      <c r="C456" s="23" t="s">
        <v>176</v>
      </c>
      <c r="D456" s="23" t="s">
        <v>531</v>
      </c>
      <c r="E456" s="23" t="s">
        <v>532</v>
      </c>
      <c r="F456">
        <v>0.25</v>
      </c>
      <c r="G456" s="23" t="s">
        <v>177</v>
      </c>
      <c r="H456">
        <v>0.25</v>
      </c>
      <c r="I456">
        <v>5</v>
      </c>
      <c r="J456" s="10">
        <v>9.7999999999999936</v>
      </c>
      <c r="K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56">
        <v>0</v>
      </c>
      <c r="M4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56">
        <v>38</v>
      </c>
      <c r="O456" s="23" t="s">
        <v>242</v>
      </c>
      <c r="P456">
        <v>9.5</v>
      </c>
      <c r="Q456" s="23" t="s">
        <v>181</v>
      </c>
    </row>
    <row r="457" spans="1:17" x14ac:dyDescent="0.25">
      <c r="A457" s="23" t="s">
        <v>1197</v>
      </c>
      <c r="B457" s="23" t="s">
        <v>1198</v>
      </c>
      <c r="C457" s="23" t="s">
        <v>176</v>
      </c>
      <c r="D457" s="23" t="s">
        <v>531</v>
      </c>
      <c r="E457" s="23" t="s">
        <v>532</v>
      </c>
      <c r="F457">
        <v>0.35</v>
      </c>
      <c r="G457" s="23" t="s">
        <v>177</v>
      </c>
      <c r="H457">
        <v>0</v>
      </c>
      <c r="I457">
        <v>5</v>
      </c>
      <c r="J457" s="10">
        <v>9.7999999999999936</v>
      </c>
      <c r="K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57">
        <v>0</v>
      </c>
      <c r="M4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57">
        <v>38</v>
      </c>
      <c r="O457" s="23" t="s">
        <v>242</v>
      </c>
      <c r="P457">
        <v>13.299999999999999</v>
      </c>
      <c r="Q457" s="23" t="s">
        <v>181</v>
      </c>
    </row>
    <row r="458" spans="1:17" x14ac:dyDescent="0.25">
      <c r="A458" s="23" t="s">
        <v>1097</v>
      </c>
      <c r="B458" s="23" t="s">
        <v>1095</v>
      </c>
      <c r="C458" s="23" t="s">
        <v>176</v>
      </c>
      <c r="D458" s="23" t="s">
        <v>531</v>
      </c>
      <c r="E458" s="23" t="s">
        <v>532</v>
      </c>
      <c r="F458">
        <v>0.25</v>
      </c>
      <c r="G458" s="23" t="s">
        <v>177</v>
      </c>
      <c r="H458">
        <v>0</v>
      </c>
      <c r="I458">
        <v>5</v>
      </c>
      <c r="J458" s="10">
        <v>9.7999999999999936</v>
      </c>
      <c r="K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58">
        <v>0</v>
      </c>
      <c r="M4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58">
        <v>38</v>
      </c>
      <c r="O458" s="23" t="s">
        <v>242</v>
      </c>
      <c r="P458">
        <v>9.5</v>
      </c>
      <c r="Q458" s="23" t="s">
        <v>181</v>
      </c>
    </row>
    <row r="459" spans="1:17" x14ac:dyDescent="0.25">
      <c r="A459" s="23" t="s">
        <v>1062</v>
      </c>
      <c r="B459" s="23" t="s">
        <v>1053</v>
      </c>
      <c r="C459" s="23" t="s">
        <v>176</v>
      </c>
      <c r="D459" s="23" t="s">
        <v>371</v>
      </c>
      <c r="E459" s="23" t="s">
        <v>372</v>
      </c>
      <c r="F459">
        <v>14</v>
      </c>
      <c r="G459" s="23" t="s">
        <v>177</v>
      </c>
      <c r="H459">
        <v>0</v>
      </c>
      <c r="I459">
        <v>196</v>
      </c>
      <c r="J459" s="10">
        <v>31</v>
      </c>
      <c r="K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59">
        <v>0</v>
      </c>
      <c r="M4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59">
        <v>20</v>
      </c>
      <c r="O459" s="23" t="s">
        <v>242</v>
      </c>
      <c r="P459">
        <v>280</v>
      </c>
      <c r="Q459" s="23" t="s">
        <v>181</v>
      </c>
    </row>
    <row r="460" spans="1:17" x14ac:dyDescent="0.25">
      <c r="A460" s="23" t="s">
        <v>1144</v>
      </c>
      <c r="B460" s="23" t="s">
        <v>1145</v>
      </c>
      <c r="C460" s="23" t="s">
        <v>176</v>
      </c>
      <c r="D460" s="23" t="s">
        <v>531</v>
      </c>
      <c r="E460" s="23" t="s">
        <v>532</v>
      </c>
      <c r="F460">
        <v>0.35</v>
      </c>
      <c r="G460" s="23" t="s">
        <v>177</v>
      </c>
      <c r="H460">
        <v>0</v>
      </c>
      <c r="I460">
        <v>5</v>
      </c>
      <c r="J460" s="10">
        <v>9.7999999999999936</v>
      </c>
      <c r="K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60">
        <v>0</v>
      </c>
      <c r="M4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60">
        <v>38</v>
      </c>
      <c r="O460" s="23" t="s">
        <v>242</v>
      </c>
      <c r="P460">
        <v>13.299999999999999</v>
      </c>
      <c r="Q460" s="23" t="s">
        <v>181</v>
      </c>
    </row>
    <row r="461" spans="1:17" x14ac:dyDescent="0.25">
      <c r="A461" s="23" t="s">
        <v>1150</v>
      </c>
      <c r="B461" s="23" t="s">
        <v>1145</v>
      </c>
      <c r="C461" s="23" t="s">
        <v>176</v>
      </c>
      <c r="D461" s="23" t="s">
        <v>46</v>
      </c>
      <c r="E461" s="23" t="s">
        <v>47</v>
      </c>
      <c r="F461">
        <v>4</v>
      </c>
      <c r="G461" s="23" t="s">
        <v>177</v>
      </c>
      <c r="H461">
        <v>0</v>
      </c>
      <c r="I461">
        <v>83</v>
      </c>
      <c r="J461" s="10">
        <v>52</v>
      </c>
      <c r="K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61">
        <v>0</v>
      </c>
      <c r="M4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">
        <v>170</v>
      </c>
      <c r="O461" s="23" t="s">
        <v>247</v>
      </c>
      <c r="P461">
        <v>680</v>
      </c>
      <c r="Q461" s="23" t="s">
        <v>181</v>
      </c>
    </row>
    <row r="462" spans="1:17" x14ac:dyDescent="0.25">
      <c r="A462" s="23" t="s">
        <v>1098</v>
      </c>
      <c r="B462" s="23" t="s">
        <v>1053</v>
      </c>
      <c r="C462" s="23" t="s">
        <v>176</v>
      </c>
      <c r="D462" s="23" t="s">
        <v>371</v>
      </c>
      <c r="E462" s="23" t="s">
        <v>372</v>
      </c>
      <c r="F462">
        <v>16</v>
      </c>
      <c r="G462" s="23" t="s">
        <v>177</v>
      </c>
      <c r="H462">
        <v>0</v>
      </c>
      <c r="I462">
        <v>196</v>
      </c>
      <c r="J462" s="10">
        <v>31</v>
      </c>
      <c r="K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62">
        <v>0</v>
      </c>
      <c r="M4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62">
        <v>20</v>
      </c>
      <c r="O462" s="23" t="s">
        <v>242</v>
      </c>
      <c r="P462">
        <v>320</v>
      </c>
      <c r="Q462" s="23" t="s">
        <v>181</v>
      </c>
    </row>
    <row r="463" spans="1:17" x14ac:dyDescent="0.25">
      <c r="A463" s="23" t="s">
        <v>1197</v>
      </c>
      <c r="B463" s="23" t="s">
        <v>1198</v>
      </c>
      <c r="C463" s="23" t="s">
        <v>176</v>
      </c>
      <c r="D463" s="23" t="s">
        <v>46</v>
      </c>
      <c r="E463" s="23" t="s">
        <v>47</v>
      </c>
      <c r="F463">
        <v>4</v>
      </c>
      <c r="G463" s="23" t="s">
        <v>177</v>
      </c>
      <c r="H463">
        <v>0</v>
      </c>
      <c r="I463">
        <v>83</v>
      </c>
      <c r="J463" s="10">
        <v>52</v>
      </c>
      <c r="K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63">
        <v>0</v>
      </c>
      <c r="M4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">
        <v>170</v>
      </c>
      <c r="O463" s="23" t="s">
        <v>247</v>
      </c>
      <c r="P463">
        <v>680</v>
      </c>
      <c r="Q463" s="23" t="s">
        <v>181</v>
      </c>
    </row>
    <row r="464" spans="1:17" x14ac:dyDescent="0.25">
      <c r="A464" s="23" t="s">
        <v>1150</v>
      </c>
      <c r="B464" s="23" t="s">
        <v>1145</v>
      </c>
      <c r="C464" s="23" t="s">
        <v>176</v>
      </c>
      <c r="D464" s="23" t="s">
        <v>531</v>
      </c>
      <c r="E464" s="23" t="s">
        <v>532</v>
      </c>
      <c r="F464">
        <v>0.35</v>
      </c>
      <c r="G464" s="23" t="s">
        <v>177</v>
      </c>
      <c r="H464">
        <v>0</v>
      </c>
      <c r="I464">
        <v>5</v>
      </c>
      <c r="J464" s="10">
        <v>9.7999999999999936</v>
      </c>
      <c r="K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64">
        <v>0</v>
      </c>
      <c r="M4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64">
        <v>38</v>
      </c>
      <c r="O464" s="23" t="s">
        <v>242</v>
      </c>
      <c r="P464">
        <v>13.299999999999999</v>
      </c>
      <c r="Q464" s="23" t="s">
        <v>181</v>
      </c>
    </row>
    <row r="465" spans="1:17" x14ac:dyDescent="0.25">
      <c r="A465" s="23" t="s">
        <v>1150</v>
      </c>
      <c r="B465" s="23" t="s">
        <v>1145</v>
      </c>
      <c r="C465" s="23" t="s">
        <v>176</v>
      </c>
      <c r="D465" s="23" t="s">
        <v>371</v>
      </c>
      <c r="E465" s="23" t="s">
        <v>372</v>
      </c>
      <c r="F465">
        <v>10</v>
      </c>
      <c r="G465" s="23" t="s">
        <v>177</v>
      </c>
      <c r="H465">
        <v>0</v>
      </c>
      <c r="I465">
        <v>196</v>
      </c>
      <c r="J465" s="10">
        <v>31</v>
      </c>
      <c r="K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65">
        <v>0</v>
      </c>
      <c r="M4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65">
        <v>20</v>
      </c>
      <c r="O465" s="23" t="s">
        <v>242</v>
      </c>
      <c r="P465">
        <v>200</v>
      </c>
      <c r="Q465" s="23" t="s">
        <v>181</v>
      </c>
    </row>
    <row r="466" spans="1:17" x14ac:dyDescent="0.25">
      <c r="A466" s="23" t="s">
        <v>1098</v>
      </c>
      <c r="B466" s="23" t="s">
        <v>1053</v>
      </c>
      <c r="C466" s="23" t="s">
        <v>176</v>
      </c>
      <c r="D466" s="23" t="s">
        <v>46</v>
      </c>
      <c r="E466" s="23" t="s">
        <v>47</v>
      </c>
      <c r="F466">
        <v>4</v>
      </c>
      <c r="G466" s="23" t="s">
        <v>177</v>
      </c>
      <c r="H466">
        <v>0</v>
      </c>
      <c r="I466">
        <v>83</v>
      </c>
      <c r="J466" s="10">
        <v>52</v>
      </c>
      <c r="K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66">
        <v>0</v>
      </c>
      <c r="M4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">
        <v>170</v>
      </c>
      <c r="O466" s="23" t="s">
        <v>247</v>
      </c>
      <c r="P466">
        <v>680</v>
      </c>
      <c r="Q466" s="23" t="s">
        <v>181</v>
      </c>
    </row>
    <row r="467" spans="1:17" x14ac:dyDescent="0.25">
      <c r="A467" s="23" t="s">
        <v>1149</v>
      </c>
      <c r="B467" s="23" t="s">
        <v>1145</v>
      </c>
      <c r="C467" s="23" t="s">
        <v>176</v>
      </c>
      <c r="D467" s="23" t="s">
        <v>371</v>
      </c>
      <c r="E467" s="23" t="s">
        <v>372</v>
      </c>
      <c r="F467">
        <v>10</v>
      </c>
      <c r="G467" s="23" t="s">
        <v>177</v>
      </c>
      <c r="H467">
        <v>0</v>
      </c>
      <c r="I467">
        <v>196</v>
      </c>
      <c r="J467" s="10">
        <v>31</v>
      </c>
      <c r="K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67">
        <v>0</v>
      </c>
      <c r="M4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67">
        <v>20</v>
      </c>
      <c r="O467" s="23" t="s">
        <v>242</v>
      </c>
      <c r="P467">
        <v>200</v>
      </c>
      <c r="Q467" s="23" t="s">
        <v>181</v>
      </c>
    </row>
    <row r="468" spans="1:17" x14ac:dyDescent="0.25">
      <c r="A468" s="23" t="s">
        <v>1149</v>
      </c>
      <c r="B468" s="23" t="s">
        <v>1145</v>
      </c>
      <c r="C468" s="23" t="s">
        <v>176</v>
      </c>
      <c r="D468" s="23" t="s">
        <v>46</v>
      </c>
      <c r="E468" s="23" t="s">
        <v>47</v>
      </c>
      <c r="F468">
        <v>4</v>
      </c>
      <c r="G468" s="23" t="s">
        <v>177</v>
      </c>
      <c r="H468">
        <v>0</v>
      </c>
      <c r="I468">
        <v>83</v>
      </c>
      <c r="J468" s="10">
        <v>52</v>
      </c>
      <c r="K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68">
        <v>0</v>
      </c>
      <c r="M4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">
        <v>170</v>
      </c>
      <c r="O468" s="23" t="s">
        <v>247</v>
      </c>
      <c r="P468">
        <v>680</v>
      </c>
      <c r="Q468" s="23" t="s">
        <v>181</v>
      </c>
    </row>
    <row r="469" spans="1:17" x14ac:dyDescent="0.25">
      <c r="A469" s="23" t="s">
        <v>1144</v>
      </c>
      <c r="B469" s="23" t="s">
        <v>1145</v>
      </c>
      <c r="C469" s="23" t="s">
        <v>176</v>
      </c>
      <c r="D469" s="23" t="s">
        <v>46</v>
      </c>
      <c r="E469" s="23" t="s">
        <v>47</v>
      </c>
      <c r="F469">
        <v>4</v>
      </c>
      <c r="G469" s="23" t="s">
        <v>177</v>
      </c>
      <c r="H469">
        <v>0</v>
      </c>
      <c r="I469">
        <v>83</v>
      </c>
      <c r="J469" s="10">
        <v>52</v>
      </c>
      <c r="K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69">
        <v>0</v>
      </c>
      <c r="M4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">
        <v>170</v>
      </c>
      <c r="O469" s="23" t="s">
        <v>247</v>
      </c>
      <c r="P469">
        <v>680</v>
      </c>
      <c r="Q469" s="23" t="s">
        <v>181</v>
      </c>
    </row>
    <row r="470" spans="1:17" x14ac:dyDescent="0.25">
      <c r="A470" s="23" t="s">
        <v>1146</v>
      </c>
      <c r="B470" s="23" t="s">
        <v>1145</v>
      </c>
      <c r="C470" s="23" t="s">
        <v>176</v>
      </c>
      <c r="D470" s="23" t="s">
        <v>46</v>
      </c>
      <c r="E470" s="23" t="s">
        <v>47</v>
      </c>
      <c r="F470">
        <v>4</v>
      </c>
      <c r="G470" s="23" t="s">
        <v>177</v>
      </c>
      <c r="H470">
        <v>0</v>
      </c>
      <c r="I470">
        <v>83</v>
      </c>
      <c r="J470" s="10">
        <v>52</v>
      </c>
      <c r="K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70">
        <v>0</v>
      </c>
      <c r="M4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">
        <v>170</v>
      </c>
      <c r="O470" s="23" t="s">
        <v>247</v>
      </c>
      <c r="P470">
        <v>680</v>
      </c>
      <c r="Q470" s="23" t="s">
        <v>181</v>
      </c>
    </row>
    <row r="471" spans="1:17" x14ac:dyDescent="0.25">
      <c r="A471" s="23" t="s">
        <v>1097</v>
      </c>
      <c r="B471" s="23" t="s">
        <v>1095</v>
      </c>
      <c r="C471" s="23" t="s">
        <v>176</v>
      </c>
      <c r="D471" s="23" t="s">
        <v>371</v>
      </c>
      <c r="E471" s="23" t="s">
        <v>372</v>
      </c>
      <c r="F471">
        <v>14</v>
      </c>
      <c r="G471" s="23" t="s">
        <v>177</v>
      </c>
      <c r="H471">
        <v>0</v>
      </c>
      <c r="I471">
        <v>196</v>
      </c>
      <c r="J471" s="10">
        <v>31</v>
      </c>
      <c r="K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71">
        <v>0</v>
      </c>
      <c r="M4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71">
        <v>20</v>
      </c>
      <c r="O471" s="23" t="s">
        <v>242</v>
      </c>
      <c r="P471">
        <v>280</v>
      </c>
      <c r="Q471" s="23" t="s">
        <v>181</v>
      </c>
    </row>
    <row r="472" spans="1:17" x14ac:dyDescent="0.25">
      <c r="A472" s="23" t="s">
        <v>1197</v>
      </c>
      <c r="B472" s="23" t="s">
        <v>1198</v>
      </c>
      <c r="C472" s="23" t="s">
        <v>176</v>
      </c>
      <c r="D472" s="23" t="s">
        <v>1192</v>
      </c>
      <c r="E472" s="23" t="s">
        <v>1193</v>
      </c>
      <c r="F472">
        <v>0.1</v>
      </c>
      <c r="G472" s="23" t="s">
        <v>186</v>
      </c>
      <c r="H472">
        <v>0</v>
      </c>
      <c r="I472">
        <v>32</v>
      </c>
      <c r="J472" s="10">
        <v>60</v>
      </c>
      <c r="K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472">
        <v>0</v>
      </c>
      <c r="M4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">
        <v>110</v>
      </c>
      <c r="O472" s="23" t="s">
        <v>1194</v>
      </c>
      <c r="P472">
        <v>11</v>
      </c>
      <c r="Q472" s="23" t="s">
        <v>184</v>
      </c>
    </row>
    <row r="473" spans="1:17" x14ac:dyDescent="0.25">
      <c r="A473" s="23" t="s">
        <v>1098</v>
      </c>
      <c r="B473" s="23" t="s">
        <v>1053</v>
      </c>
      <c r="C473" s="23" t="s">
        <v>176</v>
      </c>
      <c r="D473" s="23" t="s">
        <v>350</v>
      </c>
      <c r="E473" s="23" t="s">
        <v>351</v>
      </c>
      <c r="F473">
        <v>0.5</v>
      </c>
      <c r="G473" s="23" t="s">
        <v>177</v>
      </c>
      <c r="H473">
        <v>0</v>
      </c>
      <c r="I473">
        <v>12</v>
      </c>
      <c r="J473" s="10">
        <v>3</v>
      </c>
      <c r="K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73">
        <v>0</v>
      </c>
      <c r="M4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">
        <v>130</v>
      </c>
      <c r="O473" s="23" t="s">
        <v>227</v>
      </c>
      <c r="P473">
        <v>65</v>
      </c>
      <c r="Q473" s="23" t="s">
        <v>184</v>
      </c>
    </row>
    <row r="474" spans="1:17" x14ac:dyDescent="0.25">
      <c r="A474" s="23" t="s">
        <v>1149</v>
      </c>
      <c r="B474" s="23" t="s">
        <v>1145</v>
      </c>
      <c r="C474" s="23" t="s">
        <v>176</v>
      </c>
      <c r="D474" s="23" t="s">
        <v>531</v>
      </c>
      <c r="E474" s="23" t="s">
        <v>532</v>
      </c>
      <c r="F474">
        <v>0.35</v>
      </c>
      <c r="G474" s="23" t="s">
        <v>177</v>
      </c>
      <c r="H474">
        <v>0</v>
      </c>
      <c r="I474">
        <v>5</v>
      </c>
      <c r="J474" s="10">
        <v>9.7999999999999936</v>
      </c>
      <c r="K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74">
        <v>0</v>
      </c>
      <c r="M4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74">
        <v>38</v>
      </c>
      <c r="O474" s="23" t="s">
        <v>242</v>
      </c>
      <c r="P474">
        <v>13.299999999999999</v>
      </c>
      <c r="Q474" s="23" t="s">
        <v>181</v>
      </c>
    </row>
    <row r="475" spans="1:17" x14ac:dyDescent="0.25">
      <c r="A475" s="23" t="s">
        <v>1146</v>
      </c>
      <c r="B475" s="23" t="s">
        <v>1145</v>
      </c>
      <c r="C475" s="23" t="s">
        <v>176</v>
      </c>
      <c r="D475" s="23" t="s">
        <v>531</v>
      </c>
      <c r="E475" s="23" t="s">
        <v>532</v>
      </c>
      <c r="F475">
        <v>0.35</v>
      </c>
      <c r="G475" s="23" t="s">
        <v>177</v>
      </c>
      <c r="H475">
        <v>0</v>
      </c>
      <c r="I475">
        <v>5</v>
      </c>
      <c r="J475" s="10">
        <v>9.7999999999999936</v>
      </c>
      <c r="K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75">
        <v>0</v>
      </c>
      <c r="M4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75">
        <v>38</v>
      </c>
      <c r="O475" s="23" t="s">
        <v>242</v>
      </c>
      <c r="P475">
        <v>13.299999999999999</v>
      </c>
      <c r="Q475" s="23" t="s">
        <v>181</v>
      </c>
    </row>
    <row r="476" spans="1:17" x14ac:dyDescent="0.25">
      <c r="A476" s="23" t="s">
        <v>1144</v>
      </c>
      <c r="B476" s="23" t="s">
        <v>1145</v>
      </c>
      <c r="C476" s="23" t="s">
        <v>176</v>
      </c>
      <c r="D476" s="23" t="s">
        <v>371</v>
      </c>
      <c r="E476" s="23" t="s">
        <v>372</v>
      </c>
      <c r="F476">
        <v>10</v>
      </c>
      <c r="G476" s="23" t="s">
        <v>177</v>
      </c>
      <c r="H476">
        <v>0</v>
      </c>
      <c r="I476">
        <v>196</v>
      </c>
      <c r="J476" s="10">
        <v>31</v>
      </c>
      <c r="K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76">
        <v>0</v>
      </c>
      <c r="M4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76">
        <v>20</v>
      </c>
      <c r="O476" s="23" t="s">
        <v>242</v>
      </c>
      <c r="P476">
        <v>200</v>
      </c>
      <c r="Q476" s="23" t="s">
        <v>181</v>
      </c>
    </row>
    <row r="477" spans="1:17" x14ac:dyDescent="0.25">
      <c r="A477" s="23" t="s">
        <v>1146</v>
      </c>
      <c r="B477" s="23" t="s">
        <v>1145</v>
      </c>
      <c r="C477" s="23" t="s">
        <v>176</v>
      </c>
      <c r="D477" s="23" t="s">
        <v>371</v>
      </c>
      <c r="E477" s="23" t="s">
        <v>372</v>
      </c>
      <c r="F477">
        <v>10</v>
      </c>
      <c r="G477" s="23" t="s">
        <v>177</v>
      </c>
      <c r="H477">
        <v>0</v>
      </c>
      <c r="I477">
        <v>196</v>
      </c>
      <c r="J477" s="10">
        <v>31</v>
      </c>
      <c r="K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77">
        <v>0</v>
      </c>
      <c r="M4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77">
        <v>20</v>
      </c>
      <c r="O477" s="23" t="s">
        <v>242</v>
      </c>
      <c r="P477">
        <v>200</v>
      </c>
      <c r="Q477" s="23" t="s">
        <v>181</v>
      </c>
    </row>
    <row r="478" spans="1:17" x14ac:dyDescent="0.25">
      <c r="A478" s="23" t="s">
        <v>1062</v>
      </c>
      <c r="B478" s="23" t="s">
        <v>1053</v>
      </c>
      <c r="C478" s="23" t="s">
        <v>176</v>
      </c>
      <c r="D478" s="23" t="s">
        <v>46</v>
      </c>
      <c r="E478" s="23" t="s">
        <v>47</v>
      </c>
      <c r="F478">
        <v>4</v>
      </c>
      <c r="G478" s="23" t="s">
        <v>177</v>
      </c>
      <c r="H478">
        <v>4</v>
      </c>
      <c r="I478">
        <v>83</v>
      </c>
      <c r="J478" s="10">
        <v>52</v>
      </c>
      <c r="K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78">
        <v>0</v>
      </c>
      <c r="M4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8">
        <v>170</v>
      </c>
      <c r="O478" s="23" t="s">
        <v>247</v>
      </c>
      <c r="P478">
        <v>680</v>
      </c>
      <c r="Q478" s="23" t="s">
        <v>181</v>
      </c>
    </row>
    <row r="479" spans="1:17" x14ac:dyDescent="0.25">
      <c r="A479" s="23" t="s">
        <v>1097</v>
      </c>
      <c r="B479" s="23" t="s">
        <v>1095</v>
      </c>
      <c r="C479" s="23" t="s">
        <v>176</v>
      </c>
      <c r="D479" s="23" t="s">
        <v>46</v>
      </c>
      <c r="E479" s="23" t="s">
        <v>47</v>
      </c>
      <c r="F479">
        <v>4</v>
      </c>
      <c r="G479" s="23" t="s">
        <v>177</v>
      </c>
      <c r="H479">
        <v>0</v>
      </c>
      <c r="I479">
        <v>83</v>
      </c>
      <c r="J479" s="10">
        <v>52</v>
      </c>
      <c r="K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79">
        <v>0</v>
      </c>
      <c r="M4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">
        <v>170</v>
      </c>
      <c r="O479" s="23" t="s">
        <v>247</v>
      </c>
      <c r="P479">
        <v>680</v>
      </c>
      <c r="Q479" s="23" t="s">
        <v>181</v>
      </c>
    </row>
    <row r="480" spans="1:17" x14ac:dyDescent="0.25">
      <c r="A480" s="23" t="s">
        <v>1197</v>
      </c>
      <c r="B480" s="23" t="s">
        <v>1198</v>
      </c>
      <c r="C480" s="23" t="s">
        <v>176</v>
      </c>
      <c r="D480" s="23" t="s">
        <v>723</v>
      </c>
      <c r="E480" s="23" t="s">
        <v>724</v>
      </c>
      <c r="F480">
        <v>16</v>
      </c>
      <c r="G480" s="23" t="s">
        <v>177</v>
      </c>
      <c r="H480">
        <v>0</v>
      </c>
      <c r="I480">
        <v>1278</v>
      </c>
      <c r="J480" s="10">
        <v>690</v>
      </c>
      <c r="K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480">
        <v>0</v>
      </c>
      <c r="M4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">
        <v>0.55000000000000004</v>
      </c>
      <c r="O480" s="23" t="s">
        <v>242</v>
      </c>
      <c r="P480">
        <v>8.8000000000000007</v>
      </c>
      <c r="Q480" s="23" t="s">
        <v>181</v>
      </c>
    </row>
    <row r="481" spans="1:17" x14ac:dyDescent="0.25">
      <c r="A481" s="23" t="s">
        <v>1062</v>
      </c>
      <c r="B481" s="23" t="s">
        <v>1053</v>
      </c>
      <c r="C481" s="23" t="s">
        <v>176</v>
      </c>
      <c r="D481" s="23" t="s">
        <v>350</v>
      </c>
      <c r="E481" s="23" t="s">
        <v>351</v>
      </c>
      <c r="F481">
        <v>0.5</v>
      </c>
      <c r="G481" s="23" t="s">
        <v>177</v>
      </c>
      <c r="H481">
        <v>0</v>
      </c>
      <c r="I481">
        <v>12</v>
      </c>
      <c r="J481" s="10">
        <v>3</v>
      </c>
      <c r="K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1">
        <v>0</v>
      </c>
      <c r="M4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">
        <v>130</v>
      </c>
      <c r="O481" s="23" t="s">
        <v>227</v>
      </c>
      <c r="P481">
        <v>65</v>
      </c>
      <c r="Q481" s="23" t="s">
        <v>184</v>
      </c>
    </row>
    <row r="482" spans="1:17" x14ac:dyDescent="0.25">
      <c r="A482" s="23" t="s">
        <v>1097</v>
      </c>
      <c r="B482" s="23" t="s">
        <v>1095</v>
      </c>
      <c r="C482" s="23" t="s">
        <v>176</v>
      </c>
      <c r="D482" s="23" t="s">
        <v>350</v>
      </c>
      <c r="E482" s="23" t="s">
        <v>351</v>
      </c>
      <c r="F482">
        <v>0.5</v>
      </c>
      <c r="G482" s="23" t="s">
        <v>177</v>
      </c>
      <c r="H482">
        <v>0</v>
      </c>
      <c r="I482">
        <v>12</v>
      </c>
      <c r="J482" s="10">
        <v>3</v>
      </c>
      <c r="K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2">
        <v>0</v>
      </c>
      <c r="M4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">
        <v>130</v>
      </c>
      <c r="O482" s="23" t="s">
        <v>227</v>
      </c>
      <c r="P482">
        <v>65</v>
      </c>
      <c r="Q482" s="23" t="s">
        <v>184</v>
      </c>
    </row>
    <row r="483" spans="1:17" x14ac:dyDescent="0.25">
      <c r="A483" s="23" t="s">
        <v>1062</v>
      </c>
      <c r="B483" s="23" t="s">
        <v>1053</v>
      </c>
      <c r="C483" s="23" t="s">
        <v>176</v>
      </c>
      <c r="D483" s="23" t="s">
        <v>87</v>
      </c>
      <c r="E483" s="23" t="s">
        <v>88</v>
      </c>
      <c r="F483">
        <v>4</v>
      </c>
      <c r="G483" s="23" t="s">
        <v>177</v>
      </c>
      <c r="H483">
        <v>0</v>
      </c>
      <c r="I483">
        <v>48</v>
      </c>
      <c r="J483" s="10">
        <v>7.1054273576010019E-15</v>
      </c>
      <c r="K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483">
        <v>0</v>
      </c>
      <c r="M4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483">
        <v>100</v>
      </c>
      <c r="O483" s="23" t="s">
        <v>242</v>
      </c>
      <c r="P483">
        <v>400</v>
      </c>
      <c r="Q483" s="23" t="s">
        <v>184</v>
      </c>
    </row>
    <row r="484" spans="1:17" x14ac:dyDescent="0.25">
      <c r="A484" s="23" t="s">
        <v>1197</v>
      </c>
      <c r="B484" s="23" t="s">
        <v>1198</v>
      </c>
      <c r="C484" s="23" t="s">
        <v>176</v>
      </c>
      <c r="D484" s="23" t="s">
        <v>87</v>
      </c>
      <c r="E484" s="23" t="s">
        <v>88</v>
      </c>
      <c r="F484">
        <v>2.02</v>
      </c>
      <c r="G484" s="23" t="s">
        <v>177</v>
      </c>
      <c r="H484">
        <v>0</v>
      </c>
      <c r="I484">
        <v>48</v>
      </c>
      <c r="J484" s="10">
        <v>7.1054273576010019E-15</v>
      </c>
      <c r="K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484">
        <v>0</v>
      </c>
      <c r="M4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484">
        <v>100</v>
      </c>
      <c r="O484" s="23" t="s">
        <v>242</v>
      </c>
      <c r="P484">
        <v>202</v>
      </c>
      <c r="Q484" s="23" t="s">
        <v>184</v>
      </c>
    </row>
    <row r="485" spans="1:17" x14ac:dyDescent="0.25">
      <c r="A485" s="23" t="s">
        <v>1097</v>
      </c>
      <c r="B485" s="23" t="s">
        <v>1095</v>
      </c>
      <c r="C485" s="23" t="s">
        <v>176</v>
      </c>
      <c r="D485" s="23" t="s">
        <v>87</v>
      </c>
      <c r="E485" s="23" t="s">
        <v>88</v>
      </c>
      <c r="F485">
        <v>3</v>
      </c>
      <c r="G485" s="23" t="s">
        <v>177</v>
      </c>
      <c r="H485">
        <v>0</v>
      </c>
      <c r="I485">
        <v>48</v>
      </c>
      <c r="J485" s="10">
        <v>7.1054273576010019E-15</v>
      </c>
      <c r="K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485">
        <v>0</v>
      </c>
      <c r="M4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485">
        <v>100</v>
      </c>
      <c r="O485" s="23" t="s">
        <v>242</v>
      </c>
      <c r="P485">
        <v>300</v>
      </c>
      <c r="Q485" s="23" t="s">
        <v>184</v>
      </c>
    </row>
    <row r="486" spans="1:17" x14ac:dyDescent="0.25">
      <c r="A486" s="23" t="s">
        <v>1096</v>
      </c>
      <c r="B486" s="23" t="s">
        <v>1053</v>
      </c>
      <c r="C486" s="23" t="s">
        <v>176</v>
      </c>
      <c r="D486" s="23" t="s">
        <v>531</v>
      </c>
      <c r="E486" s="23" t="s">
        <v>532</v>
      </c>
      <c r="F486">
        <v>0.25</v>
      </c>
      <c r="G486" s="23" t="s">
        <v>177</v>
      </c>
      <c r="H486">
        <v>0</v>
      </c>
      <c r="I486">
        <v>5</v>
      </c>
      <c r="J486" s="10">
        <v>9.7999999999999936</v>
      </c>
      <c r="K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86">
        <v>0</v>
      </c>
      <c r="M4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86">
        <v>38</v>
      </c>
      <c r="O486" s="23" t="s">
        <v>242</v>
      </c>
      <c r="P486">
        <v>9.5</v>
      </c>
      <c r="Q486" s="23" t="s">
        <v>181</v>
      </c>
    </row>
    <row r="487" spans="1:17" x14ac:dyDescent="0.25">
      <c r="A487" s="23" t="s">
        <v>1143</v>
      </c>
      <c r="B487" s="23" t="s">
        <v>1054</v>
      </c>
      <c r="C487" s="23" t="s">
        <v>176</v>
      </c>
      <c r="D487" s="23" t="s">
        <v>531</v>
      </c>
      <c r="E487" s="23" t="s">
        <v>532</v>
      </c>
      <c r="F487">
        <v>0.25</v>
      </c>
      <c r="G487" s="23" t="s">
        <v>177</v>
      </c>
      <c r="H487">
        <v>0</v>
      </c>
      <c r="I487">
        <v>5</v>
      </c>
      <c r="J487" s="10">
        <v>9.7999999999999936</v>
      </c>
      <c r="K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87">
        <v>0</v>
      </c>
      <c r="M4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87">
        <v>38</v>
      </c>
      <c r="O487" s="23" t="s">
        <v>242</v>
      </c>
      <c r="P487">
        <v>9.5</v>
      </c>
      <c r="Q487" s="23" t="s">
        <v>181</v>
      </c>
    </row>
    <row r="488" spans="1:17" x14ac:dyDescent="0.25">
      <c r="A488" s="23" t="s">
        <v>1096</v>
      </c>
      <c r="B488" s="23" t="s">
        <v>1053</v>
      </c>
      <c r="C488" s="23" t="s">
        <v>176</v>
      </c>
      <c r="D488" s="23" t="s">
        <v>371</v>
      </c>
      <c r="E488" s="23" t="s">
        <v>372</v>
      </c>
      <c r="F488">
        <v>14</v>
      </c>
      <c r="G488" s="23" t="s">
        <v>177</v>
      </c>
      <c r="H488">
        <v>0</v>
      </c>
      <c r="I488">
        <v>196</v>
      </c>
      <c r="J488" s="10">
        <v>31</v>
      </c>
      <c r="K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88">
        <v>0</v>
      </c>
      <c r="M4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88">
        <v>20</v>
      </c>
      <c r="O488" s="23" t="s">
        <v>242</v>
      </c>
      <c r="P488">
        <v>280</v>
      </c>
      <c r="Q488" s="23" t="s">
        <v>181</v>
      </c>
    </row>
    <row r="489" spans="1:17" x14ac:dyDescent="0.25">
      <c r="A489" s="23" t="s">
        <v>1094</v>
      </c>
      <c r="B489" s="23" t="s">
        <v>1095</v>
      </c>
      <c r="C489" s="23" t="s">
        <v>176</v>
      </c>
      <c r="D489" s="23" t="s">
        <v>371</v>
      </c>
      <c r="E489" s="23" t="s">
        <v>372</v>
      </c>
      <c r="F489">
        <v>14</v>
      </c>
      <c r="G489" s="23" t="s">
        <v>177</v>
      </c>
      <c r="H489">
        <v>0</v>
      </c>
      <c r="I489">
        <v>196</v>
      </c>
      <c r="J489" s="10">
        <v>31</v>
      </c>
      <c r="K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89">
        <v>0</v>
      </c>
      <c r="M4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89">
        <v>20</v>
      </c>
      <c r="O489" s="23" t="s">
        <v>242</v>
      </c>
      <c r="P489">
        <v>280</v>
      </c>
      <c r="Q489" s="23" t="s">
        <v>181</v>
      </c>
    </row>
    <row r="490" spans="1:17" x14ac:dyDescent="0.25">
      <c r="A490" s="23" t="s">
        <v>1057</v>
      </c>
      <c r="B490" s="23" t="s">
        <v>1056</v>
      </c>
      <c r="C490" s="23" t="s">
        <v>176</v>
      </c>
      <c r="D490" s="23" t="s">
        <v>371</v>
      </c>
      <c r="E490" s="23" t="s">
        <v>372</v>
      </c>
      <c r="F490">
        <v>10</v>
      </c>
      <c r="G490" s="23" t="s">
        <v>177</v>
      </c>
      <c r="H490">
        <v>0</v>
      </c>
      <c r="I490">
        <v>196</v>
      </c>
      <c r="J490" s="10">
        <v>31</v>
      </c>
      <c r="K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90">
        <v>0</v>
      </c>
      <c r="M4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90">
        <v>20</v>
      </c>
      <c r="O490" s="23" t="s">
        <v>242</v>
      </c>
      <c r="P490">
        <v>200</v>
      </c>
      <c r="Q490" s="23" t="s">
        <v>181</v>
      </c>
    </row>
    <row r="491" spans="1:17" x14ac:dyDescent="0.25">
      <c r="A491" s="23" t="s">
        <v>1143</v>
      </c>
      <c r="B491" s="23" t="s">
        <v>1054</v>
      </c>
      <c r="C491" s="23" t="s">
        <v>176</v>
      </c>
      <c r="D491" s="23" t="s">
        <v>371</v>
      </c>
      <c r="E491" s="23" t="s">
        <v>372</v>
      </c>
      <c r="F491">
        <v>14</v>
      </c>
      <c r="G491" s="23" t="s">
        <v>177</v>
      </c>
      <c r="H491">
        <v>0</v>
      </c>
      <c r="I491">
        <v>196</v>
      </c>
      <c r="J491" s="10">
        <v>31</v>
      </c>
      <c r="K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91">
        <v>0</v>
      </c>
      <c r="M4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91">
        <v>20</v>
      </c>
      <c r="O491" s="23" t="s">
        <v>242</v>
      </c>
      <c r="P491">
        <v>280</v>
      </c>
      <c r="Q491" s="23" t="s">
        <v>181</v>
      </c>
    </row>
    <row r="492" spans="1:17" x14ac:dyDescent="0.25">
      <c r="A492" s="23" t="s">
        <v>1143</v>
      </c>
      <c r="B492" s="23" t="s">
        <v>1054</v>
      </c>
      <c r="C492" s="23" t="s">
        <v>176</v>
      </c>
      <c r="D492" s="23" t="s">
        <v>46</v>
      </c>
      <c r="E492" s="23" t="s">
        <v>47</v>
      </c>
      <c r="F492">
        <v>4</v>
      </c>
      <c r="G492" s="23" t="s">
        <v>177</v>
      </c>
      <c r="H492">
        <v>0</v>
      </c>
      <c r="I492">
        <v>83</v>
      </c>
      <c r="J492" s="10">
        <v>52</v>
      </c>
      <c r="K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92">
        <v>0</v>
      </c>
      <c r="M4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">
        <v>170</v>
      </c>
      <c r="O492" s="23" t="s">
        <v>247</v>
      </c>
      <c r="P492">
        <v>680</v>
      </c>
      <c r="Q492" s="23" t="s">
        <v>181</v>
      </c>
    </row>
    <row r="493" spans="1:17" x14ac:dyDescent="0.25">
      <c r="A493" s="23" t="s">
        <v>1094</v>
      </c>
      <c r="B493" s="23" t="s">
        <v>1095</v>
      </c>
      <c r="C493" s="23" t="s">
        <v>176</v>
      </c>
      <c r="D493" s="23" t="s">
        <v>350</v>
      </c>
      <c r="E493" s="23" t="s">
        <v>351</v>
      </c>
      <c r="F493">
        <v>0.5</v>
      </c>
      <c r="G493" s="23" t="s">
        <v>177</v>
      </c>
      <c r="H493">
        <v>0</v>
      </c>
      <c r="I493">
        <v>12</v>
      </c>
      <c r="J493" s="10">
        <v>3</v>
      </c>
      <c r="K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93">
        <v>0</v>
      </c>
      <c r="M4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">
        <v>130</v>
      </c>
      <c r="O493" s="23" t="s">
        <v>227</v>
      </c>
      <c r="P493">
        <v>65</v>
      </c>
      <c r="Q493" s="23" t="s">
        <v>184</v>
      </c>
    </row>
    <row r="494" spans="1:17" x14ac:dyDescent="0.25">
      <c r="A494" s="23" t="s">
        <v>1057</v>
      </c>
      <c r="B494" s="23" t="s">
        <v>1056</v>
      </c>
      <c r="C494" s="23" t="s">
        <v>176</v>
      </c>
      <c r="D494" s="23" t="s">
        <v>350</v>
      </c>
      <c r="E494" s="23" t="s">
        <v>351</v>
      </c>
      <c r="F494">
        <v>0.5</v>
      </c>
      <c r="G494" s="23" t="s">
        <v>177</v>
      </c>
      <c r="H494">
        <v>0</v>
      </c>
      <c r="I494">
        <v>12</v>
      </c>
      <c r="J494" s="10">
        <v>3</v>
      </c>
      <c r="K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94">
        <v>0</v>
      </c>
      <c r="M4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">
        <v>130</v>
      </c>
      <c r="O494" s="23" t="s">
        <v>227</v>
      </c>
      <c r="P494">
        <v>65</v>
      </c>
      <c r="Q494" s="23" t="s">
        <v>184</v>
      </c>
    </row>
    <row r="495" spans="1:17" x14ac:dyDescent="0.25">
      <c r="A495" s="23" t="s">
        <v>1147</v>
      </c>
      <c r="B495" s="23" t="s">
        <v>1145</v>
      </c>
      <c r="C495" s="23" t="s">
        <v>176</v>
      </c>
      <c r="D495" s="23" t="s">
        <v>531</v>
      </c>
      <c r="E495" s="23" t="s">
        <v>532</v>
      </c>
      <c r="F495">
        <v>0.35</v>
      </c>
      <c r="G495" s="23" t="s">
        <v>177</v>
      </c>
      <c r="H495">
        <v>0</v>
      </c>
      <c r="I495">
        <v>5</v>
      </c>
      <c r="J495" s="10">
        <v>9.7999999999999936</v>
      </c>
      <c r="K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95">
        <v>0</v>
      </c>
      <c r="M4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95">
        <v>38</v>
      </c>
      <c r="O495" s="23" t="s">
        <v>242</v>
      </c>
      <c r="P495">
        <v>13.299999999999999</v>
      </c>
      <c r="Q495" s="23" t="s">
        <v>181</v>
      </c>
    </row>
    <row r="496" spans="1:17" x14ac:dyDescent="0.25">
      <c r="A496" s="23" t="s">
        <v>1055</v>
      </c>
      <c r="B496" s="23" t="s">
        <v>1056</v>
      </c>
      <c r="C496" s="23" t="s">
        <v>176</v>
      </c>
      <c r="D496" s="23" t="s">
        <v>531</v>
      </c>
      <c r="E496" s="23" t="s">
        <v>532</v>
      </c>
      <c r="F496">
        <v>0.5</v>
      </c>
      <c r="G496" s="23" t="s">
        <v>177</v>
      </c>
      <c r="H496">
        <v>0</v>
      </c>
      <c r="I496">
        <v>5</v>
      </c>
      <c r="J496" s="10">
        <v>9.7999999999999936</v>
      </c>
      <c r="K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496">
        <v>0</v>
      </c>
      <c r="M4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496">
        <v>38</v>
      </c>
      <c r="O496" s="23" t="s">
        <v>242</v>
      </c>
      <c r="P496">
        <v>19</v>
      </c>
      <c r="Q496" s="23" t="s">
        <v>181</v>
      </c>
    </row>
    <row r="497" spans="1:17" x14ac:dyDescent="0.25">
      <c r="A497" s="23" t="s">
        <v>1055</v>
      </c>
      <c r="B497" s="23" t="s">
        <v>1056</v>
      </c>
      <c r="C497" s="23" t="s">
        <v>176</v>
      </c>
      <c r="D497" s="23" t="s">
        <v>371</v>
      </c>
      <c r="E497" s="23" t="s">
        <v>372</v>
      </c>
      <c r="F497">
        <v>10</v>
      </c>
      <c r="G497" s="23" t="s">
        <v>177</v>
      </c>
      <c r="H497">
        <v>0</v>
      </c>
      <c r="I497">
        <v>196</v>
      </c>
      <c r="J497" s="10">
        <v>31</v>
      </c>
      <c r="K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97">
        <v>0</v>
      </c>
      <c r="M4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97">
        <v>20</v>
      </c>
      <c r="O497" s="23" t="s">
        <v>242</v>
      </c>
      <c r="P497">
        <v>200</v>
      </c>
      <c r="Q497" s="23" t="s">
        <v>181</v>
      </c>
    </row>
    <row r="498" spans="1:17" x14ac:dyDescent="0.25">
      <c r="A498" s="23" t="s">
        <v>1099</v>
      </c>
      <c r="B498" s="23" t="s">
        <v>1056</v>
      </c>
      <c r="C498" s="23" t="s">
        <v>176</v>
      </c>
      <c r="D498" s="23" t="s">
        <v>371</v>
      </c>
      <c r="E498" s="23" t="s">
        <v>372</v>
      </c>
      <c r="F498">
        <v>6</v>
      </c>
      <c r="G498" s="23" t="s">
        <v>177</v>
      </c>
      <c r="H498">
        <v>0</v>
      </c>
      <c r="I498">
        <v>196</v>
      </c>
      <c r="J498" s="10">
        <v>31</v>
      </c>
      <c r="K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98">
        <v>0</v>
      </c>
      <c r="M4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98">
        <v>20</v>
      </c>
      <c r="O498" s="23" t="s">
        <v>242</v>
      </c>
      <c r="P498">
        <v>120</v>
      </c>
      <c r="Q498" s="23" t="s">
        <v>181</v>
      </c>
    </row>
    <row r="499" spans="1:17" x14ac:dyDescent="0.25">
      <c r="A499" s="23" t="s">
        <v>1148</v>
      </c>
      <c r="B499" s="23" t="s">
        <v>1054</v>
      </c>
      <c r="C499" s="23" t="s">
        <v>176</v>
      </c>
      <c r="D499" s="23" t="s">
        <v>371</v>
      </c>
      <c r="E499" s="23" t="s">
        <v>372</v>
      </c>
      <c r="F499">
        <v>14</v>
      </c>
      <c r="G499" s="23" t="s">
        <v>177</v>
      </c>
      <c r="H499">
        <v>0</v>
      </c>
      <c r="I499">
        <v>196</v>
      </c>
      <c r="J499" s="10">
        <v>31</v>
      </c>
      <c r="K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499">
        <v>0</v>
      </c>
      <c r="M4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499">
        <v>20</v>
      </c>
      <c r="O499" s="23" t="s">
        <v>242</v>
      </c>
      <c r="P499">
        <v>280</v>
      </c>
      <c r="Q499" s="23" t="s">
        <v>181</v>
      </c>
    </row>
    <row r="500" spans="1:17" x14ac:dyDescent="0.25">
      <c r="A500" s="23" t="s">
        <v>1094</v>
      </c>
      <c r="B500" s="23" t="s">
        <v>1095</v>
      </c>
      <c r="C500" s="23" t="s">
        <v>176</v>
      </c>
      <c r="D500" s="23" t="s">
        <v>531</v>
      </c>
      <c r="E500" s="23" t="s">
        <v>532</v>
      </c>
      <c r="F500">
        <v>0.25</v>
      </c>
      <c r="G500" s="23" t="s">
        <v>177</v>
      </c>
      <c r="H500">
        <v>0</v>
      </c>
      <c r="I500">
        <v>5</v>
      </c>
      <c r="J500" s="10">
        <v>9.7999999999999936</v>
      </c>
      <c r="K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500">
        <v>0</v>
      </c>
      <c r="M5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500">
        <v>38</v>
      </c>
      <c r="O500" s="23" t="s">
        <v>242</v>
      </c>
      <c r="P500">
        <v>9.5</v>
      </c>
      <c r="Q500" s="23" t="s">
        <v>181</v>
      </c>
    </row>
    <row r="501" spans="1:17" x14ac:dyDescent="0.25">
      <c r="A501" s="23" t="s">
        <v>1094</v>
      </c>
      <c r="B501" s="23" t="s">
        <v>1095</v>
      </c>
      <c r="C501" s="23" t="s">
        <v>176</v>
      </c>
      <c r="D501" s="23" t="s">
        <v>46</v>
      </c>
      <c r="E501" s="23" t="s">
        <v>47</v>
      </c>
      <c r="F501">
        <v>4</v>
      </c>
      <c r="G501" s="23" t="s">
        <v>177</v>
      </c>
      <c r="H501">
        <v>0</v>
      </c>
      <c r="I501">
        <v>83</v>
      </c>
      <c r="J501" s="10">
        <v>52</v>
      </c>
      <c r="K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01">
        <v>0</v>
      </c>
      <c r="M5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">
        <v>170</v>
      </c>
      <c r="O501" s="23" t="s">
        <v>247</v>
      </c>
      <c r="P501">
        <v>680</v>
      </c>
      <c r="Q501" s="23" t="s">
        <v>181</v>
      </c>
    </row>
    <row r="502" spans="1:17" x14ac:dyDescent="0.25">
      <c r="A502" s="23" t="s">
        <v>1143</v>
      </c>
      <c r="B502" s="23" t="s">
        <v>1054</v>
      </c>
      <c r="C502" s="23" t="s">
        <v>176</v>
      </c>
      <c r="D502" s="23" t="s">
        <v>350</v>
      </c>
      <c r="E502" s="23" t="s">
        <v>351</v>
      </c>
      <c r="F502">
        <v>0.5</v>
      </c>
      <c r="G502" s="23" t="s">
        <v>177</v>
      </c>
      <c r="H502">
        <v>0</v>
      </c>
      <c r="I502">
        <v>12</v>
      </c>
      <c r="J502" s="10">
        <v>3</v>
      </c>
      <c r="K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02">
        <v>0</v>
      </c>
      <c r="M5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">
        <v>130</v>
      </c>
      <c r="O502" s="23" t="s">
        <v>227</v>
      </c>
      <c r="P502">
        <v>65</v>
      </c>
      <c r="Q502" s="23" t="s">
        <v>184</v>
      </c>
    </row>
    <row r="503" spans="1:17" x14ac:dyDescent="0.25">
      <c r="A503" s="23" t="s">
        <v>1096</v>
      </c>
      <c r="B503" s="23" t="s">
        <v>1053</v>
      </c>
      <c r="C503" s="23" t="s">
        <v>176</v>
      </c>
      <c r="D503" s="23" t="s">
        <v>350</v>
      </c>
      <c r="E503" s="23" t="s">
        <v>351</v>
      </c>
      <c r="F503">
        <v>0.5</v>
      </c>
      <c r="G503" s="23" t="s">
        <v>177</v>
      </c>
      <c r="H503">
        <v>0</v>
      </c>
      <c r="I503">
        <v>12</v>
      </c>
      <c r="J503" s="10">
        <v>3</v>
      </c>
      <c r="K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03">
        <v>0</v>
      </c>
      <c r="M5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">
        <v>130</v>
      </c>
      <c r="O503" s="23" t="s">
        <v>227</v>
      </c>
      <c r="P503">
        <v>65</v>
      </c>
      <c r="Q503" s="23" t="s">
        <v>184</v>
      </c>
    </row>
    <row r="504" spans="1:17" x14ac:dyDescent="0.25">
      <c r="A504" s="23" t="s">
        <v>1142</v>
      </c>
      <c r="B504" s="23" t="s">
        <v>1054</v>
      </c>
      <c r="C504" s="23" t="s">
        <v>176</v>
      </c>
      <c r="D504" s="23" t="s">
        <v>350</v>
      </c>
      <c r="E504" s="23" t="s">
        <v>351</v>
      </c>
      <c r="F504">
        <v>0.5</v>
      </c>
      <c r="G504" s="23" t="s">
        <v>177</v>
      </c>
      <c r="H504">
        <v>0</v>
      </c>
      <c r="I504">
        <v>12</v>
      </c>
      <c r="J504" s="10">
        <v>3</v>
      </c>
      <c r="K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04">
        <v>0</v>
      </c>
      <c r="M5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">
        <v>130</v>
      </c>
      <c r="O504" s="23" t="s">
        <v>227</v>
      </c>
      <c r="P504">
        <v>65</v>
      </c>
      <c r="Q504" s="23" t="s">
        <v>184</v>
      </c>
    </row>
    <row r="505" spans="1:17" x14ac:dyDescent="0.25">
      <c r="A505" s="23" t="s">
        <v>1148</v>
      </c>
      <c r="B505" s="23" t="s">
        <v>1054</v>
      </c>
      <c r="C505" s="23" t="s">
        <v>176</v>
      </c>
      <c r="D505" s="23" t="s">
        <v>531</v>
      </c>
      <c r="E505" s="23" t="s">
        <v>532</v>
      </c>
      <c r="F505">
        <v>0.25</v>
      </c>
      <c r="G505" s="23" t="s">
        <v>177</v>
      </c>
      <c r="H505">
        <v>0</v>
      </c>
      <c r="I505">
        <v>5</v>
      </c>
      <c r="J505" s="10">
        <v>9.7999999999999936</v>
      </c>
      <c r="K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505">
        <v>0</v>
      </c>
      <c r="M5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505">
        <v>38</v>
      </c>
      <c r="O505" s="23" t="s">
        <v>242</v>
      </c>
      <c r="P505">
        <v>9.5</v>
      </c>
      <c r="Q505" s="23" t="s">
        <v>181</v>
      </c>
    </row>
    <row r="506" spans="1:17" x14ac:dyDescent="0.25">
      <c r="A506" s="23" t="s">
        <v>1058</v>
      </c>
      <c r="B506" s="23" t="s">
        <v>1059</v>
      </c>
      <c r="C506" s="23" t="s">
        <v>176</v>
      </c>
      <c r="D506" s="23" t="s">
        <v>325</v>
      </c>
      <c r="E506" s="23" t="s">
        <v>326</v>
      </c>
      <c r="F506">
        <v>0.10400000000000001</v>
      </c>
      <c r="G506" s="23" t="s">
        <v>177</v>
      </c>
      <c r="H506">
        <v>0</v>
      </c>
      <c r="I506">
        <v>0</v>
      </c>
      <c r="J506" s="10">
        <v>-6.6613381477509392E-16</v>
      </c>
      <c r="K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2.5820000000000007</v>
      </c>
      <c r="L506">
        <v>0</v>
      </c>
      <c r="M5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4066.650000000001</v>
      </c>
      <c r="N506">
        <v>1575</v>
      </c>
      <c r="O506" s="23" t="s">
        <v>327</v>
      </c>
      <c r="P506">
        <v>163.80000000000001</v>
      </c>
      <c r="Q506" s="23" t="s">
        <v>179</v>
      </c>
    </row>
    <row r="507" spans="1:17" x14ac:dyDescent="0.25">
      <c r="A507" s="23" t="s">
        <v>1058</v>
      </c>
      <c r="B507" s="23" t="s">
        <v>1059</v>
      </c>
      <c r="C507" s="23" t="s">
        <v>176</v>
      </c>
      <c r="D507" s="23" t="s">
        <v>150</v>
      </c>
      <c r="E507" s="23" t="s">
        <v>151</v>
      </c>
      <c r="F507">
        <v>1.3</v>
      </c>
      <c r="G507" s="23" t="s">
        <v>177</v>
      </c>
      <c r="H507">
        <v>0</v>
      </c>
      <c r="I507">
        <v>5</v>
      </c>
      <c r="J507" s="10">
        <v>0</v>
      </c>
      <c r="K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507">
        <v>5</v>
      </c>
      <c r="M5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507">
        <v>1147</v>
      </c>
      <c r="O507" s="23" t="s">
        <v>673</v>
      </c>
      <c r="P507">
        <v>1491.1000000000001</v>
      </c>
      <c r="Q507" s="23" t="s">
        <v>185</v>
      </c>
    </row>
    <row r="508" spans="1:17" x14ac:dyDescent="0.25">
      <c r="A508" s="23" t="s">
        <v>1098</v>
      </c>
      <c r="B508" s="23" t="s">
        <v>1053</v>
      </c>
      <c r="C508" s="23" t="s">
        <v>176</v>
      </c>
      <c r="D508" s="23" t="s">
        <v>32</v>
      </c>
      <c r="E508" s="23" t="s">
        <v>33</v>
      </c>
      <c r="F508">
        <v>1</v>
      </c>
      <c r="G508" s="23" t="s">
        <v>177</v>
      </c>
      <c r="H508">
        <v>0</v>
      </c>
      <c r="I508">
        <v>0</v>
      </c>
      <c r="J508" s="10">
        <v>16</v>
      </c>
      <c r="K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08">
        <v>20</v>
      </c>
      <c r="M5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08">
        <v>2726.42</v>
      </c>
      <c r="O508" s="23" t="s">
        <v>1226</v>
      </c>
      <c r="P508">
        <v>2726.42</v>
      </c>
      <c r="Q508" s="23" t="s">
        <v>185</v>
      </c>
    </row>
    <row r="509" spans="1:17" x14ac:dyDescent="0.25">
      <c r="A509" s="23" t="s">
        <v>1197</v>
      </c>
      <c r="B509" s="23" t="s">
        <v>1198</v>
      </c>
      <c r="C509" s="23" t="s">
        <v>176</v>
      </c>
      <c r="D509" s="23" t="s">
        <v>34</v>
      </c>
      <c r="E509" s="23" t="s">
        <v>35</v>
      </c>
      <c r="F509">
        <v>1</v>
      </c>
      <c r="G509" s="23" t="s">
        <v>177</v>
      </c>
      <c r="H509">
        <v>0</v>
      </c>
      <c r="I509">
        <v>8</v>
      </c>
      <c r="J509" s="10">
        <v>8</v>
      </c>
      <c r="K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09">
        <v>10</v>
      </c>
      <c r="M5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">
        <v>62.83</v>
      </c>
      <c r="O509" s="23" t="s">
        <v>1104</v>
      </c>
      <c r="P509">
        <v>62.83</v>
      </c>
      <c r="Q509" s="23" t="s">
        <v>222</v>
      </c>
    </row>
    <row r="510" spans="1:17" x14ac:dyDescent="0.25">
      <c r="A510" s="23" t="s">
        <v>1094</v>
      </c>
      <c r="B510" s="23" t="s">
        <v>1095</v>
      </c>
      <c r="C510" s="23" t="s">
        <v>176</v>
      </c>
      <c r="D510" s="23" t="s">
        <v>34</v>
      </c>
      <c r="E510" s="23" t="s">
        <v>35</v>
      </c>
      <c r="F510">
        <v>2</v>
      </c>
      <c r="G510" s="23" t="s">
        <v>177</v>
      </c>
      <c r="H510">
        <v>0</v>
      </c>
      <c r="I510">
        <v>8</v>
      </c>
      <c r="J510" s="10">
        <v>8</v>
      </c>
      <c r="K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0">
        <v>10</v>
      </c>
      <c r="M5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">
        <v>62.83</v>
      </c>
      <c r="O510" s="23" t="s">
        <v>1104</v>
      </c>
      <c r="P510">
        <v>125.66</v>
      </c>
      <c r="Q510" s="23" t="s">
        <v>222</v>
      </c>
    </row>
    <row r="511" spans="1:17" x14ac:dyDescent="0.25">
      <c r="A511" s="23" t="s">
        <v>1094</v>
      </c>
      <c r="B511" s="23" t="s">
        <v>1095</v>
      </c>
      <c r="C511" s="23" t="s">
        <v>176</v>
      </c>
      <c r="D511" s="23" t="s">
        <v>911</v>
      </c>
      <c r="E511" s="23" t="s">
        <v>912</v>
      </c>
      <c r="F511">
        <v>16</v>
      </c>
      <c r="G511" s="23" t="s">
        <v>177</v>
      </c>
      <c r="H511">
        <v>0</v>
      </c>
      <c r="I511">
        <v>1000</v>
      </c>
      <c r="J511" s="10">
        <v>0</v>
      </c>
      <c r="K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511">
        <v>0</v>
      </c>
      <c r="M5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">
        <v>0.15</v>
      </c>
      <c r="O511" s="23" t="s">
        <v>242</v>
      </c>
      <c r="P511">
        <v>2.4</v>
      </c>
      <c r="Q511" s="23" t="s">
        <v>181</v>
      </c>
    </row>
    <row r="512" spans="1:17" x14ac:dyDescent="0.25">
      <c r="A512" s="23" t="s">
        <v>1094</v>
      </c>
      <c r="B512" s="23" t="s">
        <v>1095</v>
      </c>
      <c r="C512" s="23" t="s">
        <v>176</v>
      </c>
      <c r="D512" s="23" t="s">
        <v>397</v>
      </c>
      <c r="E512" s="23" t="s">
        <v>398</v>
      </c>
      <c r="F512">
        <v>30</v>
      </c>
      <c r="G512" s="23" t="s">
        <v>177</v>
      </c>
      <c r="H512">
        <v>0</v>
      </c>
      <c r="I512">
        <v>2000</v>
      </c>
      <c r="J512" s="10">
        <v>7604</v>
      </c>
      <c r="K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12">
        <v>0</v>
      </c>
      <c r="M5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">
        <v>0.3</v>
      </c>
      <c r="O512" s="23" t="s">
        <v>242</v>
      </c>
      <c r="P512">
        <v>9</v>
      </c>
      <c r="Q512" s="23" t="s">
        <v>181</v>
      </c>
    </row>
    <row r="513" spans="1:17" x14ac:dyDescent="0.25">
      <c r="A513" s="23" t="s">
        <v>1057</v>
      </c>
      <c r="B513" s="23" t="s">
        <v>1056</v>
      </c>
      <c r="C513" s="23" t="s">
        <v>176</v>
      </c>
      <c r="D513" s="23" t="s">
        <v>397</v>
      </c>
      <c r="E513" s="23" t="s">
        <v>398</v>
      </c>
      <c r="F513">
        <v>17</v>
      </c>
      <c r="G513" s="23" t="s">
        <v>177</v>
      </c>
      <c r="H513">
        <v>0</v>
      </c>
      <c r="I513">
        <v>2000</v>
      </c>
      <c r="J513" s="10">
        <v>7604</v>
      </c>
      <c r="K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13">
        <v>0</v>
      </c>
      <c r="M5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">
        <v>0.3</v>
      </c>
      <c r="O513" s="23" t="s">
        <v>242</v>
      </c>
      <c r="P513">
        <v>5.0999999999999996</v>
      </c>
      <c r="Q513" s="23" t="s">
        <v>181</v>
      </c>
    </row>
    <row r="514" spans="1:17" x14ac:dyDescent="0.25">
      <c r="A514" s="23" t="s">
        <v>1100</v>
      </c>
      <c r="B514" s="23" t="s">
        <v>1101</v>
      </c>
      <c r="C514" s="23" t="s">
        <v>176</v>
      </c>
      <c r="D514" s="23" t="s">
        <v>32</v>
      </c>
      <c r="E514" s="23" t="s">
        <v>33</v>
      </c>
      <c r="F514">
        <v>2</v>
      </c>
      <c r="G514" s="23" t="s">
        <v>177</v>
      </c>
      <c r="H514">
        <v>0</v>
      </c>
      <c r="I514">
        <v>0</v>
      </c>
      <c r="J514" s="10">
        <v>16</v>
      </c>
      <c r="K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14">
        <v>20</v>
      </c>
      <c r="M5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14">
        <v>2726.42</v>
      </c>
      <c r="O514" s="23" t="s">
        <v>1226</v>
      </c>
      <c r="P514">
        <v>5452.84</v>
      </c>
      <c r="Q514" s="23" t="s">
        <v>185</v>
      </c>
    </row>
    <row r="515" spans="1:17" x14ac:dyDescent="0.25">
      <c r="A515" s="23" t="s">
        <v>1149</v>
      </c>
      <c r="B515" s="23" t="s">
        <v>1145</v>
      </c>
      <c r="C515" s="23" t="s">
        <v>176</v>
      </c>
      <c r="D515" s="23" t="s">
        <v>34</v>
      </c>
      <c r="E515" s="23" t="s">
        <v>35</v>
      </c>
      <c r="F515">
        <v>1</v>
      </c>
      <c r="G515" s="23" t="s">
        <v>177</v>
      </c>
      <c r="H515">
        <v>0</v>
      </c>
      <c r="I515">
        <v>8</v>
      </c>
      <c r="J515" s="10">
        <v>8</v>
      </c>
      <c r="K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5">
        <v>10</v>
      </c>
      <c r="M5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">
        <v>62.83</v>
      </c>
      <c r="O515" s="23" t="s">
        <v>1104</v>
      </c>
      <c r="P515">
        <v>62.83</v>
      </c>
      <c r="Q515" s="23" t="s">
        <v>222</v>
      </c>
    </row>
    <row r="516" spans="1:17" x14ac:dyDescent="0.25">
      <c r="A516" s="23" t="s">
        <v>1144</v>
      </c>
      <c r="B516" s="23" t="s">
        <v>1145</v>
      </c>
      <c r="C516" s="23" t="s">
        <v>176</v>
      </c>
      <c r="D516" s="23" t="s">
        <v>397</v>
      </c>
      <c r="E516" s="23" t="s">
        <v>398</v>
      </c>
      <c r="F516">
        <v>31</v>
      </c>
      <c r="G516" s="23" t="s">
        <v>177</v>
      </c>
      <c r="H516">
        <v>0</v>
      </c>
      <c r="I516">
        <v>2000</v>
      </c>
      <c r="J516" s="10">
        <v>7604</v>
      </c>
      <c r="K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16">
        <v>0</v>
      </c>
      <c r="M5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">
        <v>0.3</v>
      </c>
      <c r="O516" s="23" t="s">
        <v>242</v>
      </c>
      <c r="P516">
        <v>9.2999999999999989</v>
      </c>
      <c r="Q516" s="23" t="s">
        <v>181</v>
      </c>
    </row>
    <row r="517" spans="1:17" s="14" customFormat="1" x14ac:dyDescent="0.25">
      <c r="A517" s="27" t="s">
        <v>1146</v>
      </c>
      <c r="B517" s="27" t="s">
        <v>1145</v>
      </c>
      <c r="C517" s="23" t="s">
        <v>176</v>
      </c>
      <c r="D517" s="27" t="s">
        <v>397</v>
      </c>
      <c r="E517" s="27" t="s">
        <v>398</v>
      </c>
      <c r="F517" s="14">
        <v>31</v>
      </c>
      <c r="G517" s="27" t="s">
        <v>177</v>
      </c>
      <c r="H517" s="14">
        <v>0</v>
      </c>
      <c r="I517" s="14">
        <v>2000</v>
      </c>
      <c r="J517" s="15">
        <v>7604</v>
      </c>
      <c r="K517" s="15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17" s="14">
        <v>0</v>
      </c>
      <c r="M517" s="27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" s="14">
        <v>0.3</v>
      </c>
      <c r="O517" s="27" t="s">
        <v>242</v>
      </c>
      <c r="P517" s="14">
        <v>9.2999999999999989</v>
      </c>
      <c r="Q517" s="27" t="s">
        <v>181</v>
      </c>
    </row>
    <row r="518" spans="1:17" x14ac:dyDescent="0.25">
      <c r="A518" s="23" t="s">
        <v>1143</v>
      </c>
      <c r="B518" s="23" t="s">
        <v>1054</v>
      </c>
      <c r="C518" s="23" t="s">
        <v>176</v>
      </c>
      <c r="D518" s="23" t="s">
        <v>397</v>
      </c>
      <c r="E518" s="23" t="s">
        <v>398</v>
      </c>
      <c r="F518">
        <v>30</v>
      </c>
      <c r="G518" s="23" t="s">
        <v>177</v>
      </c>
      <c r="H518">
        <v>0</v>
      </c>
      <c r="I518">
        <v>2000</v>
      </c>
      <c r="J518" s="10">
        <v>7604</v>
      </c>
      <c r="K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518">
        <v>0</v>
      </c>
      <c r="M5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">
        <v>0.3</v>
      </c>
      <c r="O518" s="23" t="s">
        <v>242</v>
      </c>
      <c r="P518">
        <v>9</v>
      </c>
      <c r="Q518" s="23" t="s">
        <v>181</v>
      </c>
    </row>
    <row r="519" spans="1:17" x14ac:dyDescent="0.25">
      <c r="A519" s="23" t="s">
        <v>1055</v>
      </c>
      <c r="B519" s="23" t="s">
        <v>1056</v>
      </c>
      <c r="C519" s="23" t="s">
        <v>176</v>
      </c>
      <c r="D519" s="23" t="s">
        <v>578</v>
      </c>
      <c r="E519" s="23" t="s">
        <v>579</v>
      </c>
      <c r="F519">
        <v>0.2</v>
      </c>
      <c r="G519" s="23" t="s">
        <v>186</v>
      </c>
      <c r="H519">
        <v>0</v>
      </c>
      <c r="I519">
        <v>12</v>
      </c>
      <c r="J519" s="10">
        <v>1.2000000000000011</v>
      </c>
      <c r="K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19">
        <v>0</v>
      </c>
      <c r="M5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">
        <v>221.8</v>
      </c>
      <c r="O519" s="23" t="s">
        <v>491</v>
      </c>
      <c r="P519">
        <v>44.360000000000007</v>
      </c>
      <c r="Q519" s="23" t="s">
        <v>184</v>
      </c>
    </row>
    <row r="520" spans="1:17" x14ac:dyDescent="0.25">
      <c r="A520" s="23" t="s">
        <v>1148</v>
      </c>
      <c r="B520" s="23" t="s">
        <v>1054</v>
      </c>
      <c r="C520" s="23" t="s">
        <v>176</v>
      </c>
      <c r="D520" s="23" t="s">
        <v>578</v>
      </c>
      <c r="E520" s="23" t="s">
        <v>579</v>
      </c>
      <c r="F520">
        <v>0.2</v>
      </c>
      <c r="G520" s="23" t="s">
        <v>186</v>
      </c>
      <c r="H520">
        <v>0</v>
      </c>
      <c r="I520">
        <v>12</v>
      </c>
      <c r="J520" s="10">
        <v>1.2000000000000011</v>
      </c>
      <c r="K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20">
        <v>0</v>
      </c>
      <c r="M5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">
        <v>221.8</v>
      </c>
      <c r="O520" s="23" t="s">
        <v>491</v>
      </c>
      <c r="P520">
        <v>44.360000000000007</v>
      </c>
      <c r="Q520" s="23" t="s">
        <v>184</v>
      </c>
    </row>
    <row r="521" spans="1:17" x14ac:dyDescent="0.25">
      <c r="A521" s="23" t="s">
        <v>1055</v>
      </c>
      <c r="B521" s="23" t="s">
        <v>1056</v>
      </c>
      <c r="C521" s="23" t="s">
        <v>176</v>
      </c>
      <c r="D521" s="23" t="s">
        <v>32</v>
      </c>
      <c r="E521" s="23" t="s">
        <v>33</v>
      </c>
      <c r="F521">
        <v>1</v>
      </c>
      <c r="G521" s="23" t="s">
        <v>177</v>
      </c>
      <c r="H521">
        <v>0</v>
      </c>
      <c r="I521">
        <v>0</v>
      </c>
      <c r="J521" s="10">
        <v>16</v>
      </c>
      <c r="K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1">
        <v>20</v>
      </c>
      <c r="M5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21">
        <v>2726.42</v>
      </c>
      <c r="O521" s="23" t="s">
        <v>1226</v>
      </c>
      <c r="P521">
        <v>2726.42</v>
      </c>
      <c r="Q521" s="23" t="s">
        <v>185</v>
      </c>
    </row>
    <row r="522" spans="1:17" x14ac:dyDescent="0.25">
      <c r="A522" s="23" t="s">
        <v>1099</v>
      </c>
      <c r="B522" s="23" t="s">
        <v>1056</v>
      </c>
      <c r="C522" s="23" t="s">
        <v>176</v>
      </c>
      <c r="D522" s="23" t="s">
        <v>32</v>
      </c>
      <c r="E522" s="23" t="s">
        <v>33</v>
      </c>
      <c r="F522">
        <v>1</v>
      </c>
      <c r="G522" s="23" t="s">
        <v>177</v>
      </c>
      <c r="H522">
        <v>0</v>
      </c>
      <c r="I522">
        <v>0</v>
      </c>
      <c r="J522" s="10">
        <v>16</v>
      </c>
      <c r="K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2">
        <v>20</v>
      </c>
      <c r="M5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22">
        <v>2726.42</v>
      </c>
      <c r="O522" s="23" t="s">
        <v>1226</v>
      </c>
      <c r="P522">
        <v>2726.42</v>
      </c>
      <c r="Q522" s="23" t="s">
        <v>185</v>
      </c>
    </row>
    <row r="523" spans="1:17" x14ac:dyDescent="0.25">
      <c r="A523" s="23" t="s">
        <v>1148</v>
      </c>
      <c r="B523" s="23" t="s">
        <v>1054</v>
      </c>
      <c r="C523" s="23" t="s">
        <v>176</v>
      </c>
      <c r="D523" s="23" t="s">
        <v>32</v>
      </c>
      <c r="E523" s="23" t="s">
        <v>33</v>
      </c>
      <c r="F523">
        <v>1</v>
      </c>
      <c r="G523" s="23" t="s">
        <v>177</v>
      </c>
      <c r="H523">
        <v>0</v>
      </c>
      <c r="I523">
        <v>0</v>
      </c>
      <c r="J523" s="10">
        <v>16</v>
      </c>
      <c r="K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3">
        <v>20</v>
      </c>
      <c r="M5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23">
        <v>2726.42</v>
      </c>
      <c r="O523" s="23" t="s">
        <v>1226</v>
      </c>
      <c r="P523">
        <v>2726.42</v>
      </c>
      <c r="Q523" s="23" t="s">
        <v>185</v>
      </c>
    </row>
    <row r="524" spans="1:17" x14ac:dyDescent="0.25">
      <c r="A524" s="23" t="s">
        <v>1055</v>
      </c>
      <c r="B524" s="23" t="s">
        <v>1056</v>
      </c>
      <c r="C524" s="23" t="s">
        <v>176</v>
      </c>
      <c r="D524" s="23" t="s">
        <v>34</v>
      </c>
      <c r="E524" s="23" t="s">
        <v>35</v>
      </c>
      <c r="F524">
        <v>1</v>
      </c>
      <c r="G524" s="23" t="s">
        <v>177</v>
      </c>
      <c r="H524">
        <v>1</v>
      </c>
      <c r="I524">
        <v>8</v>
      </c>
      <c r="J524" s="10">
        <v>8</v>
      </c>
      <c r="K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24">
        <v>10</v>
      </c>
      <c r="M5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">
        <v>62.83</v>
      </c>
      <c r="O524" s="23" t="s">
        <v>1104</v>
      </c>
      <c r="P524">
        <v>62.83</v>
      </c>
      <c r="Q524" s="23" t="s">
        <v>222</v>
      </c>
    </row>
    <row r="525" spans="1:17" x14ac:dyDescent="0.25">
      <c r="A525" s="23" t="s">
        <v>1144</v>
      </c>
      <c r="B525" s="23" t="s">
        <v>1145</v>
      </c>
      <c r="C525" s="23" t="s">
        <v>176</v>
      </c>
      <c r="D525" s="23" t="s">
        <v>32</v>
      </c>
      <c r="E525" s="23" t="s">
        <v>33</v>
      </c>
      <c r="F525">
        <v>1</v>
      </c>
      <c r="G525" s="23" t="s">
        <v>177</v>
      </c>
      <c r="H525">
        <v>0</v>
      </c>
      <c r="I525">
        <v>0</v>
      </c>
      <c r="J525" s="10">
        <v>16</v>
      </c>
      <c r="K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5">
        <v>20</v>
      </c>
      <c r="M5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25">
        <v>2726.42</v>
      </c>
      <c r="O525" s="23" t="s">
        <v>1226</v>
      </c>
      <c r="P525">
        <v>2726.42</v>
      </c>
      <c r="Q525" s="23" t="s">
        <v>185</v>
      </c>
    </row>
    <row r="526" spans="1:17" x14ac:dyDescent="0.25">
      <c r="A526" s="23" t="s">
        <v>1146</v>
      </c>
      <c r="B526" s="23" t="s">
        <v>1145</v>
      </c>
      <c r="C526" s="23" t="s">
        <v>176</v>
      </c>
      <c r="D526" s="23" t="s">
        <v>32</v>
      </c>
      <c r="E526" s="23" t="s">
        <v>33</v>
      </c>
      <c r="F526">
        <v>1</v>
      </c>
      <c r="G526" s="23" t="s">
        <v>177</v>
      </c>
      <c r="H526">
        <v>0</v>
      </c>
      <c r="I526">
        <v>0</v>
      </c>
      <c r="J526" s="10">
        <v>16</v>
      </c>
      <c r="K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6">
        <v>20</v>
      </c>
      <c r="M5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26">
        <v>2726.42</v>
      </c>
      <c r="O526" s="23" t="s">
        <v>1226</v>
      </c>
      <c r="P526">
        <v>2726.42</v>
      </c>
      <c r="Q526" s="23" t="s">
        <v>185</v>
      </c>
    </row>
    <row r="527" spans="1:17" x14ac:dyDescent="0.25">
      <c r="A527" s="23" t="s">
        <v>1144</v>
      </c>
      <c r="B527" s="23" t="s">
        <v>1145</v>
      </c>
      <c r="C527" s="23" t="s">
        <v>176</v>
      </c>
      <c r="D527" s="23" t="s">
        <v>34</v>
      </c>
      <c r="E527" s="23" t="s">
        <v>35</v>
      </c>
      <c r="F527">
        <v>1</v>
      </c>
      <c r="G527" s="23" t="s">
        <v>177</v>
      </c>
      <c r="H527">
        <v>0</v>
      </c>
      <c r="I527">
        <v>8</v>
      </c>
      <c r="J527" s="10">
        <v>8</v>
      </c>
      <c r="K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27">
        <v>10</v>
      </c>
      <c r="M5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">
        <v>62.83</v>
      </c>
      <c r="O527" s="23" t="s">
        <v>1104</v>
      </c>
      <c r="P527">
        <v>62.83</v>
      </c>
      <c r="Q527" s="23" t="s">
        <v>222</v>
      </c>
    </row>
    <row r="528" spans="1:17" x14ac:dyDescent="0.25">
      <c r="A528" s="23" t="s">
        <v>1062</v>
      </c>
      <c r="B528" s="23" t="s">
        <v>1053</v>
      </c>
      <c r="C528" s="23" t="s">
        <v>176</v>
      </c>
      <c r="D528" s="23" t="s">
        <v>85</v>
      </c>
      <c r="E528" s="23" t="s">
        <v>86</v>
      </c>
      <c r="F528">
        <v>2</v>
      </c>
      <c r="G528" s="23" t="s">
        <v>177</v>
      </c>
      <c r="H528">
        <v>2</v>
      </c>
      <c r="I528">
        <v>44</v>
      </c>
      <c r="J528" s="10">
        <v>12</v>
      </c>
      <c r="K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28">
        <v>0</v>
      </c>
      <c r="M5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">
        <v>375</v>
      </c>
      <c r="O528" s="23" t="s">
        <v>249</v>
      </c>
      <c r="P528">
        <v>750</v>
      </c>
      <c r="Q528" s="23" t="s">
        <v>178</v>
      </c>
    </row>
    <row r="529" spans="1:17" x14ac:dyDescent="0.25">
      <c r="A529" s="23" t="s">
        <v>1147</v>
      </c>
      <c r="B529" s="23" t="s">
        <v>1145</v>
      </c>
      <c r="C529" s="23" t="s">
        <v>176</v>
      </c>
      <c r="D529" s="23" t="s">
        <v>32</v>
      </c>
      <c r="E529" s="23" t="s">
        <v>33</v>
      </c>
      <c r="F529">
        <v>1</v>
      </c>
      <c r="G529" s="23" t="s">
        <v>177</v>
      </c>
      <c r="H529">
        <v>0</v>
      </c>
      <c r="I529">
        <v>0</v>
      </c>
      <c r="J529" s="10">
        <v>16</v>
      </c>
      <c r="K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9">
        <v>20</v>
      </c>
      <c r="M5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29">
        <v>2726.42</v>
      </c>
      <c r="O529" s="23" t="s">
        <v>1226</v>
      </c>
      <c r="P529">
        <v>2726.42</v>
      </c>
      <c r="Q529" s="23" t="s">
        <v>185</v>
      </c>
    </row>
    <row r="530" spans="1:17" x14ac:dyDescent="0.25">
      <c r="A530" s="23" t="s">
        <v>1147</v>
      </c>
      <c r="B530" s="23" t="s">
        <v>1145</v>
      </c>
      <c r="C530" s="23" t="s">
        <v>176</v>
      </c>
      <c r="D530" s="23" t="s">
        <v>34</v>
      </c>
      <c r="E530" s="23" t="s">
        <v>35</v>
      </c>
      <c r="F530">
        <v>1</v>
      </c>
      <c r="G530" s="23" t="s">
        <v>177</v>
      </c>
      <c r="H530">
        <v>0</v>
      </c>
      <c r="I530">
        <v>8</v>
      </c>
      <c r="J530" s="10">
        <v>8</v>
      </c>
      <c r="K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30">
        <v>10</v>
      </c>
      <c r="M5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">
        <v>62.83</v>
      </c>
      <c r="O530" s="23" t="s">
        <v>1104</v>
      </c>
      <c r="P530">
        <v>62.83</v>
      </c>
      <c r="Q530" s="23" t="s">
        <v>222</v>
      </c>
    </row>
    <row r="531" spans="1:17" x14ac:dyDescent="0.25">
      <c r="A531" s="23" t="s">
        <v>1148</v>
      </c>
      <c r="B531" s="23" t="s">
        <v>1054</v>
      </c>
      <c r="C531" s="23" t="s">
        <v>176</v>
      </c>
      <c r="D531" s="23" t="s">
        <v>34</v>
      </c>
      <c r="E531" s="23" t="s">
        <v>35</v>
      </c>
      <c r="F531">
        <v>3</v>
      </c>
      <c r="G531" s="23" t="s">
        <v>177</v>
      </c>
      <c r="H531">
        <v>0</v>
      </c>
      <c r="I531">
        <v>8</v>
      </c>
      <c r="J531" s="10">
        <v>8</v>
      </c>
      <c r="K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31">
        <v>10</v>
      </c>
      <c r="M5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">
        <v>62.83</v>
      </c>
      <c r="O531" s="23" t="s">
        <v>1104</v>
      </c>
      <c r="P531">
        <v>188.49</v>
      </c>
      <c r="Q531" s="23" t="s">
        <v>222</v>
      </c>
    </row>
    <row r="532" spans="1:17" x14ac:dyDescent="0.25">
      <c r="A532" s="23" t="s">
        <v>1097</v>
      </c>
      <c r="B532" s="23" t="s">
        <v>1095</v>
      </c>
      <c r="C532" s="23" t="s">
        <v>176</v>
      </c>
      <c r="D532" s="23" t="s">
        <v>395</v>
      </c>
      <c r="E532" s="23" t="s">
        <v>396</v>
      </c>
      <c r="F532">
        <v>1</v>
      </c>
      <c r="G532" s="23" t="s">
        <v>177</v>
      </c>
      <c r="H532">
        <v>0</v>
      </c>
      <c r="I532">
        <v>17</v>
      </c>
      <c r="J532" s="10">
        <v>3.0000000000000124</v>
      </c>
      <c r="K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532">
        <v>0</v>
      </c>
      <c r="M5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532">
        <v>145.83000000000001</v>
      </c>
      <c r="O532" s="23" t="s">
        <v>629</v>
      </c>
      <c r="P532">
        <v>145.83000000000001</v>
      </c>
      <c r="Q532" s="23" t="s">
        <v>184</v>
      </c>
    </row>
    <row r="533" spans="1:17" x14ac:dyDescent="0.25">
      <c r="A533" s="23" t="s">
        <v>1197</v>
      </c>
      <c r="B533" s="23" t="s">
        <v>1198</v>
      </c>
      <c r="C533" s="23" t="s">
        <v>176</v>
      </c>
      <c r="D533" s="23" t="s">
        <v>814</v>
      </c>
      <c r="E533" s="23" t="s">
        <v>815</v>
      </c>
      <c r="F533">
        <v>1</v>
      </c>
      <c r="G533" s="23" t="s">
        <v>177</v>
      </c>
      <c r="H533">
        <v>0</v>
      </c>
      <c r="I533">
        <v>7</v>
      </c>
      <c r="J533" s="10">
        <v>4</v>
      </c>
      <c r="K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33">
        <v>0</v>
      </c>
      <c r="M5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">
        <v>460</v>
      </c>
      <c r="O533" s="23" t="s">
        <v>697</v>
      </c>
      <c r="P533">
        <v>460</v>
      </c>
      <c r="Q533" s="23" t="s">
        <v>179</v>
      </c>
    </row>
    <row r="534" spans="1:17" x14ac:dyDescent="0.25">
      <c r="A534" s="23" t="s">
        <v>1197</v>
      </c>
      <c r="B534" s="23" t="s">
        <v>1198</v>
      </c>
      <c r="C534" s="23" t="s">
        <v>176</v>
      </c>
      <c r="D534" s="23" t="s">
        <v>89</v>
      </c>
      <c r="E534" s="23" t="s">
        <v>90</v>
      </c>
      <c r="F534">
        <v>3.3</v>
      </c>
      <c r="G534" s="23" t="s">
        <v>180</v>
      </c>
      <c r="H534">
        <v>0</v>
      </c>
      <c r="I534">
        <v>125</v>
      </c>
      <c r="J534" s="10">
        <v>37.499999999999957</v>
      </c>
      <c r="K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534">
        <v>0</v>
      </c>
      <c r="M5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">
        <v>44</v>
      </c>
      <c r="O534" s="23" t="s">
        <v>315</v>
      </c>
      <c r="P534">
        <v>145.19999999999999</v>
      </c>
      <c r="Q534" s="23" t="s">
        <v>179</v>
      </c>
    </row>
    <row r="535" spans="1:17" x14ac:dyDescent="0.25">
      <c r="A535" s="23" t="s">
        <v>1094</v>
      </c>
      <c r="B535" s="23" t="s">
        <v>1095</v>
      </c>
      <c r="C535" s="23" t="s">
        <v>176</v>
      </c>
      <c r="D535" s="23" t="s">
        <v>356</v>
      </c>
      <c r="E535" s="23" t="s">
        <v>357</v>
      </c>
      <c r="F535">
        <v>16</v>
      </c>
      <c r="G535" s="23" t="s">
        <v>177</v>
      </c>
      <c r="H535">
        <v>0</v>
      </c>
      <c r="I535">
        <v>4822</v>
      </c>
      <c r="J535" s="10">
        <v>811</v>
      </c>
      <c r="K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535">
        <v>0</v>
      </c>
      <c r="M5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">
        <v>0.3</v>
      </c>
      <c r="O535" s="23" t="s">
        <v>242</v>
      </c>
      <c r="P535">
        <v>4.8</v>
      </c>
      <c r="Q535" s="23" t="s">
        <v>181</v>
      </c>
    </row>
    <row r="536" spans="1:17" x14ac:dyDescent="0.25">
      <c r="A536" s="23" t="s">
        <v>1094</v>
      </c>
      <c r="B536" s="23" t="s">
        <v>1095</v>
      </c>
      <c r="C536" s="23" t="s">
        <v>176</v>
      </c>
      <c r="D536" s="23" t="s">
        <v>652</v>
      </c>
      <c r="E536" s="23" t="s">
        <v>653</v>
      </c>
      <c r="F536">
        <v>25</v>
      </c>
      <c r="G536" s="23" t="s">
        <v>177</v>
      </c>
      <c r="H536">
        <v>0</v>
      </c>
      <c r="I536">
        <v>976</v>
      </c>
      <c r="J536" s="10">
        <v>167</v>
      </c>
      <c r="K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536">
        <v>0</v>
      </c>
      <c r="M5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">
        <v>3.46</v>
      </c>
      <c r="O536" s="23" t="s">
        <v>883</v>
      </c>
      <c r="P536">
        <v>86.5</v>
      </c>
      <c r="Q536" s="23" t="s">
        <v>181</v>
      </c>
    </row>
    <row r="537" spans="1:17" x14ac:dyDescent="0.25">
      <c r="A537" s="23" t="s">
        <v>1057</v>
      </c>
      <c r="B537" s="23" t="s">
        <v>1056</v>
      </c>
      <c r="C537" s="23" t="s">
        <v>176</v>
      </c>
      <c r="D537" s="23" t="s">
        <v>385</v>
      </c>
      <c r="E537" s="23" t="s">
        <v>386</v>
      </c>
      <c r="F537">
        <v>13</v>
      </c>
      <c r="G537" s="23" t="s">
        <v>177</v>
      </c>
      <c r="H537">
        <v>0</v>
      </c>
      <c r="I537">
        <v>495</v>
      </c>
      <c r="J537" s="10">
        <v>146</v>
      </c>
      <c r="K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37">
        <v>0</v>
      </c>
      <c r="M5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">
        <v>3.75</v>
      </c>
      <c r="O537" s="23" t="s">
        <v>629</v>
      </c>
      <c r="P537">
        <v>48.75</v>
      </c>
      <c r="Q537" s="23" t="s">
        <v>181</v>
      </c>
    </row>
    <row r="538" spans="1:17" x14ac:dyDescent="0.25">
      <c r="A538" s="23" t="s">
        <v>1143</v>
      </c>
      <c r="B538" s="23" t="s">
        <v>1054</v>
      </c>
      <c r="C538" s="23" t="s">
        <v>176</v>
      </c>
      <c r="D538" s="23" t="s">
        <v>755</v>
      </c>
      <c r="E538" s="23" t="s">
        <v>756</v>
      </c>
      <c r="F538">
        <v>1</v>
      </c>
      <c r="G538" s="23" t="s">
        <v>177</v>
      </c>
      <c r="H538">
        <v>0</v>
      </c>
      <c r="I538">
        <v>1</v>
      </c>
      <c r="J538" s="10">
        <v>1</v>
      </c>
      <c r="K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8">
        <v>0</v>
      </c>
      <c r="M5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97615.14</v>
      </c>
      <c r="N538">
        <v>32538.38</v>
      </c>
      <c r="O538" s="23" t="s">
        <v>216</v>
      </c>
      <c r="P538">
        <v>32538.38</v>
      </c>
      <c r="Q538" s="23" t="s">
        <v>178</v>
      </c>
    </row>
    <row r="539" spans="1:17" x14ac:dyDescent="0.25">
      <c r="A539" s="23" t="s">
        <v>1058</v>
      </c>
      <c r="B539" s="23" t="s">
        <v>1059</v>
      </c>
      <c r="C539" s="23" t="s">
        <v>176</v>
      </c>
      <c r="D539" s="23" t="s">
        <v>44</v>
      </c>
      <c r="E539" s="23" t="s">
        <v>45</v>
      </c>
      <c r="F539">
        <v>15</v>
      </c>
      <c r="G539" s="23" t="s">
        <v>177</v>
      </c>
      <c r="H539">
        <v>0</v>
      </c>
      <c r="I539">
        <v>170</v>
      </c>
      <c r="J539" s="10">
        <v>18</v>
      </c>
      <c r="K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39">
        <v>0</v>
      </c>
      <c r="M5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39">
        <v>16.5</v>
      </c>
      <c r="O539" s="23" t="s">
        <v>242</v>
      </c>
      <c r="P539">
        <v>247.5</v>
      </c>
      <c r="Q539" s="23" t="s">
        <v>181</v>
      </c>
    </row>
    <row r="540" spans="1:17" x14ac:dyDescent="0.25">
      <c r="A540" s="23" t="s">
        <v>1148</v>
      </c>
      <c r="B540" s="23" t="s">
        <v>1054</v>
      </c>
      <c r="C540" s="23" t="s">
        <v>176</v>
      </c>
      <c r="D540" s="23" t="s">
        <v>44</v>
      </c>
      <c r="E540" s="23" t="s">
        <v>45</v>
      </c>
      <c r="F540">
        <v>18</v>
      </c>
      <c r="G540" s="23" t="s">
        <v>177</v>
      </c>
      <c r="H540">
        <v>0</v>
      </c>
      <c r="I540">
        <v>170</v>
      </c>
      <c r="J540" s="10">
        <v>18</v>
      </c>
      <c r="K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40">
        <v>0</v>
      </c>
      <c r="M5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40">
        <v>16.5</v>
      </c>
      <c r="O540" s="23" t="s">
        <v>242</v>
      </c>
      <c r="P540">
        <v>297</v>
      </c>
      <c r="Q540" s="23" t="s">
        <v>181</v>
      </c>
    </row>
    <row r="541" spans="1:17" x14ac:dyDescent="0.25">
      <c r="A541" s="23" t="s">
        <v>1147</v>
      </c>
      <c r="B541" s="23" t="s">
        <v>1145</v>
      </c>
      <c r="C541" s="23" t="s">
        <v>176</v>
      </c>
      <c r="D541" s="23" t="s">
        <v>44</v>
      </c>
      <c r="E541" s="23" t="s">
        <v>45</v>
      </c>
      <c r="F541">
        <v>14</v>
      </c>
      <c r="G541" s="23" t="s">
        <v>177</v>
      </c>
      <c r="H541">
        <v>0</v>
      </c>
      <c r="I541">
        <v>170</v>
      </c>
      <c r="J541" s="10">
        <v>18</v>
      </c>
      <c r="K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41">
        <v>0</v>
      </c>
      <c r="M5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41">
        <v>16.5</v>
      </c>
      <c r="O541" s="23" t="s">
        <v>242</v>
      </c>
      <c r="P541">
        <v>231</v>
      </c>
      <c r="Q541" s="23" t="s">
        <v>181</v>
      </c>
    </row>
    <row r="542" spans="1:17" x14ac:dyDescent="0.25">
      <c r="A542" s="23" t="s">
        <v>1099</v>
      </c>
      <c r="B542" s="23" t="s">
        <v>1056</v>
      </c>
      <c r="C542" s="23" t="s">
        <v>176</v>
      </c>
      <c r="D542" s="23" t="s">
        <v>44</v>
      </c>
      <c r="E542" s="23" t="s">
        <v>45</v>
      </c>
      <c r="F542">
        <v>14</v>
      </c>
      <c r="G542" s="23" t="s">
        <v>177</v>
      </c>
      <c r="H542">
        <v>0</v>
      </c>
      <c r="I542">
        <v>170</v>
      </c>
      <c r="J542" s="10">
        <v>18</v>
      </c>
      <c r="K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42">
        <v>0</v>
      </c>
      <c r="M5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42">
        <v>16.5</v>
      </c>
      <c r="O542" s="23" t="s">
        <v>242</v>
      </c>
      <c r="P542">
        <v>231</v>
      </c>
      <c r="Q542" s="23" t="s">
        <v>181</v>
      </c>
    </row>
    <row r="543" spans="1:17" x14ac:dyDescent="0.25">
      <c r="A543" s="23" t="s">
        <v>1062</v>
      </c>
      <c r="B543" s="23" t="s">
        <v>1053</v>
      </c>
      <c r="C543" s="23" t="s">
        <v>176</v>
      </c>
      <c r="D543" s="23" t="s">
        <v>395</v>
      </c>
      <c r="E543" s="23" t="s">
        <v>396</v>
      </c>
      <c r="F543">
        <v>1</v>
      </c>
      <c r="G543" s="23" t="s">
        <v>177</v>
      </c>
      <c r="H543">
        <v>0</v>
      </c>
      <c r="I543">
        <v>17</v>
      </c>
      <c r="J543" s="10">
        <v>3.0000000000000124</v>
      </c>
      <c r="K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543">
        <v>0</v>
      </c>
      <c r="M5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543">
        <v>145.83000000000001</v>
      </c>
      <c r="O543" s="23" t="s">
        <v>629</v>
      </c>
      <c r="P543">
        <v>145.83000000000001</v>
      </c>
      <c r="Q543" s="23" t="s">
        <v>184</v>
      </c>
    </row>
    <row r="544" spans="1:17" x14ac:dyDescent="0.25">
      <c r="A544" s="23" t="s">
        <v>1197</v>
      </c>
      <c r="B544" s="23" t="s">
        <v>1198</v>
      </c>
      <c r="C544" s="23" t="s">
        <v>176</v>
      </c>
      <c r="D544" s="23" t="s">
        <v>395</v>
      </c>
      <c r="E544" s="23" t="s">
        <v>396</v>
      </c>
      <c r="F544">
        <v>3.1</v>
      </c>
      <c r="G544" s="23" t="s">
        <v>177</v>
      </c>
      <c r="H544">
        <v>0</v>
      </c>
      <c r="I544">
        <v>17</v>
      </c>
      <c r="J544" s="10">
        <v>3.0000000000000124</v>
      </c>
      <c r="K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544">
        <v>0</v>
      </c>
      <c r="M5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544">
        <v>145.83000000000001</v>
      </c>
      <c r="O544" s="23" t="s">
        <v>629</v>
      </c>
      <c r="P544">
        <v>452.07300000000004</v>
      </c>
      <c r="Q544" s="23" t="s">
        <v>184</v>
      </c>
    </row>
    <row r="545" spans="1:17" x14ac:dyDescent="0.25">
      <c r="A545" s="23" t="s">
        <v>1098</v>
      </c>
      <c r="B545" s="23" t="s">
        <v>1053</v>
      </c>
      <c r="C545" s="23" t="s">
        <v>176</v>
      </c>
      <c r="D545" s="23" t="s">
        <v>395</v>
      </c>
      <c r="E545" s="23" t="s">
        <v>396</v>
      </c>
      <c r="F545">
        <v>2</v>
      </c>
      <c r="G545" s="23" t="s">
        <v>177</v>
      </c>
      <c r="H545">
        <v>0</v>
      </c>
      <c r="I545">
        <v>17</v>
      </c>
      <c r="J545" s="10">
        <v>3.0000000000000124</v>
      </c>
      <c r="K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545">
        <v>0</v>
      </c>
      <c r="M5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545">
        <v>145.83000000000001</v>
      </c>
      <c r="O545" s="23" t="s">
        <v>629</v>
      </c>
      <c r="P545">
        <v>291.66000000000003</v>
      </c>
      <c r="Q545" s="23" t="s">
        <v>184</v>
      </c>
    </row>
    <row r="546" spans="1:17" x14ac:dyDescent="0.25">
      <c r="A546" s="23" t="s">
        <v>1062</v>
      </c>
      <c r="B546" s="23" t="s">
        <v>1053</v>
      </c>
      <c r="C546" s="23" t="s">
        <v>176</v>
      </c>
      <c r="D546" s="23" t="s">
        <v>810</v>
      </c>
      <c r="E546" s="23" t="s">
        <v>811</v>
      </c>
      <c r="F546">
        <v>4</v>
      </c>
      <c r="G546" s="23" t="s">
        <v>177</v>
      </c>
      <c r="H546">
        <v>0</v>
      </c>
      <c r="I546">
        <v>200</v>
      </c>
      <c r="J546" s="10">
        <v>180</v>
      </c>
      <c r="K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546">
        <v>0</v>
      </c>
      <c r="M5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">
        <v>5.04</v>
      </c>
      <c r="O546" s="23" t="s">
        <v>883</v>
      </c>
      <c r="P546">
        <v>20.16</v>
      </c>
      <c r="Q546" s="23" t="s">
        <v>179</v>
      </c>
    </row>
    <row r="547" spans="1:17" x14ac:dyDescent="0.25">
      <c r="A547" s="27" t="s">
        <v>1062</v>
      </c>
      <c r="B547" s="27" t="s">
        <v>1053</v>
      </c>
      <c r="C547" s="23" t="s">
        <v>176</v>
      </c>
      <c r="D547" s="27" t="s">
        <v>89</v>
      </c>
      <c r="E547" s="27" t="s">
        <v>90</v>
      </c>
      <c r="F547" s="14">
        <v>5.5</v>
      </c>
      <c r="G547" s="27" t="s">
        <v>180</v>
      </c>
      <c r="H547">
        <v>0</v>
      </c>
      <c r="I547">
        <v>125</v>
      </c>
      <c r="J547" s="10">
        <v>37.499999999999957</v>
      </c>
      <c r="K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547">
        <v>0</v>
      </c>
      <c r="M5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">
        <v>44</v>
      </c>
      <c r="O547" s="23" t="s">
        <v>315</v>
      </c>
      <c r="P547">
        <v>242</v>
      </c>
      <c r="Q547" s="23" t="s">
        <v>179</v>
      </c>
    </row>
    <row r="548" spans="1:17" x14ac:dyDescent="0.25">
      <c r="A548" s="23" t="s">
        <v>1142</v>
      </c>
      <c r="B548" s="23" t="s">
        <v>1054</v>
      </c>
      <c r="C548" s="23" t="s">
        <v>176</v>
      </c>
      <c r="D548" s="23" t="s">
        <v>44</v>
      </c>
      <c r="E548" s="23" t="s">
        <v>45</v>
      </c>
      <c r="F548">
        <v>14</v>
      </c>
      <c r="G548" s="23" t="s">
        <v>177</v>
      </c>
      <c r="H548">
        <v>0</v>
      </c>
      <c r="I548">
        <v>170</v>
      </c>
      <c r="J548" s="10">
        <v>18</v>
      </c>
      <c r="K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48">
        <v>0</v>
      </c>
      <c r="M5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48">
        <v>16.5</v>
      </c>
      <c r="O548" s="23" t="s">
        <v>242</v>
      </c>
      <c r="P548">
        <v>231</v>
      </c>
      <c r="Q548" s="23" t="s">
        <v>181</v>
      </c>
    </row>
    <row r="549" spans="1:17" x14ac:dyDescent="0.25">
      <c r="A549" s="23" t="s">
        <v>1096</v>
      </c>
      <c r="B549" s="23" t="s">
        <v>1053</v>
      </c>
      <c r="C549" s="23" t="s">
        <v>176</v>
      </c>
      <c r="D549" s="23" t="s">
        <v>44</v>
      </c>
      <c r="E549" s="23" t="s">
        <v>45</v>
      </c>
      <c r="F549">
        <v>18</v>
      </c>
      <c r="G549" s="23" t="s">
        <v>177</v>
      </c>
      <c r="H549">
        <v>0</v>
      </c>
      <c r="I549">
        <v>170</v>
      </c>
      <c r="J549" s="10">
        <v>18</v>
      </c>
      <c r="K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49">
        <v>0</v>
      </c>
      <c r="M5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49">
        <v>16.5</v>
      </c>
      <c r="O549" s="23" t="s">
        <v>242</v>
      </c>
      <c r="P549">
        <v>297</v>
      </c>
      <c r="Q549" s="23" t="s">
        <v>181</v>
      </c>
    </row>
    <row r="550" spans="1:17" x14ac:dyDescent="0.25">
      <c r="A550" s="23" t="s">
        <v>1143</v>
      </c>
      <c r="B550" s="23" t="s">
        <v>1054</v>
      </c>
      <c r="C550" s="23" t="s">
        <v>176</v>
      </c>
      <c r="D550" s="23" t="s">
        <v>44</v>
      </c>
      <c r="E550" s="23" t="s">
        <v>45</v>
      </c>
      <c r="F550">
        <v>18</v>
      </c>
      <c r="G550" s="23" t="s">
        <v>177</v>
      </c>
      <c r="H550">
        <v>0</v>
      </c>
      <c r="I550">
        <v>170</v>
      </c>
      <c r="J550" s="10">
        <v>18</v>
      </c>
      <c r="K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550">
        <v>0</v>
      </c>
      <c r="M5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2046</v>
      </c>
      <c r="N550">
        <v>16.5</v>
      </c>
      <c r="O550" s="23" t="s">
        <v>242</v>
      </c>
      <c r="P550">
        <v>297</v>
      </c>
      <c r="Q550" s="23" t="s">
        <v>181</v>
      </c>
    </row>
    <row r="551" spans="1:17" x14ac:dyDescent="0.25">
      <c r="A551" s="23" t="s">
        <v>1142</v>
      </c>
      <c r="B551" s="23" t="s">
        <v>1054</v>
      </c>
      <c r="C551" s="23" t="s">
        <v>176</v>
      </c>
      <c r="D551" s="23" t="s">
        <v>652</v>
      </c>
      <c r="E551" s="23" t="s">
        <v>653</v>
      </c>
      <c r="F551">
        <v>25</v>
      </c>
      <c r="G551" s="23" t="s">
        <v>177</v>
      </c>
      <c r="H551">
        <v>0</v>
      </c>
      <c r="I551">
        <v>976</v>
      </c>
      <c r="J551" s="10">
        <v>167</v>
      </c>
      <c r="K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551">
        <v>0</v>
      </c>
      <c r="M5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">
        <v>3.46</v>
      </c>
      <c r="O551" s="23" t="s">
        <v>883</v>
      </c>
      <c r="P551">
        <v>86.5</v>
      </c>
      <c r="Q551" s="23" t="s">
        <v>181</v>
      </c>
    </row>
    <row r="552" spans="1:17" x14ac:dyDescent="0.25">
      <c r="A552" s="23" t="s">
        <v>1096</v>
      </c>
      <c r="B552" s="23" t="s">
        <v>1053</v>
      </c>
      <c r="C552" s="23" t="s">
        <v>176</v>
      </c>
      <c r="D552" s="23" t="s">
        <v>652</v>
      </c>
      <c r="E552" s="23" t="s">
        <v>653</v>
      </c>
      <c r="F552">
        <v>25</v>
      </c>
      <c r="G552" s="23" t="s">
        <v>177</v>
      </c>
      <c r="H552">
        <v>0</v>
      </c>
      <c r="I552">
        <v>976</v>
      </c>
      <c r="J552" s="10">
        <v>167</v>
      </c>
      <c r="K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552">
        <v>0</v>
      </c>
      <c r="M5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">
        <v>3.46</v>
      </c>
      <c r="O552" s="23" t="s">
        <v>883</v>
      </c>
      <c r="P552">
        <v>86.5</v>
      </c>
      <c r="Q552" s="23" t="s">
        <v>181</v>
      </c>
    </row>
    <row r="553" spans="1:17" x14ac:dyDescent="0.25">
      <c r="A553" s="23" t="s">
        <v>1096</v>
      </c>
      <c r="B553" s="23" t="s">
        <v>1053</v>
      </c>
      <c r="C553" s="23" t="s">
        <v>176</v>
      </c>
      <c r="D553" s="23" t="s">
        <v>755</v>
      </c>
      <c r="E553" s="23" t="s">
        <v>756</v>
      </c>
      <c r="F553">
        <v>1</v>
      </c>
      <c r="G553" s="23" t="s">
        <v>177</v>
      </c>
      <c r="H553">
        <v>0</v>
      </c>
      <c r="I553">
        <v>1</v>
      </c>
      <c r="J553" s="10">
        <v>1</v>
      </c>
      <c r="K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53">
        <v>0</v>
      </c>
      <c r="M5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97615.14</v>
      </c>
      <c r="N553">
        <v>32538.38</v>
      </c>
      <c r="O553" s="23" t="s">
        <v>216</v>
      </c>
      <c r="P553">
        <v>32538.38</v>
      </c>
      <c r="Q553" s="23" t="s">
        <v>178</v>
      </c>
    </row>
    <row r="554" spans="1:17" x14ac:dyDescent="0.25">
      <c r="A554" s="23" t="s">
        <v>1098</v>
      </c>
      <c r="B554" s="23" t="s">
        <v>1053</v>
      </c>
      <c r="C554" s="23" t="s">
        <v>176</v>
      </c>
      <c r="D554" s="23" t="s">
        <v>755</v>
      </c>
      <c r="E554" s="23" t="s">
        <v>756</v>
      </c>
      <c r="F554">
        <v>1</v>
      </c>
      <c r="G554" s="23" t="s">
        <v>177</v>
      </c>
      <c r="H554">
        <v>0</v>
      </c>
      <c r="I554">
        <v>1</v>
      </c>
      <c r="J554" s="10">
        <v>1</v>
      </c>
      <c r="K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54">
        <v>0</v>
      </c>
      <c r="M5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97615.14</v>
      </c>
      <c r="N554">
        <v>32538.38</v>
      </c>
      <c r="O554" s="23" t="s">
        <v>216</v>
      </c>
      <c r="P554">
        <v>32538.38</v>
      </c>
      <c r="Q554" s="23" t="s">
        <v>178</v>
      </c>
    </row>
    <row r="555" spans="1:17" x14ac:dyDescent="0.25">
      <c r="A555" s="23" t="s">
        <v>1098</v>
      </c>
      <c r="B555" s="23" t="s">
        <v>1053</v>
      </c>
      <c r="C555" s="23" t="s">
        <v>176</v>
      </c>
      <c r="D555" s="23" t="s">
        <v>810</v>
      </c>
      <c r="E555" s="23" t="s">
        <v>811</v>
      </c>
      <c r="F555">
        <v>4</v>
      </c>
      <c r="G555" s="23" t="s">
        <v>177</v>
      </c>
      <c r="H555">
        <v>0</v>
      </c>
      <c r="I555">
        <v>200</v>
      </c>
      <c r="J555" s="10">
        <v>180</v>
      </c>
      <c r="K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555">
        <v>0</v>
      </c>
      <c r="M5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">
        <v>5.04</v>
      </c>
      <c r="O555" s="23" t="s">
        <v>883</v>
      </c>
      <c r="P555">
        <v>20.16</v>
      </c>
      <c r="Q555" s="23" t="s">
        <v>179</v>
      </c>
    </row>
    <row r="556" spans="1:17" x14ac:dyDescent="0.25">
      <c r="A556" s="23" t="s">
        <v>1098</v>
      </c>
      <c r="B556" s="23" t="s">
        <v>1053</v>
      </c>
      <c r="C556" s="23" t="s">
        <v>176</v>
      </c>
      <c r="D556" s="23" t="s">
        <v>89</v>
      </c>
      <c r="E556" s="23" t="s">
        <v>90</v>
      </c>
      <c r="F556">
        <v>5.3</v>
      </c>
      <c r="G556" s="23" t="s">
        <v>180</v>
      </c>
      <c r="H556">
        <v>0</v>
      </c>
      <c r="I556">
        <v>125</v>
      </c>
      <c r="J556" s="10">
        <v>37.499999999999957</v>
      </c>
      <c r="K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556">
        <v>0</v>
      </c>
      <c r="M5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">
        <v>44</v>
      </c>
      <c r="O556" s="23" t="s">
        <v>315</v>
      </c>
      <c r="P556">
        <v>233.2</v>
      </c>
      <c r="Q556" s="23" t="s">
        <v>179</v>
      </c>
    </row>
    <row r="557" spans="1:17" x14ac:dyDescent="0.25">
      <c r="A557" s="23" t="s">
        <v>1142</v>
      </c>
      <c r="B557" s="23" t="s">
        <v>1054</v>
      </c>
      <c r="C557" s="23" t="s">
        <v>176</v>
      </c>
      <c r="D557" s="23" t="s">
        <v>48</v>
      </c>
      <c r="E557" s="23" t="s">
        <v>49</v>
      </c>
      <c r="F557">
        <v>2</v>
      </c>
      <c r="G557" s="23" t="s">
        <v>177</v>
      </c>
      <c r="H557">
        <v>0</v>
      </c>
      <c r="I557">
        <v>24</v>
      </c>
      <c r="J557" s="10">
        <v>27</v>
      </c>
      <c r="K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57">
        <v>0</v>
      </c>
      <c r="M5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57">
        <v>42</v>
      </c>
      <c r="O557" s="23" t="s">
        <v>247</v>
      </c>
      <c r="P557">
        <v>84</v>
      </c>
      <c r="Q557" s="23" t="s">
        <v>181</v>
      </c>
    </row>
    <row r="558" spans="1:17" x14ac:dyDescent="0.25">
      <c r="A558" s="23" t="s">
        <v>1094</v>
      </c>
      <c r="B558" s="23" t="s">
        <v>1095</v>
      </c>
      <c r="C558" s="23" t="s">
        <v>176</v>
      </c>
      <c r="D558" s="23" t="s">
        <v>385</v>
      </c>
      <c r="E558" s="23" t="s">
        <v>386</v>
      </c>
      <c r="F558">
        <v>21</v>
      </c>
      <c r="G558" s="23" t="s">
        <v>177</v>
      </c>
      <c r="H558">
        <v>0</v>
      </c>
      <c r="I558">
        <v>495</v>
      </c>
      <c r="J558" s="10">
        <v>146</v>
      </c>
      <c r="K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58">
        <v>0</v>
      </c>
      <c r="M5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">
        <v>3.75</v>
      </c>
      <c r="O558" s="23" t="s">
        <v>629</v>
      </c>
      <c r="P558">
        <v>78.75</v>
      </c>
      <c r="Q558" s="23" t="s">
        <v>181</v>
      </c>
    </row>
    <row r="559" spans="1:17" x14ac:dyDescent="0.25">
      <c r="A559" s="23" t="s">
        <v>1147</v>
      </c>
      <c r="B559" s="23" t="s">
        <v>1145</v>
      </c>
      <c r="C559" s="23" t="s">
        <v>176</v>
      </c>
      <c r="D559" s="23" t="s">
        <v>261</v>
      </c>
      <c r="E559" s="23" t="s">
        <v>262</v>
      </c>
      <c r="F559">
        <v>0.7</v>
      </c>
      <c r="G559" s="23" t="s">
        <v>177</v>
      </c>
      <c r="H559">
        <v>0</v>
      </c>
      <c r="I559">
        <v>5</v>
      </c>
      <c r="J559" s="10">
        <v>0.30000000000001581</v>
      </c>
      <c r="K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559">
        <v>0</v>
      </c>
      <c r="M5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559">
        <v>1622.4</v>
      </c>
      <c r="O559" s="23" t="s">
        <v>263</v>
      </c>
      <c r="P559">
        <v>1135.68</v>
      </c>
      <c r="Q559" s="23" t="s">
        <v>184</v>
      </c>
    </row>
    <row r="560" spans="1:17" x14ac:dyDescent="0.25">
      <c r="A560" s="23" t="s">
        <v>1099</v>
      </c>
      <c r="B560" s="23" t="s">
        <v>1056</v>
      </c>
      <c r="C560" s="23" t="s">
        <v>176</v>
      </c>
      <c r="D560" s="23" t="s">
        <v>1109</v>
      </c>
      <c r="E560" s="23" t="s">
        <v>1110</v>
      </c>
      <c r="F560">
        <v>0.4</v>
      </c>
      <c r="G560" s="23" t="s">
        <v>177</v>
      </c>
      <c r="H560">
        <v>0</v>
      </c>
      <c r="I560">
        <v>5</v>
      </c>
      <c r="J560" s="10">
        <v>3.5527136788005009E-15</v>
      </c>
      <c r="K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-4.0999999999999996</v>
      </c>
      <c r="L560">
        <v>0</v>
      </c>
      <c r="M5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">
        <v>196</v>
      </c>
      <c r="O560" s="23" t="s">
        <v>227</v>
      </c>
      <c r="P560">
        <v>78.400000000000006</v>
      </c>
      <c r="Q560" s="23" t="s">
        <v>184</v>
      </c>
    </row>
    <row r="561" spans="1:17" x14ac:dyDescent="0.25">
      <c r="A561" s="23" t="s">
        <v>1100</v>
      </c>
      <c r="B561" s="23" t="s">
        <v>1101</v>
      </c>
      <c r="C561" s="23" t="s">
        <v>176</v>
      </c>
      <c r="D561" s="23" t="s">
        <v>292</v>
      </c>
      <c r="E561" s="23" t="s">
        <v>293</v>
      </c>
      <c r="F561">
        <v>8</v>
      </c>
      <c r="G561" s="23" t="s">
        <v>177</v>
      </c>
      <c r="H561">
        <v>0</v>
      </c>
      <c r="I561">
        <v>133</v>
      </c>
      <c r="J561" s="10">
        <v>46</v>
      </c>
      <c r="K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1">
        <v>0</v>
      </c>
      <c r="M5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">
        <v>3.75</v>
      </c>
      <c r="O561" s="23" t="s">
        <v>629</v>
      </c>
      <c r="P561">
        <v>30</v>
      </c>
      <c r="Q561" s="23" t="s">
        <v>181</v>
      </c>
    </row>
    <row r="562" spans="1:17" x14ac:dyDescent="0.25">
      <c r="A562" s="23" t="s">
        <v>1149</v>
      </c>
      <c r="B562" s="23" t="s">
        <v>1145</v>
      </c>
      <c r="C562" s="23" t="s">
        <v>176</v>
      </c>
      <c r="D562" s="23" t="s">
        <v>292</v>
      </c>
      <c r="E562" s="23" t="s">
        <v>293</v>
      </c>
      <c r="F562">
        <v>6</v>
      </c>
      <c r="G562" s="23" t="s">
        <v>177</v>
      </c>
      <c r="H562">
        <v>0</v>
      </c>
      <c r="I562">
        <v>133</v>
      </c>
      <c r="J562" s="10">
        <v>46</v>
      </c>
      <c r="K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2">
        <v>0</v>
      </c>
      <c r="M5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">
        <v>3.75</v>
      </c>
      <c r="O562" s="23" t="s">
        <v>629</v>
      </c>
      <c r="P562">
        <v>22.5</v>
      </c>
      <c r="Q562" s="23" t="s">
        <v>181</v>
      </c>
    </row>
    <row r="563" spans="1:17" x14ac:dyDescent="0.25">
      <c r="A563" s="23" t="s">
        <v>1149</v>
      </c>
      <c r="B563" s="23" t="s">
        <v>1145</v>
      </c>
      <c r="C563" s="23" t="s">
        <v>176</v>
      </c>
      <c r="D563" s="23" t="s">
        <v>328</v>
      </c>
      <c r="E563" s="23" t="s">
        <v>329</v>
      </c>
      <c r="F563">
        <v>0.05</v>
      </c>
      <c r="G563" s="23" t="s">
        <v>177</v>
      </c>
      <c r="H563">
        <v>0</v>
      </c>
      <c r="I563">
        <v>1</v>
      </c>
      <c r="J563" s="10">
        <v>0.92999999999999972</v>
      </c>
      <c r="K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63">
        <v>0</v>
      </c>
      <c r="M5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63">
        <v>1525</v>
      </c>
      <c r="O563" s="23" t="s">
        <v>242</v>
      </c>
      <c r="P563">
        <v>76.25</v>
      </c>
      <c r="Q563" s="23" t="s">
        <v>181</v>
      </c>
    </row>
    <row r="564" spans="1:17" x14ac:dyDescent="0.25">
      <c r="A564" s="23" t="s">
        <v>1058</v>
      </c>
      <c r="B564" s="23" t="s">
        <v>1059</v>
      </c>
      <c r="C564" s="23" t="s">
        <v>176</v>
      </c>
      <c r="D564" s="23" t="s">
        <v>292</v>
      </c>
      <c r="E564" s="23" t="s">
        <v>293</v>
      </c>
      <c r="F564">
        <v>6</v>
      </c>
      <c r="G564" s="23" t="s">
        <v>177</v>
      </c>
      <c r="H564">
        <v>0</v>
      </c>
      <c r="I564">
        <v>133</v>
      </c>
      <c r="J564" s="10">
        <v>46</v>
      </c>
      <c r="K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4">
        <v>0</v>
      </c>
      <c r="M5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">
        <v>3.75</v>
      </c>
      <c r="O564" s="23" t="s">
        <v>629</v>
      </c>
      <c r="P564">
        <v>22.5</v>
      </c>
      <c r="Q564" s="23" t="s">
        <v>181</v>
      </c>
    </row>
    <row r="565" spans="1:17" x14ac:dyDescent="0.25">
      <c r="A565" s="23" t="s">
        <v>1150</v>
      </c>
      <c r="B565" s="23" t="s">
        <v>1145</v>
      </c>
      <c r="C565" s="23" t="s">
        <v>176</v>
      </c>
      <c r="D565" s="23" t="s">
        <v>292</v>
      </c>
      <c r="E565" s="23" t="s">
        <v>293</v>
      </c>
      <c r="F565">
        <v>6</v>
      </c>
      <c r="G565" s="23" t="s">
        <v>177</v>
      </c>
      <c r="H565">
        <v>0</v>
      </c>
      <c r="I565">
        <v>133</v>
      </c>
      <c r="J565" s="10">
        <v>46</v>
      </c>
      <c r="K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5">
        <v>0</v>
      </c>
      <c r="M5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">
        <v>3.75</v>
      </c>
      <c r="O565" s="23" t="s">
        <v>629</v>
      </c>
      <c r="P565">
        <v>22.5</v>
      </c>
      <c r="Q565" s="23" t="s">
        <v>181</v>
      </c>
    </row>
    <row r="566" spans="1:17" x14ac:dyDescent="0.25">
      <c r="A566" s="23" t="s">
        <v>1150</v>
      </c>
      <c r="B566" s="23" t="s">
        <v>1145</v>
      </c>
      <c r="C566" s="23" t="s">
        <v>176</v>
      </c>
      <c r="D566" s="23" t="s">
        <v>328</v>
      </c>
      <c r="E566" s="23" t="s">
        <v>329</v>
      </c>
      <c r="F566">
        <v>0.05</v>
      </c>
      <c r="G566" s="23" t="s">
        <v>177</v>
      </c>
      <c r="H566">
        <v>0</v>
      </c>
      <c r="I566">
        <v>1</v>
      </c>
      <c r="J566" s="10">
        <v>0.92999999999999972</v>
      </c>
      <c r="K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66">
        <v>0</v>
      </c>
      <c r="M5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66">
        <v>1525</v>
      </c>
      <c r="O566" s="23" t="s">
        <v>242</v>
      </c>
      <c r="P566">
        <v>76.25</v>
      </c>
      <c r="Q566" s="23" t="s">
        <v>181</v>
      </c>
    </row>
    <row r="567" spans="1:17" x14ac:dyDescent="0.25">
      <c r="A567" s="23" t="s">
        <v>1148</v>
      </c>
      <c r="B567" s="23" t="s">
        <v>1054</v>
      </c>
      <c r="C567" s="23" t="s">
        <v>176</v>
      </c>
      <c r="D567" s="23" t="s">
        <v>292</v>
      </c>
      <c r="E567" s="23" t="s">
        <v>293</v>
      </c>
      <c r="F567">
        <v>8</v>
      </c>
      <c r="G567" s="23" t="s">
        <v>177</v>
      </c>
      <c r="H567">
        <v>0</v>
      </c>
      <c r="I567">
        <v>133</v>
      </c>
      <c r="J567" s="10">
        <v>46</v>
      </c>
      <c r="K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7">
        <v>0</v>
      </c>
      <c r="M5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">
        <v>3.75</v>
      </c>
      <c r="O567" s="23" t="s">
        <v>629</v>
      </c>
      <c r="P567">
        <v>30</v>
      </c>
      <c r="Q567" s="23" t="s">
        <v>181</v>
      </c>
    </row>
    <row r="568" spans="1:17" x14ac:dyDescent="0.25">
      <c r="A568" s="23" t="s">
        <v>1055</v>
      </c>
      <c r="B568" s="23" t="s">
        <v>1056</v>
      </c>
      <c r="C568" s="23" t="s">
        <v>176</v>
      </c>
      <c r="D568" s="23" t="s">
        <v>292</v>
      </c>
      <c r="E568" s="23" t="s">
        <v>293</v>
      </c>
      <c r="F568">
        <v>12</v>
      </c>
      <c r="G568" s="23" t="s">
        <v>177</v>
      </c>
      <c r="H568">
        <v>12</v>
      </c>
      <c r="I568">
        <v>133</v>
      </c>
      <c r="J568" s="10">
        <v>46</v>
      </c>
      <c r="K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8">
        <v>0</v>
      </c>
      <c r="M5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">
        <v>3.75</v>
      </c>
      <c r="O568" s="23" t="s">
        <v>629</v>
      </c>
      <c r="P568">
        <v>45</v>
      </c>
      <c r="Q568" s="23" t="s">
        <v>181</v>
      </c>
    </row>
    <row r="569" spans="1:17" x14ac:dyDescent="0.25">
      <c r="A569" s="23" t="s">
        <v>1099</v>
      </c>
      <c r="B569" s="23" t="s">
        <v>1056</v>
      </c>
      <c r="C569" s="23" t="s">
        <v>176</v>
      </c>
      <c r="D569" s="23" t="s">
        <v>292</v>
      </c>
      <c r="E569" s="23" t="s">
        <v>293</v>
      </c>
      <c r="F569">
        <v>12</v>
      </c>
      <c r="G569" s="23" t="s">
        <v>177</v>
      </c>
      <c r="H569">
        <v>12</v>
      </c>
      <c r="I569">
        <v>133</v>
      </c>
      <c r="J569" s="10">
        <v>46</v>
      </c>
      <c r="K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69">
        <v>0</v>
      </c>
      <c r="M5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">
        <v>3.75</v>
      </c>
      <c r="O569" s="23" t="s">
        <v>629</v>
      </c>
      <c r="P569">
        <v>45</v>
      </c>
      <c r="Q569" s="23" t="s">
        <v>181</v>
      </c>
    </row>
    <row r="570" spans="1:17" x14ac:dyDescent="0.25">
      <c r="A570" s="23" t="s">
        <v>1144</v>
      </c>
      <c r="B570" s="23" t="s">
        <v>1145</v>
      </c>
      <c r="C570" s="23" t="s">
        <v>176</v>
      </c>
      <c r="D570" s="23" t="s">
        <v>292</v>
      </c>
      <c r="E570" s="23" t="s">
        <v>293</v>
      </c>
      <c r="F570">
        <v>6</v>
      </c>
      <c r="G570" s="23" t="s">
        <v>177</v>
      </c>
      <c r="H570">
        <v>0</v>
      </c>
      <c r="I570">
        <v>133</v>
      </c>
      <c r="J570" s="10">
        <v>46</v>
      </c>
      <c r="K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70">
        <v>0</v>
      </c>
      <c r="M5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">
        <v>3.75</v>
      </c>
      <c r="O570" s="23" t="s">
        <v>629</v>
      </c>
      <c r="P570">
        <v>22.5</v>
      </c>
      <c r="Q570" s="23" t="s">
        <v>181</v>
      </c>
    </row>
    <row r="571" spans="1:17" x14ac:dyDescent="0.25">
      <c r="A571" s="23" t="s">
        <v>1146</v>
      </c>
      <c r="B571" s="23" t="s">
        <v>1145</v>
      </c>
      <c r="C571" s="23" t="s">
        <v>176</v>
      </c>
      <c r="D571" s="23" t="s">
        <v>292</v>
      </c>
      <c r="E571" s="23" t="s">
        <v>293</v>
      </c>
      <c r="F571">
        <v>6</v>
      </c>
      <c r="G571" s="23" t="s">
        <v>177</v>
      </c>
      <c r="H571">
        <v>0</v>
      </c>
      <c r="I571">
        <v>133</v>
      </c>
      <c r="J571" s="10">
        <v>46</v>
      </c>
      <c r="K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71">
        <v>0</v>
      </c>
      <c r="M5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">
        <v>3.75</v>
      </c>
      <c r="O571" s="23" t="s">
        <v>629</v>
      </c>
      <c r="P571">
        <v>22.5</v>
      </c>
      <c r="Q571" s="23" t="s">
        <v>181</v>
      </c>
    </row>
    <row r="572" spans="1:17" x14ac:dyDescent="0.25">
      <c r="A572" s="23" t="s">
        <v>1147</v>
      </c>
      <c r="B572" s="23" t="s">
        <v>1145</v>
      </c>
      <c r="C572" s="23" t="s">
        <v>176</v>
      </c>
      <c r="D572" s="23" t="s">
        <v>292</v>
      </c>
      <c r="E572" s="23" t="s">
        <v>293</v>
      </c>
      <c r="F572">
        <v>6</v>
      </c>
      <c r="G572" s="23" t="s">
        <v>177</v>
      </c>
      <c r="H572">
        <v>0</v>
      </c>
      <c r="I572">
        <v>133</v>
      </c>
      <c r="J572" s="10">
        <v>46</v>
      </c>
      <c r="K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72">
        <v>0</v>
      </c>
      <c r="M5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">
        <v>3.75</v>
      </c>
      <c r="O572" s="23" t="s">
        <v>629</v>
      </c>
      <c r="P572">
        <v>22.5</v>
      </c>
      <c r="Q572" s="23" t="s">
        <v>181</v>
      </c>
    </row>
    <row r="573" spans="1:17" x14ac:dyDescent="0.25">
      <c r="A573" s="23" t="s">
        <v>1147</v>
      </c>
      <c r="B573" s="23" t="s">
        <v>1145</v>
      </c>
      <c r="C573" s="23" t="s">
        <v>176</v>
      </c>
      <c r="D573" s="23" t="s">
        <v>328</v>
      </c>
      <c r="E573" s="23" t="s">
        <v>329</v>
      </c>
      <c r="F573">
        <v>0.05</v>
      </c>
      <c r="G573" s="23" t="s">
        <v>177</v>
      </c>
      <c r="H573">
        <v>0</v>
      </c>
      <c r="I573">
        <v>1</v>
      </c>
      <c r="J573" s="10">
        <v>0.92999999999999972</v>
      </c>
      <c r="K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73">
        <v>0</v>
      </c>
      <c r="M5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73">
        <v>1525</v>
      </c>
      <c r="O573" s="23" t="s">
        <v>242</v>
      </c>
      <c r="P573">
        <v>76.25</v>
      </c>
      <c r="Q573" s="23" t="s">
        <v>181</v>
      </c>
    </row>
    <row r="574" spans="1:17" x14ac:dyDescent="0.25">
      <c r="A574" s="23" t="s">
        <v>1197</v>
      </c>
      <c r="B574" s="23" t="s">
        <v>1198</v>
      </c>
      <c r="C574" s="23" t="s">
        <v>176</v>
      </c>
      <c r="D574" s="23" t="s">
        <v>292</v>
      </c>
      <c r="E574" s="23" t="s">
        <v>293</v>
      </c>
      <c r="F574">
        <v>6</v>
      </c>
      <c r="G574" s="23" t="s">
        <v>177</v>
      </c>
      <c r="H574">
        <v>0</v>
      </c>
      <c r="I574">
        <v>133</v>
      </c>
      <c r="J574" s="10">
        <v>46</v>
      </c>
      <c r="K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74">
        <v>0</v>
      </c>
      <c r="M5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">
        <v>3.75</v>
      </c>
      <c r="O574" s="23" t="s">
        <v>629</v>
      </c>
      <c r="P574">
        <v>22.5</v>
      </c>
      <c r="Q574" s="23" t="s">
        <v>181</v>
      </c>
    </row>
    <row r="575" spans="1:17" x14ac:dyDescent="0.25">
      <c r="A575" s="23" t="s">
        <v>1098</v>
      </c>
      <c r="B575" s="23" t="s">
        <v>1053</v>
      </c>
      <c r="C575" s="23" t="s">
        <v>176</v>
      </c>
      <c r="D575" s="23" t="s">
        <v>292</v>
      </c>
      <c r="E575" s="23" t="s">
        <v>293</v>
      </c>
      <c r="F575">
        <v>4</v>
      </c>
      <c r="G575" s="23" t="s">
        <v>177</v>
      </c>
      <c r="H575">
        <v>0</v>
      </c>
      <c r="I575">
        <v>133</v>
      </c>
      <c r="J575" s="10">
        <v>46</v>
      </c>
      <c r="K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75">
        <v>0</v>
      </c>
      <c r="M5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">
        <v>3.75</v>
      </c>
      <c r="O575" s="23" t="s">
        <v>629</v>
      </c>
      <c r="P575">
        <v>15</v>
      </c>
      <c r="Q575" s="23" t="s">
        <v>181</v>
      </c>
    </row>
    <row r="576" spans="1:17" x14ac:dyDescent="0.25">
      <c r="A576" s="23" t="s">
        <v>1146</v>
      </c>
      <c r="B576" s="23" t="s">
        <v>1145</v>
      </c>
      <c r="C576" s="23" t="s">
        <v>176</v>
      </c>
      <c r="D576" s="23" t="s">
        <v>328</v>
      </c>
      <c r="E576" s="23" t="s">
        <v>329</v>
      </c>
      <c r="F576">
        <v>0.05</v>
      </c>
      <c r="G576" s="23" t="s">
        <v>177</v>
      </c>
      <c r="H576">
        <v>0</v>
      </c>
      <c r="I576">
        <v>1</v>
      </c>
      <c r="J576" s="10">
        <v>0.92999999999999972</v>
      </c>
      <c r="K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76">
        <v>0</v>
      </c>
      <c r="M5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76">
        <v>1525</v>
      </c>
      <c r="O576" s="23" t="s">
        <v>242</v>
      </c>
      <c r="P576">
        <v>76.25</v>
      </c>
      <c r="Q576" s="23" t="s">
        <v>181</v>
      </c>
    </row>
    <row r="577" spans="1:17" x14ac:dyDescent="0.25">
      <c r="A577" s="27" t="s">
        <v>1148</v>
      </c>
      <c r="B577" s="27" t="s">
        <v>1054</v>
      </c>
      <c r="C577" s="23" t="s">
        <v>176</v>
      </c>
      <c r="D577" s="27" t="s">
        <v>906</v>
      </c>
      <c r="E577" s="27" t="s">
        <v>907</v>
      </c>
      <c r="F577" s="14">
        <v>1</v>
      </c>
      <c r="G577" s="27" t="s">
        <v>177</v>
      </c>
      <c r="H577">
        <v>0</v>
      </c>
      <c r="I577">
        <v>13</v>
      </c>
      <c r="J577" s="10">
        <v>6</v>
      </c>
      <c r="K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77">
        <v>0</v>
      </c>
      <c r="M5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">
        <v>344.14</v>
      </c>
      <c r="O577" s="23" t="s">
        <v>908</v>
      </c>
      <c r="P577">
        <v>344.14</v>
      </c>
      <c r="Q577" s="23" t="s">
        <v>181</v>
      </c>
    </row>
    <row r="578" spans="1:17" x14ac:dyDescent="0.25">
      <c r="A578" s="23" t="s">
        <v>1148</v>
      </c>
      <c r="B578" s="23" t="s">
        <v>1054</v>
      </c>
      <c r="C578" s="23" t="s">
        <v>176</v>
      </c>
      <c r="D578" s="23" t="s">
        <v>328</v>
      </c>
      <c r="E578" s="23" t="s">
        <v>329</v>
      </c>
      <c r="F578">
        <v>0.1</v>
      </c>
      <c r="G578" s="23" t="s">
        <v>177</v>
      </c>
      <c r="H578">
        <v>0</v>
      </c>
      <c r="I578">
        <v>1</v>
      </c>
      <c r="J578" s="10">
        <v>0.92999999999999972</v>
      </c>
      <c r="K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78">
        <v>0</v>
      </c>
      <c r="M5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78">
        <v>1525</v>
      </c>
      <c r="O578" s="23" t="s">
        <v>242</v>
      </c>
      <c r="P578">
        <v>152.5</v>
      </c>
      <c r="Q578" s="23" t="s">
        <v>181</v>
      </c>
    </row>
    <row r="579" spans="1:17" x14ac:dyDescent="0.25">
      <c r="A579" s="23" t="s">
        <v>1055</v>
      </c>
      <c r="B579" s="23" t="s">
        <v>1056</v>
      </c>
      <c r="C579" s="23" t="s">
        <v>176</v>
      </c>
      <c r="D579" s="23" t="s">
        <v>328</v>
      </c>
      <c r="E579" s="23" t="s">
        <v>329</v>
      </c>
      <c r="F579">
        <v>0.05</v>
      </c>
      <c r="G579" s="23" t="s">
        <v>177</v>
      </c>
      <c r="H579">
        <v>0</v>
      </c>
      <c r="I579">
        <v>1</v>
      </c>
      <c r="J579" s="10">
        <v>0.92999999999999972</v>
      </c>
      <c r="K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79">
        <v>0</v>
      </c>
      <c r="M5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79">
        <v>1525</v>
      </c>
      <c r="O579" s="23" t="s">
        <v>242</v>
      </c>
      <c r="P579">
        <v>76.25</v>
      </c>
      <c r="Q579" s="23" t="s">
        <v>181</v>
      </c>
    </row>
    <row r="580" spans="1:17" x14ac:dyDescent="0.25">
      <c r="A580" s="23" t="s">
        <v>1099</v>
      </c>
      <c r="B580" s="23" t="s">
        <v>1056</v>
      </c>
      <c r="C580" s="23" t="s">
        <v>176</v>
      </c>
      <c r="D580" s="23" t="s">
        <v>328</v>
      </c>
      <c r="E580" s="23" t="s">
        <v>329</v>
      </c>
      <c r="F580">
        <v>0.05</v>
      </c>
      <c r="G580" s="23" t="s">
        <v>177</v>
      </c>
      <c r="H580">
        <v>0</v>
      </c>
      <c r="I580">
        <v>1</v>
      </c>
      <c r="J580" s="10">
        <v>0.92999999999999972</v>
      </c>
      <c r="K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80">
        <v>0</v>
      </c>
      <c r="M5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80">
        <v>1525</v>
      </c>
      <c r="O580" s="23" t="s">
        <v>242</v>
      </c>
      <c r="P580">
        <v>76.25</v>
      </c>
      <c r="Q580" s="23" t="s">
        <v>181</v>
      </c>
    </row>
    <row r="581" spans="1:17" x14ac:dyDescent="0.25">
      <c r="A581" s="23" t="s">
        <v>1147</v>
      </c>
      <c r="B581" s="23" t="s">
        <v>1145</v>
      </c>
      <c r="C581" s="23" t="s">
        <v>176</v>
      </c>
      <c r="D581" s="23" t="s">
        <v>806</v>
      </c>
      <c r="E581" s="23" t="s">
        <v>807</v>
      </c>
      <c r="F581">
        <v>1</v>
      </c>
      <c r="G581" s="23" t="s">
        <v>177</v>
      </c>
      <c r="H581">
        <v>0</v>
      </c>
      <c r="I581">
        <v>14</v>
      </c>
      <c r="J581" s="10">
        <v>1</v>
      </c>
      <c r="K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581">
        <v>0</v>
      </c>
      <c r="M5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">
        <v>458.33</v>
      </c>
      <c r="O581" s="23" t="s">
        <v>629</v>
      </c>
      <c r="P581">
        <v>458.33</v>
      </c>
      <c r="Q581" s="23" t="s">
        <v>178</v>
      </c>
    </row>
    <row r="582" spans="1:17" x14ac:dyDescent="0.25">
      <c r="A582" s="23" t="s">
        <v>1094</v>
      </c>
      <c r="B582" s="23" t="s">
        <v>1095</v>
      </c>
      <c r="C582" s="23" t="s">
        <v>176</v>
      </c>
      <c r="D582" s="23" t="s">
        <v>1109</v>
      </c>
      <c r="E582" s="23" t="s">
        <v>1110</v>
      </c>
      <c r="F582">
        <v>0.5</v>
      </c>
      <c r="G582" s="23" t="s">
        <v>177</v>
      </c>
      <c r="H582">
        <v>0</v>
      </c>
      <c r="I582">
        <v>5</v>
      </c>
      <c r="J582" s="10">
        <v>3.5527136788005009E-15</v>
      </c>
      <c r="K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-4.0999999999999996</v>
      </c>
      <c r="L582">
        <v>0</v>
      </c>
      <c r="M5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">
        <v>196</v>
      </c>
      <c r="O582" s="23" t="s">
        <v>227</v>
      </c>
      <c r="P582">
        <v>98</v>
      </c>
      <c r="Q582" s="23" t="s">
        <v>184</v>
      </c>
    </row>
    <row r="583" spans="1:17" x14ac:dyDescent="0.25">
      <c r="A583" s="23" t="s">
        <v>1094</v>
      </c>
      <c r="B583" s="23" t="s">
        <v>1095</v>
      </c>
      <c r="C583" s="23" t="s">
        <v>176</v>
      </c>
      <c r="D583" s="23" t="s">
        <v>292</v>
      </c>
      <c r="E583" s="23" t="s">
        <v>293</v>
      </c>
      <c r="F583">
        <v>4</v>
      </c>
      <c r="G583" s="23" t="s">
        <v>177</v>
      </c>
      <c r="H583">
        <v>0</v>
      </c>
      <c r="I583">
        <v>133</v>
      </c>
      <c r="J583" s="10">
        <v>46</v>
      </c>
      <c r="K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83">
        <v>0</v>
      </c>
      <c r="M5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">
        <v>3.75</v>
      </c>
      <c r="O583" s="23" t="s">
        <v>629</v>
      </c>
      <c r="P583">
        <v>15</v>
      </c>
      <c r="Q583" s="23" t="s">
        <v>181</v>
      </c>
    </row>
    <row r="584" spans="1:17" x14ac:dyDescent="0.25">
      <c r="A584" s="23" t="s">
        <v>1058</v>
      </c>
      <c r="B584" s="23" t="s">
        <v>1059</v>
      </c>
      <c r="C584" s="23" t="s">
        <v>176</v>
      </c>
      <c r="D584" s="23" t="s">
        <v>328</v>
      </c>
      <c r="E584" s="23" t="s">
        <v>329</v>
      </c>
      <c r="F584">
        <v>0.05</v>
      </c>
      <c r="G584" s="23" t="s">
        <v>177</v>
      </c>
      <c r="H584">
        <v>0</v>
      </c>
      <c r="I584">
        <v>1</v>
      </c>
      <c r="J584" s="10">
        <v>0.92999999999999972</v>
      </c>
      <c r="K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84">
        <v>0</v>
      </c>
      <c r="M5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84">
        <v>1525</v>
      </c>
      <c r="O584" s="23" t="s">
        <v>242</v>
      </c>
      <c r="P584">
        <v>76.25</v>
      </c>
      <c r="Q584" s="23" t="s">
        <v>181</v>
      </c>
    </row>
    <row r="585" spans="1:17" x14ac:dyDescent="0.25">
      <c r="A585" s="23" t="s">
        <v>1096</v>
      </c>
      <c r="B585" s="23" t="s">
        <v>1053</v>
      </c>
      <c r="C585" s="23" t="s">
        <v>176</v>
      </c>
      <c r="D585" s="23" t="s">
        <v>385</v>
      </c>
      <c r="E585" s="23" t="s">
        <v>386</v>
      </c>
      <c r="F585">
        <v>20</v>
      </c>
      <c r="G585" s="23" t="s">
        <v>177</v>
      </c>
      <c r="H585">
        <v>0</v>
      </c>
      <c r="I585">
        <v>495</v>
      </c>
      <c r="J585" s="10">
        <v>146</v>
      </c>
      <c r="K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85">
        <v>0</v>
      </c>
      <c r="M5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">
        <v>3.75</v>
      </c>
      <c r="O585" s="23" t="s">
        <v>629</v>
      </c>
      <c r="P585">
        <v>75</v>
      </c>
      <c r="Q585" s="23" t="s">
        <v>181</v>
      </c>
    </row>
    <row r="586" spans="1:17" x14ac:dyDescent="0.25">
      <c r="A586" s="23" t="s">
        <v>1142</v>
      </c>
      <c r="B586" s="23" t="s">
        <v>1054</v>
      </c>
      <c r="C586" s="23" t="s">
        <v>176</v>
      </c>
      <c r="D586" s="23" t="s">
        <v>395</v>
      </c>
      <c r="E586" s="23" t="s">
        <v>396</v>
      </c>
      <c r="F586">
        <v>3.1</v>
      </c>
      <c r="G586" s="23" t="s">
        <v>177</v>
      </c>
      <c r="H586">
        <v>0</v>
      </c>
      <c r="I586">
        <v>17</v>
      </c>
      <c r="J586" s="10">
        <v>3.0000000000000124</v>
      </c>
      <c r="K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586">
        <v>0</v>
      </c>
      <c r="M5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586">
        <v>145.83000000000001</v>
      </c>
      <c r="O586" s="23" t="s">
        <v>629</v>
      </c>
      <c r="P586">
        <v>452.07300000000004</v>
      </c>
      <c r="Q586" s="23" t="s">
        <v>184</v>
      </c>
    </row>
    <row r="587" spans="1:17" x14ac:dyDescent="0.25">
      <c r="A587" s="23" t="s">
        <v>1147</v>
      </c>
      <c r="B587" s="23" t="s">
        <v>1145</v>
      </c>
      <c r="C587" s="23" t="s">
        <v>176</v>
      </c>
      <c r="D587" s="23" t="s">
        <v>457</v>
      </c>
      <c r="E587" s="23" t="s">
        <v>458</v>
      </c>
      <c r="F587">
        <v>78</v>
      </c>
      <c r="G587" s="23" t="s">
        <v>177</v>
      </c>
      <c r="H587">
        <v>0</v>
      </c>
      <c r="I587">
        <v>4000</v>
      </c>
      <c r="J587" s="10">
        <v>138</v>
      </c>
      <c r="K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587">
        <v>0</v>
      </c>
      <c r="M5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">
        <v>0.93</v>
      </c>
      <c r="O587" s="23" t="s">
        <v>883</v>
      </c>
      <c r="P587">
        <v>72.540000000000006</v>
      </c>
      <c r="Q587" s="23" t="s">
        <v>181</v>
      </c>
    </row>
    <row r="588" spans="1:17" x14ac:dyDescent="0.25">
      <c r="A588" s="23" t="s">
        <v>1058</v>
      </c>
      <c r="B588" s="23" t="s">
        <v>1059</v>
      </c>
      <c r="C588" s="23" t="s">
        <v>176</v>
      </c>
      <c r="D588" s="23" t="s">
        <v>66</v>
      </c>
      <c r="E588" s="23" t="s">
        <v>67</v>
      </c>
      <c r="F588">
        <v>3</v>
      </c>
      <c r="G588" s="23" t="s">
        <v>177</v>
      </c>
      <c r="H588">
        <v>0</v>
      </c>
      <c r="I588">
        <v>85</v>
      </c>
      <c r="J588" s="10">
        <v>43</v>
      </c>
      <c r="K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88">
        <v>40</v>
      </c>
      <c r="M5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">
        <v>60</v>
      </c>
      <c r="O588" s="23" t="s">
        <v>822</v>
      </c>
      <c r="P588">
        <v>180</v>
      </c>
      <c r="Q588" s="23" t="s">
        <v>181</v>
      </c>
    </row>
    <row r="589" spans="1:17" x14ac:dyDescent="0.25">
      <c r="A589" s="23" t="s">
        <v>1055</v>
      </c>
      <c r="B589" s="23" t="s">
        <v>1056</v>
      </c>
      <c r="C589" s="23" t="s">
        <v>176</v>
      </c>
      <c r="D589" s="23" t="s">
        <v>66</v>
      </c>
      <c r="E589" s="23" t="s">
        <v>67</v>
      </c>
      <c r="F589">
        <v>5</v>
      </c>
      <c r="G589" s="23" t="s">
        <v>177</v>
      </c>
      <c r="H589">
        <v>0</v>
      </c>
      <c r="I589">
        <v>85</v>
      </c>
      <c r="J589" s="10">
        <v>43</v>
      </c>
      <c r="K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89">
        <v>40</v>
      </c>
      <c r="M5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">
        <v>60</v>
      </c>
      <c r="O589" s="23" t="s">
        <v>822</v>
      </c>
      <c r="P589">
        <v>300</v>
      </c>
      <c r="Q589" s="23" t="s">
        <v>181</v>
      </c>
    </row>
    <row r="590" spans="1:17" x14ac:dyDescent="0.25">
      <c r="A590" s="23" t="s">
        <v>1099</v>
      </c>
      <c r="B590" s="23" t="s">
        <v>1056</v>
      </c>
      <c r="C590" s="23" t="s">
        <v>176</v>
      </c>
      <c r="D590" s="23" t="s">
        <v>66</v>
      </c>
      <c r="E590" s="23" t="s">
        <v>67</v>
      </c>
      <c r="F590">
        <v>5</v>
      </c>
      <c r="G590" s="23" t="s">
        <v>177</v>
      </c>
      <c r="H590">
        <v>0</v>
      </c>
      <c r="I590">
        <v>85</v>
      </c>
      <c r="J590" s="10">
        <v>43</v>
      </c>
      <c r="K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90">
        <v>40</v>
      </c>
      <c r="M5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">
        <v>60</v>
      </c>
      <c r="O590" s="23" t="s">
        <v>822</v>
      </c>
      <c r="P590">
        <v>300</v>
      </c>
      <c r="Q590" s="23" t="s">
        <v>181</v>
      </c>
    </row>
    <row r="591" spans="1:17" x14ac:dyDescent="0.25">
      <c r="A591" s="23" t="s">
        <v>1055</v>
      </c>
      <c r="B591" s="23" t="s">
        <v>1056</v>
      </c>
      <c r="C591" s="23" t="s">
        <v>176</v>
      </c>
      <c r="D591" s="23" t="s">
        <v>111</v>
      </c>
      <c r="E591" s="23" t="s">
        <v>112</v>
      </c>
      <c r="F591">
        <v>1</v>
      </c>
      <c r="G591" s="23" t="s">
        <v>177</v>
      </c>
      <c r="H591">
        <v>1</v>
      </c>
      <c r="I591">
        <v>2</v>
      </c>
      <c r="J591" s="10">
        <v>8</v>
      </c>
      <c r="K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91">
        <v>11</v>
      </c>
      <c r="M5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">
        <v>675</v>
      </c>
      <c r="O591" s="23" t="s">
        <v>633</v>
      </c>
      <c r="P591">
        <v>675</v>
      </c>
      <c r="Q591" s="23" t="s">
        <v>178</v>
      </c>
    </row>
    <row r="592" spans="1:17" x14ac:dyDescent="0.25">
      <c r="A592" s="23" t="s">
        <v>1099</v>
      </c>
      <c r="B592" s="23" t="s">
        <v>1056</v>
      </c>
      <c r="C592" s="23" t="s">
        <v>176</v>
      </c>
      <c r="D592" s="23" t="s">
        <v>111</v>
      </c>
      <c r="E592" s="23" t="s">
        <v>112</v>
      </c>
      <c r="F592">
        <v>1</v>
      </c>
      <c r="G592" s="23" t="s">
        <v>177</v>
      </c>
      <c r="H592">
        <v>1</v>
      </c>
      <c r="I592">
        <v>2</v>
      </c>
      <c r="J592" s="10">
        <v>8</v>
      </c>
      <c r="K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92">
        <v>11</v>
      </c>
      <c r="M5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">
        <v>675</v>
      </c>
      <c r="O592" s="23" t="s">
        <v>633</v>
      </c>
      <c r="P592">
        <v>675</v>
      </c>
      <c r="Q592" s="23" t="s">
        <v>178</v>
      </c>
    </row>
    <row r="593" spans="1:17" x14ac:dyDescent="0.25">
      <c r="A593" s="23" t="s">
        <v>1147</v>
      </c>
      <c r="B593" s="23" t="s">
        <v>1145</v>
      </c>
      <c r="C593" s="23" t="s">
        <v>176</v>
      </c>
      <c r="D593" s="23" t="s">
        <v>113</v>
      </c>
      <c r="E593" s="23" t="s">
        <v>114</v>
      </c>
      <c r="F593">
        <v>1</v>
      </c>
      <c r="G593" s="23" t="s">
        <v>177</v>
      </c>
      <c r="H593">
        <v>0</v>
      </c>
      <c r="I593">
        <v>2</v>
      </c>
      <c r="J593" s="10">
        <v>4</v>
      </c>
      <c r="K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93">
        <v>0</v>
      </c>
      <c r="M5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593">
        <v>7450</v>
      </c>
      <c r="O593" s="23" t="s">
        <v>585</v>
      </c>
      <c r="P593">
        <v>7450</v>
      </c>
      <c r="Q593" s="23" t="s">
        <v>178</v>
      </c>
    </row>
    <row r="594" spans="1:17" x14ac:dyDescent="0.25">
      <c r="A594" s="23" t="s">
        <v>1147</v>
      </c>
      <c r="B594" s="23" t="s">
        <v>1145</v>
      </c>
      <c r="C594" s="23" t="s">
        <v>176</v>
      </c>
      <c r="D594" s="23" t="s">
        <v>671</v>
      </c>
      <c r="E594" s="23" t="s">
        <v>672</v>
      </c>
      <c r="F594">
        <v>1</v>
      </c>
      <c r="G594" s="23" t="s">
        <v>177</v>
      </c>
      <c r="H594">
        <v>0</v>
      </c>
      <c r="I594">
        <v>12</v>
      </c>
      <c r="J594" s="10">
        <v>13</v>
      </c>
      <c r="K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94">
        <v>0</v>
      </c>
      <c r="M5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">
        <v>28339.38</v>
      </c>
      <c r="O594" s="23" t="s">
        <v>215</v>
      </c>
      <c r="P594">
        <v>28339.38</v>
      </c>
      <c r="Q594" s="23" t="s">
        <v>178</v>
      </c>
    </row>
    <row r="595" spans="1:17" x14ac:dyDescent="0.25">
      <c r="A595" s="23" t="s">
        <v>1097</v>
      </c>
      <c r="B595" s="23" t="s">
        <v>1095</v>
      </c>
      <c r="C595" s="23" t="s">
        <v>176</v>
      </c>
      <c r="D595" s="23" t="s">
        <v>415</v>
      </c>
      <c r="E595" s="23" t="s">
        <v>416</v>
      </c>
      <c r="F595">
        <v>0.1</v>
      </c>
      <c r="G595" s="23" t="s">
        <v>180</v>
      </c>
      <c r="H595">
        <v>0</v>
      </c>
      <c r="I595">
        <v>50</v>
      </c>
      <c r="J595" s="10">
        <v>6.3837823915946501E-15</v>
      </c>
      <c r="K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595">
        <v>0</v>
      </c>
      <c r="M5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">
        <v>25.41</v>
      </c>
      <c r="O595" s="23" t="s">
        <v>827</v>
      </c>
      <c r="P595">
        <v>2.5410000000000004</v>
      </c>
      <c r="Q595" s="23" t="s">
        <v>222</v>
      </c>
    </row>
    <row r="596" spans="1:17" x14ac:dyDescent="0.25">
      <c r="A596" s="23" t="s">
        <v>1197</v>
      </c>
      <c r="B596" s="23" t="s">
        <v>1198</v>
      </c>
      <c r="C596" s="23" t="s">
        <v>176</v>
      </c>
      <c r="D596" s="23" t="s">
        <v>415</v>
      </c>
      <c r="E596" s="23" t="s">
        <v>416</v>
      </c>
      <c r="F596">
        <v>0.1</v>
      </c>
      <c r="G596" s="23" t="s">
        <v>180</v>
      </c>
      <c r="H596">
        <v>0</v>
      </c>
      <c r="I596">
        <v>50</v>
      </c>
      <c r="J596" s="10">
        <v>6.3837823915946501E-15</v>
      </c>
      <c r="K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596">
        <v>0</v>
      </c>
      <c r="M5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">
        <v>25.41</v>
      </c>
      <c r="O596" s="23" t="s">
        <v>827</v>
      </c>
      <c r="P596">
        <v>2.5410000000000004</v>
      </c>
      <c r="Q596" s="23" t="s">
        <v>222</v>
      </c>
    </row>
    <row r="597" spans="1:17" x14ac:dyDescent="0.25">
      <c r="A597" s="23" t="s">
        <v>1097</v>
      </c>
      <c r="B597" s="23" t="s">
        <v>1095</v>
      </c>
      <c r="C597" s="23" t="s">
        <v>176</v>
      </c>
      <c r="D597" s="23" t="s">
        <v>757</v>
      </c>
      <c r="E597" s="23" t="s">
        <v>758</v>
      </c>
      <c r="F597">
        <v>1</v>
      </c>
      <c r="G597" s="23" t="s">
        <v>177</v>
      </c>
      <c r="H597">
        <v>0</v>
      </c>
      <c r="I597">
        <v>4</v>
      </c>
      <c r="J597" s="10">
        <v>2</v>
      </c>
      <c r="K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97">
        <v>2</v>
      </c>
      <c r="M5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">
        <v>1667.14</v>
      </c>
      <c r="O597" s="23" t="s">
        <v>633</v>
      </c>
      <c r="P597">
        <v>1667.14</v>
      </c>
      <c r="Q597" s="23" t="s">
        <v>178</v>
      </c>
    </row>
    <row r="598" spans="1:17" x14ac:dyDescent="0.25">
      <c r="A598" s="23" t="s">
        <v>1097</v>
      </c>
      <c r="B598" s="23" t="s">
        <v>1095</v>
      </c>
      <c r="C598" s="23" t="s">
        <v>176</v>
      </c>
      <c r="D598" s="23" t="s">
        <v>360</v>
      </c>
      <c r="E598" s="23" t="s">
        <v>361</v>
      </c>
      <c r="F598">
        <v>14</v>
      </c>
      <c r="G598" s="23" t="s">
        <v>177</v>
      </c>
      <c r="H598">
        <v>0</v>
      </c>
      <c r="I598">
        <v>14472</v>
      </c>
      <c r="J598" s="10">
        <v>3376</v>
      </c>
      <c r="K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98">
        <v>0</v>
      </c>
      <c r="M5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">
        <v>0.04</v>
      </c>
      <c r="O598" s="23"/>
      <c r="P598">
        <v>0.56000000000000005</v>
      </c>
      <c r="Q598" s="23" t="s">
        <v>181</v>
      </c>
    </row>
    <row r="599" spans="1:17" x14ac:dyDescent="0.25">
      <c r="A599" s="23" t="s">
        <v>1098</v>
      </c>
      <c r="B599" s="23" t="s">
        <v>1053</v>
      </c>
      <c r="C599" s="23" t="s">
        <v>176</v>
      </c>
      <c r="D599" s="23" t="s">
        <v>62</v>
      </c>
      <c r="E599" s="23" t="s">
        <v>63</v>
      </c>
      <c r="F599">
        <v>6</v>
      </c>
      <c r="G599" s="23" t="s">
        <v>180</v>
      </c>
      <c r="H599">
        <v>0</v>
      </c>
      <c r="I599">
        <v>260</v>
      </c>
      <c r="J599" s="10">
        <v>0</v>
      </c>
      <c r="K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599">
        <v>0</v>
      </c>
      <c r="M5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9">
        <v>8.4</v>
      </c>
      <c r="O599" s="23" t="s">
        <v>827</v>
      </c>
      <c r="P599">
        <v>50.400000000000006</v>
      </c>
      <c r="Q599" s="23" t="s">
        <v>181</v>
      </c>
    </row>
    <row r="600" spans="1:17" x14ac:dyDescent="0.25">
      <c r="A600" s="23" t="s">
        <v>1097</v>
      </c>
      <c r="B600" s="23" t="s">
        <v>1095</v>
      </c>
      <c r="C600" s="23" t="s">
        <v>176</v>
      </c>
      <c r="D600" s="23" t="s">
        <v>457</v>
      </c>
      <c r="E600" s="23" t="s">
        <v>458</v>
      </c>
      <c r="F600">
        <v>70</v>
      </c>
      <c r="G600" s="23" t="s">
        <v>177</v>
      </c>
      <c r="H600">
        <v>0</v>
      </c>
      <c r="I600">
        <v>4000</v>
      </c>
      <c r="J600" s="10">
        <v>138</v>
      </c>
      <c r="K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00">
        <v>0</v>
      </c>
      <c r="M6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0">
        <v>0.93</v>
      </c>
      <c r="O600" s="23" t="s">
        <v>883</v>
      </c>
      <c r="P600">
        <v>65.100000000000009</v>
      </c>
      <c r="Q600" s="23" t="s">
        <v>181</v>
      </c>
    </row>
    <row r="601" spans="1:17" x14ac:dyDescent="0.25">
      <c r="A601" s="23" t="s">
        <v>1197</v>
      </c>
      <c r="B601" s="23" t="s">
        <v>1198</v>
      </c>
      <c r="C601" s="23" t="s">
        <v>176</v>
      </c>
      <c r="D601" s="23" t="s">
        <v>457</v>
      </c>
      <c r="E601" s="23" t="s">
        <v>458</v>
      </c>
      <c r="F601">
        <v>78</v>
      </c>
      <c r="G601" s="23" t="s">
        <v>177</v>
      </c>
      <c r="H601">
        <v>0</v>
      </c>
      <c r="I601">
        <v>4000</v>
      </c>
      <c r="J601" s="10">
        <v>138</v>
      </c>
      <c r="K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01">
        <v>0</v>
      </c>
      <c r="M6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1">
        <v>0.93</v>
      </c>
      <c r="O601" s="23" t="s">
        <v>883</v>
      </c>
      <c r="P601">
        <v>72.540000000000006</v>
      </c>
      <c r="Q601" s="23" t="s">
        <v>181</v>
      </c>
    </row>
    <row r="602" spans="1:17" x14ac:dyDescent="0.25">
      <c r="A602" s="23" t="s">
        <v>1098</v>
      </c>
      <c r="B602" s="23" t="s">
        <v>1053</v>
      </c>
      <c r="C602" s="23" t="s">
        <v>176</v>
      </c>
      <c r="D602" s="23" t="s">
        <v>457</v>
      </c>
      <c r="E602" s="23" t="s">
        <v>458</v>
      </c>
      <c r="F602">
        <v>44</v>
      </c>
      <c r="G602" s="23" t="s">
        <v>177</v>
      </c>
      <c r="H602">
        <v>0</v>
      </c>
      <c r="I602">
        <v>4000</v>
      </c>
      <c r="J602" s="10">
        <v>138</v>
      </c>
      <c r="K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02">
        <v>0</v>
      </c>
      <c r="M6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2">
        <v>0.93</v>
      </c>
      <c r="O602" s="23" t="s">
        <v>883</v>
      </c>
      <c r="P602">
        <v>40.92</v>
      </c>
      <c r="Q602" s="23" t="s">
        <v>181</v>
      </c>
    </row>
    <row r="603" spans="1:17" x14ac:dyDescent="0.25">
      <c r="A603" s="23" t="s">
        <v>1097</v>
      </c>
      <c r="B603" s="23" t="s">
        <v>1095</v>
      </c>
      <c r="C603" s="23" t="s">
        <v>176</v>
      </c>
      <c r="D603" s="23" t="s">
        <v>66</v>
      </c>
      <c r="E603" s="23" t="s">
        <v>67</v>
      </c>
      <c r="F603">
        <v>11</v>
      </c>
      <c r="G603" s="23" t="s">
        <v>177</v>
      </c>
      <c r="H603">
        <v>0</v>
      </c>
      <c r="I603">
        <v>85</v>
      </c>
      <c r="J603" s="10">
        <v>43</v>
      </c>
      <c r="K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603">
        <v>40</v>
      </c>
      <c r="M6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3">
        <v>60</v>
      </c>
      <c r="O603" s="23" t="s">
        <v>822</v>
      </c>
      <c r="P603">
        <v>660</v>
      </c>
      <c r="Q603" s="23" t="s">
        <v>181</v>
      </c>
    </row>
    <row r="604" spans="1:17" x14ac:dyDescent="0.25">
      <c r="A604" s="23" t="s">
        <v>1146</v>
      </c>
      <c r="B604" s="23" t="s">
        <v>1145</v>
      </c>
      <c r="C604" s="23" t="s">
        <v>176</v>
      </c>
      <c r="D604" s="23" t="s">
        <v>457</v>
      </c>
      <c r="E604" s="23" t="s">
        <v>458</v>
      </c>
      <c r="F604">
        <v>78</v>
      </c>
      <c r="G604" s="23" t="s">
        <v>177</v>
      </c>
      <c r="H604">
        <v>0</v>
      </c>
      <c r="I604">
        <v>4000</v>
      </c>
      <c r="J604" s="10">
        <v>138</v>
      </c>
      <c r="K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04">
        <v>0</v>
      </c>
      <c r="M6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4">
        <v>0.93</v>
      </c>
      <c r="O604" s="23" t="s">
        <v>883</v>
      </c>
      <c r="P604">
        <v>72.540000000000006</v>
      </c>
      <c r="Q604" s="23" t="s">
        <v>181</v>
      </c>
    </row>
    <row r="605" spans="1:17" x14ac:dyDescent="0.25">
      <c r="A605" s="23" t="s">
        <v>1055</v>
      </c>
      <c r="B605" s="23" t="s">
        <v>1056</v>
      </c>
      <c r="C605" s="23" t="s">
        <v>176</v>
      </c>
      <c r="D605" s="23" t="s">
        <v>457</v>
      </c>
      <c r="E605" s="23" t="s">
        <v>458</v>
      </c>
      <c r="F605">
        <v>58</v>
      </c>
      <c r="G605" s="23" t="s">
        <v>177</v>
      </c>
      <c r="H605">
        <v>0</v>
      </c>
      <c r="I605">
        <v>4000</v>
      </c>
      <c r="J605" s="10">
        <v>138</v>
      </c>
      <c r="K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05">
        <v>0</v>
      </c>
      <c r="M6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5">
        <v>0.93</v>
      </c>
      <c r="O605" s="23" t="s">
        <v>883</v>
      </c>
      <c r="P605">
        <v>53.940000000000005</v>
      </c>
      <c r="Q605" s="23" t="s">
        <v>181</v>
      </c>
    </row>
    <row r="606" spans="1:17" x14ac:dyDescent="0.25">
      <c r="A606" s="23" t="s">
        <v>1099</v>
      </c>
      <c r="B606" s="23" t="s">
        <v>1056</v>
      </c>
      <c r="C606" s="23" t="s">
        <v>176</v>
      </c>
      <c r="D606" s="23" t="s">
        <v>457</v>
      </c>
      <c r="E606" s="23" t="s">
        <v>458</v>
      </c>
      <c r="F606">
        <v>58</v>
      </c>
      <c r="G606" s="23" t="s">
        <v>177</v>
      </c>
      <c r="H606">
        <v>0</v>
      </c>
      <c r="I606">
        <v>4000</v>
      </c>
      <c r="J606" s="10">
        <v>138</v>
      </c>
      <c r="K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06">
        <v>0</v>
      </c>
      <c r="M6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6">
        <v>0.93</v>
      </c>
      <c r="O606" s="23" t="s">
        <v>883</v>
      </c>
      <c r="P606">
        <v>53.940000000000005</v>
      </c>
      <c r="Q606" s="23" t="s">
        <v>181</v>
      </c>
    </row>
    <row r="607" spans="1:17" x14ac:dyDescent="0.25">
      <c r="A607" s="23" t="s">
        <v>1100</v>
      </c>
      <c r="B607" s="23" t="s">
        <v>1101</v>
      </c>
      <c r="C607" s="23" t="s">
        <v>176</v>
      </c>
      <c r="D607" s="23" t="s">
        <v>66</v>
      </c>
      <c r="E607" s="23" t="s">
        <v>67</v>
      </c>
      <c r="F607">
        <v>7</v>
      </c>
      <c r="G607" s="23" t="s">
        <v>177</v>
      </c>
      <c r="H607">
        <v>0</v>
      </c>
      <c r="I607">
        <v>85</v>
      </c>
      <c r="J607" s="10">
        <v>43</v>
      </c>
      <c r="K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607">
        <v>40</v>
      </c>
      <c r="M6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7">
        <v>60</v>
      </c>
      <c r="O607" s="23" t="s">
        <v>822</v>
      </c>
      <c r="P607">
        <v>420</v>
      </c>
      <c r="Q607" s="23" t="s">
        <v>181</v>
      </c>
    </row>
    <row r="608" spans="1:17" x14ac:dyDescent="0.25">
      <c r="A608" s="23" t="s">
        <v>1100</v>
      </c>
      <c r="B608" s="23" t="s">
        <v>1101</v>
      </c>
      <c r="C608" s="23" t="s">
        <v>176</v>
      </c>
      <c r="D608" s="23" t="s">
        <v>111</v>
      </c>
      <c r="E608" s="23" t="s">
        <v>112</v>
      </c>
      <c r="F608">
        <v>1</v>
      </c>
      <c r="G608" s="23" t="s">
        <v>177</v>
      </c>
      <c r="H608">
        <v>0</v>
      </c>
      <c r="I608">
        <v>2</v>
      </c>
      <c r="J608" s="10">
        <v>8</v>
      </c>
      <c r="K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608">
        <v>11</v>
      </c>
      <c r="M6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08">
        <v>675</v>
      </c>
      <c r="O608" s="23" t="s">
        <v>633</v>
      </c>
      <c r="P608">
        <v>675</v>
      </c>
      <c r="Q608" s="23" t="s">
        <v>178</v>
      </c>
    </row>
    <row r="609" spans="1:17" x14ac:dyDescent="0.25">
      <c r="A609" s="23" t="s">
        <v>1055</v>
      </c>
      <c r="B609" s="23" t="s">
        <v>1056</v>
      </c>
      <c r="C609" s="23" t="s">
        <v>176</v>
      </c>
      <c r="D609" s="23" t="s">
        <v>113</v>
      </c>
      <c r="E609" s="23" t="s">
        <v>114</v>
      </c>
      <c r="F609">
        <v>1</v>
      </c>
      <c r="G609" s="23" t="s">
        <v>177</v>
      </c>
      <c r="H609">
        <v>1</v>
      </c>
      <c r="I609">
        <v>2</v>
      </c>
      <c r="J609" s="10">
        <v>4</v>
      </c>
      <c r="K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609">
        <v>0</v>
      </c>
      <c r="M6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609">
        <v>7450</v>
      </c>
      <c r="O609" s="23" t="s">
        <v>585</v>
      </c>
      <c r="P609">
        <v>7450</v>
      </c>
      <c r="Q609" s="23" t="s">
        <v>178</v>
      </c>
    </row>
    <row r="610" spans="1:17" x14ac:dyDescent="0.25">
      <c r="A610" s="23" t="s">
        <v>1099</v>
      </c>
      <c r="B610" s="23" t="s">
        <v>1056</v>
      </c>
      <c r="C610" s="23" t="s">
        <v>176</v>
      </c>
      <c r="D610" s="23" t="s">
        <v>113</v>
      </c>
      <c r="E610" s="23" t="s">
        <v>114</v>
      </c>
      <c r="F610">
        <v>1</v>
      </c>
      <c r="G610" s="23" t="s">
        <v>177</v>
      </c>
      <c r="H610">
        <v>1</v>
      </c>
      <c r="I610">
        <v>2</v>
      </c>
      <c r="J610" s="10">
        <v>4</v>
      </c>
      <c r="K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610">
        <v>0</v>
      </c>
      <c r="M6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610">
        <v>7450</v>
      </c>
      <c r="O610" s="23" t="s">
        <v>585</v>
      </c>
      <c r="P610">
        <v>7450</v>
      </c>
      <c r="Q610" s="23" t="s">
        <v>178</v>
      </c>
    </row>
    <row r="611" spans="1:17" x14ac:dyDescent="0.25">
      <c r="A611" s="23" t="s">
        <v>1062</v>
      </c>
      <c r="B611" s="23" t="s">
        <v>1053</v>
      </c>
      <c r="C611" s="23" t="s">
        <v>176</v>
      </c>
      <c r="D611" s="23" t="s">
        <v>415</v>
      </c>
      <c r="E611" s="23" t="s">
        <v>416</v>
      </c>
      <c r="F611">
        <v>0.1</v>
      </c>
      <c r="G611" s="23" t="s">
        <v>180</v>
      </c>
      <c r="H611">
        <v>0</v>
      </c>
      <c r="I611">
        <v>50</v>
      </c>
      <c r="J611" s="10">
        <v>6.3837823915946501E-15</v>
      </c>
      <c r="K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11">
        <v>0</v>
      </c>
      <c r="M6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1">
        <v>25.41</v>
      </c>
      <c r="O611" s="23" t="s">
        <v>827</v>
      </c>
      <c r="P611">
        <v>2.5410000000000004</v>
      </c>
      <c r="Q611" s="23" t="s">
        <v>222</v>
      </c>
    </row>
    <row r="612" spans="1:17" x14ac:dyDescent="0.25">
      <c r="A612" s="23" t="s">
        <v>1148</v>
      </c>
      <c r="B612" s="23" t="s">
        <v>1054</v>
      </c>
      <c r="C612" s="23" t="s">
        <v>176</v>
      </c>
      <c r="D612" s="23" t="s">
        <v>911</v>
      </c>
      <c r="E612" s="23" t="s">
        <v>912</v>
      </c>
      <c r="F612">
        <v>16</v>
      </c>
      <c r="G612" s="23" t="s">
        <v>177</v>
      </c>
      <c r="H612">
        <v>0</v>
      </c>
      <c r="I612">
        <v>1000</v>
      </c>
      <c r="J612" s="10">
        <v>0</v>
      </c>
      <c r="K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-936</v>
      </c>
      <c r="L612">
        <v>0</v>
      </c>
      <c r="M6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2">
        <v>0.15</v>
      </c>
      <c r="O612" s="23" t="s">
        <v>242</v>
      </c>
      <c r="P612">
        <v>2.4</v>
      </c>
      <c r="Q612" s="23" t="s">
        <v>181</v>
      </c>
    </row>
    <row r="613" spans="1:17" x14ac:dyDescent="0.25">
      <c r="A613" s="23" t="s">
        <v>1058</v>
      </c>
      <c r="B613" s="23" t="s">
        <v>1059</v>
      </c>
      <c r="C613" s="23" t="s">
        <v>176</v>
      </c>
      <c r="D613" s="23" t="s">
        <v>397</v>
      </c>
      <c r="E613" s="23" t="s">
        <v>398</v>
      </c>
      <c r="F613">
        <v>31</v>
      </c>
      <c r="G613" s="23" t="s">
        <v>177</v>
      </c>
      <c r="H613">
        <v>0</v>
      </c>
      <c r="I613">
        <v>2000</v>
      </c>
      <c r="J613" s="10">
        <v>7604</v>
      </c>
      <c r="K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613">
        <v>0</v>
      </c>
      <c r="M6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3">
        <v>0.3</v>
      </c>
      <c r="O613" s="23" t="s">
        <v>242</v>
      </c>
      <c r="P613">
        <v>9.2999999999999989</v>
      </c>
      <c r="Q613" s="23" t="s">
        <v>181</v>
      </c>
    </row>
    <row r="614" spans="1:17" x14ac:dyDescent="0.25">
      <c r="A614" s="23" t="s">
        <v>1150</v>
      </c>
      <c r="B614" s="23" t="s">
        <v>1145</v>
      </c>
      <c r="C614" s="23" t="s">
        <v>176</v>
      </c>
      <c r="D614" s="23" t="s">
        <v>397</v>
      </c>
      <c r="E614" s="23" t="s">
        <v>398</v>
      </c>
      <c r="F614">
        <v>31</v>
      </c>
      <c r="G614" s="23" t="s">
        <v>177</v>
      </c>
      <c r="H614">
        <v>0</v>
      </c>
      <c r="I614">
        <v>2000</v>
      </c>
      <c r="J614" s="10">
        <v>7604</v>
      </c>
      <c r="K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614">
        <v>0</v>
      </c>
      <c r="M6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4">
        <v>0.3</v>
      </c>
      <c r="O614" s="23" t="s">
        <v>242</v>
      </c>
      <c r="P614">
        <v>9.2999999999999989</v>
      </c>
      <c r="Q614" s="23" t="s">
        <v>181</v>
      </c>
    </row>
    <row r="615" spans="1:17" x14ac:dyDescent="0.25">
      <c r="A615" s="23" t="s">
        <v>1100</v>
      </c>
      <c r="B615" s="23" t="s">
        <v>1101</v>
      </c>
      <c r="C615" s="23" t="s">
        <v>176</v>
      </c>
      <c r="D615" s="23" t="s">
        <v>892</v>
      </c>
      <c r="E615" s="23" t="s">
        <v>893</v>
      </c>
      <c r="F615">
        <v>4.5</v>
      </c>
      <c r="G615" s="23" t="s">
        <v>180</v>
      </c>
      <c r="H615">
        <v>0</v>
      </c>
      <c r="I615">
        <v>50</v>
      </c>
      <c r="J615" s="10">
        <v>0</v>
      </c>
      <c r="K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</v>
      </c>
      <c r="L615">
        <v>0</v>
      </c>
      <c r="M6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15">
        <v>150</v>
      </c>
      <c r="O615" s="23" t="s">
        <v>216</v>
      </c>
      <c r="P615">
        <v>675</v>
      </c>
      <c r="Q615" s="23" t="s">
        <v>181</v>
      </c>
    </row>
    <row r="616" spans="1:17" x14ac:dyDescent="0.25">
      <c r="A616" s="23" t="s">
        <v>1148</v>
      </c>
      <c r="B616" s="23" t="s">
        <v>1054</v>
      </c>
      <c r="C616" s="23" t="s">
        <v>176</v>
      </c>
      <c r="D616" s="23" t="s">
        <v>127</v>
      </c>
      <c r="E616" s="23" t="s">
        <v>128</v>
      </c>
      <c r="F616">
        <v>50</v>
      </c>
      <c r="G616" s="23" t="s">
        <v>180</v>
      </c>
      <c r="H616">
        <v>0</v>
      </c>
      <c r="I616">
        <v>0</v>
      </c>
      <c r="J616" s="10">
        <v>1804.0000000000018</v>
      </c>
      <c r="K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616">
        <v>0</v>
      </c>
      <c r="M6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616">
        <v>9.68</v>
      </c>
      <c r="O616" s="23" t="s">
        <v>1152</v>
      </c>
      <c r="P616">
        <v>484</v>
      </c>
      <c r="Q616" s="23" t="s">
        <v>182</v>
      </c>
    </row>
    <row r="617" spans="1:17" x14ac:dyDescent="0.25">
      <c r="A617" s="23" t="s">
        <v>1058</v>
      </c>
      <c r="B617" s="23" t="s">
        <v>1059</v>
      </c>
      <c r="C617" s="23" t="s">
        <v>176</v>
      </c>
      <c r="D617" s="23" t="s">
        <v>129</v>
      </c>
      <c r="E617" s="23" t="s">
        <v>130</v>
      </c>
      <c r="F617">
        <v>7</v>
      </c>
      <c r="G617" s="23" t="s">
        <v>186</v>
      </c>
      <c r="H617">
        <v>7</v>
      </c>
      <c r="I617">
        <v>0</v>
      </c>
      <c r="J617" s="10">
        <v>260.61</v>
      </c>
      <c r="K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17">
        <v>0</v>
      </c>
      <c r="M6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17">
        <v>136.18</v>
      </c>
      <c r="O617" s="23" t="s">
        <v>254</v>
      </c>
      <c r="P617">
        <v>953.26</v>
      </c>
      <c r="Q617" s="23" t="s">
        <v>184</v>
      </c>
    </row>
    <row r="618" spans="1:17" x14ac:dyDescent="0.25">
      <c r="A618" s="23" t="s">
        <v>1147</v>
      </c>
      <c r="B618" s="23" t="s">
        <v>1145</v>
      </c>
      <c r="C618" s="23" t="s">
        <v>176</v>
      </c>
      <c r="D618" s="23" t="s">
        <v>129</v>
      </c>
      <c r="E618" s="23" t="s">
        <v>130</v>
      </c>
      <c r="F618">
        <v>7</v>
      </c>
      <c r="G618" s="23" t="s">
        <v>186</v>
      </c>
      <c r="H618">
        <v>0</v>
      </c>
      <c r="I618">
        <v>0</v>
      </c>
      <c r="J618" s="10">
        <v>260.61</v>
      </c>
      <c r="K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18">
        <v>0</v>
      </c>
      <c r="M6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18">
        <v>136.18</v>
      </c>
      <c r="O618" s="23" t="s">
        <v>254</v>
      </c>
      <c r="P618">
        <v>953.26</v>
      </c>
      <c r="Q618" s="23" t="s">
        <v>184</v>
      </c>
    </row>
    <row r="619" spans="1:17" x14ac:dyDescent="0.25">
      <c r="A619" s="23" t="s">
        <v>1148</v>
      </c>
      <c r="B619" s="23" t="s">
        <v>1054</v>
      </c>
      <c r="C619" s="23" t="s">
        <v>176</v>
      </c>
      <c r="D619" s="23" t="s">
        <v>129</v>
      </c>
      <c r="E619" s="23" t="s">
        <v>130</v>
      </c>
      <c r="F619">
        <v>8.89</v>
      </c>
      <c r="G619" s="23" t="s">
        <v>186</v>
      </c>
      <c r="H619">
        <v>0</v>
      </c>
      <c r="I619">
        <v>0</v>
      </c>
      <c r="J619" s="10">
        <v>260.61</v>
      </c>
      <c r="K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19">
        <v>0</v>
      </c>
      <c r="M6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19">
        <v>136.18</v>
      </c>
      <c r="O619" s="23" t="s">
        <v>254</v>
      </c>
      <c r="P619">
        <v>1210.6402</v>
      </c>
      <c r="Q619" s="23" t="s">
        <v>184</v>
      </c>
    </row>
    <row r="620" spans="1:17" x14ac:dyDescent="0.25">
      <c r="A620" s="23" t="s">
        <v>1099</v>
      </c>
      <c r="B620" s="23" t="s">
        <v>1056</v>
      </c>
      <c r="C620" s="23" t="s">
        <v>176</v>
      </c>
      <c r="D620" s="23" t="s">
        <v>129</v>
      </c>
      <c r="E620" s="23" t="s">
        <v>130</v>
      </c>
      <c r="F620">
        <v>6</v>
      </c>
      <c r="G620" s="23" t="s">
        <v>186</v>
      </c>
      <c r="H620">
        <v>6</v>
      </c>
      <c r="I620">
        <v>0</v>
      </c>
      <c r="J620" s="10">
        <v>260.61</v>
      </c>
      <c r="K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20">
        <v>0</v>
      </c>
      <c r="M6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20">
        <v>136.18</v>
      </c>
      <c r="O620" s="23" t="s">
        <v>254</v>
      </c>
      <c r="P620">
        <v>817.08</v>
      </c>
      <c r="Q620" s="23" t="s">
        <v>184</v>
      </c>
    </row>
    <row r="621" spans="1:17" x14ac:dyDescent="0.25">
      <c r="A621" s="23" t="s">
        <v>1147</v>
      </c>
      <c r="B621" s="23" t="s">
        <v>1145</v>
      </c>
      <c r="C621" s="23" t="s">
        <v>176</v>
      </c>
      <c r="D621" s="23" t="s">
        <v>834</v>
      </c>
      <c r="E621" s="23" t="s">
        <v>835</v>
      </c>
      <c r="F621">
        <v>0.5</v>
      </c>
      <c r="G621" s="23" t="s">
        <v>180</v>
      </c>
      <c r="H621">
        <v>0</v>
      </c>
      <c r="I621">
        <v>0</v>
      </c>
      <c r="J621" s="10">
        <v>36.5</v>
      </c>
      <c r="K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21">
        <v>0</v>
      </c>
      <c r="M6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21">
        <v>27.81</v>
      </c>
      <c r="O621" s="23" t="s">
        <v>836</v>
      </c>
      <c r="P621">
        <v>13.904999999999999</v>
      </c>
      <c r="Q621" s="23" t="s">
        <v>185</v>
      </c>
    </row>
    <row r="622" spans="1:17" x14ac:dyDescent="0.25">
      <c r="A622" s="23" t="s">
        <v>1148</v>
      </c>
      <c r="B622" s="23" t="s">
        <v>1054</v>
      </c>
      <c r="C622" s="23" t="s">
        <v>176</v>
      </c>
      <c r="D622" s="23" t="s">
        <v>834</v>
      </c>
      <c r="E622" s="23" t="s">
        <v>835</v>
      </c>
      <c r="F622">
        <v>0.5</v>
      </c>
      <c r="G622" s="23" t="s">
        <v>180</v>
      </c>
      <c r="H622">
        <v>0</v>
      </c>
      <c r="I622">
        <v>0</v>
      </c>
      <c r="J622" s="10">
        <v>36.5</v>
      </c>
      <c r="K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22">
        <v>0</v>
      </c>
      <c r="M6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22">
        <v>27.81</v>
      </c>
      <c r="O622" s="23" t="s">
        <v>836</v>
      </c>
      <c r="P622">
        <v>13.904999999999999</v>
      </c>
      <c r="Q622" s="23" t="s">
        <v>185</v>
      </c>
    </row>
    <row r="623" spans="1:17" x14ac:dyDescent="0.25">
      <c r="A623" s="23" t="s">
        <v>1149</v>
      </c>
      <c r="B623" s="23" t="s">
        <v>1145</v>
      </c>
      <c r="C623" s="23" t="s">
        <v>176</v>
      </c>
      <c r="D623" s="23" t="s">
        <v>820</v>
      </c>
      <c r="E623" s="23" t="s">
        <v>821</v>
      </c>
      <c r="F623">
        <v>5</v>
      </c>
      <c r="G623" s="23" t="s">
        <v>177</v>
      </c>
      <c r="H623">
        <v>0</v>
      </c>
      <c r="I623">
        <v>15</v>
      </c>
      <c r="J623" s="10">
        <v>10</v>
      </c>
      <c r="K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623">
        <v>0</v>
      </c>
      <c r="M6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623">
        <v>177.29</v>
      </c>
      <c r="O623" s="23" t="s">
        <v>277</v>
      </c>
      <c r="P623">
        <v>886.44999999999993</v>
      </c>
      <c r="Q623" s="23" t="s">
        <v>181</v>
      </c>
    </row>
    <row r="624" spans="1:17" x14ac:dyDescent="0.25">
      <c r="A624" s="23" t="s">
        <v>1100</v>
      </c>
      <c r="B624" s="23" t="s">
        <v>1101</v>
      </c>
      <c r="C624" s="23" t="s">
        <v>176</v>
      </c>
      <c r="D624" s="23" t="s">
        <v>358</v>
      </c>
      <c r="E624" s="23" t="s">
        <v>359</v>
      </c>
      <c r="F624">
        <v>6</v>
      </c>
      <c r="G624" s="23" t="s">
        <v>177</v>
      </c>
      <c r="H624">
        <v>0</v>
      </c>
      <c r="I624">
        <v>500</v>
      </c>
      <c r="J624" s="10">
        <v>490</v>
      </c>
      <c r="K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24">
        <v>0</v>
      </c>
      <c r="M6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24">
        <v>1.6</v>
      </c>
      <c r="O624" s="23" t="s">
        <v>242</v>
      </c>
      <c r="P624">
        <v>9.6000000000000014</v>
      </c>
      <c r="Q624" s="23" t="s">
        <v>181</v>
      </c>
    </row>
    <row r="625" spans="1:17" x14ac:dyDescent="0.25">
      <c r="A625" s="23" t="s">
        <v>1098</v>
      </c>
      <c r="B625" s="23" t="s">
        <v>1053</v>
      </c>
      <c r="C625" s="23" t="s">
        <v>176</v>
      </c>
      <c r="D625" s="23" t="s">
        <v>127</v>
      </c>
      <c r="E625" s="23" t="s">
        <v>128</v>
      </c>
      <c r="F625">
        <v>50</v>
      </c>
      <c r="G625" s="23" t="s">
        <v>180</v>
      </c>
      <c r="H625">
        <v>0</v>
      </c>
      <c r="I625">
        <v>0</v>
      </c>
      <c r="J625" s="10">
        <v>1804.0000000000018</v>
      </c>
      <c r="K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625">
        <v>0</v>
      </c>
      <c r="M6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625">
        <v>9.68</v>
      </c>
      <c r="O625" s="23" t="s">
        <v>1152</v>
      </c>
      <c r="P625">
        <v>484</v>
      </c>
      <c r="Q625" s="23" t="s">
        <v>182</v>
      </c>
    </row>
    <row r="626" spans="1:17" x14ac:dyDescent="0.25">
      <c r="A626" s="23" t="s">
        <v>1197</v>
      </c>
      <c r="B626" s="23" t="s">
        <v>1198</v>
      </c>
      <c r="C626" s="23" t="s">
        <v>176</v>
      </c>
      <c r="D626" s="23" t="s">
        <v>127</v>
      </c>
      <c r="E626" s="23" t="s">
        <v>128</v>
      </c>
      <c r="F626">
        <v>50</v>
      </c>
      <c r="G626" s="23" t="s">
        <v>180</v>
      </c>
      <c r="H626">
        <v>0</v>
      </c>
      <c r="I626">
        <v>0</v>
      </c>
      <c r="J626" s="10">
        <v>1804.0000000000018</v>
      </c>
      <c r="K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626">
        <v>0</v>
      </c>
      <c r="M6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626">
        <v>9.68</v>
      </c>
      <c r="O626" s="23" t="s">
        <v>1152</v>
      </c>
      <c r="P626">
        <v>484</v>
      </c>
      <c r="Q626" s="23" t="s">
        <v>182</v>
      </c>
    </row>
    <row r="627" spans="1:17" x14ac:dyDescent="0.25">
      <c r="A627" s="23" t="s">
        <v>1197</v>
      </c>
      <c r="B627" s="23" t="s">
        <v>1198</v>
      </c>
      <c r="C627" s="23" t="s">
        <v>176</v>
      </c>
      <c r="D627" s="23" t="s">
        <v>129</v>
      </c>
      <c r="E627" s="23" t="s">
        <v>130</v>
      </c>
      <c r="F627">
        <v>7</v>
      </c>
      <c r="G627" s="23" t="s">
        <v>186</v>
      </c>
      <c r="H627">
        <v>0</v>
      </c>
      <c r="I627">
        <v>0</v>
      </c>
      <c r="J627" s="10">
        <v>260.61</v>
      </c>
      <c r="K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27">
        <v>0</v>
      </c>
      <c r="M6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27">
        <v>136.18</v>
      </c>
      <c r="O627" s="23" t="s">
        <v>254</v>
      </c>
      <c r="P627">
        <v>953.26</v>
      </c>
      <c r="Q627" s="23" t="s">
        <v>184</v>
      </c>
    </row>
    <row r="628" spans="1:17" x14ac:dyDescent="0.25">
      <c r="A628" s="23" t="s">
        <v>1098</v>
      </c>
      <c r="B628" s="23" t="s">
        <v>1053</v>
      </c>
      <c r="C628" s="23" t="s">
        <v>176</v>
      </c>
      <c r="D628" s="23" t="s">
        <v>129</v>
      </c>
      <c r="E628" s="23" t="s">
        <v>130</v>
      </c>
      <c r="F628">
        <v>9.6300000000000008</v>
      </c>
      <c r="G628" s="23" t="s">
        <v>186</v>
      </c>
      <c r="H628">
        <v>0</v>
      </c>
      <c r="I628">
        <v>0</v>
      </c>
      <c r="J628" s="10">
        <v>260.61</v>
      </c>
      <c r="K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28">
        <v>0</v>
      </c>
      <c r="M6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28">
        <v>136.18</v>
      </c>
      <c r="O628" s="23" t="s">
        <v>254</v>
      </c>
      <c r="P628">
        <v>1311.4134000000001</v>
      </c>
      <c r="Q628" s="23" t="s">
        <v>184</v>
      </c>
    </row>
    <row r="629" spans="1:17" x14ac:dyDescent="0.25">
      <c r="A629" s="23" t="s">
        <v>1197</v>
      </c>
      <c r="B629" s="23" t="s">
        <v>1198</v>
      </c>
      <c r="C629" s="23" t="s">
        <v>176</v>
      </c>
      <c r="D629" s="23" t="s">
        <v>834</v>
      </c>
      <c r="E629" s="23" t="s">
        <v>835</v>
      </c>
      <c r="F629">
        <v>0.5</v>
      </c>
      <c r="G629" s="23" t="s">
        <v>180</v>
      </c>
      <c r="H629">
        <v>0</v>
      </c>
      <c r="I629">
        <v>0</v>
      </c>
      <c r="J629" s="10">
        <v>36.5</v>
      </c>
      <c r="K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29">
        <v>0</v>
      </c>
      <c r="M6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29">
        <v>27.81</v>
      </c>
      <c r="O629" s="23" t="s">
        <v>836</v>
      </c>
      <c r="P629">
        <v>13.904999999999999</v>
      </c>
      <c r="Q629" s="23" t="s">
        <v>185</v>
      </c>
    </row>
    <row r="630" spans="1:17" x14ac:dyDescent="0.25">
      <c r="A630" s="23" t="s">
        <v>1098</v>
      </c>
      <c r="B630" s="23" t="s">
        <v>1053</v>
      </c>
      <c r="C630" s="23" t="s">
        <v>176</v>
      </c>
      <c r="D630" s="23" t="s">
        <v>834</v>
      </c>
      <c r="E630" s="23" t="s">
        <v>835</v>
      </c>
      <c r="F630">
        <v>0.5</v>
      </c>
      <c r="G630" s="23" t="s">
        <v>180</v>
      </c>
      <c r="H630">
        <v>0</v>
      </c>
      <c r="I630">
        <v>0</v>
      </c>
      <c r="J630" s="10">
        <v>36.5</v>
      </c>
      <c r="K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30">
        <v>0</v>
      </c>
      <c r="M6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30">
        <v>27.81</v>
      </c>
      <c r="O630" s="23" t="s">
        <v>836</v>
      </c>
      <c r="P630">
        <v>13.904999999999999</v>
      </c>
      <c r="Q630" s="23" t="s">
        <v>185</v>
      </c>
    </row>
    <row r="631" spans="1:17" x14ac:dyDescent="0.25">
      <c r="A631" s="23" t="s">
        <v>1097</v>
      </c>
      <c r="B631" s="23" t="s">
        <v>1095</v>
      </c>
      <c r="C631" s="23" t="s">
        <v>176</v>
      </c>
      <c r="D631" s="23" t="s">
        <v>358</v>
      </c>
      <c r="E631" s="23" t="s">
        <v>359</v>
      </c>
      <c r="F631">
        <v>8</v>
      </c>
      <c r="G631" s="23" t="s">
        <v>177</v>
      </c>
      <c r="H631">
        <v>0</v>
      </c>
      <c r="I631">
        <v>500</v>
      </c>
      <c r="J631" s="10">
        <v>490</v>
      </c>
      <c r="K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31">
        <v>0</v>
      </c>
      <c r="M6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31">
        <v>1.6</v>
      </c>
      <c r="O631" s="23" t="s">
        <v>242</v>
      </c>
      <c r="P631">
        <v>12.8</v>
      </c>
      <c r="Q631" s="23" t="s">
        <v>181</v>
      </c>
    </row>
    <row r="632" spans="1:17" x14ac:dyDescent="0.25">
      <c r="A632" s="23" t="s">
        <v>1142</v>
      </c>
      <c r="B632" s="23" t="s">
        <v>1054</v>
      </c>
      <c r="C632" s="23" t="s">
        <v>176</v>
      </c>
      <c r="D632" s="23" t="s">
        <v>820</v>
      </c>
      <c r="E632" s="23" t="s">
        <v>821</v>
      </c>
      <c r="F632">
        <v>5</v>
      </c>
      <c r="G632" s="23" t="s">
        <v>177</v>
      </c>
      <c r="H632">
        <v>0</v>
      </c>
      <c r="I632">
        <v>15</v>
      </c>
      <c r="J632" s="10">
        <v>10</v>
      </c>
      <c r="K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632">
        <v>0</v>
      </c>
      <c r="M6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632">
        <v>177.29</v>
      </c>
      <c r="O632" s="23" t="s">
        <v>277</v>
      </c>
      <c r="P632">
        <v>886.44999999999993</v>
      </c>
      <c r="Q632" s="23" t="s">
        <v>181</v>
      </c>
    </row>
    <row r="633" spans="1:17" x14ac:dyDescent="0.25">
      <c r="A633" s="23" t="s">
        <v>1142</v>
      </c>
      <c r="B633" s="23" t="s">
        <v>1054</v>
      </c>
      <c r="C633" s="23" t="s">
        <v>176</v>
      </c>
      <c r="D633" s="23" t="s">
        <v>129</v>
      </c>
      <c r="E633" s="23" t="s">
        <v>130</v>
      </c>
      <c r="F633">
        <v>7</v>
      </c>
      <c r="G633" s="23" t="s">
        <v>186</v>
      </c>
      <c r="H633">
        <v>0</v>
      </c>
      <c r="I633">
        <v>0</v>
      </c>
      <c r="J633" s="10">
        <v>260.61</v>
      </c>
      <c r="K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33">
        <v>0</v>
      </c>
      <c r="M6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33">
        <v>136.18</v>
      </c>
      <c r="O633" s="23" t="s">
        <v>254</v>
      </c>
      <c r="P633">
        <v>953.26</v>
      </c>
      <c r="Q633" s="23" t="s">
        <v>184</v>
      </c>
    </row>
    <row r="634" spans="1:17" x14ac:dyDescent="0.25">
      <c r="A634" s="23" t="s">
        <v>1142</v>
      </c>
      <c r="B634" s="23" t="s">
        <v>1054</v>
      </c>
      <c r="C634" s="23" t="s">
        <v>176</v>
      </c>
      <c r="D634" s="23" t="s">
        <v>834</v>
      </c>
      <c r="E634" s="23" t="s">
        <v>835</v>
      </c>
      <c r="F634">
        <v>0.5</v>
      </c>
      <c r="G634" s="23" t="s">
        <v>180</v>
      </c>
      <c r="H634">
        <v>0</v>
      </c>
      <c r="I634">
        <v>0</v>
      </c>
      <c r="J634" s="10">
        <v>36.5</v>
      </c>
      <c r="K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34">
        <v>0</v>
      </c>
      <c r="M6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34">
        <v>27.81</v>
      </c>
      <c r="O634" s="23" t="s">
        <v>836</v>
      </c>
      <c r="P634">
        <v>13.904999999999999</v>
      </c>
      <c r="Q634" s="23" t="s">
        <v>185</v>
      </c>
    </row>
    <row r="635" spans="1:17" x14ac:dyDescent="0.25">
      <c r="A635" s="23" t="s">
        <v>1062</v>
      </c>
      <c r="B635" s="23" t="s">
        <v>1053</v>
      </c>
      <c r="C635" s="23" t="s">
        <v>176</v>
      </c>
      <c r="D635" s="23" t="s">
        <v>127</v>
      </c>
      <c r="E635" s="23" t="s">
        <v>128</v>
      </c>
      <c r="F635">
        <v>50</v>
      </c>
      <c r="G635" s="23" t="s">
        <v>180</v>
      </c>
      <c r="H635">
        <v>50</v>
      </c>
      <c r="I635">
        <v>0</v>
      </c>
      <c r="J635" s="10">
        <v>1804.0000000000018</v>
      </c>
      <c r="K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635">
        <v>0</v>
      </c>
      <c r="M6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635">
        <v>9.68</v>
      </c>
      <c r="O635" s="23" t="s">
        <v>1152</v>
      </c>
      <c r="P635">
        <v>484</v>
      </c>
      <c r="Q635" s="23" t="s">
        <v>182</v>
      </c>
    </row>
    <row r="636" spans="1:17" x14ac:dyDescent="0.25">
      <c r="A636" s="23" t="s">
        <v>1097</v>
      </c>
      <c r="B636" s="23" t="s">
        <v>1095</v>
      </c>
      <c r="C636" s="23" t="s">
        <v>176</v>
      </c>
      <c r="D636" s="23" t="s">
        <v>127</v>
      </c>
      <c r="E636" s="23" t="s">
        <v>128</v>
      </c>
      <c r="F636">
        <v>50</v>
      </c>
      <c r="G636" s="23" t="s">
        <v>180</v>
      </c>
      <c r="H636">
        <v>0</v>
      </c>
      <c r="I636">
        <v>0</v>
      </c>
      <c r="J636" s="10">
        <v>1804.0000000000018</v>
      </c>
      <c r="K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636">
        <v>0</v>
      </c>
      <c r="M6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636">
        <v>9.68</v>
      </c>
      <c r="O636" s="23" t="s">
        <v>1152</v>
      </c>
      <c r="P636">
        <v>484</v>
      </c>
      <c r="Q636" s="23" t="s">
        <v>182</v>
      </c>
    </row>
    <row r="637" spans="1:17" x14ac:dyDescent="0.25">
      <c r="A637" s="23" t="s">
        <v>1062</v>
      </c>
      <c r="B637" s="23" t="s">
        <v>1053</v>
      </c>
      <c r="C637" s="23" t="s">
        <v>176</v>
      </c>
      <c r="D637" s="23" t="s">
        <v>129</v>
      </c>
      <c r="E637" s="23" t="s">
        <v>130</v>
      </c>
      <c r="F637">
        <v>10.62</v>
      </c>
      <c r="G637" s="23" t="s">
        <v>186</v>
      </c>
      <c r="H637">
        <v>10.62</v>
      </c>
      <c r="I637">
        <v>0</v>
      </c>
      <c r="J637" s="10">
        <v>260.61</v>
      </c>
      <c r="K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37">
        <v>0</v>
      </c>
      <c r="M6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37">
        <v>136.18</v>
      </c>
      <c r="O637" s="23" t="s">
        <v>254</v>
      </c>
      <c r="P637">
        <v>1446.2316000000001</v>
      </c>
      <c r="Q637" s="23" t="s">
        <v>184</v>
      </c>
    </row>
    <row r="638" spans="1:17" x14ac:dyDescent="0.25">
      <c r="A638" s="23" t="s">
        <v>1097</v>
      </c>
      <c r="B638" s="23" t="s">
        <v>1095</v>
      </c>
      <c r="C638" s="23" t="s">
        <v>176</v>
      </c>
      <c r="D638" s="23" t="s">
        <v>129</v>
      </c>
      <c r="E638" s="23" t="s">
        <v>130</v>
      </c>
      <c r="F638">
        <v>8.89</v>
      </c>
      <c r="G638" s="23" t="s">
        <v>186</v>
      </c>
      <c r="H638">
        <v>0</v>
      </c>
      <c r="I638">
        <v>0</v>
      </c>
      <c r="J638" s="10">
        <v>260.61</v>
      </c>
      <c r="K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638">
        <v>0</v>
      </c>
      <c r="M6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638">
        <v>136.18</v>
      </c>
      <c r="O638" s="23" t="s">
        <v>254</v>
      </c>
      <c r="P638">
        <v>1210.6402</v>
      </c>
      <c r="Q638" s="23" t="s">
        <v>184</v>
      </c>
    </row>
    <row r="639" spans="1:17" x14ac:dyDescent="0.25">
      <c r="A639" s="23" t="s">
        <v>1062</v>
      </c>
      <c r="B639" s="23" t="s">
        <v>1053</v>
      </c>
      <c r="C639" s="23" t="s">
        <v>176</v>
      </c>
      <c r="D639" s="23" t="s">
        <v>834</v>
      </c>
      <c r="E639" s="23" t="s">
        <v>835</v>
      </c>
      <c r="F639">
        <v>0.5</v>
      </c>
      <c r="G639" s="23" t="s">
        <v>180</v>
      </c>
      <c r="H639">
        <v>0</v>
      </c>
      <c r="I639">
        <v>0</v>
      </c>
      <c r="J639" s="10">
        <v>36.5</v>
      </c>
      <c r="K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39">
        <v>0</v>
      </c>
      <c r="M6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39">
        <v>27.81</v>
      </c>
      <c r="O639" s="23" t="s">
        <v>836</v>
      </c>
      <c r="P639">
        <v>13.904999999999999</v>
      </c>
      <c r="Q639" s="23" t="s">
        <v>185</v>
      </c>
    </row>
    <row r="640" spans="1:17" x14ac:dyDescent="0.25">
      <c r="A640" s="23" t="s">
        <v>1057</v>
      </c>
      <c r="B640" s="23" t="s">
        <v>1056</v>
      </c>
      <c r="C640" s="23" t="s">
        <v>176</v>
      </c>
      <c r="D640" s="23" t="s">
        <v>415</v>
      </c>
      <c r="E640" s="23" t="s">
        <v>416</v>
      </c>
      <c r="F640">
        <v>0.1</v>
      </c>
      <c r="G640" s="23" t="s">
        <v>180</v>
      </c>
      <c r="H640">
        <v>0</v>
      </c>
      <c r="I640">
        <v>50</v>
      </c>
      <c r="J640" s="10">
        <v>6.3837823915946501E-15</v>
      </c>
      <c r="K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640">
        <v>0</v>
      </c>
      <c r="M6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0">
        <v>25.41</v>
      </c>
      <c r="O640" s="23" t="s">
        <v>827</v>
      </c>
      <c r="P640">
        <v>2.5410000000000004</v>
      </c>
      <c r="Q640" s="23" t="s">
        <v>222</v>
      </c>
    </row>
    <row r="641" spans="1:17" x14ac:dyDescent="0.25">
      <c r="A641" s="23" t="s">
        <v>1148</v>
      </c>
      <c r="B641" s="23" t="s">
        <v>1054</v>
      </c>
      <c r="C641" s="23" t="s">
        <v>176</v>
      </c>
      <c r="D641" s="23" t="s">
        <v>457</v>
      </c>
      <c r="E641" s="23" t="s">
        <v>458</v>
      </c>
      <c r="F641">
        <v>70</v>
      </c>
      <c r="G641" s="23" t="s">
        <v>177</v>
      </c>
      <c r="H641">
        <v>0</v>
      </c>
      <c r="I641">
        <v>4000</v>
      </c>
      <c r="J641" s="10">
        <v>138</v>
      </c>
      <c r="K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641">
        <v>0</v>
      </c>
      <c r="M6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1">
        <v>0.93</v>
      </c>
      <c r="O641" s="23" t="s">
        <v>883</v>
      </c>
      <c r="P641">
        <v>65.100000000000009</v>
      </c>
      <c r="Q641" s="23" t="s">
        <v>181</v>
      </c>
    </row>
    <row r="642" spans="1:17" x14ac:dyDescent="0.25">
      <c r="A642" s="23" t="s">
        <v>1147</v>
      </c>
      <c r="B642" s="23" t="s">
        <v>1145</v>
      </c>
      <c r="C642" s="23" t="s">
        <v>176</v>
      </c>
      <c r="D642" s="23" t="s">
        <v>66</v>
      </c>
      <c r="E642" s="23" t="s">
        <v>67</v>
      </c>
      <c r="F642">
        <v>3</v>
      </c>
      <c r="G642" s="23" t="s">
        <v>177</v>
      </c>
      <c r="H642">
        <v>0</v>
      </c>
      <c r="I642">
        <v>85</v>
      </c>
      <c r="J642" s="10">
        <v>43</v>
      </c>
      <c r="K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642">
        <v>40</v>
      </c>
      <c r="M6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2">
        <v>60</v>
      </c>
      <c r="O642" s="23" t="s">
        <v>822</v>
      </c>
      <c r="P642">
        <v>180</v>
      </c>
      <c r="Q642" s="23" t="s">
        <v>181</v>
      </c>
    </row>
    <row r="643" spans="1:17" x14ac:dyDescent="0.25">
      <c r="A643" s="23" t="s">
        <v>1055</v>
      </c>
      <c r="B643" s="23" t="s">
        <v>1056</v>
      </c>
      <c r="C643" s="23" t="s">
        <v>176</v>
      </c>
      <c r="D643" s="23" t="s">
        <v>368</v>
      </c>
      <c r="E643" s="23" t="s">
        <v>369</v>
      </c>
      <c r="F643">
        <v>47</v>
      </c>
      <c r="G643" s="23" t="s">
        <v>177</v>
      </c>
      <c r="H643">
        <v>0</v>
      </c>
      <c r="I643">
        <v>1200</v>
      </c>
      <c r="J643" s="10">
        <v>196</v>
      </c>
      <c r="K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643">
        <v>0</v>
      </c>
      <c r="M6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3">
        <v>12.5</v>
      </c>
      <c r="O643" s="23" t="s">
        <v>370</v>
      </c>
      <c r="P643">
        <v>587.5</v>
      </c>
      <c r="Q643" s="23" t="s">
        <v>181</v>
      </c>
    </row>
    <row r="644" spans="1:17" x14ac:dyDescent="0.25">
      <c r="A644" s="23" t="s">
        <v>1055</v>
      </c>
      <c r="B644" s="23" t="s">
        <v>1056</v>
      </c>
      <c r="C644" s="23" t="s">
        <v>176</v>
      </c>
      <c r="D644" s="23" t="s">
        <v>899</v>
      </c>
      <c r="E644" s="23" t="s">
        <v>900</v>
      </c>
      <c r="F644">
        <v>0.4</v>
      </c>
      <c r="G644" s="23" t="s">
        <v>177</v>
      </c>
      <c r="H644">
        <v>0</v>
      </c>
      <c r="I644">
        <v>0</v>
      </c>
      <c r="J644" s="10">
        <v>-1.7763568394002505E-15</v>
      </c>
      <c r="K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644">
        <v>10</v>
      </c>
      <c r="M6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4">
        <v>255.55</v>
      </c>
      <c r="O644" s="23" t="s">
        <v>901</v>
      </c>
      <c r="P644">
        <v>102.22000000000001</v>
      </c>
      <c r="Q644" s="23" t="s">
        <v>184</v>
      </c>
    </row>
    <row r="645" spans="1:17" x14ac:dyDescent="0.25">
      <c r="A645" s="23" t="s">
        <v>1058</v>
      </c>
      <c r="B645" s="23" t="s">
        <v>1059</v>
      </c>
      <c r="C645" s="23" t="s">
        <v>176</v>
      </c>
      <c r="D645" s="23" t="s">
        <v>545</v>
      </c>
      <c r="E645" s="23" t="s">
        <v>546</v>
      </c>
      <c r="F645">
        <v>4</v>
      </c>
      <c r="G645" s="23" t="s">
        <v>177</v>
      </c>
      <c r="H645">
        <v>0</v>
      </c>
      <c r="I645">
        <v>1000</v>
      </c>
      <c r="J645" s="10">
        <v>0</v>
      </c>
      <c r="K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45">
        <v>0</v>
      </c>
      <c r="M6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5">
        <v>0.64</v>
      </c>
      <c r="O645" s="23" t="s">
        <v>242</v>
      </c>
      <c r="P645">
        <v>2.56</v>
      </c>
      <c r="Q645" s="23" t="s">
        <v>181</v>
      </c>
    </row>
    <row r="646" spans="1:17" x14ac:dyDescent="0.25">
      <c r="A646" s="23" t="s">
        <v>1055</v>
      </c>
      <c r="B646" s="23" t="s">
        <v>1056</v>
      </c>
      <c r="C646" s="23" t="s">
        <v>176</v>
      </c>
      <c r="D646" s="23" t="s">
        <v>545</v>
      </c>
      <c r="E646" s="23" t="s">
        <v>546</v>
      </c>
      <c r="F646">
        <v>4</v>
      </c>
      <c r="G646" s="23" t="s">
        <v>177</v>
      </c>
      <c r="H646">
        <v>0</v>
      </c>
      <c r="I646">
        <v>1000</v>
      </c>
      <c r="J646" s="10">
        <v>0</v>
      </c>
      <c r="K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46">
        <v>0</v>
      </c>
      <c r="M6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6">
        <v>0.64</v>
      </c>
      <c r="O646" s="23" t="s">
        <v>242</v>
      </c>
      <c r="P646">
        <v>2.56</v>
      </c>
      <c r="Q646" s="23" t="s">
        <v>181</v>
      </c>
    </row>
    <row r="647" spans="1:17" x14ac:dyDescent="0.25">
      <c r="A647" s="23" t="s">
        <v>1099</v>
      </c>
      <c r="B647" s="23" t="s">
        <v>1056</v>
      </c>
      <c r="C647" s="23" t="s">
        <v>176</v>
      </c>
      <c r="D647" s="23" t="s">
        <v>545</v>
      </c>
      <c r="E647" s="23" t="s">
        <v>546</v>
      </c>
      <c r="F647">
        <v>4</v>
      </c>
      <c r="G647" s="23" t="s">
        <v>177</v>
      </c>
      <c r="H647">
        <v>0</v>
      </c>
      <c r="I647">
        <v>1000</v>
      </c>
      <c r="J647" s="10">
        <v>0</v>
      </c>
      <c r="K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-960</v>
      </c>
      <c r="L647">
        <v>0</v>
      </c>
      <c r="M6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7">
        <v>0.64</v>
      </c>
      <c r="O647" s="23" t="s">
        <v>242</v>
      </c>
      <c r="P647">
        <v>2.56</v>
      </c>
      <c r="Q647" s="23" t="s">
        <v>181</v>
      </c>
    </row>
    <row r="648" spans="1:17" x14ac:dyDescent="0.25">
      <c r="A648" s="23" t="s">
        <v>1058</v>
      </c>
      <c r="B648" s="23" t="s">
        <v>1059</v>
      </c>
      <c r="C648" s="23" t="s">
        <v>176</v>
      </c>
      <c r="D648" s="23" t="s">
        <v>417</v>
      </c>
      <c r="E648" s="23" t="s">
        <v>418</v>
      </c>
      <c r="F648">
        <v>30</v>
      </c>
      <c r="G648" s="23" t="s">
        <v>177</v>
      </c>
      <c r="H648">
        <v>0</v>
      </c>
      <c r="I648">
        <v>1000</v>
      </c>
      <c r="J648" s="10">
        <v>4807</v>
      </c>
      <c r="K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48">
        <v>0</v>
      </c>
      <c r="M6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8">
        <v>0.3</v>
      </c>
      <c r="O648" s="23" t="s">
        <v>629</v>
      </c>
      <c r="P648">
        <v>9</v>
      </c>
      <c r="Q648" s="23" t="s">
        <v>181</v>
      </c>
    </row>
    <row r="649" spans="1:17" x14ac:dyDescent="0.25">
      <c r="A649" s="23" t="s">
        <v>1148</v>
      </c>
      <c r="B649" s="23" t="s">
        <v>1054</v>
      </c>
      <c r="C649" s="23" t="s">
        <v>176</v>
      </c>
      <c r="D649" s="23" t="s">
        <v>417</v>
      </c>
      <c r="E649" s="23" t="s">
        <v>418</v>
      </c>
      <c r="F649">
        <v>21</v>
      </c>
      <c r="G649" s="23" t="s">
        <v>177</v>
      </c>
      <c r="H649">
        <v>0</v>
      </c>
      <c r="I649">
        <v>1000</v>
      </c>
      <c r="J649" s="10">
        <v>4807</v>
      </c>
      <c r="K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49">
        <v>0</v>
      </c>
      <c r="M6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49">
        <v>0.3</v>
      </c>
      <c r="O649" s="23" t="s">
        <v>629</v>
      </c>
      <c r="P649">
        <v>6.3</v>
      </c>
      <c r="Q649" s="23" t="s">
        <v>181</v>
      </c>
    </row>
    <row r="650" spans="1:17" x14ac:dyDescent="0.25">
      <c r="A650" s="23" t="s">
        <v>1099</v>
      </c>
      <c r="B650" s="23" t="s">
        <v>1056</v>
      </c>
      <c r="C650" s="23" t="s">
        <v>176</v>
      </c>
      <c r="D650" s="23" t="s">
        <v>417</v>
      </c>
      <c r="E650" s="23" t="s">
        <v>418</v>
      </c>
      <c r="F650">
        <v>15</v>
      </c>
      <c r="G650" s="23" t="s">
        <v>177</v>
      </c>
      <c r="H650">
        <v>0</v>
      </c>
      <c r="I650">
        <v>1000</v>
      </c>
      <c r="J650" s="10">
        <v>4807</v>
      </c>
      <c r="K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50">
        <v>0</v>
      </c>
      <c r="M6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0">
        <v>0.3</v>
      </c>
      <c r="O650" s="23" t="s">
        <v>629</v>
      </c>
      <c r="P650">
        <v>4.5</v>
      </c>
      <c r="Q650" s="23" t="s">
        <v>181</v>
      </c>
    </row>
    <row r="651" spans="1:17" x14ac:dyDescent="0.25">
      <c r="A651" s="23" t="s">
        <v>1055</v>
      </c>
      <c r="B651" s="23" t="s">
        <v>1056</v>
      </c>
      <c r="C651" s="23" t="s">
        <v>176</v>
      </c>
      <c r="D651" s="23" t="s">
        <v>417</v>
      </c>
      <c r="E651" s="23" t="s">
        <v>418</v>
      </c>
      <c r="F651">
        <v>18</v>
      </c>
      <c r="G651" s="23" t="s">
        <v>177</v>
      </c>
      <c r="H651">
        <v>0</v>
      </c>
      <c r="I651">
        <v>1000</v>
      </c>
      <c r="J651" s="10">
        <v>4807</v>
      </c>
      <c r="K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51">
        <v>0</v>
      </c>
      <c r="M6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1">
        <v>0.3</v>
      </c>
      <c r="O651" s="23" t="s">
        <v>629</v>
      </c>
      <c r="P651">
        <v>5.3999999999999995</v>
      </c>
      <c r="Q651" s="23" t="s">
        <v>181</v>
      </c>
    </row>
    <row r="652" spans="1:17" x14ac:dyDescent="0.25">
      <c r="A652" s="23" t="s">
        <v>1146</v>
      </c>
      <c r="B652" s="23" t="s">
        <v>1145</v>
      </c>
      <c r="C652" s="23" t="s">
        <v>176</v>
      </c>
      <c r="D652" s="23" t="s">
        <v>417</v>
      </c>
      <c r="E652" s="23" t="s">
        <v>418</v>
      </c>
      <c r="F652">
        <v>30</v>
      </c>
      <c r="G652" s="23" t="s">
        <v>177</v>
      </c>
      <c r="H652">
        <v>0</v>
      </c>
      <c r="I652">
        <v>1000</v>
      </c>
      <c r="J652" s="10">
        <v>4807</v>
      </c>
      <c r="K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52">
        <v>0</v>
      </c>
      <c r="M6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2">
        <v>0.3</v>
      </c>
      <c r="O652" s="23" t="s">
        <v>629</v>
      </c>
      <c r="P652">
        <v>9</v>
      </c>
      <c r="Q652" s="23" t="s">
        <v>181</v>
      </c>
    </row>
    <row r="653" spans="1:17" x14ac:dyDescent="0.25">
      <c r="A653" s="23" t="s">
        <v>1144</v>
      </c>
      <c r="B653" s="23" t="s">
        <v>1145</v>
      </c>
      <c r="C653" s="23" t="s">
        <v>176</v>
      </c>
      <c r="D653" s="23" t="s">
        <v>417</v>
      </c>
      <c r="E653" s="23" t="s">
        <v>418</v>
      </c>
      <c r="F653">
        <v>30</v>
      </c>
      <c r="G653" s="23" t="s">
        <v>177</v>
      </c>
      <c r="H653">
        <v>0</v>
      </c>
      <c r="I653">
        <v>1000</v>
      </c>
      <c r="J653" s="10">
        <v>4807</v>
      </c>
      <c r="K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53">
        <v>0</v>
      </c>
      <c r="M6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3">
        <v>0.3</v>
      </c>
      <c r="O653" s="23" t="s">
        <v>629</v>
      </c>
      <c r="P653">
        <v>9</v>
      </c>
      <c r="Q653" s="23" t="s">
        <v>181</v>
      </c>
    </row>
    <row r="654" spans="1:17" x14ac:dyDescent="0.25">
      <c r="A654" s="23" t="s">
        <v>1149</v>
      </c>
      <c r="B654" s="23" t="s">
        <v>1145</v>
      </c>
      <c r="C654" s="23" t="s">
        <v>176</v>
      </c>
      <c r="D654" s="23" t="s">
        <v>535</v>
      </c>
      <c r="E654" s="23" t="s">
        <v>536</v>
      </c>
      <c r="F654">
        <v>4</v>
      </c>
      <c r="G654" s="23" t="s">
        <v>177</v>
      </c>
      <c r="H654">
        <v>0</v>
      </c>
      <c r="I654">
        <v>212</v>
      </c>
      <c r="J654" s="10">
        <v>625</v>
      </c>
      <c r="K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654">
        <v>0</v>
      </c>
      <c r="M6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4">
        <v>3.95</v>
      </c>
      <c r="O654" s="23" t="s">
        <v>242</v>
      </c>
      <c r="P654">
        <v>15.8</v>
      </c>
      <c r="Q654" s="23" t="s">
        <v>181</v>
      </c>
    </row>
    <row r="655" spans="1:17" x14ac:dyDescent="0.25">
      <c r="A655" s="23" t="s">
        <v>1146</v>
      </c>
      <c r="B655" s="23" t="s">
        <v>1145</v>
      </c>
      <c r="C655" s="23" t="s">
        <v>176</v>
      </c>
      <c r="D655" s="23" t="s">
        <v>535</v>
      </c>
      <c r="E655" s="23" t="s">
        <v>536</v>
      </c>
      <c r="F655">
        <v>4</v>
      </c>
      <c r="G655" s="23" t="s">
        <v>177</v>
      </c>
      <c r="H655">
        <v>0</v>
      </c>
      <c r="I655">
        <v>212</v>
      </c>
      <c r="J655" s="10">
        <v>625</v>
      </c>
      <c r="K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655">
        <v>0</v>
      </c>
      <c r="M6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5">
        <v>3.95</v>
      </c>
      <c r="O655" s="23" t="s">
        <v>242</v>
      </c>
      <c r="P655">
        <v>15.8</v>
      </c>
      <c r="Q655" s="23" t="s">
        <v>181</v>
      </c>
    </row>
    <row r="656" spans="1:17" x14ac:dyDescent="0.25">
      <c r="A656" s="23" t="s">
        <v>1144</v>
      </c>
      <c r="B656" s="23" t="s">
        <v>1145</v>
      </c>
      <c r="C656" s="23" t="s">
        <v>176</v>
      </c>
      <c r="D656" s="23" t="s">
        <v>535</v>
      </c>
      <c r="E656" s="23" t="s">
        <v>536</v>
      </c>
      <c r="F656">
        <v>8</v>
      </c>
      <c r="G656" s="23" t="s">
        <v>177</v>
      </c>
      <c r="H656">
        <v>0</v>
      </c>
      <c r="I656">
        <v>212</v>
      </c>
      <c r="J656" s="10">
        <v>625</v>
      </c>
      <c r="K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656">
        <v>0</v>
      </c>
      <c r="M6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6">
        <v>3.95</v>
      </c>
      <c r="O656" s="23" t="s">
        <v>242</v>
      </c>
      <c r="P656">
        <v>31.6</v>
      </c>
      <c r="Q656" s="23" t="s">
        <v>181</v>
      </c>
    </row>
    <row r="657" spans="1:17" x14ac:dyDescent="0.25">
      <c r="A657" s="23" t="s">
        <v>1100</v>
      </c>
      <c r="B657" s="23" t="s">
        <v>1101</v>
      </c>
      <c r="C657" s="23" t="s">
        <v>198</v>
      </c>
      <c r="D657" s="23" t="s">
        <v>497</v>
      </c>
      <c r="E657" s="23" t="s">
        <v>498</v>
      </c>
      <c r="F657">
        <v>1</v>
      </c>
      <c r="G657" s="23" t="s">
        <v>177</v>
      </c>
      <c r="H657">
        <v>0</v>
      </c>
      <c r="I657">
        <v>3</v>
      </c>
      <c r="J657" s="10">
        <v>8</v>
      </c>
      <c r="K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657">
        <v>0</v>
      </c>
      <c r="M6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657" s="23" t="s">
        <v>714</v>
      </c>
      <c r="Q657" s="23" t="s">
        <v>761</v>
      </c>
    </row>
    <row r="658" spans="1:17" x14ac:dyDescent="0.25">
      <c r="A658" s="23" t="s">
        <v>1100</v>
      </c>
      <c r="B658" s="23" t="s">
        <v>1101</v>
      </c>
      <c r="C658" s="23" t="s">
        <v>176</v>
      </c>
      <c r="D658" s="23" t="s">
        <v>368</v>
      </c>
      <c r="E658" s="23" t="s">
        <v>369</v>
      </c>
      <c r="F658">
        <v>50</v>
      </c>
      <c r="G658" s="23" t="s">
        <v>177</v>
      </c>
      <c r="H658">
        <v>0</v>
      </c>
      <c r="I658">
        <v>1200</v>
      </c>
      <c r="J658" s="10">
        <v>196</v>
      </c>
      <c r="K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658">
        <v>0</v>
      </c>
      <c r="M6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8">
        <v>12.5</v>
      </c>
      <c r="O658" s="23" t="s">
        <v>370</v>
      </c>
      <c r="P658">
        <v>625</v>
      </c>
      <c r="Q658" s="23" t="s">
        <v>181</v>
      </c>
    </row>
    <row r="659" spans="1:17" x14ac:dyDescent="0.25">
      <c r="A659" s="23" t="s">
        <v>1148</v>
      </c>
      <c r="B659" s="23" t="s">
        <v>1054</v>
      </c>
      <c r="C659" s="23" t="s">
        <v>176</v>
      </c>
      <c r="D659" s="23" t="s">
        <v>899</v>
      </c>
      <c r="E659" s="23" t="s">
        <v>900</v>
      </c>
      <c r="F659">
        <v>0.5</v>
      </c>
      <c r="G659" s="23" t="s">
        <v>177</v>
      </c>
      <c r="H659">
        <v>0</v>
      </c>
      <c r="I659">
        <v>0</v>
      </c>
      <c r="J659" s="10">
        <v>-1.7763568394002505E-15</v>
      </c>
      <c r="K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-5.0999999999999996</v>
      </c>
      <c r="L659">
        <v>10</v>
      </c>
      <c r="M6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59">
        <v>255.55</v>
      </c>
      <c r="O659" s="23" t="s">
        <v>901</v>
      </c>
      <c r="P659">
        <v>127.77500000000001</v>
      </c>
      <c r="Q659" s="23" t="s">
        <v>184</v>
      </c>
    </row>
    <row r="660" spans="1:17" x14ac:dyDescent="0.25">
      <c r="A660" s="23" t="s">
        <v>1058</v>
      </c>
      <c r="B660" s="23" t="s">
        <v>1059</v>
      </c>
      <c r="C660" s="23" t="s">
        <v>176</v>
      </c>
      <c r="D660" s="23" t="s">
        <v>587</v>
      </c>
      <c r="E660" s="23" t="s">
        <v>588</v>
      </c>
      <c r="F660">
        <v>1</v>
      </c>
      <c r="G660" s="23" t="s">
        <v>177</v>
      </c>
      <c r="H660">
        <v>0</v>
      </c>
      <c r="I660">
        <v>0</v>
      </c>
      <c r="J660" s="10">
        <v>0</v>
      </c>
      <c r="K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60">
        <v>0</v>
      </c>
      <c r="M6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660">
        <v>60</v>
      </c>
      <c r="O660" s="23" t="s">
        <v>429</v>
      </c>
      <c r="P660">
        <v>60</v>
      </c>
      <c r="Q660" s="23" t="s">
        <v>178</v>
      </c>
    </row>
    <row r="661" spans="1:17" x14ac:dyDescent="0.25">
      <c r="A661" s="23" t="s">
        <v>1055</v>
      </c>
      <c r="B661" s="23" t="s">
        <v>1056</v>
      </c>
      <c r="C661" s="23" t="s">
        <v>176</v>
      </c>
      <c r="D661" s="23" t="s">
        <v>1008</v>
      </c>
      <c r="E661" s="23" t="s">
        <v>1009</v>
      </c>
      <c r="F661">
        <v>2</v>
      </c>
      <c r="G661" s="23" t="s">
        <v>180</v>
      </c>
      <c r="H661">
        <v>0</v>
      </c>
      <c r="I661">
        <v>54</v>
      </c>
      <c r="J661" s="10">
        <v>10</v>
      </c>
      <c r="K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661">
        <v>0</v>
      </c>
      <c r="M6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1">
        <v>105.6</v>
      </c>
      <c r="O661" s="23" t="s">
        <v>256</v>
      </c>
      <c r="P661">
        <v>211.2</v>
      </c>
      <c r="Q661" s="23" t="s">
        <v>181</v>
      </c>
    </row>
    <row r="662" spans="1:17" x14ac:dyDescent="0.25">
      <c r="A662" s="23" t="s">
        <v>1149</v>
      </c>
      <c r="B662" s="23" t="s">
        <v>1145</v>
      </c>
      <c r="C662" s="23" t="s">
        <v>176</v>
      </c>
      <c r="D662" s="23" t="s">
        <v>777</v>
      </c>
      <c r="E662" s="23" t="s">
        <v>778</v>
      </c>
      <c r="F662">
        <v>1</v>
      </c>
      <c r="G662" s="23" t="s">
        <v>177</v>
      </c>
      <c r="H662">
        <v>0</v>
      </c>
      <c r="I662">
        <v>7</v>
      </c>
      <c r="J662" s="10">
        <v>6</v>
      </c>
      <c r="K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662">
        <v>0</v>
      </c>
      <c r="M6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662">
        <v>2457.65</v>
      </c>
      <c r="O662" s="23" t="s">
        <v>635</v>
      </c>
      <c r="P662">
        <v>2457.65</v>
      </c>
      <c r="Q662" s="23" t="s">
        <v>178</v>
      </c>
    </row>
    <row r="663" spans="1:17" x14ac:dyDescent="0.25">
      <c r="A663" s="23" t="s">
        <v>1146</v>
      </c>
      <c r="B663" s="23" t="s">
        <v>1145</v>
      </c>
      <c r="C663" s="23" t="s">
        <v>176</v>
      </c>
      <c r="D663" s="23" t="s">
        <v>777</v>
      </c>
      <c r="E663" s="23" t="s">
        <v>778</v>
      </c>
      <c r="F663">
        <v>1</v>
      </c>
      <c r="G663" s="23" t="s">
        <v>177</v>
      </c>
      <c r="H663">
        <v>0</v>
      </c>
      <c r="I663">
        <v>7</v>
      </c>
      <c r="J663" s="10">
        <v>6</v>
      </c>
      <c r="K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663">
        <v>0</v>
      </c>
      <c r="M6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663">
        <v>2457.65</v>
      </c>
      <c r="O663" s="23" t="s">
        <v>635</v>
      </c>
      <c r="P663">
        <v>2457.65</v>
      </c>
      <c r="Q663" s="23" t="s">
        <v>178</v>
      </c>
    </row>
    <row r="664" spans="1:17" x14ac:dyDescent="0.25">
      <c r="A664" s="23" t="s">
        <v>1144</v>
      </c>
      <c r="B664" s="23" t="s">
        <v>1145</v>
      </c>
      <c r="C664" s="23" t="s">
        <v>176</v>
      </c>
      <c r="D664" s="23" t="s">
        <v>1215</v>
      </c>
      <c r="E664" s="23" t="s">
        <v>1216</v>
      </c>
      <c r="F664">
        <v>0.3</v>
      </c>
      <c r="G664" s="23" t="s">
        <v>186</v>
      </c>
      <c r="H664">
        <v>0</v>
      </c>
      <c r="I664">
        <v>0</v>
      </c>
      <c r="J664" s="10">
        <v>22</v>
      </c>
      <c r="K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</v>
      </c>
      <c r="L664">
        <v>0</v>
      </c>
      <c r="M6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162.54600000000002</v>
      </c>
      <c r="N664">
        <v>270.91000000000003</v>
      </c>
      <c r="O664" s="23" t="s">
        <v>1194</v>
      </c>
      <c r="P664">
        <v>81.27300000000001</v>
      </c>
      <c r="Q664" s="23" t="s">
        <v>184</v>
      </c>
    </row>
    <row r="665" spans="1:17" x14ac:dyDescent="0.25">
      <c r="A665" s="23" t="s">
        <v>1147</v>
      </c>
      <c r="B665" s="23" t="s">
        <v>1145</v>
      </c>
      <c r="C665" s="23" t="s">
        <v>176</v>
      </c>
      <c r="D665" s="23" t="s">
        <v>417</v>
      </c>
      <c r="E665" s="23" t="s">
        <v>418</v>
      </c>
      <c r="F665">
        <v>30</v>
      </c>
      <c r="G665" s="23" t="s">
        <v>177</v>
      </c>
      <c r="H665">
        <v>0</v>
      </c>
      <c r="I665">
        <v>1000</v>
      </c>
      <c r="J665" s="10">
        <v>4807</v>
      </c>
      <c r="K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65">
        <v>0</v>
      </c>
      <c r="M6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5">
        <v>0.3</v>
      </c>
      <c r="O665" s="23" t="s">
        <v>629</v>
      </c>
      <c r="P665">
        <v>9</v>
      </c>
      <c r="Q665" s="23" t="s">
        <v>181</v>
      </c>
    </row>
    <row r="666" spans="1:17" x14ac:dyDescent="0.25">
      <c r="A666" s="23" t="s">
        <v>1149</v>
      </c>
      <c r="B666" s="23" t="s">
        <v>1145</v>
      </c>
      <c r="C666" s="23" t="s">
        <v>176</v>
      </c>
      <c r="D666" s="23" t="s">
        <v>417</v>
      </c>
      <c r="E666" s="23" t="s">
        <v>418</v>
      </c>
      <c r="F666">
        <v>30</v>
      </c>
      <c r="G666" s="23" t="s">
        <v>177</v>
      </c>
      <c r="H666">
        <v>0</v>
      </c>
      <c r="I666">
        <v>1000</v>
      </c>
      <c r="J666" s="10">
        <v>4807</v>
      </c>
      <c r="K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666">
        <v>0</v>
      </c>
      <c r="M6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6">
        <v>0.3</v>
      </c>
      <c r="O666" s="23" t="s">
        <v>629</v>
      </c>
      <c r="P666">
        <v>9</v>
      </c>
      <c r="Q666" s="23" t="s">
        <v>181</v>
      </c>
    </row>
    <row r="667" spans="1:17" x14ac:dyDescent="0.25">
      <c r="A667" s="23" t="s">
        <v>1097</v>
      </c>
      <c r="B667" s="23" t="s">
        <v>1095</v>
      </c>
      <c r="C667" s="23" t="s">
        <v>176</v>
      </c>
      <c r="D667" s="23" t="s">
        <v>834</v>
      </c>
      <c r="E667" s="23" t="s">
        <v>835</v>
      </c>
      <c r="F667">
        <v>0.5</v>
      </c>
      <c r="G667" s="23" t="s">
        <v>180</v>
      </c>
      <c r="H667">
        <v>0</v>
      </c>
      <c r="I667">
        <v>0</v>
      </c>
      <c r="J667" s="10">
        <v>36.5</v>
      </c>
      <c r="K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667">
        <v>0</v>
      </c>
      <c r="M6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667">
        <v>27.81</v>
      </c>
      <c r="O667" s="23" t="s">
        <v>836</v>
      </c>
      <c r="P667">
        <v>13.904999999999999</v>
      </c>
      <c r="Q667" s="23" t="s">
        <v>185</v>
      </c>
    </row>
    <row r="668" spans="1:17" x14ac:dyDescent="0.25">
      <c r="A668" s="26" t="s">
        <v>1197</v>
      </c>
      <c r="B668" s="26" t="s">
        <v>1198</v>
      </c>
      <c r="C668" s="23" t="s">
        <v>176</v>
      </c>
      <c r="D668" s="26" t="s">
        <v>358</v>
      </c>
      <c r="E668" s="26" t="s">
        <v>359</v>
      </c>
      <c r="F668" s="13">
        <v>16</v>
      </c>
      <c r="G668" s="26" t="s">
        <v>177</v>
      </c>
      <c r="H668">
        <v>0</v>
      </c>
      <c r="I668">
        <v>500</v>
      </c>
      <c r="J668" s="10">
        <v>490</v>
      </c>
      <c r="K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68">
        <v>0</v>
      </c>
      <c r="M6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8">
        <v>1.6</v>
      </c>
      <c r="O668" s="23" t="s">
        <v>242</v>
      </c>
      <c r="P668">
        <v>25.6</v>
      </c>
      <c r="Q668" s="23" t="s">
        <v>181</v>
      </c>
    </row>
    <row r="669" spans="1:17" x14ac:dyDescent="0.25">
      <c r="A669" s="23" t="s">
        <v>1062</v>
      </c>
      <c r="B669" s="23" t="s">
        <v>1053</v>
      </c>
      <c r="C669" s="23" t="s">
        <v>176</v>
      </c>
      <c r="D669" s="23" t="s">
        <v>358</v>
      </c>
      <c r="E669" s="23" t="s">
        <v>359</v>
      </c>
      <c r="F669">
        <v>4</v>
      </c>
      <c r="G669" s="23" t="s">
        <v>177</v>
      </c>
      <c r="H669">
        <v>0</v>
      </c>
      <c r="I669">
        <v>500</v>
      </c>
      <c r="J669" s="10">
        <v>490</v>
      </c>
      <c r="K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669">
        <v>0</v>
      </c>
      <c r="M6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69">
        <v>1.6</v>
      </c>
      <c r="O669" s="23" t="s">
        <v>242</v>
      </c>
      <c r="P669">
        <v>6.4</v>
      </c>
      <c r="Q669" s="23" t="s">
        <v>181</v>
      </c>
    </row>
    <row r="670" spans="1:17" x14ac:dyDescent="0.25">
      <c r="A670" s="23" t="s">
        <v>1143</v>
      </c>
      <c r="B670" s="23" t="s">
        <v>1054</v>
      </c>
      <c r="C670" s="23" t="s">
        <v>176</v>
      </c>
      <c r="D670" s="23" t="s">
        <v>892</v>
      </c>
      <c r="E670" s="23" t="s">
        <v>893</v>
      </c>
      <c r="F670">
        <v>4.5</v>
      </c>
      <c r="G670" s="23" t="s">
        <v>180</v>
      </c>
      <c r="H670">
        <v>0</v>
      </c>
      <c r="I670">
        <v>50</v>
      </c>
      <c r="J670" s="10">
        <v>0</v>
      </c>
      <c r="K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</v>
      </c>
      <c r="L670">
        <v>0</v>
      </c>
      <c r="M6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0">
        <v>150</v>
      </c>
      <c r="O670" s="23" t="s">
        <v>216</v>
      </c>
      <c r="P670">
        <v>675</v>
      </c>
      <c r="Q670" s="23" t="s">
        <v>181</v>
      </c>
    </row>
    <row r="671" spans="1:17" x14ac:dyDescent="0.25">
      <c r="A671" s="23" t="s">
        <v>1150</v>
      </c>
      <c r="B671" s="23" t="s">
        <v>1145</v>
      </c>
      <c r="C671" s="23" t="s">
        <v>176</v>
      </c>
      <c r="D671" s="23" t="s">
        <v>68</v>
      </c>
      <c r="E671" s="23" t="s">
        <v>586</v>
      </c>
      <c r="F671">
        <v>0.5</v>
      </c>
      <c r="G671" s="23" t="s">
        <v>177</v>
      </c>
      <c r="H671">
        <v>0</v>
      </c>
      <c r="I671">
        <v>13.5</v>
      </c>
      <c r="J671" s="10">
        <v>8.5</v>
      </c>
      <c r="K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671">
        <v>0</v>
      </c>
      <c r="M6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1">
        <v>1600</v>
      </c>
      <c r="O671" s="23" t="s">
        <v>1051</v>
      </c>
      <c r="P671">
        <v>800</v>
      </c>
      <c r="Q671" s="23" t="s">
        <v>178</v>
      </c>
    </row>
    <row r="672" spans="1:17" x14ac:dyDescent="0.25">
      <c r="A672" s="23" t="s">
        <v>1146</v>
      </c>
      <c r="B672" s="23" t="s">
        <v>1145</v>
      </c>
      <c r="C672" s="23" t="s">
        <v>176</v>
      </c>
      <c r="D672" s="23" t="s">
        <v>287</v>
      </c>
      <c r="E672" s="23" t="s">
        <v>288</v>
      </c>
      <c r="F672">
        <v>0.35</v>
      </c>
      <c r="G672" s="23" t="s">
        <v>186</v>
      </c>
      <c r="H672">
        <v>0</v>
      </c>
      <c r="I672">
        <v>10</v>
      </c>
      <c r="J672" s="10">
        <v>14.129999999999992</v>
      </c>
      <c r="K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672">
        <v>10</v>
      </c>
      <c r="M6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2">
        <v>393.83</v>
      </c>
      <c r="O672" s="23" t="s">
        <v>491</v>
      </c>
      <c r="P672">
        <v>137.84049999999999</v>
      </c>
      <c r="Q672" s="23" t="s">
        <v>184</v>
      </c>
    </row>
    <row r="673" spans="1:17" x14ac:dyDescent="0.25">
      <c r="A673" s="23" t="s">
        <v>1144</v>
      </c>
      <c r="B673" s="23" t="s">
        <v>1145</v>
      </c>
      <c r="C673" s="23" t="s">
        <v>176</v>
      </c>
      <c r="D673" s="23" t="s">
        <v>287</v>
      </c>
      <c r="E673" s="23" t="s">
        <v>288</v>
      </c>
      <c r="F673">
        <v>0.35</v>
      </c>
      <c r="G673" s="23" t="s">
        <v>186</v>
      </c>
      <c r="H673">
        <v>0</v>
      </c>
      <c r="I673">
        <v>10</v>
      </c>
      <c r="J673" s="10">
        <v>14.129999999999992</v>
      </c>
      <c r="K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673">
        <v>10</v>
      </c>
      <c r="M6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3">
        <v>393.83</v>
      </c>
      <c r="O673" s="23" t="s">
        <v>491</v>
      </c>
      <c r="P673">
        <v>137.84049999999999</v>
      </c>
      <c r="Q673" s="23" t="s">
        <v>184</v>
      </c>
    </row>
    <row r="674" spans="1:17" x14ac:dyDescent="0.25">
      <c r="A674" s="23" t="s">
        <v>1147</v>
      </c>
      <c r="B674" s="23" t="s">
        <v>1145</v>
      </c>
      <c r="C674" s="23" t="s">
        <v>176</v>
      </c>
      <c r="D674" s="23" t="s">
        <v>706</v>
      </c>
      <c r="E674" s="23" t="s">
        <v>707</v>
      </c>
      <c r="F674">
        <v>12</v>
      </c>
      <c r="G674" s="23" t="s">
        <v>177</v>
      </c>
      <c r="H674">
        <v>0</v>
      </c>
      <c r="I674">
        <v>1400</v>
      </c>
      <c r="J674" s="10">
        <v>602</v>
      </c>
      <c r="K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674">
        <v>0</v>
      </c>
      <c r="M6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4">
        <v>0.6</v>
      </c>
      <c r="O674" s="23" t="s">
        <v>242</v>
      </c>
      <c r="P674">
        <v>7.1999999999999993</v>
      </c>
      <c r="Q674" s="23" t="s">
        <v>181</v>
      </c>
    </row>
    <row r="675" spans="1:17" x14ac:dyDescent="0.25">
      <c r="A675" s="23" t="s">
        <v>1058</v>
      </c>
      <c r="B675" s="23" t="s">
        <v>1059</v>
      </c>
      <c r="C675" s="23" t="s">
        <v>176</v>
      </c>
      <c r="D675" s="23" t="s">
        <v>30</v>
      </c>
      <c r="E675" s="23" t="s">
        <v>31</v>
      </c>
      <c r="F675">
        <v>43</v>
      </c>
      <c r="G675" s="23" t="s">
        <v>177</v>
      </c>
      <c r="H675">
        <v>0</v>
      </c>
      <c r="I675">
        <v>4500</v>
      </c>
      <c r="J675" s="10">
        <v>2426</v>
      </c>
      <c r="K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75">
        <v>0</v>
      </c>
      <c r="M6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5">
        <v>1</v>
      </c>
      <c r="O675" s="23"/>
      <c r="P675">
        <v>43</v>
      </c>
      <c r="Q675" s="23" t="s">
        <v>181</v>
      </c>
    </row>
    <row r="676" spans="1:17" x14ac:dyDescent="0.25">
      <c r="A676" s="23" t="s">
        <v>1147</v>
      </c>
      <c r="B676" s="23" t="s">
        <v>1145</v>
      </c>
      <c r="C676" s="23" t="s">
        <v>176</v>
      </c>
      <c r="D676" s="23" t="s">
        <v>30</v>
      </c>
      <c r="E676" s="23" t="s">
        <v>31</v>
      </c>
      <c r="F676">
        <v>43</v>
      </c>
      <c r="G676" s="23" t="s">
        <v>177</v>
      </c>
      <c r="H676">
        <v>0</v>
      </c>
      <c r="I676">
        <v>4500</v>
      </c>
      <c r="J676" s="10">
        <v>2426</v>
      </c>
      <c r="K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76">
        <v>0</v>
      </c>
      <c r="M6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6">
        <v>1</v>
      </c>
      <c r="O676" s="23"/>
      <c r="P676">
        <v>43</v>
      </c>
      <c r="Q676" s="23" t="s">
        <v>181</v>
      </c>
    </row>
    <row r="677" spans="1:17" x14ac:dyDescent="0.25">
      <c r="A677" s="23" t="s">
        <v>1148</v>
      </c>
      <c r="B677" s="23" t="s">
        <v>1054</v>
      </c>
      <c r="C677" s="23" t="s">
        <v>176</v>
      </c>
      <c r="D677" s="23" t="s">
        <v>30</v>
      </c>
      <c r="E677" s="23" t="s">
        <v>31</v>
      </c>
      <c r="F677">
        <v>23</v>
      </c>
      <c r="G677" s="23" t="s">
        <v>177</v>
      </c>
      <c r="H677">
        <v>0</v>
      </c>
      <c r="I677">
        <v>4500</v>
      </c>
      <c r="J677" s="10">
        <v>2426</v>
      </c>
      <c r="K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77">
        <v>0</v>
      </c>
      <c r="M6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7">
        <v>1</v>
      </c>
      <c r="O677" s="23"/>
      <c r="P677">
        <v>23</v>
      </c>
      <c r="Q677" s="23" t="s">
        <v>181</v>
      </c>
    </row>
    <row r="678" spans="1:17" x14ac:dyDescent="0.25">
      <c r="A678" s="23" t="s">
        <v>1099</v>
      </c>
      <c r="B678" s="23" t="s">
        <v>1056</v>
      </c>
      <c r="C678" s="23" t="s">
        <v>176</v>
      </c>
      <c r="D678" s="23" t="s">
        <v>30</v>
      </c>
      <c r="E678" s="23" t="s">
        <v>31</v>
      </c>
      <c r="F678">
        <v>23</v>
      </c>
      <c r="G678" s="23" t="s">
        <v>177</v>
      </c>
      <c r="H678">
        <v>0</v>
      </c>
      <c r="I678">
        <v>4500</v>
      </c>
      <c r="J678" s="10">
        <v>2426</v>
      </c>
      <c r="K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78">
        <v>0</v>
      </c>
      <c r="M6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8">
        <v>1</v>
      </c>
      <c r="O678" s="23"/>
      <c r="P678">
        <v>23</v>
      </c>
      <c r="Q678" s="23" t="s">
        <v>181</v>
      </c>
    </row>
    <row r="679" spans="1:17" x14ac:dyDescent="0.25">
      <c r="A679" s="23" t="s">
        <v>1058</v>
      </c>
      <c r="B679" s="23" t="s">
        <v>1059</v>
      </c>
      <c r="C679" s="23" t="s">
        <v>176</v>
      </c>
      <c r="D679" s="23" t="s">
        <v>68</v>
      </c>
      <c r="E679" s="23" t="s">
        <v>586</v>
      </c>
      <c r="F679">
        <v>0.5</v>
      </c>
      <c r="G679" s="23" t="s">
        <v>177</v>
      </c>
      <c r="H679">
        <v>0</v>
      </c>
      <c r="I679">
        <v>13.5</v>
      </c>
      <c r="J679" s="10">
        <v>8.5</v>
      </c>
      <c r="K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679">
        <v>0</v>
      </c>
      <c r="M6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79">
        <v>1600</v>
      </c>
      <c r="O679" s="23" t="s">
        <v>1051</v>
      </c>
      <c r="P679">
        <v>800</v>
      </c>
      <c r="Q679" s="23" t="s">
        <v>178</v>
      </c>
    </row>
    <row r="680" spans="1:17" x14ac:dyDescent="0.25">
      <c r="A680" s="23" t="s">
        <v>1055</v>
      </c>
      <c r="B680" s="23" t="s">
        <v>1056</v>
      </c>
      <c r="C680" s="23" t="s">
        <v>176</v>
      </c>
      <c r="D680" s="23" t="s">
        <v>68</v>
      </c>
      <c r="E680" s="23" t="s">
        <v>586</v>
      </c>
      <c r="F680">
        <v>0.5</v>
      </c>
      <c r="G680" s="23" t="s">
        <v>177</v>
      </c>
      <c r="H680">
        <v>0</v>
      </c>
      <c r="I680">
        <v>13.5</v>
      </c>
      <c r="J680" s="10">
        <v>8.5</v>
      </c>
      <c r="K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680">
        <v>0</v>
      </c>
      <c r="M6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0">
        <v>1600</v>
      </c>
      <c r="O680" s="23" t="s">
        <v>1051</v>
      </c>
      <c r="P680">
        <v>800</v>
      </c>
      <c r="Q680" s="23" t="s">
        <v>178</v>
      </c>
    </row>
    <row r="681" spans="1:17" x14ac:dyDescent="0.25">
      <c r="A681" s="23" t="s">
        <v>1099</v>
      </c>
      <c r="B681" s="23" t="s">
        <v>1056</v>
      </c>
      <c r="C681" s="23" t="s">
        <v>176</v>
      </c>
      <c r="D681" s="23" t="s">
        <v>68</v>
      </c>
      <c r="E681" s="23" t="s">
        <v>586</v>
      </c>
      <c r="F681">
        <v>0.5</v>
      </c>
      <c r="G681" s="23" t="s">
        <v>177</v>
      </c>
      <c r="H681">
        <v>0</v>
      </c>
      <c r="I681">
        <v>13.5</v>
      </c>
      <c r="J681" s="10">
        <v>8.5</v>
      </c>
      <c r="K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681">
        <v>0</v>
      </c>
      <c r="M6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1">
        <v>1600</v>
      </c>
      <c r="O681" s="23" t="s">
        <v>1051</v>
      </c>
      <c r="P681">
        <v>800</v>
      </c>
      <c r="Q681" s="23" t="s">
        <v>178</v>
      </c>
    </row>
    <row r="682" spans="1:17" x14ac:dyDescent="0.25">
      <c r="A682" s="23" t="s">
        <v>1148</v>
      </c>
      <c r="B682" s="23" t="s">
        <v>1054</v>
      </c>
      <c r="C682" s="23" t="s">
        <v>176</v>
      </c>
      <c r="D682" s="23" t="s">
        <v>68</v>
      </c>
      <c r="E682" s="23" t="s">
        <v>586</v>
      </c>
      <c r="F682">
        <v>0.05</v>
      </c>
      <c r="G682" s="23" t="s">
        <v>177</v>
      </c>
      <c r="H682">
        <v>0</v>
      </c>
      <c r="I682">
        <v>13.5</v>
      </c>
      <c r="J682" s="10">
        <v>8.5</v>
      </c>
      <c r="K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682">
        <v>0</v>
      </c>
      <c r="M6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2">
        <v>1600</v>
      </c>
      <c r="O682" s="23" t="s">
        <v>1051</v>
      </c>
      <c r="P682">
        <v>80</v>
      </c>
      <c r="Q682" s="23" t="s">
        <v>178</v>
      </c>
    </row>
    <row r="683" spans="1:17" x14ac:dyDescent="0.25">
      <c r="A683" s="23" t="s">
        <v>1055</v>
      </c>
      <c r="B683" s="23" t="s">
        <v>1056</v>
      </c>
      <c r="C683" s="23" t="s">
        <v>176</v>
      </c>
      <c r="D683" s="23" t="s">
        <v>69</v>
      </c>
      <c r="E683" s="23" t="s">
        <v>70</v>
      </c>
      <c r="F683">
        <v>6.5400000000000009</v>
      </c>
      <c r="G683" s="23" t="s">
        <v>186</v>
      </c>
      <c r="H683">
        <v>0</v>
      </c>
      <c r="I683">
        <v>181</v>
      </c>
      <c r="J683" s="10">
        <v>-3.1263880373444408E-13</v>
      </c>
      <c r="K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683">
        <v>46.1</v>
      </c>
      <c r="M6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3">
        <v>96.37</v>
      </c>
      <c r="O683" s="23" t="s">
        <v>491</v>
      </c>
      <c r="P683">
        <v>630.25980000000015</v>
      </c>
      <c r="Q683" s="23" t="s">
        <v>184</v>
      </c>
    </row>
    <row r="684" spans="1:17" x14ac:dyDescent="0.25">
      <c r="A684" s="23" t="s">
        <v>1099</v>
      </c>
      <c r="B684" s="23" t="s">
        <v>1056</v>
      </c>
      <c r="C684" s="23" t="s">
        <v>176</v>
      </c>
      <c r="D684" s="23" t="s">
        <v>150</v>
      </c>
      <c r="E684" s="23" t="s">
        <v>151</v>
      </c>
      <c r="F684">
        <v>1</v>
      </c>
      <c r="G684" s="23" t="s">
        <v>177</v>
      </c>
      <c r="H684">
        <v>0</v>
      </c>
      <c r="I684">
        <v>5</v>
      </c>
      <c r="J684" s="10">
        <v>0</v>
      </c>
      <c r="K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4.6000000000000014</v>
      </c>
      <c r="L684">
        <v>5</v>
      </c>
      <c r="M6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5276.2000000000016</v>
      </c>
      <c r="N684">
        <v>1147</v>
      </c>
      <c r="O684" s="23" t="s">
        <v>673</v>
      </c>
      <c r="P684">
        <v>1147</v>
      </c>
      <c r="Q684" s="23" t="s">
        <v>185</v>
      </c>
    </row>
    <row r="685" spans="1:17" x14ac:dyDescent="0.25">
      <c r="A685" s="23" t="s">
        <v>1099</v>
      </c>
      <c r="B685" s="23" t="s">
        <v>1056</v>
      </c>
      <c r="C685" s="23" t="s">
        <v>176</v>
      </c>
      <c r="D685" s="23" t="s">
        <v>17</v>
      </c>
      <c r="E685" s="23" t="s">
        <v>18</v>
      </c>
      <c r="F685">
        <v>1</v>
      </c>
      <c r="G685" s="23" t="s">
        <v>177</v>
      </c>
      <c r="H685">
        <v>1</v>
      </c>
      <c r="I685">
        <v>7</v>
      </c>
      <c r="J685" s="10">
        <v>10</v>
      </c>
      <c r="K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685">
        <v>50</v>
      </c>
      <c r="M6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5">
        <v>839.2</v>
      </c>
      <c r="O685" s="23" t="s">
        <v>236</v>
      </c>
      <c r="P685">
        <v>839.2</v>
      </c>
      <c r="Q685" s="23" t="s">
        <v>222</v>
      </c>
    </row>
    <row r="686" spans="1:17" x14ac:dyDescent="0.25">
      <c r="A686" s="26" t="s">
        <v>1147</v>
      </c>
      <c r="B686" s="26" t="s">
        <v>1145</v>
      </c>
      <c r="C686" s="23" t="s">
        <v>176</v>
      </c>
      <c r="D686" s="26" t="s">
        <v>21</v>
      </c>
      <c r="E686" s="26" t="s">
        <v>22</v>
      </c>
      <c r="F686" s="13">
        <v>4</v>
      </c>
      <c r="G686" s="26" t="s">
        <v>180</v>
      </c>
      <c r="H686">
        <v>0</v>
      </c>
      <c r="I686">
        <v>100</v>
      </c>
      <c r="J686" s="10">
        <v>105.5</v>
      </c>
      <c r="K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686">
        <v>0</v>
      </c>
      <c r="M6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6">
        <v>131.25</v>
      </c>
      <c r="O686" s="23" t="s">
        <v>827</v>
      </c>
      <c r="P686">
        <v>525</v>
      </c>
      <c r="Q686" s="23" t="s">
        <v>222</v>
      </c>
    </row>
    <row r="687" spans="1:17" x14ac:dyDescent="0.25">
      <c r="A687" s="23" t="s">
        <v>1099</v>
      </c>
      <c r="B687" s="23" t="s">
        <v>1056</v>
      </c>
      <c r="C687" s="23" t="s">
        <v>176</v>
      </c>
      <c r="D687" s="23" t="s">
        <v>21</v>
      </c>
      <c r="E687" s="23" t="s">
        <v>22</v>
      </c>
      <c r="F687">
        <v>5</v>
      </c>
      <c r="G687" s="23" t="s">
        <v>180</v>
      </c>
      <c r="H687">
        <v>0</v>
      </c>
      <c r="I687">
        <v>100</v>
      </c>
      <c r="J687" s="10">
        <v>105.5</v>
      </c>
      <c r="K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687">
        <v>0</v>
      </c>
      <c r="M6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7">
        <v>131.25</v>
      </c>
      <c r="O687" s="23" t="s">
        <v>827</v>
      </c>
      <c r="P687">
        <v>656.25</v>
      </c>
      <c r="Q687" s="23" t="s">
        <v>222</v>
      </c>
    </row>
    <row r="688" spans="1:17" x14ac:dyDescent="0.25">
      <c r="A688" s="23" t="s">
        <v>1144</v>
      </c>
      <c r="B688" s="23" t="s">
        <v>1145</v>
      </c>
      <c r="C688" s="23" t="s">
        <v>176</v>
      </c>
      <c r="D688" s="23" t="s">
        <v>706</v>
      </c>
      <c r="E688" s="23" t="s">
        <v>707</v>
      </c>
      <c r="F688">
        <v>12</v>
      </c>
      <c r="G688" s="23" t="s">
        <v>177</v>
      </c>
      <c r="H688">
        <v>0</v>
      </c>
      <c r="I688">
        <v>1400</v>
      </c>
      <c r="J688" s="10">
        <v>602</v>
      </c>
      <c r="K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688">
        <v>0</v>
      </c>
      <c r="M6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8">
        <v>0.6</v>
      </c>
      <c r="O688" s="23" t="s">
        <v>242</v>
      </c>
      <c r="P688">
        <v>7.1999999999999993</v>
      </c>
      <c r="Q688" s="23" t="s">
        <v>181</v>
      </c>
    </row>
    <row r="689" spans="1:17" x14ac:dyDescent="0.25">
      <c r="A689" s="23" t="s">
        <v>1146</v>
      </c>
      <c r="B689" s="23" t="s">
        <v>1145</v>
      </c>
      <c r="C689" s="23" t="s">
        <v>176</v>
      </c>
      <c r="D689" s="23" t="s">
        <v>706</v>
      </c>
      <c r="E689" s="23" t="s">
        <v>707</v>
      </c>
      <c r="F689">
        <v>12</v>
      </c>
      <c r="G689" s="23" t="s">
        <v>177</v>
      </c>
      <c r="H689">
        <v>0</v>
      </c>
      <c r="I689">
        <v>1400</v>
      </c>
      <c r="J689" s="10">
        <v>602</v>
      </c>
      <c r="K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689">
        <v>0</v>
      </c>
      <c r="M6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89">
        <v>0.6</v>
      </c>
      <c r="O689" s="23" t="s">
        <v>242</v>
      </c>
      <c r="P689">
        <v>7.1999999999999993</v>
      </c>
      <c r="Q689" s="23" t="s">
        <v>181</v>
      </c>
    </row>
    <row r="690" spans="1:17" x14ac:dyDescent="0.25">
      <c r="A690" s="23" t="s">
        <v>1144</v>
      </c>
      <c r="B690" s="23" t="s">
        <v>1145</v>
      </c>
      <c r="C690" s="23" t="s">
        <v>176</v>
      </c>
      <c r="D690" s="23" t="s">
        <v>30</v>
      </c>
      <c r="E690" s="23" t="s">
        <v>31</v>
      </c>
      <c r="F690">
        <v>43</v>
      </c>
      <c r="G690" s="23" t="s">
        <v>177</v>
      </c>
      <c r="H690">
        <v>0</v>
      </c>
      <c r="I690">
        <v>4500</v>
      </c>
      <c r="J690" s="10">
        <v>2426</v>
      </c>
      <c r="K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90">
        <v>0</v>
      </c>
      <c r="M6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0">
        <v>1</v>
      </c>
      <c r="O690" s="23"/>
      <c r="P690">
        <v>43</v>
      </c>
      <c r="Q690" s="23" t="s">
        <v>181</v>
      </c>
    </row>
    <row r="691" spans="1:17" x14ac:dyDescent="0.25">
      <c r="A691" s="23" t="s">
        <v>1146</v>
      </c>
      <c r="B691" s="23" t="s">
        <v>1145</v>
      </c>
      <c r="C691" s="23" t="s">
        <v>176</v>
      </c>
      <c r="D691" s="23" t="s">
        <v>30</v>
      </c>
      <c r="E691" s="23" t="s">
        <v>31</v>
      </c>
      <c r="F691">
        <v>43</v>
      </c>
      <c r="G691" s="23" t="s">
        <v>177</v>
      </c>
      <c r="H691">
        <v>0</v>
      </c>
      <c r="I691">
        <v>4500</v>
      </c>
      <c r="J691" s="10">
        <v>2426</v>
      </c>
      <c r="K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91">
        <v>0</v>
      </c>
      <c r="M6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1">
        <v>1</v>
      </c>
      <c r="O691" s="23"/>
      <c r="P691">
        <v>43</v>
      </c>
      <c r="Q691" s="23" t="s">
        <v>181</v>
      </c>
    </row>
    <row r="692" spans="1:17" x14ac:dyDescent="0.25">
      <c r="A692" s="23" t="s">
        <v>1149</v>
      </c>
      <c r="B692" s="23" t="s">
        <v>1145</v>
      </c>
      <c r="C692" s="23" t="s">
        <v>176</v>
      </c>
      <c r="D692" s="23" t="s">
        <v>287</v>
      </c>
      <c r="E692" s="23" t="s">
        <v>288</v>
      </c>
      <c r="F692">
        <v>0.35</v>
      </c>
      <c r="G692" s="23" t="s">
        <v>186</v>
      </c>
      <c r="H692">
        <v>0</v>
      </c>
      <c r="I692">
        <v>10</v>
      </c>
      <c r="J692" s="10">
        <v>14.129999999999992</v>
      </c>
      <c r="K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692">
        <v>10</v>
      </c>
      <c r="M6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2">
        <v>393.83</v>
      </c>
      <c r="O692" s="23" t="s">
        <v>491</v>
      </c>
      <c r="P692">
        <v>137.84049999999999</v>
      </c>
      <c r="Q692" s="23" t="s">
        <v>184</v>
      </c>
    </row>
    <row r="693" spans="1:17" x14ac:dyDescent="0.25">
      <c r="A693" s="23" t="s">
        <v>1149</v>
      </c>
      <c r="B693" s="23" t="s">
        <v>1145</v>
      </c>
      <c r="C693" s="23" t="s">
        <v>176</v>
      </c>
      <c r="D693" s="23" t="s">
        <v>69</v>
      </c>
      <c r="E693" s="23" t="s">
        <v>70</v>
      </c>
      <c r="F693">
        <v>8.5400000000000009</v>
      </c>
      <c r="G693" s="23" t="s">
        <v>186</v>
      </c>
      <c r="H693">
        <v>0</v>
      </c>
      <c r="I693">
        <v>181</v>
      </c>
      <c r="J693" s="10">
        <v>-3.1263880373444408E-13</v>
      </c>
      <c r="K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693">
        <v>46.1</v>
      </c>
      <c r="M6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3">
        <v>96.37</v>
      </c>
      <c r="O693" s="23" t="s">
        <v>491</v>
      </c>
      <c r="P693">
        <v>822.99980000000016</v>
      </c>
      <c r="Q693" s="23" t="s">
        <v>184</v>
      </c>
    </row>
    <row r="694" spans="1:17" x14ac:dyDescent="0.25">
      <c r="A694" s="23" t="s">
        <v>1055</v>
      </c>
      <c r="B694" s="23" t="s">
        <v>1056</v>
      </c>
      <c r="C694" s="23" t="s">
        <v>176</v>
      </c>
      <c r="D694" s="23" t="s">
        <v>706</v>
      </c>
      <c r="E694" s="23" t="s">
        <v>707</v>
      </c>
      <c r="F694">
        <v>4</v>
      </c>
      <c r="G694" s="23" t="s">
        <v>177</v>
      </c>
      <c r="H694">
        <v>0</v>
      </c>
      <c r="I694">
        <v>1400</v>
      </c>
      <c r="J694" s="10">
        <v>602</v>
      </c>
      <c r="K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694">
        <v>0</v>
      </c>
      <c r="M6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4">
        <v>0.6</v>
      </c>
      <c r="O694" s="23" t="s">
        <v>242</v>
      </c>
      <c r="P694">
        <v>2.4</v>
      </c>
      <c r="Q694" s="23" t="s">
        <v>181</v>
      </c>
    </row>
    <row r="695" spans="1:17" x14ac:dyDescent="0.25">
      <c r="A695" s="23" t="s">
        <v>1099</v>
      </c>
      <c r="B695" s="23" t="s">
        <v>1056</v>
      </c>
      <c r="C695" s="23" t="s">
        <v>176</v>
      </c>
      <c r="D695" s="23" t="s">
        <v>706</v>
      </c>
      <c r="E695" s="23" t="s">
        <v>707</v>
      </c>
      <c r="F695">
        <v>4</v>
      </c>
      <c r="G695" s="23" t="s">
        <v>177</v>
      </c>
      <c r="H695">
        <v>0</v>
      </c>
      <c r="I695">
        <v>1400</v>
      </c>
      <c r="J695" s="10">
        <v>602</v>
      </c>
      <c r="K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695">
        <v>0</v>
      </c>
      <c r="M6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5">
        <v>0.6</v>
      </c>
      <c r="O695" s="23" t="s">
        <v>242</v>
      </c>
      <c r="P695">
        <v>2.4</v>
      </c>
      <c r="Q695" s="23" t="s">
        <v>181</v>
      </c>
    </row>
    <row r="696" spans="1:17" x14ac:dyDescent="0.25">
      <c r="A696" s="23" t="s">
        <v>1055</v>
      </c>
      <c r="B696" s="23" t="s">
        <v>1056</v>
      </c>
      <c r="C696" s="23" t="s">
        <v>176</v>
      </c>
      <c r="D696" s="23" t="s">
        <v>30</v>
      </c>
      <c r="E696" s="23" t="s">
        <v>31</v>
      </c>
      <c r="F696">
        <v>43</v>
      </c>
      <c r="G696" s="23" t="s">
        <v>177</v>
      </c>
      <c r="H696">
        <v>0</v>
      </c>
      <c r="I696">
        <v>4500</v>
      </c>
      <c r="J696" s="10">
        <v>2426</v>
      </c>
      <c r="K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96">
        <v>0</v>
      </c>
      <c r="M6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6">
        <v>1</v>
      </c>
      <c r="O696" s="23"/>
      <c r="P696">
        <v>43</v>
      </c>
      <c r="Q696" s="23" t="s">
        <v>181</v>
      </c>
    </row>
    <row r="697" spans="1:17" x14ac:dyDescent="0.25">
      <c r="A697" s="23" t="s">
        <v>1100</v>
      </c>
      <c r="B697" s="23" t="s">
        <v>1101</v>
      </c>
      <c r="C697" s="23" t="s">
        <v>176</v>
      </c>
      <c r="D697" s="23" t="s">
        <v>30</v>
      </c>
      <c r="E697" s="23" t="s">
        <v>31</v>
      </c>
      <c r="F697">
        <v>29</v>
      </c>
      <c r="G697" s="23" t="s">
        <v>177</v>
      </c>
      <c r="H697">
        <v>0</v>
      </c>
      <c r="I697">
        <v>4500</v>
      </c>
      <c r="J697" s="10">
        <v>2426</v>
      </c>
      <c r="K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697">
        <v>0</v>
      </c>
      <c r="M6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7">
        <v>1</v>
      </c>
      <c r="O697" s="23"/>
      <c r="P697">
        <v>29</v>
      </c>
      <c r="Q697" s="23" t="s">
        <v>181</v>
      </c>
    </row>
    <row r="698" spans="1:17" x14ac:dyDescent="0.25">
      <c r="A698" s="23" t="s">
        <v>1100</v>
      </c>
      <c r="B698" s="23" t="s">
        <v>1101</v>
      </c>
      <c r="C698" s="23" t="s">
        <v>176</v>
      </c>
      <c r="D698" s="23" t="s">
        <v>68</v>
      </c>
      <c r="E698" s="23" t="s">
        <v>586</v>
      </c>
      <c r="F698">
        <v>0.5</v>
      </c>
      <c r="G698" s="23" t="s">
        <v>177</v>
      </c>
      <c r="H698">
        <v>0</v>
      </c>
      <c r="I698">
        <v>13.5</v>
      </c>
      <c r="J698" s="10">
        <v>8.5</v>
      </c>
      <c r="K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698">
        <v>0</v>
      </c>
      <c r="M6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8">
        <v>1600</v>
      </c>
      <c r="O698" s="23" t="s">
        <v>1051</v>
      </c>
      <c r="P698">
        <v>800</v>
      </c>
      <c r="Q698" s="23" t="s">
        <v>178</v>
      </c>
    </row>
    <row r="699" spans="1:17" x14ac:dyDescent="0.25">
      <c r="A699" s="23" t="s">
        <v>1147</v>
      </c>
      <c r="B699" s="23" t="s">
        <v>1145</v>
      </c>
      <c r="C699" s="23" t="s">
        <v>176</v>
      </c>
      <c r="D699" s="23" t="s">
        <v>287</v>
      </c>
      <c r="E699" s="23" t="s">
        <v>288</v>
      </c>
      <c r="F699">
        <v>0.35</v>
      </c>
      <c r="G699" s="23" t="s">
        <v>186</v>
      </c>
      <c r="H699">
        <v>0</v>
      </c>
      <c r="I699">
        <v>10</v>
      </c>
      <c r="J699" s="10">
        <v>14.129999999999992</v>
      </c>
      <c r="K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699">
        <v>10</v>
      </c>
      <c r="M6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699">
        <v>393.83</v>
      </c>
      <c r="O699" s="23" t="s">
        <v>491</v>
      </c>
      <c r="P699">
        <v>137.84049999999999</v>
      </c>
      <c r="Q699" s="23" t="s">
        <v>184</v>
      </c>
    </row>
    <row r="700" spans="1:17" x14ac:dyDescent="0.25">
      <c r="A700" s="23" t="s">
        <v>1148</v>
      </c>
      <c r="B700" s="23" t="s">
        <v>1054</v>
      </c>
      <c r="C700" s="23" t="s">
        <v>176</v>
      </c>
      <c r="D700" s="23" t="s">
        <v>69</v>
      </c>
      <c r="E700" s="23" t="s">
        <v>70</v>
      </c>
      <c r="F700">
        <v>9.7099999999999991</v>
      </c>
      <c r="G700" s="23" t="s">
        <v>186</v>
      </c>
      <c r="H700">
        <v>0</v>
      </c>
      <c r="I700">
        <v>181</v>
      </c>
      <c r="J700" s="10">
        <v>-3.1263880373444408E-13</v>
      </c>
      <c r="K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700">
        <v>46.1</v>
      </c>
      <c r="M7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0">
        <v>96.37</v>
      </c>
      <c r="O700" s="23" t="s">
        <v>491</v>
      </c>
      <c r="P700">
        <v>935.7527</v>
      </c>
      <c r="Q700" s="23" t="s">
        <v>184</v>
      </c>
    </row>
    <row r="701" spans="1:17" x14ac:dyDescent="0.25">
      <c r="A701" s="23" t="s">
        <v>1147</v>
      </c>
      <c r="B701" s="23" t="s">
        <v>1145</v>
      </c>
      <c r="C701" s="23" t="s">
        <v>176</v>
      </c>
      <c r="D701" s="23" t="s">
        <v>69</v>
      </c>
      <c r="E701" s="23" t="s">
        <v>70</v>
      </c>
      <c r="F701">
        <v>8.5400000000000009</v>
      </c>
      <c r="G701" s="23" t="s">
        <v>186</v>
      </c>
      <c r="H701">
        <v>0</v>
      </c>
      <c r="I701">
        <v>181</v>
      </c>
      <c r="J701" s="10">
        <v>-3.1263880373444408E-13</v>
      </c>
      <c r="K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701">
        <v>46.1</v>
      </c>
      <c r="M7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1">
        <v>96.37</v>
      </c>
      <c r="O701" s="23" t="s">
        <v>491</v>
      </c>
      <c r="P701">
        <v>822.99980000000016</v>
      </c>
      <c r="Q701" s="23" t="s">
        <v>184</v>
      </c>
    </row>
    <row r="702" spans="1:17" x14ac:dyDescent="0.25">
      <c r="A702" s="23" t="s">
        <v>1099</v>
      </c>
      <c r="B702" s="23" t="s">
        <v>1056</v>
      </c>
      <c r="C702" s="23" t="s">
        <v>176</v>
      </c>
      <c r="D702" s="23" t="s">
        <v>69</v>
      </c>
      <c r="E702" s="23" t="s">
        <v>70</v>
      </c>
      <c r="F702">
        <v>6.54</v>
      </c>
      <c r="G702" s="23" t="s">
        <v>186</v>
      </c>
      <c r="H702">
        <v>0</v>
      </c>
      <c r="I702">
        <v>181</v>
      </c>
      <c r="J702" s="10">
        <v>-3.1263880373444408E-13</v>
      </c>
      <c r="K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702">
        <v>46.1</v>
      </c>
      <c r="M7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2">
        <v>96.37</v>
      </c>
      <c r="O702" s="23" t="s">
        <v>491</v>
      </c>
      <c r="P702">
        <v>630.25980000000004</v>
      </c>
      <c r="Q702" s="23" t="s">
        <v>184</v>
      </c>
    </row>
    <row r="703" spans="1:17" x14ac:dyDescent="0.25">
      <c r="A703" s="23" t="s">
        <v>1055</v>
      </c>
      <c r="B703" s="23" t="s">
        <v>1056</v>
      </c>
      <c r="C703" s="23" t="s">
        <v>176</v>
      </c>
      <c r="D703" s="23" t="s">
        <v>73</v>
      </c>
      <c r="E703" s="23" t="s">
        <v>74</v>
      </c>
      <c r="F703">
        <v>1</v>
      </c>
      <c r="G703" s="23" t="s">
        <v>177</v>
      </c>
      <c r="H703">
        <v>1</v>
      </c>
      <c r="I703">
        <v>3</v>
      </c>
      <c r="J703" s="10">
        <v>7</v>
      </c>
      <c r="K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703">
        <v>0</v>
      </c>
      <c r="M7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703">
        <v>8822.93</v>
      </c>
      <c r="O703" s="23" t="s">
        <v>635</v>
      </c>
      <c r="P703">
        <v>8822.93</v>
      </c>
      <c r="Q703" s="23" t="s">
        <v>179</v>
      </c>
    </row>
    <row r="704" spans="1:17" x14ac:dyDescent="0.25">
      <c r="A704" s="23" t="s">
        <v>1099</v>
      </c>
      <c r="B704" s="23" t="s">
        <v>1056</v>
      </c>
      <c r="C704" s="23" t="s">
        <v>176</v>
      </c>
      <c r="D704" s="23" t="s">
        <v>73</v>
      </c>
      <c r="E704" s="23" t="s">
        <v>74</v>
      </c>
      <c r="F704">
        <v>1</v>
      </c>
      <c r="G704" s="23" t="s">
        <v>177</v>
      </c>
      <c r="H704">
        <v>1</v>
      </c>
      <c r="I704">
        <v>3</v>
      </c>
      <c r="J704" s="10">
        <v>7</v>
      </c>
      <c r="K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704">
        <v>0</v>
      </c>
      <c r="M7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704">
        <v>8822.93</v>
      </c>
      <c r="O704" s="23" t="s">
        <v>635</v>
      </c>
      <c r="P704">
        <v>8822.93</v>
      </c>
      <c r="Q704" s="23" t="s">
        <v>179</v>
      </c>
    </row>
    <row r="705" spans="1:17" x14ac:dyDescent="0.25">
      <c r="A705" s="23" t="s">
        <v>1055</v>
      </c>
      <c r="B705" s="23" t="s">
        <v>1056</v>
      </c>
      <c r="C705" s="23" t="s">
        <v>176</v>
      </c>
      <c r="D705" s="23" t="s">
        <v>381</v>
      </c>
      <c r="E705" s="23" t="s">
        <v>382</v>
      </c>
      <c r="F705">
        <v>1.1000000000000001</v>
      </c>
      <c r="G705" s="23" t="s">
        <v>180</v>
      </c>
      <c r="H705">
        <v>0</v>
      </c>
      <c r="I705">
        <v>0</v>
      </c>
      <c r="J705" s="10">
        <v>20.300000000000029</v>
      </c>
      <c r="K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705">
        <v>0</v>
      </c>
      <c r="M7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705">
        <v>115</v>
      </c>
      <c r="O705" s="23" t="s">
        <v>822</v>
      </c>
      <c r="P705">
        <v>126.50000000000001</v>
      </c>
      <c r="Q705" s="23" t="s">
        <v>179</v>
      </c>
    </row>
    <row r="706" spans="1:17" x14ac:dyDescent="0.25">
      <c r="A706" s="23" t="s">
        <v>1148</v>
      </c>
      <c r="B706" s="23" t="s">
        <v>1054</v>
      </c>
      <c r="C706" s="23" t="s">
        <v>176</v>
      </c>
      <c r="D706" s="23" t="s">
        <v>381</v>
      </c>
      <c r="E706" s="23" t="s">
        <v>382</v>
      </c>
      <c r="F706">
        <v>1.1000000000000001</v>
      </c>
      <c r="G706" s="23" t="s">
        <v>180</v>
      </c>
      <c r="H706">
        <v>0</v>
      </c>
      <c r="I706">
        <v>0</v>
      </c>
      <c r="J706" s="10">
        <v>20.300000000000029</v>
      </c>
      <c r="K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706">
        <v>0</v>
      </c>
      <c r="M7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706">
        <v>115</v>
      </c>
      <c r="O706" s="23" t="s">
        <v>822</v>
      </c>
      <c r="P706">
        <v>126.50000000000001</v>
      </c>
      <c r="Q706" s="23" t="s">
        <v>179</v>
      </c>
    </row>
    <row r="707" spans="1:17" x14ac:dyDescent="0.25">
      <c r="A707" s="23" t="s">
        <v>1099</v>
      </c>
      <c r="B707" s="23" t="s">
        <v>1056</v>
      </c>
      <c r="C707" s="23" t="s">
        <v>176</v>
      </c>
      <c r="D707" s="23" t="s">
        <v>381</v>
      </c>
      <c r="E707" s="23" t="s">
        <v>382</v>
      </c>
      <c r="F707">
        <v>1.1000000000000001</v>
      </c>
      <c r="G707" s="23" t="s">
        <v>180</v>
      </c>
      <c r="H707">
        <v>0</v>
      </c>
      <c r="I707">
        <v>0</v>
      </c>
      <c r="J707" s="10">
        <v>20.300000000000029</v>
      </c>
      <c r="K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707">
        <v>0</v>
      </c>
      <c r="M7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707">
        <v>115</v>
      </c>
      <c r="O707" s="23" t="s">
        <v>822</v>
      </c>
      <c r="P707">
        <v>126.50000000000001</v>
      </c>
      <c r="Q707" s="23" t="s">
        <v>179</v>
      </c>
    </row>
    <row r="708" spans="1:17" x14ac:dyDescent="0.25">
      <c r="A708" s="26" t="s">
        <v>1055</v>
      </c>
      <c r="B708" s="26" t="s">
        <v>1056</v>
      </c>
      <c r="C708" s="23" t="s">
        <v>176</v>
      </c>
      <c r="D708" s="26" t="s">
        <v>469</v>
      </c>
      <c r="E708" s="26" t="s">
        <v>580</v>
      </c>
      <c r="F708" s="13">
        <v>2</v>
      </c>
      <c r="G708" s="26" t="s">
        <v>186</v>
      </c>
      <c r="H708">
        <v>0</v>
      </c>
      <c r="I708">
        <v>30</v>
      </c>
      <c r="J708" s="10">
        <v>21.5</v>
      </c>
      <c r="K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708">
        <v>0</v>
      </c>
      <c r="M7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708">
        <v>118.14</v>
      </c>
      <c r="O708" s="23" t="s">
        <v>394</v>
      </c>
      <c r="P708">
        <v>236.28</v>
      </c>
      <c r="Q708" s="23" t="s">
        <v>184</v>
      </c>
    </row>
    <row r="709" spans="1:17" x14ac:dyDescent="0.25">
      <c r="A709" s="23" t="s">
        <v>1062</v>
      </c>
      <c r="B709" s="23" t="s">
        <v>1053</v>
      </c>
      <c r="C709" s="23" t="s">
        <v>176</v>
      </c>
      <c r="D709" s="23" t="s">
        <v>17</v>
      </c>
      <c r="E709" s="23" t="s">
        <v>18</v>
      </c>
      <c r="F709">
        <v>1</v>
      </c>
      <c r="G709" s="23" t="s">
        <v>177</v>
      </c>
      <c r="H709">
        <v>1</v>
      </c>
      <c r="I709">
        <v>7</v>
      </c>
      <c r="J709" s="10">
        <v>10</v>
      </c>
      <c r="K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709">
        <v>50</v>
      </c>
      <c r="M7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09">
        <v>839.2</v>
      </c>
      <c r="O709" s="23" t="s">
        <v>236</v>
      </c>
      <c r="P709">
        <v>839.2</v>
      </c>
      <c r="Q709" s="23" t="s">
        <v>222</v>
      </c>
    </row>
    <row r="710" spans="1:17" x14ac:dyDescent="0.25">
      <c r="A710" s="23" t="s">
        <v>1097</v>
      </c>
      <c r="B710" s="23" t="s">
        <v>1095</v>
      </c>
      <c r="C710" s="23" t="s">
        <v>176</v>
      </c>
      <c r="D710" s="23" t="s">
        <v>17</v>
      </c>
      <c r="E710" s="23" t="s">
        <v>18</v>
      </c>
      <c r="F710">
        <v>1</v>
      </c>
      <c r="G710" s="23" t="s">
        <v>177</v>
      </c>
      <c r="H710">
        <v>0</v>
      </c>
      <c r="I710">
        <v>7</v>
      </c>
      <c r="J710" s="10">
        <v>10</v>
      </c>
      <c r="K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710">
        <v>50</v>
      </c>
      <c r="M7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0">
        <v>839.2</v>
      </c>
      <c r="O710" s="23" t="s">
        <v>236</v>
      </c>
      <c r="P710">
        <v>839.2</v>
      </c>
      <c r="Q710" s="23" t="s">
        <v>222</v>
      </c>
    </row>
    <row r="711" spans="1:17" x14ac:dyDescent="0.25">
      <c r="A711" s="23" t="s">
        <v>1062</v>
      </c>
      <c r="B711" s="23" t="s">
        <v>1053</v>
      </c>
      <c r="C711" s="23" t="s">
        <v>176</v>
      </c>
      <c r="D711" s="23" t="s">
        <v>21</v>
      </c>
      <c r="E711" s="23" t="s">
        <v>22</v>
      </c>
      <c r="F711">
        <v>6.5</v>
      </c>
      <c r="G711" s="23" t="s">
        <v>180</v>
      </c>
      <c r="H711">
        <v>0</v>
      </c>
      <c r="I711">
        <v>100</v>
      </c>
      <c r="J711" s="10">
        <v>105.5</v>
      </c>
      <c r="K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711">
        <v>0</v>
      </c>
      <c r="M7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1">
        <v>131.25</v>
      </c>
      <c r="O711" s="23" t="s">
        <v>827</v>
      </c>
      <c r="P711">
        <v>853.125</v>
      </c>
      <c r="Q711" s="23" t="s">
        <v>222</v>
      </c>
    </row>
    <row r="712" spans="1:17" x14ac:dyDescent="0.25">
      <c r="A712" s="23" t="s">
        <v>1097</v>
      </c>
      <c r="B712" s="23" t="s">
        <v>1095</v>
      </c>
      <c r="C712" s="23" t="s">
        <v>176</v>
      </c>
      <c r="D712" s="23" t="s">
        <v>21</v>
      </c>
      <c r="E712" s="23" t="s">
        <v>22</v>
      </c>
      <c r="F712">
        <v>1.5</v>
      </c>
      <c r="G712" s="23" t="s">
        <v>180</v>
      </c>
      <c r="H712">
        <v>0</v>
      </c>
      <c r="I712">
        <v>100</v>
      </c>
      <c r="J712" s="10">
        <v>105.5</v>
      </c>
      <c r="K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712">
        <v>0</v>
      </c>
      <c r="M7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2">
        <v>131.25</v>
      </c>
      <c r="O712" s="23" t="s">
        <v>827</v>
      </c>
      <c r="P712">
        <v>196.875</v>
      </c>
      <c r="Q712" s="23" t="s">
        <v>222</v>
      </c>
    </row>
    <row r="713" spans="1:17" x14ac:dyDescent="0.25">
      <c r="A713" s="23" t="s">
        <v>1197</v>
      </c>
      <c r="B713" s="23" t="s">
        <v>1198</v>
      </c>
      <c r="C713" s="23" t="s">
        <v>176</v>
      </c>
      <c r="D713" s="23" t="s">
        <v>21</v>
      </c>
      <c r="E713" s="23" t="s">
        <v>22</v>
      </c>
      <c r="F713">
        <v>4</v>
      </c>
      <c r="G713" s="23" t="s">
        <v>180</v>
      </c>
      <c r="H713">
        <v>0</v>
      </c>
      <c r="I713">
        <v>100</v>
      </c>
      <c r="J713" s="10">
        <v>105.5</v>
      </c>
      <c r="K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713">
        <v>0</v>
      </c>
      <c r="M7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3">
        <v>131.25</v>
      </c>
      <c r="O713" s="23" t="s">
        <v>827</v>
      </c>
      <c r="P713">
        <v>525</v>
      </c>
      <c r="Q713" s="23" t="s">
        <v>222</v>
      </c>
    </row>
    <row r="714" spans="1:17" x14ac:dyDescent="0.25">
      <c r="A714" s="23" t="s">
        <v>1098</v>
      </c>
      <c r="B714" s="23" t="s">
        <v>1053</v>
      </c>
      <c r="C714" s="23" t="s">
        <v>176</v>
      </c>
      <c r="D714" s="23" t="s">
        <v>21</v>
      </c>
      <c r="E714" s="23" t="s">
        <v>22</v>
      </c>
      <c r="F714">
        <v>5.5</v>
      </c>
      <c r="G714" s="23" t="s">
        <v>180</v>
      </c>
      <c r="H714">
        <v>0</v>
      </c>
      <c r="I714">
        <v>100</v>
      </c>
      <c r="J714" s="10">
        <v>105.5</v>
      </c>
      <c r="K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714">
        <v>0</v>
      </c>
      <c r="M7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4">
        <v>131.25</v>
      </c>
      <c r="O714" s="23" t="s">
        <v>827</v>
      </c>
      <c r="P714">
        <v>721.875</v>
      </c>
      <c r="Q714" s="23" t="s">
        <v>222</v>
      </c>
    </row>
    <row r="715" spans="1:17" x14ac:dyDescent="0.25">
      <c r="A715" s="23" t="s">
        <v>1149</v>
      </c>
      <c r="B715" s="23" t="s">
        <v>1145</v>
      </c>
      <c r="C715" s="23" t="s">
        <v>176</v>
      </c>
      <c r="D715" s="23" t="s">
        <v>706</v>
      </c>
      <c r="E715" s="23" t="s">
        <v>707</v>
      </c>
      <c r="F715">
        <v>12</v>
      </c>
      <c r="G715" s="23" t="s">
        <v>177</v>
      </c>
      <c r="H715">
        <v>0</v>
      </c>
      <c r="I715">
        <v>1400</v>
      </c>
      <c r="J715" s="10">
        <v>602</v>
      </c>
      <c r="K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715">
        <v>0</v>
      </c>
      <c r="M7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5">
        <v>0.6</v>
      </c>
      <c r="O715" s="23" t="s">
        <v>242</v>
      </c>
      <c r="P715">
        <v>7.1999999999999993</v>
      </c>
      <c r="Q715" s="23" t="s">
        <v>181</v>
      </c>
    </row>
    <row r="716" spans="1:17" x14ac:dyDescent="0.25">
      <c r="A716" s="23" t="s">
        <v>1149</v>
      </c>
      <c r="B716" s="23" t="s">
        <v>1145</v>
      </c>
      <c r="C716" s="23" t="s">
        <v>176</v>
      </c>
      <c r="D716" s="23" t="s">
        <v>30</v>
      </c>
      <c r="E716" s="23" t="s">
        <v>31</v>
      </c>
      <c r="F716">
        <v>43</v>
      </c>
      <c r="G716" s="23" t="s">
        <v>177</v>
      </c>
      <c r="H716">
        <v>0</v>
      </c>
      <c r="I716">
        <v>4500</v>
      </c>
      <c r="J716" s="10">
        <v>2426</v>
      </c>
      <c r="K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716">
        <v>0</v>
      </c>
      <c r="M7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6">
        <v>1</v>
      </c>
      <c r="O716" s="23"/>
      <c r="P716">
        <v>43</v>
      </c>
      <c r="Q716" s="23" t="s">
        <v>181</v>
      </c>
    </row>
    <row r="717" spans="1:17" x14ac:dyDescent="0.25">
      <c r="A717" s="23" t="s">
        <v>1146</v>
      </c>
      <c r="B717" s="23" t="s">
        <v>1145</v>
      </c>
      <c r="C717" s="23" t="s">
        <v>176</v>
      </c>
      <c r="D717" s="23" t="s">
        <v>68</v>
      </c>
      <c r="E717" s="23" t="s">
        <v>586</v>
      </c>
      <c r="F717">
        <v>0.5</v>
      </c>
      <c r="G717" s="23" t="s">
        <v>177</v>
      </c>
      <c r="H717">
        <v>0</v>
      </c>
      <c r="I717">
        <v>13.5</v>
      </c>
      <c r="J717" s="10">
        <v>8.5</v>
      </c>
      <c r="K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717">
        <v>0</v>
      </c>
      <c r="M7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7">
        <v>1600</v>
      </c>
      <c r="O717" s="23" t="s">
        <v>1051</v>
      </c>
      <c r="P717">
        <v>800</v>
      </c>
      <c r="Q717" s="23" t="s">
        <v>178</v>
      </c>
    </row>
    <row r="718" spans="1:17" x14ac:dyDescent="0.25">
      <c r="A718" s="23" t="s">
        <v>1144</v>
      </c>
      <c r="B718" s="23" t="s">
        <v>1145</v>
      </c>
      <c r="C718" s="23" t="s">
        <v>176</v>
      </c>
      <c r="D718" s="23" t="s">
        <v>68</v>
      </c>
      <c r="E718" s="23" t="s">
        <v>586</v>
      </c>
      <c r="F718">
        <v>0.5</v>
      </c>
      <c r="G718" s="23" t="s">
        <v>177</v>
      </c>
      <c r="H718">
        <v>0</v>
      </c>
      <c r="I718">
        <v>13.5</v>
      </c>
      <c r="J718" s="10">
        <v>8.5</v>
      </c>
      <c r="K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718">
        <v>0</v>
      </c>
      <c r="M7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8">
        <v>1600</v>
      </c>
      <c r="O718" s="23" t="s">
        <v>1051</v>
      </c>
      <c r="P718">
        <v>800</v>
      </c>
      <c r="Q718" s="23" t="s">
        <v>178</v>
      </c>
    </row>
    <row r="719" spans="1:17" x14ac:dyDescent="0.25">
      <c r="A719" s="23" t="s">
        <v>1150</v>
      </c>
      <c r="B719" s="23" t="s">
        <v>1145</v>
      </c>
      <c r="C719" s="23" t="s">
        <v>176</v>
      </c>
      <c r="D719" s="23" t="s">
        <v>287</v>
      </c>
      <c r="E719" s="23" t="s">
        <v>288</v>
      </c>
      <c r="F719">
        <v>0.35</v>
      </c>
      <c r="G719" s="23" t="s">
        <v>186</v>
      </c>
      <c r="H719">
        <v>0</v>
      </c>
      <c r="I719">
        <v>10</v>
      </c>
      <c r="J719" s="10">
        <v>14.129999999999992</v>
      </c>
      <c r="K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719">
        <v>10</v>
      </c>
      <c r="M7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19">
        <v>393.83</v>
      </c>
      <c r="O719" s="23" t="s">
        <v>491</v>
      </c>
      <c r="P719">
        <v>137.84049999999999</v>
      </c>
      <c r="Q719" s="23" t="s">
        <v>184</v>
      </c>
    </row>
    <row r="720" spans="1:17" x14ac:dyDescent="0.25">
      <c r="A720" s="23" t="s">
        <v>1144</v>
      </c>
      <c r="B720" s="23" t="s">
        <v>1145</v>
      </c>
      <c r="C720" s="23" t="s">
        <v>176</v>
      </c>
      <c r="D720" s="23" t="s">
        <v>69</v>
      </c>
      <c r="E720" s="23" t="s">
        <v>70</v>
      </c>
      <c r="F720">
        <v>8.5400000000000009</v>
      </c>
      <c r="G720" s="23" t="s">
        <v>186</v>
      </c>
      <c r="H720">
        <v>0</v>
      </c>
      <c r="I720">
        <v>181</v>
      </c>
      <c r="J720" s="10">
        <v>-3.1263880373444408E-13</v>
      </c>
      <c r="K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720">
        <v>46.1</v>
      </c>
      <c r="M7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0">
        <v>96.37</v>
      </c>
      <c r="O720" s="23" t="s">
        <v>491</v>
      </c>
      <c r="P720">
        <v>822.99980000000016</v>
      </c>
      <c r="Q720" s="23" t="s">
        <v>184</v>
      </c>
    </row>
    <row r="721" spans="1:17" x14ac:dyDescent="0.25">
      <c r="A721" s="23" t="s">
        <v>1148</v>
      </c>
      <c r="B721" s="23" t="s">
        <v>1054</v>
      </c>
      <c r="C721" s="23" t="s">
        <v>176</v>
      </c>
      <c r="D721" s="23" t="s">
        <v>287</v>
      </c>
      <c r="E721" s="23" t="s">
        <v>288</v>
      </c>
      <c r="F721">
        <v>0.34</v>
      </c>
      <c r="G721" s="23" t="s">
        <v>186</v>
      </c>
      <c r="H721">
        <v>0</v>
      </c>
      <c r="I721">
        <v>10</v>
      </c>
      <c r="J721" s="10">
        <v>14.129999999999992</v>
      </c>
      <c r="K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721">
        <v>10</v>
      </c>
      <c r="M7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1">
        <v>393.83</v>
      </c>
      <c r="O721" s="23" t="s">
        <v>491</v>
      </c>
      <c r="P721">
        <v>133.90219999999999</v>
      </c>
      <c r="Q721" s="23" t="s">
        <v>184</v>
      </c>
    </row>
    <row r="722" spans="1:17" x14ac:dyDescent="0.25">
      <c r="A722" s="23" t="s">
        <v>1180</v>
      </c>
      <c r="B722" s="23" t="s">
        <v>1181</v>
      </c>
      <c r="C722" s="23" t="s">
        <v>176</v>
      </c>
      <c r="D722" s="23" t="s">
        <v>69</v>
      </c>
      <c r="E722" s="23" t="s">
        <v>70</v>
      </c>
      <c r="F722">
        <v>9.0599999999999987</v>
      </c>
      <c r="G722" s="23" t="s">
        <v>186</v>
      </c>
      <c r="H722">
        <v>0</v>
      </c>
      <c r="I722">
        <v>181</v>
      </c>
      <c r="J722" s="10">
        <v>-3.1263880373444408E-13</v>
      </c>
      <c r="K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722">
        <v>46.1</v>
      </c>
      <c r="M7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2">
        <v>96.37</v>
      </c>
      <c r="O722" s="23" t="s">
        <v>491</v>
      </c>
      <c r="P722">
        <v>873.11219999999992</v>
      </c>
      <c r="Q722" s="23" t="s">
        <v>184</v>
      </c>
    </row>
    <row r="723" spans="1:17" x14ac:dyDescent="0.25">
      <c r="A723" s="23" t="s">
        <v>1142</v>
      </c>
      <c r="B723" s="23" t="s">
        <v>1054</v>
      </c>
      <c r="C723" s="23" t="s">
        <v>176</v>
      </c>
      <c r="D723" s="23" t="s">
        <v>292</v>
      </c>
      <c r="E723" s="23" t="s">
        <v>293</v>
      </c>
      <c r="F723">
        <v>6</v>
      </c>
      <c r="G723" s="23" t="s">
        <v>177</v>
      </c>
      <c r="H723">
        <v>0</v>
      </c>
      <c r="I723">
        <v>133</v>
      </c>
      <c r="J723" s="10">
        <v>46</v>
      </c>
      <c r="K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723">
        <v>0</v>
      </c>
      <c r="M7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3">
        <v>3.75</v>
      </c>
      <c r="O723" s="23" t="s">
        <v>629</v>
      </c>
      <c r="P723">
        <v>22.5</v>
      </c>
      <c r="Q723" s="23" t="s">
        <v>181</v>
      </c>
    </row>
    <row r="724" spans="1:17" x14ac:dyDescent="0.25">
      <c r="A724" s="23" t="s">
        <v>1150</v>
      </c>
      <c r="B724" s="23" t="s">
        <v>1145</v>
      </c>
      <c r="C724" s="23" t="s">
        <v>176</v>
      </c>
      <c r="D724" s="23" t="s">
        <v>492</v>
      </c>
      <c r="E724" s="23" t="s">
        <v>493</v>
      </c>
      <c r="F724">
        <v>14</v>
      </c>
      <c r="G724" s="23" t="s">
        <v>180</v>
      </c>
      <c r="H724">
        <v>0</v>
      </c>
      <c r="I724">
        <v>0</v>
      </c>
      <c r="J724" s="10">
        <v>0</v>
      </c>
      <c r="K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24">
        <v>200</v>
      </c>
      <c r="M7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24">
        <v>4.01</v>
      </c>
      <c r="O724" s="23" t="s">
        <v>708</v>
      </c>
      <c r="P724">
        <v>56.14</v>
      </c>
      <c r="Q724" s="23" t="s">
        <v>185</v>
      </c>
    </row>
    <row r="725" spans="1:17" x14ac:dyDescent="0.25">
      <c r="A725" s="23" t="s">
        <v>1149</v>
      </c>
      <c r="B725" s="23" t="s">
        <v>1145</v>
      </c>
      <c r="C725" s="23" t="s">
        <v>176</v>
      </c>
      <c r="D725" s="23" t="s">
        <v>232</v>
      </c>
      <c r="E725" s="23" t="s">
        <v>233</v>
      </c>
      <c r="F725">
        <v>2</v>
      </c>
      <c r="G725" s="23" t="s">
        <v>177</v>
      </c>
      <c r="H725">
        <v>0</v>
      </c>
      <c r="I725">
        <v>239</v>
      </c>
      <c r="J725" s="10">
        <v>90</v>
      </c>
      <c r="K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725">
        <v>0</v>
      </c>
      <c r="M7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5">
        <v>4</v>
      </c>
      <c r="O725" s="23" t="s">
        <v>221</v>
      </c>
      <c r="P725">
        <v>8</v>
      </c>
      <c r="Q725" s="23" t="s">
        <v>222</v>
      </c>
    </row>
    <row r="726" spans="1:17" x14ac:dyDescent="0.25">
      <c r="A726" s="26" t="s">
        <v>1149</v>
      </c>
      <c r="B726" s="26" t="s">
        <v>1145</v>
      </c>
      <c r="C726" s="23" t="s">
        <v>176</v>
      </c>
      <c r="D726" s="26" t="s">
        <v>28</v>
      </c>
      <c r="E726" s="26" t="s">
        <v>29</v>
      </c>
      <c r="F726" s="13">
        <v>135</v>
      </c>
      <c r="G726" s="26" t="s">
        <v>177</v>
      </c>
      <c r="H726">
        <v>0</v>
      </c>
      <c r="I726">
        <v>3000</v>
      </c>
      <c r="J726" s="10">
        <v>1048</v>
      </c>
      <c r="K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726">
        <v>0</v>
      </c>
      <c r="M7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26">
        <v>2.92</v>
      </c>
      <c r="O726" s="23" t="s">
        <v>629</v>
      </c>
      <c r="P726">
        <v>394.2</v>
      </c>
      <c r="Q726" s="23" t="s">
        <v>181</v>
      </c>
    </row>
    <row r="727" spans="1:17" x14ac:dyDescent="0.25">
      <c r="A727" s="23" t="s">
        <v>1147</v>
      </c>
      <c r="B727" s="23" t="s">
        <v>1145</v>
      </c>
      <c r="C727" s="23" t="s">
        <v>176</v>
      </c>
      <c r="D727" s="23" t="s">
        <v>463</v>
      </c>
      <c r="E727" s="23" t="s">
        <v>464</v>
      </c>
      <c r="F727">
        <v>0.54999999999999993</v>
      </c>
      <c r="G727" s="23" t="s">
        <v>177</v>
      </c>
      <c r="H727">
        <v>0</v>
      </c>
      <c r="I727">
        <v>0</v>
      </c>
      <c r="J727" s="10">
        <v>5.5999999999999961</v>
      </c>
      <c r="K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727">
        <v>0</v>
      </c>
      <c r="M7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727">
        <v>162.51</v>
      </c>
      <c r="O727" s="23" t="s">
        <v>491</v>
      </c>
      <c r="P727">
        <v>89.380499999999984</v>
      </c>
      <c r="Q727" s="23" t="s">
        <v>184</v>
      </c>
    </row>
    <row r="728" spans="1:17" x14ac:dyDescent="0.25">
      <c r="A728" s="23" t="s">
        <v>1148</v>
      </c>
      <c r="B728" s="23" t="s">
        <v>1054</v>
      </c>
      <c r="C728" s="23" t="s">
        <v>176</v>
      </c>
      <c r="D728" s="23" t="s">
        <v>463</v>
      </c>
      <c r="E728" s="23" t="s">
        <v>464</v>
      </c>
      <c r="F728">
        <v>1.05</v>
      </c>
      <c r="G728" s="23" t="s">
        <v>177</v>
      </c>
      <c r="H728">
        <v>0</v>
      </c>
      <c r="I728">
        <v>0</v>
      </c>
      <c r="J728" s="10">
        <v>5.5999999999999961</v>
      </c>
      <c r="K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728">
        <v>0</v>
      </c>
      <c r="M7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728">
        <v>162.51</v>
      </c>
      <c r="O728" s="23" t="s">
        <v>491</v>
      </c>
      <c r="P728">
        <v>170.63550000000001</v>
      </c>
      <c r="Q728" s="23" t="s">
        <v>184</v>
      </c>
    </row>
    <row r="729" spans="1:17" x14ac:dyDescent="0.25">
      <c r="A729" s="23" t="s">
        <v>1099</v>
      </c>
      <c r="B729" s="23" t="s">
        <v>1056</v>
      </c>
      <c r="C729" s="23" t="s">
        <v>176</v>
      </c>
      <c r="D729" s="23" t="s">
        <v>463</v>
      </c>
      <c r="E729" s="23" t="s">
        <v>464</v>
      </c>
      <c r="F729">
        <v>0.6</v>
      </c>
      <c r="G729" s="23" t="s">
        <v>177</v>
      </c>
      <c r="H729">
        <v>0.6</v>
      </c>
      <c r="I729">
        <v>0</v>
      </c>
      <c r="J729" s="10">
        <v>5.5999999999999961</v>
      </c>
      <c r="K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729">
        <v>0</v>
      </c>
      <c r="M7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729">
        <v>162.51</v>
      </c>
      <c r="O729" s="23" t="s">
        <v>491</v>
      </c>
      <c r="P729">
        <v>97.505999999999986</v>
      </c>
      <c r="Q729" s="23" t="s">
        <v>184</v>
      </c>
    </row>
    <row r="730" spans="1:17" x14ac:dyDescent="0.25">
      <c r="A730" s="23" t="s">
        <v>1147</v>
      </c>
      <c r="B730" s="23" t="s">
        <v>1145</v>
      </c>
      <c r="C730" s="23" t="s">
        <v>176</v>
      </c>
      <c r="D730" s="23" t="s">
        <v>148</v>
      </c>
      <c r="E730" s="23" t="s">
        <v>149</v>
      </c>
      <c r="F730">
        <v>1</v>
      </c>
      <c r="G730" s="23" t="s">
        <v>177</v>
      </c>
      <c r="H730">
        <v>0</v>
      </c>
      <c r="I730">
        <v>2</v>
      </c>
      <c r="J730" s="10">
        <v>8</v>
      </c>
      <c r="K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730">
        <v>5</v>
      </c>
      <c r="M7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730">
        <v>3152.4</v>
      </c>
      <c r="O730" s="23" t="s">
        <v>228</v>
      </c>
      <c r="P730">
        <v>3152.4</v>
      </c>
      <c r="Q730" s="23" t="s">
        <v>222</v>
      </c>
    </row>
    <row r="731" spans="1:17" x14ac:dyDescent="0.25">
      <c r="A731" s="23" t="s">
        <v>1058</v>
      </c>
      <c r="B731" s="23" t="s">
        <v>1059</v>
      </c>
      <c r="C731" s="23" t="s">
        <v>176</v>
      </c>
      <c r="D731" s="23" t="s">
        <v>492</v>
      </c>
      <c r="E731" s="23" t="s">
        <v>493</v>
      </c>
      <c r="F731">
        <v>4</v>
      </c>
      <c r="G731" s="23" t="s">
        <v>180</v>
      </c>
      <c r="H731">
        <v>0</v>
      </c>
      <c r="I731">
        <v>0</v>
      </c>
      <c r="J731" s="10">
        <v>0</v>
      </c>
      <c r="K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31">
        <v>200</v>
      </c>
      <c r="M7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31">
        <v>4.01</v>
      </c>
      <c r="O731" s="23" t="s">
        <v>708</v>
      </c>
      <c r="P731">
        <v>16.04</v>
      </c>
      <c r="Q731" s="23" t="s">
        <v>185</v>
      </c>
    </row>
    <row r="732" spans="1:17" x14ac:dyDescent="0.25">
      <c r="A732" s="23" t="s">
        <v>1100</v>
      </c>
      <c r="B732" s="23" t="s">
        <v>1101</v>
      </c>
      <c r="C732" s="23" t="s">
        <v>176</v>
      </c>
      <c r="D732" s="23" t="s">
        <v>492</v>
      </c>
      <c r="E732" s="23" t="s">
        <v>493</v>
      </c>
      <c r="F732">
        <v>14</v>
      </c>
      <c r="G732" s="23" t="s">
        <v>180</v>
      </c>
      <c r="H732">
        <v>0</v>
      </c>
      <c r="I732">
        <v>0</v>
      </c>
      <c r="J732" s="10">
        <v>0</v>
      </c>
      <c r="K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32">
        <v>200</v>
      </c>
      <c r="M7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32">
        <v>4.01</v>
      </c>
      <c r="O732" s="23" t="s">
        <v>708</v>
      </c>
      <c r="P732">
        <v>56.14</v>
      </c>
      <c r="Q732" s="23" t="s">
        <v>185</v>
      </c>
    </row>
    <row r="733" spans="1:17" x14ac:dyDescent="0.25">
      <c r="A733" s="23" t="s">
        <v>1147</v>
      </c>
      <c r="B733" s="23" t="s">
        <v>1145</v>
      </c>
      <c r="C733" s="23" t="s">
        <v>176</v>
      </c>
      <c r="D733" s="23" t="s">
        <v>232</v>
      </c>
      <c r="E733" s="23" t="s">
        <v>233</v>
      </c>
      <c r="F733">
        <v>2</v>
      </c>
      <c r="G733" s="23" t="s">
        <v>177</v>
      </c>
      <c r="H733">
        <v>0</v>
      </c>
      <c r="I733">
        <v>239</v>
      </c>
      <c r="J733" s="10">
        <v>90</v>
      </c>
      <c r="K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733">
        <v>0</v>
      </c>
      <c r="M7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3">
        <v>4</v>
      </c>
      <c r="O733" s="23" t="s">
        <v>221</v>
      </c>
      <c r="P733">
        <v>8</v>
      </c>
      <c r="Q733" s="23" t="s">
        <v>222</v>
      </c>
    </row>
    <row r="734" spans="1:17" x14ac:dyDescent="0.25">
      <c r="A734" s="23" t="s">
        <v>1099</v>
      </c>
      <c r="B734" s="23" t="s">
        <v>1056</v>
      </c>
      <c r="C734" s="23" t="s">
        <v>176</v>
      </c>
      <c r="D734" s="23" t="s">
        <v>232</v>
      </c>
      <c r="E734" s="23" t="s">
        <v>233</v>
      </c>
      <c r="F734">
        <v>2</v>
      </c>
      <c r="G734" s="23" t="s">
        <v>177</v>
      </c>
      <c r="H734">
        <v>0</v>
      </c>
      <c r="I734">
        <v>239</v>
      </c>
      <c r="J734" s="10">
        <v>90</v>
      </c>
      <c r="K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734">
        <v>0</v>
      </c>
      <c r="M7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4">
        <v>4</v>
      </c>
      <c r="O734" s="23" t="s">
        <v>221</v>
      </c>
      <c r="P734">
        <v>8</v>
      </c>
      <c r="Q734" s="23" t="s">
        <v>222</v>
      </c>
    </row>
    <row r="735" spans="1:17" x14ac:dyDescent="0.25">
      <c r="A735" s="23" t="s">
        <v>1148</v>
      </c>
      <c r="B735" s="23" t="s">
        <v>1054</v>
      </c>
      <c r="C735" s="23" t="s">
        <v>176</v>
      </c>
      <c r="D735" s="23" t="s">
        <v>15</v>
      </c>
      <c r="E735" s="23" t="s">
        <v>16</v>
      </c>
      <c r="F735">
        <v>1</v>
      </c>
      <c r="G735" s="23" t="s">
        <v>177</v>
      </c>
      <c r="H735">
        <v>0</v>
      </c>
      <c r="I735">
        <v>7</v>
      </c>
      <c r="J735" s="10">
        <v>10</v>
      </c>
      <c r="K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735">
        <v>0</v>
      </c>
      <c r="M7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735">
        <v>3383.99</v>
      </c>
      <c r="O735" s="23" t="s">
        <v>216</v>
      </c>
      <c r="P735">
        <v>3383.99</v>
      </c>
      <c r="Q735" s="23" t="s">
        <v>222</v>
      </c>
    </row>
    <row r="736" spans="1:17" x14ac:dyDescent="0.25">
      <c r="A736" s="23" t="s">
        <v>1150</v>
      </c>
      <c r="B736" s="23" t="s">
        <v>1145</v>
      </c>
      <c r="C736" s="23" t="s">
        <v>176</v>
      </c>
      <c r="D736" s="23" t="s">
        <v>808</v>
      </c>
      <c r="E736" s="23" t="s">
        <v>809</v>
      </c>
      <c r="F736">
        <v>1</v>
      </c>
      <c r="G736" s="23" t="s">
        <v>177</v>
      </c>
      <c r="H736">
        <v>0</v>
      </c>
      <c r="I736">
        <v>11</v>
      </c>
      <c r="J736" s="10">
        <v>1</v>
      </c>
      <c r="K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736">
        <v>0</v>
      </c>
      <c r="M7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6">
        <v>583.33000000000004</v>
      </c>
      <c r="O736" s="23" t="s">
        <v>629</v>
      </c>
      <c r="P736">
        <v>583.33000000000004</v>
      </c>
      <c r="Q736" s="23" t="s">
        <v>178</v>
      </c>
    </row>
    <row r="737" spans="1:17" x14ac:dyDescent="0.25">
      <c r="A737" s="23" t="s">
        <v>1058</v>
      </c>
      <c r="B737" s="23" t="s">
        <v>1059</v>
      </c>
      <c r="C737" s="23" t="s">
        <v>176</v>
      </c>
      <c r="D737" s="23" t="s">
        <v>537</v>
      </c>
      <c r="E737" s="23" t="s">
        <v>538</v>
      </c>
      <c r="F737">
        <v>45</v>
      </c>
      <c r="G737" s="23" t="s">
        <v>177</v>
      </c>
      <c r="H737">
        <v>0</v>
      </c>
      <c r="I737">
        <v>2200</v>
      </c>
      <c r="J737" s="10">
        <v>0</v>
      </c>
      <c r="K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37">
        <v>0</v>
      </c>
      <c r="M7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7">
        <v>0.7</v>
      </c>
      <c r="O737" s="23" t="s">
        <v>242</v>
      </c>
      <c r="P737">
        <v>31.499999999999996</v>
      </c>
      <c r="Q737" s="23" t="s">
        <v>181</v>
      </c>
    </row>
    <row r="738" spans="1:17" x14ac:dyDescent="0.25">
      <c r="A738" s="23" t="s">
        <v>1055</v>
      </c>
      <c r="B738" s="23" t="s">
        <v>1056</v>
      </c>
      <c r="C738" s="23" t="s">
        <v>176</v>
      </c>
      <c r="D738" s="23" t="s">
        <v>537</v>
      </c>
      <c r="E738" s="23" t="s">
        <v>538</v>
      </c>
      <c r="F738">
        <v>40</v>
      </c>
      <c r="G738" s="23" t="s">
        <v>177</v>
      </c>
      <c r="H738">
        <v>0</v>
      </c>
      <c r="I738">
        <v>2200</v>
      </c>
      <c r="J738" s="10">
        <v>0</v>
      </c>
      <c r="K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38">
        <v>0</v>
      </c>
      <c r="M7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8">
        <v>0.7</v>
      </c>
      <c r="O738" s="23" t="s">
        <v>242</v>
      </c>
      <c r="P738">
        <v>28</v>
      </c>
      <c r="Q738" s="23" t="s">
        <v>181</v>
      </c>
    </row>
    <row r="739" spans="1:17" x14ac:dyDescent="0.25">
      <c r="A739" s="23" t="s">
        <v>1148</v>
      </c>
      <c r="B739" s="23" t="s">
        <v>1054</v>
      </c>
      <c r="C739" s="23" t="s">
        <v>176</v>
      </c>
      <c r="D739" s="23" t="s">
        <v>537</v>
      </c>
      <c r="E739" s="23" t="s">
        <v>538</v>
      </c>
      <c r="F739">
        <v>7</v>
      </c>
      <c r="G739" s="23" t="s">
        <v>177</v>
      </c>
      <c r="H739">
        <v>0</v>
      </c>
      <c r="I739">
        <v>2200</v>
      </c>
      <c r="J739" s="10">
        <v>0</v>
      </c>
      <c r="K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39">
        <v>0</v>
      </c>
      <c r="M7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39">
        <v>0.7</v>
      </c>
      <c r="O739" s="23" t="s">
        <v>242</v>
      </c>
      <c r="P739">
        <v>4.8999999999999995</v>
      </c>
      <c r="Q739" s="23" t="s">
        <v>181</v>
      </c>
    </row>
    <row r="740" spans="1:17" x14ac:dyDescent="0.25">
      <c r="A740" s="23" t="s">
        <v>1099</v>
      </c>
      <c r="B740" s="23" t="s">
        <v>1056</v>
      </c>
      <c r="C740" s="23" t="s">
        <v>176</v>
      </c>
      <c r="D740" s="23" t="s">
        <v>537</v>
      </c>
      <c r="E740" s="23" t="s">
        <v>538</v>
      </c>
      <c r="F740">
        <v>40</v>
      </c>
      <c r="G740" s="23" t="s">
        <v>177</v>
      </c>
      <c r="H740">
        <v>0</v>
      </c>
      <c r="I740">
        <v>2200</v>
      </c>
      <c r="J740" s="10">
        <v>0</v>
      </c>
      <c r="K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740">
        <v>0</v>
      </c>
      <c r="M7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0">
        <v>0.7</v>
      </c>
      <c r="O740" s="23" t="s">
        <v>242</v>
      </c>
      <c r="P740">
        <v>28</v>
      </c>
      <c r="Q740" s="23" t="s">
        <v>181</v>
      </c>
    </row>
    <row r="741" spans="1:17" x14ac:dyDescent="0.25">
      <c r="A741" s="23" t="s">
        <v>1147</v>
      </c>
      <c r="B741" s="23" t="s">
        <v>1145</v>
      </c>
      <c r="C741" s="23" t="s">
        <v>176</v>
      </c>
      <c r="D741" s="23" t="s">
        <v>669</v>
      </c>
      <c r="E741" s="23" t="s">
        <v>670</v>
      </c>
      <c r="F741">
        <v>1</v>
      </c>
      <c r="G741" s="23" t="s">
        <v>177</v>
      </c>
      <c r="H741">
        <v>0</v>
      </c>
      <c r="I741">
        <v>13</v>
      </c>
      <c r="J741" s="10">
        <v>4</v>
      </c>
      <c r="K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741">
        <v>0</v>
      </c>
      <c r="M7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1">
        <v>1250</v>
      </c>
      <c r="O741" s="23" t="s">
        <v>338</v>
      </c>
      <c r="P741">
        <v>1250</v>
      </c>
      <c r="Q741" s="23" t="s">
        <v>178</v>
      </c>
    </row>
    <row r="742" spans="1:17" x14ac:dyDescent="0.25">
      <c r="A742" s="23" t="s">
        <v>1148</v>
      </c>
      <c r="B742" s="23" t="s">
        <v>1054</v>
      </c>
      <c r="C742" s="23" t="s">
        <v>176</v>
      </c>
      <c r="D742" s="23" t="s">
        <v>669</v>
      </c>
      <c r="E742" s="23" t="s">
        <v>670</v>
      </c>
      <c r="F742">
        <v>1</v>
      </c>
      <c r="G742" s="23" t="s">
        <v>177</v>
      </c>
      <c r="H742">
        <v>0</v>
      </c>
      <c r="I742">
        <v>13</v>
      </c>
      <c r="J742" s="10">
        <v>4</v>
      </c>
      <c r="K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742">
        <v>0</v>
      </c>
      <c r="M7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2">
        <v>1250</v>
      </c>
      <c r="O742" s="23" t="s">
        <v>338</v>
      </c>
      <c r="P742">
        <v>1250</v>
      </c>
      <c r="Q742" s="23" t="s">
        <v>178</v>
      </c>
    </row>
    <row r="743" spans="1:17" x14ac:dyDescent="0.25">
      <c r="A743" s="23" t="s">
        <v>1148</v>
      </c>
      <c r="B743" s="23" t="s">
        <v>1054</v>
      </c>
      <c r="C743" s="23" t="s">
        <v>176</v>
      </c>
      <c r="D743" s="23" t="s">
        <v>71</v>
      </c>
      <c r="E743" s="23" t="s">
        <v>289</v>
      </c>
      <c r="F743">
        <v>5.49</v>
      </c>
      <c r="G743" s="23" t="s">
        <v>186</v>
      </c>
      <c r="H743">
        <v>0</v>
      </c>
      <c r="I743">
        <v>120</v>
      </c>
      <c r="J743" s="10">
        <v>113.68999999999956</v>
      </c>
      <c r="K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743">
        <v>120</v>
      </c>
      <c r="M7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3">
        <v>101.44</v>
      </c>
      <c r="O743" s="23" t="s">
        <v>491</v>
      </c>
      <c r="P743">
        <v>556.90560000000005</v>
      </c>
      <c r="Q743" s="23" t="s">
        <v>184</v>
      </c>
    </row>
    <row r="744" spans="1:17" x14ac:dyDescent="0.25">
      <c r="A744" s="23" t="s">
        <v>1148</v>
      </c>
      <c r="B744" s="23" t="s">
        <v>1054</v>
      </c>
      <c r="C744" s="23" t="s">
        <v>176</v>
      </c>
      <c r="D744" s="23" t="s">
        <v>72</v>
      </c>
      <c r="E744" s="23" t="s">
        <v>251</v>
      </c>
      <c r="F744">
        <v>11.099999999999998</v>
      </c>
      <c r="G744" s="23" t="s">
        <v>177</v>
      </c>
      <c r="H744">
        <v>0</v>
      </c>
      <c r="I744">
        <v>96</v>
      </c>
      <c r="J744" s="10">
        <v>195.44000000000005</v>
      </c>
      <c r="K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744">
        <v>0</v>
      </c>
      <c r="M7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744">
        <v>128.93</v>
      </c>
      <c r="O744" s="23" t="s">
        <v>252</v>
      </c>
      <c r="P744">
        <v>1431.1229999999998</v>
      </c>
      <c r="Q744" s="23" t="s">
        <v>181</v>
      </c>
    </row>
    <row r="745" spans="1:17" x14ac:dyDescent="0.25">
      <c r="A745" s="23" t="s">
        <v>1055</v>
      </c>
      <c r="B745" s="23" t="s">
        <v>1056</v>
      </c>
      <c r="C745" s="23" t="s">
        <v>176</v>
      </c>
      <c r="D745" s="23" t="s">
        <v>72</v>
      </c>
      <c r="E745" s="23" t="s">
        <v>251</v>
      </c>
      <c r="F745">
        <v>7.4999999999999991</v>
      </c>
      <c r="G745" s="23" t="s">
        <v>177</v>
      </c>
      <c r="H745">
        <v>0</v>
      </c>
      <c r="I745">
        <v>96</v>
      </c>
      <c r="J745" s="10">
        <v>195.44000000000005</v>
      </c>
      <c r="K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745">
        <v>0</v>
      </c>
      <c r="M7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745">
        <v>128.93</v>
      </c>
      <c r="O745" s="23" t="s">
        <v>252</v>
      </c>
      <c r="P745">
        <v>966.97499999999991</v>
      </c>
      <c r="Q745" s="23" t="s">
        <v>181</v>
      </c>
    </row>
    <row r="746" spans="1:17" x14ac:dyDescent="0.25">
      <c r="A746" s="23" t="s">
        <v>1055</v>
      </c>
      <c r="B746" s="23" t="s">
        <v>1056</v>
      </c>
      <c r="C746" s="23" t="s">
        <v>176</v>
      </c>
      <c r="D746" s="23" t="s">
        <v>492</v>
      </c>
      <c r="E746" s="23" t="s">
        <v>493</v>
      </c>
      <c r="F746">
        <v>14</v>
      </c>
      <c r="G746" s="23" t="s">
        <v>180</v>
      </c>
      <c r="H746">
        <v>0</v>
      </c>
      <c r="I746">
        <v>0</v>
      </c>
      <c r="J746" s="10">
        <v>0</v>
      </c>
      <c r="K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46">
        <v>200</v>
      </c>
      <c r="M7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46">
        <v>4.01</v>
      </c>
      <c r="O746" s="23" t="s">
        <v>708</v>
      </c>
      <c r="P746">
        <v>56.14</v>
      </c>
      <c r="Q746" s="23" t="s">
        <v>185</v>
      </c>
    </row>
    <row r="747" spans="1:17" x14ac:dyDescent="0.25">
      <c r="A747" s="23" t="s">
        <v>1148</v>
      </c>
      <c r="B747" s="23" t="s">
        <v>1054</v>
      </c>
      <c r="C747" s="23" t="s">
        <v>176</v>
      </c>
      <c r="D747" s="23" t="s">
        <v>492</v>
      </c>
      <c r="E747" s="23" t="s">
        <v>493</v>
      </c>
      <c r="F747">
        <v>14</v>
      </c>
      <c r="G747" s="23" t="s">
        <v>180</v>
      </c>
      <c r="H747">
        <v>0</v>
      </c>
      <c r="I747">
        <v>0</v>
      </c>
      <c r="J747" s="10">
        <v>0</v>
      </c>
      <c r="K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47">
        <v>200</v>
      </c>
      <c r="M7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47">
        <v>4.01</v>
      </c>
      <c r="O747" s="23" t="s">
        <v>708</v>
      </c>
      <c r="P747">
        <v>56.14</v>
      </c>
      <c r="Q747" s="23" t="s">
        <v>185</v>
      </c>
    </row>
    <row r="748" spans="1:17" x14ac:dyDescent="0.25">
      <c r="A748" s="23" t="s">
        <v>1099</v>
      </c>
      <c r="B748" s="23" t="s">
        <v>1056</v>
      </c>
      <c r="C748" s="23" t="s">
        <v>176</v>
      </c>
      <c r="D748" s="23" t="s">
        <v>492</v>
      </c>
      <c r="E748" s="23" t="s">
        <v>493</v>
      </c>
      <c r="F748">
        <v>14</v>
      </c>
      <c r="G748" s="23" t="s">
        <v>180</v>
      </c>
      <c r="H748">
        <v>0</v>
      </c>
      <c r="I748">
        <v>0</v>
      </c>
      <c r="J748" s="10">
        <v>0</v>
      </c>
      <c r="K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748">
        <v>200</v>
      </c>
      <c r="M7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748">
        <v>4.01</v>
      </c>
      <c r="O748" s="23" t="s">
        <v>708</v>
      </c>
      <c r="P748">
        <v>56.14</v>
      </c>
      <c r="Q748" s="23" t="s">
        <v>185</v>
      </c>
    </row>
    <row r="749" spans="1:17" x14ac:dyDescent="0.25">
      <c r="A749" s="23" t="s">
        <v>1058</v>
      </c>
      <c r="B749" s="23" t="s">
        <v>1059</v>
      </c>
      <c r="C749" s="23" t="s">
        <v>176</v>
      </c>
      <c r="D749" s="23" t="s">
        <v>232</v>
      </c>
      <c r="E749" s="23" t="s">
        <v>233</v>
      </c>
      <c r="F749">
        <v>2</v>
      </c>
      <c r="G749" s="23" t="s">
        <v>177</v>
      </c>
      <c r="H749">
        <v>0</v>
      </c>
      <c r="I749">
        <v>239</v>
      </c>
      <c r="J749" s="10">
        <v>90</v>
      </c>
      <c r="K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749">
        <v>0</v>
      </c>
      <c r="M7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49">
        <v>4</v>
      </c>
      <c r="O749" s="23" t="s">
        <v>221</v>
      </c>
      <c r="P749">
        <v>8</v>
      </c>
      <c r="Q749" s="23" t="s">
        <v>222</v>
      </c>
    </row>
    <row r="750" spans="1:17" x14ac:dyDescent="0.25">
      <c r="A750" s="23" t="s">
        <v>1147</v>
      </c>
      <c r="B750" s="23" t="s">
        <v>1145</v>
      </c>
      <c r="C750" s="23" t="s">
        <v>176</v>
      </c>
      <c r="D750" s="23" t="s">
        <v>371</v>
      </c>
      <c r="E750" s="23" t="s">
        <v>372</v>
      </c>
      <c r="F750">
        <v>10</v>
      </c>
      <c r="G750" s="23" t="s">
        <v>177</v>
      </c>
      <c r="H750">
        <v>0</v>
      </c>
      <c r="I750">
        <v>196</v>
      </c>
      <c r="J750" s="10">
        <v>31</v>
      </c>
      <c r="K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750">
        <v>0</v>
      </c>
      <c r="M7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750">
        <v>20</v>
      </c>
      <c r="O750" s="23" t="s">
        <v>242</v>
      </c>
      <c r="P750">
        <v>200</v>
      </c>
      <c r="Q750" s="23" t="s">
        <v>181</v>
      </c>
    </row>
    <row r="751" spans="1:17" x14ac:dyDescent="0.25">
      <c r="A751" s="23" t="s">
        <v>1099</v>
      </c>
      <c r="B751" s="23" t="s">
        <v>1056</v>
      </c>
      <c r="C751" s="23" t="s">
        <v>176</v>
      </c>
      <c r="D751" s="23" t="s">
        <v>46</v>
      </c>
      <c r="E751" s="23" t="s">
        <v>47</v>
      </c>
      <c r="F751">
        <v>4</v>
      </c>
      <c r="G751" s="23" t="s">
        <v>177</v>
      </c>
      <c r="H751">
        <v>4</v>
      </c>
      <c r="I751">
        <v>83</v>
      </c>
      <c r="J751" s="10">
        <v>52</v>
      </c>
      <c r="K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751">
        <v>0</v>
      </c>
      <c r="M7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1">
        <v>170</v>
      </c>
      <c r="O751" s="23" t="s">
        <v>247</v>
      </c>
      <c r="P751">
        <v>680</v>
      </c>
      <c r="Q751" s="23" t="s">
        <v>181</v>
      </c>
    </row>
    <row r="752" spans="1:17" x14ac:dyDescent="0.25">
      <c r="A752" s="23" t="s">
        <v>1197</v>
      </c>
      <c r="B752" s="23" t="s">
        <v>1198</v>
      </c>
      <c r="C752" s="23" t="s">
        <v>176</v>
      </c>
      <c r="D752" s="23" t="s">
        <v>350</v>
      </c>
      <c r="E752" s="23" t="s">
        <v>351</v>
      </c>
      <c r="F752">
        <v>0.5</v>
      </c>
      <c r="G752" s="23" t="s">
        <v>177</v>
      </c>
      <c r="H752">
        <v>0</v>
      </c>
      <c r="I752">
        <v>12</v>
      </c>
      <c r="J752" s="10">
        <v>3</v>
      </c>
      <c r="K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752">
        <v>0</v>
      </c>
      <c r="M7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2">
        <v>130</v>
      </c>
      <c r="O752" s="23" t="s">
        <v>227</v>
      </c>
      <c r="P752">
        <v>65</v>
      </c>
      <c r="Q752" s="23" t="s">
        <v>184</v>
      </c>
    </row>
    <row r="753" spans="1:17" x14ac:dyDescent="0.25">
      <c r="A753" s="23" t="s">
        <v>1098</v>
      </c>
      <c r="B753" s="23" t="s">
        <v>1053</v>
      </c>
      <c r="C753" s="23" t="s">
        <v>176</v>
      </c>
      <c r="D753" s="23" t="s">
        <v>87</v>
      </c>
      <c r="E753" s="23" t="s">
        <v>88</v>
      </c>
      <c r="F753">
        <v>5.5</v>
      </c>
      <c r="G753" s="23" t="s">
        <v>177</v>
      </c>
      <c r="H753">
        <v>0</v>
      </c>
      <c r="I753">
        <v>48</v>
      </c>
      <c r="J753" s="10">
        <v>7.1054273576010019E-15</v>
      </c>
      <c r="K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753">
        <v>0</v>
      </c>
      <c r="M7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753">
        <v>100</v>
      </c>
      <c r="O753" s="23" t="s">
        <v>242</v>
      </c>
      <c r="P753">
        <v>550</v>
      </c>
      <c r="Q753" s="23" t="s">
        <v>184</v>
      </c>
    </row>
    <row r="754" spans="1:17" x14ac:dyDescent="0.25">
      <c r="A754" s="23" t="s">
        <v>1147</v>
      </c>
      <c r="B754" s="23" t="s">
        <v>1145</v>
      </c>
      <c r="C754" s="23" t="s">
        <v>176</v>
      </c>
      <c r="D754" s="23" t="s">
        <v>529</v>
      </c>
      <c r="E754" s="23" t="s">
        <v>530</v>
      </c>
      <c r="F754">
        <v>10</v>
      </c>
      <c r="G754" s="23" t="s">
        <v>177</v>
      </c>
      <c r="H754">
        <v>0</v>
      </c>
      <c r="I754">
        <v>1800</v>
      </c>
      <c r="J754" s="10">
        <v>773</v>
      </c>
      <c r="K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754">
        <v>0</v>
      </c>
      <c r="M7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4">
        <v>0.8</v>
      </c>
      <c r="O754" s="23" t="s">
        <v>242</v>
      </c>
      <c r="P754">
        <v>8</v>
      </c>
      <c r="Q754" s="23" t="s">
        <v>181</v>
      </c>
    </row>
    <row r="755" spans="1:17" x14ac:dyDescent="0.25">
      <c r="A755" s="23" t="s">
        <v>1150</v>
      </c>
      <c r="B755" s="23" t="s">
        <v>1145</v>
      </c>
      <c r="C755" s="23" t="s">
        <v>176</v>
      </c>
      <c r="D755" s="23" t="s">
        <v>131</v>
      </c>
      <c r="E755" s="23" t="s">
        <v>132</v>
      </c>
      <c r="F755">
        <v>88</v>
      </c>
      <c r="G755" s="23" t="s">
        <v>177</v>
      </c>
      <c r="H755">
        <v>0</v>
      </c>
      <c r="I755">
        <v>2750</v>
      </c>
      <c r="J755" s="10">
        <v>0</v>
      </c>
      <c r="K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55">
        <v>0</v>
      </c>
      <c r="M7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5">
        <v>0.7</v>
      </c>
      <c r="O755" s="23" t="s">
        <v>242</v>
      </c>
      <c r="P755">
        <v>61.599999999999994</v>
      </c>
      <c r="Q755" s="23" t="s">
        <v>181</v>
      </c>
    </row>
    <row r="756" spans="1:17" x14ac:dyDescent="0.25">
      <c r="A756" s="23" t="s">
        <v>1144</v>
      </c>
      <c r="B756" s="23" t="s">
        <v>1145</v>
      </c>
      <c r="C756" s="23" t="s">
        <v>176</v>
      </c>
      <c r="D756" s="23" t="s">
        <v>64</v>
      </c>
      <c r="E756" s="23" t="s">
        <v>65</v>
      </c>
      <c r="F756">
        <v>1</v>
      </c>
      <c r="G756" s="23" t="s">
        <v>177</v>
      </c>
      <c r="H756">
        <v>0</v>
      </c>
      <c r="I756">
        <v>38</v>
      </c>
      <c r="J756" s="10">
        <v>10</v>
      </c>
      <c r="K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56">
        <v>0</v>
      </c>
      <c r="M7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6">
        <v>95</v>
      </c>
      <c r="O756" s="23" t="s">
        <v>218</v>
      </c>
      <c r="P756">
        <v>95</v>
      </c>
      <c r="Q756" s="23" t="s">
        <v>181</v>
      </c>
    </row>
    <row r="757" spans="1:17" x14ac:dyDescent="0.25">
      <c r="A757" s="23" t="s">
        <v>1146</v>
      </c>
      <c r="B757" s="23" t="s">
        <v>1145</v>
      </c>
      <c r="C757" s="23" t="s">
        <v>176</v>
      </c>
      <c r="D757" s="23" t="s">
        <v>64</v>
      </c>
      <c r="E757" s="23" t="s">
        <v>65</v>
      </c>
      <c r="F757">
        <v>1</v>
      </c>
      <c r="G757" s="23" t="s">
        <v>177</v>
      </c>
      <c r="H757">
        <v>0</v>
      </c>
      <c r="I757">
        <v>38</v>
      </c>
      <c r="J757" s="10">
        <v>10</v>
      </c>
      <c r="K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57">
        <v>0</v>
      </c>
      <c r="M7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7">
        <v>95</v>
      </c>
      <c r="O757" s="23" t="s">
        <v>218</v>
      </c>
      <c r="P757">
        <v>95</v>
      </c>
      <c r="Q757" s="23" t="s">
        <v>181</v>
      </c>
    </row>
    <row r="758" spans="1:17" x14ac:dyDescent="0.25">
      <c r="A758" s="23" t="s">
        <v>1148</v>
      </c>
      <c r="B758" s="23" t="s">
        <v>1054</v>
      </c>
      <c r="C758" s="23" t="s">
        <v>176</v>
      </c>
      <c r="D758" s="23" t="s">
        <v>753</v>
      </c>
      <c r="E758" s="23" t="s">
        <v>754</v>
      </c>
      <c r="F758">
        <v>1</v>
      </c>
      <c r="G758" s="23" t="s">
        <v>177</v>
      </c>
      <c r="H758">
        <v>0</v>
      </c>
      <c r="I758">
        <v>5</v>
      </c>
      <c r="J758" s="10">
        <v>2</v>
      </c>
      <c r="K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758">
        <v>0</v>
      </c>
      <c r="M7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8">
        <v>7450</v>
      </c>
      <c r="O758" s="23" t="s">
        <v>585</v>
      </c>
      <c r="P758">
        <v>7450</v>
      </c>
      <c r="Q758" s="23" t="s">
        <v>178</v>
      </c>
    </row>
    <row r="759" spans="1:17" x14ac:dyDescent="0.25">
      <c r="A759" s="23" t="s">
        <v>1197</v>
      </c>
      <c r="B759" s="23" t="s">
        <v>1198</v>
      </c>
      <c r="C759" s="23" t="s">
        <v>176</v>
      </c>
      <c r="D759" s="23" t="s">
        <v>131</v>
      </c>
      <c r="E759" s="23" t="s">
        <v>132</v>
      </c>
      <c r="F759">
        <v>88</v>
      </c>
      <c r="G759" s="23" t="s">
        <v>177</v>
      </c>
      <c r="H759">
        <v>0</v>
      </c>
      <c r="I759">
        <v>2750</v>
      </c>
      <c r="J759" s="10">
        <v>0</v>
      </c>
      <c r="K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59">
        <v>0</v>
      </c>
      <c r="M7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59">
        <v>0.7</v>
      </c>
      <c r="O759" s="23" t="s">
        <v>242</v>
      </c>
      <c r="P759">
        <v>61.599999999999994</v>
      </c>
      <c r="Q759" s="23" t="s">
        <v>181</v>
      </c>
    </row>
    <row r="760" spans="1:17" x14ac:dyDescent="0.25">
      <c r="A760" s="23" t="s">
        <v>1098</v>
      </c>
      <c r="B760" s="23" t="s">
        <v>1053</v>
      </c>
      <c r="C760" s="23" t="s">
        <v>176</v>
      </c>
      <c r="D760" s="23" t="s">
        <v>131</v>
      </c>
      <c r="E760" s="23" t="s">
        <v>132</v>
      </c>
      <c r="F760">
        <v>146</v>
      </c>
      <c r="G760" s="23" t="s">
        <v>177</v>
      </c>
      <c r="H760">
        <v>0</v>
      </c>
      <c r="I760">
        <v>2750</v>
      </c>
      <c r="J760" s="10">
        <v>0</v>
      </c>
      <c r="K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60">
        <v>0</v>
      </c>
      <c r="M7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0">
        <v>0.7</v>
      </c>
      <c r="O760" s="23" t="s">
        <v>242</v>
      </c>
      <c r="P760">
        <v>102.19999999999999</v>
      </c>
      <c r="Q760" s="23" t="s">
        <v>181</v>
      </c>
    </row>
    <row r="761" spans="1:17" x14ac:dyDescent="0.25">
      <c r="A761" s="23" t="s">
        <v>1197</v>
      </c>
      <c r="B761" s="23" t="s">
        <v>1198</v>
      </c>
      <c r="C761" s="23" t="s">
        <v>176</v>
      </c>
      <c r="D761" s="23" t="s">
        <v>529</v>
      </c>
      <c r="E761" s="23" t="s">
        <v>530</v>
      </c>
      <c r="F761">
        <v>10</v>
      </c>
      <c r="G761" s="23" t="s">
        <v>177</v>
      </c>
      <c r="H761">
        <v>0</v>
      </c>
      <c r="I761">
        <v>1800</v>
      </c>
      <c r="J761" s="10">
        <v>773</v>
      </c>
      <c r="K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761">
        <v>0</v>
      </c>
      <c r="M7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1">
        <v>0.8</v>
      </c>
      <c r="O761" s="23" t="s">
        <v>242</v>
      </c>
      <c r="P761">
        <v>8</v>
      </c>
      <c r="Q761" s="23" t="s">
        <v>181</v>
      </c>
    </row>
    <row r="762" spans="1:17" x14ac:dyDescent="0.25">
      <c r="A762" s="23" t="s">
        <v>1098</v>
      </c>
      <c r="B762" s="23" t="s">
        <v>1053</v>
      </c>
      <c r="C762" s="23" t="s">
        <v>176</v>
      </c>
      <c r="D762" s="23" t="s">
        <v>529</v>
      </c>
      <c r="E762" s="23" t="s">
        <v>530</v>
      </c>
      <c r="F762">
        <v>21</v>
      </c>
      <c r="G762" s="23" t="s">
        <v>177</v>
      </c>
      <c r="H762">
        <v>0</v>
      </c>
      <c r="I762">
        <v>1800</v>
      </c>
      <c r="J762" s="10">
        <v>773</v>
      </c>
      <c r="K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762">
        <v>0</v>
      </c>
      <c r="M7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2">
        <v>0.8</v>
      </c>
      <c r="O762" s="23" t="s">
        <v>242</v>
      </c>
      <c r="P762">
        <v>16.8</v>
      </c>
      <c r="Q762" s="23" t="s">
        <v>181</v>
      </c>
    </row>
    <row r="763" spans="1:17" x14ac:dyDescent="0.25">
      <c r="A763" s="23" t="s">
        <v>1147</v>
      </c>
      <c r="B763" s="23" t="s">
        <v>1145</v>
      </c>
      <c r="C763" s="23" t="s">
        <v>176</v>
      </c>
      <c r="D763" s="23" t="s">
        <v>64</v>
      </c>
      <c r="E763" s="23" t="s">
        <v>65</v>
      </c>
      <c r="F763">
        <v>1</v>
      </c>
      <c r="G763" s="23" t="s">
        <v>177</v>
      </c>
      <c r="H763">
        <v>0</v>
      </c>
      <c r="I763">
        <v>38</v>
      </c>
      <c r="J763" s="10">
        <v>10</v>
      </c>
      <c r="K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63">
        <v>0</v>
      </c>
      <c r="M7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3">
        <v>95</v>
      </c>
      <c r="O763" s="23" t="s">
        <v>218</v>
      </c>
      <c r="P763">
        <v>95</v>
      </c>
      <c r="Q763" s="23" t="s">
        <v>181</v>
      </c>
    </row>
    <row r="764" spans="1:17" x14ac:dyDescent="0.25">
      <c r="A764" s="23" t="s">
        <v>1062</v>
      </c>
      <c r="B764" s="23" t="s">
        <v>1053</v>
      </c>
      <c r="C764" s="23" t="s">
        <v>176</v>
      </c>
      <c r="D764" s="23" t="s">
        <v>131</v>
      </c>
      <c r="E764" s="23" t="s">
        <v>132</v>
      </c>
      <c r="F764">
        <v>96</v>
      </c>
      <c r="G764" s="23" t="s">
        <v>177</v>
      </c>
      <c r="H764">
        <v>0</v>
      </c>
      <c r="I764">
        <v>2750</v>
      </c>
      <c r="J764" s="10">
        <v>0</v>
      </c>
      <c r="K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64">
        <v>0</v>
      </c>
      <c r="M7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4">
        <v>0.7</v>
      </c>
      <c r="O764" s="23" t="s">
        <v>242</v>
      </c>
      <c r="P764">
        <v>67.199999999999989</v>
      </c>
      <c r="Q764" s="23" t="s">
        <v>181</v>
      </c>
    </row>
    <row r="765" spans="1:17" x14ac:dyDescent="0.25">
      <c r="A765" s="23" t="s">
        <v>1097</v>
      </c>
      <c r="B765" s="23" t="s">
        <v>1095</v>
      </c>
      <c r="C765" s="23" t="s">
        <v>176</v>
      </c>
      <c r="D765" s="23" t="s">
        <v>131</v>
      </c>
      <c r="E765" s="23" t="s">
        <v>132</v>
      </c>
      <c r="F765">
        <v>88</v>
      </c>
      <c r="G765" s="23" t="s">
        <v>177</v>
      </c>
      <c r="H765">
        <v>0</v>
      </c>
      <c r="I765">
        <v>2750</v>
      </c>
      <c r="J765" s="10">
        <v>0</v>
      </c>
      <c r="K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65">
        <v>0</v>
      </c>
      <c r="M7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5">
        <v>0.7</v>
      </c>
      <c r="O765" s="23" t="s">
        <v>242</v>
      </c>
      <c r="P765">
        <v>61.599999999999994</v>
      </c>
      <c r="Q765" s="23" t="s">
        <v>181</v>
      </c>
    </row>
    <row r="766" spans="1:17" x14ac:dyDescent="0.25">
      <c r="A766" s="23" t="s">
        <v>1097</v>
      </c>
      <c r="B766" s="23" t="s">
        <v>1095</v>
      </c>
      <c r="C766" s="23" t="s">
        <v>176</v>
      </c>
      <c r="D766" s="23" t="s">
        <v>529</v>
      </c>
      <c r="E766" s="23" t="s">
        <v>530</v>
      </c>
      <c r="F766">
        <v>18</v>
      </c>
      <c r="G766" s="23" t="s">
        <v>177</v>
      </c>
      <c r="H766">
        <v>0</v>
      </c>
      <c r="I766">
        <v>1800</v>
      </c>
      <c r="J766" s="10">
        <v>773</v>
      </c>
      <c r="K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766">
        <v>0</v>
      </c>
      <c r="M7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6">
        <v>0.8</v>
      </c>
      <c r="O766" s="23" t="s">
        <v>242</v>
      </c>
      <c r="P766">
        <v>14.4</v>
      </c>
      <c r="Q766" s="23" t="s">
        <v>181</v>
      </c>
    </row>
    <row r="767" spans="1:17" x14ac:dyDescent="0.25">
      <c r="A767" s="23" t="s">
        <v>1197</v>
      </c>
      <c r="B767" s="23" t="s">
        <v>1198</v>
      </c>
      <c r="C767" s="23" t="s">
        <v>176</v>
      </c>
      <c r="D767" s="23" t="s">
        <v>64</v>
      </c>
      <c r="E767" s="23" t="s">
        <v>65</v>
      </c>
      <c r="F767">
        <v>1</v>
      </c>
      <c r="G767" s="23" t="s">
        <v>177</v>
      </c>
      <c r="H767">
        <v>0</v>
      </c>
      <c r="I767">
        <v>38</v>
      </c>
      <c r="J767" s="10">
        <v>10</v>
      </c>
      <c r="K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67">
        <v>0</v>
      </c>
      <c r="M7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7">
        <v>95</v>
      </c>
      <c r="O767" s="23" t="s">
        <v>218</v>
      </c>
      <c r="P767">
        <v>95</v>
      </c>
      <c r="Q767" s="23" t="s">
        <v>181</v>
      </c>
    </row>
    <row r="768" spans="1:17" x14ac:dyDescent="0.25">
      <c r="A768" s="23" t="s">
        <v>1098</v>
      </c>
      <c r="B768" s="23" t="s">
        <v>1053</v>
      </c>
      <c r="C768" s="23" t="s">
        <v>176</v>
      </c>
      <c r="D768" s="23" t="s">
        <v>64</v>
      </c>
      <c r="E768" s="23" t="s">
        <v>65</v>
      </c>
      <c r="F768">
        <v>2</v>
      </c>
      <c r="G768" s="23" t="s">
        <v>177</v>
      </c>
      <c r="H768">
        <v>0</v>
      </c>
      <c r="I768">
        <v>38</v>
      </c>
      <c r="J768" s="10">
        <v>10</v>
      </c>
      <c r="K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68">
        <v>0</v>
      </c>
      <c r="M7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8">
        <v>95</v>
      </c>
      <c r="O768" s="23" t="s">
        <v>218</v>
      </c>
      <c r="P768">
        <v>190</v>
      </c>
      <c r="Q768" s="23" t="s">
        <v>181</v>
      </c>
    </row>
    <row r="769" spans="1:17" x14ac:dyDescent="0.25">
      <c r="A769" s="23" t="s">
        <v>1057</v>
      </c>
      <c r="B769" s="23" t="s">
        <v>1056</v>
      </c>
      <c r="C769" s="23" t="s">
        <v>176</v>
      </c>
      <c r="D769" s="23" t="s">
        <v>131</v>
      </c>
      <c r="E769" s="23" t="s">
        <v>132</v>
      </c>
      <c r="F769">
        <v>118</v>
      </c>
      <c r="G769" s="23" t="s">
        <v>177</v>
      </c>
      <c r="H769">
        <v>0</v>
      </c>
      <c r="I769">
        <v>2750</v>
      </c>
      <c r="J769" s="10">
        <v>0</v>
      </c>
      <c r="K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69">
        <v>0</v>
      </c>
      <c r="M7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69">
        <v>0.7</v>
      </c>
      <c r="O769" s="23" t="s">
        <v>242</v>
      </c>
      <c r="P769">
        <v>82.6</v>
      </c>
      <c r="Q769" s="23" t="s">
        <v>181</v>
      </c>
    </row>
    <row r="770" spans="1:17" x14ac:dyDescent="0.25">
      <c r="A770" s="23" t="s">
        <v>1094</v>
      </c>
      <c r="B770" s="23" t="s">
        <v>1095</v>
      </c>
      <c r="C770" s="23" t="s">
        <v>176</v>
      </c>
      <c r="D770" s="23" t="s">
        <v>131</v>
      </c>
      <c r="E770" s="23" t="s">
        <v>132</v>
      </c>
      <c r="F770">
        <v>88</v>
      </c>
      <c r="G770" s="23" t="s">
        <v>177</v>
      </c>
      <c r="H770">
        <v>0</v>
      </c>
      <c r="I770">
        <v>2750</v>
      </c>
      <c r="J770" s="10">
        <v>0</v>
      </c>
      <c r="K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70">
        <v>0</v>
      </c>
      <c r="M7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0">
        <v>0.7</v>
      </c>
      <c r="O770" s="23" t="s">
        <v>242</v>
      </c>
      <c r="P770">
        <v>61.599999999999994</v>
      </c>
      <c r="Q770" s="23" t="s">
        <v>181</v>
      </c>
    </row>
    <row r="771" spans="1:17" x14ac:dyDescent="0.25">
      <c r="A771" s="23" t="s">
        <v>1142</v>
      </c>
      <c r="B771" s="23" t="s">
        <v>1054</v>
      </c>
      <c r="C771" s="23" t="s">
        <v>176</v>
      </c>
      <c r="D771" s="23" t="s">
        <v>1070</v>
      </c>
      <c r="E771" s="23" t="s">
        <v>1071</v>
      </c>
      <c r="F771">
        <v>0.5</v>
      </c>
      <c r="G771" s="23" t="s">
        <v>177</v>
      </c>
      <c r="H771">
        <v>0</v>
      </c>
      <c r="I771">
        <v>0</v>
      </c>
      <c r="J771" s="10">
        <v>0</v>
      </c>
      <c r="K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</v>
      </c>
      <c r="L771">
        <v>0</v>
      </c>
      <c r="M7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208.32499999999999</v>
      </c>
      <c r="N771">
        <v>83.33</v>
      </c>
      <c r="O771" s="23" t="s">
        <v>227</v>
      </c>
      <c r="P771">
        <v>41.664999999999999</v>
      </c>
      <c r="Q771" s="23" t="s">
        <v>184</v>
      </c>
    </row>
    <row r="772" spans="1:17" x14ac:dyDescent="0.25">
      <c r="A772" s="23" t="s">
        <v>1097</v>
      </c>
      <c r="B772" s="23" t="s">
        <v>1095</v>
      </c>
      <c r="C772" s="23" t="s">
        <v>176</v>
      </c>
      <c r="D772" s="23" t="s">
        <v>64</v>
      </c>
      <c r="E772" s="23" t="s">
        <v>65</v>
      </c>
      <c r="F772">
        <v>2</v>
      </c>
      <c r="G772" s="23" t="s">
        <v>177</v>
      </c>
      <c r="H772">
        <v>0</v>
      </c>
      <c r="I772">
        <v>38</v>
      </c>
      <c r="J772" s="10">
        <v>10</v>
      </c>
      <c r="K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772">
        <v>0</v>
      </c>
      <c r="M7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2">
        <v>95</v>
      </c>
      <c r="O772" s="23" t="s">
        <v>218</v>
      </c>
      <c r="P772">
        <v>190</v>
      </c>
      <c r="Q772" s="23" t="s">
        <v>181</v>
      </c>
    </row>
    <row r="773" spans="1:17" x14ac:dyDescent="0.25">
      <c r="A773" s="23" t="s">
        <v>1142</v>
      </c>
      <c r="B773" s="23" t="s">
        <v>1054</v>
      </c>
      <c r="C773" s="23" t="s">
        <v>176</v>
      </c>
      <c r="D773" s="23" t="s">
        <v>131</v>
      </c>
      <c r="E773" s="23" t="s">
        <v>132</v>
      </c>
      <c r="F773">
        <v>112</v>
      </c>
      <c r="G773" s="23" t="s">
        <v>177</v>
      </c>
      <c r="H773">
        <v>0</v>
      </c>
      <c r="I773">
        <v>2750</v>
      </c>
      <c r="J773" s="10">
        <v>0</v>
      </c>
      <c r="K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73">
        <v>0</v>
      </c>
      <c r="M7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3">
        <v>0.7</v>
      </c>
      <c r="O773" s="23" t="s">
        <v>242</v>
      </c>
      <c r="P773">
        <v>78.399999999999991</v>
      </c>
      <c r="Q773" s="23" t="s">
        <v>181</v>
      </c>
    </row>
    <row r="774" spans="1:17" x14ac:dyDescent="0.25">
      <c r="A774" s="23" t="s">
        <v>1096</v>
      </c>
      <c r="B774" s="23" t="s">
        <v>1053</v>
      </c>
      <c r="C774" s="23" t="s">
        <v>176</v>
      </c>
      <c r="D774" s="23" t="s">
        <v>131</v>
      </c>
      <c r="E774" s="23" t="s">
        <v>132</v>
      </c>
      <c r="F774">
        <v>96</v>
      </c>
      <c r="G774" s="23" t="s">
        <v>177</v>
      </c>
      <c r="H774">
        <v>0</v>
      </c>
      <c r="I774">
        <v>2750</v>
      </c>
      <c r="J774" s="10">
        <v>0</v>
      </c>
      <c r="K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74">
        <v>0</v>
      </c>
      <c r="M7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4">
        <v>0.7</v>
      </c>
      <c r="O774" s="23" t="s">
        <v>242</v>
      </c>
      <c r="P774">
        <v>67.199999999999989</v>
      </c>
      <c r="Q774" s="23" t="s">
        <v>181</v>
      </c>
    </row>
    <row r="775" spans="1:17" x14ac:dyDescent="0.25">
      <c r="A775" s="23" t="s">
        <v>1143</v>
      </c>
      <c r="B775" s="23" t="s">
        <v>1054</v>
      </c>
      <c r="C775" s="23" t="s">
        <v>176</v>
      </c>
      <c r="D775" s="23" t="s">
        <v>131</v>
      </c>
      <c r="E775" s="23" t="s">
        <v>132</v>
      </c>
      <c r="F775">
        <v>137</v>
      </c>
      <c r="G775" s="23" t="s">
        <v>177</v>
      </c>
      <c r="H775">
        <v>0</v>
      </c>
      <c r="I775">
        <v>2750</v>
      </c>
      <c r="J775" s="10">
        <v>0</v>
      </c>
      <c r="K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775">
        <v>0</v>
      </c>
      <c r="M7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5">
        <v>0.7</v>
      </c>
      <c r="O775" s="23" t="s">
        <v>242</v>
      </c>
      <c r="P775">
        <v>95.899999999999991</v>
      </c>
      <c r="Q775" s="23" t="s">
        <v>181</v>
      </c>
    </row>
    <row r="776" spans="1:17" x14ac:dyDescent="0.25">
      <c r="A776" s="23" t="s">
        <v>1143</v>
      </c>
      <c r="B776" s="23" t="s">
        <v>1054</v>
      </c>
      <c r="C776" s="23" t="s">
        <v>176</v>
      </c>
      <c r="D776" s="23" t="s">
        <v>529</v>
      </c>
      <c r="E776" s="23" t="s">
        <v>530</v>
      </c>
      <c r="F776">
        <v>22</v>
      </c>
      <c r="G776" s="23" t="s">
        <v>177</v>
      </c>
      <c r="H776">
        <v>0</v>
      </c>
      <c r="I776">
        <v>1800</v>
      </c>
      <c r="J776" s="10">
        <v>773</v>
      </c>
      <c r="K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776">
        <v>0</v>
      </c>
      <c r="M7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6">
        <v>0.8</v>
      </c>
      <c r="O776" s="23" t="s">
        <v>242</v>
      </c>
      <c r="P776">
        <v>17.600000000000001</v>
      </c>
      <c r="Q776" s="23" t="s">
        <v>181</v>
      </c>
    </row>
    <row r="777" spans="1:17" x14ac:dyDescent="0.25">
      <c r="A777" s="23" t="s">
        <v>1148</v>
      </c>
      <c r="B777" s="23" t="s">
        <v>1054</v>
      </c>
      <c r="C777" s="23" t="s">
        <v>176</v>
      </c>
      <c r="D777" s="23" t="s">
        <v>659</v>
      </c>
      <c r="E777" s="23" t="s">
        <v>660</v>
      </c>
      <c r="F777">
        <v>1</v>
      </c>
      <c r="G777" s="23" t="s">
        <v>177</v>
      </c>
      <c r="H777">
        <v>0</v>
      </c>
      <c r="I777">
        <v>0</v>
      </c>
      <c r="J777" s="10">
        <v>65</v>
      </c>
      <c r="K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777">
        <v>100</v>
      </c>
      <c r="M7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7">
        <v>115</v>
      </c>
      <c r="O777" s="23" t="s">
        <v>242</v>
      </c>
      <c r="P777">
        <v>115</v>
      </c>
      <c r="Q777" s="23" t="s">
        <v>181</v>
      </c>
    </row>
    <row r="778" spans="1:17" x14ac:dyDescent="0.25">
      <c r="A778" s="23" t="s">
        <v>1147</v>
      </c>
      <c r="B778" s="23" t="s">
        <v>1145</v>
      </c>
      <c r="C778" s="23" t="s">
        <v>176</v>
      </c>
      <c r="D778" s="23" t="s">
        <v>535</v>
      </c>
      <c r="E778" s="23" t="s">
        <v>536</v>
      </c>
      <c r="F778">
        <v>4</v>
      </c>
      <c r="G778" s="23" t="s">
        <v>177</v>
      </c>
      <c r="H778">
        <v>0</v>
      </c>
      <c r="I778">
        <v>212</v>
      </c>
      <c r="J778" s="10">
        <v>625</v>
      </c>
      <c r="K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778">
        <v>0</v>
      </c>
      <c r="M7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8">
        <v>3.95</v>
      </c>
      <c r="O778" s="23" t="s">
        <v>242</v>
      </c>
      <c r="P778">
        <v>15.8</v>
      </c>
      <c r="Q778" s="23" t="s">
        <v>181</v>
      </c>
    </row>
    <row r="779" spans="1:17" x14ac:dyDescent="0.25">
      <c r="A779" s="23" t="s">
        <v>1148</v>
      </c>
      <c r="B779" s="23" t="s">
        <v>1054</v>
      </c>
      <c r="C779" s="23" t="s">
        <v>176</v>
      </c>
      <c r="D779" s="23" t="s">
        <v>535</v>
      </c>
      <c r="E779" s="23" t="s">
        <v>536</v>
      </c>
      <c r="F779">
        <v>4</v>
      </c>
      <c r="G779" s="23" t="s">
        <v>177</v>
      </c>
      <c r="H779">
        <v>0</v>
      </c>
      <c r="I779">
        <v>212</v>
      </c>
      <c r="J779" s="10">
        <v>625</v>
      </c>
      <c r="K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779">
        <v>0</v>
      </c>
      <c r="M7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79">
        <v>3.95</v>
      </c>
      <c r="O779" s="23" t="s">
        <v>242</v>
      </c>
      <c r="P779">
        <v>15.8</v>
      </c>
      <c r="Q779" s="23" t="s">
        <v>181</v>
      </c>
    </row>
    <row r="780" spans="1:17" x14ac:dyDescent="0.25">
      <c r="A780" s="23" t="s">
        <v>1148</v>
      </c>
      <c r="B780" s="23" t="s">
        <v>1054</v>
      </c>
      <c r="C780" s="23" t="s">
        <v>176</v>
      </c>
      <c r="D780" s="23" t="s">
        <v>777</v>
      </c>
      <c r="E780" s="23" t="s">
        <v>778</v>
      </c>
      <c r="F780">
        <v>1</v>
      </c>
      <c r="G780" s="23" t="s">
        <v>177</v>
      </c>
      <c r="H780">
        <v>0</v>
      </c>
      <c r="I780">
        <v>7</v>
      </c>
      <c r="J780" s="10">
        <v>6</v>
      </c>
      <c r="K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780">
        <v>0</v>
      </c>
      <c r="M7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780">
        <v>2457.65</v>
      </c>
      <c r="O780" s="23" t="s">
        <v>635</v>
      </c>
      <c r="P780">
        <v>2457.65</v>
      </c>
      <c r="Q780" s="23" t="s">
        <v>178</v>
      </c>
    </row>
    <row r="781" spans="1:17" x14ac:dyDescent="0.25">
      <c r="A781" s="23" t="s">
        <v>1147</v>
      </c>
      <c r="B781" s="23" t="s">
        <v>1145</v>
      </c>
      <c r="C781" s="23" t="s">
        <v>176</v>
      </c>
      <c r="D781" s="23" t="s">
        <v>111</v>
      </c>
      <c r="E781" s="23" t="s">
        <v>112</v>
      </c>
      <c r="F781">
        <v>1</v>
      </c>
      <c r="G781" s="23" t="s">
        <v>177</v>
      </c>
      <c r="H781">
        <v>0</v>
      </c>
      <c r="I781">
        <v>2</v>
      </c>
      <c r="J781" s="10">
        <v>8</v>
      </c>
      <c r="K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781">
        <v>11</v>
      </c>
      <c r="M7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1">
        <v>675</v>
      </c>
      <c r="O781" s="23" t="s">
        <v>633</v>
      </c>
      <c r="P781">
        <v>675</v>
      </c>
      <c r="Q781" s="23" t="s">
        <v>178</v>
      </c>
    </row>
    <row r="782" spans="1:17" x14ac:dyDescent="0.25">
      <c r="A782" s="26" t="s">
        <v>1148</v>
      </c>
      <c r="B782" s="26" t="s">
        <v>1054</v>
      </c>
      <c r="C782" s="23" t="s">
        <v>176</v>
      </c>
      <c r="D782" s="26" t="s">
        <v>111</v>
      </c>
      <c r="E782" s="26" t="s">
        <v>112</v>
      </c>
      <c r="F782" s="13">
        <v>1</v>
      </c>
      <c r="G782" s="26" t="s">
        <v>177</v>
      </c>
      <c r="H782">
        <v>0</v>
      </c>
      <c r="I782">
        <v>2</v>
      </c>
      <c r="J782" s="10">
        <v>8</v>
      </c>
      <c r="K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782">
        <v>11</v>
      </c>
      <c r="M7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2">
        <v>675</v>
      </c>
      <c r="O782" s="23" t="s">
        <v>633</v>
      </c>
      <c r="P782">
        <v>675</v>
      </c>
      <c r="Q782" s="23" t="s">
        <v>178</v>
      </c>
    </row>
    <row r="783" spans="1:17" x14ac:dyDescent="0.25">
      <c r="A783" s="23" t="s">
        <v>1148</v>
      </c>
      <c r="B783" s="23" t="s">
        <v>1054</v>
      </c>
      <c r="C783" s="23" t="s">
        <v>176</v>
      </c>
      <c r="D783" s="23" t="s">
        <v>671</v>
      </c>
      <c r="E783" s="23" t="s">
        <v>672</v>
      </c>
      <c r="F783">
        <v>1</v>
      </c>
      <c r="G783" s="23" t="s">
        <v>177</v>
      </c>
      <c r="H783">
        <v>0</v>
      </c>
      <c r="I783">
        <v>12</v>
      </c>
      <c r="J783" s="10">
        <v>13</v>
      </c>
      <c r="K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783">
        <v>0</v>
      </c>
      <c r="M7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3">
        <v>28339.38</v>
      </c>
      <c r="O783" s="23" t="s">
        <v>215</v>
      </c>
      <c r="P783">
        <v>28339.38</v>
      </c>
      <c r="Q783" s="23" t="s">
        <v>178</v>
      </c>
    </row>
    <row r="784" spans="1:17" x14ac:dyDescent="0.25">
      <c r="A784" s="23" t="s">
        <v>1098</v>
      </c>
      <c r="B784" s="23" t="s">
        <v>1053</v>
      </c>
      <c r="C784" s="23" t="s">
        <v>176</v>
      </c>
      <c r="D784" s="23" t="s">
        <v>415</v>
      </c>
      <c r="E784" s="23" t="s">
        <v>416</v>
      </c>
      <c r="F784">
        <v>0.2</v>
      </c>
      <c r="G784" s="23" t="s">
        <v>180</v>
      </c>
      <c r="H784">
        <v>0</v>
      </c>
      <c r="I784">
        <v>50</v>
      </c>
      <c r="J784" s="10">
        <v>6.3837823915946501E-15</v>
      </c>
      <c r="K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784">
        <v>0</v>
      </c>
      <c r="M7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4">
        <v>25.41</v>
      </c>
      <c r="O784" s="23" t="s">
        <v>827</v>
      </c>
      <c r="P784">
        <v>5.0820000000000007</v>
      </c>
      <c r="Q784" s="23" t="s">
        <v>222</v>
      </c>
    </row>
    <row r="785" spans="1:17" x14ac:dyDescent="0.25">
      <c r="A785" s="23" t="s">
        <v>1098</v>
      </c>
      <c r="B785" s="23" t="s">
        <v>1053</v>
      </c>
      <c r="C785" s="23" t="s">
        <v>176</v>
      </c>
      <c r="D785" s="23" t="s">
        <v>757</v>
      </c>
      <c r="E785" s="23" t="s">
        <v>758</v>
      </c>
      <c r="F785">
        <v>1</v>
      </c>
      <c r="G785" s="23" t="s">
        <v>177</v>
      </c>
      <c r="H785">
        <v>0</v>
      </c>
      <c r="I785">
        <v>4</v>
      </c>
      <c r="J785" s="10">
        <v>2</v>
      </c>
      <c r="K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785">
        <v>2</v>
      </c>
      <c r="M7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5">
        <v>1667.14</v>
      </c>
      <c r="O785" s="23" t="s">
        <v>633</v>
      </c>
      <c r="P785">
        <v>1667.14</v>
      </c>
      <c r="Q785" s="23" t="s">
        <v>178</v>
      </c>
    </row>
    <row r="786" spans="1:17" x14ac:dyDescent="0.25">
      <c r="A786" s="23" t="s">
        <v>1197</v>
      </c>
      <c r="B786" s="23" t="s">
        <v>1198</v>
      </c>
      <c r="C786" s="23" t="s">
        <v>176</v>
      </c>
      <c r="D786" s="23" t="s">
        <v>360</v>
      </c>
      <c r="E786" s="23" t="s">
        <v>361</v>
      </c>
      <c r="F786">
        <v>2</v>
      </c>
      <c r="G786" s="23" t="s">
        <v>177</v>
      </c>
      <c r="H786">
        <v>0</v>
      </c>
      <c r="I786">
        <v>14472</v>
      </c>
      <c r="J786" s="10">
        <v>3376</v>
      </c>
      <c r="K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786">
        <v>0</v>
      </c>
      <c r="M7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6">
        <v>0.04</v>
      </c>
      <c r="O786" s="23"/>
      <c r="P786">
        <v>0.08</v>
      </c>
      <c r="Q786" s="23" t="s">
        <v>181</v>
      </c>
    </row>
    <row r="787" spans="1:17" x14ac:dyDescent="0.25">
      <c r="A787" s="23" t="s">
        <v>1197</v>
      </c>
      <c r="B787" s="23" t="s">
        <v>1198</v>
      </c>
      <c r="C787" s="23" t="s">
        <v>176</v>
      </c>
      <c r="D787" s="23" t="s">
        <v>66</v>
      </c>
      <c r="E787" s="23" t="s">
        <v>67</v>
      </c>
      <c r="F787">
        <v>3</v>
      </c>
      <c r="G787" s="23" t="s">
        <v>177</v>
      </c>
      <c r="H787">
        <v>0</v>
      </c>
      <c r="I787">
        <v>85</v>
      </c>
      <c r="J787" s="10">
        <v>43</v>
      </c>
      <c r="K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787">
        <v>40</v>
      </c>
      <c r="M7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7">
        <v>60</v>
      </c>
      <c r="O787" s="23" t="s">
        <v>822</v>
      </c>
      <c r="P787">
        <v>180</v>
      </c>
      <c r="Q787" s="23" t="s">
        <v>181</v>
      </c>
    </row>
    <row r="788" spans="1:17" x14ac:dyDescent="0.25">
      <c r="A788" s="23" t="s">
        <v>1142</v>
      </c>
      <c r="B788" s="23" t="s">
        <v>1054</v>
      </c>
      <c r="C788" s="23" t="s">
        <v>176</v>
      </c>
      <c r="D788" s="23" t="s">
        <v>415</v>
      </c>
      <c r="E788" s="23" t="s">
        <v>416</v>
      </c>
      <c r="F788">
        <v>0.1</v>
      </c>
      <c r="G788" s="23" t="s">
        <v>180</v>
      </c>
      <c r="H788">
        <v>0</v>
      </c>
      <c r="I788">
        <v>50</v>
      </c>
      <c r="J788" s="10">
        <v>6.3837823915946501E-15</v>
      </c>
      <c r="K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788">
        <v>0</v>
      </c>
      <c r="M7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8">
        <v>25.41</v>
      </c>
      <c r="O788" s="23" t="s">
        <v>827</v>
      </c>
      <c r="P788">
        <v>2.5410000000000004</v>
      </c>
      <c r="Q788" s="23" t="s">
        <v>222</v>
      </c>
    </row>
    <row r="789" spans="1:17" x14ac:dyDescent="0.25">
      <c r="A789" s="23" t="s">
        <v>1096</v>
      </c>
      <c r="B789" s="23" t="s">
        <v>1053</v>
      </c>
      <c r="C789" s="23" t="s">
        <v>176</v>
      </c>
      <c r="D789" s="23" t="s">
        <v>415</v>
      </c>
      <c r="E789" s="23" t="s">
        <v>416</v>
      </c>
      <c r="F789">
        <v>0.1</v>
      </c>
      <c r="G789" s="23" t="s">
        <v>180</v>
      </c>
      <c r="H789">
        <v>0</v>
      </c>
      <c r="I789">
        <v>50</v>
      </c>
      <c r="J789" s="10">
        <v>6.3837823915946501E-15</v>
      </c>
      <c r="K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789">
        <v>0</v>
      </c>
      <c r="M7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89">
        <v>25.41</v>
      </c>
      <c r="O789" s="23" t="s">
        <v>827</v>
      </c>
      <c r="P789">
        <v>2.5410000000000004</v>
      </c>
      <c r="Q789" s="23" t="s">
        <v>222</v>
      </c>
    </row>
    <row r="790" spans="1:17" x14ac:dyDescent="0.25">
      <c r="A790" s="23" t="s">
        <v>1094</v>
      </c>
      <c r="B790" s="23" t="s">
        <v>1095</v>
      </c>
      <c r="C790" s="23" t="s">
        <v>176</v>
      </c>
      <c r="D790" s="23" t="s">
        <v>757</v>
      </c>
      <c r="E790" s="23" t="s">
        <v>758</v>
      </c>
      <c r="F790">
        <v>1</v>
      </c>
      <c r="G790" s="23" t="s">
        <v>177</v>
      </c>
      <c r="H790">
        <v>0</v>
      </c>
      <c r="I790">
        <v>4</v>
      </c>
      <c r="J790" s="10">
        <v>2</v>
      </c>
      <c r="K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790">
        <v>2</v>
      </c>
      <c r="M7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0">
        <v>1667.14</v>
      </c>
      <c r="O790" s="23" t="s">
        <v>633</v>
      </c>
      <c r="P790">
        <v>1667.14</v>
      </c>
      <c r="Q790" s="23" t="s">
        <v>178</v>
      </c>
    </row>
    <row r="791" spans="1:17" x14ac:dyDescent="0.25">
      <c r="A791" s="23" t="s">
        <v>1094</v>
      </c>
      <c r="B791" s="23" t="s">
        <v>1095</v>
      </c>
      <c r="C791" s="23" t="s">
        <v>176</v>
      </c>
      <c r="D791" s="23" t="s">
        <v>360</v>
      </c>
      <c r="E791" s="23" t="s">
        <v>361</v>
      </c>
      <c r="F791">
        <v>14</v>
      </c>
      <c r="G791" s="23" t="s">
        <v>177</v>
      </c>
      <c r="H791">
        <v>0</v>
      </c>
      <c r="I791">
        <v>14472</v>
      </c>
      <c r="J791" s="10">
        <v>3376</v>
      </c>
      <c r="K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791">
        <v>0</v>
      </c>
      <c r="M7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1">
        <v>0.04</v>
      </c>
      <c r="O791" s="23"/>
      <c r="P791">
        <v>0.56000000000000005</v>
      </c>
      <c r="Q791" s="23" t="s">
        <v>181</v>
      </c>
    </row>
    <row r="792" spans="1:17" x14ac:dyDescent="0.25">
      <c r="A792" s="23" t="s">
        <v>1096</v>
      </c>
      <c r="B792" s="23" t="s">
        <v>1053</v>
      </c>
      <c r="C792" s="23" t="s">
        <v>176</v>
      </c>
      <c r="D792" s="23" t="s">
        <v>360</v>
      </c>
      <c r="E792" s="23" t="s">
        <v>361</v>
      </c>
      <c r="F792">
        <v>6</v>
      </c>
      <c r="G792" s="23" t="s">
        <v>177</v>
      </c>
      <c r="H792">
        <v>0</v>
      </c>
      <c r="I792">
        <v>14472</v>
      </c>
      <c r="J792" s="10">
        <v>3376</v>
      </c>
      <c r="K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792">
        <v>0</v>
      </c>
      <c r="M7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2">
        <v>0.04</v>
      </c>
      <c r="O792" s="23"/>
      <c r="P792">
        <v>0.24</v>
      </c>
      <c r="Q792" s="23" t="s">
        <v>181</v>
      </c>
    </row>
    <row r="793" spans="1:17" x14ac:dyDescent="0.25">
      <c r="A793" s="23" t="s">
        <v>1100</v>
      </c>
      <c r="B793" s="23" t="s">
        <v>1101</v>
      </c>
      <c r="C793" s="23" t="s">
        <v>176</v>
      </c>
      <c r="D793" s="23" t="s">
        <v>671</v>
      </c>
      <c r="E793" s="23" t="s">
        <v>672</v>
      </c>
      <c r="F793">
        <v>1</v>
      </c>
      <c r="G793" s="23" t="s">
        <v>177</v>
      </c>
      <c r="H793">
        <v>1</v>
      </c>
      <c r="I793">
        <v>12</v>
      </c>
      <c r="J793" s="10">
        <v>13</v>
      </c>
      <c r="K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793">
        <v>0</v>
      </c>
      <c r="M7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3">
        <v>28339.38</v>
      </c>
      <c r="O793" s="23" t="s">
        <v>215</v>
      </c>
      <c r="P793">
        <v>28339.38</v>
      </c>
      <c r="Q793" s="23" t="s">
        <v>178</v>
      </c>
    </row>
    <row r="794" spans="1:17" x14ac:dyDescent="0.25">
      <c r="A794" s="23" t="s">
        <v>1062</v>
      </c>
      <c r="B794" s="23" t="s">
        <v>1053</v>
      </c>
      <c r="C794" s="23" t="s">
        <v>176</v>
      </c>
      <c r="D794" s="23" t="s">
        <v>360</v>
      </c>
      <c r="E794" s="23" t="s">
        <v>361</v>
      </c>
      <c r="F794">
        <v>6</v>
      </c>
      <c r="G794" s="23" t="s">
        <v>177</v>
      </c>
      <c r="H794">
        <v>0</v>
      </c>
      <c r="I794">
        <v>14472</v>
      </c>
      <c r="J794" s="10">
        <v>3376</v>
      </c>
      <c r="K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794">
        <v>0</v>
      </c>
      <c r="M7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4">
        <v>0.04</v>
      </c>
      <c r="O794" s="23"/>
      <c r="P794">
        <v>0.24</v>
      </c>
      <c r="Q794" s="23" t="s">
        <v>181</v>
      </c>
    </row>
    <row r="795" spans="1:17" x14ac:dyDescent="0.25">
      <c r="A795" s="23" t="s">
        <v>1062</v>
      </c>
      <c r="B795" s="23" t="s">
        <v>1053</v>
      </c>
      <c r="C795" s="23" t="s">
        <v>176</v>
      </c>
      <c r="D795" s="23" t="s">
        <v>457</v>
      </c>
      <c r="E795" s="23" t="s">
        <v>458</v>
      </c>
      <c r="F795">
        <v>70</v>
      </c>
      <c r="G795" s="23" t="s">
        <v>177</v>
      </c>
      <c r="H795">
        <v>0</v>
      </c>
      <c r="I795">
        <v>4000</v>
      </c>
      <c r="J795" s="10">
        <v>138</v>
      </c>
      <c r="K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795">
        <v>0</v>
      </c>
      <c r="M7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5">
        <v>0.93</v>
      </c>
      <c r="O795" s="23" t="s">
        <v>883</v>
      </c>
      <c r="P795">
        <v>65.100000000000009</v>
      </c>
      <c r="Q795" s="23" t="s">
        <v>181</v>
      </c>
    </row>
    <row r="796" spans="1:17" x14ac:dyDescent="0.25">
      <c r="A796" s="23" t="s">
        <v>1062</v>
      </c>
      <c r="B796" s="23" t="s">
        <v>1053</v>
      </c>
      <c r="C796" s="23" t="s">
        <v>176</v>
      </c>
      <c r="D796" s="23" t="s">
        <v>66</v>
      </c>
      <c r="E796" s="23" t="s">
        <v>67</v>
      </c>
      <c r="F796">
        <v>7</v>
      </c>
      <c r="G796" s="23" t="s">
        <v>177</v>
      </c>
      <c r="H796">
        <v>0</v>
      </c>
      <c r="I796">
        <v>85</v>
      </c>
      <c r="J796" s="10">
        <v>43</v>
      </c>
      <c r="K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796">
        <v>40</v>
      </c>
      <c r="M7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6">
        <v>60</v>
      </c>
      <c r="O796" s="23" t="s">
        <v>822</v>
      </c>
      <c r="P796">
        <v>420</v>
      </c>
      <c r="Q796" s="23" t="s">
        <v>181</v>
      </c>
    </row>
    <row r="797" spans="1:17" x14ac:dyDescent="0.25">
      <c r="A797" s="23" t="s">
        <v>1098</v>
      </c>
      <c r="B797" s="23" t="s">
        <v>1053</v>
      </c>
      <c r="C797" s="23" t="s">
        <v>176</v>
      </c>
      <c r="D797" s="23" t="s">
        <v>66</v>
      </c>
      <c r="E797" s="23" t="s">
        <v>67</v>
      </c>
      <c r="F797">
        <v>8</v>
      </c>
      <c r="G797" s="23" t="s">
        <v>177</v>
      </c>
      <c r="H797">
        <v>0</v>
      </c>
      <c r="I797">
        <v>85</v>
      </c>
      <c r="J797" s="10">
        <v>43</v>
      </c>
      <c r="K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797">
        <v>40</v>
      </c>
      <c r="M7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7">
        <v>60</v>
      </c>
      <c r="O797" s="23" t="s">
        <v>822</v>
      </c>
      <c r="P797">
        <v>480</v>
      </c>
      <c r="Q797" s="23" t="s">
        <v>181</v>
      </c>
    </row>
    <row r="798" spans="1:17" x14ac:dyDescent="0.25">
      <c r="A798" s="23" t="s">
        <v>1142</v>
      </c>
      <c r="B798" s="23" t="s">
        <v>1054</v>
      </c>
      <c r="C798" s="23" t="s">
        <v>176</v>
      </c>
      <c r="D798" s="23" t="s">
        <v>360</v>
      </c>
      <c r="E798" s="23" t="s">
        <v>361</v>
      </c>
      <c r="F798">
        <v>2</v>
      </c>
      <c r="G798" s="23" t="s">
        <v>177</v>
      </c>
      <c r="H798">
        <v>0</v>
      </c>
      <c r="I798">
        <v>14472</v>
      </c>
      <c r="J798" s="10">
        <v>3376</v>
      </c>
      <c r="K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798">
        <v>0</v>
      </c>
      <c r="M7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8">
        <v>0.04</v>
      </c>
      <c r="O798" s="23"/>
      <c r="P798">
        <v>0.08</v>
      </c>
      <c r="Q798" s="23" t="s">
        <v>181</v>
      </c>
    </row>
    <row r="799" spans="1:17" x14ac:dyDescent="0.25">
      <c r="A799" s="26" t="s">
        <v>1096</v>
      </c>
      <c r="B799" s="26" t="s">
        <v>1053</v>
      </c>
      <c r="C799" s="23" t="s">
        <v>176</v>
      </c>
      <c r="D799" s="26" t="s">
        <v>457</v>
      </c>
      <c r="E799" s="26" t="s">
        <v>458</v>
      </c>
      <c r="F799" s="13">
        <v>70</v>
      </c>
      <c r="G799" s="26" t="s">
        <v>177</v>
      </c>
      <c r="H799">
        <v>0</v>
      </c>
      <c r="I799">
        <v>4000</v>
      </c>
      <c r="J799" s="10">
        <v>138</v>
      </c>
      <c r="K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799">
        <v>0</v>
      </c>
      <c r="M7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799">
        <v>0.93</v>
      </c>
      <c r="O799" s="23" t="s">
        <v>883</v>
      </c>
      <c r="P799">
        <v>65.100000000000009</v>
      </c>
      <c r="Q799" s="23" t="s">
        <v>181</v>
      </c>
    </row>
    <row r="800" spans="1:17" x14ac:dyDescent="0.25">
      <c r="A800" s="23" t="s">
        <v>1142</v>
      </c>
      <c r="B800" s="23" t="s">
        <v>1054</v>
      </c>
      <c r="C800" s="23" t="s">
        <v>176</v>
      </c>
      <c r="D800" s="23" t="s">
        <v>66</v>
      </c>
      <c r="E800" s="23" t="s">
        <v>67</v>
      </c>
      <c r="F800">
        <v>3</v>
      </c>
      <c r="G800" s="23" t="s">
        <v>177</v>
      </c>
      <c r="H800">
        <v>0</v>
      </c>
      <c r="I800">
        <v>85</v>
      </c>
      <c r="J800" s="10">
        <v>43</v>
      </c>
      <c r="K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800">
        <v>40</v>
      </c>
      <c r="M8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0">
        <v>60</v>
      </c>
      <c r="O800" s="23" t="s">
        <v>822</v>
      </c>
      <c r="P800">
        <v>180</v>
      </c>
      <c r="Q800" s="23" t="s">
        <v>181</v>
      </c>
    </row>
    <row r="801" spans="1:17" x14ac:dyDescent="0.25">
      <c r="A801" s="23" t="s">
        <v>1142</v>
      </c>
      <c r="B801" s="23" t="s">
        <v>1054</v>
      </c>
      <c r="C801" s="23" t="s">
        <v>176</v>
      </c>
      <c r="D801" s="23" t="s">
        <v>111</v>
      </c>
      <c r="E801" s="23" t="s">
        <v>112</v>
      </c>
      <c r="F801">
        <v>1</v>
      </c>
      <c r="G801" s="23" t="s">
        <v>177</v>
      </c>
      <c r="H801">
        <v>0</v>
      </c>
      <c r="I801">
        <v>2</v>
      </c>
      <c r="J801" s="10">
        <v>8</v>
      </c>
      <c r="K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01">
        <v>11</v>
      </c>
      <c r="M8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1">
        <v>675</v>
      </c>
      <c r="O801" s="23" t="s">
        <v>633</v>
      </c>
      <c r="P801">
        <v>675</v>
      </c>
      <c r="Q801" s="23" t="s">
        <v>178</v>
      </c>
    </row>
    <row r="802" spans="1:17" x14ac:dyDescent="0.25">
      <c r="A802" s="23" t="s">
        <v>1143</v>
      </c>
      <c r="B802" s="23" t="s">
        <v>1054</v>
      </c>
      <c r="C802" s="23" t="s">
        <v>176</v>
      </c>
      <c r="D802" s="23" t="s">
        <v>415</v>
      </c>
      <c r="E802" s="23" t="s">
        <v>416</v>
      </c>
      <c r="F802">
        <v>0.2</v>
      </c>
      <c r="G802" s="23" t="s">
        <v>180</v>
      </c>
      <c r="H802">
        <v>0</v>
      </c>
      <c r="I802">
        <v>50</v>
      </c>
      <c r="J802" s="10">
        <v>6.3837823915946501E-15</v>
      </c>
      <c r="K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802">
        <v>0</v>
      </c>
      <c r="M8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2">
        <v>25.41</v>
      </c>
      <c r="O802" s="23" t="s">
        <v>827</v>
      </c>
      <c r="P802">
        <v>5.0820000000000007</v>
      </c>
      <c r="Q802" s="23" t="s">
        <v>222</v>
      </c>
    </row>
    <row r="803" spans="1:17" x14ac:dyDescent="0.25">
      <c r="A803" s="23" t="s">
        <v>1057</v>
      </c>
      <c r="B803" s="23" t="s">
        <v>1056</v>
      </c>
      <c r="C803" s="23" t="s">
        <v>176</v>
      </c>
      <c r="D803" s="23" t="s">
        <v>457</v>
      </c>
      <c r="E803" s="23" t="s">
        <v>458</v>
      </c>
      <c r="F803">
        <v>58</v>
      </c>
      <c r="G803" s="23" t="s">
        <v>177</v>
      </c>
      <c r="H803">
        <v>0</v>
      </c>
      <c r="I803">
        <v>4000</v>
      </c>
      <c r="J803" s="10">
        <v>138</v>
      </c>
      <c r="K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803">
        <v>0</v>
      </c>
      <c r="M8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3">
        <v>0.93</v>
      </c>
      <c r="O803" s="23" t="s">
        <v>883</v>
      </c>
      <c r="P803">
        <v>53.940000000000005</v>
      </c>
      <c r="Q803" s="23" t="s">
        <v>181</v>
      </c>
    </row>
    <row r="804" spans="1:17" x14ac:dyDescent="0.25">
      <c r="A804" s="23" t="s">
        <v>1143</v>
      </c>
      <c r="B804" s="23" t="s">
        <v>1054</v>
      </c>
      <c r="C804" s="23" t="s">
        <v>176</v>
      </c>
      <c r="D804" s="23" t="s">
        <v>457</v>
      </c>
      <c r="E804" s="23" t="s">
        <v>458</v>
      </c>
      <c r="F804">
        <v>74</v>
      </c>
      <c r="G804" s="23" t="s">
        <v>177</v>
      </c>
      <c r="H804">
        <v>0</v>
      </c>
      <c r="I804">
        <v>4000</v>
      </c>
      <c r="J804" s="10">
        <v>138</v>
      </c>
      <c r="K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804">
        <v>0</v>
      </c>
      <c r="M8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4">
        <v>0.93</v>
      </c>
      <c r="O804" s="23" t="s">
        <v>883</v>
      </c>
      <c r="P804">
        <v>68.820000000000007</v>
      </c>
      <c r="Q804" s="23" t="s">
        <v>181</v>
      </c>
    </row>
    <row r="805" spans="1:17" x14ac:dyDescent="0.25">
      <c r="A805" s="23" t="s">
        <v>1058</v>
      </c>
      <c r="B805" s="23" t="s">
        <v>1059</v>
      </c>
      <c r="C805" s="23" t="s">
        <v>176</v>
      </c>
      <c r="D805" s="23" t="s">
        <v>21</v>
      </c>
      <c r="E805" s="23" t="s">
        <v>22</v>
      </c>
      <c r="F805">
        <v>4</v>
      </c>
      <c r="G805" s="23" t="s">
        <v>180</v>
      </c>
      <c r="H805">
        <v>0</v>
      </c>
      <c r="I805">
        <v>100</v>
      </c>
      <c r="J805" s="10">
        <v>105.5</v>
      </c>
      <c r="K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805">
        <v>0</v>
      </c>
      <c r="M8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5">
        <v>131.25</v>
      </c>
      <c r="O805" s="23" t="s">
        <v>827</v>
      </c>
      <c r="P805">
        <v>525</v>
      </c>
      <c r="Q805" s="23" t="s">
        <v>222</v>
      </c>
    </row>
    <row r="806" spans="1:17" x14ac:dyDescent="0.25">
      <c r="A806" s="23" t="s">
        <v>1150</v>
      </c>
      <c r="B806" s="23" t="s">
        <v>1145</v>
      </c>
      <c r="C806" s="23" t="s">
        <v>176</v>
      </c>
      <c r="D806" s="23" t="s">
        <v>706</v>
      </c>
      <c r="E806" s="23" t="s">
        <v>707</v>
      </c>
      <c r="F806">
        <v>12</v>
      </c>
      <c r="G806" s="23" t="s">
        <v>177</v>
      </c>
      <c r="H806">
        <v>0</v>
      </c>
      <c r="I806">
        <v>1400</v>
      </c>
      <c r="J806" s="10">
        <v>602</v>
      </c>
      <c r="K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806">
        <v>0</v>
      </c>
      <c r="M8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6">
        <v>0.6</v>
      </c>
      <c r="O806" s="23" t="s">
        <v>242</v>
      </c>
      <c r="P806">
        <v>7.1999999999999993</v>
      </c>
      <c r="Q806" s="23" t="s">
        <v>181</v>
      </c>
    </row>
    <row r="807" spans="1:17" x14ac:dyDescent="0.25">
      <c r="A807" s="23" t="s">
        <v>1149</v>
      </c>
      <c r="B807" s="23" t="s">
        <v>1145</v>
      </c>
      <c r="C807" s="23" t="s">
        <v>176</v>
      </c>
      <c r="D807" s="23" t="s">
        <v>68</v>
      </c>
      <c r="E807" s="23" t="s">
        <v>586</v>
      </c>
      <c r="F807">
        <v>0.5</v>
      </c>
      <c r="G807" s="23" t="s">
        <v>177</v>
      </c>
      <c r="H807">
        <v>0</v>
      </c>
      <c r="I807">
        <v>13.5</v>
      </c>
      <c r="J807" s="10">
        <v>8.5</v>
      </c>
      <c r="K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807">
        <v>0</v>
      </c>
      <c r="M8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7">
        <v>1600</v>
      </c>
      <c r="O807" s="23" t="s">
        <v>1051</v>
      </c>
      <c r="P807">
        <v>800</v>
      </c>
      <c r="Q807" s="23" t="s">
        <v>178</v>
      </c>
    </row>
    <row r="808" spans="1:17" x14ac:dyDescent="0.25">
      <c r="A808" s="23" t="s">
        <v>1058</v>
      </c>
      <c r="B808" s="23" t="s">
        <v>1059</v>
      </c>
      <c r="C808" s="23" t="s">
        <v>176</v>
      </c>
      <c r="D808" s="23" t="s">
        <v>706</v>
      </c>
      <c r="E808" s="23" t="s">
        <v>707</v>
      </c>
      <c r="F808">
        <v>4</v>
      </c>
      <c r="G808" s="23" t="s">
        <v>177</v>
      </c>
      <c r="H808">
        <v>0</v>
      </c>
      <c r="I808">
        <v>1400</v>
      </c>
      <c r="J808" s="10">
        <v>602</v>
      </c>
      <c r="K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808">
        <v>0</v>
      </c>
      <c r="M8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8">
        <v>0.6</v>
      </c>
      <c r="O808" s="23" t="s">
        <v>242</v>
      </c>
      <c r="P808">
        <v>2.4</v>
      </c>
      <c r="Q808" s="23" t="s">
        <v>181</v>
      </c>
    </row>
    <row r="809" spans="1:17" x14ac:dyDescent="0.25">
      <c r="A809" s="23" t="s">
        <v>1147</v>
      </c>
      <c r="B809" s="23" t="s">
        <v>1145</v>
      </c>
      <c r="C809" s="23" t="s">
        <v>176</v>
      </c>
      <c r="D809" s="23" t="s">
        <v>68</v>
      </c>
      <c r="E809" s="23" t="s">
        <v>586</v>
      </c>
      <c r="F809">
        <v>0.5</v>
      </c>
      <c r="G809" s="23" t="s">
        <v>177</v>
      </c>
      <c r="H809">
        <v>0</v>
      </c>
      <c r="I809">
        <v>13.5</v>
      </c>
      <c r="J809" s="10">
        <v>8.5</v>
      </c>
      <c r="K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809">
        <v>0</v>
      </c>
      <c r="M8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09">
        <v>1600</v>
      </c>
      <c r="O809" s="23" t="s">
        <v>1051</v>
      </c>
      <c r="P809">
        <v>800</v>
      </c>
      <c r="Q809" s="23" t="s">
        <v>178</v>
      </c>
    </row>
    <row r="810" spans="1:17" x14ac:dyDescent="0.25">
      <c r="A810" s="23" t="s">
        <v>1197</v>
      </c>
      <c r="B810" s="23" t="s">
        <v>1198</v>
      </c>
      <c r="C810" s="23" t="s">
        <v>176</v>
      </c>
      <c r="D810" s="23" t="s">
        <v>199</v>
      </c>
      <c r="E810" s="23" t="s">
        <v>200</v>
      </c>
      <c r="F810">
        <v>1</v>
      </c>
      <c r="G810" s="23" t="s">
        <v>177</v>
      </c>
      <c r="H810">
        <v>0</v>
      </c>
      <c r="I810">
        <v>1</v>
      </c>
      <c r="J810" s="10">
        <v>8</v>
      </c>
      <c r="K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810">
        <v>0</v>
      </c>
      <c r="M8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810">
        <v>15618.42</v>
      </c>
      <c r="O810" s="23" t="s">
        <v>216</v>
      </c>
      <c r="P810">
        <v>15618.42</v>
      </c>
      <c r="Q810" s="23" t="s">
        <v>178</v>
      </c>
    </row>
    <row r="811" spans="1:17" x14ac:dyDescent="0.25">
      <c r="A811" s="23" t="s">
        <v>1058</v>
      </c>
      <c r="B811" s="23" t="s">
        <v>1059</v>
      </c>
      <c r="C811" s="23" t="s">
        <v>176</v>
      </c>
      <c r="D811" s="23" t="s">
        <v>32</v>
      </c>
      <c r="E811" s="23" t="s">
        <v>33</v>
      </c>
      <c r="F811">
        <v>1</v>
      </c>
      <c r="G811" s="23" t="s">
        <v>177</v>
      </c>
      <c r="H811">
        <v>0</v>
      </c>
      <c r="I811">
        <v>0</v>
      </c>
      <c r="J811" s="10">
        <v>16</v>
      </c>
      <c r="K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811">
        <v>20</v>
      </c>
      <c r="M8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811">
        <v>2726.42</v>
      </c>
      <c r="O811" s="23" t="s">
        <v>1226</v>
      </c>
      <c r="P811">
        <v>2726.42</v>
      </c>
      <c r="Q811" s="23" t="s">
        <v>185</v>
      </c>
    </row>
    <row r="812" spans="1:17" x14ac:dyDescent="0.25">
      <c r="A812" s="23" t="s">
        <v>1058</v>
      </c>
      <c r="B812" s="23" t="s">
        <v>1059</v>
      </c>
      <c r="C812" s="23" t="s">
        <v>176</v>
      </c>
      <c r="D812" s="23" t="s">
        <v>34</v>
      </c>
      <c r="E812" s="23" t="s">
        <v>35</v>
      </c>
      <c r="F812">
        <v>1</v>
      </c>
      <c r="G812" s="23" t="s">
        <v>177</v>
      </c>
      <c r="H812">
        <v>1</v>
      </c>
      <c r="I812">
        <v>8</v>
      </c>
      <c r="J812" s="10">
        <v>8</v>
      </c>
      <c r="K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812">
        <v>10</v>
      </c>
      <c r="M8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2">
        <v>62.83</v>
      </c>
      <c r="O812" s="23" t="s">
        <v>1104</v>
      </c>
      <c r="P812">
        <v>62.83</v>
      </c>
      <c r="Q812" s="23" t="s">
        <v>222</v>
      </c>
    </row>
    <row r="813" spans="1:17" x14ac:dyDescent="0.25">
      <c r="A813" s="23" t="s">
        <v>1150</v>
      </c>
      <c r="B813" s="23" t="s">
        <v>1145</v>
      </c>
      <c r="C813" s="23" t="s">
        <v>176</v>
      </c>
      <c r="D813" s="23" t="s">
        <v>32</v>
      </c>
      <c r="E813" s="23" t="s">
        <v>33</v>
      </c>
      <c r="F813">
        <v>1</v>
      </c>
      <c r="G813" s="23" t="s">
        <v>177</v>
      </c>
      <c r="H813">
        <v>0</v>
      </c>
      <c r="I813">
        <v>0</v>
      </c>
      <c r="J813" s="10">
        <v>16</v>
      </c>
      <c r="K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813">
        <v>20</v>
      </c>
      <c r="M8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813">
        <v>2726.42</v>
      </c>
      <c r="O813" s="23" t="s">
        <v>1226</v>
      </c>
      <c r="P813">
        <v>2726.42</v>
      </c>
      <c r="Q813" s="23" t="s">
        <v>185</v>
      </c>
    </row>
    <row r="814" spans="1:17" x14ac:dyDescent="0.25">
      <c r="A814" s="26" t="s">
        <v>1150</v>
      </c>
      <c r="B814" s="26" t="s">
        <v>1145</v>
      </c>
      <c r="C814" s="23" t="s">
        <v>176</v>
      </c>
      <c r="D814" s="26" t="s">
        <v>34</v>
      </c>
      <c r="E814" s="26" t="s">
        <v>35</v>
      </c>
      <c r="F814" s="13">
        <v>1</v>
      </c>
      <c r="G814" s="26" t="s">
        <v>177</v>
      </c>
      <c r="H814">
        <v>0</v>
      </c>
      <c r="I814">
        <v>8</v>
      </c>
      <c r="J814" s="10">
        <v>8</v>
      </c>
      <c r="K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814">
        <v>10</v>
      </c>
      <c r="M8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4">
        <v>62.83</v>
      </c>
      <c r="O814" s="23" t="s">
        <v>1104</v>
      </c>
      <c r="P814">
        <v>62.83</v>
      </c>
      <c r="Q814" s="23" t="s">
        <v>222</v>
      </c>
    </row>
    <row r="815" spans="1:17" x14ac:dyDescent="0.25">
      <c r="A815" s="23" t="s">
        <v>1149</v>
      </c>
      <c r="B815" s="23" t="s">
        <v>1145</v>
      </c>
      <c r="C815" s="23" t="s">
        <v>176</v>
      </c>
      <c r="D815" s="23" t="s">
        <v>397</v>
      </c>
      <c r="E815" s="23" t="s">
        <v>398</v>
      </c>
      <c r="F815">
        <v>31</v>
      </c>
      <c r="G815" s="23" t="s">
        <v>177</v>
      </c>
      <c r="H815">
        <v>0</v>
      </c>
      <c r="I815">
        <v>2000</v>
      </c>
      <c r="J815" s="10">
        <v>7604</v>
      </c>
      <c r="K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815">
        <v>0</v>
      </c>
      <c r="M8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5">
        <v>0.3</v>
      </c>
      <c r="O815" s="23" t="s">
        <v>242</v>
      </c>
      <c r="P815">
        <v>9.2999999999999989</v>
      </c>
      <c r="Q815" s="23" t="s">
        <v>181</v>
      </c>
    </row>
    <row r="816" spans="1:17" x14ac:dyDescent="0.25">
      <c r="A816" s="23" t="s">
        <v>1098</v>
      </c>
      <c r="B816" s="23" t="s">
        <v>1053</v>
      </c>
      <c r="C816" s="23" t="s">
        <v>176</v>
      </c>
      <c r="D816" s="23" t="s">
        <v>85</v>
      </c>
      <c r="E816" s="23" t="s">
        <v>86</v>
      </c>
      <c r="F816">
        <v>2</v>
      </c>
      <c r="G816" s="23" t="s">
        <v>177</v>
      </c>
      <c r="H816">
        <v>0</v>
      </c>
      <c r="I816">
        <v>44</v>
      </c>
      <c r="J816" s="10">
        <v>12</v>
      </c>
      <c r="K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816">
        <v>0</v>
      </c>
      <c r="M8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6">
        <v>375</v>
      </c>
      <c r="O816" s="23" t="s">
        <v>249</v>
      </c>
      <c r="P816">
        <v>750</v>
      </c>
      <c r="Q816" s="23" t="s">
        <v>178</v>
      </c>
    </row>
    <row r="817" spans="1:17" x14ac:dyDescent="0.25">
      <c r="A817" s="23" t="s">
        <v>1142</v>
      </c>
      <c r="B817" s="23" t="s">
        <v>1054</v>
      </c>
      <c r="C817" s="23" t="s">
        <v>176</v>
      </c>
      <c r="D817" s="23" t="s">
        <v>199</v>
      </c>
      <c r="E817" s="23" t="s">
        <v>200</v>
      </c>
      <c r="F817">
        <v>1</v>
      </c>
      <c r="G817" s="23" t="s">
        <v>177</v>
      </c>
      <c r="H817">
        <v>0</v>
      </c>
      <c r="I817">
        <v>1</v>
      </c>
      <c r="J817" s="10">
        <v>8</v>
      </c>
      <c r="K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817">
        <v>0</v>
      </c>
      <c r="M8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817">
        <v>15618.42</v>
      </c>
      <c r="O817" s="23" t="s">
        <v>216</v>
      </c>
      <c r="P817">
        <v>15618.42</v>
      </c>
      <c r="Q817" s="23" t="s">
        <v>178</v>
      </c>
    </row>
    <row r="818" spans="1:17" x14ac:dyDescent="0.25">
      <c r="A818" s="23" t="s">
        <v>1147</v>
      </c>
      <c r="B818" s="23" t="s">
        <v>1145</v>
      </c>
      <c r="C818" s="23" t="s">
        <v>176</v>
      </c>
      <c r="D818" s="23" t="s">
        <v>397</v>
      </c>
      <c r="E818" s="23" t="s">
        <v>398</v>
      </c>
      <c r="F818">
        <v>31</v>
      </c>
      <c r="G818" s="23" t="s">
        <v>177</v>
      </c>
      <c r="H818">
        <v>0</v>
      </c>
      <c r="I818">
        <v>2000</v>
      </c>
      <c r="J818" s="10">
        <v>7604</v>
      </c>
      <c r="K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818">
        <v>0</v>
      </c>
      <c r="M8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8">
        <v>0.3</v>
      </c>
      <c r="O818" s="23" t="s">
        <v>242</v>
      </c>
      <c r="P818">
        <v>9.2999999999999989</v>
      </c>
      <c r="Q818" s="23" t="s">
        <v>181</v>
      </c>
    </row>
    <row r="819" spans="1:17" x14ac:dyDescent="0.25">
      <c r="A819" s="23" t="s">
        <v>1096</v>
      </c>
      <c r="B819" s="23" t="s">
        <v>1053</v>
      </c>
      <c r="C819" s="23" t="s">
        <v>176</v>
      </c>
      <c r="D819" s="23" t="s">
        <v>85</v>
      </c>
      <c r="E819" s="23" t="s">
        <v>86</v>
      </c>
      <c r="F819">
        <v>2</v>
      </c>
      <c r="G819" s="23" t="s">
        <v>177</v>
      </c>
      <c r="H819">
        <v>2</v>
      </c>
      <c r="I819">
        <v>44</v>
      </c>
      <c r="J819" s="10">
        <v>12</v>
      </c>
      <c r="K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819">
        <v>0</v>
      </c>
      <c r="M8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19">
        <v>375</v>
      </c>
      <c r="O819" s="23" t="s">
        <v>249</v>
      </c>
      <c r="P819">
        <v>750</v>
      </c>
      <c r="Q819" s="23" t="s">
        <v>178</v>
      </c>
    </row>
    <row r="820" spans="1:17" x14ac:dyDescent="0.25">
      <c r="A820" s="23" t="s">
        <v>1142</v>
      </c>
      <c r="B820" s="23" t="s">
        <v>1054</v>
      </c>
      <c r="C820" s="23" t="s">
        <v>176</v>
      </c>
      <c r="D820" s="23" t="s">
        <v>85</v>
      </c>
      <c r="E820" s="23" t="s">
        <v>86</v>
      </c>
      <c r="F820">
        <v>2</v>
      </c>
      <c r="G820" s="23" t="s">
        <v>177</v>
      </c>
      <c r="H820">
        <v>0</v>
      </c>
      <c r="I820">
        <v>44</v>
      </c>
      <c r="J820" s="10">
        <v>12</v>
      </c>
      <c r="K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820">
        <v>0</v>
      </c>
      <c r="M8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0">
        <v>375</v>
      </c>
      <c r="O820" s="23" t="s">
        <v>249</v>
      </c>
      <c r="P820">
        <v>750</v>
      </c>
      <c r="Q820" s="23" t="s">
        <v>178</v>
      </c>
    </row>
    <row r="821" spans="1:17" x14ac:dyDescent="0.25">
      <c r="A821" s="23" t="s">
        <v>1094</v>
      </c>
      <c r="B821" s="23" t="s">
        <v>1095</v>
      </c>
      <c r="C821" s="23" t="s">
        <v>176</v>
      </c>
      <c r="D821" s="23" t="s">
        <v>85</v>
      </c>
      <c r="E821" s="23" t="s">
        <v>86</v>
      </c>
      <c r="F821">
        <v>2</v>
      </c>
      <c r="G821" s="23" t="s">
        <v>177</v>
      </c>
      <c r="H821">
        <v>0</v>
      </c>
      <c r="I821">
        <v>44</v>
      </c>
      <c r="J821" s="10">
        <v>12</v>
      </c>
      <c r="K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821">
        <v>0</v>
      </c>
      <c r="M8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1">
        <v>375</v>
      </c>
      <c r="O821" s="23" t="s">
        <v>249</v>
      </c>
      <c r="P821">
        <v>750</v>
      </c>
      <c r="Q821" s="23" t="s">
        <v>178</v>
      </c>
    </row>
    <row r="822" spans="1:17" x14ac:dyDescent="0.25">
      <c r="A822" s="23" t="s">
        <v>1094</v>
      </c>
      <c r="B822" s="23" t="s">
        <v>1095</v>
      </c>
      <c r="C822" s="23" t="s">
        <v>176</v>
      </c>
      <c r="D822" s="23" t="s">
        <v>199</v>
      </c>
      <c r="E822" s="23" t="s">
        <v>200</v>
      </c>
      <c r="F822">
        <v>1</v>
      </c>
      <c r="G822" s="23" t="s">
        <v>177</v>
      </c>
      <c r="H822">
        <v>0</v>
      </c>
      <c r="I822">
        <v>1</v>
      </c>
      <c r="J822" s="10">
        <v>8</v>
      </c>
      <c r="K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822">
        <v>0</v>
      </c>
      <c r="M8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822">
        <v>15618.42</v>
      </c>
      <c r="O822" s="23" t="s">
        <v>216</v>
      </c>
      <c r="P822">
        <v>15618.42</v>
      </c>
      <c r="Q822" s="23" t="s">
        <v>178</v>
      </c>
    </row>
    <row r="823" spans="1:17" x14ac:dyDescent="0.25">
      <c r="A823" s="23" t="s">
        <v>1055</v>
      </c>
      <c r="B823" s="23" t="s">
        <v>1056</v>
      </c>
      <c r="C823" s="23" t="s">
        <v>176</v>
      </c>
      <c r="D823" s="23" t="s">
        <v>397</v>
      </c>
      <c r="E823" s="23" t="s">
        <v>398</v>
      </c>
      <c r="F823">
        <v>17</v>
      </c>
      <c r="G823" s="23" t="s">
        <v>177</v>
      </c>
      <c r="H823">
        <v>0</v>
      </c>
      <c r="I823">
        <v>2000</v>
      </c>
      <c r="J823" s="10">
        <v>7604</v>
      </c>
      <c r="K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823">
        <v>0</v>
      </c>
      <c r="M8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3">
        <v>0.3</v>
      </c>
      <c r="O823" s="23" t="s">
        <v>242</v>
      </c>
      <c r="P823">
        <v>5.0999999999999996</v>
      </c>
      <c r="Q823" s="23" t="s">
        <v>181</v>
      </c>
    </row>
    <row r="824" spans="1:17" x14ac:dyDescent="0.25">
      <c r="A824" s="23" t="s">
        <v>1099</v>
      </c>
      <c r="B824" s="23" t="s">
        <v>1056</v>
      </c>
      <c r="C824" s="23" t="s">
        <v>176</v>
      </c>
      <c r="D824" s="23" t="s">
        <v>397</v>
      </c>
      <c r="E824" s="23" t="s">
        <v>398</v>
      </c>
      <c r="F824">
        <v>17</v>
      </c>
      <c r="G824" s="23" t="s">
        <v>177</v>
      </c>
      <c r="H824">
        <v>0</v>
      </c>
      <c r="I824">
        <v>2000</v>
      </c>
      <c r="J824" s="10">
        <v>7604</v>
      </c>
      <c r="K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824">
        <v>0</v>
      </c>
      <c r="M8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4">
        <v>0.3</v>
      </c>
      <c r="O824" s="23" t="s">
        <v>242</v>
      </c>
      <c r="P824">
        <v>5.0999999999999996</v>
      </c>
      <c r="Q824" s="23" t="s">
        <v>181</v>
      </c>
    </row>
    <row r="825" spans="1:17" x14ac:dyDescent="0.25">
      <c r="A825" s="23" t="s">
        <v>1148</v>
      </c>
      <c r="B825" s="23" t="s">
        <v>1054</v>
      </c>
      <c r="C825" s="23" t="s">
        <v>176</v>
      </c>
      <c r="D825" s="23" t="s">
        <v>397</v>
      </c>
      <c r="E825" s="23" t="s">
        <v>398</v>
      </c>
      <c r="F825">
        <v>30</v>
      </c>
      <c r="G825" s="23" t="s">
        <v>177</v>
      </c>
      <c r="H825">
        <v>0</v>
      </c>
      <c r="I825">
        <v>2000</v>
      </c>
      <c r="J825" s="10">
        <v>7604</v>
      </c>
      <c r="K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825">
        <v>0</v>
      </c>
      <c r="M8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5">
        <v>0.3</v>
      </c>
      <c r="O825" s="23" t="s">
        <v>242</v>
      </c>
      <c r="P825">
        <v>9</v>
      </c>
      <c r="Q825" s="23" t="s">
        <v>181</v>
      </c>
    </row>
    <row r="826" spans="1:17" x14ac:dyDescent="0.25">
      <c r="A826" s="23" t="s">
        <v>1097</v>
      </c>
      <c r="B826" s="23" t="s">
        <v>1095</v>
      </c>
      <c r="C826" s="23" t="s">
        <v>176</v>
      </c>
      <c r="D826" s="23" t="s">
        <v>85</v>
      </c>
      <c r="E826" s="23" t="s">
        <v>86</v>
      </c>
      <c r="F826">
        <v>2</v>
      </c>
      <c r="G826" s="23" t="s">
        <v>177</v>
      </c>
      <c r="H826">
        <v>0</v>
      </c>
      <c r="I826">
        <v>44</v>
      </c>
      <c r="J826" s="10">
        <v>12</v>
      </c>
      <c r="K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826">
        <v>0</v>
      </c>
      <c r="M8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6">
        <v>375</v>
      </c>
      <c r="O826" s="23" t="s">
        <v>249</v>
      </c>
      <c r="P826">
        <v>750</v>
      </c>
      <c r="Q826" s="23" t="s">
        <v>178</v>
      </c>
    </row>
    <row r="827" spans="1:17" x14ac:dyDescent="0.25">
      <c r="A827" s="23" t="s">
        <v>1097</v>
      </c>
      <c r="B827" s="23" t="s">
        <v>1095</v>
      </c>
      <c r="C827" s="23" t="s">
        <v>176</v>
      </c>
      <c r="D827" s="23" t="s">
        <v>199</v>
      </c>
      <c r="E827" s="23" t="s">
        <v>200</v>
      </c>
      <c r="F827">
        <v>1</v>
      </c>
      <c r="G827" s="23" t="s">
        <v>177</v>
      </c>
      <c r="H827">
        <v>0</v>
      </c>
      <c r="I827">
        <v>1</v>
      </c>
      <c r="J827" s="10">
        <v>8</v>
      </c>
      <c r="K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827">
        <v>0</v>
      </c>
      <c r="M8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827">
        <v>15618.42</v>
      </c>
      <c r="O827" s="23" t="s">
        <v>216</v>
      </c>
      <c r="P827">
        <v>15618.42</v>
      </c>
      <c r="Q827" s="23" t="s">
        <v>178</v>
      </c>
    </row>
    <row r="828" spans="1:17" x14ac:dyDescent="0.25">
      <c r="A828" s="23" t="s">
        <v>1197</v>
      </c>
      <c r="B828" s="23" t="s">
        <v>1198</v>
      </c>
      <c r="C828" s="23" t="s">
        <v>176</v>
      </c>
      <c r="D828" s="23" t="s">
        <v>824</v>
      </c>
      <c r="E828" s="23" t="s">
        <v>825</v>
      </c>
      <c r="F828">
        <v>8</v>
      </c>
      <c r="G828" s="23" t="s">
        <v>177</v>
      </c>
      <c r="H828">
        <v>0</v>
      </c>
      <c r="I828">
        <v>175</v>
      </c>
      <c r="J828" s="10">
        <v>0</v>
      </c>
      <c r="K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828">
        <v>0</v>
      </c>
      <c r="M8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8">
        <v>8.42</v>
      </c>
      <c r="O828" s="23" t="s">
        <v>883</v>
      </c>
      <c r="P828">
        <v>67.36</v>
      </c>
      <c r="Q828" s="23" t="s">
        <v>179</v>
      </c>
    </row>
    <row r="829" spans="1:17" x14ac:dyDescent="0.25">
      <c r="A829" s="23" t="s">
        <v>1062</v>
      </c>
      <c r="B829" s="23" t="s">
        <v>1053</v>
      </c>
      <c r="C829" s="23" t="s">
        <v>176</v>
      </c>
      <c r="D829" s="23" t="s">
        <v>313</v>
      </c>
      <c r="E829" s="23" t="s">
        <v>314</v>
      </c>
      <c r="F829">
        <v>12</v>
      </c>
      <c r="G829" s="23" t="s">
        <v>180</v>
      </c>
      <c r="H829">
        <v>0</v>
      </c>
      <c r="I829">
        <v>125</v>
      </c>
      <c r="J829" s="10">
        <v>16.500000000000028</v>
      </c>
      <c r="K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829">
        <v>0</v>
      </c>
      <c r="M8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29">
        <v>80.84</v>
      </c>
      <c r="O829" s="23" t="s">
        <v>315</v>
      </c>
      <c r="P829">
        <v>970.08</v>
      </c>
      <c r="Q829" s="23" t="s">
        <v>179</v>
      </c>
    </row>
    <row r="830" spans="1:17" x14ac:dyDescent="0.25">
      <c r="A830" s="23" t="s">
        <v>1197</v>
      </c>
      <c r="B830" s="23" t="s">
        <v>1198</v>
      </c>
      <c r="C830" s="23" t="s">
        <v>176</v>
      </c>
      <c r="D830" s="23" t="s">
        <v>313</v>
      </c>
      <c r="E830" s="23" t="s">
        <v>314</v>
      </c>
      <c r="F830">
        <v>4</v>
      </c>
      <c r="G830" s="23" t="s">
        <v>180</v>
      </c>
      <c r="H830">
        <v>0</v>
      </c>
      <c r="I830">
        <v>125</v>
      </c>
      <c r="J830" s="10">
        <v>16.500000000000028</v>
      </c>
      <c r="K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830">
        <v>0</v>
      </c>
      <c r="M8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0">
        <v>80.84</v>
      </c>
      <c r="O830" s="23" t="s">
        <v>315</v>
      </c>
      <c r="P830">
        <v>323.36</v>
      </c>
      <c r="Q830" s="23" t="s">
        <v>179</v>
      </c>
    </row>
    <row r="831" spans="1:17" x14ac:dyDescent="0.25">
      <c r="A831" s="26" t="s">
        <v>1057</v>
      </c>
      <c r="B831" s="26" t="s">
        <v>1056</v>
      </c>
      <c r="C831" s="23" t="s">
        <v>176</v>
      </c>
      <c r="D831" s="26" t="s">
        <v>1047</v>
      </c>
      <c r="E831" s="26" t="s">
        <v>1048</v>
      </c>
      <c r="F831" s="13">
        <v>8</v>
      </c>
      <c r="G831" s="26" t="s">
        <v>177</v>
      </c>
      <c r="H831">
        <v>0</v>
      </c>
      <c r="I831">
        <v>3000</v>
      </c>
      <c r="J831" s="10">
        <v>10000</v>
      </c>
      <c r="K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-2984</v>
      </c>
      <c r="L831">
        <v>0</v>
      </c>
      <c r="M8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1">
        <v>0.3</v>
      </c>
      <c r="O831" s="23" t="s">
        <v>242</v>
      </c>
      <c r="P831">
        <v>2.4</v>
      </c>
      <c r="Q831" s="23" t="s">
        <v>181</v>
      </c>
    </row>
    <row r="832" spans="1:17" x14ac:dyDescent="0.25">
      <c r="A832" s="23" t="s">
        <v>1100</v>
      </c>
      <c r="B832" s="23" t="s">
        <v>1101</v>
      </c>
      <c r="C832" s="23" t="s">
        <v>176</v>
      </c>
      <c r="D832" s="23" t="s">
        <v>232</v>
      </c>
      <c r="E832" s="23" t="s">
        <v>233</v>
      </c>
      <c r="F832">
        <v>2</v>
      </c>
      <c r="G832" s="23" t="s">
        <v>177</v>
      </c>
      <c r="H832">
        <v>0</v>
      </c>
      <c r="I832">
        <v>239</v>
      </c>
      <c r="J832" s="10">
        <v>90</v>
      </c>
      <c r="K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832">
        <v>0</v>
      </c>
      <c r="M8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2">
        <v>4</v>
      </c>
      <c r="O832" s="23" t="s">
        <v>221</v>
      </c>
      <c r="P832">
        <v>8</v>
      </c>
      <c r="Q832" s="23" t="s">
        <v>222</v>
      </c>
    </row>
    <row r="833" spans="1:17" x14ac:dyDescent="0.25">
      <c r="A833" s="23" t="s">
        <v>1100</v>
      </c>
      <c r="B833" s="23" t="s">
        <v>1101</v>
      </c>
      <c r="C833" s="23" t="s">
        <v>176</v>
      </c>
      <c r="D833" s="23" t="s">
        <v>28</v>
      </c>
      <c r="E833" s="23" t="s">
        <v>29</v>
      </c>
      <c r="F833">
        <v>115</v>
      </c>
      <c r="G833" s="23" t="s">
        <v>177</v>
      </c>
      <c r="H833">
        <v>0</v>
      </c>
      <c r="I833">
        <v>3000</v>
      </c>
      <c r="J833" s="10">
        <v>1048</v>
      </c>
      <c r="K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833">
        <v>0</v>
      </c>
      <c r="M8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3">
        <v>2.92</v>
      </c>
      <c r="O833" s="23" t="s">
        <v>629</v>
      </c>
      <c r="P833">
        <v>335.8</v>
      </c>
      <c r="Q833" s="23" t="s">
        <v>181</v>
      </c>
    </row>
    <row r="834" spans="1:17" x14ac:dyDescent="0.25">
      <c r="A834" s="23" t="s">
        <v>1144</v>
      </c>
      <c r="B834" s="23" t="s">
        <v>1145</v>
      </c>
      <c r="C834" s="23" t="s">
        <v>176</v>
      </c>
      <c r="D834" s="23" t="s">
        <v>537</v>
      </c>
      <c r="E834" s="23" t="s">
        <v>538</v>
      </c>
      <c r="F834">
        <v>45</v>
      </c>
      <c r="G834" s="23" t="s">
        <v>177</v>
      </c>
      <c r="H834">
        <v>0</v>
      </c>
      <c r="I834">
        <v>2200</v>
      </c>
      <c r="J834" s="10">
        <v>0</v>
      </c>
      <c r="K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834">
        <v>0</v>
      </c>
      <c r="M8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4">
        <v>0.7</v>
      </c>
      <c r="O834" s="23" t="s">
        <v>242</v>
      </c>
      <c r="P834">
        <v>31.499999999999996</v>
      </c>
      <c r="Q834" s="23" t="s">
        <v>181</v>
      </c>
    </row>
    <row r="835" spans="1:17" x14ac:dyDescent="0.25">
      <c r="A835" s="23" t="s">
        <v>1146</v>
      </c>
      <c r="B835" s="23" t="s">
        <v>1145</v>
      </c>
      <c r="C835" s="23" t="s">
        <v>176</v>
      </c>
      <c r="D835" s="23" t="s">
        <v>669</v>
      </c>
      <c r="E835" s="23" t="s">
        <v>670</v>
      </c>
      <c r="F835">
        <v>1</v>
      </c>
      <c r="G835" s="23" t="s">
        <v>177</v>
      </c>
      <c r="H835">
        <v>0</v>
      </c>
      <c r="I835">
        <v>13</v>
      </c>
      <c r="J835" s="10">
        <v>4</v>
      </c>
      <c r="K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35">
        <v>0</v>
      </c>
      <c r="M8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5">
        <v>1250</v>
      </c>
      <c r="O835" s="23" t="s">
        <v>338</v>
      </c>
      <c r="P835">
        <v>1250</v>
      </c>
      <c r="Q835" s="23" t="s">
        <v>178</v>
      </c>
    </row>
    <row r="836" spans="1:17" x14ac:dyDescent="0.25">
      <c r="A836" s="23" t="s">
        <v>1144</v>
      </c>
      <c r="B836" s="23" t="s">
        <v>1145</v>
      </c>
      <c r="C836" s="23" t="s">
        <v>176</v>
      </c>
      <c r="D836" s="23" t="s">
        <v>669</v>
      </c>
      <c r="E836" s="23" t="s">
        <v>670</v>
      </c>
      <c r="F836">
        <v>1</v>
      </c>
      <c r="G836" s="23" t="s">
        <v>177</v>
      </c>
      <c r="H836">
        <v>0</v>
      </c>
      <c r="I836">
        <v>13</v>
      </c>
      <c r="J836" s="10">
        <v>4</v>
      </c>
      <c r="K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36">
        <v>0</v>
      </c>
      <c r="M8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6">
        <v>1250</v>
      </c>
      <c r="O836" s="23" t="s">
        <v>338</v>
      </c>
      <c r="P836">
        <v>1250</v>
      </c>
      <c r="Q836" s="23" t="s">
        <v>178</v>
      </c>
    </row>
    <row r="837" spans="1:17" x14ac:dyDescent="0.25">
      <c r="A837" s="23" t="s">
        <v>1100</v>
      </c>
      <c r="B837" s="23" t="s">
        <v>1101</v>
      </c>
      <c r="C837" s="23" t="s">
        <v>176</v>
      </c>
      <c r="D837" s="23" t="s">
        <v>537</v>
      </c>
      <c r="E837" s="23" t="s">
        <v>538</v>
      </c>
      <c r="F837">
        <v>40</v>
      </c>
      <c r="G837" s="23" t="s">
        <v>177</v>
      </c>
      <c r="H837">
        <v>0</v>
      </c>
      <c r="I837">
        <v>2200</v>
      </c>
      <c r="J837" s="10">
        <v>0</v>
      </c>
      <c r="K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837">
        <v>0</v>
      </c>
      <c r="M8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7">
        <v>0.7</v>
      </c>
      <c r="O837" s="23" t="s">
        <v>242</v>
      </c>
      <c r="P837">
        <v>28</v>
      </c>
      <c r="Q837" s="23" t="s">
        <v>181</v>
      </c>
    </row>
    <row r="838" spans="1:17" x14ac:dyDescent="0.25">
      <c r="A838" s="23" t="s">
        <v>1055</v>
      </c>
      <c r="B838" s="23" t="s">
        <v>1056</v>
      </c>
      <c r="C838" s="23" t="s">
        <v>176</v>
      </c>
      <c r="D838" s="23" t="s">
        <v>669</v>
      </c>
      <c r="E838" s="23" t="s">
        <v>670</v>
      </c>
      <c r="F838">
        <v>1</v>
      </c>
      <c r="G838" s="23" t="s">
        <v>177</v>
      </c>
      <c r="H838">
        <v>1</v>
      </c>
      <c r="I838">
        <v>13</v>
      </c>
      <c r="J838" s="10">
        <v>4</v>
      </c>
      <c r="K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38">
        <v>0</v>
      </c>
      <c r="M8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8">
        <v>1250</v>
      </c>
      <c r="O838" s="23" t="s">
        <v>338</v>
      </c>
      <c r="P838">
        <v>1250</v>
      </c>
      <c r="Q838" s="23" t="s">
        <v>178</v>
      </c>
    </row>
    <row r="839" spans="1:17" x14ac:dyDescent="0.25">
      <c r="A839" s="23" t="s">
        <v>1099</v>
      </c>
      <c r="B839" s="23" t="s">
        <v>1056</v>
      </c>
      <c r="C839" s="23" t="s">
        <v>176</v>
      </c>
      <c r="D839" s="23" t="s">
        <v>669</v>
      </c>
      <c r="E839" s="23" t="s">
        <v>670</v>
      </c>
      <c r="F839">
        <v>1</v>
      </c>
      <c r="G839" s="23" t="s">
        <v>177</v>
      </c>
      <c r="H839">
        <v>1</v>
      </c>
      <c r="I839">
        <v>13</v>
      </c>
      <c r="J839" s="10">
        <v>4</v>
      </c>
      <c r="K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39">
        <v>0</v>
      </c>
      <c r="M8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39">
        <v>1250</v>
      </c>
      <c r="O839" s="23" t="s">
        <v>338</v>
      </c>
      <c r="P839">
        <v>1250</v>
      </c>
      <c r="Q839" s="23" t="s">
        <v>178</v>
      </c>
    </row>
    <row r="840" spans="1:17" x14ac:dyDescent="0.25">
      <c r="A840" s="23" t="s">
        <v>1148</v>
      </c>
      <c r="B840" s="23" t="s">
        <v>1054</v>
      </c>
      <c r="C840" s="23" t="s">
        <v>176</v>
      </c>
      <c r="D840" s="23" t="s">
        <v>1028</v>
      </c>
      <c r="E840" s="23" t="s">
        <v>1029</v>
      </c>
      <c r="F840">
        <v>0.125</v>
      </c>
      <c r="G840" s="23" t="s">
        <v>183</v>
      </c>
      <c r="H840">
        <v>0</v>
      </c>
      <c r="I840">
        <v>40</v>
      </c>
      <c r="J840" s="10">
        <v>20</v>
      </c>
      <c r="K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840">
        <v>0</v>
      </c>
      <c r="M8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0">
        <v>54.17</v>
      </c>
      <c r="O840" s="23" t="s">
        <v>454</v>
      </c>
      <c r="P840">
        <v>6.7712500000000002</v>
      </c>
      <c r="Q840" s="23" t="s">
        <v>184</v>
      </c>
    </row>
    <row r="841" spans="1:17" x14ac:dyDescent="0.25">
      <c r="A841" s="23" t="s">
        <v>1058</v>
      </c>
      <c r="B841" s="23" t="s">
        <v>1059</v>
      </c>
      <c r="C841" s="23" t="s">
        <v>176</v>
      </c>
      <c r="D841" s="23" t="s">
        <v>390</v>
      </c>
      <c r="E841" s="23" t="s">
        <v>391</v>
      </c>
      <c r="F841">
        <v>4</v>
      </c>
      <c r="G841" s="23" t="s">
        <v>177</v>
      </c>
      <c r="H841">
        <v>0</v>
      </c>
      <c r="I841">
        <v>100</v>
      </c>
      <c r="J841" s="10">
        <v>352</v>
      </c>
      <c r="K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841">
        <v>0</v>
      </c>
      <c r="M8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1">
        <v>6.4</v>
      </c>
      <c r="O841" s="23" t="s">
        <v>883</v>
      </c>
      <c r="P841">
        <v>25.6</v>
      </c>
      <c r="Q841" s="23" t="s">
        <v>179</v>
      </c>
    </row>
    <row r="842" spans="1:17" x14ac:dyDescent="0.25">
      <c r="A842" s="23" t="s">
        <v>1144</v>
      </c>
      <c r="B842" s="23" t="s">
        <v>1145</v>
      </c>
      <c r="C842" s="23" t="s">
        <v>176</v>
      </c>
      <c r="D842" s="23" t="s">
        <v>28</v>
      </c>
      <c r="E842" s="23" t="s">
        <v>29</v>
      </c>
      <c r="F842">
        <v>135</v>
      </c>
      <c r="G842" s="23" t="s">
        <v>177</v>
      </c>
      <c r="H842">
        <v>0</v>
      </c>
      <c r="I842">
        <v>3000</v>
      </c>
      <c r="J842" s="10">
        <v>1048</v>
      </c>
      <c r="K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842">
        <v>0</v>
      </c>
      <c r="M8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2">
        <v>2.92</v>
      </c>
      <c r="O842" s="23" t="s">
        <v>629</v>
      </c>
      <c r="P842">
        <v>394.2</v>
      </c>
      <c r="Q842" s="23" t="s">
        <v>181</v>
      </c>
    </row>
    <row r="843" spans="1:17" x14ac:dyDescent="0.25">
      <c r="A843" s="23" t="s">
        <v>1146</v>
      </c>
      <c r="B843" s="23" t="s">
        <v>1145</v>
      </c>
      <c r="C843" s="23" t="s">
        <v>176</v>
      </c>
      <c r="D843" s="23" t="s">
        <v>28</v>
      </c>
      <c r="E843" s="23" t="s">
        <v>29</v>
      </c>
      <c r="F843">
        <v>135</v>
      </c>
      <c r="G843" s="23" t="s">
        <v>177</v>
      </c>
      <c r="H843">
        <v>0</v>
      </c>
      <c r="I843">
        <v>3000</v>
      </c>
      <c r="J843" s="10">
        <v>1048</v>
      </c>
      <c r="K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843">
        <v>0</v>
      </c>
      <c r="M8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3">
        <v>2.92</v>
      </c>
      <c r="O843" s="23" t="s">
        <v>629</v>
      </c>
      <c r="P843">
        <v>394.2</v>
      </c>
      <c r="Q843" s="23" t="s">
        <v>181</v>
      </c>
    </row>
    <row r="844" spans="1:17" x14ac:dyDescent="0.25">
      <c r="A844" s="23" t="s">
        <v>1146</v>
      </c>
      <c r="B844" s="23" t="s">
        <v>1145</v>
      </c>
      <c r="C844" s="23" t="s">
        <v>176</v>
      </c>
      <c r="D844" s="23" t="s">
        <v>537</v>
      </c>
      <c r="E844" s="23" t="s">
        <v>538</v>
      </c>
      <c r="F844">
        <v>45</v>
      </c>
      <c r="G844" s="23" t="s">
        <v>177</v>
      </c>
      <c r="H844">
        <v>0</v>
      </c>
      <c r="I844">
        <v>2200</v>
      </c>
      <c r="J844" s="10">
        <v>0</v>
      </c>
      <c r="K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844">
        <v>0</v>
      </c>
      <c r="M8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4">
        <v>0.7</v>
      </c>
      <c r="O844" s="23" t="s">
        <v>242</v>
      </c>
      <c r="P844">
        <v>31.499999999999996</v>
      </c>
      <c r="Q844" s="23" t="s">
        <v>181</v>
      </c>
    </row>
    <row r="845" spans="1:17" x14ac:dyDescent="0.25">
      <c r="A845" s="23" t="s">
        <v>1146</v>
      </c>
      <c r="B845" s="23" t="s">
        <v>1145</v>
      </c>
      <c r="C845" s="23" t="s">
        <v>176</v>
      </c>
      <c r="D845" s="23" t="s">
        <v>808</v>
      </c>
      <c r="E845" s="23" t="s">
        <v>809</v>
      </c>
      <c r="F845">
        <v>1</v>
      </c>
      <c r="G845" s="23" t="s">
        <v>177</v>
      </c>
      <c r="H845">
        <v>0</v>
      </c>
      <c r="I845">
        <v>11</v>
      </c>
      <c r="J845" s="10">
        <v>1</v>
      </c>
      <c r="K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845">
        <v>0</v>
      </c>
      <c r="M8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5">
        <v>583.33000000000004</v>
      </c>
      <c r="O845" s="23" t="s">
        <v>629</v>
      </c>
      <c r="P845">
        <v>583.33000000000004</v>
      </c>
      <c r="Q845" s="23" t="s">
        <v>178</v>
      </c>
    </row>
    <row r="846" spans="1:17" x14ac:dyDescent="0.25">
      <c r="A846" s="23" t="s">
        <v>1144</v>
      </c>
      <c r="B846" s="23" t="s">
        <v>1145</v>
      </c>
      <c r="C846" s="23" t="s">
        <v>176</v>
      </c>
      <c r="D846" s="23" t="s">
        <v>808</v>
      </c>
      <c r="E846" s="23" t="s">
        <v>809</v>
      </c>
      <c r="F846">
        <v>1</v>
      </c>
      <c r="G846" s="23" t="s">
        <v>177</v>
      </c>
      <c r="H846">
        <v>0</v>
      </c>
      <c r="I846">
        <v>11</v>
      </c>
      <c r="J846" s="10">
        <v>1</v>
      </c>
      <c r="K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846">
        <v>0</v>
      </c>
      <c r="M8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6">
        <v>583.33000000000004</v>
      </c>
      <c r="O846" s="23" t="s">
        <v>629</v>
      </c>
      <c r="P846">
        <v>583.33000000000004</v>
      </c>
      <c r="Q846" s="23" t="s">
        <v>178</v>
      </c>
    </row>
    <row r="847" spans="1:17" x14ac:dyDescent="0.25">
      <c r="A847" s="26" t="s">
        <v>1149</v>
      </c>
      <c r="B847" s="26" t="s">
        <v>1145</v>
      </c>
      <c r="C847" s="23" t="s">
        <v>176</v>
      </c>
      <c r="D847" s="26" t="s">
        <v>669</v>
      </c>
      <c r="E847" s="26" t="s">
        <v>670</v>
      </c>
      <c r="F847" s="13">
        <v>1</v>
      </c>
      <c r="G847" s="26" t="s">
        <v>177</v>
      </c>
      <c r="H847">
        <v>0</v>
      </c>
      <c r="I847">
        <v>13</v>
      </c>
      <c r="J847" s="10">
        <v>4</v>
      </c>
      <c r="K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47">
        <v>0</v>
      </c>
      <c r="M8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7">
        <v>1250</v>
      </c>
      <c r="O847" s="23" t="s">
        <v>338</v>
      </c>
      <c r="P847">
        <v>1250</v>
      </c>
      <c r="Q847" s="23" t="s">
        <v>178</v>
      </c>
    </row>
    <row r="848" spans="1:17" x14ac:dyDescent="0.25">
      <c r="A848" s="23" t="s">
        <v>1147</v>
      </c>
      <c r="B848" s="23" t="s">
        <v>1145</v>
      </c>
      <c r="C848" s="23" t="s">
        <v>176</v>
      </c>
      <c r="D848" s="23" t="s">
        <v>28</v>
      </c>
      <c r="E848" s="23" t="s">
        <v>29</v>
      </c>
      <c r="F848">
        <v>135</v>
      </c>
      <c r="G848" s="23" t="s">
        <v>177</v>
      </c>
      <c r="H848">
        <v>0</v>
      </c>
      <c r="I848">
        <v>3000</v>
      </c>
      <c r="J848" s="10">
        <v>1048</v>
      </c>
      <c r="K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848">
        <v>0</v>
      </c>
      <c r="M8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8">
        <v>2.92</v>
      </c>
      <c r="O848" s="23" t="s">
        <v>629</v>
      </c>
      <c r="P848">
        <v>394.2</v>
      </c>
      <c r="Q848" s="23" t="s">
        <v>181</v>
      </c>
    </row>
    <row r="849" spans="1:17" x14ac:dyDescent="0.25">
      <c r="A849" s="23" t="s">
        <v>1149</v>
      </c>
      <c r="B849" s="23" t="s">
        <v>1145</v>
      </c>
      <c r="C849" s="23" t="s">
        <v>176</v>
      </c>
      <c r="D849" s="23" t="s">
        <v>808</v>
      </c>
      <c r="E849" s="23" t="s">
        <v>809</v>
      </c>
      <c r="F849">
        <v>1</v>
      </c>
      <c r="G849" s="23" t="s">
        <v>177</v>
      </c>
      <c r="H849">
        <v>0</v>
      </c>
      <c r="I849">
        <v>11</v>
      </c>
      <c r="J849" s="10">
        <v>1</v>
      </c>
      <c r="K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849">
        <v>0</v>
      </c>
      <c r="M8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49">
        <v>583.33000000000004</v>
      </c>
      <c r="O849" s="23" t="s">
        <v>629</v>
      </c>
      <c r="P849">
        <v>583.33000000000004</v>
      </c>
      <c r="Q849" s="23" t="s">
        <v>178</v>
      </c>
    </row>
    <row r="850" spans="1:17" x14ac:dyDescent="0.25">
      <c r="A850" s="23" t="s">
        <v>1150</v>
      </c>
      <c r="B850" s="23" t="s">
        <v>1145</v>
      </c>
      <c r="C850" s="23" t="s">
        <v>176</v>
      </c>
      <c r="D850" s="23" t="s">
        <v>669</v>
      </c>
      <c r="E850" s="23" t="s">
        <v>670</v>
      </c>
      <c r="F850">
        <v>1</v>
      </c>
      <c r="G850" s="23" t="s">
        <v>177</v>
      </c>
      <c r="H850">
        <v>0</v>
      </c>
      <c r="I850">
        <v>13</v>
      </c>
      <c r="J850" s="10">
        <v>4</v>
      </c>
      <c r="K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50">
        <v>0</v>
      </c>
      <c r="M8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0">
        <v>1250</v>
      </c>
      <c r="O850" s="23" t="s">
        <v>338</v>
      </c>
      <c r="P850">
        <v>1250</v>
      </c>
      <c r="Q850" s="23" t="s">
        <v>178</v>
      </c>
    </row>
    <row r="851" spans="1:17" x14ac:dyDescent="0.25">
      <c r="A851" s="23" t="s">
        <v>1147</v>
      </c>
      <c r="B851" s="23" t="s">
        <v>1145</v>
      </c>
      <c r="C851" s="23" t="s">
        <v>176</v>
      </c>
      <c r="D851" s="23" t="s">
        <v>537</v>
      </c>
      <c r="E851" s="23" t="s">
        <v>538</v>
      </c>
      <c r="F851">
        <v>45</v>
      </c>
      <c r="G851" s="23" t="s">
        <v>177</v>
      </c>
      <c r="H851">
        <v>0</v>
      </c>
      <c r="I851">
        <v>2200</v>
      </c>
      <c r="J851" s="10">
        <v>0</v>
      </c>
      <c r="K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851">
        <v>0</v>
      </c>
      <c r="M8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1">
        <v>0.7</v>
      </c>
      <c r="O851" s="23" t="s">
        <v>242</v>
      </c>
      <c r="P851">
        <v>31.499999999999996</v>
      </c>
      <c r="Q851" s="23" t="s">
        <v>181</v>
      </c>
    </row>
    <row r="852" spans="1:17" x14ac:dyDescent="0.25">
      <c r="A852" s="23" t="s">
        <v>1147</v>
      </c>
      <c r="B852" s="23" t="s">
        <v>1145</v>
      </c>
      <c r="C852" s="23" t="s">
        <v>176</v>
      </c>
      <c r="D852" s="23" t="s">
        <v>808</v>
      </c>
      <c r="E852" s="23" t="s">
        <v>809</v>
      </c>
      <c r="F852">
        <v>1</v>
      </c>
      <c r="G852" s="23" t="s">
        <v>177</v>
      </c>
      <c r="H852">
        <v>0</v>
      </c>
      <c r="I852">
        <v>11</v>
      </c>
      <c r="J852" s="10">
        <v>1</v>
      </c>
      <c r="K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852">
        <v>0</v>
      </c>
      <c r="M8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2">
        <v>583.33000000000004</v>
      </c>
      <c r="O852" s="23" t="s">
        <v>629</v>
      </c>
      <c r="P852">
        <v>583.33000000000004</v>
      </c>
      <c r="Q852" s="23" t="s">
        <v>178</v>
      </c>
    </row>
    <row r="853" spans="1:17" x14ac:dyDescent="0.25">
      <c r="A853" s="23" t="s">
        <v>1058</v>
      </c>
      <c r="B853" s="23" t="s">
        <v>1059</v>
      </c>
      <c r="C853" s="23" t="s">
        <v>176</v>
      </c>
      <c r="D853" s="23" t="s">
        <v>669</v>
      </c>
      <c r="E853" s="23" t="s">
        <v>670</v>
      </c>
      <c r="F853">
        <v>1</v>
      </c>
      <c r="G853" s="23" t="s">
        <v>177</v>
      </c>
      <c r="H853">
        <v>1</v>
      </c>
      <c r="I853">
        <v>13</v>
      </c>
      <c r="J853" s="10">
        <v>4</v>
      </c>
      <c r="K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853">
        <v>0</v>
      </c>
      <c r="M8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3">
        <v>1250</v>
      </c>
      <c r="O853" s="23" t="s">
        <v>338</v>
      </c>
      <c r="P853">
        <v>1250</v>
      </c>
      <c r="Q853" s="23" t="s">
        <v>178</v>
      </c>
    </row>
    <row r="854" spans="1:17" x14ac:dyDescent="0.25">
      <c r="A854" s="23" t="s">
        <v>1147</v>
      </c>
      <c r="B854" s="23" t="s">
        <v>1145</v>
      </c>
      <c r="C854" s="23" t="s">
        <v>176</v>
      </c>
      <c r="D854" s="23" t="s">
        <v>71</v>
      </c>
      <c r="E854" s="23" t="s">
        <v>289</v>
      </c>
      <c r="F854">
        <v>6.8</v>
      </c>
      <c r="G854" s="23" t="s">
        <v>186</v>
      </c>
      <c r="H854">
        <v>0</v>
      </c>
      <c r="I854">
        <v>120</v>
      </c>
      <c r="J854" s="10">
        <v>113.68999999999956</v>
      </c>
      <c r="K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854">
        <v>120</v>
      </c>
      <c r="M8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4">
        <v>101.44</v>
      </c>
      <c r="O854" s="23" t="s">
        <v>491</v>
      </c>
      <c r="P854">
        <v>689.79199999999992</v>
      </c>
      <c r="Q854" s="23" t="s">
        <v>184</v>
      </c>
    </row>
    <row r="855" spans="1:17" x14ac:dyDescent="0.25">
      <c r="A855" s="23" t="s">
        <v>1100</v>
      </c>
      <c r="B855" s="23" t="s">
        <v>1101</v>
      </c>
      <c r="C855" s="23" t="s">
        <v>176</v>
      </c>
      <c r="D855" s="23" t="s">
        <v>72</v>
      </c>
      <c r="E855" s="23" t="s">
        <v>251</v>
      </c>
      <c r="F855">
        <v>8.3999999999999986</v>
      </c>
      <c r="G855" s="23" t="s">
        <v>177</v>
      </c>
      <c r="H855">
        <v>0</v>
      </c>
      <c r="I855">
        <v>96</v>
      </c>
      <c r="J855" s="10">
        <v>195.44000000000005</v>
      </c>
      <c r="K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855">
        <v>0</v>
      </c>
      <c r="M8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855">
        <v>128.93</v>
      </c>
      <c r="O855" s="23" t="s">
        <v>252</v>
      </c>
      <c r="P855">
        <v>1083.0119999999999</v>
      </c>
      <c r="Q855" s="23" t="s">
        <v>181</v>
      </c>
    </row>
    <row r="856" spans="1:17" x14ac:dyDescent="0.25">
      <c r="A856" s="23" t="s">
        <v>1058</v>
      </c>
      <c r="B856" s="23" t="s">
        <v>1059</v>
      </c>
      <c r="C856" s="23" t="s">
        <v>176</v>
      </c>
      <c r="D856" s="23" t="s">
        <v>1028</v>
      </c>
      <c r="E856" s="23" t="s">
        <v>1029</v>
      </c>
      <c r="F856">
        <v>1</v>
      </c>
      <c r="G856" s="23" t="s">
        <v>183</v>
      </c>
      <c r="H856">
        <v>0</v>
      </c>
      <c r="I856">
        <v>40</v>
      </c>
      <c r="J856" s="10">
        <v>20</v>
      </c>
      <c r="K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856">
        <v>0</v>
      </c>
      <c r="M8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6">
        <v>54.17</v>
      </c>
      <c r="O856" s="23" t="s">
        <v>454</v>
      </c>
      <c r="P856">
        <v>54.17</v>
      </c>
      <c r="Q856" s="23" t="s">
        <v>184</v>
      </c>
    </row>
    <row r="857" spans="1:17" x14ac:dyDescent="0.25">
      <c r="A857" s="23" t="s">
        <v>1147</v>
      </c>
      <c r="B857" s="23" t="s">
        <v>1145</v>
      </c>
      <c r="C857" s="23" t="s">
        <v>176</v>
      </c>
      <c r="D857" s="23" t="s">
        <v>390</v>
      </c>
      <c r="E857" s="23" t="s">
        <v>391</v>
      </c>
      <c r="F857">
        <v>8</v>
      </c>
      <c r="G857" s="23" t="s">
        <v>177</v>
      </c>
      <c r="H857">
        <v>0</v>
      </c>
      <c r="I857">
        <v>100</v>
      </c>
      <c r="J857" s="10">
        <v>352</v>
      </c>
      <c r="K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857">
        <v>0</v>
      </c>
      <c r="M8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7">
        <v>6.4</v>
      </c>
      <c r="O857" s="23" t="s">
        <v>883</v>
      </c>
      <c r="P857">
        <v>51.2</v>
      </c>
      <c r="Q857" s="23" t="s">
        <v>179</v>
      </c>
    </row>
    <row r="858" spans="1:17" x14ac:dyDescent="0.25">
      <c r="A858" s="23" t="s">
        <v>1099</v>
      </c>
      <c r="B858" s="23" t="s">
        <v>1056</v>
      </c>
      <c r="C858" s="23" t="s">
        <v>176</v>
      </c>
      <c r="D858" s="23" t="s">
        <v>390</v>
      </c>
      <c r="E858" s="23" t="s">
        <v>391</v>
      </c>
      <c r="F858">
        <v>8</v>
      </c>
      <c r="G858" s="23" t="s">
        <v>177</v>
      </c>
      <c r="H858">
        <v>0</v>
      </c>
      <c r="I858">
        <v>100</v>
      </c>
      <c r="J858" s="10">
        <v>352</v>
      </c>
      <c r="K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858">
        <v>0</v>
      </c>
      <c r="M8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58">
        <v>6.4</v>
      </c>
      <c r="O858" s="23" t="s">
        <v>883</v>
      </c>
      <c r="P858">
        <v>51.2</v>
      </c>
      <c r="Q858" s="23" t="s">
        <v>179</v>
      </c>
    </row>
    <row r="859" spans="1:17" x14ac:dyDescent="0.25">
      <c r="A859" s="23" t="s">
        <v>1100</v>
      </c>
      <c r="B859" s="23" t="s">
        <v>1101</v>
      </c>
      <c r="C859" s="23" t="s">
        <v>176</v>
      </c>
      <c r="D859" s="23" t="s">
        <v>328</v>
      </c>
      <c r="E859" s="23" t="s">
        <v>329</v>
      </c>
      <c r="F859">
        <v>0.1</v>
      </c>
      <c r="G859" s="23" t="s">
        <v>177</v>
      </c>
      <c r="H859">
        <v>0</v>
      </c>
      <c r="I859">
        <v>1</v>
      </c>
      <c r="J859" s="10">
        <v>0.92999999999999972</v>
      </c>
      <c r="K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859">
        <v>0</v>
      </c>
      <c r="M8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859">
        <v>1525</v>
      </c>
      <c r="O859" s="23" t="s">
        <v>242</v>
      </c>
      <c r="P859">
        <v>152.5</v>
      </c>
      <c r="Q859" s="23" t="s">
        <v>181</v>
      </c>
    </row>
    <row r="860" spans="1:17" x14ac:dyDescent="0.25">
      <c r="A860" s="23" t="s">
        <v>1097</v>
      </c>
      <c r="B860" s="23" t="s">
        <v>1095</v>
      </c>
      <c r="C860" s="23" t="s">
        <v>176</v>
      </c>
      <c r="D860" s="23" t="s">
        <v>292</v>
      </c>
      <c r="E860" s="23" t="s">
        <v>293</v>
      </c>
      <c r="F860">
        <v>4</v>
      </c>
      <c r="G860" s="23" t="s">
        <v>177</v>
      </c>
      <c r="H860">
        <v>0</v>
      </c>
      <c r="I860">
        <v>133</v>
      </c>
      <c r="J860" s="10">
        <v>46</v>
      </c>
      <c r="K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860">
        <v>0</v>
      </c>
      <c r="M8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0">
        <v>3.75</v>
      </c>
      <c r="O860" s="23" t="s">
        <v>629</v>
      </c>
      <c r="P860">
        <v>15</v>
      </c>
      <c r="Q860" s="23" t="s">
        <v>181</v>
      </c>
    </row>
    <row r="861" spans="1:17" x14ac:dyDescent="0.25">
      <c r="A861" s="23" t="s">
        <v>1097</v>
      </c>
      <c r="B861" s="23" t="s">
        <v>1095</v>
      </c>
      <c r="C861" s="23" t="s">
        <v>176</v>
      </c>
      <c r="D861" s="23" t="s">
        <v>906</v>
      </c>
      <c r="E861" s="23" t="s">
        <v>907</v>
      </c>
      <c r="F861">
        <v>1</v>
      </c>
      <c r="G861" s="23" t="s">
        <v>177</v>
      </c>
      <c r="H861">
        <v>0</v>
      </c>
      <c r="I861">
        <v>13</v>
      </c>
      <c r="J861" s="10">
        <v>6</v>
      </c>
      <c r="K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861">
        <v>0</v>
      </c>
      <c r="M8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1">
        <v>344.14</v>
      </c>
      <c r="O861" s="23" t="s">
        <v>908</v>
      </c>
      <c r="P861">
        <v>344.14</v>
      </c>
      <c r="Q861" s="23" t="s">
        <v>181</v>
      </c>
    </row>
    <row r="862" spans="1:17" x14ac:dyDescent="0.25">
      <c r="A862" s="26" t="s">
        <v>1143</v>
      </c>
      <c r="B862" s="26" t="s">
        <v>1054</v>
      </c>
      <c r="C862" s="23" t="s">
        <v>176</v>
      </c>
      <c r="D862" s="26" t="s">
        <v>292</v>
      </c>
      <c r="E862" s="26" t="s">
        <v>293</v>
      </c>
      <c r="F862" s="13">
        <v>8</v>
      </c>
      <c r="G862" s="26" t="s">
        <v>177</v>
      </c>
      <c r="H862">
        <v>0</v>
      </c>
      <c r="I862">
        <v>133</v>
      </c>
      <c r="J862" s="10">
        <v>46</v>
      </c>
      <c r="K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862">
        <v>0</v>
      </c>
      <c r="M8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2">
        <v>3.75</v>
      </c>
      <c r="O862" s="23" t="s">
        <v>629</v>
      </c>
      <c r="P862">
        <v>30</v>
      </c>
      <c r="Q862" s="23" t="s">
        <v>181</v>
      </c>
    </row>
    <row r="863" spans="1:17" x14ac:dyDescent="0.25">
      <c r="A863" s="23" t="s">
        <v>1143</v>
      </c>
      <c r="B863" s="23" t="s">
        <v>1054</v>
      </c>
      <c r="C863" s="23" t="s">
        <v>176</v>
      </c>
      <c r="D863" s="23" t="s">
        <v>328</v>
      </c>
      <c r="E863" s="23" t="s">
        <v>329</v>
      </c>
      <c r="F863">
        <v>0.11000000000000001</v>
      </c>
      <c r="G863" s="23" t="s">
        <v>177</v>
      </c>
      <c r="H863">
        <v>0</v>
      </c>
      <c r="I863">
        <v>1</v>
      </c>
      <c r="J863" s="10">
        <v>0.92999999999999972</v>
      </c>
      <c r="K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863">
        <v>0</v>
      </c>
      <c r="M8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863">
        <v>1525</v>
      </c>
      <c r="O863" s="23" t="s">
        <v>242</v>
      </c>
      <c r="P863">
        <v>167.75000000000003</v>
      </c>
      <c r="Q863" s="23" t="s">
        <v>181</v>
      </c>
    </row>
    <row r="864" spans="1:17" x14ac:dyDescent="0.25">
      <c r="A864" s="23" t="s">
        <v>1094</v>
      </c>
      <c r="B864" s="23" t="s">
        <v>1095</v>
      </c>
      <c r="C864" s="23" t="s">
        <v>176</v>
      </c>
      <c r="D864" s="23" t="s">
        <v>117</v>
      </c>
      <c r="E864" s="23" t="s">
        <v>118</v>
      </c>
      <c r="F864">
        <v>105.7</v>
      </c>
      <c r="G864" s="23" t="s">
        <v>186</v>
      </c>
      <c r="H864">
        <v>0</v>
      </c>
      <c r="I864">
        <v>1840</v>
      </c>
      <c r="J864" s="10">
        <v>973.62000000000012</v>
      </c>
      <c r="K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864">
        <v>920</v>
      </c>
      <c r="M8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4">
        <v>94.86</v>
      </c>
      <c r="O864" s="23" t="s">
        <v>491</v>
      </c>
      <c r="P864">
        <v>10026.701999999999</v>
      </c>
      <c r="Q864" s="23" t="s">
        <v>184</v>
      </c>
    </row>
    <row r="865" spans="1:17" x14ac:dyDescent="0.25">
      <c r="A865" s="23" t="s">
        <v>1094</v>
      </c>
      <c r="B865" s="23" t="s">
        <v>1095</v>
      </c>
      <c r="C865" s="23" t="s">
        <v>176</v>
      </c>
      <c r="D865" s="23" t="s">
        <v>906</v>
      </c>
      <c r="E865" s="23" t="s">
        <v>907</v>
      </c>
      <c r="F865">
        <v>1</v>
      </c>
      <c r="G865" s="23" t="s">
        <v>177</v>
      </c>
      <c r="H865">
        <v>0</v>
      </c>
      <c r="I865">
        <v>13</v>
      </c>
      <c r="J865" s="10">
        <v>6</v>
      </c>
      <c r="K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865">
        <v>0</v>
      </c>
      <c r="M8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5">
        <v>344.14</v>
      </c>
      <c r="O865" s="23" t="s">
        <v>908</v>
      </c>
      <c r="P865">
        <v>344.14</v>
      </c>
      <c r="Q865" s="23" t="s">
        <v>181</v>
      </c>
    </row>
    <row r="866" spans="1:17" x14ac:dyDescent="0.25">
      <c r="A866" s="23" t="s">
        <v>1057</v>
      </c>
      <c r="B866" s="23" t="s">
        <v>1056</v>
      </c>
      <c r="C866" s="23" t="s">
        <v>176</v>
      </c>
      <c r="D866" s="23" t="s">
        <v>328</v>
      </c>
      <c r="E866" s="23" t="s">
        <v>329</v>
      </c>
      <c r="F866">
        <v>0.05</v>
      </c>
      <c r="G866" s="23" t="s">
        <v>177</v>
      </c>
      <c r="H866">
        <v>0</v>
      </c>
      <c r="I866">
        <v>1</v>
      </c>
      <c r="J866" s="10">
        <v>0.92999999999999972</v>
      </c>
      <c r="K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866">
        <v>0</v>
      </c>
      <c r="M8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866">
        <v>1525</v>
      </c>
      <c r="O866" s="23" t="s">
        <v>242</v>
      </c>
      <c r="P866">
        <v>76.25</v>
      </c>
      <c r="Q866" s="23" t="s">
        <v>181</v>
      </c>
    </row>
    <row r="867" spans="1:17" x14ac:dyDescent="0.25">
      <c r="A867" s="23" t="s">
        <v>1096</v>
      </c>
      <c r="B867" s="23" t="s">
        <v>1053</v>
      </c>
      <c r="C867" s="23" t="s">
        <v>176</v>
      </c>
      <c r="D867" s="23" t="s">
        <v>328</v>
      </c>
      <c r="E867" s="23" t="s">
        <v>329</v>
      </c>
      <c r="F867">
        <v>0.1</v>
      </c>
      <c r="G867" s="23" t="s">
        <v>177</v>
      </c>
      <c r="H867">
        <v>0</v>
      </c>
      <c r="I867">
        <v>1</v>
      </c>
      <c r="J867" s="10">
        <v>0.92999999999999972</v>
      </c>
      <c r="K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867">
        <v>0</v>
      </c>
      <c r="M8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867">
        <v>1525</v>
      </c>
      <c r="O867" s="23" t="s">
        <v>242</v>
      </c>
      <c r="P867">
        <v>152.5</v>
      </c>
      <c r="Q867" s="23" t="s">
        <v>181</v>
      </c>
    </row>
    <row r="868" spans="1:17" x14ac:dyDescent="0.25">
      <c r="A868" s="23" t="s">
        <v>1142</v>
      </c>
      <c r="B868" s="23" t="s">
        <v>1054</v>
      </c>
      <c r="C868" s="23" t="s">
        <v>176</v>
      </c>
      <c r="D868" s="23" t="s">
        <v>117</v>
      </c>
      <c r="E868" s="23" t="s">
        <v>118</v>
      </c>
      <c r="F868">
        <v>108.01</v>
      </c>
      <c r="G868" s="23" t="s">
        <v>186</v>
      </c>
      <c r="H868">
        <v>0</v>
      </c>
      <c r="I868">
        <v>1840</v>
      </c>
      <c r="J868" s="10">
        <v>973.62000000000012</v>
      </c>
      <c r="K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868">
        <v>920</v>
      </c>
      <c r="M8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68">
        <v>94.86</v>
      </c>
      <c r="O868" s="23" t="s">
        <v>491</v>
      </c>
      <c r="P868">
        <v>10245.828600000001</v>
      </c>
      <c r="Q868" s="23" t="s">
        <v>184</v>
      </c>
    </row>
    <row r="869" spans="1:17" x14ac:dyDescent="0.25">
      <c r="A869" s="23" t="s">
        <v>1096</v>
      </c>
      <c r="B869" s="23" t="s">
        <v>1053</v>
      </c>
      <c r="C869" s="23" t="s">
        <v>176</v>
      </c>
      <c r="D869" s="23" t="s">
        <v>119</v>
      </c>
      <c r="E869" s="23" t="s">
        <v>120</v>
      </c>
      <c r="F869">
        <v>6</v>
      </c>
      <c r="G869" s="23" t="s">
        <v>177</v>
      </c>
      <c r="H869">
        <v>0</v>
      </c>
      <c r="I869">
        <v>84</v>
      </c>
      <c r="J869" s="10">
        <v>36</v>
      </c>
      <c r="K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869">
        <v>0</v>
      </c>
      <c r="M8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869">
        <v>20</v>
      </c>
      <c r="O869" s="23" t="s">
        <v>242</v>
      </c>
      <c r="P869">
        <v>120</v>
      </c>
      <c r="Q869" s="23" t="s">
        <v>179</v>
      </c>
    </row>
    <row r="870" spans="1:17" x14ac:dyDescent="0.25">
      <c r="A870" s="23" t="s">
        <v>1094</v>
      </c>
      <c r="B870" s="23" t="s">
        <v>1095</v>
      </c>
      <c r="C870" s="23" t="s">
        <v>176</v>
      </c>
      <c r="D870" s="23" t="s">
        <v>119</v>
      </c>
      <c r="E870" s="23" t="s">
        <v>120</v>
      </c>
      <c r="F870">
        <v>4</v>
      </c>
      <c r="G870" s="23" t="s">
        <v>177</v>
      </c>
      <c r="H870">
        <v>0</v>
      </c>
      <c r="I870">
        <v>84</v>
      </c>
      <c r="J870" s="10">
        <v>36</v>
      </c>
      <c r="K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870">
        <v>0</v>
      </c>
      <c r="M8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870">
        <v>20</v>
      </c>
      <c r="O870" s="23" t="s">
        <v>242</v>
      </c>
      <c r="P870">
        <v>80</v>
      </c>
      <c r="Q870" s="23" t="s">
        <v>179</v>
      </c>
    </row>
    <row r="871" spans="1:17" x14ac:dyDescent="0.25">
      <c r="A871" s="23" t="s">
        <v>1094</v>
      </c>
      <c r="B871" s="23" t="s">
        <v>1095</v>
      </c>
      <c r="C871" s="23" t="s">
        <v>176</v>
      </c>
      <c r="D871" s="23" t="s">
        <v>52</v>
      </c>
      <c r="E871" s="23" t="s">
        <v>53</v>
      </c>
      <c r="F871">
        <v>1</v>
      </c>
      <c r="G871" s="23" t="s">
        <v>177</v>
      </c>
      <c r="H871">
        <v>0</v>
      </c>
      <c r="I871">
        <v>5</v>
      </c>
      <c r="J871" s="10">
        <v>10</v>
      </c>
      <c r="K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871">
        <v>0</v>
      </c>
      <c r="M8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871">
        <v>12234.43</v>
      </c>
      <c r="O871" s="23" t="s">
        <v>216</v>
      </c>
      <c r="P871">
        <v>12234.43</v>
      </c>
      <c r="Q871" s="23" t="s">
        <v>222</v>
      </c>
    </row>
    <row r="872" spans="1:17" x14ac:dyDescent="0.25">
      <c r="A872" s="23" t="s">
        <v>1057</v>
      </c>
      <c r="B872" s="23" t="s">
        <v>1056</v>
      </c>
      <c r="C872" s="23" t="s">
        <v>176</v>
      </c>
      <c r="D872" s="23" t="s">
        <v>925</v>
      </c>
      <c r="E872" s="23" t="s">
        <v>926</v>
      </c>
      <c r="F872">
        <v>1</v>
      </c>
      <c r="G872" s="23" t="s">
        <v>180</v>
      </c>
      <c r="H872">
        <v>0</v>
      </c>
      <c r="I872">
        <v>6400</v>
      </c>
      <c r="J872" s="10">
        <v>186.50000000000017</v>
      </c>
      <c r="K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872">
        <v>0</v>
      </c>
      <c r="M8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2">
        <v>2.1</v>
      </c>
      <c r="O872" s="23"/>
      <c r="P872">
        <v>2.1</v>
      </c>
      <c r="Q872" s="23" t="s">
        <v>222</v>
      </c>
    </row>
    <row r="873" spans="1:17" x14ac:dyDescent="0.25">
      <c r="A873" s="23" t="s">
        <v>1096</v>
      </c>
      <c r="B873" s="23" t="s">
        <v>1053</v>
      </c>
      <c r="C873" s="23" t="s">
        <v>176</v>
      </c>
      <c r="D873" s="23" t="s">
        <v>925</v>
      </c>
      <c r="E873" s="23" t="s">
        <v>926</v>
      </c>
      <c r="F873">
        <v>1.5</v>
      </c>
      <c r="G873" s="23" t="s">
        <v>180</v>
      </c>
      <c r="H873">
        <v>0</v>
      </c>
      <c r="I873">
        <v>6400</v>
      </c>
      <c r="J873" s="10">
        <v>186.50000000000017</v>
      </c>
      <c r="K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873">
        <v>0</v>
      </c>
      <c r="M8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3">
        <v>2.1</v>
      </c>
      <c r="O873" s="23"/>
      <c r="P873">
        <v>3.1500000000000004</v>
      </c>
      <c r="Q873" s="23" t="s">
        <v>222</v>
      </c>
    </row>
    <row r="874" spans="1:17" x14ac:dyDescent="0.25">
      <c r="A874" s="23" t="s">
        <v>1149</v>
      </c>
      <c r="B874" s="23" t="s">
        <v>1145</v>
      </c>
      <c r="C874" s="23" t="s">
        <v>176</v>
      </c>
      <c r="D874" s="23" t="s">
        <v>806</v>
      </c>
      <c r="E874" s="23" t="s">
        <v>807</v>
      </c>
      <c r="F874">
        <v>1</v>
      </c>
      <c r="G874" s="23" t="s">
        <v>177</v>
      </c>
      <c r="H874">
        <v>0</v>
      </c>
      <c r="I874">
        <v>14</v>
      </c>
      <c r="J874" s="10">
        <v>1</v>
      </c>
      <c r="K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874">
        <v>0</v>
      </c>
      <c r="M8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4">
        <v>458.33</v>
      </c>
      <c r="O874" s="23" t="s">
        <v>629</v>
      </c>
      <c r="P874">
        <v>458.33</v>
      </c>
      <c r="Q874" s="23" t="s">
        <v>178</v>
      </c>
    </row>
    <row r="875" spans="1:17" x14ac:dyDescent="0.25">
      <c r="A875" s="23" t="s">
        <v>1142</v>
      </c>
      <c r="B875" s="23" t="s">
        <v>1054</v>
      </c>
      <c r="C875" s="23" t="s">
        <v>176</v>
      </c>
      <c r="D875" s="23" t="s">
        <v>328</v>
      </c>
      <c r="E875" s="23" t="s">
        <v>329</v>
      </c>
      <c r="F875">
        <v>0.05</v>
      </c>
      <c r="G875" s="23" t="s">
        <v>177</v>
      </c>
      <c r="H875">
        <v>0</v>
      </c>
      <c r="I875">
        <v>1</v>
      </c>
      <c r="J875" s="10">
        <v>0.92999999999999972</v>
      </c>
      <c r="K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875">
        <v>0</v>
      </c>
      <c r="M8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875">
        <v>1525</v>
      </c>
      <c r="O875" s="23" t="s">
        <v>242</v>
      </c>
      <c r="P875">
        <v>76.25</v>
      </c>
      <c r="Q875" s="23" t="s">
        <v>181</v>
      </c>
    </row>
    <row r="876" spans="1:17" x14ac:dyDescent="0.25">
      <c r="A876" s="23" t="s">
        <v>1143</v>
      </c>
      <c r="B876" s="23" t="s">
        <v>1054</v>
      </c>
      <c r="C876" s="23" t="s">
        <v>176</v>
      </c>
      <c r="D876" s="23" t="s">
        <v>117</v>
      </c>
      <c r="E876" s="23" t="s">
        <v>118</v>
      </c>
      <c r="F876">
        <v>114.33</v>
      </c>
      <c r="G876" s="23" t="s">
        <v>186</v>
      </c>
      <c r="H876">
        <v>0</v>
      </c>
      <c r="I876">
        <v>1840</v>
      </c>
      <c r="J876" s="10">
        <v>973.62000000000012</v>
      </c>
      <c r="K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876">
        <v>920</v>
      </c>
      <c r="M8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6">
        <v>94.86</v>
      </c>
      <c r="O876" s="23" t="s">
        <v>491</v>
      </c>
      <c r="P876">
        <v>10845.343800000001</v>
      </c>
      <c r="Q876" s="23" t="s">
        <v>184</v>
      </c>
    </row>
    <row r="877" spans="1:17" x14ac:dyDescent="0.25">
      <c r="A877" s="26" t="s">
        <v>1096</v>
      </c>
      <c r="B877" s="26" t="s">
        <v>1053</v>
      </c>
      <c r="C877" s="23" t="s">
        <v>176</v>
      </c>
      <c r="D877" s="26" t="s">
        <v>459</v>
      </c>
      <c r="E877" s="26" t="s">
        <v>460</v>
      </c>
      <c r="F877" s="13">
        <v>0.01</v>
      </c>
      <c r="G877" s="26" t="s">
        <v>177</v>
      </c>
      <c r="H877">
        <v>0</v>
      </c>
      <c r="I877">
        <v>6</v>
      </c>
      <c r="J877" s="10">
        <v>22.53</v>
      </c>
      <c r="K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877">
        <v>0</v>
      </c>
      <c r="M8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77">
        <v>133</v>
      </c>
      <c r="O877" s="23" t="s">
        <v>217</v>
      </c>
      <c r="P877">
        <v>1.33</v>
      </c>
      <c r="Q877" s="23" t="s">
        <v>184</v>
      </c>
    </row>
    <row r="878" spans="1:17" x14ac:dyDescent="0.25">
      <c r="A878" s="23" t="s">
        <v>1057</v>
      </c>
      <c r="B878" s="23" t="s">
        <v>1056</v>
      </c>
      <c r="C878" s="23" t="s">
        <v>176</v>
      </c>
      <c r="D878" s="23" t="s">
        <v>119</v>
      </c>
      <c r="E878" s="23" t="s">
        <v>120</v>
      </c>
      <c r="F878">
        <v>6</v>
      </c>
      <c r="G878" s="23" t="s">
        <v>177</v>
      </c>
      <c r="H878">
        <v>0</v>
      </c>
      <c r="I878">
        <v>84</v>
      </c>
      <c r="J878" s="10">
        <v>36</v>
      </c>
      <c r="K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878">
        <v>0</v>
      </c>
      <c r="M8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878">
        <v>20</v>
      </c>
      <c r="O878" s="23" t="s">
        <v>242</v>
      </c>
      <c r="P878">
        <v>120</v>
      </c>
      <c r="Q878" s="23" t="s">
        <v>179</v>
      </c>
    </row>
    <row r="879" spans="1:17" x14ac:dyDescent="0.25">
      <c r="A879" s="23" t="s">
        <v>1143</v>
      </c>
      <c r="B879" s="23" t="s">
        <v>1054</v>
      </c>
      <c r="C879" s="23" t="s">
        <v>176</v>
      </c>
      <c r="D879" s="23" t="s">
        <v>119</v>
      </c>
      <c r="E879" s="23" t="s">
        <v>120</v>
      </c>
      <c r="F879">
        <v>5</v>
      </c>
      <c r="G879" s="23" t="s">
        <v>177</v>
      </c>
      <c r="H879">
        <v>0</v>
      </c>
      <c r="I879">
        <v>84</v>
      </c>
      <c r="J879" s="10">
        <v>36</v>
      </c>
      <c r="K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879">
        <v>0</v>
      </c>
      <c r="M8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879">
        <v>20</v>
      </c>
      <c r="O879" s="23" t="s">
        <v>242</v>
      </c>
      <c r="P879">
        <v>100</v>
      </c>
      <c r="Q879" s="23" t="s">
        <v>179</v>
      </c>
    </row>
    <row r="880" spans="1:17" x14ac:dyDescent="0.25">
      <c r="A880" s="23" t="s">
        <v>1142</v>
      </c>
      <c r="B880" s="23" t="s">
        <v>1054</v>
      </c>
      <c r="C880" s="23" t="s">
        <v>176</v>
      </c>
      <c r="D880" s="23" t="s">
        <v>52</v>
      </c>
      <c r="E880" s="23" t="s">
        <v>53</v>
      </c>
      <c r="F880">
        <v>1</v>
      </c>
      <c r="G880" s="23" t="s">
        <v>177</v>
      </c>
      <c r="H880">
        <v>0</v>
      </c>
      <c r="I880">
        <v>5</v>
      </c>
      <c r="J880" s="10">
        <v>10</v>
      </c>
      <c r="K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880">
        <v>0</v>
      </c>
      <c r="M8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880">
        <v>12234.43</v>
      </c>
      <c r="O880" s="23" t="s">
        <v>216</v>
      </c>
      <c r="P880">
        <v>12234.43</v>
      </c>
      <c r="Q880" s="23" t="s">
        <v>222</v>
      </c>
    </row>
    <row r="881" spans="1:17" x14ac:dyDescent="0.25">
      <c r="A881" s="23" t="s">
        <v>1057</v>
      </c>
      <c r="B881" s="23" t="s">
        <v>1056</v>
      </c>
      <c r="C881" s="23" t="s">
        <v>176</v>
      </c>
      <c r="D881" s="23" t="s">
        <v>56</v>
      </c>
      <c r="E881" s="23" t="s">
        <v>57</v>
      </c>
      <c r="F881">
        <v>6</v>
      </c>
      <c r="G881" s="23" t="s">
        <v>180</v>
      </c>
      <c r="H881">
        <v>0</v>
      </c>
      <c r="I881">
        <v>140</v>
      </c>
      <c r="J881" s="10">
        <v>0</v>
      </c>
      <c r="K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881">
        <v>0</v>
      </c>
      <c r="M8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1">
        <v>25.42</v>
      </c>
      <c r="O881" s="23" t="s">
        <v>827</v>
      </c>
      <c r="P881">
        <v>152.52000000000001</v>
      </c>
      <c r="Q881" s="23" t="s">
        <v>222</v>
      </c>
    </row>
    <row r="882" spans="1:17" x14ac:dyDescent="0.25">
      <c r="A882" s="23" t="s">
        <v>1062</v>
      </c>
      <c r="B882" s="23" t="s">
        <v>1053</v>
      </c>
      <c r="C882" s="23" t="s">
        <v>176</v>
      </c>
      <c r="D882" s="23" t="s">
        <v>328</v>
      </c>
      <c r="E882" s="23" t="s">
        <v>329</v>
      </c>
      <c r="F882">
        <v>0.1</v>
      </c>
      <c r="G882" s="23" t="s">
        <v>177</v>
      </c>
      <c r="H882">
        <v>0</v>
      </c>
      <c r="I882">
        <v>1</v>
      </c>
      <c r="J882" s="10">
        <v>0.92999999999999972</v>
      </c>
      <c r="K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882">
        <v>0</v>
      </c>
      <c r="M8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882">
        <v>1525</v>
      </c>
      <c r="O882" s="23" t="s">
        <v>242</v>
      </c>
      <c r="P882">
        <v>152.5</v>
      </c>
      <c r="Q882" s="23" t="s">
        <v>181</v>
      </c>
    </row>
    <row r="883" spans="1:17" x14ac:dyDescent="0.25">
      <c r="A883" s="23" t="s">
        <v>1142</v>
      </c>
      <c r="B883" s="23" t="s">
        <v>1054</v>
      </c>
      <c r="C883" s="23" t="s">
        <v>176</v>
      </c>
      <c r="D883" s="23" t="s">
        <v>806</v>
      </c>
      <c r="E883" s="23" t="s">
        <v>807</v>
      </c>
      <c r="F883">
        <v>1</v>
      </c>
      <c r="G883" s="23" t="s">
        <v>177</v>
      </c>
      <c r="H883">
        <v>0</v>
      </c>
      <c r="I883">
        <v>14</v>
      </c>
      <c r="J883" s="10">
        <v>1</v>
      </c>
      <c r="K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883">
        <v>0</v>
      </c>
      <c r="M8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3">
        <v>458.33</v>
      </c>
      <c r="O883" s="23" t="s">
        <v>629</v>
      </c>
      <c r="P883">
        <v>458.33</v>
      </c>
      <c r="Q883" s="23" t="s">
        <v>178</v>
      </c>
    </row>
    <row r="884" spans="1:17" x14ac:dyDescent="0.25">
      <c r="A884" s="23" t="s">
        <v>1142</v>
      </c>
      <c r="B884" s="23" t="s">
        <v>1054</v>
      </c>
      <c r="C884" s="23" t="s">
        <v>176</v>
      </c>
      <c r="D884" s="23" t="s">
        <v>459</v>
      </c>
      <c r="E884" s="23" t="s">
        <v>460</v>
      </c>
      <c r="F884">
        <v>0.01</v>
      </c>
      <c r="G884" s="23" t="s">
        <v>177</v>
      </c>
      <c r="H884">
        <v>0</v>
      </c>
      <c r="I884">
        <v>6</v>
      </c>
      <c r="J884" s="10">
        <v>22.53</v>
      </c>
      <c r="K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884">
        <v>0</v>
      </c>
      <c r="M8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4">
        <v>133</v>
      </c>
      <c r="O884" s="23" t="s">
        <v>217</v>
      </c>
      <c r="P884">
        <v>1.33</v>
      </c>
      <c r="Q884" s="23" t="s">
        <v>184</v>
      </c>
    </row>
    <row r="885" spans="1:17" x14ac:dyDescent="0.25">
      <c r="A885" s="23" t="s">
        <v>1057</v>
      </c>
      <c r="B885" s="23" t="s">
        <v>1056</v>
      </c>
      <c r="C885" s="23" t="s">
        <v>176</v>
      </c>
      <c r="D885" s="23" t="s">
        <v>113</v>
      </c>
      <c r="E885" s="23" t="s">
        <v>114</v>
      </c>
      <c r="F885">
        <v>1</v>
      </c>
      <c r="G885" s="23" t="s">
        <v>177</v>
      </c>
      <c r="H885">
        <v>1</v>
      </c>
      <c r="I885">
        <v>2</v>
      </c>
      <c r="J885" s="10">
        <v>4</v>
      </c>
      <c r="K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885">
        <v>0</v>
      </c>
      <c r="M8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885">
        <v>7450</v>
      </c>
      <c r="O885" s="23" t="s">
        <v>585</v>
      </c>
      <c r="P885">
        <v>7450</v>
      </c>
      <c r="Q885" s="23" t="s">
        <v>178</v>
      </c>
    </row>
    <row r="886" spans="1:17" x14ac:dyDescent="0.25">
      <c r="A886" s="23" t="s">
        <v>1143</v>
      </c>
      <c r="B886" s="23" t="s">
        <v>1054</v>
      </c>
      <c r="C886" s="23" t="s">
        <v>176</v>
      </c>
      <c r="D886" s="23" t="s">
        <v>671</v>
      </c>
      <c r="E886" s="23" t="s">
        <v>672</v>
      </c>
      <c r="F886">
        <v>1</v>
      </c>
      <c r="G886" s="23" t="s">
        <v>177</v>
      </c>
      <c r="H886">
        <v>0</v>
      </c>
      <c r="I886">
        <v>12</v>
      </c>
      <c r="J886" s="10">
        <v>13</v>
      </c>
      <c r="K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86">
        <v>0</v>
      </c>
      <c r="M8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6">
        <v>28339.38</v>
      </c>
      <c r="O886" s="23" t="s">
        <v>215</v>
      </c>
      <c r="P886">
        <v>28339.38</v>
      </c>
      <c r="Q886" s="23" t="s">
        <v>178</v>
      </c>
    </row>
    <row r="887" spans="1:17" x14ac:dyDescent="0.25">
      <c r="A887" s="23" t="s">
        <v>1142</v>
      </c>
      <c r="B887" s="23" t="s">
        <v>1054</v>
      </c>
      <c r="C887" s="23" t="s">
        <v>176</v>
      </c>
      <c r="D887" s="23" t="s">
        <v>654</v>
      </c>
      <c r="E887" s="23" t="s">
        <v>655</v>
      </c>
      <c r="F887">
        <v>0.05</v>
      </c>
      <c r="G887" s="23" t="s">
        <v>186</v>
      </c>
      <c r="H887">
        <v>0</v>
      </c>
      <c r="I887">
        <v>1.8</v>
      </c>
      <c r="J887" s="10">
        <v>0.85000000000000098</v>
      </c>
      <c r="K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887">
        <v>1.75</v>
      </c>
      <c r="M8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7">
        <v>645.64</v>
      </c>
      <c r="O887" s="23" t="s">
        <v>491</v>
      </c>
      <c r="P887">
        <v>32.282000000000004</v>
      </c>
      <c r="Q887" s="23" t="s">
        <v>184</v>
      </c>
    </row>
    <row r="888" spans="1:17" x14ac:dyDescent="0.25">
      <c r="A888" s="23" t="s">
        <v>1142</v>
      </c>
      <c r="B888" s="23" t="s">
        <v>1054</v>
      </c>
      <c r="C888" s="23" t="s">
        <v>176</v>
      </c>
      <c r="D888" s="23" t="s">
        <v>115</v>
      </c>
      <c r="E888" s="23" t="s">
        <v>116</v>
      </c>
      <c r="F888">
        <v>1.4909999999999999</v>
      </c>
      <c r="G888" s="23" t="s">
        <v>186</v>
      </c>
      <c r="H888">
        <v>0</v>
      </c>
      <c r="I888">
        <v>0</v>
      </c>
      <c r="J888" s="10">
        <v>65.03100000000002</v>
      </c>
      <c r="K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888">
        <v>0</v>
      </c>
      <c r="M8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888">
        <v>389.53</v>
      </c>
      <c r="O888" s="23" t="s">
        <v>491</v>
      </c>
      <c r="P888">
        <v>580.78922999999986</v>
      </c>
      <c r="Q888" s="23" t="s">
        <v>184</v>
      </c>
    </row>
    <row r="889" spans="1:17" x14ac:dyDescent="0.25">
      <c r="A889" s="23" t="s">
        <v>1057</v>
      </c>
      <c r="B889" s="23" t="s">
        <v>1056</v>
      </c>
      <c r="C889" s="23" t="s">
        <v>176</v>
      </c>
      <c r="D889" s="23" t="s">
        <v>230</v>
      </c>
      <c r="E889" s="23" t="s">
        <v>231</v>
      </c>
      <c r="F889">
        <v>2</v>
      </c>
      <c r="G889" s="23" t="s">
        <v>177</v>
      </c>
      <c r="H889">
        <v>0</v>
      </c>
      <c r="I889">
        <v>238</v>
      </c>
      <c r="J889" s="10">
        <v>90</v>
      </c>
      <c r="K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889">
        <v>0</v>
      </c>
      <c r="M8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89">
        <v>4</v>
      </c>
      <c r="O889" s="23" t="s">
        <v>221</v>
      </c>
      <c r="P889">
        <v>8</v>
      </c>
      <c r="Q889" s="23" t="s">
        <v>222</v>
      </c>
    </row>
    <row r="890" spans="1:17" x14ac:dyDescent="0.25">
      <c r="A890" s="23" t="s">
        <v>1094</v>
      </c>
      <c r="B890" s="23" t="s">
        <v>1095</v>
      </c>
      <c r="C890" s="23" t="s">
        <v>176</v>
      </c>
      <c r="D890" s="23" t="s">
        <v>230</v>
      </c>
      <c r="E890" s="23" t="s">
        <v>231</v>
      </c>
      <c r="F890">
        <v>2</v>
      </c>
      <c r="G890" s="23" t="s">
        <v>177</v>
      </c>
      <c r="H890">
        <v>0</v>
      </c>
      <c r="I890">
        <v>238</v>
      </c>
      <c r="J890" s="10">
        <v>90</v>
      </c>
      <c r="K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890">
        <v>0</v>
      </c>
      <c r="M8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0">
        <v>4</v>
      </c>
      <c r="O890" s="23" t="s">
        <v>221</v>
      </c>
      <c r="P890">
        <v>8</v>
      </c>
      <c r="Q890" s="23" t="s">
        <v>222</v>
      </c>
    </row>
    <row r="891" spans="1:17" x14ac:dyDescent="0.25">
      <c r="A891" s="23" t="s">
        <v>1057</v>
      </c>
      <c r="B891" s="23" t="s">
        <v>1056</v>
      </c>
      <c r="C891" s="23" t="s">
        <v>176</v>
      </c>
      <c r="D891" s="23" t="s">
        <v>54</v>
      </c>
      <c r="E891" s="23" t="s">
        <v>55</v>
      </c>
      <c r="F891">
        <v>1</v>
      </c>
      <c r="G891" s="23" t="s">
        <v>177</v>
      </c>
      <c r="H891">
        <v>1</v>
      </c>
      <c r="I891">
        <v>10</v>
      </c>
      <c r="J891" s="10">
        <v>12</v>
      </c>
      <c r="K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891">
        <v>4</v>
      </c>
      <c r="M8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1">
        <v>1600</v>
      </c>
      <c r="O891" s="23" t="s">
        <v>218</v>
      </c>
      <c r="P891">
        <v>1600</v>
      </c>
      <c r="Q891" s="23" t="s">
        <v>222</v>
      </c>
    </row>
    <row r="892" spans="1:17" x14ac:dyDescent="0.25">
      <c r="A892" s="26" t="s">
        <v>1143</v>
      </c>
      <c r="B892" s="26" t="s">
        <v>1054</v>
      </c>
      <c r="C892" s="23" t="s">
        <v>176</v>
      </c>
      <c r="D892" s="26" t="s">
        <v>54</v>
      </c>
      <c r="E892" s="26" t="s">
        <v>55</v>
      </c>
      <c r="F892" s="13">
        <v>1</v>
      </c>
      <c r="G892" s="26" t="s">
        <v>177</v>
      </c>
      <c r="H892">
        <v>0</v>
      </c>
      <c r="I892">
        <v>10</v>
      </c>
      <c r="J892" s="10">
        <v>12</v>
      </c>
      <c r="K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892">
        <v>4</v>
      </c>
      <c r="M8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2">
        <v>1600</v>
      </c>
      <c r="O892" s="23" t="s">
        <v>218</v>
      </c>
      <c r="P892">
        <v>1600</v>
      </c>
      <c r="Q892" s="23" t="s">
        <v>222</v>
      </c>
    </row>
    <row r="893" spans="1:17" x14ac:dyDescent="0.25">
      <c r="A893" s="23" t="s">
        <v>1143</v>
      </c>
      <c r="B893" s="23" t="s">
        <v>1054</v>
      </c>
      <c r="C893" s="23" t="s">
        <v>176</v>
      </c>
      <c r="D893" s="23" t="s">
        <v>58</v>
      </c>
      <c r="E893" s="23" t="s">
        <v>59</v>
      </c>
      <c r="F893">
        <v>1</v>
      </c>
      <c r="G893" s="23" t="s">
        <v>177</v>
      </c>
      <c r="H893">
        <v>0</v>
      </c>
      <c r="I893">
        <v>18</v>
      </c>
      <c r="J893" s="10">
        <v>10</v>
      </c>
      <c r="K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93">
        <v>0</v>
      </c>
      <c r="M8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3">
        <v>1094.4000000000001</v>
      </c>
      <c r="O893" s="23" t="s">
        <v>827</v>
      </c>
      <c r="P893">
        <v>1094.4000000000001</v>
      </c>
      <c r="Q893" s="23" t="s">
        <v>222</v>
      </c>
    </row>
    <row r="894" spans="1:17" x14ac:dyDescent="0.25">
      <c r="A894" s="23" t="s">
        <v>1142</v>
      </c>
      <c r="B894" s="23" t="s">
        <v>1054</v>
      </c>
      <c r="C894" s="23" t="s">
        <v>176</v>
      </c>
      <c r="D894" s="23" t="s">
        <v>457</v>
      </c>
      <c r="E894" s="23" t="s">
        <v>458</v>
      </c>
      <c r="F894">
        <v>78</v>
      </c>
      <c r="G894" s="23" t="s">
        <v>177</v>
      </c>
      <c r="H894">
        <v>0</v>
      </c>
      <c r="I894">
        <v>4000</v>
      </c>
      <c r="J894" s="10">
        <v>138</v>
      </c>
      <c r="K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894">
        <v>0</v>
      </c>
      <c r="M8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4">
        <v>0.93</v>
      </c>
      <c r="O894" s="23" t="s">
        <v>883</v>
      </c>
      <c r="P894">
        <v>72.540000000000006</v>
      </c>
      <c r="Q894" s="23" t="s">
        <v>181</v>
      </c>
    </row>
    <row r="895" spans="1:17" x14ac:dyDescent="0.25">
      <c r="A895" s="23" t="s">
        <v>1096</v>
      </c>
      <c r="B895" s="23" t="s">
        <v>1053</v>
      </c>
      <c r="C895" s="23" t="s">
        <v>176</v>
      </c>
      <c r="D895" s="23" t="s">
        <v>66</v>
      </c>
      <c r="E895" s="23" t="s">
        <v>67</v>
      </c>
      <c r="F895">
        <v>7</v>
      </c>
      <c r="G895" s="23" t="s">
        <v>177</v>
      </c>
      <c r="H895">
        <v>0</v>
      </c>
      <c r="I895">
        <v>85</v>
      </c>
      <c r="J895" s="10">
        <v>43</v>
      </c>
      <c r="K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895">
        <v>40</v>
      </c>
      <c r="M8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5">
        <v>60</v>
      </c>
      <c r="O895" s="23" t="s">
        <v>822</v>
      </c>
      <c r="P895">
        <v>420</v>
      </c>
      <c r="Q895" s="23" t="s">
        <v>181</v>
      </c>
    </row>
    <row r="896" spans="1:17" x14ac:dyDescent="0.25">
      <c r="A896" s="23" t="s">
        <v>1094</v>
      </c>
      <c r="B896" s="23" t="s">
        <v>1095</v>
      </c>
      <c r="C896" s="23" t="s">
        <v>176</v>
      </c>
      <c r="D896" s="23" t="s">
        <v>66</v>
      </c>
      <c r="E896" s="23" t="s">
        <v>67</v>
      </c>
      <c r="F896">
        <v>11</v>
      </c>
      <c r="G896" s="23" t="s">
        <v>177</v>
      </c>
      <c r="H896">
        <v>0</v>
      </c>
      <c r="I896">
        <v>85</v>
      </c>
      <c r="J896" s="10">
        <v>43</v>
      </c>
      <c r="K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896">
        <v>40</v>
      </c>
      <c r="M8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6">
        <v>60</v>
      </c>
      <c r="O896" s="23" t="s">
        <v>822</v>
      </c>
      <c r="P896">
        <v>660</v>
      </c>
      <c r="Q896" s="23" t="s">
        <v>181</v>
      </c>
    </row>
    <row r="897" spans="1:17" x14ac:dyDescent="0.25">
      <c r="A897" s="23" t="s">
        <v>1094</v>
      </c>
      <c r="B897" s="23" t="s">
        <v>1095</v>
      </c>
      <c r="C897" s="23" t="s">
        <v>176</v>
      </c>
      <c r="D897" s="23" t="s">
        <v>111</v>
      </c>
      <c r="E897" s="23" t="s">
        <v>112</v>
      </c>
      <c r="F897">
        <v>1</v>
      </c>
      <c r="G897" s="23" t="s">
        <v>177</v>
      </c>
      <c r="H897">
        <v>0</v>
      </c>
      <c r="I897">
        <v>2</v>
      </c>
      <c r="J897" s="10">
        <v>8</v>
      </c>
      <c r="K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897">
        <v>11</v>
      </c>
      <c r="M8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7">
        <v>675</v>
      </c>
      <c r="O897" s="23" t="s">
        <v>633</v>
      </c>
      <c r="P897">
        <v>675</v>
      </c>
      <c r="Q897" s="23" t="s">
        <v>178</v>
      </c>
    </row>
    <row r="898" spans="1:17" x14ac:dyDescent="0.25">
      <c r="A898" s="23" t="s">
        <v>1142</v>
      </c>
      <c r="B898" s="23" t="s">
        <v>1054</v>
      </c>
      <c r="C898" s="23" t="s">
        <v>176</v>
      </c>
      <c r="D898" s="23" t="s">
        <v>113</v>
      </c>
      <c r="E898" s="23" t="s">
        <v>114</v>
      </c>
      <c r="F898">
        <v>1</v>
      </c>
      <c r="G898" s="23" t="s">
        <v>177</v>
      </c>
      <c r="H898">
        <v>0</v>
      </c>
      <c r="I898">
        <v>2</v>
      </c>
      <c r="J898" s="10">
        <v>4</v>
      </c>
      <c r="K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898">
        <v>0</v>
      </c>
      <c r="M8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898">
        <v>7450</v>
      </c>
      <c r="O898" s="23" t="s">
        <v>585</v>
      </c>
      <c r="P898">
        <v>7450</v>
      </c>
      <c r="Q898" s="23" t="s">
        <v>178</v>
      </c>
    </row>
    <row r="899" spans="1:17" x14ac:dyDescent="0.25">
      <c r="A899" s="23" t="s">
        <v>1142</v>
      </c>
      <c r="B899" s="23" t="s">
        <v>1054</v>
      </c>
      <c r="C899" s="23" t="s">
        <v>176</v>
      </c>
      <c r="D899" s="23" t="s">
        <v>671</v>
      </c>
      <c r="E899" s="23" t="s">
        <v>672</v>
      </c>
      <c r="F899">
        <v>1</v>
      </c>
      <c r="G899" s="23" t="s">
        <v>177</v>
      </c>
      <c r="H899">
        <v>0</v>
      </c>
      <c r="I899">
        <v>12</v>
      </c>
      <c r="J899" s="10">
        <v>13</v>
      </c>
      <c r="K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899">
        <v>0</v>
      </c>
      <c r="M8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899">
        <v>28339.38</v>
      </c>
      <c r="O899" s="23" t="s">
        <v>215</v>
      </c>
      <c r="P899">
        <v>28339.38</v>
      </c>
      <c r="Q899" s="23" t="s">
        <v>178</v>
      </c>
    </row>
    <row r="900" spans="1:17" x14ac:dyDescent="0.25">
      <c r="A900" s="23" t="s">
        <v>1094</v>
      </c>
      <c r="B900" s="23" t="s">
        <v>1095</v>
      </c>
      <c r="C900" s="23" t="s">
        <v>176</v>
      </c>
      <c r="D900" s="23" t="s">
        <v>115</v>
      </c>
      <c r="E900" s="23" t="s">
        <v>116</v>
      </c>
      <c r="F900">
        <v>1.9259999999999999</v>
      </c>
      <c r="G900" s="23" t="s">
        <v>186</v>
      </c>
      <c r="H900">
        <v>0</v>
      </c>
      <c r="I900">
        <v>0</v>
      </c>
      <c r="J900" s="10">
        <v>65.03100000000002</v>
      </c>
      <c r="K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900">
        <v>0</v>
      </c>
      <c r="M9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900">
        <v>389.53</v>
      </c>
      <c r="O900" s="23" t="s">
        <v>491</v>
      </c>
      <c r="P900">
        <v>750.23477999999989</v>
      </c>
      <c r="Q900" s="23" t="s">
        <v>184</v>
      </c>
    </row>
    <row r="901" spans="1:17" x14ac:dyDescent="0.25">
      <c r="A901" s="23" t="s">
        <v>1094</v>
      </c>
      <c r="B901" s="23" t="s">
        <v>1095</v>
      </c>
      <c r="C901" s="23" t="s">
        <v>176</v>
      </c>
      <c r="D901" s="23" t="s">
        <v>0</v>
      </c>
      <c r="E901" s="23" t="s">
        <v>1</v>
      </c>
      <c r="F901">
        <v>2</v>
      </c>
      <c r="G901" s="23" t="s">
        <v>177</v>
      </c>
      <c r="H901">
        <v>0</v>
      </c>
      <c r="I901">
        <v>69</v>
      </c>
      <c r="J901" s="10">
        <v>22</v>
      </c>
      <c r="K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901">
        <v>0</v>
      </c>
      <c r="M9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1">
        <v>640</v>
      </c>
      <c r="O901" s="23" t="s">
        <v>221</v>
      </c>
      <c r="P901">
        <v>1280</v>
      </c>
      <c r="Q901" s="23" t="s">
        <v>222</v>
      </c>
    </row>
    <row r="902" spans="1:17" x14ac:dyDescent="0.25">
      <c r="A902" s="23" t="s">
        <v>1142</v>
      </c>
      <c r="B902" s="23" t="s">
        <v>1054</v>
      </c>
      <c r="C902" s="23" t="s">
        <v>176</v>
      </c>
      <c r="D902" s="23" t="s">
        <v>230</v>
      </c>
      <c r="E902" s="23" t="s">
        <v>231</v>
      </c>
      <c r="F902">
        <v>2</v>
      </c>
      <c r="G902" s="23" t="s">
        <v>177</v>
      </c>
      <c r="H902">
        <v>0</v>
      </c>
      <c r="I902">
        <v>238</v>
      </c>
      <c r="J902" s="10">
        <v>90</v>
      </c>
      <c r="K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902">
        <v>0</v>
      </c>
      <c r="M9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2">
        <v>4</v>
      </c>
      <c r="O902" s="23" t="s">
        <v>221</v>
      </c>
      <c r="P902">
        <v>8</v>
      </c>
      <c r="Q902" s="23" t="s">
        <v>222</v>
      </c>
    </row>
    <row r="903" spans="1:17" x14ac:dyDescent="0.25">
      <c r="A903" s="23" t="s">
        <v>1094</v>
      </c>
      <c r="B903" s="23" t="s">
        <v>1095</v>
      </c>
      <c r="C903" s="23" t="s">
        <v>176</v>
      </c>
      <c r="D903" s="23" t="s">
        <v>54</v>
      </c>
      <c r="E903" s="23" t="s">
        <v>55</v>
      </c>
      <c r="F903">
        <v>1</v>
      </c>
      <c r="G903" s="23" t="s">
        <v>177</v>
      </c>
      <c r="H903">
        <v>0</v>
      </c>
      <c r="I903">
        <v>10</v>
      </c>
      <c r="J903" s="10">
        <v>12</v>
      </c>
      <c r="K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903">
        <v>4</v>
      </c>
      <c r="M9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3">
        <v>1600</v>
      </c>
      <c r="O903" s="23" t="s">
        <v>218</v>
      </c>
      <c r="P903">
        <v>1600</v>
      </c>
      <c r="Q903" s="23" t="s">
        <v>222</v>
      </c>
    </row>
    <row r="904" spans="1:17" x14ac:dyDescent="0.25">
      <c r="A904" s="23" t="s">
        <v>1150</v>
      </c>
      <c r="B904" s="23" t="s">
        <v>1145</v>
      </c>
      <c r="C904" s="23" t="s">
        <v>176</v>
      </c>
      <c r="D904" s="23" t="s">
        <v>113</v>
      </c>
      <c r="E904" s="23" t="s">
        <v>114</v>
      </c>
      <c r="F904">
        <v>1</v>
      </c>
      <c r="G904" s="23" t="s">
        <v>177</v>
      </c>
      <c r="H904">
        <v>0</v>
      </c>
      <c r="I904">
        <v>2</v>
      </c>
      <c r="J904" s="10">
        <v>4</v>
      </c>
      <c r="K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904">
        <v>0</v>
      </c>
      <c r="M9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904">
        <v>7450</v>
      </c>
      <c r="O904" s="23" t="s">
        <v>585</v>
      </c>
      <c r="P904">
        <v>7450</v>
      </c>
      <c r="Q904" s="23" t="s">
        <v>178</v>
      </c>
    </row>
    <row r="905" spans="1:17" x14ac:dyDescent="0.25">
      <c r="A905" s="23" t="s">
        <v>1149</v>
      </c>
      <c r="B905" s="23" t="s">
        <v>1145</v>
      </c>
      <c r="C905" s="23" t="s">
        <v>176</v>
      </c>
      <c r="D905" s="23" t="s">
        <v>654</v>
      </c>
      <c r="E905" s="23" t="s">
        <v>655</v>
      </c>
      <c r="F905">
        <v>0.05</v>
      </c>
      <c r="G905" s="23" t="s">
        <v>186</v>
      </c>
      <c r="H905">
        <v>0</v>
      </c>
      <c r="I905">
        <v>1.8</v>
      </c>
      <c r="J905" s="10">
        <v>0.85000000000000098</v>
      </c>
      <c r="K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905">
        <v>1.75</v>
      </c>
      <c r="M9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5">
        <v>645.64</v>
      </c>
      <c r="O905" s="23" t="s">
        <v>491</v>
      </c>
      <c r="P905">
        <v>32.282000000000004</v>
      </c>
      <c r="Q905" s="23" t="s">
        <v>184</v>
      </c>
    </row>
    <row r="906" spans="1:17" x14ac:dyDescent="0.25">
      <c r="A906" s="23" t="s">
        <v>1146</v>
      </c>
      <c r="B906" s="23" t="s">
        <v>1145</v>
      </c>
      <c r="C906" s="23" t="s">
        <v>176</v>
      </c>
      <c r="D906" s="23" t="s">
        <v>654</v>
      </c>
      <c r="E906" s="23" t="s">
        <v>655</v>
      </c>
      <c r="F906">
        <v>0.05</v>
      </c>
      <c r="G906" s="23" t="s">
        <v>186</v>
      </c>
      <c r="H906">
        <v>0.05</v>
      </c>
      <c r="I906">
        <v>1.8</v>
      </c>
      <c r="J906" s="10">
        <v>0.85000000000000098</v>
      </c>
      <c r="K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906">
        <v>1.75</v>
      </c>
      <c r="M9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6">
        <v>645.64</v>
      </c>
      <c r="O906" s="23" t="s">
        <v>491</v>
      </c>
      <c r="P906">
        <v>32.282000000000004</v>
      </c>
      <c r="Q906" s="23" t="s">
        <v>184</v>
      </c>
    </row>
    <row r="907" spans="1:17" x14ac:dyDescent="0.25">
      <c r="A907" s="26" t="s">
        <v>1144</v>
      </c>
      <c r="B907" s="26" t="s">
        <v>1145</v>
      </c>
      <c r="C907" s="23" t="s">
        <v>176</v>
      </c>
      <c r="D907" s="26" t="s">
        <v>115</v>
      </c>
      <c r="E907" s="26" t="s">
        <v>116</v>
      </c>
      <c r="F907" s="13">
        <v>1.504</v>
      </c>
      <c r="G907" s="26" t="s">
        <v>186</v>
      </c>
      <c r="H907">
        <v>0</v>
      </c>
      <c r="I907">
        <v>0</v>
      </c>
      <c r="J907" s="10">
        <v>65.03100000000002</v>
      </c>
      <c r="K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907">
        <v>0</v>
      </c>
      <c r="M9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907">
        <v>389.53</v>
      </c>
      <c r="O907" s="23" t="s">
        <v>491</v>
      </c>
      <c r="P907">
        <v>585.85311999999999</v>
      </c>
      <c r="Q907" s="23" t="s">
        <v>184</v>
      </c>
    </row>
    <row r="908" spans="1:17" x14ac:dyDescent="0.25">
      <c r="A908" s="23" t="s">
        <v>1143</v>
      </c>
      <c r="B908" s="23" t="s">
        <v>1054</v>
      </c>
      <c r="C908" s="23" t="s">
        <v>176</v>
      </c>
      <c r="D908" s="23" t="s">
        <v>945</v>
      </c>
      <c r="E908" s="23" t="s">
        <v>946</v>
      </c>
      <c r="F908">
        <v>6</v>
      </c>
      <c r="G908" s="23" t="s">
        <v>177</v>
      </c>
      <c r="H908">
        <v>0</v>
      </c>
      <c r="I908">
        <v>100</v>
      </c>
      <c r="J908" s="10">
        <v>1016</v>
      </c>
      <c r="K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908">
        <v>0</v>
      </c>
      <c r="M9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8">
        <v>1.3</v>
      </c>
      <c r="O908" s="23" t="s">
        <v>242</v>
      </c>
      <c r="P908">
        <v>7.8000000000000007</v>
      </c>
      <c r="Q908" s="23" t="s">
        <v>181</v>
      </c>
    </row>
    <row r="909" spans="1:17" x14ac:dyDescent="0.25">
      <c r="A909" s="23" t="s">
        <v>1094</v>
      </c>
      <c r="B909" s="23" t="s">
        <v>1095</v>
      </c>
      <c r="C909" s="23" t="s">
        <v>176</v>
      </c>
      <c r="D909" s="23" t="s">
        <v>415</v>
      </c>
      <c r="E909" s="23" t="s">
        <v>416</v>
      </c>
      <c r="F909">
        <v>0.1</v>
      </c>
      <c r="G909" s="23" t="s">
        <v>180</v>
      </c>
      <c r="H909">
        <v>0</v>
      </c>
      <c r="I909">
        <v>50</v>
      </c>
      <c r="J909" s="10">
        <v>6.3837823915946501E-15</v>
      </c>
      <c r="K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-47.8</v>
      </c>
      <c r="L909">
        <v>0</v>
      </c>
      <c r="M9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09">
        <v>25.41</v>
      </c>
      <c r="O909" s="23" t="s">
        <v>827</v>
      </c>
      <c r="P909">
        <v>2.5410000000000004</v>
      </c>
      <c r="Q909" s="23" t="s">
        <v>222</v>
      </c>
    </row>
    <row r="910" spans="1:17" x14ac:dyDescent="0.25">
      <c r="A910" s="23" t="s">
        <v>1143</v>
      </c>
      <c r="B910" s="23" t="s">
        <v>1054</v>
      </c>
      <c r="C910" s="23" t="s">
        <v>176</v>
      </c>
      <c r="D910" s="23" t="s">
        <v>757</v>
      </c>
      <c r="E910" s="23" t="s">
        <v>758</v>
      </c>
      <c r="F910">
        <v>1</v>
      </c>
      <c r="G910" s="23" t="s">
        <v>177</v>
      </c>
      <c r="H910">
        <v>0</v>
      </c>
      <c r="I910">
        <v>4</v>
      </c>
      <c r="J910" s="10">
        <v>2</v>
      </c>
      <c r="K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910">
        <v>2</v>
      </c>
      <c r="M9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0">
        <v>1667.14</v>
      </c>
      <c r="O910" s="23" t="s">
        <v>633</v>
      </c>
      <c r="P910">
        <v>1667.14</v>
      </c>
      <c r="Q910" s="23" t="s">
        <v>178</v>
      </c>
    </row>
    <row r="911" spans="1:17" x14ac:dyDescent="0.25">
      <c r="A911" s="23" t="s">
        <v>1094</v>
      </c>
      <c r="B911" s="23" t="s">
        <v>1095</v>
      </c>
      <c r="C911" s="23" t="s">
        <v>176</v>
      </c>
      <c r="D911" s="23" t="s">
        <v>457</v>
      </c>
      <c r="E911" s="23" t="s">
        <v>458</v>
      </c>
      <c r="F911">
        <v>70</v>
      </c>
      <c r="G911" s="23" t="s">
        <v>177</v>
      </c>
      <c r="H911">
        <v>0</v>
      </c>
      <c r="I911">
        <v>4000</v>
      </c>
      <c r="J911" s="10">
        <v>138</v>
      </c>
      <c r="K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911">
        <v>0</v>
      </c>
      <c r="M9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1">
        <v>0.93</v>
      </c>
      <c r="O911" s="23" t="s">
        <v>883</v>
      </c>
      <c r="P911">
        <v>65.100000000000009</v>
      </c>
      <c r="Q911" s="23" t="s">
        <v>181</v>
      </c>
    </row>
    <row r="912" spans="1:17" x14ac:dyDescent="0.25">
      <c r="A912" s="23" t="s">
        <v>1057</v>
      </c>
      <c r="B912" s="23" t="s">
        <v>1056</v>
      </c>
      <c r="C912" s="23" t="s">
        <v>176</v>
      </c>
      <c r="D912" s="23" t="s">
        <v>66</v>
      </c>
      <c r="E912" s="23" t="s">
        <v>67</v>
      </c>
      <c r="F912">
        <v>5</v>
      </c>
      <c r="G912" s="23" t="s">
        <v>177</v>
      </c>
      <c r="H912">
        <v>0</v>
      </c>
      <c r="I912">
        <v>85</v>
      </c>
      <c r="J912" s="10">
        <v>43</v>
      </c>
      <c r="K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912">
        <v>40</v>
      </c>
      <c r="M9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2">
        <v>60</v>
      </c>
      <c r="O912" s="23" t="s">
        <v>822</v>
      </c>
      <c r="P912">
        <v>300</v>
      </c>
      <c r="Q912" s="23" t="s">
        <v>181</v>
      </c>
    </row>
    <row r="913" spans="1:17" x14ac:dyDescent="0.25">
      <c r="A913" s="23" t="s">
        <v>1143</v>
      </c>
      <c r="B913" s="23" t="s">
        <v>1054</v>
      </c>
      <c r="C913" s="23" t="s">
        <v>176</v>
      </c>
      <c r="D913" s="23" t="s">
        <v>66</v>
      </c>
      <c r="E913" s="23" t="s">
        <v>67</v>
      </c>
      <c r="F913">
        <v>9</v>
      </c>
      <c r="G913" s="23" t="s">
        <v>177</v>
      </c>
      <c r="H913">
        <v>0</v>
      </c>
      <c r="I913">
        <v>85</v>
      </c>
      <c r="J913" s="10">
        <v>43</v>
      </c>
      <c r="K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913">
        <v>40</v>
      </c>
      <c r="M9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3">
        <v>60</v>
      </c>
      <c r="O913" s="23" t="s">
        <v>822</v>
      </c>
      <c r="P913">
        <v>540</v>
      </c>
      <c r="Q913" s="23" t="s">
        <v>181</v>
      </c>
    </row>
    <row r="914" spans="1:17" x14ac:dyDescent="0.25">
      <c r="A914" s="23" t="s">
        <v>1143</v>
      </c>
      <c r="B914" s="23" t="s">
        <v>1054</v>
      </c>
      <c r="C914" s="23" t="s">
        <v>176</v>
      </c>
      <c r="D914" s="23" t="s">
        <v>111</v>
      </c>
      <c r="E914" s="23" t="s">
        <v>112</v>
      </c>
      <c r="F914">
        <v>1</v>
      </c>
      <c r="G914" s="23" t="s">
        <v>177</v>
      </c>
      <c r="H914">
        <v>0</v>
      </c>
      <c r="I914">
        <v>2</v>
      </c>
      <c r="J914" s="10">
        <v>8</v>
      </c>
      <c r="K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914">
        <v>11</v>
      </c>
      <c r="M9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4">
        <v>675</v>
      </c>
      <c r="O914" s="23" t="s">
        <v>633</v>
      </c>
      <c r="P914">
        <v>675</v>
      </c>
      <c r="Q914" s="23" t="s">
        <v>178</v>
      </c>
    </row>
    <row r="915" spans="1:17" x14ac:dyDescent="0.25">
      <c r="A915" s="23" t="s">
        <v>1094</v>
      </c>
      <c r="B915" s="23" t="s">
        <v>1095</v>
      </c>
      <c r="C915" s="23" t="s">
        <v>176</v>
      </c>
      <c r="D915" s="23" t="s">
        <v>671</v>
      </c>
      <c r="E915" s="23" t="s">
        <v>672</v>
      </c>
      <c r="F915">
        <v>1</v>
      </c>
      <c r="G915" s="23" t="s">
        <v>177</v>
      </c>
      <c r="H915">
        <v>0</v>
      </c>
      <c r="I915">
        <v>12</v>
      </c>
      <c r="J915" s="10">
        <v>13</v>
      </c>
      <c r="K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915">
        <v>0</v>
      </c>
      <c r="M9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5">
        <v>28339.38</v>
      </c>
      <c r="O915" s="23" t="s">
        <v>215</v>
      </c>
      <c r="P915">
        <v>28339.38</v>
      </c>
      <c r="Q915" s="23" t="s">
        <v>178</v>
      </c>
    </row>
    <row r="916" spans="1:17" x14ac:dyDescent="0.25">
      <c r="A916" s="23" t="s">
        <v>1057</v>
      </c>
      <c r="B916" s="23" t="s">
        <v>1056</v>
      </c>
      <c r="C916" s="23" t="s">
        <v>176</v>
      </c>
      <c r="D916" s="23" t="s">
        <v>654</v>
      </c>
      <c r="E916" s="23" t="s">
        <v>655</v>
      </c>
      <c r="F916">
        <v>0.2</v>
      </c>
      <c r="G916" s="23" t="s">
        <v>186</v>
      </c>
      <c r="H916">
        <v>0.2</v>
      </c>
      <c r="I916">
        <v>1.8</v>
      </c>
      <c r="J916" s="10">
        <v>0.85000000000000098</v>
      </c>
      <c r="K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916">
        <v>1.75</v>
      </c>
      <c r="M9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6">
        <v>645.64</v>
      </c>
      <c r="O916" s="23" t="s">
        <v>491</v>
      </c>
      <c r="P916">
        <v>129.12800000000001</v>
      </c>
      <c r="Q916" s="23" t="s">
        <v>184</v>
      </c>
    </row>
    <row r="917" spans="1:17" x14ac:dyDescent="0.25">
      <c r="A917" s="23" t="s">
        <v>1143</v>
      </c>
      <c r="B917" s="23" t="s">
        <v>1054</v>
      </c>
      <c r="C917" s="23" t="s">
        <v>176</v>
      </c>
      <c r="D917" s="23" t="s">
        <v>115</v>
      </c>
      <c r="E917" s="23" t="s">
        <v>116</v>
      </c>
      <c r="F917">
        <v>2.0499999999999998</v>
      </c>
      <c r="G917" s="23" t="s">
        <v>186</v>
      </c>
      <c r="H917">
        <v>0</v>
      </c>
      <c r="I917">
        <v>0</v>
      </c>
      <c r="J917" s="10">
        <v>65.03100000000002</v>
      </c>
      <c r="K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917">
        <v>0</v>
      </c>
      <c r="M9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917">
        <v>389.53</v>
      </c>
      <c r="O917" s="23" t="s">
        <v>491</v>
      </c>
      <c r="P917">
        <v>798.53649999999982</v>
      </c>
      <c r="Q917" s="23" t="s">
        <v>184</v>
      </c>
    </row>
    <row r="918" spans="1:17" x14ac:dyDescent="0.25">
      <c r="A918" s="23" t="s">
        <v>1055</v>
      </c>
      <c r="B918" s="23" t="s">
        <v>1056</v>
      </c>
      <c r="C918" s="23" t="s">
        <v>176</v>
      </c>
      <c r="D918" s="23" t="s">
        <v>487</v>
      </c>
      <c r="E918" s="23" t="s">
        <v>488</v>
      </c>
      <c r="F918">
        <v>2</v>
      </c>
      <c r="G918" s="23" t="s">
        <v>177</v>
      </c>
      <c r="H918">
        <v>0</v>
      </c>
      <c r="I918">
        <v>20</v>
      </c>
      <c r="J918" s="10">
        <v>34</v>
      </c>
      <c r="K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18">
        <v>0</v>
      </c>
      <c r="M9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18">
        <v>82</v>
      </c>
      <c r="O918" s="23" t="s">
        <v>1088</v>
      </c>
      <c r="P918">
        <v>164</v>
      </c>
      <c r="Q918" s="23" t="s">
        <v>484</v>
      </c>
    </row>
    <row r="919" spans="1:17" x14ac:dyDescent="0.25">
      <c r="A919" s="23" t="s">
        <v>1099</v>
      </c>
      <c r="B919" s="23" t="s">
        <v>1056</v>
      </c>
      <c r="C919" s="23" t="s">
        <v>176</v>
      </c>
      <c r="D919" s="23" t="s">
        <v>1129</v>
      </c>
      <c r="E919" s="23" t="s">
        <v>1130</v>
      </c>
      <c r="F919">
        <v>5</v>
      </c>
      <c r="G919" s="23" t="s">
        <v>177</v>
      </c>
      <c r="H919">
        <v>5</v>
      </c>
      <c r="I919">
        <v>100</v>
      </c>
      <c r="J919" s="10">
        <v>117</v>
      </c>
      <c r="K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-100</v>
      </c>
      <c r="L919">
        <v>0</v>
      </c>
      <c r="M9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19">
        <v>13.5</v>
      </c>
      <c r="O919" s="23" t="s">
        <v>242</v>
      </c>
      <c r="P919">
        <v>67.5</v>
      </c>
      <c r="Q919" s="23" t="s">
        <v>181</v>
      </c>
    </row>
    <row r="920" spans="1:17" x14ac:dyDescent="0.25">
      <c r="A920" s="23" t="s">
        <v>1099</v>
      </c>
      <c r="B920" s="23" t="s">
        <v>1056</v>
      </c>
      <c r="C920" s="23" t="s">
        <v>176</v>
      </c>
      <c r="D920" s="23" t="s">
        <v>1199</v>
      </c>
      <c r="E920" s="23" t="s">
        <v>1200</v>
      </c>
      <c r="F920">
        <v>8</v>
      </c>
      <c r="G920" s="23" t="s">
        <v>177</v>
      </c>
      <c r="H920">
        <v>0</v>
      </c>
      <c r="I920">
        <v>113</v>
      </c>
      <c r="J920" s="10">
        <v>0</v>
      </c>
      <c r="K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920">
        <v>0</v>
      </c>
      <c r="M9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0">
        <v>75</v>
      </c>
      <c r="O920" s="23" t="s">
        <v>762</v>
      </c>
      <c r="P920">
        <v>600</v>
      </c>
      <c r="Q920" s="23" t="s">
        <v>179</v>
      </c>
    </row>
    <row r="921" spans="1:17" x14ac:dyDescent="0.25">
      <c r="A921" s="23" t="s">
        <v>1148</v>
      </c>
      <c r="B921" s="23" t="s">
        <v>1054</v>
      </c>
      <c r="C921" s="23" t="s">
        <v>198</v>
      </c>
      <c r="D921" s="23" t="s">
        <v>499</v>
      </c>
      <c r="E921" s="23" t="s">
        <v>500</v>
      </c>
      <c r="F921">
        <v>1</v>
      </c>
      <c r="G921" s="23" t="s">
        <v>177</v>
      </c>
      <c r="H921">
        <v>0</v>
      </c>
      <c r="I921">
        <v>11</v>
      </c>
      <c r="J921" s="10">
        <v>8</v>
      </c>
      <c r="K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21">
        <v>0</v>
      </c>
      <c r="M9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21" s="23" t="s">
        <v>714</v>
      </c>
      <c r="Q921" s="23" t="s">
        <v>761</v>
      </c>
    </row>
    <row r="922" spans="1:17" x14ac:dyDescent="0.25">
      <c r="A922" s="26" t="s">
        <v>1148</v>
      </c>
      <c r="B922" s="26" t="s">
        <v>1054</v>
      </c>
      <c r="C922" s="23" t="s">
        <v>176</v>
      </c>
      <c r="D922" s="26" t="s">
        <v>539</v>
      </c>
      <c r="E922" s="26" t="s">
        <v>540</v>
      </c>
      <c r="F922" s="13">
        <v>8</v>
      </c>
      <c r="G922" s="26" t="s">
        <v>177</v>
      </c>
      <c r="H922">
        <v>0</v>
      </c>
      <c r="I922">
        <v>250</v>
      </c>
      <c r="J922" s="10">
        <v>3</v>
      </c>
      <c r="K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22">
        <v>0</v>
      </c>
      <c r="M9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2">
        <v>2</v>
      </c>
      <c r="O922" s="23"/>
      <c r="P922">
        <v>16</v>
      </c>
      <c r="Q922" s="23" t="s">
        <v>181</v>
      </c>
    </row>
    <row r="923" spans="1:17" x14ac:dyDescent="0.25">
      <c r="A923" s="23" t="s">
        <v>1057</v>
      </c>
      <c r="B923" s="23" t="s">
        <v>1056</v>
      </c>
      <c r="C923" s="23" t="s">
        <v>176</v>
      </c>
      <c r="D923" s="23" t="s">
        <v>487</v>
      </c>
      <c r="E923" s="23" t="s">
        <v>488</v>
      </c>
      <c r="F923">
        <v>2</v>
      </c>
      <c r="G923" s="23" t="s">
        <v>177</v>
      </c>
      <c r="H923">
        <v>0</v>
      </c>
      <c r="I923">
        <v>20</v>
      </c>
      <c r="J923" s="10">
        <v>34</v>
      </c>
      <c r="K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23">
        <v>0</v>
      </c>
      <c r="M9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23">
        <v>82</v>
      </c>
      <c r="O923" s="23" t="s">
        <v>1088</v>
      </c>
      <c r="P923">
        <v>164</v>
      </c>
      <c r="Q923" s="23" t="s">
        <v>484</v>
      </c>
    </row>
    <row r="924" spans="1:17" x14ac:dyDescent="0.25">
      <c r="A924" s="23" t="s">
        <v>1143</v>
      </c>
      <c r="B924" s="23" t="s">
        <v>1054</v>
      </c>
      <c r="C924" s="23" t="s">
        <v>176</v>
      </c>
      <c r="D924" s="23" t="s">
        <v>487</v>
      </c>
      <c r="E924" s="23" t="s">
        <v>488</v>
      </c>
      <c r="F924">
        <v>2</v>
      </c>
      <c r="G924" s="23" t="s">
        <v>177</v>
      </c>
      <c r="H924">
        <v>0</v>
      </c>
      <c r="I924">
        <v>20</v>
      </c>
      <c r="J924" s="10">
        <v>34</v>
      </c>
      <c r="K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24">
        <v>0</v>
      </c>
      <c r="M9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24">
        <v>82</v>
      </c>
      <c r="O924" s="23" t="s">
        <v>1088</v>
      </c>
      <c r="P924">
        <v>164</v>
      </c>
      <c r="Q924" s="23" t="s">
        <v>484</v>
      </c>
    </row>
    <row r="925" spans="1:17" x14ac:dyDescent="0.25">
      <c r="A925" s="23" t="s">
        <v>1096</v>
      </c>
      <c r="B925" s="23" t="s">
        <v>1053</v>
      </c>
      <c r="C925" s="23" t="s">
        <v>198</v>
      </c>
      <c r="D925" s="23" t="s">
        <v>499</v>
      </c>
      <c r="E925" s="23" t="s">
        <v>500</v>
      </c>
      <c r="F925">
        <v>1</v>
      </c>
      <c r="G925" s="23" t="s">
        <v>177</v>
      </c>
      <c r="H925">
        <v>1</v>
      </c>
      <c r="I925">
        <v>11</v>
      </c>
      <c r="J925" s="10">
        <v>8</v>
      </c>
      <c r="K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25">
        <v>0</v>
      </c>
      <c r="M9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25" s="23" t="s">
        <v>714</v>
      </c>
      <c r="Q925" s="23" t="s">
        <v>761</v>
      </c>
    </row>
    <row r="926" spans="1:17" x14ac:dyDescent="0.25">
      <c r="A926" s="23" t="s">
        <v>1094</v>
      </c>
      <c r="B926" s="23" t="s">
        <v>1095</v>
      </c>
      <c r="C926" s="23" t="s">
        <v>176</v>
      </c>
      <c r="D926" s="23" t="s">
        <v>539</v>
      </c>
      <c r="E926" s="23" t="s">
        <v>540</v>
      </c>
      <c r="F926">
        <v>8</v>
      </c>
      <c r="G926" s="23" t="s">
        <v>177</v>
      </c>
      <c r="H926">
        <v>0</v>
      </c>
      <c r="I926">
        <v>250</v>
      </c>
      <c r="J926" s="10">
        <v>3</v>
      </c>
      <c r="K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26">
        <v>0</v>
      </c>
      <c r="M9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6">
        <v>2</v>
      </c>
      <c r="O926" s="23"/>
      <c r="P926">
        <v>16</v>
      </c>
      <c r="Q926" s="23" t="s">
        <v>181</v>
      </c>
    </row>
    <row r="927" spans="1:17" x14ac:dyDescent="0.25">
      <c r="A927" s="23" t="s">
        <v>1096</v>
      </c>
      <c r="B927" s="23" t="s">
        <v>1053</v>
      </c>
      <c r="C927" s="23" t="s">
        <v>176</v>
      </c>
      <c r="D927" s="23" t="s">
        <v>853</v>
      </c>
      <c r="E927" s="23" t="s">
        <v>854</v>
      </c>
      <c r="F927">
        <v>8</v>
      </c>
      <c r="G927" s="23" t="s">
        <v>177</v>
      </c>
      <c r="H927">
        <v>0</v>
      </c>
      <c r="I927">
        <v>250</v>
      </c>
      <c r="J927" s="10">
        <v>835</v>
      </c>
      <c r="K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27">
        <v>0</v>
      </c>
      <c r="M9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27">
        <v>1.58</v>
      </c>
      <c r="O927" s="23" t="s">
        <v>883</v>
      </c>
      <c r="P927">
        <v>12.64</v>
      </c>
      <c r="Q927" s="23" t="s">
        <v>181</v>
      </c>
    </row>
    <row r="928" spans="1:17" x14ac:dyDescent="0.25">
      <c r="A928" s="23" t="s">
        <v>1146</v>
      </c>
      <c r="B928" s="23" t="s">
        <v>1145</v>
      </c>
      <c r="C928" s="23" t="s">
        <v>176</v>
      </c>
      <c r="D928" s="23" t="s">
        <v>487</v>
      </c>
      <c r="E928" s="23" t="s">
        <v>488</v>
      </c>
      <c r="F928">
        <v>2</v>
      </c>
      <c r="G928" s="23" t="s">
        <v>177</v>
      </c>
      <c r="H928">
        <v>0</v>
      </c>
      <c r="I928">
        <v>20</v>
      </c>
      <c r="J928" s="10">
        <v>34</v>
      </c>
      <c r="K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28">
        <v>0</v>
      </c>
      <c r="M9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28">
        <v>82</v>
      </c>
      <c r="O928" s="23" t="s">
        <v>1088</v>
      </c>
      <c r="P928">
        <v>164</v>
      </c>
      <c r="Q928" s="23" t="s">
        <v>484</v>
      </c>
    </row>
    <row r="929" spans="1:17" x14ac:dyDescent="0.25">
      <c r="A929" s="23" t="s">
        <v>1144</v>
      </c>
      <c r="B929" s="23" t="s">
        <v>1145</v>
      </c>
      <c r="C929" s="23" t="s">
        <v>176</v>
      </c>
      <c r="D929" s="23" t="s">
        <v>487</v>
      </c>
      <c r="E929" s="23" t="s">
        <v>488</v>
      </c>
      <c r="F929">
        <v>2</v>
      </c>
      <c r="G929" s="23" t="s">
        <v>177</v>
      </c>
      <c r="H929">
        <v>0</v>
      </c>
      <c r="I929">
        <v>20</v>
      </c>
      <c r="J929" s="10">
        <v>34</v>
      </c>
      <c r="K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29">
        <v>0</v>
      </c>
      <c r="M9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29">
        <v>82</v>
      </c>
      <c r="O929" s="23" t="s">
        <v>1088</v>
      </c>
      <c r="P929">
        <v>164</v>
      </c>
      <c r="Q929" s="23" t="s">
        <v>484</v>
      </c>
    </row>
    <row r="930" spans="1:17" x14ac:dyDescent="0.25">
      <c r="A930" s="23" t="s">
        <v>1150</v>
      </c>
      <c r="B930" s="23" t="s">
        <v>1145</v>
      </c>
      <c r="C930" s="23" t="s">
        <v>176</v>
      </c>
      <c r="D930" s="23" t="s">
        <v>853</v>
      </c>
      <c r="E930" s="23" t="s">
        <v>854</v>
      </c>
      <c r="F930">
        <v>4</v>
      </c>
      <c r="G930" s="23" t="s">
        <v>177</v>
      </c>
      <c r="H930">
        <v>0</v>
      </c>
      <c r="I930">
        <v>250</v>
      </c>
      <c r="J930" s="10">
        <v>835</v>
      </c>
      <c r="K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30">
        <v>0</v>
      </c>
      <c r="M9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0">
        <v>1.58</v>
      </c>
      <c r="O930" s="23" t="s">
        <v>883</v>
      </c>
      <c r="P930">
        <v>6.32</v>
      </c>
      <c r="Q930" s="23" t="s">
        <v>181</v>
      </c>
    </row>
    <row r="931" spans="1:17" x14ac:dyDescent="0.25">
      <c r="A931" s="23" t="s">
        <v>1147</v>
      </c>
      <c r="B931" s="23" t="s">
        <v>1145</v>
      </c>
      <c r="C931" s="23" t="s">
        <v>176</v>
      </c>
      <c r="D931" s="23" t="s">
        <v>487</v>
      </c>
      <c r="E931" s="23" t="s">
        <v>488</v>
      </c>
      <c r="F931">
        <v>2</v>
      </c>
      <c r="G931" s="23" t="s">
        <v>177</v>
      </c>
      <c r="H931">
        <v>0</v>
      </c>
      <c r="I931">
        <v>20</v>
      </c>
      <c r="J931" s="10">
        <v>34</v>
      </c>
      <c r="K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31">
        <v>0</v>
      </c>
      <c r="M9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31">
        <v>82</v>
      </c>
      <c r="O931" s="23" t="s">
        <v>1088</v>
      </c>
      <c r="P931">
        <v>164</v>
      </c>
      <c r="Q931" s="23" t="s">
        <v>484</v>
      </c>
    </row>
    <row r="932" spans="1:17" x14ac:dyDescent="0.25">
      <c r="A932" s="23" t="s">
        <v>1058</v>
      </c>
      <c r="B932" s="23" t="s">
        <v>1059</v>
      </c>
      <c r="C932" s="23" t="s">
        <v>176</v>
      </c>
      <c r="D932" s="23" t="s">
        <v>487</v>
      </c>
      <c r="E932" s="23" t="s">
        <v>488</v>
      </c>
      <c r="F932">
        <v>2</v>
      </c>
      <c r="G932" s="23" t="s">
        <v>177</v>
      </c>
      <c r="H932">
        <v>0</v>
      </c>
      <c r="I932">
        <v>20</v>
      </c>
      <c r="J932" s="10">
        <v>34</v>
      </c>
      <c r="K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32">
        <v>0</v>
      </c>
      <c r="M9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32">
        <v>82</v>
      </c>
      <c r="O932" s="23" t="s">
        <v>1088</v>
      </c>
      <c r="P932">
        <v>164</v>
      </c>
      <c r="Q932" s="23" t="s">
        <v>484</v>
      </c>
    </row>
    <row r="933" spans="1:17" x14ac:dyDescent="0.25">
      <c r="A933" s="23" t="s">
        <v>1099</v>
      </c>
      <c r="B933" s="23" t="s">
        <v>1056</v>
      </c>
      <c r="C933" s="23" t="s">
        <v>176</v>
      </c>
      <c r="D933" s="23" t="s">
        <v>487</v>
      </c>
      <c r="E933" s="23" t="s">
        <v>488</v>
      </c>
      <c r="F933">
        <v>2</v>
      </c>
      <c r="G933" s="23" t="s">
        <v>177</v>
      </c>
      <c r="H933">
        <v>0</v>
      </c>
      <c r="I933">
        <v>20</v>
      </c>
      <c r="J933" s="10">
        <v>34</v>
      </c>
      <c r="K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33">
        <v>0</v>
      </c>
      <c r="M9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33">
        <v>82</v>
      </c>
      <c r="O933" s="23" t="s">
        <v>1088</v>
      </c>
      <c r="P933">
        <v>164</v>
      </c>
      <c r="Q933" s="23" t="s">
        <v>484</v>
      </c>
    </row>
    <row r="934" spans="1:17" x14ac:dyDescent="0.25">
      <c r="A934" s="23" t="s">
        <v>1147</v>
      </c>
      <c r="B934" s="23" t="s">
        <v>1145</v>
      </c>
      <c r="C934" s="23" t="s">
        <v>198</v>
      </c>
      <c r="D934" s="23" t="s">
        <v>499</v>
      </c>
      <c r="E934" s="23" t="s">
        <v>500</v>
      </c>
      <c r="F934">
        <v>1</v>
      </c>
      <c r="G934" s="23" t="s">
        <v>177</v>
      </c>
      <c r="H934">
        <v>0</v>
      </c>
      <c r="I934">
        <v>11</v>
      </c>
      <c r="J934" s="10">
        <v>8</v>
      </c>
      <c r="K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34">
        <v>0</v>
      </c>
      <c r="M9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34" s="23" t="s">
        <v>714</v>
      </c>
      <c r="Q934" s="23" t="s">
        <v>761</v>
      </c>
    </row>
    <row r="935" spans="1:17" x14ac:dyDescent="0.25">
      <c r="A935" s="23" t="s">
        <v>1147</v>
      </c>
      <c r="B935" s="23" t="s">
        <v>1145</v>
      </c>
      <c r="C935" s="23" t="s">
        <v>176</v>
      </c>
      <c r="D935" s="23" t="s">
        <v>539</v>
      </c>
      <c r="E935" s="23" t="s">
        <v>540</v>
      </c>
      <c r="F935">
        <v>2</v>
      </c>
      <c r="G935" s="23" t="s">
        <v>177</v>
      </c>
      <c r="H935">
        <v>0</v>
      </c>
      <c r="I935">
        <v>250</v>
      </c>
      <c r="J935" s="10">
        <v>3</v>
      </c>
      <c r="K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35">
        <v>0</v>
      </c>
      <c r="M9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5">
        <v>2</v>
      </c>
      <c r="O935" s="23"/>
      <c r="P935">
        <v>4</v>
      </c>
      <c r="Q935" s="23" t="s">
        <v>181</v>
      </c>
    </row>
    <row r="936" spans="1:17" x14ac:dyDescent="0.25">
      <c r="A936" s="23" t="s">
        <v>1058</v>
      </c>
      <c r="B936" s="23" t="s">
        <v>1059</v>
      </c>
      <c r="C936" s="23" t="s">
        <v>176</v>
      </c>
      <c r="D936" s="23" t="s">
        <v>539</v>
      </c>
      <c r="E936" s="23" t="s">
        <v>540</v>
      </c>
      <c r="F936">
        <v>2</v>
      </c>
      <c r="G936" s="23" t="s">
        <v>177</v>
      </c>
      <c r="H936">
        <v>2</v>
      </c>
      <c r="I936">
        <v>250</v>
      </c>
      <c r="J936" s="10">
        <v>3</v>
      </c>
      <c r="K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36">
        <v>0</v>
      </c>
      <c r="M9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6">
        <v>2</v>
      </c>
      <c r="O936" s="23"/>
      <c r="P936">
        <v>4</v>
      </c>
      <c r="Q936" s="23" t="s">
        <v>181</v>
      </c>
    </row>
    <row r="937" spans="1:17" x14ac:dyDescent="0.25">
      <c r="A937" s="23" t="s">
        <v>1055</v>
      </c>
      <c r="B937" s="23" t="s">
        <v>1056</v>
      </c>
      <c r="C937" s="23" t="s">
        <v>176</v>
      </c>
      <c r="D937" s="23" t="s">
        <v>539</v>
      </c>
      <c r="E937" s="23" t="s">
        <v>540</v>
      </c>
      <c r="F937">
        <v>2</v>
      </c>
      <c r="G937" s="23" t="s">
        <v>177</v>
      </c>
      <c r="H937">
        <v>0</v>
      </c>
      <c r="I937">
        <v>250</v>
      </c>
      <c r="J937" s="10">
        <v>3</v>
      </c>
      <c r="K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37">
        <v>0</v>
      </c>
      <c r="M9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7">
        <v>2</v>
      </c>
      <c r="O937" s="23"/>
      <c r="P937">
        <v>4</v>
      </c>
      <c r="Q937" s="23" t="s">
        <v>181</v>
      </c>
    </row>
    <row r="938" spans="1:17" x14ac:dyDescent="0.25">
      <c r="A938" s="23" t="s">
        <v>1099</v>
      </c>
      <c r="B938" s="23" t="s">
        <v>1056</v>
      </c>
      <c r="C938" s="23" t="s">
        <v>176</v>
      </c>
      <c r="D938" s="23" t="s">
        <v>539</v>
      </c>
      <c r="E938" s="23" t="s">
        <v>540</v>
      </c>
      <c r="F938">
        <v>2</v>
      </c>
      <c r="G938" s="23" t="s">
        <v>177</v>
      </c>
      <c r="H938">
        <v>0</v>
      </c>
      <c r="I938">
        <v>250</v>
      </c>
      <c r="J938" s="10">
        <v>3</v>
      </c>
      <c r="K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38">
        <v>0</v>
      </c>
      <c r="M9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8">
        <v>2</v>
      </c>
      <c r="O938" s="23"/>
      <c r="P938">
        <v>4</v>
      </c>
      <c r="Q938" s="23" t="s">
        <v>181</v>
      </c>
    </row>
    <row r="939" spans="1:17" x14ac:dyDescent="0.25">
      <c r="A939" s="23" t="s">
        <v>1147</v>
      </c>
      <c r="B939" s="23" t="s">
        <v>1145</v>
      </c>
      <c r="C939" s="23" t="s">
        <v>176</v>
      </c>
      <c r="D939" s="23" t="s">
        <v>853</v>
      </c>
      <c r="E939" s="23" t="s">
        <v>854</v>
      </c>
      <c r="F939">
        <v>4</v>
      </c>
      <c r="G939" s="23" t="s">
        <v>177</v>
      </c>
      <c r="H939">
        <v>0</v>
      </c>
      <c r="I939">
        <v>250</v>
      </c>
      <c r="J939" s="10">
        <v>835</v>
      </c>
      <c r="K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39">
        <v>0</v>
      </c>
      <c r="M9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39">
        <v>1.58</v>
      </c>
      <c r="O939" s="23" t="s">
        <v>883</v>
      </c>
      <c r="P939">
        <v>6.32</v>
      </c>
      <c r="Q939" s="23" t="s">
        <v>181</v>
      </c>
    </row>
    <row r="940" spans="1:17" x14ac:dyDescent="0.25">
      <c r="A940" s="26" t="s">
        <v>1148</v>
      </c>
      <c r="B940" s="26" t="s">
        <v>1054</v>
      </c>
      <c r="C940" s="23" t="s">
        <v>176</v>
      </c>
      <c r="D940" s="26" t="s">
        <v>853</v>
      </c>
      <c r="E940" s="26" t="s">
        <v>854</v>
      </c>
      <c r="F940" s="13">
        <v>16</v>
      </c>
      <c r="G940" s="26" t="s">
        <v>177</v>
      </c>
      <c r="H940">
        <v>0</v>
      </c>
      <c r="I940">
        <v>250</v>
      </c>
      <c r="J940" s="10">
        <v>835</v>
      </c>
      <c r="K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40">
        <v>0</v>
      </c>
      <c r="M9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0">
        <v>1.58</v>
      </c>
      <c r="O940" s="23" t="s">
        <v>883</v>
      </c>
      <c r="P940">
        <v>25.28</v>
      </c>
      <c r="Q940" s="23" t="s">
        <v>181</v>
      </c>
    </row>
    <row r="941" spans="1:17" x14ac:dyDescent="0.25">
      <c r="A941" s="23" t="s">
        <v>1094</v>
      </c>
      <c r="B941" s="23" t="s">
        <v>1095</v>
      </c>
      <c r="C941" s="23" t="s">
        <v>176</v>
      </c>
      <c r="D941" s="23" t="s">
        <v>487</v>
      </c>
      <c r="E941" s="23" t="s">
        <v>488</v>
      </c>
      <c r="F941">
        <v>2</v>
      </c>
      <c r="G941" s="23" t="s">
        <v>177</v>
      </c>
      <c r="H941">
        <v>0</v>
      </c>
      <c r="I941">
        <v>20</v>
      </c>
      <c r="J941" s="10">
        <v>34</v>
      </c>
      <c r="K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41">
        <v>0</v>
      </c>
      <c r="M9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41">
        <v>82</v>
      </c>
      <c r="O941" s="23" t="s">
        <v>1088</v>
      </c>
      <c r="P941">
        <v>164</v>
      </c>
      <c r="Q941" s="23" t="s">
        <v>484</v>
      </c>
    </row>
    <row r="942" spans="1:17" x14ac:dyDescent="0.25">
      <c r="A942" s="23" t="s">
        <v>1057</v>
      </c>
      <c r="B942" s="23" t="s">
        <v>1056</v>
      </c>
      <c r="C942" s="23" t="s">
        <v>176</v>
      </c>
      <c r="D942" s="23" t="s">
        <v>1199</v>
      </c>
      <c r="E942" s="23" t="s">
        <v>1200</v>
      </c>
      <c r="F942">
        <v>8</v>
      </c>
      <c r="G942" s="23" t="s">
        <v>177</v>
      </c>
      <c r="H942">
        <v>0</v>
      </c>
      <c r="I942">
        <v>113</v>
      </c>
      <c r="J942" s="10">
        <v>0</v>
      </c>
      <c r="K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942">
        <v>0</v>
      </c>
      <c r="M9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2">
        <v>75</v>
      </c>
      <c r="O942" s="23" t="s">
        <v>762</v>
      </c>
      <c r="P942">
        <v>600</v>
      </c>
      <c r="Q942" s="23" t="s">
        <v>179</v>
      </c>
    </row>
    <row r="943" spans="1:17" x14ac:dyDescent="0.25">
      <c r="A943" s="23" t="s">
        <v>1143</v>
      </c>
      <c r="B943" s="23" t="s">
        <v>1054</v>
      </c>
      <c r="C943" s="23" t="s">
        <v>176</v>
      </c>
      <c r="D943" s="23" t="s">
        <v>85</v>
      </c>
      <c r="E943" s="23" t="s">
        <v>86</v>
      </c>
      <c r="F943">
        <v>2</v>
      </c>
      <c r="G943" s="23" t="s">
        <v>177</v>
      </c>
      <c r="H943">
        <v>0</v>
      </c>
      <c r="I943">
        <v>44</v>
      </c>
      <c r="J943" s="10">
        <v>12</v>
      </c>
      <c r="K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943">
        <v>0</v>
      </c>
      <c r="M9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3">
        <v>375</v>
      </c>
      <c r="O943" s="23" t="s">
        <v>249</v>
      </c>
      <c r="P943">
        <v>750</v>
      </c>
      <c r="Q943" s="23" t="s">
        <v>178</v>
      </c>
    </row>
    <row r="944" spans="1:17" x14ac:dyDescent="0.25">
      <c r="A944" s="23" t="s">
        <v>1057</v>
      </c>
      <c r="B944" s="23" t="s">
        <v>1056</v>
      </c>
      <c r="C944" s="23" t="s">
        <v>176</v>
      </c>
      <c r="D944" s="23" t="s">
        <v>199</v>
      </c>
      <c r="E944" s="23" t="s">
        <v>200</v>
      </c>
      <c r="F944">
        <v>1</v>
      </c>
      <c r="G944" s="23" t="s">
        <v>177</v>
      </c>
      <c r="H944">
        <v>0</v>
      </c>
      <c r="I944">
        <v>1</v>
      </c>
      <c r="J944" s="10">
        <v>8</v>
      </c>
      <c r="K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944">
        <v>0</v>
      </c>
      <c r="M9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944">
        <v>15618.42</v>
      </c>
      <c r="O944" s="23" t="s">
        <v>216</v>
      </c>
      <c r="P944">
        <v>15618.42</v>
      </c>
      <c r="Q944" s="23" t="s">
        <v>178</v>
      </c>
    </row>
    <row r="945" spans="1:17" x14ac:dyDescent="0.25">
      <c r="A945" s="23" t="s">
        <v>1100</v>
      </c>
      <c r="B945" s="23" t="s">
        <v>1101</v>
      </c>
      <c r="C945" s="23" t="s">
        <v>176</v>
      </c>
      <c r="D945" s="23" t="s">
        <v>397</v>
      </c>
      <c r="E945" s="23" t="s">
        <v>398</v>
      </c>
      <c r="F945">
        <v>10</v>
      </c>
      <c r="G945" s="23" t="s">
        <v>177</v>
      </c>
      <c r="H945">
        <v>0</v>
      </c>
      <c r="I945">
        <v>2000</v>
      </c>
      <c r="J945" s="10">
        <v>7604</v>
      </c>
      <c r="K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-1531</v>
      </c>
      <c r="L945">
        <v>0</v>
      </c>
      <c r="M9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5">
        <v>0.3</v>
      </c>
      <c r="O945" s="23" t="s">
        <v>242</v>
      </c>
      <c r="P945">
        <v>3</v>
      </c>
      <c r="Q945" s="23" t="s">
        <v>181</v>
      </c>
    </row>
    <row r="946" spans="1:17" x14ac:dyDescent="0.25">
      <c r="A946" s="23" t="s">
        <v>1144</v>
      </c>
      <c r="B946" s="23" t="s">
        <v>1145</v>
      </c>
      <c r="C946" s="23" t="s">
        <v>176</v>
      </c>
      <c r="D946" s="23" t="s">
        <v>85</v>
      </c>
      <c r="E946" s="23" t="s">
        <v>86</v>
      </c>
      <c r="F946">
        <v>2</v>
      </c>
      <c r="G946" s="23" t="s">
        <v>177</v>
      </c>
      <c r="H946">
        <v>0</v>
      </c>
      <c r="I946">
        <v>44</v>
      </c>
      <c r="J946" s="10">
        <v>12</v>
      </c>
      <c r="K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946">
        <v>0</v>
      </c>
      <c r="M9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6">
        <v>375</v>
      </c>
      <c r="O946" s="23" t="s">
        <v>249</v>
      </c>
      <c r="P946">
        <v>750</v>
      </c>
      <c r="Q946" s="23" t="s">
        <v>178</v>
      </c>
    </row>
    <row r="947" spans="1:17" x14ac:dyDescent="0.25">
      <c r="A947" s="23" t="s">
        <v>1146</v>
      </c>
      <c r="B947" s="23" t="s">
        <v>1145</v>
      </c>
      <c r="C947" s="23" t="s">
        <v>176</v>
      </c>
      <c r="D947" s="23" t="s">
        <v>85</v>
      </c>
      <c r="E947" s="23" t="s">
        <v>86</v>
      </c>
      <c r="F947">
        <v>2</v>
      </c>
      <c r="G947" s="23" t="s">
        <v>177</v>
      </c>
      <c r="H947">
        <v>0</v>
      </c>
      <c r="I947">
        <v>44</v>
      </c>
      <c r="J947" s="10">
        <v>12</v>
      </c>
      <c r="K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947">
        <v>0</v>
      </c>
      <c r="M9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47">
        <v>375</v>
      </c>
      <c r="O947" s="23" t="s">
        <v>249</v>
      </c>
      <c r="P947">
        <v>750</v>
      </c>
      <c r="Q947" s="23" t="s">
        <v>178</v>
      </c>
    </row>
    <row r="948" spans="1:17" x14ac:dyDescent="0.25">
      <c r="A948" s="23" t="s">
        <v>1094</v>
      </c>
      <c r="B948" s="23" t="s">
        <v>1095</v>
      </c>
      <c r="C948" s="23" t="s">
        <v>176</v>
      </c>
      <c r="D948" s="23" t="s">
        <v>129</v>
      </c>
      <c r="E948" s="23" t="s">
        <v>130</v>
      </c>
      <c r="F948">
        <v>8.89</v>
      </c>
      <c r="G948" s="23" t="s">
        <v>186</v>
      </c>
      <c r="H948">
        <v>0</v>
      </c>
      <c r="I948">
        <v>0</v>
      </c>
      <c r="J948" s="10">
        <v>260.61</v>
      </c>
      <c r="K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948">
        <v>0</v>
      </c>
      <c r="M9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948">
        <v>136.18</v>
      </c>
      <c r="O948" s="23" t="s">
        <v>254</v>
      </c>
      <c r="P948">
        <v>1210.6402</v>
      </c>
      <c r="Q948" s="23" t="s">
        <v>184</v>
      </c>
    </row>
    <row r="949" spans="1:17" x14ac:dyDescent="0.25">
      <c r="A949" s="23" t="s">
        <v>1057</v>
      </c>
      <c r="B949" s="23" t="s">
        <v>1056</v>
      </c>
      <c r="C949" s="23" t="s">
        <v>176</v>
      </c>
      <c r="D949" s="23" t="s">
        <v>834</v>
      </c>
      <c r="E949" s="23" t="s">
        <v>835</v>
      </c>
      <c r="F949">
        <v>0.5</v>
      </c>
      <c r="G949" s="23" t="s">
        <v>180</v>
      </c>
      <c r="H949">
        <v>0</v>
      </c>
      <c r="I949">
        <v>0</v>
      </c>
      <c r="J949" s="10">
        <v>36.5</v>
      </c>
      <c r="K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949">
        <v>0</v>
      </c>
      <c r="M9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949">
        <v>27.81</v>
      </c>
      <c r="O949" s="23" t="s">
        <v>836</v>
      </c>
      <c r="P949">
        <v>13.904999999999999</v>
      </c>
      <c r="Q949" s="23" t="s">
        <v>185</v>
      </c>
    </row>
    <row r="950" spans="1:17" x14ac:dyDescent="0.25">
      <c r="A950" s="23" t="s">
        <v>1143</v>
      </c>
      <c r="B950" s="23" t="s">
        <v>1054</v>
      </c>
      <c r="C950" s="23" t="s">
        <v>176</v>
      </c>
      <c r="D950" s="23" t="s">
        <v>834</v>
      </c>
      <c r="E950" s="23" t="s">
        <v>835</v>
      </c>
      <c r="F950">
        <v>0.5</v>
      </c>
      <c r="G950" s="23" t="s">
        <v>180</v>
      </c>
      <c r="H950">
        <v>0</v>
      </c>
      <c r="I950">
        <v>0</v>
      </c>
      <c r="J950" s="10">
        <v>36.5</v>
      </c>
      <c r="K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950">
        <v>0</v>
      </c>
      <c r="M9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950">
        <v>27.81</v>
      </c>
      <c r="O950" s="23" t="s">
        <v>836</v>
      </c>
      <c r="P950">
        <v>13.904999999999999</v>
      </c>
      <c r="Q950" s="23" t="s">
        <v>185</v>
      </c>
    </row>
    <row r="951" spans="1:17" x14ac:dyDescent="0.25">
      <c r="A951" s="23" t="s">
        <v>1096</v>
      </c>
      <c r="B951" s="23" t="s">
        <v>1053</v>
      </c>
      <c r="C951" s="23" t="s">
        <v>176</v>
      </c>
      <c r="D951" s="23" t="s">
        <v>834</v>
      </c>
      <c r="E951" s="23" t="s">
        <v>835</v>
      </c>
      <c r="F951">
        <v>0.5</v>
      </c>
      <c r="G951" s="23" t="s">
        <v>180</v>
      </c>
      <c r="H951">
        <v>0</v>
      </c>
      <c r="I951">
        <v>0</v>
      </c>
      <c r="J951" s="10">
        <v>36.5</v>
      </c>
      <c r="K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951">
        <v>0</v>
      </c>
      <c r="M9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951">
        <v>27.81</v>
      </c>
      <c r="O951" s="23" t="s">
        <v>836</v>
      </c>
      <c r="P951">
        <v>13.904999999999999</v>
      </c>
      <c r="Q951" s="23" t="s">
        <v>185</v>
      </c>
    </row>
    <row r="952" spans="1:17" x14ac:dyDescent="0.25">
      <c r="A952" s="23" t="s">
        <v>1197</v>
      </c>
      <c r="B952" s="23" t="s">
        <v>1198</v>
      </c>
      <c r="C952" s="23" t="s">
        <v>176</v>
      </c>
      <c r="D952" s="23" t="s">
        <v>820</v>
      </c>
      <c r="E952" s="23" t="s">
        <v>821</v>
      </c>
      <c r="F952">
        <v>5</v>
      </c>
      <c r="G952" s="23" t="s">
        <v>177</v>
      </c>
      <c r="H952">
        <v>0</v>
      </c>
      <c r="I952">
        <v>15</v>
      </c>
      <c r="J952" s="10">
        <v>10</v>
      </c>
      <c r="K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20</v>
      </c>
      <c r="L952">
        <v>0</v>
      </c>
      <c r="M9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3545.7999999999997</v>
      </c>
      <c r="N952">
        <v>177.29</v>
      </c>
      <c r="O952" s="23" t="s">
        <v>277</v>
      </c>
      <c r="P952">
        <v>886.44999999999993</v>
      </c>
      <c r="Q952" s="23" t="s">
        <v>181</v>
      </c>
    </row>
    <row r="953" spans="1:17" x14ac:dyDescent="0.25">
      <c r="A953" s="23" t="s">
        <v>1098</v>
      </c>
      <c r="B953" s="23" t="s">
        <v>1053</v>
      </c>
      <c r="C953" s="23" t="s">
        <v>176</v>
      </c>
      <c r="D953" s="23" t="s">
        <v>358</v>
      </c>
      <c r="E953" s="23" t="s">
        <v>359</v>
      </c>
      <c r="F953">
        <v>4</v>
      </c>
      <c r="G953" s="23" t="s">
        <v>177</v>
      </c>
      <c r="H953">
        <v>0</v>
      </c>
      <c r="I953">
        <v>500</v>
      </c>
      <c r="J953" s="10">
        <v>490</v>
      </c>
      <c r="K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953">
        <v>0</v>
      </c>
      <c r="M9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3">
        <v>1.6</v>
      </c>
      <c r="O953" s="23" t="s">
        <v>242</v>
      </c>
      <c r="P953">
        <v>6.4</v>
      </c>
      <c r="Q953" s="23" t="s">
        <v>181</v>
      </c>
    </row>
    <row r="954" spans="1:17" x14ac:dyDescent="0.25">
      <c r="A954" s="23" t="s">
        <v>1143</v>
      </c>
      <c r="B954" s="23" t="s">
        <v>1054</v>
      </c>
      <c r="C954" s="23" t="s">
        <v>176</v>
      </c>
      <c r="D954" s="23" t="s">
        <v>127</v>
      </c>
      <c r="E954" s="23" t="s">
        <v>128</v>
      </c>
      <c r="F954">
        <v>50</v>
      </c>
      <c r="G954" s="23" t="s">
        <v>180</v>
      </c>
      <c r="H954">
        <v>0</v>
      </c>
      <c r="I954">
        <v>0</v>
      </c>
      <c r="J954" s="10">
        <v>1804.0000000000018</v>
      </c>
      <c r="K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300</v>
      </c>
      <c r="L954">
        <v>0</v>
      </c>
      <c r="M9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2904</v>
      </c>
      <c r="N954">
        <v>9.68</v>
      </c>
      <c r="O954" s="23" t="s">
        <v>1152</v>
      </c>
      <c r="P954">
        <v>484</v>
      </c>
      <c r="Q954" s="23" t="s">
        <v>182</v>
      </c>
    </row>
    <row r="955" spans="1:17" x14ac:dyDescent="0.25">
      <c r="A955" s="26" t="s">
        <v>1143</v>
      </c>
      <c r="B955" s="26" t="s">
        <v>1054</v>
      </c>
      <c r="C955" s="23" t="s">
        <v>176</v>
      </c>
      <c r="D955" s="26" t="s">
        <v>129</v>
      </c>
      <c r="E955" s="26" t="s">
        <v>130</v>
      </c>
      <c r="F955" s="13">
        <v>9.6300000000000008</v>
      </c>
      <c r="G955" s="26" t="s">
        <v>186</v>
      </c>
      <c r="H955">
        <v>0</v>
      </c>
      <c r="I955">
        <v>0</v>
      </c>
      <c r="J955" s="10">
        <v>260.61</v>
      </c>
      <c r="K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955">
        <v>0</v>
      </c>
      <c r="M9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955">
        <v>136.18</v>
      </c>
      <c r="O955" s="23" t="s">
        <v>254</v>
      </c>
      <c r="P955">
        <v>1311.4134000000001</v>
      </c>
      <c r="Q955" s="23" t="s">
        <v>184</v>
      </c>
    </row>
    <row r="956" spans="1:17" x14ac:dyDescent="0.25">
      <c r="A956" s="23" t="s">
        <v>1142</v>
      </c>
      <c r="B956" s="23" t="s">
        <v>1054</v>
      </c>
      <c r="C956" s="23" t="s">
        <v>176</v>
      </c>
      <c r="D956" s="23" t="s">
        <v>574</v>
      </c>
      <c r="E956" s="23" t="s">
        <v>575</v>
      </c>
      <c r="F956">
        <v>1</v>
      </c>
      <c r="G956" s="23" t="s">
        <v>177</v>
      </c>
      <c r="H956">
        <v>0</v>
      </c>
      <c r="I956">
        <v>24</v>
      </c>
      <c r="J956" s="10">
        <v>-5.6843418860808015E-14</v>
      </c>
      <c r="K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956">
        <v>0</v>
      </c>
      <c r="M9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6">
        <v>120</v>
      </c>
      <c r="O956" s="23" t="s">
        <v>242</v>
      </c>
      <c r="P956">
        <v>120</v>
      </c>
      <c r="Q956" s="23" t="s">
        <v>184</v>
      </c>
    </row>
    <row r="957" spans="1:17" x14ac:dyDescent="0.25">
      <c r="A957" s="23" t="s">
        <v>1096</v>
      </c>
      <c r="B957" s="23" t="s">
        <v>1053</v>
      </c>
      <c r="C957" s="23" t="s">
        <v>176</v>
      </c>
      <c r="D957" s="23" t="s">
        <v>574</v>
      </c>
      <c r="E957" s="23" t="s">
        <v>575</v>
      </c>
      <c r="F957">
        <v>0.7</v>
      </c>
      <c r="G957" s="23" t="s">
        <v>177</v>
      </c>
      <c r="H957">
        <v>0</v>
      </c>
      <c r="I957">
        <v>24</v>
      </c>
      <c r="J957" s="10">
        <v>-5.6843418860808015E-14</v>
      </c>
      <c r="K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957">
        <v>0</v>
      </c>
      <c r="M9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7">
        <v>120</v>
      </c>
      <c r="O957" s="23" t="s">
        <v>242</v>
      </c>
      <c r="P957">
        <v>84</v>
      </c>
      <c r="Q957" s="23" t="s">
        <v>184</v>
      </c>
    </row>
    <row r="958" spans="1:17" x14ac:dyDescent="0.25">
      <c r="A958" s="23" t="s">
        <v>1142</v>
      </c>
      <c r="B958" s="23" t="s">
        <v>1054</v>
      </c>
      <c r="C958" s="23" t="s">
        <v>176</v>
      </c>
      <c r="D958" s="23" t="s">
        <v>358</v>
      </c>
      <c r="E958" s="23" t="s">
        <v>359</v>
      </c>
      <c r="F958">
        <v>12</v>
      </c>
      <c r="G958" s="23" t="s">
        <v>177</v>
      </c>
      <c r="H958">
        <v>0</v>
      </c>
      <c r="I958">
        <v>500</v>
      </c>
      <c r="J958" s="10">
        <v>490</v>
      </c>
      <c r="K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958">
        <v>0</v>
      </c>
      <c r="M9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8">
        <v>1.6</v>
      </c>
      <c r="O958" s="23" t="s">
        <v>242</v>
      </c>
      <c r="P958">
        <v>19.200000000000003</v>
      </c>
      <c r="Q958" s="23" t="s">
        <v>181</v>
      </c>
    </row>
    <row r="959" spans="1:17" x14ac:dyDescent="0.25">
      <c r="A959" s="23" t="s">
        <v>1142</v>
      </c>
      <c r="B959" s="23" t="s">
        <v>1054</v>
      </c>
      <c r="C959" s="23" t="s">
        <v>176</v>
      </c>
      <c r="D959" s="23" t="s">
        <v>202</v>
      </c>
      <c r="E959" s="23" t="s">
        <v>226</v>
      </c>
      <c r="F959">
        <v>3</v>
      </c>
      <c r="G959" s="23" t="s">
        <v>177</v>
      </c>
      <c r="H959">
        <v>0</v>
      </c>
      <c r="I959">
        <v>24</v>
      </c>
      <c r="J959" s="10">
        <v>22</v>
      </c>
      <c r="K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959">
        <v>50</v>
      </c>
      <c r="M9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59">
        <v>44</v>
      </c>
      <c r="O959" s="23" t="s">
        <v>505</v>
      </c>
      <c r="P959">
        <v>132</v>
      </c>
      <c r="Q959" s="23" t="s">
        <v>222</v>
      </c>
    </row>
    <row r="960" spans="1:17" x14ac:dyDescent="0.25">
      <c r="A960" s="23" t="s">
        <v>1094</v>
      </c>
      <c r="B960" s="23" t="s">
        <v>1095</v>
      </c>
      <c r="C960" s="23" t="s">
        <v>176</v>
      </c>
      <c r="D960" s="23" t="s">
        <v>358</v>
      </c>
      <c r="E960" s="23" t="s">
        <v>359</v>
      </c>
      <c r="F960">
        <v>12</v>
      </c>
      <c r="G960" s="23" t="s">
        <v>177</v>
      </c>
      <c r="H960">
        <v>0</v>
      </c>
      <c r="I960">
        <v>500</v>
      </c>
      <c r="J960" s="10">
        <v>490</v>
      </c>
      <c r="K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960">
        <v>0</v>
      </c>
      <c r="M9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0">
        <v>1.6</v>
      </c>
      <c r="O960" s="23" t="s">
        <v>242</v>
      </c>
      <c r="P960">
        <v>19.200000000000003</v>
      </c>
      <c r="Q960" s="23" t="s">
        <v>181</v>
      </c>
    </row>
    <row r="961" spans="1:17" x14ac:dyDescent="0.25">
      <c r="A961" s="23" t="s">
        <v>1096</v>
      </c>
      <c r="B961" s="23" t="s">
        <v>1053</v>
      </c>
      <c r="C961" s="23" t="s">
        <v>176</v>
      </c>
      <c r="D961" s="23" t="s">
        <v>358</v>
      </c>
      <c r="E961" s="23" t="s">
        <v>359</v>
      </c>
      <c r="F961">
        <v>4</v>
      </c>
      <c r="G961" s="23" t="s">
        <v>177</v>
      </c>
      <c r="H961">
        <v>0</v>
      </c>
      <c r="I961">
        <v>500</v>
      </c>
      <c r="J961" s="10">
        <v>490</v>
      </c>
      <c r="K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961">
        <v>0</v>
      </c>
      <c r="M9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1">
        <v>1.6</v>
      </c>
      <c r="O961" s="23" t="s">
        <v>242</v>
      </c>
      <c r="P961">
        <v>6.4</v>
      </c>
      <c r="Q961" s="23" t="s">
        <v>181</v>
      </c>
    </row>
    <row r="962" spans="1:17" x14ac:dyDescent="0.25">
      <c r="A962" s="23" t="s">
        <v>1143</v>
      </c>
      <c r="B962" s="23" t="s">
        <v>1054</v>
      </c>
      <c r="C962" s="23" t="s">
        <v>176</v>
      </c>
      <c r="D962" s="23" t="s">
        <v>574</v>
      </c>
      <c r="E962" s="23" t="s">
        <v>575</v>
      </c>
      <c r="F962">
        <v>0.7</v>
      </c>
      <c r="G962" s="23" t="s">
        <v>177</v>
      </c>
      <c r="H962">
        <v>0</v>
      </c>
      <c r="I962">
        <v>24</v>
      </c>
      <c r="J962" s="10">
        <v>-5.6843418860808015E-14</v>
      </c>
      <c r="K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962">
        <v>0</v>
      </c>
      <c r="M9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2">
        <v>120</v>
      </c>
      <c r="O962" s="23" t="s">
        <v>242</v>
      </c>
      <c r="P962">
        <v>84</v>
      </c>
      <c r="Q962" s="23" t="s">
        <v>184</v>
      </c>
    </row>
    <row r="963" spans="1:17" x14ac:dyDescent="0.25">
      <c r="A963" s="23" t="s">
        <v>1094</v>
      </c>
      <c r="B963" s="23" t="s">
        <v>1095</v>
      </c>
      <c r="C963" s="23" t="s">
        <v>176</v>
      </c>
      <c r="D963" s="23" t="s">
        <v>1131</v>
      </c>
      <c r="E963" s="23" t="s">
        <v>1132</v>
      </c>
      <c r="F963">
        <v>1</v>
      </c>
      <c r="G963" s="23" t="s">
        <v>177</v>
      </c>
      <c r="H963">
        <v>0</v>
      </c>
      <c r="I963">
        <v>0</v>
      </c>
      <c r="J963" s="10">
        <v>0</v>
      </c>
      <c r="K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963">
        <v>0</v>
      </c>
      <c r="M9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40950.03</v>
      </c>
      <c r="N963">
        <v>13650.01</v>
      </c>
      <c r="O963" s="23" t="s">
        <v>228</v>
      </c>
      <c r="P963">
        <v>13650.01</v>
      </c>
      <c r="Q963" s="23" t="s">
        <v>222</v>
      </c>
    </row>
    <row r="964" spans="1:17" x14ac:dyDescent="0.25">
      <c r="A964" s="23" t="s">
        <v>1094</v>
      </c>
      <c r="B964" s="23" t="s">
        <v>1095</v>
      </c>
      <c r="C964" s="23" t="s">
        <v>176</v>
      </c>
      <c r="D964" s="23" t="s">
        <v>202</v>
      </c>
      <c r="E964" s="23" t="s">
        <v>226</v>
      </c>
      <c r="F964">
        <v>3</v>
      </c>
      <c r="G964" s="23" t="s">
        <v>177</v>
      </c>
      <c r="H964">
        <v>0</v>
      </c>
      <c r="I964">
        <v>24</v>
      </c>
      <c r="J964" s="10">
        <v>22</v>
      </c>
      <c r="K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964">
        <v>50</v>
      </c>
      <c r="M9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4">
        <v>44</v>
      </c>
      <c r="O964" s="23" t="s">
        <v>505</v>
      </c>
      <c r="P964">
        <v>132</v>
      </c>
      <c r="Q964" s="23" t="s">
        <v>222</v>
      </c>
    </row>
    <row r="965" spans="1:17" x14ac:dyDescent="0.25">
      <c r="A965" s="23" t="s">
        <v>1096</v>
      </c>
      <c r="B965" s="23" t="s">
        <v>1053</v>
      </c>
      <c r="C965" s="23" t="s">
        <v>176</v>
      </c>
      <c r="D965" s="23" t="s">
        <v>2</v>
      </c>
      <c r="E965" s="23" t="s">
        <v>424</v>
      </c>
      <c r="F965">
        <v>2</v>
      </c>
      <c r="G965" s="23" t="s">
        <v>177</v>
      </c>
      <c r="H965">
        <v>2</v>
      </c>
      <c r="I965">
        <v>22</v>
      </c>
      <c r="J965" s="10">
        <v>18</v>
      </c>
      <c r="K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965">
        <v>10</v>
      </c>
      <c r="M9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5">
        <v>400</v>
      </c>
      <c r="O965" s="23" t="s">
        <v>218</v>
      </c>
      <c r="P965">
        <v>800</v>
      </c>
      <c r="Q965" s="23" t="s">
        <v>222</v>
      </c>
    </row>
    <row r="966" spans="1:17" x14ac:dyDescent="0.25">
      <c r="A966" s="23" t="s">
        <v>1094</v>
      </c>
      <c r="B966" s="23" t="s">
        <v>1095</v>
      </c>
      <c r="C966" s="23" t="s">
        <v>176</v>
      </c>
      <c r="D966" s="23" t="s">
        <v>834</v>
      </c>
      <c r="E966" s="23" t="s">
        <v>835</v>
      </c>
      <c r="F966">
        <v>0.5</v>
      </c>
      <c r="G966" s="23" t="s">
        <v>180</v>
      </c>
      <c r="H966">
        <v>0</v>
      </c>
      <c r="I966">
        <v>0</v>
      </c>
      <c r="J966" s="10">
        <v>36.5</v>
      </c>
      <c r="K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966">
        <v>0</v>
      </c>
      <c r="M9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250.29</v>
      </c>
      <c r="N966">
        <v>27.81</v>
      </c>
      <c r="O966" s="23" t="s">
        <v>836</v>
      </c>
      <c r="P966">
        <v>13.904999999999999</v>
      </c>
      <c r="Q966" s="23" t="s">
        <v>185</v>
      </c>
    </row>
    <row r="967" spans="1:17" x14ac:dyDescent="0.25">
      <c r="A967" s="23" t="s">
        <v>1057</v>
      </c>
      <c r="B967" s="23" t="s">
        <v>1056</v>
      </c>
      <c r="C967" s="23" t="s">
        <v>176</v>
      </c>
      <c r="D967" s="23" t="s">
        <v>890</v>
      </c>
      <c r="E967" s="23" t="s">
        <v>891</v>
      </c>
      <c r="F967">
        <v>4</v>
      </c>
      <c r="G967" s="23" t="s">
        <v>177</v>
      </c>
      <c r="H967">
        <v>0</v>
      </c>
      <c r="I967">
        <v>634</v>
      </c>
      <c r="J967" s="10">
        <v>0</v>
      </c>
      <c r="K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-618</v>
      </c>
      <c r="L967">
        <v>0</v>
      </c>
      <c r="M9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7">
        <v>1</v>
      </c>
      <c r="O967" s="23" t="s">
        <v>242</v>
      </c>
      <c r="P967">
        <v>4</v>
      </c>
      <c r="Q967" s="23" t="s">
        <v>181</v>
      </c>
    </row>
    <row r="968" spans="1:17" x14ac:dyDescent="0.25">
      <c r="A968" s="23" t="s">
        <v>1057</v>
      </c>
      <c r="B968" s="23" t="s">
        <v>1056</v>
      </c>
      <c r="C968" s="23" t="s">
        <v>176</v>
      </c>
      <c r="D968" s="23" t="s">
        <v>358</v>
      </c>
      <c r="E968" s="23" t="s">
        <v>359</v>
      </c>
      <c r="F968">
        <v>16</v>
      </c>
      <c r="G968" s="23" t="s">
        <v>177</v>
      </c>
      <c r="H968">
        <v>0</v>
      </c>
      <c r="I968">
        <v>500</v>
      </c>
      <c r="J968" s="10">
        <v>490</v>
      </c>
      <c r="K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968">
        <v>0</v>
      </c>
      <c r="M9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8">
        <v>1.6</v>
      </c>
      <c r="O968" s="23" t="s">
        <v>242</v>
      </c>
      <c r="P968">
        <v>25.6</v>
      </c>
      <c r="Q968" s="23" t="s">
        <v>181</v>
      </c>
    </row>
    <row r="969" spans="1:17" x14ac:dyDescent="0.25">
      <c r="A969" s="23" t="s">
        <v>1143</v>
      </c>
      <c r="B969" s="23" t="s">
        <v>1054</v>
      </c>
      <c r="C969" s="23" t="s">
        <v>176</v>
      </c>
      <c r="D969" s="23" t="s">
        <v>358</v>
      </c>
      <c r="E969" s="23" t="s">
        <v>359</v>
      </c>
      <c r="F969">
        <v>4</v>
      </c>
      <c r="G969" s="23" t="s">
        <v>177</v>
      </c>
      <c r="H969">
        <v>0</v>
      </c>
      <c r="I969">
        <v>500</v>
      </c>
      <c r="J969" s="10">
        <v>490</v>
      </c>
      <c r="K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969">
        <v>0</v>
      </c>
      <c r="M9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69">
        <v>1.6</v>
      </c>
      <c r="O969" s="23" t="s">
        <v>242</v>
      </c>
      <c r="P969">
        <v>6.4</v>
      </c>
      <c r="Q969" s="23" t="s">
        <v>181</v>
      </c>
    </row>
    <row r="970" spans="1:17" x14ac:dyDescent="0.25">
      <c r="A970" s="23" t="s">
        <v>1094</v>
      </c>
      <c r="B970" s="23" t="s">
        <v>1095</v>
      </c>
      <c r="C970" s="23" t="s">
        <v>176</v>
      </c>
      <c r="D970" s="23" t="s">
        <v>1119</v>
      </c>
      <c r="E970" s="23" t="s">
        <v>1120</v>
      </c>
      <c r="F970">
        <v>9</v>
      </c>
      <c r="G970" s="23" t="s">
        <v>180</v>
      </c>
      <c r="H970">
        <v>0</v>
      </c>
      <c r="I970">
        <v>480</v>
      </c>
      <c r="J970" s="10">
        <v>0</v>
      </c>
      <c r="K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-471</v>
      </c>
      <c r="L970">
        <v>0</v>
      </c>
      <c r="M9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0">
        <v>5</v>
      </c>
      <c r="O970" s="23"/>
      <c r="P970">
        <v>45</v>
      </c>
      <c r="Q970" s="23" t="s">
        <v>182</v>
      </c>
    </row>
    <row r="971" spans="1:17" x14ac:dyDescent="0.25">
      <c r="A971" s="23" t="s">
        <v>1143</v>
      </c>
      <c r="B971" s="23" t="s">
        <v>1054</v>
      </c>
      <c r="C971" s="23" t="s">
        <v>176</v>
      </c>
      <c r="D971" s="23" t="s">
        <v>539</v>
      </c>
      <c r="E971" s="23" t="s">
        <v>540</v>
      </c>
      <c r="F971">
        <v>8</v>
      </c>
      <c r="G971" s="23" t="s">
        <v>177</v>
      </c>
      <c r="H971">
        <v>0</v>
      </c>
      <c r="I971">
        <v>250</v>
      </c>
      <c r="J971" s="10">
        <v>3</v>
      </c>
      <c r="K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971">
        <v>0</v>
      </c>
      <c r="M9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1">
        <v>2</v>
      </c>
      <c r="O971" s="23"/>
      <c r="P971">
        <v>16</v>
      </c>
      <c r="Q971" s="23" t="s">
        <v>181</v>
      </c>
    </row>
    <row r="972" spans="1:17" x14ac:dyDescent="0.25">
      <c r="A972" s="23" t="s">
        <v>1094</v>
      </c>
      <c r="B972" s="23" t="s">
        <v>1095</v>
      </c>
      <c r="C972" s="23" t="s">
        <v>176</v>
      </c>
      <c r="D972" s="23" t="s">
        <v>853</v>
      </c>
      <c r="E972" s="23" t="s">
        <v>854</v>
      </c>
      <c r="F972">
        <v>20</v>
      </c>
      <c r="G972" s="23" t="s">
        <v>177</v>
      </c>
      <c r="H972">
        <v>0</v>
      </c>
      <c r="I972">
        <v>250</v>
      </c>
      <c r="J972" s="10">
        <v>835</v>
      </c>
      <c r="K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972">
        <v>0</v>
      </c>
      <c r="M9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2">
        <v>1.58</v>
      </c>
      <c r="O972" s="23" t="s">
        <v>883</v>
      </c>
      <c r="P972">
        <v>31.6</v>
      </c>
      <c r="Q972" s="23" t="s">
        <v>181</v>
      </c>
    </row>
    <row r="973" spans="1:17" x14ac:dyDescent="0.25">
      <c r="A973" s="23" t="s">
        <v>1150</v>
      </c>
      <c r="B973" s="23" t="s">
        <v>1145</v>
      </c>
      <c r="C973" s="23" t="s">
        <v>198</v>
      </c>
      <c r="D973" s="23" t="s">
        <v>499</v>
      </c>
      <c r="E973" s="23" t="s">
        <v>500</v>
      </c>
      <c r="F973">
        <v>1</v>
      </c>
      <c r="G973" s="23" t="s">
        <v>177</v>
      </c>
      <c r="H973">
        <v>0</v>
      </c>
      <c r="I973">
        <v>11</v>
      </c>
      <c r="J973" s="10">
        <v>8</v>
      </c>
      <c r="K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73">
        <v>0</v>
      </c>
      <c r="M9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73" s="23" t="s">
        <v>714</v>
      </c>
      <c r="Q973" s="23" t="s">
        <v>761</v>
      </c>
    </row>
    <row r="974" spans="1:17" x14ac:dyDescent="0.25">
      <c r="A974" s="23" t="s">
        <v>1148</v>
      </c>
      <c r="B974" s="23" t="s">
        <v>1054</v>
      </c>
      <c r="C974" s="23" t="s">
        <v>176</v>
      </c>
      <c r="D974" s="23" t="s">
        <v>487</v>
      </c>
      <c r="E974" s="23" t="s">
        <v>488</v>
      </c>
      <c r="F974">
        <v>2</v>
      </c>
      <c r="G974" s="23" t="s">
        <v>177</v>
      </c>
      <c r="H974">
        <v>0</v>
      </c>
      <c r="I974">
        <v>20</v>
      </c>
      <c r="J974" s="10">
        <v>34</v>
      </c>
      <c r="K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974">
        <v>0</v>
      </c>
      <c r="M9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974">
        <v>82</v>
      </c>
      <c r="O974" s="23" t="s">
        <v>1088</v>
      </c>
      <c r="P974">
        <v>164</v>
      </c>
      <c r="Q974" s="23" t="s">
        <v>484</v>
      </c>
    </row>
    <row r="975" spans="1:17" x14ac:dyDescent="0.25">
      <c r="A975" s="23" t="s">
        <v>1100</v>
      </c>
      <c r="B975" s="23" t="s">
        <v>1101</v>
      </c>
      <c r="C975" s="23" t="s">
        <v>198</v>
      </c>
      <c r="D975" s="23" t="s">
        <v>499</v>
      </c>
      <c r="E975" s="23" t="s">
        <v>500</v>
      </c>
      <c r="F975">
        <v>1</v>
      </c>
      <c r="G975" s="23" t="s">
        <v>177</v>
      </c>
      <c r="H975">
        <v>0</v>
      </c>
      <c r="I975">
        <v>11</v>
      </c>
      <c r="J975" s="10">
        <v>8</v>
      </c>
      <c r="K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975">
        <v>0</v>
      </c>
      <c r="M9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975" s="23" t="s">
        <v>714</v>
      </c>
      <c r="Q975" s="23" t="s">
        <v>761</v>
      </c>
    </row>
    <row r="976" spans="1:17" x14ac:dyDescent="0.25">
      <c r="A976" s="23" t="s">
        <v>1147</v>
      </c>
      <c r="B976" s="23" t="s">
        <v>1145</v>
      </c>
      <c r="C976" s="23" t="s">
        <v>176</v>
      </c>
      <c r="D976" s="23" t="s">
        <v>777</v>
      </c>
      <c r="E976" s="23" t="s">
        <v>778</v>
      </c>
      <c r="F976">
        <v>1</v>
      </c>
      <c r="G976" s="23" t="s">
        <v>177</v>
      </c>
      <c r="H976">
        <v>0</v>
      </c>
      <c r="I976">
        <v>7</v>
      </c>
      <c r="J976" s="10">
        <v>6</v>
      </c>
      <c r="K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976">
        <v>0</v>
      </c>
      <c r="M9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976">
        <v>2457.65</v>
      </c>
      <c r="O976" s="23" t="s">
        <v>635</v>
      </c>
      <c r="P976">
        <v>2457.65</v>
      </c>
      <c r="Q976" s="23" t="s">
        <v>178</v>
      </c>
    </row>
    <row r="977" spans="1:17" x14ac:dyDescent="0.25">
      <c r="A977" s="23" t="s">
        <v>1058</v>
      </c>
      <c r="B977" s="23" t="s">
        <v>1059</v>
      </c>
      <c r="C977" s="23" t="s">
        <v>176</v>
      </c>
      <c r="D977" s="23" t="s">
        <v>364</v>
      </c>
      <c r="E977" s="23" t="s">
        <v>365</v>
      </c>
      <c r="F977">
        <v>7.5</v>
      </c>
      <c r="G977" s="23" t="s">
        <v>180</v>
      </c>
      <c r="H977">
        <v>0</v>
      </c>
      <c r="I977">
        <v>200</v>
      </c>
      <c r="J977" s="10">
        <v>59.899999999999928</v>
      </c>
      <c r="K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977">
        <v>0</v>
      </c>
      <c r="M9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7">
        <v>22.5</v>
      </c>
      <c r="O977" s="23" t="s">
        <v>315</v>
      </c>
      <c r="P977">
        <v>168.75</v>
      </c>
      <c r="Q977" s="23" t="s">
        <v>179</v>
      </c>
    </row>
    <row r="978" spans="1:17" x14ac:dyDescent="0.25">
      <c r="A978" s="23" t="s">
        <v>1197</v>
      </c>
      <c r="B978" s="23" t="s">
        <v>1198</v>
      </c>
      <c r="C978" s="23" t="s">
        <v>176</v>
      </c>
      <c r="D978" s="23" t="s">
        <v>417</v>
      </c>
      <c r="E978" s="23" t="s">
        <v>418</v>
      </c>
      <c r="F978">
        <v>30</v>
      </c>
      <c r="G978" s="23" t="s">
        <v>177</v>
      </c>
      <c r="H978">
        <v>0</v>
      </c>
      <c r="I978">
        <v>1000</v>
      </c>
      <c r="J978" s="10">
        <v>4807</v>
      </c>
      <c r="K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978">
        <v>0</v>
      </c>
      <c r="M9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8">
        <v>0.3</v>
      </c>
      <c r="O978" s="23" t="s">
        <v>629</v>
      </c>
      <c r="P978">
        <v>9</v>
      </c>
      <c r="Q978" s="23" t="s">
        <v>181</v>
      </c>
    </row>
    <row r="979" spans="1:17" x14ac:dyDescent="0.25">
      <c r="A979" s="23" t="s">
        <v>1098</v>
      </c>
      <c r="B979" s="23" t="s">
        <v>1053</v>
      </c>
      <c r="C979" s="23" t="s">
        <v>176</v>
      </c>
      <c r="D979" s="23" t="s">
        <v>417</v>
      </c>
      <c r="E979" s="23" t="s">
        <v>418</v>
      </c>
      <c r="F979">
        <v>33</v>
      </c>
      <c r="G979" s="23" t="s">
        <v>177</v>
      </c>
      <c r="H979">
        <v>0</v>
      </c>
      <c r="I979">
        <v>1000</v>
      </c>
      <c r="J979" s="10">
        <v>4807</v>
      </c>
      <c r="K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979">
        <v>0</v>
      </c>
      <c r="M9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79">
        <v>0.3</v>
      </c>
      <c r="O979" s="23" t="s">
        <v>629</v>
      </c>
      <c r="P979">
        <v>9.9</v>
      </c>
      <c r="Q979" s="23" t="s">
        <v>181</v>
      </c>
    </row>
    <row r="980" spans="1:17" x14ac:dyDescent="0.25">
      <c r="A980" s="23" t="s">
        <v>1150</v>
      </c>
      <c r="B980" s="23" t="s">
        <v>1145</v>
      </c>
      <c r="C980" s="23" t="s">
        <v>176</v>
      </c>
      <c r="D980" s="23" t="s">
        <v>417</v>
      </c>
      <c r="E980" s="23" t="s">
        <v>418</v>
      </c>
      <c r="F980">
        <v>30</v>
      </c>
      <c r="G980" s="23" t="s">
        <v>177</v>
      </c>
      <c r="H980">
        <v>0</v>
      </c>
      <c r="I980">
        <v>1000</v>
      </c>
      <c r="J980" s="10">
        <v>4807</v>
      </c>
      <c r="K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980">
        <v>0</v>
      </c>
      <c r="M9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0">
        <v>0.3</v>
      </c>
      <c r="O980" s="23" t="s">
        <v>629</v>
      </c>
      <c r="P980">
        <v>9</v>
      </c>
      <c r="Q980" s="23" t="s">
        <v>181</v>
      </c>
    </row>
    <row r="981" spans="1:17" x14ac:dyDescent="0.25">
      <c r="A981" s="23" t="s">
        <v>1150</v>
      </c>
      <c r="B981" s="23" t="s">
        <v>1145</v>
      </c>
      <c r="C981" s="23" t="s">
        <v>176</v>
      </c>
      <c r="D981" s="23" t="s">
        <v>535</v>
      </c>
      <c r="E981" s="23" t="s">
        <v>536</v>
      </c>
      <c r="F981">
        <v>8</v>
      </c>
      <c r="G981" s="23" t="s">
        <v>177</v>
      </c>
      <c r="H981">
        <v>0</v>
      </c>
      <c r="I981">
        <v>212</v>
      </c>
      <c r="J981" s="10">
        <v>625</v>
      </c>
      <c r="K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981">
        <v>0</v>
      </c>
      <c r="M9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1">
        <v>3.95</v>
      </c>
      <c r="O981" s="23" t="s">
        <v>242</v>
      </c>
      <c r="P981">
        <v>31.6</v>
      </c>
      <c r="Q981" s="23" t="s">
        <v>181</v>
      </c>
    </row>
    <row r="982" spans="1:17" x14ac:dyDescent="0.25">
      <c r="A982" s="23" t="s">
        <v>1150</v>
      </c>
      <c r="B982" s="23" t="s">
        <v>1145</v>
      </c>
      <c r="C982" s="23" t="s">
        <v>176</v>
      </c>
      <c r="D982" s="23" t="s">
        <v>777</v>
      </c>
      <c r="E982" s="23" t="s">
        <v>778</v>
      </c>
      <c r="F982">
        <v>1</v>
      </c>
      <c r="G982" s="23" t="s">
        <v>177</v>
      </c>
      <c r="H982">
        <v>0</v>
      </c>
      <c r="I982">
        <v>7</v>
      </c>
      <c r="J982" s="10">
        <v>6</v>
      </c>
      <c r="K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982">
        <v>0</v>
      </c>
      <c r="M9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982">
        <v>2457.65</v>
      </c>
      <c r="O982" s="23" t="s">
        <v>635</v>
      </c>
      <c r="P982">
        <v>2457.65</v>
      </c>
      <c r="Q982" s="23" t="s">
        <v>178</v>
      </c>
    </row>
    <row r="983" spans="1:17" x14ac:dyDescent="0.25">
      <c r="A983" s="23" t="s">
        <v>1058</v>
      </c>
      <c r="B983" s="23" t="s">
        <v>1059</v>
      </c>
      <c r="C983" s="23" t="s">
        <v>176</v>
      </c>
      <c r="D983" s="23" t="s">
        <v>535</v>
      </c>
      <c r="E983" s="23" t="s">
        <v>536</v>
      </c>
      <c r="F983">
        <v>8</v>
      </c>
      <c r="G983" s="23" t="s">
        <v>177</v>
      </c>
      <c r="H983">
        <v>0</v>
      </c>
      <c r="I983">
        <v>212</v>
      </c>
      <c r="J983" s="10">
        <v>625</v>
      </c>
      <c r="K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983">
        <v>0</v>
      </c>
      <c r="M9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3">
        <v>3.95</v>
      </c>
      <c r="O983" s="23" t="s">
        <v>242</v>
      </c>
      <c r="P983">
        <v>31.6</v>
      </c>
      <c r="Q983" s="23" t="s">
        <v>181</v>
      </c>
    </row>
    <row r="984" spans="1:17" x14ac:dyDescent="0.25">
      <c r="A984" s="23" t="s">
        <v>1099</v>
      </c>
      <c r="B984" s="23" t="s">
        <v>1056</v>
      </c>
      <c r="C984" s="23" t="s">
        <v>176</v>
      </c>
      <c r="D984" s="23" t="s">
        <v>535</v>
      </c>
      <c r="E984" s="23" t="s">
        <v>536</v>
      </c>
      <c r="F984">
        <v>4</v>
      </c>
      <c r="G984" s="23" t="s">
        <v>177</v>
      </c>
      <c r="H984">
        <v>0</v>
      </c>
      <c r="I984">
        <v>212</v>
      </c>
      <c r="J984" s="10">
        <v>625</v>
      </c>
      <c r="K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984">
        <v>0</v>
      </c>
      <c r="M9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4">
        <v>3.95</v>
      </c>
      <c r="O984" s="23" t="s">
        <v>242</v>
      </c>
      <c r="P984">
        <v>15.8</v>
      </c>
      <c r="Q984" s="23" t="s">
        <v>181</v>
      </c>
    </row>
    <row r="985" spans="1:17" x14ac:dyDescent="0.25">
      <c r="A985" s="23" t="s">
        <v>1148</v>
      </c>
      <c r="B985" s="23" t="s">
        <v>1054</v>
      </c>
      <c r="C985" s="23" t="s">
        <v>176</v>
      </c>
      <c r="D985" s="23" t="s">
        <v>851</v>
      </c>
      <c r="E985" s="23" t="s">
        <v>852</v>
      </c>
      <c r="F985">
        <v>1</v>
      </c>
      <c r="G985" s="23" t="s">
        <v>177</v>
      </c>
      <c r="H985">
        <v>0</v>
      </c>
      <c r="I985">
        <v>10</v>
      </c>
      <c r="J985" s="10">
        <v>3</v>
      </c>
      <c r="K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985">
        <v>0</v>
      </c>
      <c r="M9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5">
        <v>45</v>
      </c>
      <c r="O985" s="23" t="s">
        <v>242</v>
      </c>
      <c r="P985">
        <v>45</v>
      </c>
      <c r="Q985" s="23" t="s">
        <v>181</v>
      </c>
    </row>
    <row r="986" spans="1:17" x14ac:dyDescent="0.25">
      <c r="A986" s="23" t="s">
        <v>1055</v>
      </c>
      <c r="B986" s="23" t="s">
        <v>1056</v>
      </c>
      <c r="C986" s="23" t="s">
        <v>176</v>
      </c>
      <c r="D986" s="23" t="s">
        <v>777</v>
      </c>
      <c r="E986" s="23" t="s">
        <v>778</v>
      </c>
      <c r="F986">
        <v>1</v>
      </c>
      <c r="G986" s="23" t="s">
        <v>177</v>
      </c>
      <c r="H986">
        <v>1</v>
      </c>
      <c r="I986">
        <v>7</v>
      </c>
      <c r="J986" s="10">
        <v>6</v>
      </c>
      <c r="K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986">
        <v>0</v>
      </c>
      <c r="M9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986">
        <v>2457.65</v>
      </c>
      <c r="O986" s="23" t="s">
        <v>635</v>
      </c>
      <c r="P986">
        <v>2457.65</v>
      </c>
      <c r="Q986" s="23" t="s">
        <v>178</v>
      </c>
    </row>
    <row r="987" spans="1:17" x14ac:dyDescent="0.25">
      <c r="A987" s="23" t="s">
        <v>1148</v>
      </c>
      <c r="B987" s="23" t="s">
        <v>1054</v>
      </c>
      <c r="C987" s="23" t="s">
        <v>176</v>
      </c>
      <c r="D987" s="23" t="s">
        <v>1105</v>
      </c>
      <c r="E987" s="23" t="s">
        <v>1106</v>
      </c>
      <c r="F987">
        <v>0.5</v>
      </c>
      <c r="G987" s="23" t="s">
        <v>413</v>
      </c>
      <c r="H987">
        <v>0</v>
      </c>
      <c r="I987">
        <v>500</v>
      </c>
      <c r="J987" s="10">
        <v>0</v>
      </c>
      <c r="K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-499</v>
      </c>
      <c r="L987">
        <v>0</v>
      </c>
      <c r="M9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7">
        <v>4</v>
      </c>
      <c r="O987" s="23" t="s">
        <v>347</v>
      </c>
      <c r="P987">
        <v>2</v>
      </c>
      <c r="Q987" s="23" t="s">
        <v>184</v>
      </c>
    </row>
    <row r="988" spans="1:17" x14ac:dyDescent="0.25">
      <c r="A988" s="23" t="s">
        <v>1100</v>
      </c>
      <c r="B988" s="23" t="s">
        <v>1101</v>
      </c>
      <c r="C988" s="23" t="s">
        <v>176</v>
      </c>
      <c r="D988" s="23" t="s">
        <v>417</v>
      </c>
      <c r="E988" s="23" t="s">
        <v>418</v>
      </c>
      <c r="F988">
        <v>52</v>
      </c>
      <c r="G988" s="23" t="s">
        <v>177</v>
      </c>
      <c r="H988">
        <v>0</v>
      </c>
      <c r="I988">
        <v>1000</v>
      </c>
      <c r="J988" s="10">
        <v>4807</v>
      </c>
      <c r="K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988">
        <v>0</v>
      </c>
      <c r="M9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88">
        <v>0.3</v>
      </c>
      <c r="O988" s="23" t="s">
        <v>629</v>
      </c>
      <c r="P988">
        <v>15.6</v>
      </c>
      <c r="Q988" s="23" t="s">
        <v>181</v>
      </c>
    </row>
    <row r="989" spans="1:17" x14ac:dyDescent="0.25">
      <c r="A989" s="23" t="s">
        <v>1144</v>
      </c>
      <c r="B989" s="23" t="s">
        <v>1145</v>
      </c>
      <c r="C989" s="23" t="s">
        <v>176</v>
      </c>
      <c r="D989" s="23" t="s">
        <v>777</v>
      </c>
      <c r="E989" s="23" t="s">
        <v>778</v>
      </c>
      <c r="F989">
        <v>1</v>
      </c>
      <c r="G989" s="23" t="s">
        <v>177</v>
      </c>
      <c r="H989">
        <v>0</v>
      </c>
      <c r="I989">
        <v>7</v>
      </c>
      <c r="J989" s="10">
        <v>6</v>
      </c>
      <c r="K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989">
        <v>0</v>
      </c>
      <c r="M9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989">
        <v>2457.65</v>
      </c>
      <c r="O989" s="23" t="s">
        <v>635</v>
      </c>
      <c r="P989">
        <v>2457.65</v>
      </c>
      <c r="Q989" s="23" t="s">
        <v>178</v>
      </c>
    </row>
    <row r="990" spans="1:17" x14ac:dyDescent="0.25">
      <c r="A990" s="23" t="s">
        <v>1100</v>
      </c>
      <c r="B990" s="23" t="s">
        <v>1101</v>
      </c>
      <c r="C990" s="23" t="s">
        <v>176</v>
      </c>
      <c r="D990" s="23" t="s">
        <v>659</v>
      </c>
      <c r="E990" s="23" t="s">
        <v>660</v>
      </c>
      <c r="F990">
        <v>1</v>
      </c>
      <c r="G990" s="23" t="s">
        <v>177</v>
      </c>
      <c r="H990">
        <v>0</v>
      </c>
      <c r="I990">
        <v>0</v>
      </c>
      <c r="J990" s="10">
        <v>65</v>
      </c>
      <c r="K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990">
        <v>100</v>
      </c>
      <c r="M9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0">
        <v>115</v>
      </c>
      <c r="O990" s="23" t="s">
        <v>242</v>
      </c>
      <c r="P990">
        <v>115</v>
      </c>
      <c r="Q990" s="23" t="s">
        <v>181</v>
      </c>
    </row>
    <row r="991" spans="1:17" x14ac:dyDescent="0.25">
      <c r="A991" s="23" t="s">
        <v>1100</v>
      </c>
      <c r="B991" s="23" t="s">
        <v>1101</v>
      </c>
      <c r="C991" s="23" t="s">
        <v>176</v>
      </c>
      <c r="D991" s="23" t="s">
        <v>535</v>
      </c>
      <c r="E991" s="23" t="s">
        <v>536</v>
      </c>
      <c r="F991">
        <v>2</v>
      </c>
      <c r="G991" s="23" t="s">
        <v>177</v>
      </c>
      <c r="H991">
        <v>0</v>
      </c>
      <c r="I991">
        <v>212</v>
      </c>
      <c r="J991" s="10">
        <v>625</v>
      </c>
      <c r="K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991">
        <v>0</v>
      </c>
      <c r="M9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1">
        <v>3.95</v>
      </c>
      <c r="O991" s="23" t="s">
        <v>242</v>
      </c>
      <c r="P991">
        <v>7.9</v>
      </c>
      <c r="Q991" s="23" t="s">
        <v>181</v>
      </c>
    </row>
    <row r="992" spans="1:17" x14ac:dyDescent="0.25">
      <c r="A992" s="23" t="s">
        <v>1100</v>
      </c>
      <c r="B992" s="23" t="s">
        <v>1101</v>
      </c>
      <c r="C992" s="23" t="s">
        <v>176</v>
      </c>
      <c r="D992" s="23" t="s">
        <v>851</v>
      </c>
      <c r="E992" s="23" t="s">
        <v>852</v>
      </c>
      <c r="F992">
        <v>1</v>
      </c>
      <c r="G992" s="23" t="s">
        <v>177</v>
      </c>
      <c r="H992">
        <v>0</v>
      </c>
      <c r="I992">
        <v>10</v>
      </c>
      <c r="J992" s="10">
        <v>3</v>
      </c>
      <c r="K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992">
        <v>0</v>
      </c>
      <c r="M9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2">
        <v>45</v>
      </c>
      <c r="O992" s="23" t="s">
        <v>242</v>
      </c>
      <c r="P992">
        <v>45</v>
      </c>
      <c r="Q992" s="23" t="s">
        <v>181</v>
      </c>
    </row>
    <row r="993" spans="1:17" x14ac:dyDescent="0.25">
      <c r="A993" s="23" t="s">
        <v>1180</v>
      </c>
      <c r="B993" s="23" t="s">
        <v>1181</v>
      </c>
      <c r="C993" s="23" t="s">
        <v>176</v>
      </c>
      <c r="D993" s="23" t="s">
        <v>1203</v>
      </c>
      <c r="E993" s="23" t="s">
        <v>1204</v>
      </c>
      <c r="F993">
        <v>1</v>
      </c>
      <c r="G993" s="23" t="s">
        <v>177</v>
      </c>
      <c r="H993">
        <v>0</v>
      </c>
      <c r="I993">
        <v>4</v>
      </c>
      <c r="J993" s="10">
        <v>0</v>
      </c>
      <c r="K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993">
        <v>0</v>
      </c>
      <c r="M9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3">
        <v>873.08</v>
      </c>
      <c r="O993" s="23" t="s">
        <v>291</v>
      </c>
      <c r="P993">
        <v>873.08</v>
      </c>
      <c r="Q993" s="23" t="s">
        <v>179</v>
      </c>
    </row>
    <row r="994" spans="1:17" x14ac:dyDescent="0.25">
      <c r="A994" s="23" t="s">
        <v>1055</v>
      </c>
      <c r="B994" s="23" t="s">
        <v>1056</v>
      </c>
      <c r="C994" s="23" t="s">
        <v>176</v>
      </c>
      <c r="D994" s="23" t="s">
        <v>364</v>
      </c>
      <c r="E994" s="23" t="s">
        <v>365</v>
      </c>
      <c r="F994">
        <v>7.5</v>
      </c>
      <c r="G994" s="23" t="s">
        <v>180</v>
      </c>
      <c r="H994">
        <v>0</v>
      </c>
      <c r="I994">
        <v>200</v>
      </c>
      <c r="J994" s="10">
        <v>59.899999999999928</v>
      </c>
      <c r="K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994">
        <v>0</v>
      </c>
      <c r="M9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4">
        <v>22.5</v>
      </c>
      <c r="O994" s="23" t="s">
        <v>315</v>
      </c>
      <c r="P994">
        <v>168.75</v>
      </c>
      <c r="Q994" s="23" t="s">
        <v>179</v>
      </c>
    </row>
    <row r="995" spans="1:17" x14ac:dyDescent="0.25">
      <c r="A995" s="23" t="s">
        <v>1099</v>
      </c>
      <c r="B995" s="23" t="s">
        <v>1056</v>
      </c>
      <c r="C995" s="23" t="s">
        <v>176</v>
      </c>
      <c r="D995" s="23" t="s">
        <v>364</v>
      </c>
      <c r="E995" s="23" t="s">
        <v>365</v>
      </c>
      <c r="F995">
        <v>7.5</v>
      </c>
      <c r="G995" s="23" t="s">
        <v>180</v>
      </c>
      <c r="H995">
        <v>0</v>
      </c>
      <c r="I995">
        <v>200</v>
      </c>
      <c r="J995" s="10">
        <v>59.899999999999928</v>
      </c>
      <c r="K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995">
        <v>0</v>
      </c>
      <c r="M9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5">
        <v>22.5</v>
      </c>
      <c r="O995" s="23" t="s">
        <v>315</v>
      </c>
      <c r="P995">
        <v>168.75</v>
      </c>
      <c r="Q995" s="23" t="s">
        <v>179</v>
      </c>
    </row>
    <row r="996" spans="1:17" x14ac:dyDescent="0.25">
      <c r="A996" s="23" t="s">
        <v>1097</v>
      </c>
      <c r="B996" s="23" t="s">
        <v>1095</v>
      </c>
      <c r="C996" s="23" t="s">
        <v>176</v>
      </c>
      <c r="D996" s="23" t="s">
        <v>417</v>
      </c>
      <c r="E996" s="23" t="s">
        <v>418</v>
      </c>
      <c r="F996">
        <v>21</v>
      </c>
      <c r="G996" s="23" t="s">
        <v>177</v>
      </c>
      <c r="H996">
        <v>0</v>
      </c>
      <c r="I996">
        <v>1000</v>
      </c>
      <c r="J996" s="10">
        <v>4807</v>
      </c>
      <c r="K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996">
        <v>0</v>
      </c>
      <c r="M9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6">
        <v>0.3</v>
      </c>
      <c r="O996" s="23" t="s">
        <v>629</v>
      </c>
      <c r="P996">
        <v>6.3</v>
      </c>
      <c r="Q996" s="23" t="s">
        <v>181</v>
      </c>
    </row>
    <row r="997" spans="1:17" x14ac:dyDescent="0.25">
      <c r="A997" s="23" t="s">
        <v>1097</v>
      </c>
      <c r="B997" s="23" t="s">
        <v>1095</v>
      </c>
      <c r="C997" s="23" t="s">
        <v>176</v>
      </c>
      <c r="D997" s="23" t="s">
        <v>851</v>
      </c>
      <c r="E997" s="23" t="s">
        <v>852</v>
      </c>
      <c r="F997">
        <v>1</v>
      </c>
      <c r="G997" s="23" t="s">
        <v>177</v>
      </c>
      <c r="H997">
        <v>0</v>
      </c>
      <c r="I997">
        <v>10</v>
      </c>
      <c r="J997" s="10">
        <v>3</v>
      </c>
      <c r="K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997">
        <v>0</v>
      </c>
      <c r="M9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7">
        <v>45</v>
      </c>
      <c r="O997" s="23" t="s">
        <v>242</v>
      </c>
      <c r="P997">
        <v>45</v>
      </c>
      <c r="Q997" s="23" t="s">
        <v>181</v>
      </c>
    </row>
    <row r="998" spans="1:17" x14ac:dyDescent="0.25">
      <c r="A998" s="23" t="s">
        <v>1147</v>
      </c>
      <c r="B998" s="23" t="s">
        <v>1145</v>
      </c>
      <c r="C998" s="23" t="s">
        <v>176</v>
      </c>
      <c r="D998" s="23" t="s">
        <v>364</v>
      </c>
      <c r="E998" s="23" t="s">
        <v>365</v>
      </c>
      <c r="F998">
        <v>7.5</v>
      </c>
      <c r="G998" s="23" t="s">
        <v>180</v>
      </c>
      <c r="H998">
        <v>0</v>
      </c>
      <c r="I998">
        <v>200</v>
      </c>
      <c r="J998" s="10">
        <v>59.899999999999928</v>
      </c>
      <c r="K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998">
        <v>0</v>
      </c>
      <c r="M9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8">
        <v>22.5</v>
      </c>
      <c r="O998" s="23" t="s">
        <v>315</v>
      </c>
      <c r="P998">
        <v>168.75</v>
      </c>
      <c r="Q998" s="23" t="s">
        <v>179</v>
      </c>
    </row>
    <row r="999" spans="1:17" x14ac:dyDescent="0.25">
      <c r="A999" s="23" t="s">
        <v>1148</v>
      </c>
      <c r="B999" s="23" t="s">
        <v>1054</v>
      </c>
      <c r="C999" s="23" t="s">
        <v>176</v>
      </c>
      <c r="D999" s="23" t="s">
        <v>364</v>
      </c>
      <c r="E999" s="23" t="s">
        <v>365</v>
      </c>
      <c r="F999">
        <v>5.5</v>
      </c>
      <c r="G999" s="23" t="s">
        <v>180</v>
      </c>
      <c r="H999">
        <v>0</v>
      </c>
      <c r="I999">
        <v>200</v>
      </c>
      <c r="J999" s="10">
        <v>59.899999999999928</v>
      </c>
      <c r="K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999">
        <v>0</v>
      </c>
      <c r="M9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999">
        <v>22.5</v>
      </c>
      <c r="O999" s="23" t="s">
        <v>315</v>
      </c>
      <c r="P999">
        <v>123.75</v>
      </c>
      <c r="Q999" s="23" t="s">
        <v>179</v>
      </c>
    </row>
    <row r="1000" spans="1:17" x14ac:dyDescent="0.25">
      <c r="A1000" s="23" t="s">
        <v>1097</v>
      </c>
      <c r="B1000" s="23" t="s">
        <v>1095</v>
      </c>
      <c r="C1000" s="23" t="s">
        <v>176</v>
      </c>
      <c r="D1000" s="23" t="s">
        <v>535</v>
      </c>
      <c r="E1000" s="23" t="s">
        <v>536</v>
      </c>
      <c r="F1000">
        <v>4</v>
      </c>
      <c r="G1000" s="23" t="s">
        <v>177</v>
      </c>
      <c r="H1000">
        <v>0</v>
      </c>
      <c r="I1000">
        <v>212</v>
      </c>
      <c r="J1000" s="10">
        <v>625</v>
      </c>
      <c r="K1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000">
        <v>0</v>
      </c>
      <c r="M10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0">
        <v>3.95</v>
      </c>
      <c r="O1000" s="23" t="s">
        <v>242</v>
      </c>
      <c r="P1000">
        <v>15.8</v>
      </c>
      <c r="Q1000" s="23" t="s">
        <v>181</v>
      </c>
    </row>
    <row r="1001" spans="1:17" x14ac:dyDescent="0.25">
      <c r="A1001" s="23" t="s">
        <v>1197</v>
      </c>
      <c r="B1001" s="23" t="s">
        <v>1198</v>
      </c>
      <c r="C1001" s="23" t="s">
        <v>176</v>
      </c>
      <c r="D1001" s="23" t="s">
        <v>535</v>
      </c>
      <c r="E1001" s="23" t="s">
        <v>536</v>
      </c>
      <c r="F1001">
        <v>8</v>
      </c>
      <c r="G1001" s="23" t="s">
        <v>177</v>
      </c>
      <c r="H1001">
        <v>0</v>
      </c>
      <c r="I1001">
        <v>212</v>
      </c>
      <c r="J1001" s="10">
        <v>625</v>
      </c>
      <c r="K1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001">
        <v>0</v>
      </c>
      <c r="M10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1">
        <v>3.95</v>
      </c>
      <c r="O1001" s="23" t="s">
        <v>242</v>
      </c>
      <c r="P1001">
        <v>31.6</v>
      </c>
      <c r="Q1001" s="23" t="s">
        <v>181</v>
      </c>
    </row>
    <row r="1002" spans="1:17" x14ac:dyDescent="0.25">
      <c r="A1002" s="23" t="s">
        <v>1097</v>
      </c>
      <c r="B1002" s="23" t="s">
        <v>1095</v>
      </c>
      <c r="C1002" s="23" t="s">
        <v>176</v>
      </c>
      <c r="D1002" s="23" t="s">
        <v>777</v>
      </c>
      <c r="E1002" s="23" t="s">
        <v>778</v>
      </c>
      <c r="F1002">
        <v>1</v>
      </c>
      <c r="G1002" s="23" t="s">
        <v>177</v>
      </c>
      <c r="H1002">
        <v>0</v>
      </c>
      <c r="I1002">
        <v>7</v>
      </c>
      <c r="J1002" s="10">
        <v>6</v>
      </c>
      <c r="K1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002">
        <v>0</v>
      </c>
      <c r="M10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002">
        <v>2457.65</v>
      </c>
      <c r="O1002" s="23" t="s">
        <v>635</v>
      </c>
      <c r="P1002">
        <v>2457.65</v>
      </c>
      <c r="Q1002" s="23" t="s">
        <v>178</v>
      </c>
    </row>
    <row r="1003" spans="1:17" x14ac:dyDescent="0.25">
      <c r="A1003" s="23" t="s">
        <v>1197</v>
      </c>
      <c r="B1003" s="23" t="s">
        <v>1198</v>
      </c>
      <c r="C1003" s="23" t="s">
        <v>176</v>
      </c>
      <c r="D1003" s="23" t="s">
        <v>777</v>
      </c>
      <c r="E1003" s="23" t="s">
        <v>778</v>
      </c>
      <c r="F1003">
        <v>1</v>
      </c>
      <c r="G1003" s="23" t="s">
        <v>177</v>
      </c>
      <c r="H1003">
        <v>0</v>
      </c>
      <c r="I1003">
        <v>7</v>
      </c>
      <c r="J1003" s="10">
        <v>6</v>
      </c>
      <c r="K1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003">
        <v>0</v>
      </c>
      <c r="M10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003">
        <v>2457.65</v>
      </c>
      <c r="O1003" s="23" t="s">
        <v>635</v>
      </c>
      <c r="P1003">
        <v>2457.65</v>
      </c>
      <c r="Q1003" s="23" t="s">
        <v>178</v>
      </c>
    </row>
    <row r="1004" spans="1:17" x14ac:dyDescent="0.25">
      <c r="A1004" s="23" t="s">
        <v>1150</v>
      </c>
      <c r="B1004" s="23" t="s">
        <v>1145</v>
      </c>
      <c r="C1004" s="23" t="s">
        <v>176</v>
      </c>
      <c r="D1004" s="23" t="s">
        <v>356</v>
      </c>
      <c r="E1004" s="23" t="s">
        <v>357</v>
      </c>
      <c r="F1004">
        <v>16</v>
      </c>
      <c r="G1004" s="23" t="s">
        <v>177</v>
      </c>
      <c r="H1004">
        <v>0</v>
      </c>
      <c r="I1004">
        <v>4822</v>
      </c>
      <c r="J1004" s="10">
        <v>811</v>
      </c>
      <c r="K1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004">
        <v>0</v>
      </c>
      <c r="M10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4">
        <v>0.3</v>
      </c>
      <c r="O1004" s="23" t="s">
        <v>242</v>
      </c>
      <c r="P1004">
        <v>4.8</v>
      </c>
      <c r="Q1004" s="23" t="s">
        <v>181</v>
      </c>
    </row>
    <row r="1005" spans="1:17" x14ac:dyDescent="0.25">
      <c r="A1005" s="23" t="s">
        <v>1149</v>
      </c>
      <c r="B1005" s="23" t="s">
        <v>1145</v>
      </c>
      <c r="C1005" s="23" t="s">
        <v>176</v>
      </c>
      <c r="D1005" s="23" t="s">
        <v>385</v>
      </c>
      <c r="E1005" s="23" t="s">
        <v>386</v>
      </c>
      <c r="F1005">
        <v>37</v>
      </c>
      <c r="G1005" s="23" t="s">
        <v>177</v>
      </c>
      <c r="H1005">
        <v>0</v>
      </c>
      <c r="I1005">
        <v>495</v>
      </c>
      <c r="J1005" s="10">
        <v>146</v>
      </c>
      <c r="K1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05">
        <v>0</v>
      </c>
      <c r="M10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5">
        <v>3.75</v>
      </c>
      <c r="O1005" s="23" t="s">
        <v>629</v>
      </c>
      <c r="P1005">
        <v>138.75</v>
      </c>
      <c r="Q1005" s="23" t="s">
        <v>181</v>
      </c>
    </row>
    <row r="1006" spans="1:17" x14ac:dyDescent="0.25">
      <c r="A1006" s="23" t="s">
        <v>1147</v>
      </c>
      <c r="B1006" s="23" t="s">
        <v>1145</v>
      </c>
      <c r="C1006" s="23" t="s">
        <v>176</v>
      </c>
      <c r="D1006" s="23" t="s">
        <v>48</v>
      </c>
      <c r="E1006" s="23" t="s">
        <v>49</v>
      </c>
      <c r="F1006">
        <v>2</v>
      </c>
      <c r="G1006" s="23" t="s">
        <v>177</v>
      </c>
      <c r="H1006">
        <v>0</v>
      </c>
      <c r="I1006">
        <v>24</v>
      </c>
      <c r="J1006" s="10">
        <v>27</v>
      </c>
      <c r="K1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006">
        <v>0</v>
      </c>
      <c r="M10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006">
        <v>42</v>
      </c>
      <c r="O1006" s="23" t="s">
        <v>247</v>
      </c>
      <c r="P1006">
        <v>84</v>
      </c>
      <c r="Q1006" s="23" t="s">
        <v>181</v>
      </c>
    </row>
    <row r="1007" spans="1:17" x14ac:dyDescent="0.25">
      <c r="A1007" s="23" t="s">
        <v>1148</v>
      </c>
      <c r="B1007" s="23" t="s">
        <v>1054</v>
      </c>
      <c r="C1007" s="23" t="s">
        <v>176</v>
      </c>
      <c r="D1007" s="23" t="s">
        <v>48</v>
      </c>
      <c r="E1007" s="23" t="s">
        <v>49</v>
      </c>
      <c r="F1007">
        <v>2</v>
      </c>
      <c r="G1007" s="23" t="s">
        <v>177</v>
      </c>
      <c r="H1007">
        <v>0</v>
      </c>
      <c r="I1007">
        <v>24</v>
      </c>
      <c r="J1007" s="10">
        <v>27</v>
      </c>
      <c r="K1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007">
        <v>0</v>
      </c>
      <c r="M10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007">
        <v>42</v>
      </c>
      <c r="O1007" s="23" t="s">
        <v>247</v>
      </c>
      <c r="P1007">
        <v>84</v>
      </c>
      <c r="Q1007" s="23" t="s">
        <v>181</v>
      </c>
    </row>
    <row r="1008" spans="1:17" x14ac:dyDescent="0.25">
      <c r="A1008" s="23" t="s">
        <v>1147</v>
      </c>
      <c r="B1008" s="23" t="s">
        <v>1145</v>
      </c>
      <c r="C1008" s="23" t="s">
        <v>176</v>
      </c>
      <c r="D1008" s="23" t="s">
        <v>356</v>
      </c>
      <c r="E1008" s="23" t="s">
        <v>357</v>
      </c>
      <c r="F1008">
        <v>16</v>
      </c>
      <c r="G1008" s="23" t="s">
        <v>177</v>
      </c>
      <c r="H1008">
        <v>0</v>
      </c>
      <c r="I1008">
        <v>4822</v>
      </c>
      <c r="J1008" s="10">
        <v>811</v>
      </c>
      <c r="K1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008">
        <v>0</v>
      </c>
      <c r="M10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8">
        <v>0.3</v>
      </c>
      <c r="O1008" s="23" t="s">
        <v>242</v>
      </c>
      <c r="P1008">
        <v>4.8</v>
      </c>
      <c r="Q1008" s="23" t="s">
        <v>181</v>
      </c>
    </row>
    <row r="1009" spans="1:17" x14ac:dyDescent="0.25">
      <c r="A1009" s="23" t="s">
        <v>1058</v>
      </c>
      <c r="B1009" s="23" t="s">
        <v>1059</v>
      </c>
      <c r="C1009" s="23" t="s">
        <v>176</v>
      </c>
      <c r="D1009" s="23" t="s">
        <v>652</v>
      </c>
      <c r="E1009" s="23" t="s">
        <v>653</v>
      </c>
      <c r="F1009">
        <v>25</v>
      </c>
      <c r="G1009" s="23" t="s">
        <v>177</v>
      </c>
      <c r="H1009">
        <v>25</v>
      </c>
      <c r="I1009">
        <v>976</v>
      </c>
      <c r="J1009" s="10">
        <v>167</v>
      </c>
      <c r="K1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09">
        <v>0</v>
      </c>
      <c r="M10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09">
        <v>3.46</v>
      </c>
      <c r="O1009" s="23" t="s">
        <v>883</v>
      </c>
      <c r="P1009">
        <v>86.5</v>
      </c>
      <c r="Q1009" s="23" t="s">
        <v>181</v>
      </c>
    </row>
    <row r="1010" spans="1:17" x14ac:dyDescent="0.25">
      <c r="A1010" s="23" t="s">
        <v>1147</v>
      </c>
      <c r="B1010" s="23" t="s">
        <v>1145</v>
      </c>
      <c r="C1010" s="23" t="s">
        <v>176</v>
      </c>
      <c r="D1010" s="23" t="s">
        <v>652</v>
      </c>
      <c r="E1010" s="23" t="s">
        <v>653</v>
      </c>
      <c r="F1010">
        <v>25</v>
      </c>
      <c r="G1010" s="23" t="s">
        <v>177</v>
      </c>
      <c r="H1010">
        <v>0</v>
      </c>
      <c r="I1010">
        <v>976</v>
      </c>
      <c r="J1010" s="10">
        <v>167</v>
      </c>
      <c r="K1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10">
        <v>0</v>
      </c>
      <c r="M10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0">
        <v>3.46</v>
      </c>
      <c r="O1010" s="23" t="s">
        <v>883</v>
      </c>
      <c r="P1010">
        <v>86.5</v>
      </c>
      <c r="Q1010" s="23" t="s">
        <v>181</v>
      </c>
    </row>
    <row r="1011" spans="1:17" x14ac:dyDescent="0.25">
      <c r="A1011" s="23" t="s">
        <v>1055</v>
      </c>
      <c r="B1011" s="23" t="s">
        <v>1056</v>
      </c>
      <c r="C1011" s="23" t="s">
        <v>176</v>
      </c>
      <c r="D1011" s="23" t="s">
        <v>652</v>
      </c>
      <c r="E1011" s="23" t="s">
        <v>653</v>
      </c>
      <c r="F1011">
        <v>25</v>
      </c>
      <c r="G1011" s="23" t="s">
        <v>177</v>
      </c>
      <c r="H1011">
        <v>0</v>
      </c>
      <c r="I1011">
        <v>976</v>
      </c>
      <c r="J1011" s="10">
        <v>167</v>
      </c>
      <c r="K1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11">
        <v>0</v>
      </c>
      <c r="M10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1">
        <v>3.46</v>
      </c>
      <c r="O1011" s="23" t="s">
        <v>883</v>
      </c>
      <c r="P1011">
        <v>86.5</v>
      </c>
      <c r="Q1011" s="23" t="s">
        <v>181</v>
      </c>
    </row>
    <row r="1012" spans="1:17" x14ac:dyDescent="0.25">
      <c r="A1012" s="23" t="s">
        <v>1099</v>
      </c>
      <c r="B1012" s="23" t="s">
        <v>1056</v>
      </c>
      <c r="C1012" s="23" t="s">
        <v>176</v>
      </c>
      <c r="D1012" s="23" t="s">
        <v>652</v>
      </c>
      <c r="E1012" s="23" t="s">
        <v>653</v>
      </c>
      <c r="F1012">
        <v>25</v>
      </c>
      <c r="G1012" s="23" t="s">
        <v>177</v>
      </c>
      <c r="H1012">
        <v>0</v>
      </c>
      <c r="I1012">
        <v>976</v>
      </c>
      <c r="J1012" s="10">
        <v>167</v>
      </c>
      <c r="K1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12">
        <v>0</v>
      </c>
      <c r="M10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2">
        <v>3.46</v>
      </c>
      <c r="O1012" s="23" t="s">
        <v>883</v>
      </c>
      <c r="P1012">
        <v>86.5</v>
      </c>
      <c r="Q1012" s="23" t="s">
        <v>181</v>
      </c>
    </row>
    <row r="1013" spans="1:17" x14ac:dyDescent="0.25">
      <c r="A1013" s="23" t="s">
        <v>1148</v>
      </c>
      <c r="B1013" s="23" t="s">
        <v>1054</v>
      </c>
      <c r="C1013" s="23" t="s">
        <v>176</v>
      </c>
      <c r="D1013" s="23" t="s">
        <v>652</v>
      </c>
      <c r="E1013" s="23" t="s">
        <v>653</v>
      </c>
      <c r="F1013">
        <v>25</v>
      </c>
      <c r="G1013" s="23" t="s">
        <v>177</v>
      </c>
      <c r="H1013">
        <v>0</v>
      </c>
      <c r="I1013">
        <v>976</v>
      </c>
      <c r="J1013" s="10">
        <v>167</v>
      </c>
      <c r="K1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13">
        <v>0</v>
      </c>
      <c r="M10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3">
        <v>3.46</v>
      </c>
      <c r="O1013" s="23" t="s">
        <v>883</v>
      </c>
      <c r="P1013">
        <v>86.5</v>
      </c>
      <c r="Q1013" s="23" t="s">
        <v>181</v>
      </c>
    </row>
    <row r="1014" spans="1:17" x14ac:dyDescent="0.25">
      <c r="A1014" s="23" t="s">
        <v>1150</v>
      </c>
      <c r="B1014" s="23" t="s">
        <v>1145</v>
      </c>
      <c r="C1014" s="23" t="s">
        <v>176</v>
      </c>
      <c r="D1014" s="23" t="s">
        <v>652</v>
      </c>
      <c r="E1014" s="23" t="s">
        <v>653</v>
      </c>
      <c r="F1014">
        <v>31</v>
      </c>
      <c r="G1014" s="23" t="s">
        <v>177</v>
      </c>
      <c r="H1014">
        <v>0</v>
      </c>
      <c r="I1014">
        <v>976</v>
      </c>
      <c r="J1014" s="10">
        <v>167</v>
      </c>
      <c r="K1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14">
        <v>0</v>
      </c>
      <c r="M10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4">
        <v>3.46</v>
      </c>
      <c r="O1014" s="23" t="s">
        <v>883</v>
      </c>
      <c r="P1014">
        <v>107.26</v>
      </c>
      <c r="Q1014" s="23" t="s">
        <v>181</v>
      </c>
    </row>
    <row r="1015" spans="1:17" x14ac:dyDescent="0.25">
      <c r="A1015" s="23" t="s">
        <v>1149</v>
      </c>
      <c r="B1015" s="23" t="s">
        <v>1145</v>
      </c>
      <c r="C1015" s="23" t="s">
        <v>176</v>
      </c>
      <c r="D1015" s="23" t="s">
        <v>395</v>
      </c>
      <c r="E1015" s="23" t="s">
        <v>396</v>
      </c>
      <c r="F1015">
        <v>3.1</v>
      </c>
      <c r="G1015" s="23" t="s">
        <v>177</v>
      </c>
      <c r="H1015">
        <v>0</v>
      </c>
      <c r="I1015">
        <v>17</v>
      </c>
      <c r="J1015" s="10">
        <v>3.0000000000000124</v>
      </c>
      <c r="K1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015">
        <v>0</v>
      </c>
      <c r="M10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015">
        <v>145.83000000000001</v>
      </c>
      <c r="O1015" s="23" t="s">
        <v>629</v>
      </c>
      <c r="P1015">
        <v>452.07300000000004</v>
      </c>
      <c r="Q1015" s="23" t="s">
        <v>184</v>
      </c>
    </row>
    <row r="1016" spans="1:17" x14ac:dyDescent="0.25">
      <c r="A1016" s="23" t="s">
        <v>1150</v>
      </c>
      <c r="B1016" s="23" t="s">
        <v>1145</v>
      </c>
      <c r="C1016" s="23" t="s">
        <v>176</v>
      </c>
      <c r="D1016" s="23" t="s">
        <v>89</v>
      </c>
      <c r="E1016" s="23" t="s">
        <v>90</v>
      </c>
      <c r="F1016">
        <v>3.3</v>
      </c>
      <c r="G1016" s="23" t="s">
        <v>180</v>
      </c>
      <c r="H1016">
        <v>0</v>
      </c>
      <c r="I1016">
        <v>125</v>
      </c>
      <c r="J1016" s="10">
        <v>37.499999999999957</v>
      </c>
      <c r="K1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016">
        <v>0</v>
      </c>
      <c r="M10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6">
        <v>44</v>
      </c>
      <c r="O1016" s="23" t="s">
        <v>315</v>
      </c>
      <c r="P1016">
        <v>145.19999999999999</v>
      </c>
      <c r="Q1016" s="23" t="s">
        <v>179</v>
      </c>
    </row>
    <row r="1017" spans="1:17" x14ac:dyDescent="0.25">
      <c r="A1017" s="23" t="s">
        <v>1055</v>
      </c>
      <c r="B1017" s="23" t="s">
        <v>1056</v>
      </c>
      <c r="C1017" s="23" t="s">
        <v>176</v>
      </c>
      <c r="D1017" s="23" t="s">
        <v>385</v>
      </c>
      <c r="E1017" s="23" t="s">
        <v>386</v>
      </c>
      <c r="F1017">
        <v>13</v>
      </c>
      <c r="G1017" s="23" t="s">
        <v>177</v>
      </c>
      <c r="H1017">
        <v>0</v>
      </c>
      <c r="I1017">
        <v>495</v>
      </c>
      <c r="J1017" s="10">
        <v>146</v>
      </c>
      <c r="K1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17">
        <v>0</v>
      </c>
      <c r="M10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7">
        <v>3.75</v>
      </c>
      <c r="O1017" s="23" t="s">
        <v>629</v>
      </c>
      <c r="P1017">
        <v>48.75</v>
      </c>
      <c r="Q1017" s="23" t="s">
        <v>181</v>
      </c>
    </row>
    <row r="1018" spans="1:17" x14ac:dyDescent="0.25">
      <c r="A1018" s="23" t="s">
        <v>1100</v>
      </c>
      <c r="B1018" s="23" t="s">
        <v>1101</v>
      </c>
      <c r="C1018" s="23" t="s">
        <v>176</v>
      </c>
      <c r="D1018" s="23" t="s">
        <v>385</v>
      </c>
      <c r="E1018" s="23" t="s">
        <v>386</v>
      </c>
      <c r="F1018">
        <v>10</v>
      </c>
      <c r="G1018" s="23" t="s">
        <v>177</v>
      </c>
      <c r="H1018">
        <v>0</v>
      </c>
      <c r="I1018">
        <v>495</v>
      </c>
      <c r="J1018" s="10">
        <v>146</v>
      </c>
      <c r="K1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18">
        <v>0</v>
      </c>
      <c r="M10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18">
        <v>3.75</v>
      </c>
      <c r="O1018" s="23" t="s">
        <v>629</v>
      </c>
      <c r="P1018">
        <v>37.5</v>
      </c>
      <c r="Q1018" s="23" t="s">
        <v>181</v>
      </c>
    </row>
    <row r="1019" spans="1:17" x14ac:dyDescent="0.25">
      <c r="A1019" s="23" t="s">
        <v>1100</v>
      </c>
      <c r="B1019" s="23" t="s">
        <v>1101</v>
      </c>
      <c r="C1019" s="23" t="s">
        <v>176</v>
      </c>
      <c r="D1019" s="23" t="s">
        <v>395</v>
      </c>
      <c r="E1019" s="23" t="s">
        <v>396</v>
      </c>
      <c r="F1019">
        <v>1</v>
      </c>
      <c r="G1019" s="23" t="s">
        <v>177</v>
      </c>
      <c r="H1019">
        <v>0</v>
      </c>
      <c r="I1019">
        <v>17</v>
      </c>
      <c r="J1019" s="10">
        <v>3.0000000000000124</v>
      </c>
      <c r="K1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019">
        <v>0</v>
      </c>
      <c r="M10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019">
        <v>145.83000000000001</v>
      </c>
      <c r="O1019" s="23" t="s">
        <v>629</v>
      </c>
      <c r="P1019">
        <v>145.83000000000001</v>
      </c>
      <c r="Q1019" s="23" t="s">
        <v>184</v>
      </c>
    </row>
    <row r="1020" spans="1:17" x14ac:dyDescent="0.25">
      <c r="A1020" s="23" t="s">
        <v>1055</v>
      </c>
      <c r="B1020" s="23" t="s">
        <v>1056</v>
      </c>
      <c r="C1020" s="23" t="s">
        <v>176</v>
      </c>
      <c r="D1020" s="23" t="s">
        <v>356</v>
      </c>
      <c r="E1020" s="23" t="s">
        <v>357</v>
      </c>
      <c r="F1020">
        <v>16</v>
      </c>
      <c r="G1020" s="23" t="s">
        <v>177</v>
      </c>
      <c r="H1020">
        <v>0</v>
      </c>
      <c r="I1020">
        <v>4822</v>
      </c>
      <c r="J1020" s="10">
        <v>811</v>
      </c>
      <c r="K1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020">
        <v>0</v>
      </c>
      <c r="M10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0">
        <v>0.3</v>
      </c>
      <c r="O1020" s="23" t="s">
        <v>242</v>
      </c>
      <c r="P1020">
        <v>4.8</v>
      </c>
      <c r="Q1020" s="23" t="s">
        <v>181</v>
      </c>
    </row>
    <row r="1021" spans="1:17" x14ac:dyDescent="0.25">
      <c r="A1021" s="23" t="s">
        <v>1100</v>
      </c>
      <c r="B1021" s="23" t="s">
        <v>1101</v>
      </c>
      <c r="C1021" s="23" t="s">
        <v>176</v>
      </c>
      <c r="D1021" s="23" t="s">
        <v>652</v>
      </c>
      <c r="E1021" s="23" t="s">
        <v>653</v>
      </c>
      <c r="F1021">
        <v>31</v>
      </c>
      <c r="G1021" s="23" t="s">
        <v>177</v>
      </c>
      <c r="H1021">
        <v>0</v>
      </c>
      <c r="I1021">
        <v>976</v>
      </c>
      <c r="J1021" s="10">
        <v>167</v>
      </c>
      <c r="K1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21">
        <v>0</v>
      </c>
      <c r="M10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1">
        <v>3.46</v>
      </c>
      <c r="O1021" s="23" t="s">
        <v>883</v>
      </c>
      <c r="P1021">
        <v>107.26</v>
      </c>
      <c r="Q1021" s="23" t="s">
        <v>181</v>
      </c>
    </row>
    <row r="1022" spans="1:17" x14ac:dyDescent="0.25">
      <c r="A1022" s="23" t="s">
        <v>1058</v>
      </c>
      <c r="B1022" s="23" t="s">
        <v>1059</v>
      </c>
      <c r="C1022" s="23" t="s">
        <v>176</v>
      </c>
      <c r="D1022" s="23" t="s">
        <v>385</v>
      </c>
      <c r="E1022" s="23" t="s">
        <v>386</v>
      </c>
      <c r="F1022">
        <v>37</v>
      </c>
      <c r="G1022" s="23" t="s">
        <v>177</v>
      </c>
      <c r="H1022">
        <v>0</v>
      </c>
      <c r="I1022">
        <v>495</v>
      </c>
      <c r="J1022" s="10">
        <v>146</v>
      </c>
      <c r="K1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22">
        <v>0</v>
      </c>
      <c r="M10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2">
        <v>3.75</v>
      </c>
      <c r="O1022" s="23" t="s">
        <v>629</v>
      </c>
      <c r="P1022">
        <v>138.75</v>
      </c>
      <c r="Q1022" s="23" t="s">
        <v>181</v>
      </c>
    </row>
    <row r="1023" spans="1:17" x14ac:dyDescent="0.25">
      <c r="A1023" s="23" t="s">
        <v>1146</v>
      </c>
      <c r="B1023" s="23" t="s">
        <v>1145</v>
      </c>
      <c r="C1023" s="23" t="s">
        <v>176</v>
      </c>
      <c r="D1023" s="23" t="s">
        <v>356</v>
      </c>
      <c r="E1023" s="23" t="s">
        <v>357</v>
      </c>
      <c r="F1023">
        <v>16</v>
      </c>
      <c r="G1023" s="23" t="s">
        <v>177</v>
      </c>
      <c r="H1023">
        <v>0</v>
      </c>
      <c r="I1023">
        <v>4822</v>
      </c>
      <c r="J1023" s="10">
        <v>811</v>
      </c>
      <c r="K1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023">
        <v>0</v>
      </c>
      <c r="M10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3">
        <v>0.3</v>
      </c>
      <c r="O1023" s="23" t="s">
        <v>242</v>
      </c>
      <c r="P1023">
        <v>4.8</v>
      </c>
      <c r="Q1023" s="23" t="s">
        <v>181</v>
      </c>
    </row>
    <row r="1024" spans="1:17" x14ac:dyDescent="0.25">
      <c r="A1024" s="23" t="s">
        <v>1144</v>
      </c>
      <c r="B1024" s="23" t="s">
        <v>1145</v>
      </c>
      <c r="C1024" s="23" t="s">
        <v>176</v>
      </c>
      <c r="D1024" s="23" t="s">
        <v>652</v>
      </c>
      <c r="E1024" s="23" t="s">
        <v>653</v>
      </c>
      <c r="F1024">
        <v>31</v>
      </c>
      <c r="G1024" s="23" t="s">
        <v>177</v>
      </c>
      <c r="H1024">
        <v>0</v>
      </c>
      <c r="I1024">
        <v>976</v>
      </c>
      <c r="J1024" s="10">
        <v>167</v>
      </c>
      <c r="K1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024">
        <v>0</v>
      </c>
      <c r="M10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4">
        <v>3.46</v>
      </c>
      <c r="O1024" s="23" t="s">
        <v>883</v>
      </c>
      <c r="P1024">
        <v>107.26</v>
      </c>
      <c r="Q1024" s="23" t="s">
        <v>181</v>
      </c>
    </row>
    <row r="1025" spans="1:17" x14ac:dyDescent="0.25">
      <c r="A1025" s="23" t="s">
        <v>1150</v>
      </c>
      <c r="B1025" s="23" t="s">
        <v>1145</v>
      </c>
      <c r="C1025" s="23" t="s">
        <v>176</v>
      </c>
      <c r="D1025" s="23" t="s">
        <v>385</v>
      </c>
      <c r="E1025" s="23" t="s">
        <v>386</v>
      </c>
      <c r="F1025">
        <v>37</v>
      </c>
      <c r="G1025" s="23" t="s">
        <v>177</v>
      </c>
      <c r="H1025">
        <v>0</v>
      </c>
      <c r="I1025">
        <v>495</v>
      </c>
      <c r="J1025" s="10">
        <v>146</v>
      </c>
      <c r="K1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25">
        <v>0</v>
      </c>
      <c r="M10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5">
        <v>3.75</v>
      </c>
      <c r="O1025" s="23" t="s">
        <v>629</v>
      </c>
      <c r="P1025">
        <v>138.75</v>
      </c>
      <c r="Q1025" s="23" t="s">
        <v>181</v>
      </c>
    </row>
    <row r="1026" spans="1:17" x14ac:dyDescent="0.25">
      <c r="A1026" s="23" t="s">
        <v>1094</v>
      </c>
      <c r="B1026" s="23" t="s">
        <v>1095</v>
      </c>
      <c r="C1026" s="23" t="s">
        <v>176</v>
      </c>
      <c r="D1026" s="23" t="s">
        <v>64</v>
      </c>
      <c r="E1026" s="23" t="s">
        <v>65</v>
      </c>
      <c r="F1026">
        <v>2</v>
      </c>
      <c r="G1026" s="23" t="s">
        <v>177</v>
      </c>
      <c r="H1026">
        <v>0</v>
      </c>
      <c r="I1026">
        <v>38</v>
      </c>
      <c r="J1026" s="10">
        <v>10</v>
      </c>
      <c r="K1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26">
        <v>0</v>
      </c>
      <c r="M10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6">
        <v>95</v>
      </c>
      <c r="O1026" s="23" t="s">
        <v>218</v>
      </c>
      <c r="P1026">
        <v>190</v>
      </c>
      <c r="Q1026" s="23" t="s">
        <v>181</v>
      </c>
    </row>
    <row r="1027" spans="1:17" x14ac:dyDescent="0.25">
      <c r="A1027" s="23" t="s">
        <v>1143</v>
      </c>
      <c r="B1027" s="23" t="s">
        <v>1054</v>
      </c>
      <c r="C1027" s="23" t="s">
        <v>176</v>
      </c>
      <c r="D1027" s="23" t="s">
        <v>64</v>
      </c>
      <c r="E1027" s="23" t="s">
        <v>65</v>
      </c>
      <c r="F1027">
        <v>1</v>
      </c>
      <c r="G1027" s="23" t="s">
        <v>177</v>
      </c>
      <c r="H1027">
        <v>0</v>
      </c>
      <c r="I1027">
        <v>38</v>
      </c>
      <c r="J1027" s="10">
        <v>10</v>
      </c>
      <c r="K1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027">
        <v>0</v>
      </c>
      <c r="M10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7">
        <v>95</v>
      </c>
      <c r="O1027" s="23" t="s">
        <v>218</v>
      </c>
      <c r="P1027">
        <v>95</v>
      </c>
      <c r="Q1027" s="23" t="s">
        <v>181</v>
      </c>
    </row>
    <row r="1028" spans="1:17" x14ac:dyDescent="0.25">
      <c r="A1028" s="23" t="s">
        <v>1057</v>
      </c>
      <c r="B1028" s="23" t="s">
        <v>1056</v>
      </c>
      <c r="C1028" s="23" t="s">
        <v>176</v>
      </c>
      <c r="D1028" s="23" t="s">
        <v>529</v>
      </c>
      <c r="E1028" s="23" t="s">
        <v>530</v>
      </c>
      <c r="F1028">
        <v>3</v>
      </c>
      <c r="G1028" s="23" t="s">
        <v>177</v>
      </c>
      <c r="H1028">
        <v>0</v>
      </c>
      <c r="I1028">
        <v>1800</v>
      </c>
      <c r="J1028" s="10">
        <v>773</v>
      </c>
      <c r="K1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28">
        <v>0</v>
      </c>
      <c r="M10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8">
        <v>0.8</v>
      </c>
      <c r="O1028" s="23" t="s">
        <v>242</v>
      </c>
      <c r="P1028">
        <v>2.4000000000000004</v>
      </c>
      <c r="Q1028" s="23" t="s">
        <v>181</v>
      </c>
    </row>
    <row r="1029" spans="1:17" x14ac:dyDescent="0.25">
      <c r="A1029" s="23" t="s">
        <v>1096</v>
      </c>
      <c r="B1029" s="23" t="s">
        <v>1053</v>
      </c>
      <c r="C1029" s="23" t="s">
        <v>176</v>
      </c>
      <c r="D1029" s="23" t="s">
        <v>529</v>
      </c>
      <c r="E1029" s="23" t="s">
        <v>530</v>
      </c>
      <c r="F1029">
        <v>21</v>
      </c>
      <c r="G1029" s="23" t="s">
        <v>177</v>
      </c>
      <c r="H1029">
        <v>0</v>
      </c>
      <c r="I1029">
        <v>1800</v>
      </c>
      <c r="J1029" s="10">
        <v>773</v>
      </c>
      <c r="K1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29">
        <v>0</v>
      </c>
      <c r="M10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29">
        <v>0.8</v>
      </c>
      <c r="O1029" s="23" t="s">
        <v>242</v>
      </c>
      <c r="P1029">
        <v>16.8</v>
      </c>
      <c r="Q1029" s="23" t="s">
        <v>181</v>
      </c>
    </row>
    <row r="1030" spans="1:17" x14ac:dyDescent="0.25">
      <c r="A1030" s="23" t="s">
        <v>1094</v>
      </c>
      <c r="B1030" s="23" t="s">
        <v>1095</v>
      </c>
      <c r="C1030" s="23" t="s">
        <v>176</v>
      </c>
      <c r="D1030" s="23" t="s">
        <v>529</v>
      </c>
      <c r="E1030" s="23" t="s">
        <v>530</v>
      </c>
      <c r="F1030">
        <v>18</v>
      </c>
      <c r="G1030" s="23" t="s">
        <v>177</v>
      </c>
      <c r="H1030">
        <v>0</v>
      </c>
      <c r="I1030">
        <v>1800</v>
      </c>
      <c r="J1030" s="10">
        <v>773</v>
      </c>
      <c r="K1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1030">
        <v>0</v>
      </c>
      <c r="M10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0">
        <v>0.8</v>
      </c>
      <c r="O1030" s="23" t="s">
        <v>242</v>
      </c>
      <c r="P1030">
        <v>14.4</v>
      </c>
      <c r="Q1030" s="23" t="s">
        <v>181</v>
      </c>
    </row>
    <row r="1031" spans="1:17" x14ac:dyDescent="0.25">
      <c r="A1031" s="23" t="s">
        <v>1057</v>
      </c>
      <c r="B1031" s="23" t="s">
        <v>1056</v>
      </c>
      <c r="C1031" s="23" t="s">
        <v>176</v>
      </c>
      <c r="D1031" s="23" t="s">
        <v>531</v>
      </c>
      <c r="E1031" s="23" t="s">
        <v>532</v>
      </c>
      <c r="F1031">
        <v>0.5</v>
      </c>
      <c r="G1031" s="23" t="s">
        <v>177</v>
      </c>
      <c r="H1031">
        <v>0</v>
      </c>
      <c r="I1031">
        <v>5</v>
      </c>
      <c r="J1031" s="10">
        <v>9.7999999999999936</v>
      </c>
      <c r="K1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1031">
        <v>0</v>
      </c>
      <c r="M10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1031">
        <v>38</v>
      </c>
      <c r="O1031" s="23" t="s">
        <v>242</v>
      </c>
      <c r="P1031">
        <v>19</v>
      </c>
      <c r="Q1031" s="23" t="s">
        <v>181</v>
      </c>
    </row>
    <row r="1032" spans="1:17" x14ac:dyDescent="0.25">
      <c r="A1032" s="23" t="s">
        <v>1142</v>
      </c>
      <c r="B1032" s="23" t="s">
        <v>1054</v>
      </c>
      <c r="C1032" s="23" t="s">
        <v>176</v>
      </c>
      <c r="D1032" s="23" t="s">
        <v>46</v>
      </c>
      <c r="E1032" s="23" t="s">
        <v>47</v>
      </c>
      <c r="F1032">
        <v>4</v>
      </c>
      <c r="G1032" s="23" t="s">
        <v>177</v>
      </c>
      <c r="H1032">
        <v>0</v>
      </c>
      <c r="I1032">
        <v>83</v>
      </c>
      <c r="J1032" s="10">
        <v>52</v>
      </c>
      <c r="K1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032">
        <v>0</v>
      </c>
      <c r="M10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2">
        <v>170</v>
      </c>
      <c r="O1032" s="23" t="s">
        <v>247</v>
      </c>
      <c r="P1032">
        <v>680</v>
      </c>
      <c r="Q1032" s="23" t="s">
        <v>181</v>
      </c>
    </row>
    <row r="1033" spans="1:17" x14ac:dyDescent="0.25">
      <c r="A1033" s="23" t="s">
        <v>1057</v>
      </c>
      <c r="B1033" s="23" t="s">
        <v>1056</v>
      </c>
      <c r="C1033" s="23" t="s">
        <v>176</v>
      </c>
      <c r="D1033" s="23" t="s">
        <v>723</v>
      </c>
      <c r="E1033" s="23" t="s">
        <v>724</v>
      </c>
      <c r="F1033">
        <v>8</v>
      </c>
      <c r="G1033" s="23" t="s">
        <v>177</v>
      </c>
      <c r="H1033">
        <v>8</v>
      </c>
      <c r="I1033">
        <v>1278</v>
      </c>
      <c r="J1033" s="10">
        <v>690</v>
      </c>
      <c r="K1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33">
        <v>0</v>
      </c>
      <c r="M10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3">
        <v>0.55000000000000004</v>
      </c>
      <c r="O1033" s="23" t="s">
        <v>242</v>
      </c>
      <c r="P1033">
        <v>4.4000000000000004</v>
      </c>
      <c r="Q1033" s="23" t="s">
        <v>181</v>
      </c>
    </row>
    <row r="1034" spans="1:17" x14ac:dyDescent="0.25">
      <c r="A1034" s="23" t="s">
        <v>1100</v>
      </c>
      <c r="B1034" s="23" t="s">
        <v>1101</v>
      </c>
      <c r="C1034" s="23" t="s">
        <v>176</v>
      </c>
      <c r="D1034" s="23" t="s">
        <v>531</v>
      </c>
      <c r="E1034" s="23" t="s">
        <v>532</v>
      </c>
      <c r="F1034">
        <v>0.25</v>
      </c>
      <c r="G1034" s="23" t="s">
        <v>177</v>
      </c>
      <c r="H1034">
        <v>0</v>
      </c>
      <c r="I1034">
        <v>5</v>
      </c>
      <c r="J1034" s="10">
        <v>9.7999999999999936</v>
      </c>
      <c r="K1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1034">
        <v>0</v>
      </c>
      <c r="M10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1034">
        <v>38</v>
      </c>
      <c r="O1034" s="23" t="s">
        <v>242</v>
      </c>
      <c r="P1034">
        <v>9.5</v>
      </c>
      <c r="Q1034" s="23" t="s">
        <v>181</v>
      </c>
    </row>
    <row r="1035" spans="1:17" x14ac:dyDescent="0.25">
      <c r="A1035" s="23" t="s">
        <v>1100</v>
      </c>
      <c r="B1035" s="23" t="s">
        <v>1101</v>
      </c>
      <c r="C1035" s="23" t="s">
        <v>176</v>
      </c>
      <c r="D1035" s="23" t="s">
        <v>371</v>
      </c>
      <c r="E1035" s="23" t="s">
        <v>372</v>
      </c>
      <c r="F1035">
        <v>8</v>
      </c>
      <c r="G1035" s="23" t="s">
        <v>177</v>
      </c>
      <c r="H1035">
        <v>0</v>
      </c>
      <c r="I1035">
        <v>196</v>
      </c>
      <c r="J1035" s="10">
        <v>31</v>
      </c>
      <c r="K1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035">
        <v>0</v>
      </c>
      <c r="M10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1035">
        <v>20</v>
      </c>
      <c r="O1035" s="23" t="s">
        <v>242</v>
      </c>
      <c r="P1035">
        <v>160</v>
      </c>
      <c r="Q1035" s="23" t="s">
        <v>181</v>
      </c>
    </row>
    <row r="1036" spans="1:17" x14ac:dyDescent="0.25">
      <c r="A1036" s="23" t="s">
        <v>1142</v>
      </c>
      <c r="B1036" s="23" t="s">
        <v>1054</v>
      </c>
      <c r="C1036" s="23" t="s">
        <v>176</v>
      </c>
      <c r="D1036" s="23" t="s">
        <v>531</v>
      </c>
      <c r="E1036" s="23" t="s">
        <v>532</v>
      </c>
      <c r="F1036">
        <v>0.35</v>
      </c>
      <c r="G1036" s="23" t="s">
        <v>177</v>
      </c>
      <c r="H1036">
        <v>0</v>
      </c>
      <c r="I1036">
        <v>5</v>
      </c>
      <c r="J1036" s="10">
        <v>9.7999999999999936</v>
      </c>
      <c r="K1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1036">
        <v>0</v>
      </c>
      <c r="M10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1036">
        <v>38</v>
      </c>
      <c r="O1036" s="23" t="s">
        <v>242</v>
      </c>
      <c r="P1036">
        <v>13.299999999999999</v>
      </c>
      <c r="Q1036" s="23" t="s">
        <v>181</v>
      </c>
    </row>
    <row r="1037" spans="1:17" x14ac:dyDescent="0.25">
      <c r="A1037" s="23" t="s">
        <v>1142</v>
      </c>
      <c r="B1037" s="23" t="s">
        <v>1054</v>
      </c>
      <c r="C1037" s="23" t="s">
        <v>176</v>
      </c>
      <c r="D1037" s="23" t="s">
        <v>371</v>
      </c>
      <c r="E1037" s="23" t="s">
        <v>372</v>
      </c>
      <c r="F1037">
        <v>10</v>
      </c>
      <c r="G1037" s="23" t="s">
        <v>177</v>
      </c>
      <c r="H1037">
        <v>0</v>
      </c>
      <c r="I1037">
        <v>196</v>
      </c>
      <c r="J1037" s="10">
        <v>31</v>
      </c>
      <c r="K1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037">
        <v>0</v>
      </c>
      <c r="M10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1037">
        <v>20</v>
      </c>
      <c r="O1037" s="23" t="s">
        <v>242</v>
      </c>
      <c r="P1037">
        <v>200</v>
      </c>
      <c r="Q1037" s="23" t="s">
        <v>181</v>
      </c>
    </row>
    <row r="1038" spans="1:17" x14ac:dyDescent="0.25">
      <c r="A1038" s="23" t="s">
        <v>1142</v>
      </c>
      <c r="B1038" s="23" t="s">
        <v>1054</v>
      </c>
      <c r="C1038" s="23" t="s">
        <v>176</v>
      </c>
      <c r="D1038" s="23" t="s">
        <v>723</v>
      </c>
      <c r="E1038" s="23" t="s">
        <v>724</v>
      </c>
      <c r="F1038">
        <v>8</v>
      </c>
      <c r="G1038" s="23" t="s">
        <v>177</v>
      </c>
      <c r="H1038">
        <v>0</v>
      </c>
      <c r="I1038">
        <v>1278</v>
      </c>
      <c r="J1038" s="10">
        <v>690</v>
      </c>
      <c r="K1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38">
        <v>0</v>
      </c>
      <c r="M10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8">
        <v>0.55000000000000004</v>
      </c>
      <c r="O1038" s="23" t="s">
        <v>242</v>
      </c>
      <c r="P1038">
        <v>4.4000000000000004</v>
      </c>
      <c r="Q1038" s="23" t="s">
        <v>181</v>
      </c>
    </row>
    <row r="1039" spans="1:17" x14ac:dyDescent="0.25">
      <c r="A1039" s="23" t="s">
        <v>1142</v>
      </c>
      <c r="B1039" s="23" t="s">
        <v>1054</v>
      </c>
      <c r="C1039" s="23" t="s">
        <v>176</v>
      </c>
      <c r="D1039" s="23" t="s">
        <v>1192</v>
      </c>
      <c r="E1039" s="23" t="s">
        <v>1193</v>
      </c>
      <c r="F1039">
        <v>0.1</v>
      </c>
      <c r="G1039" s="23" t="s">
        <v>186</v>
      </c>
      <c r="H1039">
        <v>0</v>
      </c>
      <c r="I1039">
        <v>32</v>
      </c>
      <c r="J1039" s="10">
        <v>60</v>
      </c>
      <c r="K1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039">
        <v>0</v>
      </c>
      <c r="M10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39">
        <v>110</v>
      </c>
      <c r="O1039" s="23" t="s">
        <v>1194</v>
      </c>
      <c r="P1039">
        <v>11</v>
      </c>
      <c r="Q1039" s="23" t="s">
        <v>184</v>
      </c>
    </row>
    <row r="1040" spans="1:17" x14ac:dyDescent="0.25">
      <c r="A1040" s="23" t="s">
        <v>1058</v>
      </c>
      <c r="B1040" s="23" t="s">
        <v>1059</v>
      </c>
      <c r="C1040" s="23" t="s">
        <v>176</v>
      </c>
      <c r="D1040" s="23" t="s">
        <v>371</v>
      </c>
      <c r="E1040" s="23" t="s">
        <v>372</v>
      </c>
      <c r="F1040">
        <v>10</v>
      </c>
      <c r="G1040" s="23" t="s">
        <v>177</v>
      </c>
      <c r="H1040">
        <v>0</v>
      </c>
      <c r="I1040">
        <v>196</v>
      </c>
      <c r="J1040" s="10">
        <v>31</v>
      </c>
      <c r="K1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040">
        <v>0</v>
      </c>
      <c r="M10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1040">
        <v>20</v>
      </c>
      <c r="O1040" s="23" t="s">
        <v>242</v>
      </c>
      <c r="P1040">
        <v>200</v>
      </c>
      <c r="Q1040" s="23" t="s">
        <v>181</v>
      </c>
    </row>
    <row r="1041" spans="1:17" x14ac:dyDescent="0.25">
      <c r="A1041" s="23" t="s">
        <v>1147</v>
      </c>
      <c r="B1041" s="23" t="s">
        <v>1145</v>
      </c>
      <c r="C1041" s="23" t="s">
        <v>176</v>
      </c>
      <c r="D1041" s="23" t="s">
        <v>46</v>
      </c>
      <c r="E1041" s="23" t="s">
        <v>47</v>
      </c>
      <c r="F1041">
        <v>4</v>
      </c>
      <c r="G1041" s="23" t="s">
        <v>177</v>
      </c>
      <c r="H1041">
        <v>0</v>
      </c>
      <c r="I1041">
        <v>83</v>
      </c>
      <c r="J1041" s="10">
        <v>52</v>
      </c>
      <c r="K1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041">
        <v>0</v>
      </c>
      <c r="M10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1">
        <v>170</v>
      </c>
      <c r="O1041" s="23" t="s">
        <v>247</v>
      </c>
      <c r="P1041">
        <v>680</v>
      </c>
      <c r="Q1041" s="23" t="s">
        <v>181</v>
      </c>
    </row>
    <row r="1042" spans="1:17" x14ac:dyDescent="0.25">
      <c r="A1042" s="23" t="s">
        <v>1058</v>
      </c>
      <c r="B1042" s="23" t="s">
        <v>1059</v>
      </c>
      <c r="C1042" s="23" t="s">
        <v>176</v>
      </c>
      <c r="D1042" s="23" t="s">
        <v>723</v>
      </c>
      <c r="E1042" s="23" t="s">
        <v>724</v>
      </c>
      <c r="F1042">
        <v>16</v>
      </c>
      <c r="G1042" s="23" t="s">
        <v>177</v>
      </c>
      <c r="H1042">
        <v>0</v>
      </c>
      <c r="I1042">
        <v>1278</v>
      </c>
      <c r="J1042" s="10">
        <v>690</v>
      </c>
      <c r="K1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42">
        <v>0</v>
      </c>
      <c r="M10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2">
        <v>0.55000000000000004</v>
      </c>
      <c r="O1042" s="23" t="s">
        <v>242</v>
      </c>
      <c r="P1042">
        <v>8.8000000000000007</v>
      </c>
      <c r="Q1042" s="23" t="s">
        <v>181</v>
      </c>
    </row>
    <row r="1043" spans="1:17" x14ac:dyDescent="0.25">
      <c r="A1043" s="23" t="s">
        <v>1150</v>
      </c>
      <c r="B1043" s="23" t="s">
        <v>1145</v>
      </c>
      <c r="C1043" s="23" t="s">
        <v>176</v>
      </c>
      <c r="D1043" s="23" t="s">
        <v>723</v>
      </c>
      <c r="E1043" s="23" t="s">
        <v>724</v>
      </c>
      <c r="F1043">
        <v>16</v>
      </c>
      <c r="G1043" s="23" t="s">
        <v>177</v>
      </c>
      <c r="H1043">
        <v>0</v>
      </c>
      <c r="I1043">
        <v>1278</v>
      </c>
      <c r="J1043" s="10">
        <v>690</v>
      </c>
      <c r="K1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43">
        <v>0</v>
      </c>
      <c r="M10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3">
        <v>0.55000000000000004</v>
      </c>
      <c r="O1043" s="23" t="s">
        <v>242</v>
      </c>
      <c r="P1043">
        <v>8.8000000000000007</v>
      </c>
      <c r="Q1043" s="23" t="s">
        <v>181</v>
      </c>
    </row>
    <row r="1044" spans="1:17" x14ac:dyDescent="0.25">
      <c r="A1044" s="23" t="s">
        <v>1148</v>
      </c>
      <c r="B1044" s="23" t="s">
        <v>1054</v>
      </c>
      <c r="C1044" s="23" t="s">
        <v>176</v>
      </c>
      <c r="D1044" s="23" t="s">
        <v>46</v>
      </c>
      <c r="E1044" s="23" t="s">
        <v>47</v>
      </c>
      <c r="F1044">
        <v>4</v>
      </c>
      <c r="G1044" s="23" t="s">
        <v>177</v>
      </c>
      <c r="H1044">
        <v>0</v>
      </c>
      <c r="I1044">
        <v>83</v>
      </c>
      <c r="J1044" s="10">
        <v>52</v>
      </c>
      <c r="K1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044">
        <v>0</v>
      </c>
      <c r="M10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4">
        <v>170</v>
      </c>
      <c r="O1044" s="23" t="s">
        <v>247</v>
      </c>
      <c r="P1044">
        <v>680</v>
      </c>
      <c r="Q1044" s="23" t="s">
        <v>181</v>
      </c>
    </row>
    <row r="1045" spans="1:17" x14ac:dyDescent="0.25">
      <c r="A1045" s="23" t="s">
        <v>1146</v>
      </c>
      <c r="B1045" s="23" t="s">
        <v>1145</v>
      </c>
      <c r="C1045" s="23" t="s">
        <v>176</v>
      </c>
      <c r="D1045" s="23" t="s">
        <v>723</v>
      </c>
      <c r="E1045" s="23" t="s">
        <v>724</v>
      </c>
      <c r="F1045">
        <v>8</v>
      </c>
      <c r="G1045" s="23" t="s">
        <v>177</v>
      </c>
      <c r="H1045">
        <v>0</v>
      </c>
      <c r="I1045">
        <v>1278</v>
      </c>
      <c r="J1045" s="10">
        <v>690</v>
      </c>
      <c r="K1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45">
        <v>0</v>
      </c>
      <c r="M10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5">
        <v>0.55000000000000004</v>
      </c>
      <c r="O1045" s="23" t="s">
        <v>242</v>
      </c>
      <c r="P1045">
        <v>4.4000000000000004</v>
      </c>
      <c r="Q1045" s="23" t="s">
        <v>181</v>
      </c>
    </row>
    <row r="1046" spans="1:17" x14ac:dyDescent="0.25">
      <c r="A1046" s="23" t="s">
        <v>1144</v>
      </c>
      <c r="B1046" s="23" t="s">
        <v>1145</v>
      </c>
      <c r="C1046" s="23" t="s">
        <v>176</v>
      </c>
      <c r="D1046" s="23" t="s">
        <v>723</v>
      </c>
      <c r="E1046" s="23" t="s">
        <v>724</v>
      </c>
      <c r="F1046">
        <v>16</v>
      </c>
      <c r="G1046" s="23" t="s">
        <v>177</v>
      </c>
      <c r="H1046">
        <v>0</v>
      </c>
      <c r="I1046">
        <v>1278</v>
      </c>
      <c r="J1046" s="10">
        <v>690</v>
      </c>
      <c r="K1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46">
        <v>0</v>
      </c>
      <c r="M10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6">
        <v>0.55000000000000004</v>
      </c>
      <c r="O1046" s="23" t="s">
        <v>242</v>
      </c>
      <c r="P1046">
        <v>8.8000000000000007</v>
      </c>
      <c r="Q1046" s="23" t="s">
        <v>181</v>
      </c>
    </row>
    <row r="1047" spans="1:17" x14ac:dyDescent="0.25">
      <c r="A1047" s="23" t="s">
        <v>1149</v>
      </c>
      <c r="B1047" s="23" t="s">
        <v>1145</v>
      </c>
      <c r="C1047" s="23" t="s">
        <v>176</v>
      </c>
      <c r="D1047" s="23" t="s">
        <v>1192</v>
      </c>
      <c r="E1047" s="23" t="s">
        <v>1193</v>
      </c>
      <c r="F1047">
        <v>0.1</v>
      </c>
      <c r="G1047" s="23" t="s">
        <v>186</v>
      </c>
      <c r="H1047">
        <v>0</v>
      </c>
      <c r="I1047">
        <v>32</v>
      </c>
      <c r="J1047" s="10">
        <v>60</v>
      </c>
      <c r="K1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047">
        <v>0</v>
      </c>
      <c r="M10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7">
        <v>110</v>
      </c>
      <c r="O1047" s="23" t="s">
        <v>1194</v>
      </c>
      <c r="P1047">
        <v>11</v>
      </c>
      <c r="Q1047" s="23" t="s">
        <v>184</v>
      </c>
    </row>
    <row r="1048" spans="1:17" x14ac:dyDescent="0.25">
      <c r="A1048" s="23" t="s">
        <v>1149</v>
      </c>
      <c r="B1048" s="23" t="s">
        <v>1145</v>
      </c>
      <c r="C1048" s="23" t="s">
        <v>176</v>
      </c>
      <c r="D1048" s="23" t="s">
        <v>350</v>
      </c>
      <c r="E1048" s="23" t="s">
        <v>351</v>
      </c>
      <c r="F1048">
        <v>0.5</v>
      </c>
      <c r="G1048" s="23" t="s">
        <v>177</v>
      </c>
      <c r="H1048">
        <v>0</v>
      </c>
      <c r="I1048">
        <v>12</v>
      </c>
      <c r="J1048" s="10">
        <v>3</v>
      </c>
      <c r="K1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048">
        <v>0</v>
      </c>
      <c r="M10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8">
        <v>130</v>
      </c>
      <c r="O1048" s="23" t="s">
        <v>227</v>
      </c>
      <c r="P1048">
        <v>65</v>
      </c>
      <c r="Q1048" s="23" t="s">
        <v>184</v>
      </c>
    </row>
    <row r="1049" spans="1:17" x14ac:dyDescent="0.25">
      <c r="A1049" s="23" t="s">
        <v>1100</v>
      </c>
      <c r="B1049" s="23" t="s">
        <v>1101</v>
      </c>
      <c r="C1049" s="23" t="s">
        <v>176</v>
      </c>
      <c r="D1049" s="23" t="s">
        <v>350</v>
      </c>
      <c r="E1049" s="23" t="s">
        <v>351</v>
      </c>
      <c r="F1049">
        <v>0.5</v>
      </c>
      <c r="G1049" s="23" t="s">
        <v>177</v>
      </c>
      <c r="H1049">
        <v>0</v>
      </c>
      <c r="I1049">
        <v>12</v>
      </c>
      <c r="J1049" s="10">
        <v>3</v>
      </c>
      <c r="K1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049">
        <v>0</v>
      </c>
      <c r="M10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49">
        <v>130</v>
      </c>
      <c r="O1049" s="23" t="s">
        <v>227</v>
      </c>
      <c r="P1049">
        <v>65</v>
      </c>
      <c r="Q1049" s="23" t="s">
        <v>184</v>
      </c>
    </row>
    <row r="1050" spans="1:17" x14ac:dyDescent="0.25">
      <c r="A1050" s="23" t="s">
        <v>1055</v>
      </c>
      <c r="B1050" s="23" t="s">
        <v>1056</v>
      </c>
      <c r="C1050" s="23" t="s">
        <v>176</v>
      </c>
      <c r="D1050" s="23" t="s">
        <v>87</v>
      </c>
      <c r="E1050" s="23" t="s">
        <v>88</v>
      </c>
      <c r="F1050">
        <v>9</v>
      </c>
      <c r="G1050" s="23" t="s">
        <v>177</v>
      </c>
      <c r="H1050">
        <v>0</v>
      </c>
      <c r="I1050">
        <v>48</v>
      </c>
      <c r="J1050" s="10">
        <v>7.1054273576010019E-15</v>
      </c>
      <c r="K1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050">
        <v>0</v>
      </c>
      <c r="M10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050">
        <v>100</v>
      </c>
      <c r="O1050" s="23" t="s">
        <v>242</v>
      </c>
      <c r="P1050">
        <v>900</v>
      </c>
      <c r="Q1050" s="23" t="s">
        <v>184</v>
      </c>
    </row>
    <row r="1051" spans="1:17" x14ac:dyDescent="0.25">
      <c r="A1051" s="23" t="s">
        <v>1100</v>
      </c>
      <c r="B1051" s="23" t="s">
        <v>1101</v>
      </c>
      <c r="C1051" s="23" t="s">
        <v>176</v>
      </c>
      <c r="D1051" s="23" t="s">
        <v>46</v>
      </c>
      <c r="E1051" s="23" t="s">
        <v>47</v>
      </c>
      <c r="F1051">
        <v>4</v>
      </c>
      <c r="G1051" s="23" t="s">
        <v>177</v>
      </c>
      <c r="H1051">
        <v>0</v>
      </c>
      <c r="I1051">
        <v>83</v>
      </c>
      <c r="J1051" s="10">
        <v>52</v>
      </c>
      <c r="K1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051">
        <v>0</v>
      </c>
      <c r="M10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1">
        <v>170</v>
      </c>
      <c r="O1051" s="23" t="s">
        <v>247</v>
      </c>
      <c r="P1051">
        <v>680</v>
      </c>
      <c r="Q1051" s="23" t="s">
        <v>181</v>
      </c>
    </row>
    <row r="1052" spans="1:17" x14ac:dyDescent="0.25">
      <c r="A1052" s="23" t="s">
        <v>1147</v>
      </c>
      <c r="B1052" s="23" t="s">
        <v>1145</v>
      </c>
      <c r="C1052" s="23" t="s">
        <v>176</v>
      </c>
      <c r="D1052" s="23" t="s">
        <v>723</v>
      </c>
      <c r="E1052" s="23" t="s">
        <v>724</v>
      </c>
      <c r="F1052">
        <v>8</v>
      </c>
      <c r="G1052" s="23" t="s">
        <v>177</v>
      </c>
      <c r="H1052">
        <v>0</v>
      </c>
      <c r="I1052">
        <v>1278</v>
      </c>
      <c r="J1052" s="10">
        <v>690</v>
      </c>
      <c r="K1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052">
        <v>0</v>
      </c>
      <c r="M10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2">
        <v>0.55000000000000004</v>
      </c>
      <c r="O1052" s="23" t="s">
        <v>242</v>
      </c>
      <c r="P1052">
        <v>4.4000000000000004</v>
      </c>
      <c r="Q1052" s="23" t="s">
        <v>181</v>
      </c>
    </row>
    <row r="1053" spans="1:17" x14ac:dyDescent="0.25">
      <c r="A1053" s="23" t="s">
        <v>1142</v>
      </c>
      <c r="B1053" s="23" t="s">
        <v>1054</v>
      </c>
      <c r="C1053" s="23" t="s">
        <v>176</v>
      </c>
      <c r="D1053" s="23" t="s">
        <v>119</v>
      </c>
      <c r="E1053" s="23" t="s">
        <v>120</v>
      </c>
      <c r="F1053">
        <v>6</v>
      </c>
      <c r="G1053" s="23" t="s">
        <v>177</v>
      </c>
      <c r="H1053">
        <v>0</v>
      </c>
      <c r="I1053">
        <v>84</v>
      </c>
      <c r="J1053" s="10">
        <v>36</v>
      </c>
      <c r="K1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53">
        <v>0</v>
      </c>
      <c r="M10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53">
        <v>20</v>
      </c>
      <c r="O1053" s="23" t="s">
        <v>242</v>
      </c>
      <c r="P1053">
        <v>120</v>
      </c>
      <c r="Q1053" s="23" t="s">
        <v>179</v>
      </c>
    </row>
    <row r="1054" spans="1:17" x14ac:dyDescent="0.25">
      <c r="A1054" s="23" t="s">
        <v>1144</v>
      </c>
      <c r="B1054" s="23" t="s">
        <v>1145</v>
      </c>
      <c r="C1054" s="23" t="s">
        <v>176</v>
      </c>
      <c r="D1054" s="23" t="s">
        <v>117</v>
      </c>
      <c r="E1054" s="23" t="s">
        <v>118</v>
      </c>
      <c r="F1054">
        <v>108.87</v>
      </c>
      <c r="G1054" s="23" t="s">
        <v>186</v>
      </c>
      <c r="H1054">
        <v>0</v>
      </c>
      <c r="I1054">
        <v>1840</v>
      </c>
      <c r="J1054" s="10">
        <v>973.62000000000012</v>
      </c>
      <c r="K1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1054">
        <v>920</v>
      </c>
      <c r="M10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4">
        <v>94.86</v>
      </c>
      <c r="O1054" s="23" t="s">
        <v>491</v>
      </c>
      <c r="P1054">
        <v>10327.4082</v>
      </c>
      <c r="Q1054" s="23" t="s">
        <v>184</v>
      </c>
    </row>
    <row r="1055" spans="1:17" x14ac:dyDescent="0.25">
      <c r="A1055" s="23" t="s">
        <v>1149</v>
      </c>
      <c r="B1055" s="23" t="s">
        <v>1145</v>
      </c>
      <c r="C1055" s="23" t="s">
        <v>176</v>
      </c>
      <c r="D1055" s="23" t="s">
        <v>459</v>
      </c>
      <c r="E1055" s="23" t="s">
        <v>460</v>
      </c>
      <c r="F1055">
        <v>0.01</v>
      </c>
      <c r="G1055" s="23" t="s">
        <v>177</v>
      </c>
      <c r="H1055">
        <v>0</v>
      </c>
      <c r="I1055">
        <v>6</v>
      </c>
      <c r="J1055" s="10">
        <v>22.53</v>
      </c>
      <c r="K1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055">
        <v>0</v>
      </c>
      <c r="M10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5">
        <v>133</v>
      </c>
      <c r="O1055" s="23" t="s">
        <v>217</v>
      </c>
      <c r="P1055">
        <v>1.33</v>
      </c>
      <c r="Q1055" s="23" t="s">
        <v>184</v>
      </c>
    </row>
    <row r="1056" spans="1:17" x14ac:dyDescent="0.25">
      <c r="A1056" s="23" t="s">
        <v>1144</v>
      </c>
      <c r="B1056" s="23" t="s">
        <v>1145</v>
      </c>
      <c r="C1056" s="23" t="s">
        <v>176</v>
      </c>
      <c r="D1056" s="23" t="s">
        <v>119</v>
      </c>
      <c r="E1056" s="23" t="s">
        <v>120</v>
      </c>
      <c r="F1056">
        <v>6</v>
      </c>
      <c r="G1056" s="23" t="s">
        <v>177</v>
      </c>
      <c r="H1056">
        <v>0</v>
      </c>
      <c r="I1056">
        <v>84</v>
      </c>
      <c r="J1056" s="10">
        <v>36</v>
      </c>
      <c r="K1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56">
        <v>0</v>
      </c>
      <c r="M10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56">
        <v>20</v>
      </c>
      <c r="O1056" s="23" t="s">
        <v>242</v>
      </c>
      <c r="P1056">
        <v>120</v>
      </c>
      <c r="Q1056" s="23" t="s">
        <v>179</v>
      </c>
    </row>
    <row r="1057" spans="1:17" x14ac:dyDescent="0.25">
      <c r="A1057" s="23" t="s">
        <v>1146</v>
      </c>
      <c r="B1057" s="23" t="s">
        <v>1145</v>
      </c>
      <c r="C1057" s="23" t="s">
        <v>176</v>
      </c>
      <c r="D1057" s="23" t="s">
        <v>119</v>
      </c>
      <c r="E1057" s="23" t="s">
        <v>120</v>
      </c>
      <c r="F1057">
        <v>6</v>
      </c>
      <c r="G1057" s="23" t="s">
        <v>177</v>
      </c>
      <c r="H1057">
        <v>0</v>
      </c>
      <c r="I1057">
        <v>84</v>
      </c>
      <c r="J1057" s="10">
        <v>36</v>
      </c>
      <c r="K1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57">
        <v>0</v>
      </c>
      <c r="M10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57">
        <v>20</v>
      </c>
      <c r="O1057" s="23" t="s">
        <v>242</v>
      </c>
      <c r="P1057">
        <v>120</v>
      </c>
      <c r="Q1057" s="23" t="s">
        <v>179</v>
      </c>
    </row>
    <row r="1058" spans="1:17" x14ac:dyDescent="0.25">
      <c r="A1058" s="23" t="s">
        <v>1150</v>
      </c>
      <c r="B1058" s="23" t="s">
        <v>1145</v>
      </c>
      <c r="C1058" s="23" t="s">
        <v>176</v>
      </c>
      <c r="D1058" s="23" t="s">
        <v>52</v>
      </c>
      <c r="E1058" s="23" t="s">
        <v>53</v>
      </c>
      <c r="F1058">
        <v>1</v>
      </c>
      <c r="G1058" s="23" t="s">
        <v>177</v>
      </c>
      <c r="H1058">
        <v>0</v>
      </c>
      <c r="I1058">
        <v>5</v>
      </c>
      <c r="J1058" s="10">
        <v>10</v>
      </c>
      <c r="K1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058">
        <v>0</v>
      </c>
      <c r="M10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1058">
        <v>12234.43</v>
      </c>
      <c r="O1058" s="23" t="s">
        <v>216</v>
      </c>
      <c r="P1058">
        <v>12234.43</v>
      </c>
      <c r="Q1058" s="23" t="s">
        <v>222</v>
      </c>
    </row>
    <row r="1059" spans="1:17" x14ac:dyDescent="0.25">
      <c r="A1059" s="23" t="s">
        <v>1144</v>
      </c>
      <c r="B1059" s="23" t="s">
        <v>1145</v>
      </c>
      <c r="C1059" s="23" t="s">
        <v>176</v>
      </c>
      <c r="D1059" s="23" t="s">
        <v>407</v>
      </c>
      <c r="E1059" s="23" t="s">
        <v>408</v>
      </c>
      <c r="F1059">
        <v>2</v>
      </c>
      <c r="G1059" s="23" t="s">
        <v>177</v>
      </c>
      <c r="H1059">
        <v>0</v>
      </c>
      <c r="I1059">
        <v>35</v>
      </c>
      <c r="J1059" s="10">
        <v>61</v>
      </c>
      <c r="K1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1059">
        <v>0</v>
      </c>
      <c r="M10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59">
        <v>19.07</v>
      </c>
      <c r="O1059" s="23" t="s">
        <v>827</v>
      </c>
      <c r="P1059">
        <v>38.14</v>
      </c>
      <c r="Q1059" s="23" t="s">
        <v>222</v>
      </c>
    </row>
    <row r="1060" spans="1:17" x14ac:dyDescent="0.25">
      <c r="A1060" s="23" t="s">
        <v>1150</v>
      </c>
      <c r="B1060" s="23" t="s">
        <v>1145</v>
      </c>
      <c r="C1060" s="23" t="s">
        <v>176</v>
      </c>
      <c r="D1060" s="23" t="s">
        <v>117</v>
      </c>
      <c r="E1060" s="23" t="s">
        <v>118</v>
      </c>
      <c r="F1060">
        <v>108.87</v>
      </c>
      <c r="G1060" s="23" t="s">
        <v>186</v>
      </c>
      <c r="H1060">
        <v>0</v>
      </c>
      <c r="I1060">
        <v>1840</v>
      </c>
      <c r="J1060" s="10">
        <v>973.62000000000012</v>
      </c>
      <c r="K1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1060">
        <v>920</v>
      </c>
      <c r="M10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0">
        <v>94.86</v>
      </c>
      <c r="O1060" s="23" t="s">
        <v>491</v>
      </c>
      <c r="P1060">
        <v>10327.4082</v>
      </c>
      <c r="Q1060" s="23" t="s">
        <v>184</v>
      </c>
    </row>
    <row r="1061" spans="1:17" x14ac:dyDescent="0.25">
      <c r="A1061" s="23" t="s">
        <v>1144</v>
      </c>
      <c r="B1061" s="23" t="s">
        <v>1145</v>
      </c>
      <c r="C1061" s="23" t="s">
        <v>176</v>
      </c>
      <c r="D1061" s="23" t="s">
        <v>52</v>
      </c>
      <c r="E1061" s="23" t="s">
        <v>53</v>
      </c>
      <c r="F1061">
        <v>1</v>
      </c>
      <c r="G1061" s="23" t="s">
        <v>177</v>
      </c>
      <c r="H1061">
        <v>0</v>
      </c>
      <c r="I1061">
        <v>5</v>
      </c>
      <c r="J1061" s="10">
        <v>10</v>
      </c>
      <c r="K1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061">
        <v>0</v>
      </c>
      <c r="M10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1061">
        <v>12234.43</v>
      </c>
      <c r="O1061" s="23" t="s">
        <v>216</v>
      </c>
      <c r="P1061">
        <v>12234.43</v>
      </c>
      <c r="Q1061" s="23" t="s">
        <v>222</v>
      </c>
    </row>
    <row r="1062" spans="1:17" x14ac:dyDescent="0.25">
      <c r="A1062" s="23" t="s">
        <v>1146</v>
      </c>
      <c r="B1062" s="23" t="s">
        <v>1145</v>
      </c>
      <c r="C1062" s="23" t="s">
        <v>176</v>
      </c>
      <c r="D1062" s="23" t="s">
        <v>52</v>
      </c>
      <c r="E1062" s="23" t="s">
        <v>53</v>
      </c>
      <c r="F1062">
        <v>1</v>
      </c>
      <c r="G1062" s="23" t="s">
        <v>177</v>
      </c>
      <c r="H1062">
        <v>0</v>
      </c>
      <c r="I1062">
        <v>5</v>
      </c>
      <c r="J1062" s="10">
        <v>10</v>
      </c>
      <c r="K1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062">
        <v>0</v>
      </c>
      <c r="M10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1062">
        <v>12234.43</v>
      </c>
      <c r="O1062" s="23" t="s">
        <v>216</v>
      </c>
      <c r="P1062">
        <v>12234.43</v>
      </c>
      <c r="Q1062" s="23" t="s">
        <v>222</v>
      </c>
    </row>
    <row r="1063" spans="1:17" x14ac:dyDescent="0.25">
      <c r="A1063" s="23" t="s">
        <v>1149</v>
      </c>
      <c r="B1063" s="23" t="s">
        <v>1145</v>
      </c>
      <c r="C1063" s="23" t="s">
        <v>176</v>
      </c>
      <c r="D1063" s="23" t="s">
        <v>60</v>
      </c>
      <c r="E1063" s="23" t="s">
        <v>61</v>
      </c>
      <c r="F1063">
        <v>1</v>
      </c>
      <c r="G1063" s="23" t="s">
        <v>177</v>
      </c>
      <c r="H1063">
        <v>0</v>
      </c>
      <c r="I1063">
        <v>18</v>
      </c>
      <c r="J1063" s="10">
        <v>10</v>
      </c>
      <c r="K1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063">
        <v>0</v>
      </c>
      <c r="M10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3">
        <v>115.6</v>
      </c>
      <c r="O1063" s="23" t="s">
        <v>827</v>
      </c>
      <c r="P1063">
        <v>115.6</v>
      </c>
      <c r="Q1063" s="23" t="s">
        <v>222</v>
      </c>
    </row>
    <row r="1064" spans="1:17" x14ac:dyDescent="0.25">
      <c r="A1064" s="23" t="s">
        <v>1197</v>
      </c>
      <c r="B1064" s="23" t="s">
        <v>1198</v>
      </c>
      <c r="C1064" s="23" t="s">
        <v>176</v>
      </c>
      <c r="D1064" s="23" t="s">
        <v>806</v>
      </c>
      <c r="E1064" s="23" t="s">
        <v>807</v>
      </c>
      <c r="F1064">
        <v>1</v>
      </c>
      <c r="G1064" s="23" t="s">
        <v>177</v>
      </c>
      <c r="H1064">
        <v>0</v>
      </c>
      <c r="I1064">
        <v>14</v>
      </c>
      <c r="J1064" s="10">
        <v>1</v>
      </c>
      <c r="K1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064">
        <v>0</v>
      </c>
      <c r="M10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4">
        <v>458.33</v>
      </c>
      <c r="O1064" s="23" t="s">
        <v>629</v>
      </c>
      <c r="P1064">
        <v>458.33</v>
      </c>
      <c r="Q1064" s="23" t="s">
        <v>178</v>
      </c>
    </row>
    <row r="1065" spans="1:17" x14ac:dyDescent="0.25">
      <c r="A1065" s="23" t="s">
        <v>1062</v>
      </c>
      <c r="B1065" s="23" t="s">
        <v>1053</v>
      </c>
      <c r="C1065" s="23" t="s">
        <v>176</v>
      </c>
      <c r="D1065" s="23" t="s">
        <v>459</v>
      </c>
      <c r="E1065" s="23" t="s">
        <v>460</v>
      </c>
      <c r="F1065">
        <v>0.01</v>
      </c>
      <c r="G1065" s="23" t="s">
        <v>177</v>
      </c>
      <c r="H1065">
        <v>0</v>
      </c>
      <c r="I1065">
        <v>6</v>
      </c>
      <c r="J1065" s="10">
        <v>22.53</v>
      </c>
      <c r="K1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065">
        <v>0</v>
      </c>
      <c r="M10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5">
        <v>133</v>
      </c>
      <c r="O1065" s="23" t="s">
        <v>217</v>
      </c>
      <c r="P1065">
        <v>1.33</v>
      </c>
      <c r="Q1065" s="23" t="s">
        <v>184</v>
      </c>
    </row>
    <row r="1066" spans="1:17" x14ac:dyDescent="0.25">
      <c r="A1066" s="23" t="s">
        <v>1098</v>
      </c>
      <c r="B1066" s="23" t="s">
        <v>1053</v>
      </c>
      <c r="C1066" s="23" t="s">
        <v>176</v>
      </c>
      <c r="D1066" s="23" t="s">
        <v>119</v>
      </c>
      <c r="E1066" s="23" t="s">
        <v>120</v>
      </c>
      <c r="F1066">
        <v>5</v>
      </c>
      <c r="G1066" s="23" t="s">
        <v>177</v>
      </c>
      <c r="H1066">
        <v>0</v>
      </c>
      <c r="I1066">
        <v>84</v>
      </c>
      <c r="J1066" s="10">
        <v>36</v>
      </c>
      <c r="K1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66">
        <v>0</v>
      </c>
      <c r="M10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66">
        <v>20</v>
      </c>
      <c r="O1066" s="23" t="s">
        <v>242</v>
      </c>
      <c r="P1066">
        <v>100</v>
      </c>
      <c r="Q1066" s="23" t="s">
        <v>179</v>
      </c>
    </row>
    <row r="1067" spans="1:17" x14ac:dyDescent="0.25">
      <c r="A1067" s="23" t="s">
        <v>1197</v>
      </c>
      <c r="B1067" s="23" t="s">
        <v>1198</v>
      </c>
      <c r="C1067" s="23" t="s">
        <v>176</v>
      </c>
      <c r="D1067" s="23" t="s">
        <v>459</v>
      </c>
      <c r="E1067" s="23" t="s">
        <v>460</v>
      </c>
      <c r="F1067">
        <v>0.01</v>
      </c>
      <c r="G1067" s="23" t="s">
        <v>177</v>
      </c>
      <c r="H1067">
        <v>0</v>
      </c>
      <c r="I1067">
        <v>6</v>
      </c>
      <c r="J1067" s="10">
        <v>22.53</v>
      </c>
      <c r="K1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067">
        <v>0</v>
      </c>
      <c r="M10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7">
        <v>133</v>
      </c>
      <c r="O1067" s="23" t="s">
        <v>217</v>
      </c>
      <c r="P1067">
        <v>1.33</v>
      </c>
      <c r="Q1067" s="23" t="s">
        <v>184</v>
      </c>
    </row>
    <row r="1068" spans="1:17" x14ac:dyDescent="0.25">
      <c r="A1068" s="23" t="s">
        <v>1147</v>
      </c>
      <c r="B1068" s="23" t="s">
        <v>1145</v>
      </c>
      <c r="C1068" s="23" t="s">
        <v>176</v>
      </c>
      <c r="D1068" s="23" t="s">
        <v>459</v>
      </c>
      <c r="E1068" s="23" t="s">
        <v>460</v>
      </c>
      <c r="F1068">
        <v>0.01</v>
      </c>
      <c r="G1068" s="23" t="s">
        <v>177</v>
      </c>
      <c r="H1068">
        <v>0</v>
      </c>
      <c r="I1068">
        <v>6</v>
      </c>
      <c r="J1068" s="10">
        <v>22.53</v>
      </c>
      <c r="K1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068">
        <v>0</v>
      </c>
      <c r="M10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68">
        <v>133</v>
      </c>
      <c r="O1068" s="23" t="s">
        <v>217</v>
      </c>
      <c r="P1068">
        <v>1.33</v>
      </c>
      <c r="Q1068" s="23" t="s">
        <v>184</v>
      </c>
    </row>
    <row r="1069" spans="1:17" x14ac:dyDescent="0.25">
      <c r="A1069" s="23" t="s">
        <v>1055</v>
      </c>
      <c r="B1069" s="23" t="s">
        <v>1056</v>
      </c>
      <c r="C1069" s="23" t="s">
        <v>176</v>
      </c>
      <c r="D1069" s="23" t="s">
        <v>119</v>
      </c>
      <c r="E1069" s="23" t="s">
        <v>120</v>
      </c>
      <c r="F1069">
        <v>6</v>
      </c>
      <c r="G1069" s="23" t="s">
        <v>177</v>
      </c>
      <c r="H1069">
        <v>0</v>
      </c>
      <c r="I1069">
        <v>84</v>
      </c>
      <c r="J1069" s="10">
        <v>36</v>
      </c>
      <c r="K1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69">
        <v>0</v>
      </c>
      <c r="M10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69">
        <v>20</v>
      </c>
      <c r="O1069" s="23" t="s">
        <v>242</v>
      </c>
      <c r="P1069">
        <v>120</v>
      </c>
      <c r="Q1069" s="23" t="s">
        <v>179</v>
      </c>
    </row>
    <row r="1070" spans="1:17" x14ac:dyDescent="0.25">
      <c r="A1070" s="23" t="s">
        <v>1100</v>
      </c>
      <c r="B1070" s="23" t="s">
        <v>1101</v>
      </c>
      <c r="C1070" s="23" t="s">
        <v>176</v>
      </c>
      <c r="D1070" s="23" t="s">
        <v>119</v>
      </c>
      <c r="E1070" s="23" t="s">
        <v>120</v>
      </c>
      <c r="F1070">
        <v>6</v>
      </c>
      <c r="G1070" s="23" t="s">
        <v>177</v>
      </c>
      <c r="H1070">
        <v>0</v>
      </c>
      <c r="I1070">
        <v>84</v>
      </c>
      <c r="J1070" s="10">
        <v>36</v>
      </c>
      <c r="K1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70">
        <v>0</v>
      </c>
      <c r="M10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70">
        <v>20</v>
      </c>
      <c r="O1070" s="23" t="s">
        <v>242</v>
      </c>
      <c r="P1070">
        <v>120</v>
      </c>
      <c r="Q1070" s="23" t="s">
        <v>179</v>
      </c>
    </row>
    <row r="1071" spans="1:17" x14ac:dyDescent="0.25">
      <c r="A1071" s="23" t="s">
        <v>1144</v>
      </c>
      <c r="B1071" s="23" t="s">
        <v>1145</v>
      </c>
      <c r="C1071" s="23" t="s">
        <v>176</v>
      </c>
      <c r="D1071" s="23" t="s">
        <v>806</v>
      </c>
      <c r="E1071" s="23" t="s">
        <v>807</v>
      </c>
      <c r="F1071">
        <v>1</v>
      </c>
      <c r="G1071" s="23" t="s">
        <v>177</v>
      </c>
      <c r="H1071">
        <v>0</v>
      </c>
      <c r="I1071">
        <v>14</v>
      </c>
      <c r="J1071" s="10">
        <v>1</v>
      </c>
      <c r="K1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071">
        <v>0</v>
      </c>
      <c r="M10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1">
        <v>458.33</v>
      </c>
      <c r="O1071" s="23" t="s">
        <v>629</v>
      </c>
      <c r="P1071">
        <v>458.33</v>
      </c>
      <c r="Q1071" s="23" t="s">
        <v>178</v>
      </c>
    </row>
    <row r="1072" spans="1:17" x14ac:dyDescent="0.25">
      <c r="A1072" s="23" t="s">
        <v>1146</v>
      </c>
      <c r="B1072" s="23" t="s">
        <v>1145</v>
      </c>
      <c r="C1072" s="23" t="s">
        <v>176</v>
      </c>
      <c r="D1072" s="23" t="s">
        <v>806</v>
      </c>
      <c r="E1072" s="23" t="s">
        <v>807</v>
      </c>
      <c r="F1072">
        <v>1</v>
      </c>
      <c r="G1072" s="23" t="s">
        <v>177</v>
      </c>
      <c r="H1072">
        <v>0</v>
      </c>
      <c r="I1072">
        <v>14</v>
      </c>
      <c r="J1072" s="10">
        <v>1</v>
      </c>
      <c r="K1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1072">
        <v>0</v>
      </c>
      <c r="M10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2">
        <v>458.33</v>
      </c>
      <c r="O1072" s="23" t="s">
        <v>629</v>
      </c>
      <c r="P1072">
        <v>458.33</v>
      </c>
      <c r="Q1072" s="23" t="s">
        <v>178</v>
      </c>
    </row>
    <row r="1073" spans="1:17" x14ac:dyDescent="0.25">
      <c r="A1073" s="23" t="s">
        <v>1149</v>
      </c>
      <c r="B1073" s="23" t="s">
        <v>1145</v>
      </c>
      <c r="C1073" s="23" t="s">
        <v>176</v>
      </c>
      <c r="D1073" s="23" t="s">
        <v>117</v>
      </c>
      <c r="E1073" s="23" t="s">
        <v>118</v>
      </c>
      <c r="F1073">
        <v>108.01</v>
      </c>
      <c r="G1073" s="23" t="s">
        <v>186</v>
      </c>
      <c r="H1073">
        <v>0</v>
      </c>
      <c r="I1073">
        <v>1840</v>
      </c>
      <c r="J1073" s="10">
        <v>973.62000000000012</v>
      </c>
      <c r="K1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1073">
        <v>920</v>
      </c>
      <c r="M10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3">
        <v>94.86</v>
      </c>
      <c r="O1073" s="23" t="s">
        <v>491</v>
      </c>
      <c r="P1073">
        <v>10245.828600000001</v>
      </c>
      <c r="Q1073" s="23" t="s">
        <v>184</v>
      </c>
    </row>
    <row r="1074" spans="1:17" x14ac:dyDescent="0.25">
      <c r="A1074" s="23" t="s">
        <v>1144</v>
      </c>
      <c r="B1074" s="23" t="s">
        <v>1145</v>
      </c>
      <c r="C1074" s="23" t="s">
        <v>176</v>
      </c>
      <c r="D1074" s="23" t="s">
        <v>459</v>
      </c>
      <c r="E1074" s="23" t="s">
        <v>460</v>
      </c>
      <c r="F1074">
        <v>0.01</v>
      </c>
      <c r="G1074" s="23" t="s">
        <v>177</v>
      </c>
      <c r="H1074">
        <v>0</v>
      </c>
      <c r="I1074">
        <v>6</v>
      </c>
      <c r="J1074" s="10">
        <v>22.53</v>
      </c>
      <c r="K1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074">
        <v>0</v>
      </c>
      <c r="M10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4">
        <v>133</v>
      </c>
      <c r="O1074" s="23" t="s">
        <v>217</v>
      </c>
      <c r="P1074">
        <v>1.33</v>
      </c>
      <c r="Q1074" s="23" t="s">
        <v>184</v>
      </c>
    </row>
    <row r="1075" spans="1:17" x14ac:dyDescent="0.25">
      <c r="A1075" s="23" t="s">
        <v>1146</v>
      </c>
      <c r="B1075" s="23" t="s">
        <v>1145</v>
      </c>
      <c r="C1075" s="23" t="s">
        <v>176</v>
      </c>
      <c r="D1075" s="23" t="s">
        <v>459</v>
      </c>
      <c r="E1075" s="23" t="s">
        <v>460</v>
      </c>
      <c r="F1075">
        <v>0.01</v>
      </c>
      <c r="G1075" s="23" t="s">
        <v>177</v>
      </c>
      <c r="H1075">
        <v>0</v>
      </c>
      <c r="I1075">
        <v>6</v>
      </c>
      <c r="J1075" s="10">
        <v>22.53</v>
      </c>
      <c r="K1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075">
        <v>0</v>
      </c>
      <c r="M10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5">
        <v>133</v>
      </c>
      <c r="O1075" s="23" t="s">
        <v>217</v>
      </c>
      <c r="P1075">
        <v>1.33</v>
      </c>
      <c r="Q1075" s="23" t="s">
        <v>184</v>
      </c>
    </row>
    <row r="1076" spans="1:17" x14ac:dyDescent="0.25">
      <c r="A1076" s="23" t="s">
        <v>1149</v>
      </c>
      <c r="B1076" s="23" t="s">
        <v>1145</v>
      </c>
      <c r="C1076" s="23" t="s">
        <v>176</v>
      </c>
      <c r="D1076" s="23" t="s">
        <v>119</v>
      </c>
      <c r="E1076" s="23" t="s">
        <v>120</v>
      </c>
      <c r="F1076">
        <v>6</v>
      </c>
      <c r="G1076" s="23" t="s">
        <v>177</v>
      </c>
      <c r="H1076">
        <v>0</v>
      </c>
      <c r="I1076">
        <v>84</v>
      </c>
      <c r="J1076" s="10">
        <v>36</v>
      </c>
      <c r="K1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076">
        <v>0</v>
      </c>
      <c r="M10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076">
        <v>20</v>
      </c>
      <c r="O1076" s="23" t="s">
        <v>242</v>
      </c>
      <c r="P1076">
        <v>120</v>
      </c>
      <c r="Q1076" s="23" t="s">
        <v>179</v>
      </c>
    </row>
    <row r="1077" spans="1:17" x14ac:dyDescent="0.25">
      <c r="A1077" s="23" t="s">
        <v>1144</v>
      </c>
      <c r="B1077" s="23" t="s">
        <v>1145</v>
      </c>
      <c r="C1077" s="23" t="s">
        <v>176</v>
      </c>
      <c r="D1077" s="23" t="s">
        <v>60</v>
      </c>
      <c r="E1077" s="23" t="s">
        <v>61</v>
      </c>
      <c r="F1077">
        <v>1</v>
      </c>
      <c r="G1077" s="23" t="s">
        <v>177</v>
      </c>
      <c r="H1077">
        <v>0</v>
      </c>
      <c r="I1077">
        <v>18</v>
      </c>
      <c r="J1077" s="10">
        <v>10</v>
      </c>
      <c r="K1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077">
        <v>0</v>
      </c>
      <c r="M10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7">
        <v>115.6</v>
      </c>
      <c r="O1077" s="23" t="s">
        <v>827</v>
      </c>
      <c r="P1077">
        <v>115.6</v>
      </c>
      <c r="Q1077" s="23" t="s">
        <v>222</v>
      </c>
    </row>
    <row r="1078" spans="1:17" x14ac:dyDescent="0.25">
      <c r="A1078" s="23" t="s">
        <v>1146</v>
      </c>
      <c r="B1078" s="23" t="s">
        <v>1145</v>
      </c>
      <c r="C1078" s="23" t="s">
        <v>176</v>
      </c>
      <c r="D1078" s="23" t="s">
        <v>60</v>
      </c>
      <c r="E1078" s="23" t="s">
        <v>61</v>
      </c>
      <c r="F1078">
        <v>1</v>
      </c>
      <c r="G1078" s="23" t="s">
        <v>177</v>
      </c>
      <c r="H1078">
        <v>0</v>
      </c>
      <c r="I1078">
        <v>18</v>
      </c>
      <c r="J1078" s="10">
        <v>10</v>
      </c>
      <c r="K1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078">
        <v>0</v>
      </c>
      <c r="M10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8">
        <v>115.6</v>
      </c>
      <c r="O1078" s="23" t="s">
        <v>827</v>
      </c>
      <c r="P1078">
        <v>115.6</v>
      </c>
      <c r="Q1078" s="23" t="s">
        <v>222</v>
      </c>
    </row>
    <row r="1079" spans="1:17" x14ac:dyDescent="0.25">
      <c r="A1079" s="23" t="s">
        <v>1149</v>
      </c>
      <c r="B1079" s="23" t="s">
        <v>1145</v>
      </c>
      <c r="C1079" s="23" t="s">
        <v>176</v>
      </c>
      <c r="D1079" s="23" t="s">
        <v>407</v>
      </c>
      <c r="E1079" s="23" t="s">
        <v>408</v>
      </c>
      <c r="F1079">
        <v>2</v>
      </c>
      <c r="G1079" s="23" t="s">
        <v>177</v>
      </c>
      <c r="H1079">
        <v>0</v>
      </c>
      <c r="I1079">
        <v>35</v>
      </c>
      <c r="J1079" s="10">
        <v>61</v>
      </c>
      <c r="K1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1079">
        <v>0</v>
      </c>
      <c r="M10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79">
        <v>19.07</v>
      </c>
      <c r="O1079" s="23" t="s">
        <v>827</v>
      </c>
      <c r="P1079">
        <v>38.14</v>
      </c>
      <c r="Q1079" s="23" t="s">
        <v>222</v>
      </c>
    </row>
    <row r="1080" spans="1:17" x14ac:dyDescent="0.25">
      <c r="A1080" s="23" t="s">
        <v>1057</v>
      </c>
      <c r="B1080" s="23" t="s">
        <v>1056</v>
      </c>
      <c r="C1080" s="23" t="s">
        <v>176</v>
      </c>
      <c r="D1080" s="23" t="s">
        <v>574</v>
      </c>
      <c r="E1080" s="23" t="s">
        <v>575</v>
      </c>
      <c r="F1080">
        <v>1</v>
      </c>
      <c r="G1080" s="23" t="s">
        <v>177</v>
      </c>
      <c r="H1080">
        <v>0</v>
      </c>
      <c r="I1080">
        <v>24</v>
      </c>
      <c r="J1080" s="10">
        <v>-5.6843418860808015E-14</v>
      </c>
      <c r="K1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080">
        <v>0</v>
      </c>
      <c r="M10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0">
        <v>120</v>
      </c>
      <c r="O1080" s="23" t="s">
        <v>242</v>
      </c>
      <c r="P1080">
        <v>120</v>
      </c>
      <c r="Q1080" s="23" t="s">
        <v>184</v>
      </c>
    </row>
    <row r="1081" spans="1:17" x14ac:dyDescent="0.25">
      <c r="A1081" s="23" t="s">
        <v>1094</v>
      </c>
      <c r="B1081" s="23" t="s">
        <v>1095</v>
      </c>
      <c r="C1081" s="23" t="s">
        <v>176</v>
      </c>
      <c r="D1081" s="23" t="s">
        <v>574</v>
      </c>
      <c r="E1081" s="23" t="s">
        <v>575</v>
      </c>
      <c r="F1081">
        <v>0.7</v>
      </c>
      <c r="G1081" s="23" t="s">
        <v>177</v>
      </c>
      <c r="H1081">
        <v>0</v>
      </c>
      <c r="I1081">
        <v>24</v>
      </c>
      <c r="J1081" s="10">
        <v>-5.6843418860808015E-14</v>
      </c>
      <c r="K1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081">
        <v>0</v>
      </c>
      <c r="M10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1">
        <v>120</v>
      </c>
      <c r="O1081" s="23" t="s">
        <v>242</v>
      </c>
      <c r="P1081">
        <v>84</v>
      </c>
      <c r="Q1081" s="23" t="s">
        <v>184</v>
      </c>
    </row>
    <row r="1082" spans="1:17" x14ac:dyDescent="0.25">
      <c r="A1082" s="23" t="s">
        <v>1143</v>
      </c>
      <c r="B1082" s="23" t="s">
        <v>1054</v>
      </c>
      <c r="C1082" s="23" t="s">
        <v>176</v>
      </c>
      <c r="D1082" s="23" t="s">
        <v>202</v>
      </c>
      <c r="E1082" s="23" t="s">
        <v>226</v>
      </c>
      <c r="F1082">
        <v>4</v>
      </c>
      <c r="G1082" s="23" t="s">
        <v>177</v>
      </c>
      <c r="H1082">
        <v>0</v>
      </c>
      <c r="I1082">
        <v>24</v>
      </c>
      <c r="J1082" s="10">
        <v>22</v>
      </c>
      <c r="K1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082">
        <v>50</v>
      </c>
      <c r="M10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2">
        <v>44</v>
      </c>
      <c r="O1082" s="23" t="s">
        <v>505</v>
      </c>
      <c r="P1082">
        <v>176</v>
      </c>
      <c r="Q1082" s="23" t="s">
        <v>222</v>
      </c>
    </row>
    <row r="1083" spans="1:17" x14ac:dyDescent="0.25">
      <c r="A1083" s="23" t="s">
        <v>1143</v>
      </c>
      <c r="B1083" s="23" t="s">
        <v>1054</v>
      </c>
      <c r="C1083" s="23" t="s">
        <v>176</v>
      </c>
      <c r="D1083" s="23" t="s">
        <v>2</v>
      </c>
      <c r="E1083" s="23" t="s">
        <v>424</v>
      </c>
      <c r="F1083">
        <v>2</v>
      </c>
      <c r="G1083" s="23" t="s">
        <v>177</v>
      </c>
      <c r="H1083">
        <v>0</v>
      </c>
      <c r="I1083">
        <v>22</v>
      </c>
      <c r="J1083" s="10">
        <v>18</v>
      </c>
      <c r="K1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083">
        <v>10</v>
      </c>
      <c r="M10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3">
        <v>400</v>
      </c>
      <c r="O1083" s="23" t="s">
        <v>218</v>
      </c>
      <c r="P1083">
        <v>800</v>
      </c>
      <c r="Q1083" s="23" t="s">
        <v>222</v>
      </c>
    </row>
    <row r="1084" spans="1:17" x14ac:dyDescent="0.25">
      <c r="A1084" s="23" t="s">
        <v>1094</v>
      </c>
      <c r="B1084" s="23" t="s">
        <v>1095</v>
      </c>
      <c r="C1084" s="23" t="s">
        <v>176</v>
      </c>
      <c r="D1084" s="23" t="s">
        <v>2</v>
      </c>
      <c r="E1084" s="23" t="s">
        <v>424</v>
      </c>
      <c r="F1084">
        <v>2</v>
      </c>
      <c r="G1084" s="23" t="s">
        <v>177</v>
      </c>
      <c r="H1084">
        <v>0</v>
      </c>
      <c r="I1084">
        <v>22</v>
      </c>
      <c r="J1084" s="10">
        <v>18</v>
      </c>
      <c r="K1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084">
        <v>10</v>
      </c>
      <c r="M10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4">
        <v>400</v>
      </c>
      <c r="O1084" s="23" t="s">
        <v>218</v>
      </c>
      <c r="P1084">
        <v>800</v>
      </c>
      <c r="Q1084" s="23" t="s">
        <v>222</v>
      </c>
    </row>
    <row r="1085" spans="1:17" x14ac:dyDescent="0.25">
      <c r="A1085" s="23" t="s">
        <v>1144</v>
      </c>
      <c r="B1085" s="23" t="s">
        <v>1145</v>
      </c>
      <c r="C1085" s="23" t="s">
        <v>176</v>
      </c>
      <c r="D1085" s="23" t="s">
        <v>202</v>
      </c>
      <c r="E1085" s="23" t="s">
        <v>226</v>
      </c>
      <c r="F1085">
        <v>3</v>
      </c>
      <c r="G1085" s="23" t="s">
        <v>177</v>
      </c>
      <c r="H1085">
        <v>0</v>
      </c>
      <c r="I1085">
        <v>24</v>
      </c>
      <c r="J1085" s="10">
        <v>22</v>
      </c>
      <c r="K1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085">
        <v>50</v>
      </c>
      <c r="M10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5">
        <v>44</v>
      </c>
      <c r="O1085" s="23" t="s">
        <v>505</v>
      </c>
      <c r="P1085">
        <v>132</v>
      </c>
      <c r="Q1085" s="23" t="s">
        <v>222</v>
      </c>
    </row>
    <row r="1086" spans="1:17" x14ac:dyDescent="0.25">
      <c r="A1086" s="23" t="s">
        <v>1147</v>
      </c>
      <c r="B1086" s="23" t="s">
        <v>1145</v>
      </c>
      <c r="C1086" s="23" t="s">
        <v>176</v>
      </c>
      <c r="D1086" s="23" t="s">
        <v>572</v>
      </c>
      <c r="E1086" s="23" t="s">
        <v>573</v>
      </c>
      <c r="F1086">
        <v>2.7</v>
      </c>
      <c r="G1086" s="23" t="s">
        <v>180</v>
      </c>
      <c r="H1086">
        <v>0</v>
      </c>
      <c r="I1086">
        <v>50</v>
      </c>
      <c r="J1086" s="10">
        <v>-1.4210854715202004E-14</v>
      </c>
      <c r="K1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86">
        <v>0</v>
      </c>
      <c r="M10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6">
        <v>11</v>
      </c>
      <c r="O1086" s="23" t="s">
        <v>227</v>
      </c>
      <c r="P1086">
        <v>29.700000000000003</v>
      </c>
      <c r="Q1086" s="23" t="s">
        <v>181</v>
      </c>
    </row>
    <row r="1087" spans="1:17" x14ac:dyDescent="0.25">
      <c r="A1087" s="23" t="s">
        <v>1099</v>
      </c>
      <c r="B1087" s="23" t="s">
        <v>1056</v>
      </c>
      <c r="C1087" s="23" t="s">
        <v>176</v>
      </c>
      <c r="D1087" s="23" t="s">
        <v>572</v>
      </c>
      <c r="E1087" s="23" t="s">
        <v>573</v>
      </c>
      <c r="F1087">
        <v>2.7</v>
      </c>
      <c r="G1087" s="23" t="s">
        <v>180</v>
      </c>
      <c r="H1087">
        <v>0</v>
      </c>
      <c r="I1087">
        <v>50</v>
      </c>
      <c r="J1087" s="10">
        <v>-1.4210854715202004E-14</v>
      </c>
      <c r="K1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87">
        <v>0</v>
      </c>
      <c r="M10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7">
        <v>11</v>
      </c>
      <c r="O1087" s="23" t="s">
        <v>227</v>
      </c>
      <c r="P1087">
        <v>29.700000000000003</v>
      </c>
      <c r="Q1087" s="23" t="s">
        <v>181</v>
      </c>
    </row>
    <row r="1088" spans="1:17" x14ac:dyDescent="0.25">
      <c r="A1088" s="23" t="s">
        <v>1147</v>
      </c>
      <c r="B1088" s="23" t="s">
        <v>1145</v>
      </c>
      <c r="C1088" s="23" t="s">
        <v>176</v>
      </c>
      <c r="D1088" s="23" t="s">
        <v>257</v>
      </c>
      <c r="E1088" s="23" t="s">
        <v>310</v>
      </c>
      <c r="F1088">
        <v>2</v>
      </c>
      <c r="G1088" s="23" t="s">
        <v>177</v>
      </c>
      <c r="H1088">
        <v>0</v>
      </c>
      <c r="I1088">
        <v>40</v>
      </c>
      <c r="J1088" s="10">
        <v>18</v>
      </c>
      <c r="K1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088">
        <v>0</v>
      </c>
      <c r="M10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8">
        <v>55</v>
      </c>
      <c r="O1088" s="23" t="s">
        <v>827</v>
      </c>
      <c r="P1088">
        <v>110</v>
      </c>
      <c r="Q1088" s="23" t="s">
        <v>222</v>
      </c>
    </row>
    <row r="1089" spans="1:17" x14ac:dyDescent="0.25">
      <c r="A1089" s="23" t="s">
        <v>1057</v>
      </c>
      <c r="B1089" s="23" t="s">
        <v>1056</v>
      </c>
      <c r="C1089" s="23" t="s">
        <v>176</v>
      </c>
      <c r="D1089" s="23" t="s">
        <v>1000</v>
      </c>
      <c r="E1089" s="23" t="s">
        <v>1001</v>
      </c>
      <c r="F1089">
        <v>1</v>
      </c>
      <c r="G1089" s="23" t="s">
        <v>177</v>
      </c>
      <c r="H1089">
        <v>0</v>
      </c>
      <c r="I1089">
        <v>30</v>
      </c>
      <c r="J1089" s="10">
        <v>5.7</v>
      </c>
      <c r="K1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089">
        <v>0</v>
      </c>
      <c r="M10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89">
        <v>199.37</v>
      </c>
      <c r="O1089" s="23" t="s">
        <v>256</v>
      </c>
      <c r="P1089">
        <v>199.37</v>
      </c>
      <c r="Q1089" s="23" t="s">
        <v>181</v>
      </c>
    </row>
    <row r="1090" spans="1:17" x14ac:dyDescent="0.25">
      <c r="A1090" s="23" t="s">
        <v>1094</v>
      </c>
      <c r="B1090" s="23" t="s">
        <v>1095</v>
      </c>
      <c r="C1090" s="23" t="s">
        <v>176</v>
      </c>
      <c r="D1090" s="23" t="s">
        <v>257</v>
      </c>
      <c r="E1090" s="23" t="s">
        <v>310</v>
      </c>
      <c r="F1090">
        <v>2</v>
      </c>
      <c r="G1090" s="23" t="s">
        <v>177</v>
      </c>
      <c r="H1090">
        <v>0</v>
      </c>
      <c r="I1090">
        <v>40</v>
      </c>
      <c r="J1090" s="10">
        <v>18</v>
      </c>
      <c r="K1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090">
        <v>0</v>
      </c>
      <c r="M10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0">
        <v>55</v>
      </c>
      <c r="O1090" s="23" t="s">
        <v>827</v>
      </c>
      <c r="P1090">
        <v>110</v>
      </c>
      <c r="Q1090" s="23" t="s">
        <v>222</v>
      </c>
    </row>
    <row r="1091" spans="1:17" x14ac:dyDescent="0.25">
      <c r="A1091" s="23" t="s">
        <v>1143</v>
      </c>
      <c r="B1091" s="23" t="s">
        <v>1054</v>
      </c>
      <c r="C1091" s="23" t="s">
        <v>176</v>
      </c>
      <c r="D1091" s="23" t="s">
        <v>383</v>
      </c>
      <c r="E1091" s="23" t="s">
        <v>384</v>
      </c>
      <c r="F1091">
        <v>1</v>
      </c>
      <c r="G1091" s="23" t="s">
        <v>177</v>
      </c>
      <c r="H1091">
        <v>0</v>
      </c>
      <c r="I1091">
        <v>52</v>
      </c>
      <c r="J1091" s="10">
        <v>2</v>
      </c>
      <c r="K1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091">
        <v>0</v>
      </c>
      <c r="M10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1">
        <v>34</v>
      </c>
      <c r="O1091" s="23" t="s">
        <v>242</v>
      </c>
      <c r="P1091">
        <v>34</v>
      </c>
      <c r="Q1091" s="23" t="s">
        <v>179</v>
      </c>
    </row>
    <row r="1092" spans="1:17" x14ac:dyDescent="0.25">
      <c r="A1092" s="23" t="s">
        <v>1143</v>
      </c>
      <c r="B1092" s="23" t="s">
        <v>1054</v>
      </c>
      <c r="C1092" s="23" t="s">
        <v>176</v>
      </c>
      <c r="D1092" s="23" t="s">
        <v>927</v>
      </c>
      <c r="E1092" s="23" t="s">
        <v>928</v>
      </c>
      <c r="F1092">
        <v>1</v>
      </c>
      <c r="G1092" s="23" t="s">
        <v>177</v>
      </c>
      <c r="H1092">
        <v>0</v>
      </c>
      <c r="I1092">
        <v>0</v>
      </c>
      <c r="J1092" s="10">
        <v>246</v>
      </c>
      <c r="K1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092">
        <v>0</v>
      </c>
      <c r="M10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1092">
        <v>5.42</v>
      </c>
      <c r="O1092" s="23" t="s">
        <v>629</v>
      </c>
      <c r="P1092">
        <v>5.42</v>
      </c>
      <c r="Q1092" s="23" t="s">
        <v>181</v>
      </c>
    </row>
    <row r="1093" spans="1:17" x14ac:dyDescent="0.25">
      <c r="A1093" s="23" t="s">
        <v>1149</v>
      </c>
      <c r="B1093" s="23" t="s">
        <v>1145</v>
      </c>
      <c r="C1093" s="23" t="s">
        <v>176</v>
      </c>
      <c r="D1093" s="23" t="s">
        <v>572</v>
      </c>
      <c r="E1093" s="23" t="s">
        <v>573</v>
      </c>
      <c r="F1093">
        <v>2.7</v>
      </c>
      <c r="G1093" s="23" t="s">
        <v>180</v>
      </c>
      <c r="H1093">
        <v>0</v>
      </c>
      <c r="I1093">
        <v>50</v>
      </c>
      <c r="J1093" s="10">
        <v>-1.4210854715202004E-14</v>
      </c>
      <c r="K1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93">
        <v>0</v>
      </c>
      <c r="M10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3">
        <v>11</v>
      </c>
      <c r="O1093" s="23" t="s">
        <v>227</v>
      </c>
      <c r="P1093">
        <v>29.700000000000003</v>
      </c>
      <c r="Q1093" s="23" t="s">
        <v>181</v>
      </c>
    </row>
    <row r="1094" spans="1:17" x14ac:dyDescent="0.25">
      <c r="A1094" s="23" t="s">
        <v>1149</v>
      </c>
      <c r="B1094" s="23" t="s">
        <v>1145</v>
      </c>
      <c r="C1094" s="23" t="s">
        <v>176</v>
      </c>
      <c r="D1094" s="23" t="s">
        <v>257</v>
      </c>
      <c r="E1094" s="23" t="s">
        <v>310</v>
      </c>
      <c r="F1094">
        <v>2</v>
      </c>
      <c r="G1094" s="23" t="s">
        <v>177</v>
      </c>
      <c r="H1094">
        <v>0</v>
      </c>
      <c r="I1094">
        <v>40</v>
      </c>
      <c r="J1094" s="10">
        <v>18</v>
      </c>
      <c r="K1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094">
        <v>0</v>
      </c>
      <c r="M10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4">
        <v>55</v>
      </c>
      <c r="O1094" s="23" t="s">
        <v>827</v>
      </c>
      <c r="P1094">
        <v>110</v>
      </c>
      <c r="Q1094" s="23" t="s">
        <v>222</v>
      </c>
    </row>
    <row r="1095" spans="1:17" x14ac:dyDescent="0.25">
      <c r="A1095" s="23" t="s">
        <v>1100</v>
      </c>
      <c r="B1095" s="23" t="s">
        <v>1101</v>
      </c>
      <c r="C1095" s="23" t="s">
        <v>176</v>
      </c>
      <c r="D1095" s="23" t="s">
        <v>919</v>
      </c>
      <c r="E1095" s="23" t="s">
        <v>920</v>
      </c>
      <c r="F1095">
        <v>1</v>
      </c>
      <c r="G1095" s="23" t="s">
        <v>177</v>
      </c>
      <c r="H1095">
        <v>0</v>
      </c>
      <c r="I1095">
        <v>0</v>
      </c>
      <c r="J1095" s="10">
        <v>1</v>
      </c>
      <c r="K1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095">
        <v>1</v>
      </c>
      <c r="M10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5">
        <v>12601.06</v>
      </c>
      <c r="O1095" s="23" t="s">
        <v>508</v>
      </c>
      <c r="P1095">
        <v>12601.06</v>
      </c>
      <c r="Q1095" s="23" t="s">
        <v>222</v>
      </c>
    </row>
    <row r="1096" spans="1:17" x14ac:dyDescent="0.25">
      <c r="A1096" s="23" t="s">
        <v>1055</v>
      </c>
      <c r="B1096" s="23" t="s">
        <v>1056</v>
      </c>
      <c r="C1096" s="23" t="s">
        <v>176</v>
      </c>
      <c r="D1096" s="23" t="s">
        <v>572</v>
      </c>
      <c r="E1096" s="23" t="s">
        <v>573</v>
      </c>
      <c r="F1096">
        <v>2.7</v>
      </c>
      <c r="G1096" s="23" t="s">
        <v>180</v>
      </c>
      <c r="H1096">
        <v>0</v>
      </c>
      <c r="I1096">
        <v>50</v>
      </c>
      <c r="J1096" s="10">
        <v>-1.4210854715202004E-14</v>
      </c>
      <c r="K1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96">
        <v>0</v>
      </c>
      <c r="M10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6">
        <v>11</v>
      </c>
      <c r="O1096" s="23" t="s">
        <v>227</v>
      </c>
      <c r="P1096">
        <v>29.700000000000003</v>
      </c>
      <c r="Q1096" s="23" t="s">
        <v>181</v>
      </c>
    </row>
    <row r="1097" spans="1:17" x14ac:dyDescent="0.25">
      <c r="A1097" s="23" t="s">
        <v>1100</v>
      </c>
      <c r="B1097" s="23" t="s">
        <v>1101</v>
      </c>
      <c r="C1097" s="23" t="s">
        <v>176</v>
      </c>
      <c r="D1097" s="23" t="s">
        <v>572</v>
      </c>
      <c r="E1097" s="23" t="s">
        <v>573</v>
      </c>
      <c r="F1097">
        <v>2.7</v>
      </c>
      <c r="G1097" s="23" t="s">
        <v>180</v>
      </c>
      <c r="H1097">
        <v>0</v>
      </c>
      <c r="I1097">
        <v>50</v>
      </c>
      <c r="J1097" s="10">
        <v>-1.4210854715202004E-14</v>
      </c>
      <c r="K1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097">
        <v>0</v>
      </c>
      <c r="M10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7">
        <v>11</v>
      </c>
      <c r="O1097" s="23" t="s">
        <v>227</v>
      </c>
      <c r="P1097">
        <v>29.700000000000003</v>
      </c>
      <c r="Q1097" s="23" t="s">
        <v>181</v>
      </c>
    </row>
    <row r="1098" spans="1:17" x14ac:dyDescent="0.25">
      <c r="A1098" s="23" t="s">
        <v>1100</v>
      </c>
      <c r="B1098" s="23" t="s">
        <v>1101</v>
      </c>
      <c r="C1098" s="23" t="s">
        <v>176</v>
      </c>
      <c r="D1098" s="23" t="s">
        <v>383</v>
      </c>
      <c r="E1098" s="23" t="s">
        <v>384</v>
      </c>
      <c r="F1098">
        <v>1</v>
      </c>
      <c r="G1098" s="23" t="s">
        <v>177</v>
      </c>
      <c r="H1098">
        <v>0</v>
      </c>
      <c r="I1098">
        <v>52</v>
      </c>
      <c r="J1098" s="10">
        <v>2</v>
      </c>
      <c r="K1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098">
        <v>0</v>
      </c>
      <c r="M10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8">
        <v>34</v>
      </c>
      <c r="O1098" s="23" t="s">
        <v>242</v>
      </c>
      <c r="P1098">
        <v>34</v>
      </c>
      <c r="Q1098" s="23" t="s">
        <v>179</v>
      </c>
    </row>
    <row r="1099" spans="1:17" x14ac:dyDescent="0.25">
      <c r="A1099" s="23" t="s">
        <v>1057</v>
      </c>
      <c r="B1099" s="23" t="s">
        <v>1056</v>
      </c>
      <c r="C1099" s="23" t="s">
        <v>176</v>
      </c>
      <c r="D1099" s="23" t="s">
        <v>919</v>
      </c>
      <c r="E1099" s="23" t="s">
        <v>920</v>
      </c>
      <c r="F1099">
        <v>1</v>
      </c>
      <c r="G1099" s="23" t="s">
        <v>177</v>
      </c>
      <c r="H1099">
        <v>1</v>
      </c>
      <c r="I1099">
        <v>0</v>
      </c>
      <c r="J1099" s="10">
        <v>1</v>
      </c>
      <c r="K1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099">
        <v>1</v>
      </c>
      <c r="M10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099">
        <v>12601.06</v>
      </c>
      <c r="O1099" s="23" t="s">
        <v>508</v>
      </c>
      <c r="P1099">
        <v>12601.06</v>
      </c>
      <c r="Q1099" s="23" t="s">
        <v>222</v>
      </c>
    </row>
    <row r="1100" spans="1:17" x14ac:dyDescent="0.25">
      <c r="A1100" s="23" t="s">
        <v>1057</v>
      </c>
      <c r="B1100" s="23" t="s">
        <v>1056</v>
      </c>
      <c r="C1100" s="23" t="s">
        <v>176</v>
      </c>
      <c r="D1100" s="23" t="s">
        <v>572</v>
      </c>
      <c r="E1100" s="23" t="s">
        <v>573</v>
      </c>
      <c r="F1100">
        <v>2.7</v>
      </c>
      <c r="G1100" s="23" t="s">
        <v>180</v>
      </c>
      <c r="H1100">
        <v>0</v>
      </c>
      <c r="I1100">
        <v>50</v>
      </c>
      <c r="J1100" s="10">
        <v>-1.4210854715202004E-14</v>
      </c>
      <c r="K1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100">
        <v>0</v>
      </c>
      <c r="M11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0">
        <v>11</v>
      </c>
      <c r="O1100" s="23" t="s">
        <v>227</v>
      </c>
      <c r="P1100">
        <v>29.700000000000003</v>
      </c>
      <c r="Q1100" s="23" t="s">
        <v>181</v>
      </c>
    </row>
    <row r="1101" spans="1:17" x14ac:dyDescent="0.25">
      <c r="A1101" s="23" t="s">
        <v>1143</v>
      </c>
      <c r="B1101" s="23" t="s">
        <v>1054</v>
      </c>
      <c r="C1101" s="23" t="s">
        <v>176</v>
      </c>
      <c r="D1101" s="23" t="s">
        <v>257</v>
      </c>
      <c r="E1101" s="23" t="s">
        <v>310</v>
      </c>
      <c r="F1101">
        <v>2</v>
      </c>
      <c r="G1101" s="23" t="s">
        <v>177</v>
      </c>
      <c r="H1101">
        <v>0</v>
      </c>
      <c r="I1101">
        <v>40</v>
      </c>
      <c r="J1101" s="10">
        <v>18</v>
      </c>
      <c r="K1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101">
        <v>0</v>
      </c>
      <c r="M11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1">
        <v>55</v>
      </c>
      <c r="O1101" s="23" t="s">
        <v>827</v>
      </c>
      <c r="P1101">
        <v>110</v>
      </c>
      <c r="Q1101" s="23" t="s">
        <v>222</v>
      </c>
    </row>
    <row r="1102" spans="1:17" x14ac:dyDescent="0.25">
      <c r="A1102" s="23" t="s">
        <v>1142</v>
      </c>
      <c r="B1102" s="23" t="s">
        <v>1054</v>
      </c>
      <c r="C1102" s="23" t="s">
        <v>176</v>
      </c>
      <c r="D1102" s="23" t="s">
        <v>383</v>
      </c>
      <c r="E1102" s="23" t="s">
        <v>384</v>
      </c>
      <c r="F1102">
        <v>1</v>
      </c>
      <c r="G1102" s="23" t="s">
        <v>177</v>
      </c>
      <c r="H1102">
        <v>0</v>
      </c>
      <c r="I1102">
        <v>52</v>
      </c>
      <c r="J1102" s="10">
        <v>2</v>
      </c>
      <c r="K1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2">
        <v>0</v>
      </c>
      <c r="M11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2">
        <v>34</v>
      </c>
      <c r="O1102" s="23" t="s">
        <v>242</v>
      </c>
      <c r="P1102">
        <v>34</v>
      </c>
      <c r="Q1102" s="23" t="s">
        <v>179</v>
      </c>
    </row>
    <row r="1103" spans="1:17" x14ac:dyDescent="0.25">
      <c r="A1103" s="23" t="s">
        <v>1096</v>
      </c>
      <c r="B1103" s="23" t="s">
        <v>1053</v>
      </c>
      <c r="C1103" s="23" t="s">
        <v>176</v>
      </c>
      <c r="D1103" s="23" t="s">
        <v>383</v>
      </c>
      <c r="E1103" s="23" t="s">
        <v>384</v>
      </c>
      <c r="F1103">
        <v>1</v>
      </c>
      <c r="G1103" s="23" t="s">
        <v>177</v>
      </c>
      <c r="H1103">
        <v>0</v>
      </c>
      <c r="I1103">
        <v>52</v>
      </c>
      <c r="J1103" s="10">
        <v>2</v>
      </c>
      <c r="K1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3">
        <v>0</v>
      </c>
      <c r="M11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3">
        <v>34</v>
      </c>
      <c r="O1103" s="23" t="s">
        <v>242</v>
      </c>
      <c r="P1103">
        <v>34</v>
      </c>
      <c r="Q1103" s="23" t="s">
        <v>179</v>
      </c>
    </row>
    <row r="1104" spans="1:17" x14ac:dyDescent="0.25">
      <c r="A1104" s="23" t="s">
        <v>1058</v>
      </c>
      <c r="B1104" s="23" t="s">
        <v>1059</v>
      </c>
      <c r="C1104" s="23" t="s">
        <v>176</v>
      </c>
      <c r="D1104" s="23" t="s">
        <v>572</v>
      </c>
      <c r="E1104" s="23" t="s">
        <v>573</v>
      </c>
      <c r="F1104">
        <v>2.7</v>
      </c>
      <c r="G1104" s="23" t="s">
        <v>180</v>
      </c>
      <c r="H1104">
        <v>0</v>
      </c>
      <c r="I1104">
        <v>50</v>
      </c>
      <c r="J1104" s="10">
        <v>-1.4210854715202004E-14</v>
      </c>
      <c r="K1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104">
        <v>0</v>
      </c>
      <c r="M11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4">
        <v>11</v>
      </c>
      <c r="O1104" s="23" t="s">
        <v>227</v>
      </c>
      <c r="P1104">
        <v>29.700000000000003</v>
      </c>
      <c r="Q1104" s="23" t="s">
        <v>181</v>
      </c>
    </row>
    <row r="1105" spans="1:17" x14ac:dyDescent="0.25">
      <c r="A1105" s="23" t="s">
        <v>1100</v>
      </c>
      <c r="B1105" s="23" t="s">
        <v>1101</v>
      </c>
      <c r="C1105" s="23" t="s">
        <v>176</v>
      </c>
      <c r="D1105" s="23" t="s">
        <v>257</v>
      </c>
      <c r="E1105" s="23" t="s">
        <v>310</v>
      </c>
      <c r="F1105">
        <v>2</v>
      </c>
      <c r="G1105" s="23" t="s">
        <v>177</v>
      </c>
      <c r="H1105">
        <v>0</v>
      </c>
      <c r="I1105">
        <v>40</v>
      </c>
      <c r="J1105" s="10">
        <v>18</v>
      </c>
      <c r="K1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105">
        <v>0</v>
      </c>
      <c r="M11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5">
        <v>55</v>
      </c>
      <c r="O1105" s="23" t="s">
        <v>827</v>
      </c>
      <c r="P1105">
        <v>110</v>
      </c>
      <c r="Q1105" s="23" t="s">
        <v>222</v>
      </c>
    </row>
    <row r="1106" spans="1:17" x14ac:dyDescent="0.25">
      <c r="A1106" s="23" t="s">
        <v>1147</v>
      </c>
      <c r="B1106" s="23" t="s">
        <v>1145</v>
      </c>
      <c r="C1106" s="23" t="s">
        <v>176</v>
      </c>
      <c r="D1106" s="23" t="s">
        <v>383</v>
      </c>
      <c r="E1106" s="23" t="s">
        <v>384</v>
      </c>
      <c r="F1106">
        <v>1</v>
      </c>
      <c r="G1106" s="23" t="s">
        <v>177</v>
      </c>
      <c r="H1106">
        <v>0</v>
      </c>
      <c r="I1106">
        <v>52</v>
      </c>
      <c r="J1106" s="10">
        <v>2</v>
      </c>
      <c r="K1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6">
        <v>0</v>
      </c>
      <c r="M11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6">
        <v>34</v>
      </c>
      <c r="O1106" s="23" t="s">
        <v>242</v>
      </c>
      <c r="P1106">
        <v>34</v>
      </c>
      <c r="Q1106" s="23" t="s">
        <v>179</v>
      </c>
    </row>
    <row r="1107" spans="1:17" x14ac:dyDescent="0.25">
      <c r="A1107" s="23" t="s">
        <v>1142</v>
      </c>
      <c r="B1107" s="23" t="s">
        <v>1054</v>
      </c>
      <c r="C1107" s="23" t="s">
        <v>176</v>
      </c>
      <c r="D1107" s="23" t="s">
        <v>572</v>
      </c>
      <c r="E1107" s="23" t="s">
        <v>573</v>
      </c>
      <c r="F1107">
        <v>2.7</v>
      </c>
      <c r="G1107" s="23" t="s">
        <v>180</v>
      </c>
      <c r="H1107">
        <v>0</v>
      </c>
      <c r="I1107">
        <v>50</v>
      </c>
      <c r="J1107" s="10">
        <v>-1.4210854715202004E-14</v>
      </c>
      <c r="K1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107">
        <v>0</v>
      </c>
      <c r="M11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7">
        <v>11</v>
      </c>
      <c r="O1107" s="23" t="s">
        <v>227</v>
      </c>
      <c r="P1107">
        <v>29.700000000000003</v>
      </c>
      <c r="Q1107" s="23" t="s">
        <v>181</v>
      </c>
    </row>
    <row r="1108" spans="1:17" x14ac:dyDescent="0.25">
      <c r="A1108" s="23" t="s">
        <v>1150</v>
      </c>
      <c r="B1108" s="23" t="s">
        <v>1145</v>
      </c>
      <c r="C1108" s="23" t="s">
        <v>176</v>
      </c>
      <c r="D1108" s="23" t="s">
        <v>572</v>
      </c>
      <c r="E1108" s="23" t="s">
        <v>573</v>
      </c>
      <c r="F1108">
        <v>2.7</v>
      </c>
      <c r="G1108" s="23" t="s">
        <v>180</v>
      </c>
      <c r="H1108">
        <v>0</v>
      </c>
      <c r="I1108">
        <v>50</v>
      </c>
      <c r="J1108" s="10">
        <v>-1.4210854715202004E-14</v>
      </c>
      <c r="K1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108">
        <v>0</v>
      </c>
      <c r="M11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8">
        <v>11</v>
      </c>
      <c r="O1108" s="23" t="s">
        <v>227</v>
      </c>
      <c r="P1108">
        <v>29.700000000000003</v>
      </c>
      <c r="Q1108" s="23" t="s">
        <v>181</v>
      </c>
    </row>
    <row r="1109" spans="1:17" x14ac:dyDescent="0.25">
      <c r="A1109" s="23" t="s">
        <v>1149</v>
      </c>
      <c r="B1109" s="23" t="s">
        <v>1145</v>
      </c>
      <c r="C1109" s="23" t="s">
        <v>176</v>
      </c>
      <c r="D1109" s="23" t="s">
        <v>383</v>
      </c>
      <c r="E1109" s="23" t="s">
        <v>384</v>
      </c>
      <c r="F1109">
        <v>1</v>
      </c>
      <c r="G1109" s="23" t="s">
        <v>177</v>
      </c>
      <c r="H1109">
        <v>0</v>
      </c>
      <c r="I1109">
        <v>52</v>
      </c>
      <c r="J1109" s="10">
        <v>2</v>
      </c>
      <c r="K1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109">
        <v>0</v>
      </c>
      <c r="M11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09">
        <v>34</v>
      </c>
      <c r="O1109" s="23" t="s">
        <v>242</v>
      </c>
      <c r="P1109">
        <v>34</v>
      </c>
      <c r="Q1109" s="23" t="s">
        <v>179</v>
      </c>
    </row>
    <row r="1110" spans="1:17" x14ac:dyDescent="0.25">
      <c r="A1110" s="23" t="s">
        <v>1144</v>
      </c>
      <c r="B1110" s="23" t="s">
        <v>1145</v>
      </c>
      <c r="C1110" s="23" t="s">
        <v>176</v>
      </c>
      <c r="D1110" s="23" t="s">
        <v>209</v>
      </c>
      <c r="E1110" s="23" t="s">
        <v>286</v>
      </c>
      <c r="F1110">
        <v>6</v>
      </c>
      <c r="G1110" s="23" t="s">
        <v>177</v>
      </c>
      <c r="H1110">
        <v>0</v>
      </c>
      <c r="I1110">
        <v>2600</v>
      </c>
      <c r="J1110" s="10">
        <v>292</v>
      </c>
      <c r="K1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0">
        <v>0</v>
      </c>
      <c r="M11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0">
        <v>0.4</v>
      </c>
      <c r="O1110" s="23" t="s">
        <v>242</v>
      </c>
      <c r="P1110">
        <v>2.4000000000000004</v>
      </c>
      <c r="Q1110" s="23" t="s">
        <v>181</v>
      </c>
    </row>
    <row r="1111" spans="1:17" x14ac:dyDescent="0.25">
      <c r="A1111" s="23" t="s">
        <v>1146</v>
      </c>
      <c r="B1111" s="23" t="s">
        <v>1145</v>
      </c>
      <c r="C1111" s="23" t="s">
        <v>176</v>
      </c>
      <c r="D1111" s="23" t="s">
        <v>209</v>
      </c>
      <c r="E1111" s="23" t="s">
        <v>286</v>
      </c>
      <c r="F1111">
        <v>6</v>
      </c>
      <c r="G1111" s="23" t="s">
        <v>177</v>
      </c>
      <c r="H1111">
        <v>0</v>
      </c>
      <c r="I1111">
        <v>2600</v>
      </c>
      <c r="J1111" s="10">
        <v>292</v>
      </c>
      <c r="K1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1">
        <v>0</v>
      </c>
      <c r="M11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1">
        <v>0.4</v>
      </c>
      <c r="O1111" s="23" t="s">
        <v>242</v>
      </c>
      <c r="P1111">
        <v>2.4000000000000004</v>
      </c>
      <c r="Q1111" s="23" t="s">
        <v>181</v>
      </c>
    </row>
    <row r="1112" spans="1:17" x14ac:dyDescent="0.25">
      <c r="A1112" s="23" t="s">
        <v>1057</v>
      </c>
      <c r="B1112" s="23" t="s">
        <v>1056</v>
      </c>
      <c r="C1112" s="23" t="s">
        <v>176</v>
      </c>
      <c r="D1112" s="23" t="s">
        <v>209</v>
      </c>
      <c r="E1112" s="23" t="s">
        <v>286</v>
      </c>
      <c r="F1112">
        <v>17</v>
      </c>
      <c r="G1112" s="23" t="s">
        <v>177</v>
      </c>
      <c r="H1112">
        <v>0</v>
      </c>
      <c r="I1112">
        <v>2600</v>
      </c>
      <c r="J1112" s="10">
        <v>292</v>
      </c>
      <c r="K1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2">
        <v>0</v>
      </c>
      <c r="M11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2">
        <v>0.4</v>
      </c>
      <c r="O1112" s="23" t="s">
        <v>242</v>
      </c>
      <c r="P1112">
        <v>6.8000000000000007</v>
      </c>
      <c r="Q1112" s="23" t="s">
        <v>181</v>
      </c>
    </row>
    <row r="1113" spans="1:17" x14ac:dyDescent="0.25">
      <c r="A1113" s="23" t="s">
        <v>1143</v>
      </c>
      <c r="B1113" s="23" t="s">
        <v>1054</v>
      </c>
      <c r="C1113" s="23" t="s">
        <v>176</v>
      </c>
      <c r="D1113" s="23" t="s">
        <v>209</v>
      </c>
      <c r="E1113" s="23" t="s">
        <v>286</v>
      </c>
      <c r="F1113">
        <v>62</v>
      </c>
      <c r="G1113" s="23" t="s">
        <v>177</v>
      </c>
      <c r="H1113">
        <v>0</v>
      </c>
      <c r="I1113">
        <v>2600</v>
      </c>
      <c r="J1113" s="10">
        <v>292</v>
      </c>
      <c r="K1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113">
        <v>0</v>
      </c>
      <c r="M11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3">
        <v>0.4</v>
      </c>
      <c r="O1113" s="23" t="s">
        <v>242</v>
      </c>
      <c r="P1113">
        <v>24.8</v>
      </c>
      <c r="Q1113" s="23" t="s">
        <v>181</v>
      </c>
    </row>
    <row r="1114" spans="1:17" x14ac:dyDescent="0.25">
      <c r="A1114" s="23" t="s">
        <v>1146</v>
      </c>
      <c r="B1114" s="23" t="s">
        <v>1145</v>
      </c>
      <c r="C1114" s="23" t="s">
        <v>176</v>
      </c>
      <c r="D1114" s="23" t="s">
        <v>202</v>
      </c>
      <c r="E1114" s="23" t="s">
        <v>226</v>
      </c>
      <c r="F1114">
        <v>3</v>
      </c>
      <c r="G1114" s="23" t="s">
        <v>177</v>
      </c>
      <c r="H1114">
        <v>0</v>
      </c>
      <c r="I1114">
        <v>24</v>
      </c>
      <c r="J1114" s="10">
        <v>22</v>
      </c>
      <c r="K1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114">
        <v>50</v>
      </c>
      <c r="M11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4">
        <v>44</v>
      </c>
      <c r="O1114" s="23" t="s">
        <v>505</v>
      </c>
      <c r="P1114">
        <v>132</v>
      </c>
      <c r="Q1114" s="23" t="s">
        <v>222</v>
      </c>
    </row>
    <row r="1115" spans="1:17" x14ac:dyDescent="0.25">
      <c r="A1115" s="23" t="s">
        <v>1149</v>
      </c>
      <c r="B1115" s="23" t="s">
        <v>1145</v>
      </c>
      <c r="C1115" s="23" t="s">
        <v>176</v>
      </c>
      <c r="D1115" s="23" t="s">
        <v>2</v>
      </c>
      <c r="E1115" s="23" t="s">
        <v>424</v>
      </c>
      <c r="F1115">
        <v>2</v>
      </c>
      <c r="G1115" s="23" t="s">
        <v>177</v>
      </c>
      <c r="H1115">
        <v>0</v>
      </c>
      <c r="I1115">
        <v>22</v>
      </c>
      <c r="J1115" s="10">
        <v>18</v>
      </c>
      <c r="K1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115">
        <v>10</v>
      </c>
      <c r="M11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5">
        <v>400</v>
      </c>
      <c r="O1115" s="23" t="s">
        <v>218</v>
      </c>
      <c r="P1115">
        <v>800</v>
      </c>
      <c r="Q1115" s="23" t="s">
        <v>222</v>
      </c>
    </row>
    <row r="1116" spans="1:17" x14ac:dyDescent="0.25">
      <c r="A1116" s="23" t="s">
        <v>1149</v>
      </c>
      <c r="B1116" s="23" t="s">
        <v>1145</v>
      </c>
      <c r="C1116" s="23" t="s">
        <v>176</v>
      </c>
      <c r="D1116" s="23" t="s">
        <v>373</v>
      </c>
      <c r="E1116" s="23" t="s">
        <v>374</v>
      </c>
      <c r="F1116">
        <v>6</v>
      </c>
      <c r="G1116" s="23" t="s">
        <v>177</v>
      </c>
      <c r="H1116">
        <v>0</v>
      </c>
      <c r="I1116">
        <v>85</v>
      </c>
      <c r="J1116" s="10">
        <v>34</v>
      </c>
      <c r="K1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16">
        <v>40</v>
      </c>
      <c r="M11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6">
        <v>74</v>
      </c>
      <c r="O1116" s="23" t="s">
        <v>822</v>
      </c>
      <c r="P1116">
        <v>444</v>
      </c>
      <c r="Q1116" s="23" t="s">
        <v>179</v>
      </c>
    </row>
    <row r="1117" spans="1:17" x14ac:dyDescent="0.25">
      <c r="A1117" s="23" t="s">
        <v>1146</v>
      </c>
      <c r="B1117" s="23" t="s">
        <v>1145</v>
      </c>
      <c r="C1117" s="23" t="s">
        <v>176</v>
      </c>
      <c r="D1117" s="23" t="s">
        <v>373</v>
      </c>
      <c r="E1117" s="23" t="s">
        <v>374</v>
      </c>
      <c r="F1117">
        <v>6</v>
      </c>
      <c r="G1117" s="23" t="s">
        <v>177</v>
      </c>
      <c r="H1117">
        <v>0</v>
      </c>
      <c r="I1117">
        <v>85</v>
      </c>
      <c r="J1117" s="10">
        <v>34</v>
      </c>
      <c r="K1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17">
        <v>40</v>
      </c>
      <c r="M11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7">
        <v>74</v>
      </c>
      <c r="O1117" s="23" t="s">
        <v>822</v>
      </c>
      <c r="P1117">
        <v>444</v>
      </c>
      <c r="Q1117" s="23" t="s">
        <v>179</v>
      </c>
    </row>
    <row r="1118" spans="1:17" x14ac:dyDescent="0.25">
      <c r="A1118" s="23" t="s">
        <v>1144</v>
      </c>
      <c r="B1118" s="23" t="s">
        <v>1145</v>
      </c>
      <c r="C1118" s="23" t="s">
        <v>176</v>
      </c>
      <c r="D1118" s="23" t="s">
        <v>124</v>
      </c>
      <c r="E1118" s="23" t="s">
        <v>634</v>
      </c>
      <c r="F1118">
        <v>0.2</v>
      </c>
      <c r="G1118" s="23" t="s">
        <v>180</v>
      </c>
      <c r="H1118">
        <v>0</v>
      </c>
      <c r="I1118">
        <v>200</v>
      </c>
      <c r="J1118" s="10">
        <v>1.1368683772161603E-13</v>
      </c>
      <c r="K1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118">
        <v>0</v>
      </c>
      <c r="M11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8">
        <v>2.89</v>
      </c>
      <c r="O1118" s="23" t="s">
        <v>827</v>
      </c>
      <c r="P1118">
        <v>0.57800000000000007</v>
      </c>
      <c r="Q1118" s="23" t="s">
        <v>222</v>
      </c>
    </row>
    <row r="1119" spans="1:17" x14ac:dyDescent="0.25">
      <c r="A1119" s="23" t="s">
        <v>1146</v>
      </c>
      <c r="B1119" s="23" t="s">
        <v>1145</v>
      </c>
      <c r="C1119" s="23" t="s">
        <v>176</v>
      </c>
      <c r="D1119" s="23" t="s">
        <v>124</v>
      </c>
      <c r="E1119" s="23" t="s">
        <v>634</v>
      </c>
      <c r="F1119">
        <v>0.2</v>
      </c>
      <c r="G1119" s="23" t="s">
        <v>180</v>
      </c>
      <c r="H1119">
        <v>0</v>
      </c>
      <c r="I1119">
        <v>200</v>
      </c>
      <c r="J1119" s="10">
        <v>1.1368683772161603E-13</v>
      </c>
      <c r="K1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119">
        <v>0</v>
      </c>
      <c r="M11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19">
        <v>2.89</v>
      </c>
      <c r="O1119" s="23" t="s">
        <v>827</v>
      </c>
      <c r="P1119">
        <v>0.57800000000000007</v>
      </c>
      <c r="Q1119" s="23" t="s">
        <v>222</v>
      </c>
    </row>
    <row r="1120" spans="1:17" x14ac:dyDescent="0.25">
      <c r="A1120" s="23" t="s">
        <v>1144</v>
      </c>
      <c r="B1120" s="23" t="s">
        <v>1145</v>
      </c>
      <c r="C1120" s="23" t="s">
        <v>176</v>
      </c>
      <c r="D1120" s="23" t="s">
        <v>238</v>
      </c>
      <c r="E1120" s="23" t="s">
        <v>306</v>
      </c>
      <c r="F1120">
        <v>2</v>
      </c>
      <c r="G1120" s="23" t="s">
        <v>177</v>
      </c>
      <c r="H1120">
        <v>0</v>
      </c>
      <c r="I1120">
        <v>455</v>
      </c>
      <c r="J1120" s="10">
        <v>23</v>
      </c>
      <c r="K1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120">
        <v>0</v>
      </c>
      <c r="M11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0">
        <v>20</v>
      </c>
      <c r="O1120" s="23"/>
      <c r="P1120">
        <v>40</v>
      </c>
      <c r="Q1120" s="23" t="s">
        <v>222</v>
      </c>
    </row>
    <row r="1121" spans="1:17" x14ac:dyDescent="0.25">
      <c r="A1121" s="23" t="s">
        <v>1146</v>
      </c>
      <c r="B1121" s="23" t="s">
        <v>1145</v>
      </c>
      <c r="C1121" s="23" t="s">
        <v>176</v>
      </c>
      <c r="D1121" s="23" t="s">
        <v>238</v>
      </c>
      <c r="E1121" s="23" t="s">
        <v>306</v>
      </c>
      <c r="F1121">
        <v>2</v>
      </c>
      <c r="G1121" s="23" t="s">
        <v>177</v>
      </c>
      <c r="H1121">
        <v>0</v>
      </c>
      <c r="I1121">
        <v>455</v>
      </c>
      <c r="J1121" s="10">
        <v>23</v>
      </c>
      <c r="K1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121">
        <v>0</v>
      </c>
      <c r="M11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1">
        <v>20</v>
      </c>
      <c r="O1121" s="23"/>
      <c r="P1121">
        <v>40</v>
      </c>
      <c r="Q1121" s="23" t="s">
        <v>222</v>
      </c>
    </row>
    <row r="1122" spans="1:17" x14ac:dyDescent="0.25">
      <c r="A1122" s="23" t="s">
        <v>1197</v>
      </c>
      <c r="B1122" s="23" t="s">
        <v>1198</v>
      </c>
      <c r="C1122" s="23" t="s">
        <v>176</v>
      </c>
      <c r="D1122" s="23" t="s">
        <v>1229</v>
      </c>
      <c r="E1122" s="23" t="s">
        <v>1230</v>
      </c>
      <c r="F1122">
        <v>4</v>
      </c>
      <c r="G1122" s="23" t="s">
        <v>177</v>
      </c>
      <c r="H1122">
        <v>0</v>
      </c>
      <c r="I1122">
        <v>0</v>
      </c>
      <c r="J1122" s="10">
        <v>0</v>
      </c>
      <c r="K1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1122">
        <v>0</v>
      </c>
      <c r="M11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14357.64</v>
      </c>
      <c r="N1122">
        <v>3589.41</v>
      </c>
      <c r="O1122" s="23" t="s">
        <v>635</v>
      </c>
      <c r="P1122">
        <v>14357.64</v>
      </c>
      <c r="Q1122" s="23" t="s">
        <v>178</v>
      </c>
    </row>
    <row r="1123" spans="1:17" x14ac:dyDescent="0.25">
      <c r="A1123" s="23" t="s">
        <v>1062</v>
      </c>
      <c r="B1123" s="23" t="s">
        <v>1053</v>
      </c>
      <c r="C1123" s="23" t="s">
        <v>176</v>
      </c>
      <c r="D1123" s="23" t="s">
        <v>574</v>
      </c>
      <c r="E1123" s="23" t="s">
        <v>575</v>
      </c>
      <c r="F1123">
        <v>0.7</v>
      </c>
      <c r="G1123" s="23" t="s">
        <v>177</v>
      </c>
      <c r="H1123">
        <v>0</v>
      </c>
      <c r="I1123">
        <v>24</v>
      </c>
      <c r="J1123" s="10">
        <v>-5.6843418860808015E-14</v>
      </c>
      <c r="K1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123">
        <v>0</v>
      </c>
      <c r="M11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3">
        <v>120</v>
      </c>
      <c r="O1123" s="23" t="s">
        <v>242</v>
      </c>
      <c r="P1123">
        <v>84</v>
      </c>
      <c r="Q1123" s="23" t="s">
        <v>184</v>
      </c>
    </row>
    <row r="1124" spans="1:17" x14ac:dyDescent="0.25">
      <c r="A1124" s="23" t="s">
        <v>1097</v>
      </c>
      <c r="B1124" s="23" t="s">
        <v>1095</v>
      </c>
      <c r="C1124" s="23" t="s">
        <v>176</v>
      </c>
      <c r="D1124" s="23" t="s">
        <v>574</v>
      </c>
      <c r="E1124" s="23" t="s">
        <v>575</v>
      </c>
      <c r="F1124">
        <v>0.7</v>
      </c>
      <c r="G1124" s="23" t="s">
        <v>177</v>
      </c>
      <c r="H1124">
        <v>0</v>
      </c>
      <c r="I1124">
        <v>24</v>
      </c>
      <c r="J1124" s="10">
        <v>-5.6843418860808015E-14</v>
      </c>
      <c r="K1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124">
        <v>0</v>
      </c>
      <c r="M11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4">
        <v>120</v>
      </c>
      <c r="O1124" s="23" t="s">
        <v>242</v>
      </c>
      <c r="P1124">
        <v>84</v>
      </c>
      <c r="Q1124" s="23" t="s">
        <v>184</v>
      </c>
    </row>
    <row r="1125" spans="1:17" x14ac:dyDescent="0.25">
      <c r="A1125" s="23" t="s">
        <v>1149</v>
      </c>
      <c r="B1125" s="23" t="s">
        <v>1145</v>
      </c>
      <c r="C1125" s="23" t="s">
        <v>176</v>
      </c>
      <c r="D1125" s="23" t="s">
        <v>574</v>
      </c>
      <c r="E1125" s="23" t="s">
        <v>575</v>
      </c>
      <c r="F1125">
        <v>1</v>
      </c>
      <c r="G1125" s="23" t="s">
        <v>177</v>
      </c>
      <c r="H1125">
        <v>0</v>
      </c>
      <c r="I1125">
        <v>24</v>
      </c>
      <c r="J1125" s="10">
        <v>-5.6843418860808015E-14</v>
      </c>
      <c r="K1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125">
        <v>0</v>
      </c>
      <c r="M11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5">
        <v>120</v>
      </c>
      <c r="O1125" s="23" t="s">
        <v>242</v>
      </c>
      <c r="P1125">
        <v>120</v>
      </c>
      <c r="Q1125" s="23" t="s">
        <v>184</v>
      </c>
    </row>
    <row r="1126" spans="1:17" x14ac:dyDescent="0.25">
      <c r="A1126" s="23" t="s">
        <v>1150</v>
      </c>
      <c r="B1126" s="23" t="s">
        <v>1145</v>
      </c>
      <c r="C1126" s="23" t="s">
        <v>176</v>
      </c>
      <c r="D1126" s="23" t="s">
        <v>202</v>
      </c>
      <c r="E1126" s="23" t="s">
        <v>226</v>
      </c>
      <c r="F1126">
        <v>3</v>
      </c>
      <c r="G1126" s="23" t="s">
        <v>177</v>
      </c>
      <c r="H1126">
        <v>0</v>
      </c>
      <c r="I1126">
        <v>24</v>
      </c>
      <c r="J1126" s="10">
        <v>22</v>
      </c>
      <c r="K1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126">
        <v>50</v>
      </c>
      <c r="M11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6">
        <v>44</v>
      </c>
      <c r="O1126" s="23" t="s">
        <v>505</v>
      </c>
      <c r="P1126">
        <v>132</v>
      </c>
      <c r="Q1126" s="23" t="s">
        <v>222</v>
      </c>
    </row>
    <row r="1127" spans="1:17" x14ac:dyDescent="0.25">
      <c r="A1127" s="23" t="s">
        <v>1150</v>
      </c>
      <c r="B1127" s="23" t="s">
        <v>1145</v>
      </c>
      <c r="C1127" s="23" t="s">
        <v>176</v>
      </c>
      <c r="D1127" s="23" t="s">
        <v>373</v>
      </c>
      <c r="E1127" s="23" t="s">
        <v>374</v>
      </c>
      <c r="F1127">
        <v>6</v>
      </c>
      <c r="G1127" s="23" t="s">
        <v>177</v>
      </c>
      <c r="H1127">
        <v>0</v>
      </c>
      <c r="I1127">
        <v>85</v>
      </c>
      <c r="J1127" s="10">
        <v>34</v>
      </c>
      <c r="K1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127">
        <v>40</v>
      </c>
      <c r="M11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7">
        <v>74</v>
      </c>
      <c r="O1127" s="23" t="s">
        <v>822</v>
      </c>
      <c r="P1127">
        <v>444</v>
      </c>
      <c r="Q1127" s="23" t="s">
        <v>179</v>
      </c>
    </row>
    <row r="1128" spans="1:17" x14ac:dyDescent="0.25">
      <c r="A1128" s="23" t="s">
        <v>1150</v>
      </c>
      <c r="B1128" s="23" t="s">
        <v>1145</v>
      </c>
      <c r="C1128" s="23" t="s">
        <v>176</v>
      </c>
      <c r="D1128" s="23" t="s">
        <v>801</v>
      </c>
      <c r="E1128" s="23" t="s">
        <v>802</v>
      </c>
      <c r="F1128">
        <v>3</v>
      </c>
      <c r="G1128" s="23" t="s">
        <v>177</v>
      </c>
      <c r="H1128">
        <v>0</v>
      </c>
      <c r="I1128">
        <v>400</v>
      </c>
      <c r="J1128" s="10">
        <v>0</v>
      </c>
      <c r="K1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1128">
        <v>0</v>
      </c>
      <c r="M11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8">
        <v>10</v>
      </c>
      <c r="O1128" s="23" t="s">
        <v>227</v>
      </c>
      <c r="P1128">
        <v>30</v>
      </c>
      <c r="Q1128" s="23" t="s">
        <v>181</v>
      </c>
    </row>
    <row r="1129" spans="1:17" x14ac:dyDescent="0.25">
      <c r="A1129" s="23" t="s">
        <v>1197</v>
      </c>
      <c r="B1129" s="23" t="s">
        <v>1198</v>
      </c>
      <c r="C1129" s="23" t="s">
        <v>176</v>
      </c>
      <c r="D1129" s="23" t="s">
        <v>574</v>
      </c>
      <c r="E1129" s="23" t="s">
        <v>575</v>
      </c>
      <c r="F1129">
        <v>1</v>
      </c>
      <c r="G1129" s="23" t="s">
        <v>177</v>
      </c>
      <c r="H1129">
        <v>0</v>
      </c>
      <c r="I1129">
        <v>24</v>
      </c>
      <c r="J1129" s="10">
        <v>-5.6843418860808015E-14</v>
      </c>
      <c r="K1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129">
        <v>0</v>
      </c>
      <c r="M11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29">
        <v>120</v>
      </c>
      <c r="O1129" s="23" t="s">
        <v>242</v>
      </c>
      <c r="P1129">
        <v>120</v>
      </c>
      <c r="Q1129" s="23" t="s">
        <v>184</v>
      </c>
    </row>
    <row r="1130" spans="1:17" x14ac:dyDescent="0.25">
      <c r="A1130" s="23" t="s">
        <v>1098</v>
      </c>
      <c r="B1130" s="23" t="s">
        <v>1053</v>
      </c>
      <c r="C1130" s="23" t="s">
        <v>176</v>
      </c>
      <c r="D1130" s="23" t="s">
        <v>574</v>
      </c>
      <c r="E1130" s="23" t="s">
        <v>575</v>
      </c>
      <c r="F1130">
        <v>0.7</v>
      </c>
      <c r="G1130" s="23" t="s">
        <v>177</v>
      </c>
      <c r="H1130">
        <v>0</v>
      </c>
      <c r="I1130">
        <v>24</v>
      </c>
      <c r="J1130" s="10">
        <v>-5.6843418860808015E-14</v>
      </c>
      <c r="K1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130">
        <v>0</v>
      </c>
      <c r="M11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0">
        <v>120</v>
      </c>
      <c r="O1130" s="23" t="s">
        <v>242</v>
      </c>
      <c r="P1130">
        <v>84</v>
      </c>
      <c r="Q1130" s="23" t="s">
        <v>184</v>
      </c>
    </row>
    <row r="1131" spans="1:17" x14ac:dyDescent="0.25">
      <c r="A1131" s="23" t="s">
        <v>1097</v>
      </c>
      <c r="B1131" s="23" t="s">
        <v>1095</v>
      </c>
      <c r="C1131" s="23" t="s">
        <v>176</v>
      </c>
      <c r="D1131" s="23" t="s">
        <v>1131</v>
      </c>
      <c r="E1131" s="23" t="s">
        <v>1132</v>
      </c>
      <c r="F1131">
        <v>1</v>
      </c>
      <c r="G1131" s="23" t="s">
        <v>177</v>
      </c>
      <c r="H1131">
        <v>0</v>
      </c>
      <c r="I1131">
        <v>0</v>
      </c>
      <c r="J1131" s="10">
        <v>0</v>
      </c>
      <c r="K1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1131">
        <v>0</v>
      </c>
      <c r="M11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40950.03</v>
      </c>
      <c r="N1131">
        <v>13650.01</v>
      </c>
      <c r="O1131" s="23" t="s">
        <v>228</v>
      </c>
      <c r="P1131">
        <v>13650.01</v>
      </c>
      <c r="Q1131" s="23" t="s">
        <v>222</v>
      </c>
    </row>
    <row r="1132" spans="1:17" x14ac:dyDescent="0.25">
      <c r="A1132" s="23" t="s">
        <v>1097</v>
      </c>
      <c r="B1132" s="23" t="s">
        <v>1095</v>
      </c>
      <c r="C1132" s="23" t="s">
        <v>176</v>
      </c>
      <c r="D1132" s="23" t="s">
        <v>202</v>
      </c>
      <c r="E1132" s="23" t="s">
        <v>226</v>
      </c>
      <c r="F1132">
        <v>3</v>
      </c>
      <c r="G1132" s="23" t="s">
        <v>177</v>
      </c>
      <c r="H1132">
        <v>0</v>
      </c>
      <c r="I1132">
        <v>24</v>
      </c>
      <c r="J1132" s="10">
        <v>22</v>
      </c>
      <c r="K1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132">
        <v>50</v>
      </c>
      <c r="M11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2">
        <v>44</v>
      </c>
      <c r="O1132" s="23" t="s">
        <v>505</v>
      </c>
      <c r="P1132">
        <v>132</v>
      </c>
      <c r="Q1132" s="23" t="s">
        <v>222</v>
      </c>
    </row>
    <row r="1133" spans="1:17" x14ac:dyDescent="0.25">
      <c r="A1133" s="23" t="s">
        <v>1197</v>
      </c>
      <c r="B1133" s="23" t="s">
        <v>1198</v>
      </c>
      <c r="C1133" s="23" t="s">
        <v>176</v>
      </c>
      <c r="D1133" s="23" t="s">
        <v>2</v>
      </c>
      <c r="E1133" s="23" t="s">
        <v>424</v>
      </c>
      <c r="F1133">
        <v>2</v>
      </c>
      <c r="G1133" s="23" t="s">
        <v>177</v>
      </c>
      <c r="H1133">
        <v>0</v>
      </c>
      <c r="I1133">
        <v>22</v>
      </c>
      <c r="J1133" s="10">
        <v>18</v>
      </c>
      <c r="K1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133">
        <v>10</v>
      </c>
      <c r="M11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3">
        <v>400</v>
      </c>
      <c r="O1133" s="23" t="s">
        <v>218</v>
      </c>
      <c r="P1133">
        <v>800</v>
      </c>
      <c r="Q1133" s="23" t="s">
        <v>222</v>
      </c>
    </row>
    <row r="1134" spans="1:17" x14ac:dyDescent="0.25">
      <c r="A1134" s="23" t="s">
        <v>1144</v>
      </c>
      <c r="B1134" s="23" t="s">
        <v>1145</v>
      </c>
      <c r="C1134" s="23" t="s">
        <v>176</v>
      </c>
      <c r="D1134" s="23" t="s">
        <v>395</v>
      </c>
      <c r="E1134" s="23" t="s">
        <v>396</v>
      </c>
      <c r="F1134">
        <v>3.1</v>
      </c>
      <c r="G1134" s="23" t="s">
        <v>177</v>
      </c>
      <c r="H1134">
        <v>0</v>
      </c>
      <c r="I1134">
        <v>17</v>
      </c>
      <c r="J1134" s="10">
        <v>3.0000000000000124</v>
      </c>
      <c r="K1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134">
        <v>0</v>
      </c>
      <c r="M11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134">
        <v>145.83000000000001</v>
      </c>
      <c r="O1134" s="23" t="s">
        <v>629</v>
      </c>
      <c r="P1134">
        <v>452.07300000000004</v>
      </c>
      <c r="Q1134" s="23" t="s">
        <v>184</v>
      </c>
    </row>
    <row r="1135" spans="1:17" x14ac:dyDescent="0.25">
      <c r="A1135" s="23" t="s">
        <v>1146</v>
      </c>
      <c r="B1135" s="23" t="s">
        <v>1145</v>
      </c>
      <c r="C1135" s="23" t="s">
        <v>176</v>
      </c>
      <c r="D1135" s="23" t="s">
        <v>395</v>
      </c>
      <c r="E1135" s="23" t="s">
        <v>396</v>
      </c>
      <c r="F1135">
        <v>3.1</v>
      </c>
      <c r="G1135" s="23" t="s">
        <v>177</v>
      </c>
      <c r="H1135">
        <v>0</v>
      </c>
      <c r="I1135">
        <v>17</v>
      </c>
      <c r="J1135" s="10">
        <v>3.0000000000000124</v>
      </c>
      <c r="K1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135">
        <v>0</v>
      </c>
      <c r="M11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135">
        <v>145.83000000000001</v>
      </c>
      <c r="O1135" s="23" t="s">
        <v>629</v>
      </c>
      <c r="P1135">
        <v>452.07300000000004</v>
      </c>
      <c r="Q1135" s="23" t="s">
        <v>184</v>
      </c>
    </row>
    <row r="1136" spans="1:17" x14ac:dyDescent="0.25">
      <c r="A1136" s="23" t="s">
        <v>1144</v>
      </c>
      <c r="B1136" s="23" t="s">
        <v>1145</v>
      </c>
      <c r="C1136" s="23" t="s">
        <v>176</v>
      </c>
      <c r="D1136" s="23" t="s">
        <v>89</v>
      </c>
      <c r="E1136" s="23" t="s">
        <v>90</v>
      </c>
      <c r="F1136">
        <v>3.3</v>
      </c>
      <c r="G1136" s="23" t="s">
        <v>180</v>
      </c>
      <c r="H1136">
        <v>0</v>
      </c>
      <c r="I1136">
        <v>125</v>
      </c>
      <c r="J1136" s="10">
        <v>37.499999999999957</v>
      </c>
      <c r="K1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136">
        <v>0</v>
      </c>
      <c r="M11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36">
        <v>44</v>
      </c>
      <c r="O1136" s="23" t="s">
        <v>315</v>
      </c>
      <c r="P1136">
        <v>145.19999999999999</v>
      </c>
      <c r="Q1136" s="23" t="s">
        <v>179</v>
      </c>
    </row>
    <row r="1137" spans="1:17" x14ac:dyDescent="0.25">
      <c r="A1137" s="23" t="s">
        <v>1055</v>
      </c>
      <c r="B1137" s="23" t="s">
        <v>1056</v>
      </c>
      <c r="C1137" s="23" t="s">
        <v>176</v>
      </c>
      <c r="D1137" s="23" t="s">
        <v>395</v>
      </c>
      <c r="E1137" s="23" t="s">
        <v>396</v>
      </c>
      <c r="F1137">
        <v>0.1</v>
      </c>
      <c r="G1137" s="23" t="s">
        <v>177</v>
      </c>
      <c r="H1137">
        <v>0</v>
      </c>
      <c r="I1137">
        <v>17</v>
      </c>
      <c r="J1137" s="10">
        <v>3.0000000000000124</v>
      </c>
      <c r="K1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137">
        <v>0</v>
      </c>
      <c r="M11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137">
        <v>145.83000000000001</v>
      </c>
      <c r="O1137" s="23" t="s">
        <v>629</v>
      </c>
      <c r="P1137">
        <v>14.583000000000002</v>
      </c>
      <c r="Q1137" s="23" t="s">
        <v>184</v>
      </c>
    </row>
    <row r="1138" spans="1:17" x14ac:dyDescent="0.25">
      <c r="A1138" s="23" t="s">
        <v>1099</v>
      </c>
      <c r="B1138" s="23" t="s">
        <v>1056</v>
      </c>
      <c r="C1138" s="23" t="s">
        <v>176</v>
      </c>
      <c r="D1138" s="23" t="s">
        <v>395</v>
      </c>
      <c r="E1138" s="23" t="s">
        <v>396</v>
      </c>
      <c r="F1138">
        <v>0.1</v>
      </c>
      <c r="G1138" s="23" t="s">
        <v>177</v>
      </c>
      <c r="H1138">
        <v>0</v>
      </c>
      <c r="I1138">
        <v>17</v>
      </c>
      <c r="J1138" s="10">
        <v>3.0000000000000124</v>
      </c>
      <c r="K1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138">
        <v>0</v>
      </c>
      <c r="M11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138">
        <v>145.83000000000001</v>
      </c>
      <c r="O1138" s="23" t="s">
        <v>629</v>
      </c>
      <c r="P1138">
        <v>14.583000000000002</v>
      </c>
      <c r="Q1138" s="23" t="s">
        <v>184</v>
      </c>
    </row>
    <row r="1139" spans="1:17" x14ac:dyDescent="0.25">
      <c r="A1139" s="23" t="s">
        <v>1148</v>
      </c>
      <c r="B1139" s="23" t="s">
        <v>1054</v>
      </c>
      <c r="C1139" s="23" t="s">
        <v>176</v>
      </c>
      <c r="D1139" s="23" t="s">
        <v>395</v>
      </c>
      <c r="E1139" s="23" t="s">
        <v>396</v>
      </c>
      <c r="F1139">
        <v>1</v>
      </c>
      <c r="G1139" s="23" t="s">
        <v>177</v>
      </c>
      <c r="H1139">
        <v>0</v>
      </c>
      <c r="I1139">
        <v>17</v>
      </c>
      <c r="J1139" s="10">
        <v>3.0000000000000124</v>
      </c>
      <c r="K1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139">
        <v>0</v>
      </c>
      <c r="M11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139">
        <v>145.83000000000001</v>
      </c>
      <c r="O1139" s="23" t="s">
        <v>629</v>
      </c>
      <c r="P1139">
        <v>145.83000000000001</v>
      </c>
      <c r="Q1139" s="23" t="s">
        <v>184</v>
      </c>
    </row>
    <row r="1140" spans="1:17" x14ac:dyDescent="0.25">
      <c r="A1140" s="23" t="s">
        <v>1143</v>
      </c>
      <c r="B1140" s="23" t="s">
        <v>1054</v>
      </c>
      <c r="C1140" s="23" t="s">
        <v>176</v>
      </c>
      <c r="D1140" s="23" t="s">
        <v>0</v>
      </c>
      <c r="E1140" s="23" t="s">
        <v>1</v>
      </c>
      <c r="F1140">
        <v>2</v>
      </c>
      <c r="G1140" s="23" t="s">
        <v>177</v>
      </c>
      <c r="H1140">
        <v>0</v>
      </c>
      <c r="I1140">
        <v>69</v>
      </c>
      <c r="J1140" s="10">
        <v>22</v>
      </c>
      <c r="K1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40">
        <v>0</v>
      </c>
      <c r="M11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0">
        <v>640</v>
      </c>
      <c r="O1140" s="23" t="s">
        <v>221</v>
      </c>
      <c r="P1140">
        <v>1280</v>
      </c>
      <c r="Q1140" s="23" t="s">
        <v>222</v>
      </c>
    </row>
    <row r="1141" spans="1:17" x14ac:dyDescent="0.25">
      <c r="A1141" s="23" t="s">
        <v>1150</v>
      </c>
      <c r="B1141" s="23" t="s">
        <v>1145</v>
      </c>
      <c r="C1141" s="23" t="s">
        <v>176</v>
      </c>
      <c r="D1141" s="23" t="s">
        <v>111</v>
      </c>
      <c r="E1141" s="23" t="s">
        <v>112</v>
      </c>
      <c r="F1141">
        <v>1</v>
      </c>
      <c r="G1141" s="23" t="s">
        <v>177</v>
      </c>
      <c r="H1141">
        <v>0</v>
      </c>
      <c r="I1141">
        <v>2</v>
      </c>
      <c r="J1141" s="10">
        <v>8</v>
      </c>
      <c r="K1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41">
        <v>11</v>
      </c>
      <c r="M11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1">
        <v>675</v>
      </c>
      <c r="O1141" s="23" t="s">
        <v>633</v>
      </c>
      <c r="P1141">
        <v>675</v>
      </c>
      <c r="Q1141" s="23" t="s">
        <v>178</v>
      </c>
    </row>
    <row r="1142" spans="1:17" x14ac:dyDescent="0.25">
      <c r="A1142" s="23" t="s">
        <v>1149</v>
      </c>
      <c r="B1142" s="23" t="s">
        <v>1145</v>
      </c>
      <c r="C1142" s="23" t="s">
        <v>176</v>
      </c>
      <c r="D1142" s="23" t="s">
        <v>0</v>
      </c>
      <c r="E1142" s="23" t="s">
        <v>1</v>
      </c>
      <c r="F1142">
        <v>2</v>
      </c>
      <c r="G1142" s="23" t="s">
        <v>177</v>
      </c>
      <c r="H1142">
        <v>0</v>
      </c>
      <c r="I1142">
        <v>69</v>
      </c>
      <c r="J1142" s="10">
        <v>22</v>
      </c>
      <c r="K1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42">
        <v>0</v>
      </c>
      <c r="M11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2">
        <v>640</v>
      </c>
      <c r="O1142" s="23" t="s">
        <v>221</v>
      </c>
      <c r="P1142">
        <v>1280</v>
      </c>
      <c r="Q1142" s="23" t="s">
        <v>222</v>
      </c>
    </row>
    <row r="1143" spans="1:17" x14ac:dyDescent="0.25">
      <c r="A1143" s="23" t="s">
        <v>1150</v>
      </c>
      <c r="B1143" s="23" t="s">
        <v>1145</v>
      </c>
      <c r="C1143" s="23" t="s">
        <v>176</v>
      </c>
      <c r="D1143" s="23" t="s">
        <v>230</v>
      </c>
      <c r="E1143" s="23" t="s">
        <v>231</v>
      </c>
      <c r="F1143">
        <v>2</v>
      </c>
      <c r="G1143" s="23" t="s">
        <v>177</v>
      </c>
      <c r="H1143">
        <v>0</v>
      </c>
      <c r="I1143">
        <v>238</v>
      </c>
      <c r="J1143" s="10">
        <v>90</v>
      </c>
      <c r="K1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143">
        <v>0</v>
      </c>
      <c r="M11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3">
        <v>4</v>
      </c>
      <c r="O1143" s="23" t="s">
        <v>221</v>
      </c>
      <c r="P1143">
        <v>8</v>
      </c>
      <c r="Q1143" s="23" t="s">
        <v>222</v>
      </c>
    </row>
    <row r="1144" spans="1:17" x14ac:dyDescent="0.25">
      <c r="A1144" s="23" t="s">
        <v>1149</v>
      </c>
      <c r="B1144" s="23" t="s">
        <v>1145</v>
      </c>
      <c r="C1144" s="23" t="s">
        <v>176</v>
      </c>
      <c r="D1144" s="23" t="s">
        <v>58</v>
      </c>
      <c r="E1144" s="23" t="s">
        <v>59</v>
      </c>
      <c r="F1144">
        <v>1</v>
      </c>
      <c r="G1144" s="23" t="s">
        <v>177</v>
      </c>
      <c r="H1144">
        <v>0</v>
      </c>
      <c r="I1144">
        <v>18</v>
      </c>
      <c r="J1144" s="10">
        <v>10</v>
      </c>
      <c r="K1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144">
        <v>0</v>
      </c>
      <c r="M11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4">
        <v>1094.4000000000001</v>
      </c>
      <c r="O1144" s="23" t="s">
        <v>827</v>
      </c>
      <c r="P1144">
        <v>1094.4000000000001</v>
      </c>
      <c r="Q1144" s="23" t="s">
        <v>222</v>
      </c>
    </row>
    <row r="1145" spans="1:17" x14ac:dyDescent="0.25">
      <c r="A1145" s="23" t="s">
        <v>1149</v>
      </c>
      <c r="B1145" s="23" t="s">
        <v>1145</v>
      </c>
      <c r="C1145" s="23" t="s">
        <v>176</v>
      </c>
      <c r="D1145" s="23" t="s">
        <v>377</v>
      </c>
      <c r="E1145" s="23" t="s">
        <v>378</v>
      </c>
      <c r="F1145">
        <v>3</v>
      </c>
      <c r="G1145" s="23" t="s">
        <v>177</v>
      </c>
      <c r="H1145">
        <v>0</v>
      </c>
      <c r="I1145">
        <v>38</v>
      </c>
      <c r="J1145" s="10">
        <v>25</v>
      </c>
      <c r="K1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145">
        <v>20</v>
      </c>
      <c r="M11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5">
        <v>245</v>
      </c>
      <c r="O1145" s="23" t="s">
        <v>822</v>
      </c>
      <c r="P1145">
        <v>735</v>
      </c>
      <c r="Q1145" s="23" t="s">
        <v>179</v>
      </c>
    </row>
    <row r="1146" spans="1:17" x14ac:dyDescent="0.25">
      <c r="A1146" s="23" t="s">
        <v>1144</v>
      </c>
      <c r="B1146" s="23" t="s">
        <v>1145</v>
      </c>
      <c r="C1146" s="23" t="s">
        <v>176</v>
      </c>
      <c r="D1146" s="23" t="s">
        <v>243</v>
      </c>
      <c r="E1146" s="23" t="s">
        <v>244</v>
      </c>
      <c r="F1146">
        <v>1</v>
      </c>
      <c r="G1146" s="23" t="s">
        <v>177</v>
      </c>
      <c r="H1146">
        <v>0</v>
      </c>
      <c r="I1146">
        <v>49</v>
      </c>
      <c r="J1146" s="10">
        <v>1.599999999999973</v>
      </c>
      <c r="K1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1146">
        <v>0</v>
      </c>
      <c r="M11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6">
        <v>60</v>
      </c>
      <c r="O1146" s="23" t="s">
        <v>491</v>
      </c>
      <c r="P1146">
        <v>60</v>
      </c>
      <c r="Q1146" s="23" t="s">
        <v>181</v>
      </c>
    </row>
    <row r="1147" spans="1:17" x14ac:dyDescent="0.25">
      <c r="A1147" s="23" t="s">
        <v>1197</v>
      </c>
      <c r="B1147" s="23" t="s">
        <v>1198</v>
      </c>
      <c r="C1147" s="23" t="s">
        <v>176</v>
      </c>
      <c r="D1147" s="23" t="s">
        <v>1227</v>
      </c>
      <c r="E1147" s="23" t="s">
        <v>1228</v>
      </c>
      <c r="F1147">
        <v>1</v>
      </c>
      <c r="G1147" s="23" t="s">
        <v>177</v>
      </c>
      <c r="H1147">
        <v>0</v>
      </c>
      <c r="I1147">
        <v>1</v>
      </c>
      <c r="J1147" s="10">
        <v>0</v>
      </c>
      <c r="K1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47">
        <v>0</v>
      </c>
      <c r="M11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7">
        <v>4396.6000000000004</v>
      </c>
      <c r="O1147" s="23" t="s">
        <v>635</v>
      </c>
      <c r="P1147">
        <v>4396.6000000000004</v>
      </c>
      <c r="Q1147" s="23" t="s">
        <v>178</v>
      </c>
    </row>
    <row r="1148" spans="1:17" x14ac:dyDescent="0.25">
      <c r="A1148" s="23" t="s">
        <v>1197</v>
      </c>
      <c r="B1148" s="23" t="s">
        <v>1198</v>
      </c>
      <c r="C1148" s="23" t="s">
        <v>176</v>
      </c>
      <c r="D1148" s="23" t="s">
        <v>111</v>
      </c>
      <c r="E1148" s="23" t="s">
        <v>112</v>
      </c>
      <c r="F1148">
        <v>1</v>
      </c>
      <c r="G1148" s="23" t="s">
        <v>177</v>
      </c>
      <c r="H1148">
        <v>0</v>
      </c>
      <c r="I1148">
        <v>2</v>
      </c>
      <c r="J1148" s="10">
        <v>8</v>
      </c>
      <c r="K1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48">
        <v>11</v>
      </c>
      <c r="M11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8">
        <v>675</v>
      </c>
      <c r="O1148" s="23" t="s">
        <v>633</v>
      </c>
      <c r="P1148">
        <v>675</v>
      </c>
      <c r="Q1148" s="23" t="s">
        <v>178</v>
      </c>
    </row>
    <row r="1149" spans="1:17" x14ac:dyDescent="0.25">
      <c r="A1149" s="23" t="s">
        <v>1197</v>
      </c>
      <c r="B1149" s="23" t="s">
        <v>1198</v>
      </c>
      <c r="C1149" s="23" t="s">
        <v>176</v>
      </c>
      <c r="D1149" s="23" t="s">
        <v>654</v>
      </c>
      <c r="E1149" s="23" t="s">
        <v>655</v>
      </c>
      <c r="F1149">
        <v>0.05</v>
      </c>
      <c r="G1149" s="23" t="s">
        <v>186</v>
      </c>
      <c r="H1149">
        <v>0</v>
      </c>
      <c r="I1149">
        <v>1.8</v>
      </c>
      <c r="J1149" s="10">
        <v>0.85000000000000098</v>
      </c>
      <c r="K1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1149">
        <v>1.75</v>
      </c>
      <c r="M11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49">
        <v>645.64</v>
      </c>
      <c r="O1149" s="23" t="s">
        <v>491</v>
      </c>
      <c r="P1149">
        <v>32.282000000000004</v>
      </c>
      <c r="Q1149" s="23" t="s">
        <v>184</v>
      </c>
    </row>
    <row r="1150" spans="1:17" x14ac:dyDescent="0.25">
      <c r="A1150" s="23" t="s">
        <v>1146</v>
      </c>
      <c r="B1150" s="23" t="s">
        <v>1145</v>
      </c>
      <c r="C1150" s="23" t="s">
        <v>176</v>
      </c>
      <c r="D1150" s="23" t="s">
        <v>113</v>
      </c>
      <c r="E1150" s="23" t="s">
        <v>114</v>
      </c>
      <c r="F1150">
        <v>1</v>
      </c>
      <c r="G1150" s="23" t="s">
        <v>177</v>
      </c>
      <c r="H1150">
        <v>0</v>
      </c>
      <c r="I1150">
        <v>2</v>
      </c>
      <c r="J1150" s="10">
        <v>4</v>
      </c>
      <c r="K1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50">
        <v>0</v>
      </c>
      <c r="M11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150">
        <v>7450</v>
      </c>
      <c r="O1150" s="23" t="s">
        <v>585</v>
      </c>
      <c r="P1150">
        <v>7450</v>
      </c>
      <c r="Q1150" s="23" t="s">
        <v>178</v>
      </c>
    </row>
    <row r="1151" spans="1:17" x14ac:dyDescent="0.25">
      <c r="A1151" s="23" t="s">
        <v>1144</v>
      </c>
      <c r="B1151" s="23" t="s">
        <v>1145</v>
      </c>
      <c r="C1151" s="23" t="s">
        <v>176</v>
      </c>
      <c r="D1151" s="23" t="s">
        <v>113</v>
      </c>
      <c r="E1151" s="23" t="s">
        <v>114</v>
      </c>
      <c r="F1151">
        <v>1</v>
      </c>
      <c r="G1151" s="23" t="s">
        <v>177</v>
      </c>
      <c r="H1151">
        <v>0</v>
      </c>
      <c r="I1151">
        <v>2</v>
      </c>
      <c r="J1151" s="10">
        <v>4</v>
      </c>
      <c r="K1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51">
        <v>0</v>
      </c>
      <c r="M11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151">
        <v>7450</v>
      </c>
      <c r="O1151" s="23" t="s">
        <v>585</v>
      </c>
      <c r="P1151">
        <v>7450</v>
      </c>
      <c r="Q1151" s="23" t="s">
        <v>178</v>
      </c>
    </row>
    <row r="1152" spans="1:17" x14ac:dyDescent="0.25">
      <c r="A1152" s="23" t="s">
        <v>1150</v>
      </c>
      <c r="B1152" s="23" t="s">
        <v>1145</v>
      </c>
      <c r="C1152" s="23" t="s">
        <v>176</v>
      </c>
      <c r="D1152" s="23" t="s">
        <v>654</v>
      </c>
      <c r="E1152" s="23" t="s">
        <v>655</v>
      </c>
      <c r="F1152">
        <v>0.05</v>
      </c>
      <c r="G1152" s="23" t="s">
        <v>186</v>
      </c>
      <c r="H1152">
        <v>0</v>
      </c>
      <c r="I1152">
        <v>1.8</v>
      </c>
      <c r="J1152" s="10">
        <v>0.85000000000000098</v>
      </c>
      <c r="K1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1152">
        <v>1.75</v>
      </c>
      <c r="M11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2">
        <v>645.64</v>
      </c>
      <c r="O1152" s="23" t="s">
        <v>491</v>
      </c>
      <c r="P1152">
        <v>32.282000000000004</v>
      </c>
      <c r="Q1152" s="23" t="s">
        <v>184</v>
      </c>
    </row>
    <row r="1153" spans="1:17" x14ac:dyDescent="0.25">
      <c r="A1153" s="23" t="s">
        <v>1150</v>
      </c>
      <c r="B1153" s="23" t="s">
        <v>1145</v>
      </c>
      <c r="C1153" s="23" t="s">
        <v>176</v>
      </c>
      <c r="D1153" s="23" t="s">
        <v>115</v>
      </c>
      <c r="E1153" s="23" t="s">
        <v>116</v>
      </c>
      <c r="F1153">
        <v>1.504</v>
      </c>
      <c r="G1153" s="23" t="s">
        <v>186</v>
      </c>
      <c r="H1153">
        <v>0</v>
      </c>
      <c r="I1153">
        <v>0</v>
      </c>
      <c r="J1153" s="10">
        <v>65.03100000000002</v>
      </c>
      <c r="K1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153">
        <v>0</v>
      </c>
      <c r="M11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153">
        <v>389.53</v>
      </c>
      <c r="O1153" s="23" t="s">
        <v>491</v>
      </c>
      <c r="P1153">
        <v>585.85311999999999</v>
      </c>
      <c r="Q1153" s="23" t="s">
        <v>184</v>
      </c>
    </row>
    <row r="1154" spans="1:17" x14ac:dyDescent="0.25">
      <c r="A1154" s="23" t="s">
        <v>1144</v>
      </c>
      <c r="B1154" s="23" t="s">
        <v>1145</v>
      </c>
      <c r="C1154" s="23" t="s">
        <v>176</v>
      </c>
      <c r="D1154" s="23" t="s">
        <v>230</v>
      </c>
      <c r="E1154" s="23" t="s">
        <v>231</v>
      </c>
      <c r="F1154">
        <v>2</v>
      </c>
      <c r="G1154" s="23" t="s">
        <v>177</v>
      </c>
      <c r="H1154">
        <v>0</v>
      </c>
      <c r="I1154">
        <v>238</v>
      </c>
      <c r="J1154" s="10">
        <v>90</v>
      </c>
      <c r="K1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154">
        <v>0</v>
      </c>
      <c r="M11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4">
        <v>4</v>
      </c>
      <c r="O1154" s="23" t="s">
        <v>221</v>
      </c>
      <c r="P1154">
        <v>8</v>
      </c>
      <c r="Q1154" s="23" t="s">
        <v>222</v>
      </c>
    </row>
    <row r="1155" spans="1:17" x14ac:dyDescent="0.25">
      <c r="A1155" s="23" t="s">
        <v>1146</v>
      </c>
      <c r="B1155" s="23" t="s">
        <v>1145</v>
      </c>
      <c r="C1155" s="23" t="s">
        <v>176</v>
      </c>
      <c r="D1155" s="23" t="s">
        <v>230</v>
      </c>
      <c r="E1155" s="23" t="s">
        <v>231</v>
      </c>
      <c r="F1155">
        <v>2</v>
      </c>
      <c r="G1155" s="23" t="s">
        <v>177</v>
      </c>
      <c r="H1155">
        <v>0</v>
      </c>
      <c r="I1155">
        <v>238</v>
      </c>
      <c r="J1155" s="10">
        <v>90</v>
      </c>
      <c r="K1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155">
        <v>0</v>
      </c>
      <c r="M11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5">
        <v>4</v>
      </c>
      <c r="O1155" s="23" t="s">
        <v>221</v>
      </c>
      <c r="P1155">
        <v>8</v>
      </c>
      <c r="Q1155" s="23" t="s">
        <v>222</v>
      </c>
    </row>
    <row r="1156" spans="1:17" x14ac:dyDescent="0.25">
      <c r="A1156" s="23" t="s">
        <v>1144</v>
      </c>
      <c r="B1156" s="23" t="s">
        <v>1145</v>
      </c>
      <c r="C1156" s="23" t="s">
        <v>176</v>
      </c>
      <c r="D1156" s="23" t="s">
        <v>54</v>
      </c>
      <c r="E1156" s="23" t="s">
        <v>55</v>
      </c>
      <c r="F1156">
        <v>1</v>
      </c>
      <c r="G1156" s="23" t="s">
        <v>177</v>
      </c>
      <c r="H1156">
        <v>0</v>
      </c>
      <c r="I1156">
        <v>10</v>
      </c>
      <c r="J1156" s="10">
        <v>12</v>
      </c>
      <c r="K1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156">
        <v>4</v>
      </c>
      <c r="M11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6">
        <v>1600</v>
      </c>
      <c r="O1156" s="23" t="s">
        <v>218</v>
      </c>
      <c r="P1156">
        <v>1600</v>
      </c>
      <c r="Q1156" s="23" t="s">
        <v>222</v>
      </c>
    </row>
    <row r="1157" spans="1:17" x14ac:dyDescent="0.25">
      <c r="A1157" s="23" t="s">
        <v>1150</v>
      </c>
      <c r="B1157" s="23" t="s">
        <v>1145</v>
      </c>
      <c r="C1157" s="23" t="s">
        <v>176</v>
      </c>
      <c r="D1157" s="23" t="s">
        <v>243</v>
      </c>
      <c r="E1157" s="23" t="s">
        <v>244</v>
      </c>
      <c r="F1157">
        <v>1</v>
      </c>
      <c r="G1157" s="23" t="s">
        <v>177</v>
      </c>
      <c r="H1157">
        <v>0</v>
      </c>
      <c r="I1157">
        <v>49</v>
      </c>
      <c r="J1157" s="10">
        <v>1.599999999999973</v>
      </c>
      <c r="K1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1157">
        <v>0</v>
      </c>
      <c r="M11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7">
        <v>60</v>
      </c>
      <c r="O1157" s="23" t="s">
        <v>491</v>
      </c>
      <c r="P1157">
        <v>60</v>
      </c>
      <c r="Q1157" s="23" t="s">
        <v>181</v>
      </c>
    </row>
    <row r="1158" spans="1:17" x14ac:dyDescent="0.25">
      <c r="A1158" s="23" t="s">
        <v>1197</v>
      </c>
      <c r="B1158" s="23" t="s">
        <v>1198</v>
      </c>
      <c r="C1158" s="23" t="s">
        <v>176</v>
      </c>
      <c r="D1158" s="23" t="s">
        <v>0</v>
      </c>
      <c r="E1158" s="23" t="s">
        <v>1</v>
      </c>
      <c r="F1158">
        <v>2</v>
      </c>
      <c r="G1158" s="23" t="s">
        <v>177</v>
      </c>
      <c r="H1158">
        <v>0</v>
      </c>
      <c r="I1158">
        <v>69</v>
      </c>
      <c r="J1158" s="10">
        <v>22</v>
      </c>
      <c r="K1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58">
        <v>0</v>
      </c>
      <c r="M11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8">
        <v>640</v>
      </c>
      <c r="O1158" s="23" t="s">
        <v>221</v>
      </c>
      <c r="P1158">
        <v>1280</v>
      </c>
      <c r="Q1158" s="23" t="s">
        <v>222</v>
      </c>
    </row>
    <row r="1159" spans="1:17" x14ac:dyDescent="0.25">
      <c r="A1159" s="23" t="s">
        <v>1098</v>
      </c>
      <c r="B1159" s="23" t="s">
        <v>1053</v>
      </c>
      <c r="C1159" s="23" t="s">
        <v>176</v>
      </c>
      <c r="D1159" s="23" t="s">
        <v>296</v>
      </c>
      <c r="E1159" s="23" t="s">
        <v>297</v>
      </c>
      <c r="F1159">
        <v>3</v>
      </c>
      <c r="G1159" s="23" t="s">
        <v>180</v>
      </c>
      <c r="H1159">
        <v>0</v>
      </c>
      <c r="I1159">
        <v>118</v>
      </c>
      <c r="J1159" s="10">
        <v>21</v>
      </c>
      <c r="K1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1159">
        <v>0</v>
      </c>
      <c r="M11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59">
        <v>14.33</v>
      </c>
      <c r="O1159" s="23" t="s">
        <v>827</v>
      </c>
      <c r="P1159">
        <v>42.99</v>
      </c>
      <c r="Q1159" s="23" t="s">
        <v>222</v>
      </c>
    </row>
    <row r="1160" spans="1:17" x14ac:dyDescent="0.25">
      <c r="A1160" s="23" t="s">
        <v>1197</v>
      </c>
      <c r="B1160" s="23" t="s">
        <v>1198</v>
      </c>
      <c r="C1160" s="23" t="s">
        <v>176</v>
      </c>
      <c r="D1160" s="23" t="s">
        <v>58</v>
      </c>
      <c r="E1160" s="23" t="s">
        <v>59</v>
      </c>
      <c r="F1160">
        <v>1</v>
      </c>
      <c r="G1160" s="23" t="s">
        <v>177</v>
      </c>
      <c r="H1160">
        <v>0</v>
      </c>
      <c r="I1160">
        <v>18</v>
      </c>
      <c r="J1160" s="10">
        <v>10</v>
      </c>
      <c r="K1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160">
        <v>0</v>
      </c>
      <c r="M11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0">
        <v>1094.4000000000001</v>
      </c>
      <c r="O1160" s="23" t="s">
        <v>827</v>
      </c>
      <c r="P1160">
        <v>1094.4000000000001</v>
      </c>
      <c r="Q1160" s="23" t="s">
        <v>222</v>
      </c>
    </row>
    <row r="1161" spans="1:17" x14ac:dyDescent="0.25">
      <c r="A1161" s="23" t="s">
        <v>1098</v>
      </c>
      <c r="B1161" s="23" t="s">
        <v>1053</v>
      </c>
      <c r="C1161" s="23" t="s">
        <v>176</v>
      </c>
      <c r="D1161" s="23" t="s">
        <v>58</v>
      </c>
      <c r="E1161" s="23" t="s">
        <v>59</v>
      </c>
      <c r="F1161">
        <v>1</v>
      </c>
      <c r="G1161" s="23" t="s">
        <v>177</v>
      </c>
      <c r="H1161">
        <v>0</v>
      </c>
      <c r="I1161">
        <v>18</v>
      </c>
      <c r="J1161" s="10">
        <v>10</v>
      </c>
      <c r="K1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161">
        <v>0</v>
      </c>
      <c r="M11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1">
        <v>1094.4000000000001</v>
      </c>
      <c r="O1161" s="23" t="s">
        <v>827</v>
      </c>
      <c r="P1161">
        <v>1094.4000000000001</v>
      </c>
      <c r="Q1161" s="23" t="s">
        <v>222</v>
      </c>
    </row>
    <row r="1162" spans="1:17" x14ac:dyDescent="0.25">
      <c r="A1162" s="23" t="s">
        <v>1197</v>
      </c>
      <c r="B1162" s="23" t="s">
        <v>1198</v>
      </c>
      <c r="C1162" s="23" t="s">
        <v>176</v>
      </c>
      <c r="D1162" s="23" t="s">
        <v>377</v>
      </c>
      <c r="E1162" s="23" t="s">
        <v>378</v>
      </c>
      <c r="F1162">
        <v>3</v>
      </c>
      <c r="G1162" s="23" t="s">
        <v>177</v>
      </c>
      <c r="H1162">
        <v>0</v>
      </c>
      <c r="I1162">
        <v>38</v>
      </c>
      <c r="J1162" s="10">
        <v>25</v>
      </c>
      <c r="K1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162">
        <v>20</v>
      </c>
      <c r="M11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2">
        <v>245</v>
      </c>
      <c r="O1162" s="23" t="s">
        <v>822</v>
      </c>
      <c r="P1162">
        <v>735</v>
      </c>
      <c r="Q1162" s="23" t="s">
        <v>179</v>
      </c>
    </row>
    <row r="1163" spans="1:17" x14ac:dyDescent="0.25">
      <c r="A1163" s="23" t="s">
        <v>1098</v>
      </c>
      <c r="B1163" s="23" t="s">
        <v>1053</v>
      </c>
      <c r="C1163" s="23" t="s">
        <v>176</v>
      </c>
      <c r="D1163" s="23" t="s">
        <v>377</v>
      </c>
      <c r="E1163" s="23" t="s">
        <v>378</v>
      </c>
      <c r="F1163">
        <v>3</v>
      </c>
      <c r="G1163" s="23" t="s">
        <v>177</v>
      </c>
      <c r="H1163">
        <v>0</v>
      </c>
      <c r="I1163">
        <v>38</v>
      </c>
      <c r="J1163" s="10">
        <v>25</v>
      </c>
      <c r="K1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163">
        <v>20</v>
      </c>
      <c r="M11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3">
        <v>245</v>
      </c>
      <c r="O1163" s="23" t="s">
        <v>822</v>
      </c>
      <c r="P1163">
        <v>735</v>
      </c>
      <c r="Q1163" s="23" t="s">
        <v>179</v>
      </c>
    </row>
    <row r="1164" spans="1:17" x14ac:dyDescent="0.25">
      <c r="A1164" s="23" t="s">
        <v>1147</v>
      </c>
      <c r="B1164" s="23" t="s">
        <v>1145</v>
      </c>
      <c r="C1164" s="23" t="s">
        <v>176</v>
      </c>
      <c r="D1164" s="23" t="s">
        <v>654</v>
      </c>
      <c r="E1164" s="23" t="s">
        <v>655</v>
      </c>
      <c r="F1164">
        <v>0.05</v>
      </c>
      <c r="G1164" s="23" t="s">
        <v>186</v>
      </c>
      <c r="H1164">
        <v>0</v>
      </c>
      <c r="I1164">
        <v>1.8</v>
      </c>
      <c r="J1164" s="10">
        <v>0.85000000000000098</v>
      </c>
      <c r="K1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1164">
        <v>1.75</v>
      </c>
      <c r="M11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4">
        <v>645.64</v>
      </c>
      <c r="O1164" s="23" t="s">
        <v>491</v>
      </c>
      <c r="P1164">
        <v>32.282000000000004</v>
      </c>
      <c r="Q1164" s="23" t="s">
        <v>184</v>
      </c>
    </row>
    <row r="1165" spans="1:17" x14ac:dyDescent="0.25">
      <c r="A1165" s="23" t="s">
        <v>1099</v>
      </c>
      <c r="B1165" s="23" t="s">
        <v>1056</v>
      </c>
      <c r="C1165" s="23" t="s">
        <v>176</v>
      </c>
      <c r="D1165" s="23" t="s">
        <v>654</v>
      </c>
      <c r="E1165" s="23" t="s">
        <v>655</v>
      </c>
      <c r="F1165">
        <v>0.2</v>
      </c>
      <c r="G1165" s="23" t="s">
        <v>186</v>
      </c>
      <c r="H1165">
        <v>0.2</v>
      </c>
      <c r="I1165">
        <v>1.8</v>
      </c>
      <c r="J1165" s="10">
        <v>0.85000000000000098</v>
      </c>
      <c r="K1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1165">
        <v>1.75</v>
      </c>
      <c r="M11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5">
        <v>645.64</v>
      </c>
      <c r="O1165" s="23" t="s">
        <v>491</v>
      </c>
      <c r="P1165">
        <v>129.12800000000001</v>
      </c>
      <c r="Q1165" s="23" t="s">
        <v>184</v>
      </c>
    </row>
    <row r="1166" spans="1:17" x14ac:dyDescent="0.25">
      <c r="A1166" s="23" t="s">
        <v>1148</v>
      </c>
      <c r="B1166" s="23" t="s">
        <v>1054</v>
      </c>
      <c r="C1166" s="23" t="s">
        <v>176</v>
      </c>
      <c r="D1166" s="23" t="s">
        <v>115</v>
      </c>
      <c r="E1166" s="23" t="s">
        <v>116</v>
      </c>
      <c r="F1166">
        <v>1.9259999999999999</v>
      </c>
      <c r="G1166" s="23" t="s">
        <v>186</v>
      </c>
      <c r="H1166">
        <v>0</v>
      </c>
      <c r="I1166">
        <v>0</v>
      </c>
      <c r="J1166" s="10">
        <v>65.03100000000002</v>
      </c>
      <c r="K1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166">
        <v>0</v>
      </c>
      <c r="M11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166">
        <v>389.53</v>
      </c>
      <c r="O1166" s="23" t="s">
        <v>491</v>
      </c>
      <c r="P1166">
        <v>750.23477999999989</v>
      </c>
      <c r="Q1166" s="23" t="s">
        <v>184</v>
      </c>
    </row>
    <row r="1167" spans="1:17" x14ac:dyDescent="0.25">
      <c r="A1167" s="23" t="s">
        <v>1055</v>
      </c>
      <c r="B1167" s="23" t="s">
        <v>1056</v>
      </c>
      <c r="C1167" s="23" t="s">
        <v>176</v>
      </c>
      <c r="D1167" s="23" t="s">
        <v>996</v>
      </c>
      <c r="E1167" s="23" t="s">
        <v>997</v>
      </c>
      <c r="F1167">
        <v>1</v>
      </c>
      <c r="G1167" s="23" t="s">
        <v>177</v>
      </c>
      <c r="H1167">
        <v>1</v>
      </c>
      <c r="I1167">
        <v>10</v>
      </c>
      <c r="J1167" s="10">
        <v>2</v>
      </c>
      <c r="K1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1167">
        <v>0</v>
      </c>
      <c r="M11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7">
        <v>3400</v>
      </c>
      <c r="O1167" s="23" t="s">
        <v>253</v>
      </c>
      <c r="P1167">
        <v>3400</v>
      </c>
      <c r="Q1167" s="23" t="s">
        <v>179</v>
      </c>
    </row>
    <row r="1168" spans="1:17" x14ac:dyDescent="0.25">
      <c r="A1168" s="23" t="s">
        <v>1147</v>
      </c>
      <c r="B1168" s="23" t="s">
        <v>1145</v>
      </c>
      <c r="C1168" s="23" t="s">
        <v>176</v>
      </c>
      <c r="D1168" s="23" t="s">
        <v>0</v>
      </c>
      <c r="E1168" s="23" t="s">
        <v>1</v>
      </c>
      <c r="F1168">
        <v>2</v>
      </c>
      <c r="G1168" s="23" t="s">
        <v>177</v>
      </c>
      <c r="H1168">
        <v>0</v>
      </c>
      <c r="I1168">
        <v>69</v>
      </c>
      <c r="J1168" s="10">
        <v>22</v>
      </c>
      <c r="K1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68">
        <v>0</v>
      </c>
      <c r="M11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8">
        <v>640</v>
      </c>
      <c r="O1168" s="23" t="s">
        <v>221</v>
      </c>
      <c r="P1168">
        <v>1280</v>
      </c>
      <c r="Q1168" s="23" t="s">
        <v>222</v>
      </c>
    </row>
    <row r="1169" spans="1:17" x14ac:dyDescent="0.25">
      <c r="A1169" s="23" t="s">
        <v>1148</v>
      </c>
      <c r="B1169" s="23" t="s">
        <v>1054</v>
      </c>
      <c r="C1169" s="23" t="s">
        <v>176</v>
      </c>
      <c r="D1169" s="23" t="s">
        <v>0</v>
      </c>
      <c r="E1169" s="23" t="s">
        <v>1</v>
      </c>
      <c r="F1169">
        <v>2</v>
      </c>
      <c r="G1169" s="23" t="s">
        <v>177</v>
      </c>
      <c r="H1169">
        <v>0</v>
      </c>
      <c r="I1169">
        <v>69</v>
      </c>
      <c r="J1169" s="10">
        <v>22</v>
      </c>
      <c r="K1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69">
        <v>0</v>
      </c>
      <c r="M11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69">
        <v>640</v>
      </c>
      <c r="O1169" s="23" t="s">
        <v>221</v>
      </c>
      <c r="P1169">
        <v>1280</v>
      </c>
      <c r="Q1169" s="23" t="s">
        <v>222</v>
      </c>
    </row>
    <row r="1170" spans="1:17" x14ac:dyDescent="0.25">
      <c r="A1170" s="23" t="s">
        <v>1149</v>
      </c>
      <c r="B1170" s="23" t="s">
        <v>1145</v>
      </c>
      <c r="C1170" s="23" t="s">
        <v>176</v>
      </c>
      <c r="D1170" s="23" t="s">
        <v>115</v>
      </c>
      <c r="E1170" s="23" t="s">
        <v>116</v>
      </c>
      <c r="F1170">
        <v>1.4909999999999999</v>
      </c>
      <c r="G1170" s="23" t="s">
        <v>186</v>
      </c>
      <c r="H1170">
        <v>0</v>
      </c>
      <c r="I1170">
        <v>0</v>
      </c>
      <c r="J1170" s="10">
        <v>65.03100000000002</v>
      </c>
      <c r="K1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170">
        <v>0</v>
      </c>
      <c r="M11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170">
        <v>389.53</v>
      </c>
      <c r="O1170" s="23" t="s">
        <v>491</v>
      </c>
      <c r="P1170">
        <v>580.78922999999986</v>
      </c>
      <c r="Q1170" s="23" t="s">
        <v>184</v>
      </c>
    </row>
    <row r="1171" spans="1:17" x14ac:dyDescent="0.25">
      <c r="A1171" s="23" t="s">
        <v>1150</v>
      </c>
      <c r="B1171" s="23" t="s">
        <v>1145</v>
      </c>
      <c r="C1171" s="23" t="s">
        <v>176</v>
      </c>
      <c r="D1171" s="23" t="s">
        <v>0</v>
      </c>
      <c r="E1171" s="23" t="s">
        <v>1</v>
      </c>
      <c r="F1171">
        <v>2</v>
      </c>
      <c r="G1171" s="23" t="s">
        <v>177</v>
      </c>
      <c r="H1171">
        <v>0</v>
      </c>
      <c r="I1171">
        <v>69</v>
      </c>
      <c r="J1171" s="10">
        <v>22</v>
      </c>
      <c r="K1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71">
        <v>0</v>
      </c>
      <c r="M11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1">
        <v>640</v>
      </c>
      <c r="O1171" s="23" t="s">
        <v>221</v>
      </c>
      <c r="P1171">
        <v>1280</v>
      </c>
      <c r="Q1171" s="23" t="s">
        <v>222</v>
      </c>
    </row>
    <row r="1172" spans="1:17" x14ac:dyDescent="0.25">
      <c r="A1172" s="23" t="s">
        <v>1150</v>
      </c>
      <c r="B1172" s="23" t="s">
        <v>1145</v>
      </c>
      <c r="C1172" s="23" t="s">
        <v>176</v>
      </c>
      <c r="D1172" s="23" t="s">
        <v>54</v>
      </c>
      <c r="E1172" s="23" t="s">
        <v>55</v>
      </c>
      <c r="F1172">
        <v>1</v>
      </c>
      <c r="G1172" s="23" t="s">
        <v>177</v>
      </c>
      <c r="H1172">
        <v>0</v>
      </c>
      <c r="I1172">
        <v>10</v>
      </c>
      <c r="J1172" s="10">
        <v>12</v>
      </c>
      <c r="K1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172">
        <v>4</v>
      </c>
      <c r="M11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2">
        <v>1600</v>
      </c>
      <c r="O1172" s="23" t="s">
        <v>218</v>
      </c>
      <c r="P1172">
        <v>1600</v>
      </c>
      <c r="Q1172" s="23" t="s">
        <v>222</v>
      </c>
    </row>
    <row r="1173" spans="1:17" x14ac:dyDescent="0.25">
      <c r="A1173" s="23" t="s">
        <v>1150</v>
      </c>
      <c r="B1173" s="23" t="s">
        <v>1145</v>
      </c>
      <c r="C1173" s="23" t="s">
        <v>176</v>
      </c>
      <c r="D1173" s="23" t="s">
        <v>58</v>
      </c>
      <c r="E1173" s="23" t="s">
        <v>59</v>
      </c>
      <c r="F1173">
        <v>1</v>
      </c>
      <c r="G1173" s="23" t="s">
        <v>177</v>
      </c>
      <c r="H1173">
        <v>0</v>
      </c>
      <c r="I1173">
        <v>18</v>
      </c>
      <c r="J1173" s="10">
        <v>10</v>
      </c>
      <c r="K1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173">
        <v>0</v>
      </c>
      <c r="M11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3">
        <v>1094.4000000000001</v>
      </c>
      <c r="O1173" s="23" t="s">
        <v>827</v>
      </c>
      <c r="P1173">
        <v>1094.4000000000001</v>
      </c>
      <c r="Q1173" s="23" t="s">
        <v>222</v>
      </c>
    </row>
    <row r="1174" spans="1:17" x14ac:dyDescent="0.25">
      <c r="A1174" s="23" t="s">
        <v>1150</v>
      </c>
      <c r="B1174" s="23" t="s">
        <v>1145</v>
      </c>
      <c r="C1174" s="23" t="s">
        <v>176</v>
      </c>
      <c r="D1174" s="23" t="s">
        <v>377</v>
      </c>
      <c r="E1174" s="23" t="s">
        <v>378</v>
      </c>
      <c r="F1174">
        <v>3</v>
      </c>
      <c r="G1174" s="23" t="s">
        <v>177</v>
      </c>
      <c r="H1174">
        <v>0</v>
      </c>
      <c r="I1174">
        <v>38</v>
      </c>
      <c r="J1174" s="10">
        <v>25</v>
      </c>
      <c r="K1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174">
        <v>20</v>
      </c>
      <c r="M11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4">
        <v>245</v>
      </c>
      <c r="O1174" s="23" t="s">
        <v>822</v>
      </c>
      <c r="P1174">
        <v>735</v>
      </c>
      <c r="Q1174" s="23" t="s">
        <v>179</v>
      </c>
    </row>
    <row r="1175" spans="1:17" x14ac:dyDescent="0.25">
      <c r="A1175" s="23" t="s">
        <v>1149</v>
      </c>
      <c r="B1175" s="23" t="s">
        <v>1145</v>
      </c>
      <c r="C1175" s="23" t="s">
        <v>176</v>
      </c>
      <c r="D1175" s="23" t="s">
        <v>243</v>
      </c>
      <c r="E1175" s="23" t="s">
        <v>244</v>
      </c>
      <c r="F1175">
        <v>1</v>
      </c>
      <c r="G1175" s="23" t="s">
        <v>177</v>
      </c>
      <c r="H1175">
        <v>0</v>
      </c>
      <c r="I1175">
        <v>49</v>
      </c>
      <c r="J1175" s="10">
        <v>1.599999999999973</v>
      </c>
      <c r="K1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1175">
        <v>0</v>
      </c>
      <c r="M11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5">
        <v>60</v>
      </c>
      <c r="O1175" s="23" t="s">
        <v>491</v>
      </c>
      <c r="P1175">
        <v>60</v>
      </c>
      <c r="Q1175" s="23" t="s">
        <v>181</v>
      </c>
    </row>
    <row r="1176" spans="1:17" x14ac:dyDescent="0.25">
      <c r="A1176" s="23" t="s">
        <v>1097</v>
      </c>
      <c r="B1176" s="23" t="s">
        <v>1095</v>
      </c>
      <c r="C1176" s="23" t="s">
        <v>176</v>
      </c>
      <c r="D1176" s="23" t="s">
        <v>111</v>
      </c>
      <c r="E1176" s="23" t="s">
        <v>112</v>
      </c>
      <c r="F1176">
        <v>1</v>
      </c>
      <c r="G1176" s="23" t="s">
        <v>177</v>
      </c>
      <c r="H1176">
        <v>0</v>
      </c>
      <c r="I1176">
        <v>2</v>
      </c>
      <c r="J1176" s="10">
        <v>8</v>
      </c>
      <c r="K1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76">
        <v>11</v>
      </c>
      <c r="M11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6">
        <v>675</v>
      </c>
      <c r="O1176" s="23" t="s">
        <v>633</v>
      </c>
      <c r="P1176">
        <v>675</v>
      </c>
      <c r="Q1176" s="23" t="s">
        <v>178</v>
      </c>
    </row>
    <row r="1177" spans="1:17" x14ac:dyDescent="0.25">
      <c r="A1177" s="23" t="s">
        <v>1197</v>
      </c>
      <c r="B1177" s="23" t="s">
        <v>1198</v>
      </c>
      <c r="C1177" s="23" t="s">
        <v>176</v>
      </c>
      <c r="D1177" s="23" t="s">
        <v>113</v>
      </c>
      <c r="E1177" s="23" t="s">
        <v>114</v>
      </c>
      <c r="F1177">
        <v>1</v>
      </c>
      <c r="G1177" s="23" t="s">
        <v>177</v>
      </c>
      <c r="H1177">
        <v>0</v>
      </c>
      <c r="I1177">
        <v>2</v>
      </c>
      <c r="J1177" s="10">
        <v>4</v>
      </c>
      <c r="K1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177">
        <v>0</v>
      </c>
      <c r="M11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177">
        <v>7450</v>
      </c>
      <c r="O1177" s="23" t="s">
        <v>585</v>
      </c>
      <c r="P1177">
        <v>7450</v>
      </c>
      <c r="Q1177" s="23" t="s">
        <v>178</v>
      </c>
    </row>
    <row r="1178" spans="1:17" x14ac:dyDescent="0.25">
      <c r="A1178" s="23" t="s">
        <v>1197</v>
      </c>
      <c r="B1178" s="23" t="s">
        <v>1198</v>
      </c>
      <c r="C1178" s="23" t="s">
        <v>176</v>
      </c>
      <c r="D1178" s="23" t="s">
        <v>671</v>
      </c>
      <c r="E1178" s="23" t="s">
        <v>672</v>
      </c>
      <c r="F1178">
        <v>1</v>
      </c>
      <c r="G1178" s="23" t="s">
        <v>177</v>
      </c>
      <c r="H1178">
        <v>0</v>
      </c>
      <c r="I1178">
        <v>12</v>
      </c>
      <c r="J1178" s="10">
        <v>13</v>
      </c>
      <c r="K1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178">
        <v>0</v>
      </c>
      <c r="M11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78">
        <v>28339.38</v>
      </c>
      <c r="O1178" s="23" t="s">
        <v>215</v>
      </c>
      <c r="P1178">
        <v>28339.38</v>
      </c>
      <c r="Q1178" s="23" t="s">
        <v>178</v>
      </c>
    </row>
    <row r="1179" spans="1:17" x14ac:dyDescent="0.25">
      <c r="A1179" s="23" t="s">
        <v>1097</v>
      </c>
      <c r="B1179" s="23" t="s">
        <v>1095</v>
      </c>
      <c r="C1179" s="23" t="s">
        <v>176</v>
      </c>
      <c r="D1179" s="23" t="s">
        <v>115</v>
      </c>
      <c r="E1179" s="23" t="s">
        <v>116</v>
      </c>
      <c r="F1179">
        <v>1.9259999999999999</v>
      </c>
      <c r="G1179" s="23" t="s">
        <v>186</v>
      </c>
      <c r="H1179">
        <v>0</v>
      </c>
      <c r="I1179">
        <v>0</v>
      </c>
      <c r="J1179" s="10">
        <v>65.03100000000002</v>
      </c>
      <c r="K1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179">
        <v>0</v>
      </c>
      <c r="M11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179">
        <v>389.53</v>
      </c>
      <c r="O1179" s="23" t="s">
        <v>491</v>
      </c>
      <c r="P1179">
        <v>750.23477999999989</v>
      </c>
      <c r="Q1179" s="23" t="s">
        <v>184</v>
      </c>
    </row>
    <row r="1180" spans="1:17" x14ac:dyDescent="0.25">
      <c r="A1180" s="23" t="s">
        <v>1142</v>
      </c>
      <c r="B1180" s="23" t="s">
        <v>1054</v>
      </c>
      <c r="C1180" s="23" t="s">
        <v>176</v>
      </c>
      <c r="D1180" s="23" t="s">
        <v>0</v>
      </c>
      <c r="E1180" s="23" t="s">
        <v>1</v>
      </c>
      <c r="F1180">
        <v>2</v>
      </c>
      <c r="G1180" s="23" t="s">
        <v>177</v>
      </c>
      <c r="H1180">
        <v>0</v>
      </c>
      <c r="I1180">
        <v>69</v>
      </c>
      <c r="J1180" s="10">
        <v>22</v>
      </c>
      <c r="K1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180">
        <v>0</v>
      </c>
      <c r="M11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0">
        <v>640</v>
      </c>
      <c r="O1180" s="23" t="s">
        <v>221</v>
      </c>
      <c r="P1180">
        <v>1280</v>
      </c>
      <c r="Q1180" s="23" t="s">
        <v>222</v>
      </c>
    </row>
    <row r="1181" spans="1:17" x14ac:dyDescent="0.25">
      <c r="A1181" s="23" t="s">
        <v>1096</v>
      </c>
      <c r="B1181" s="23" t="s">
        <v>1053</v>
      </c>
      <c r="C1181" s="23" t="s">
        <v>176</v>
      </c>
      <c r="D1181" s="23" t="s">
        <v>230</v>
      </c>
      <c r="E1181" s="23" t="s">
        <v>231</v>
      </c>
      <c r="F1181">
        <v>2</v>
      </c>
      <c r="G1181" s="23" t="s">
        <v>177</v>
      </c>
      <c r="H1181">
        <v>0</v>
      </c>
      <c r="I1181">
        <v>238</v>
      </c>
      <c r="J1181" s="10">
        <v>90</v>
      </c>
      <c r="K1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181">
        <v>0</v>
      </c>
      <c r="M11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1">
        <v>4</v>
      </c>
      <c r="O1181" s="23" t="s">
        <v>221</v>
      </c>
      <c r="P1181">
        <v>8</v>
      </c>
      <c r="Q1181" s="23" t="s">
        <v>222</v>
      </c>
    </row>
    <row r="1182" spans="1:17" x14ac:dyDescent="0.25">
      <c r="A1182" s="23" t="s">
        <v>1143</v>
      </c>
      <c r="B1182" s="23" t="s">
        <v>1054</v>
      </c>
      <c r="C1182" s="23" t="s">
        <v>176</v>
      </c>
      <c r="D1182" s="23" t="s">
        <v>230</v>
      </c>
      <c r="E1182" s="23" t="s">
        <v>231</v>
      </c>
      <c r="F1182">
        <v>2</v>
      </c>
      <c r="G1182" s="23" t="s">
        <v>177</v>
      </c>
      <c r="H1182">
        <v>0</v>
      </c>
      <c r="I1182">
        <v>238</v>
      </c>
      <c r="J1182" s="10">
        <v>90</v>
      </c>
      <c r="K1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182">
        <v>0</v>
      </c>
      <c r="M11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2">
        <v>4</v>
      </c>
      <c r="O1182" s="23" t="s">
        <v>221</v>
      </c>
      <c r="P1182">
        <v>8</v>
      </c>
      <c r="Q1182" s="23" t="s">
        <v>222</v>
      </c>
    </row>
    <row r="1183" spans="1:17" x14ac:dyDescent="0.25">
      <c r="A1183" s="23" t="s">
        <v>1142</v>
      </c>
      <c r="B1183" s="23" t="s">
        <v>1054</v>
      </c>
      <c r="C1183" s="23" t="s">
        <v>176</v>
      </c>
      <c r="D1183" s="23" t="s">
        <v>54</v>
      </c>
      <c r="E1183" s="23" t="s">
        <v>55</v>
      </c>
      <c r="F1183">
        <v>1</v>
      </c>
      <c r="G1183" s="23" t="s">
        <v>177</v>
      </c>
      <c r="H1183">
        <v>0</v>
      </c>
      <c r="I1183">
        <v>10</v>
      </c>
      <c r="J1183" s="10">
        <v>12</v>
      </c>
      <c r="K1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183">
        <v>4</v>
      </c>
      <c r="M11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3">
        <v>1600</v>
      </c>
      <c r="O1183" s="23" t="s">
        <v>218</v>
      </c>
      <c r="P1183">
        <v>1600</v>
      </c>
      <c r="Q1183" s="23" t="s">
        <v>222</v>
      </c>
    </row>
    <row r="1184" spans="1:17" x14ac:dyDescent="0.25">
      <c r="A1184" s="23" t="s">
        <v>1142</v>
      </c>
      <c r="B1184" s="23" t="s">
        <v>1054</v>
      </c>
      <c r="C1184" s="23" t="s">
        <v>176</v>
      </c>
      <c r="D1184" s="23" t="s">
        <v>58</v>
      </c>
      <c r="E1184" s="23" t="s">
        <v>59</v>
      </c>
      <c r="F1184">
        <v>1</v>
      </c>
      <c r="G1184" s="23" t="s">
        <v>177</v>
      </c>
      <c r="H1184">
        <v>0</v>
      </c>
      <c r="I1184">
        <v>18</v>
      </c>
      <c r="J1184" s="10">
        <v>10</v>
      </c>
      <c r="K1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184">
        <v>0</v>
      </c>
      <c r="M11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4">
        <v>1094.4000000000001</v>
      </c>
      <c r="O1184" s="23" t="s">
        <v>827</v>
      </c>
      <c r="P1184">
        <v>1094.4000000000001</v>
      </c>
      <c r="Q1184" s="23" t="s">
        <v>222</v>
      </c>
    </row>
    <row r="1185" spans="1:17" x14ac:dyDescent="0.25">
      <c r="A1185" s="23" t="s">
        <v>1149</v>
      </c>
      <c r="B1185" s="23" t="s">
        <v>1145</v>
      </c>
      <c r="C1185" s="23" t="s">
        <v>176</v>
      </c>
      <c r="D1185" s="23" t="s">
        <v>111</v>
      </c>
      <c r="E1185" s="23" t="s">
        <v>112</v>
      </c>
      <c r="F1185">
        <v>1</v>
      </c>
      <c r="G1185" s="23" t="s">
        <v>177</v>
      </c>
      <c r="H1185">
        <v>0</v>
      </c>
      <c r="I1185">
        <v>2</v>
      </c>
      <c r="J1185" s="10">
        <v>8</v>
      </c>
      <c r="K1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85">
        <v>11</v>
      </c>
      <c r="M11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5">
        <v>675</v>
      </c>
      <c r="O1185" s="23" t="s">
        <v>633</v>
      </c>
      <c r="P1185">
        <v>675</v>
      </c>
      <c r="Q1185" s="23" t="s">
        <v>178</v>
      </c>
    </row>
    <row r="1186" spans="1:17" x14ac:dyDescent="0.25">
      <c r="A1186" s="23" t="s">
        <v>1144</v>
      </c>
      <c r="B1186" s="23" t="s">
        <v>1145</v>
      </c>
      <c r="C1186" s="23" t="s">
        <v>176</v>
      </c>
      <c r="D1186" s="23" t="s">
        <v>111</v>
      </c>
      <c r="E1186" s="23" t="s">
        <v>112</v>
      </c>
      <c r="F1186">
        <v>1</v>
      </c>
      <c r="G1186" s="23" t="s">
        <v>177</v>
      </c>
      <c r="H1186">
        <v>0</v>
      </c>
      <c r="I1186">
        <v>2</v>
      </c>
      <c r="J1186" s="10">
        <v>8</v>
      </c>
      <c r="K1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86">
        <v>11</v>
      </c>
      <c r="M11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6">
        <v>675</v>
      </c>
      <c r="O1186" s="23" t="s">
        <v>633</v>
      </c>
      <c r="P1186">
        <v>675</v>
      </c>
      <c r="Q1186" s="23" t="s">
        <v>178</v>
      </c>
    </row>
    <row r="1187" spans="1:17" x14ac:dyDescent="0.25">
      <c r="A1187" s="23" t="s">
        <v>1146</v>
      </c>
      <c r="B1187" s="23" t="s">
        <v>1145</v>
      </c>
      <c r="C1187" s="23" t="s">
        <v>176</v>
      </c>
      <c r="D1187" s="23" t="s">
        <v>111</v>
      </c>
      <c r="E1187" s="23" t="s">
        <v>112</v>
      </c>
      <c r="F1187">
        <v>1</v>
      </c>
      <c r="G1187" s="23" t="s">
        <v>177</v>
      </c>
      <c r="H1187">
        <v>0</v>
      </c>
      <c r="I1187">
        <v>2</v>
      </c>
      <c r="J1187" s="10">
        <v>8</v>
      </c>
      <c r="K1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187">
        <v>11</v>
      </c>
      <c r="M11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7">
        <v>675</v>
      </c>
      <c r="O1187" s="23" t="s">
        <v>633</v>
      </c>
      <c r="P1187">
        <v>675</v>
      </c>
      <c r="Q1187" s="23" t="s">
        <v>178</v>
      </c>
    </row>
    <row r="1188" spans="1:17" x14ac:dyDescent="0.25">
      <c r="A1188" s="23" t="s">
        <v>1149</v>
      </c>
      <c r="B1188" s="23" t="s">
        <v>1145</v>
      </c>
      <c r="C1188" s="23" t="s">
        <v>176</v>
      </c>
      <c r="D1188" s="23" t="s">
        <v>723</v>
      </c>
      <c r="E1188" s="23" t="s">
        <v>724</v>
      </c>
      <c r="F1188">
        <v>8</v>
      </c>
      <c r="G1188" s="23" t="s">
        <v>177</v>
      </c>
      <c r="H1188">
        <v>0</v>
      </c>
      <c r="I1188">
        <v>1278</v>
      </c>
      <c r="J1188" s="10">
        <v>690</v>
      </c>
      <c r="K1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1188">
        <v>0</v>
      </c>
      <c r="M11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8">
        <v>0.55000000000000004</v>
      </c>
      <c r="O1188" s="23" t="s">
        <v>242</v>
      </c>
      <c r="P1188">
        <v>4.4000000000000004</v>
      </c>
      <c r="Q1188" s="23" t="s">
        <v>181</v>
      </c>
    </row>
    <row r="1189" spans="1:17" x14ac:dyDescent="0.25">
      <c r="A1189" s="23" t="s">
        <v>1144</v>
      </c>
      <c r="B1189" s="23" t="s">
        <v>1145</v>
      </c>
      <c r="C1189" s="23" t="s">
        <v>176</v>
      </c>
      <c r="D1189" s="23" t="s">
        <v>1192</v>
      </c>
      <c r="E1189" s="23" t="s">
        <v>1193</v>
      </c>
      <c r="F1189">
        <v>0.1</v>
      </c>
      <c r="G1189" s="23" t="s">
        <v>186</v>
      </c>
      <c r="H1189">
        <v>0</v>
      </c>
      <c r="I1189">
        <v>32</v>
      </c>
      <c r="J1189" s="10">
        <v>60</v>
      </c>
      <c r="K1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189">
        <v>0</v>
      </c>
      <c r="M11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89">
        <v>110</v>
      </c>
      <c r="O1189" s="23" t="s">
        <v>1194</v>
      </c>
      <c r="P1189">
        <v>11</v>
      </c>
      <c r="Q1189" s="23" t="s">
        <v>184</v>
      </c>
    </row>
    <row r="1190" spans="1:17" x14ac:dyDescent="0.25">
      <c r="A1190" s="23" t="s">
        <v>1144</v>
      </c>
      <c r="B1190" s="23" t="s">
        <v>1145</v>
      </c>
      <c r="C1190" s="23" t="s">
        <v>176</v>
      </c>
      <c r="D1190" s="23" t="s">
        <v>350</v>
      </c>
      <c r="E1190" s="23" t="s">
        <v>351</v>
      </c>
      <c r="F1190">
        <v>0.5</v>
      </c>
      <c r="G1190" s="23" t="s">
        <v>177</v>
      </c>
      <c r="H1190">
        <v>0</v>
      </c>
      <c r="I1190">
        <v>12</v>
      </c>
      <c r="J1190" s="10">
        <v>3</v>
      </c>
      <c r="K1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190">
        <v>0</v>
      </c>
      <c r="M11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0">
        <v>130</v>
      </c>
      <c r="O1190" s="23" t="s">
        <v>227</v>
      </c>
      <c r="P1190">
        <v>65</v>
      </c>
      <c r="Q1190" s="23" t="s">
        <v>184</v>
      </c>
    </row>
    <row r="1191" spans="1:17" x14ac:dyDescent="0.25">
      <c r="A1191" s="23" t="s">
        <v>1146</v>
      </c>
      <c r="B1191" s="23" t="s">
        <v>1145</v>
      </c>
      <c r="C1191" s="23" t="s">
        <v>176</v>
      </c>
      <c r="D1191" s="23" t="s">
        <v>350</v>
      </c>
      <c r="E1191" s="23" t="s">
        <v>351</v>
      </c>
      <c r="F1191">
        <v>0.5</v>
      </c>
      <c r="G1191" s="23" t="s">
        <v>177</v>
      </c>
      <c r="H1191">
        <v>0</v>
      </c>
      <c r="I1191">
        <v>12</v>
      </c>
      <c r="J1191" s="10">
        <v>3</v>
      </c>
      <c r="K1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191">
        <v>0</v>
      </c>
      <c r="M11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1">
        <v>130</v>
      </c>
      <c r="O1191" s="23" t="s">
        <v>227</v>
      </c>
      <c r="P1191">
        <v>65</v>
      </c>
      <c r="Q1191" s="23" t="s">
        <v>184</v>
      </c>
    </row>
    <row r="1192" spans="1:17" x14ac:dyDescent="0.25">
      <c r="A1192" s="23" t="s">
        <v>1149</v>
      </c>
      <c r="B1192" s="23" t="s">
        <v>1145</v>
      </c>
      <c r="C1192" s="23" t="s">
        <v>176</v>
      </c>
      <c r="D1192" s="23" t="s">
        <v>87</v>
      </c>
      <c r="E1192" s="23" t="s">
        <v>88</v>
      </c>
      <c r="F1192">
        <v>2.02</v>
      </c>
      <c r="G1192" s="23" t="s">
        <v>177</v>
      </c>
      <c r="H1192">
        <v>0</v>
      </c>
      <c r="I1192">
        <v>48</v>
      </c>
      <c r="J1192" s="10">
        <v>7.1054273576010019E-15</v>
      </c>
      <c r="K1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192">
        <v>0</v>
      </c>
      <c r="M11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192">
        <v>100</v>
      </c>
      <c r="O1192" s="23" t="s">
        <v>242</v>
      </c>
      <c r="P1192">
        <v>202</v>
      </c>
      <c r="Q1192" s="23" t="s">
        <v>184</v>
      </c>
    </row>
    <row r="1193" spans="1:17" x14ac:dyDescent="0.25">
      <c r="A1193" s="23" t="s">
        <v>1055</v>
      </c>
      <c r="B1193" s="23" t="s">
        <v>1056</v>
      </c>
      <c r="C1193" s="23" t="s">
        <v>176</v>
      </c>
      <c r="D1193" s="23" t="s">
        <v>350</v>
      </c>
      <c r="E1193" s="23" t="s">
        <v>351</v>
      </c>
      <c r="F1193">
        <v>0.5</v>
      </c>
      <c r="G1193" s="23" t="s">
        <v>177</v>
      </c>
      <c r="H1193">
        <v>0</v>
      </c>
      <c r="I1193">
        <v>12</v>
      </c>
      <c r="J1193" s="10">
        <v>3</v>
      </c>
      <c r="K1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193">
        <v>0</v>
      </c>
      <c r="M11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3">
        <v>130</v>
      </c>
      <c r="O1193" s="23" t="s">
        <v>227</v>
      </c>
      <c r="P1193">
        <v>65</v>
      </c>
      <c r="Q1193" s="23" t="s">
        <v>184</v>
      </c>
    </row>
    <row r="1194" spans="1:17" x14ac:dyDescent="0.25">
      <c r="A1194" s="23" t="s">
        <v>1147</v>
      </c>
      <c r="B1194" s="23" t="s">
        <v>1145</v>
      </c>
      <c r="C1194" s="23" t="s">
        <v>176</v>
      </c>
      <c r="D1194" s="23" t="s">
        <v>19</v>
      </c>
      <c r="E1194" s="23" t="s">
        <v>20</v>
      </c>
      <c r="F1194">
        <v>3</v>
      </c>
      <c r="G1194" s="23" t="s">
        <v>177</v>
      </c>
      <c r="H1194">
        <v>0</v>
      </c>
      <c r="I1194">
        <v>13</v>
      </c>
      <c r="J1194" s="10">
        <v>22</v>
      </c>
      <c r="K1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194">
        <v>30</v>
      </c>
      <c r="M11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4">
        <v>122.1</v>
      </c>
      <c r="O1194" s="23" t="s">
        <v>228</v>
      </c>
      <c r="P1194">
        <v>366.29999999999995</v>
      </c>
      <c r="Q1194" s="23" t="s">
        <v>222</v>
      </c>
    </row>
    <row r="1195" spans="1:17" x14ac:dyDescent="0.25">
      <c r="A1195" s="23" t="s">
        <v>1149</v>
      </c>
      <c r="B1195" s="23" t="s">
        <v>1145</v>
      </c>
      <c r="C1195" s="23" t="s">
        <v>176</v>
      </c>
      <c r="D1195" s="23" t="s">
        <v>375</v>
      </c>
      <c r="E1195" s="23" t="s">
        <v>376</v>
      </c>
      <c r="F1195">
        <v>2</v>
      </c>
      <c r="G1195" s="23" t="s">
        <v>177</v>
      </c>
      <c r="H1195">
        <v>0</v>
      </c>
      <c r="I1195">
        <v>42</v>
      </c>
      <c r="J1195" s="10">
        <v>34</v>
      </c>
      <c r="K1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195">
        <v>0</v>
      </c>
      <c r="M11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5">
        <v>65</v>
      </c>
      <c r="O1195" s="23" t="s">
        <v>242</v>
      </c>
      <c r="P1195">
        <v>130</v>
      </c>
      <c r="Q1195" s="23" t="s">
        <v>181</v>
      </c>
    </row>
    <row r="1196" spans="1:17" x14ac:dyDescent="0.25">
      <c r="A1196" s="23" t="s">
        <v>1100</v>
      </c>
      <c r="B1196" s="23" t="s">
        <v>1101</v>
      </c>
      <c r="C1196" s="23" t="s">
        <v>176</v>
      </c>
      <c r="D1196" s="23" t="s">
        <v>366</v>
      </c>
      <c r="E1196" s="23" t="s">
        <v>367</v>
      </c>
      <c r="F1196">
        <v>28</v>
      </c>
      <c r="G1196" s="23" t="s">
        <v>177</v>
      </c>
      <c r="H1196">
        <v>0</v>
      </c>
      <c r="I1196">
        <v>3750</v>
      </c>
      <c r="J1196" s="10">
        <v>674</v>
      </c>
      <c r="K1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96">
        <v>0</v>
      </c>
      <c r="M11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6">
        <v>0.2</v>
      </c>
      <c r="O1196" s="23" t="s">
        <v>242</v>
      </c>
      <c r="P1196">
        <v>5.6000000000000005</v>
      </c>
      <c r="Q1196" s="23" t="s">
        <v>181</v>
      </c>
    </row>
    <row r="1197" spans="1:17" x14ac:dyDescent="0.25">
      <c r="A1197" s="23" t="s">
        <v>1150</v>
      </c>
      <c r="B1197" s="23" t="s">
        <v>1145</v>
      </c>
      <c r="C1197" s="23" t="s">
        <v>176</v>
      </c>
      <c r="D1197" s="23" t="s">
        <v>366</v>
      </c>
      <c r="E1197" s="23" t="s">
        <v>367</v>
      </c>
      <c r="F1197">
        <v>8</v>
      </c>
      <c r="G1197" s="23" t="s">
        <v>177</v>
      </c>
      <c r="H1197">
        <v>0</v>
      </c>
      <c r="I1197">
        <v>3750</v>
      </c>
      <c r="J1197" s="10">
        <v>674</v>
      </c>
      <c r="K1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97">
        <v>0</v>
      </c>
      <c r="M11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7">
        <v>0.2</v>
      </c>
      <c r="O1197" s="23" t="s">
        <v>242</v>
      </c>
      <c r="P1197">
        <v>1.6</v>
      </c>
      <c r="Q1197" s="23" t="s">
        <v>181</v>
      </c>
    </row>
    <row r="1198" spans="1:17" x14ac:dyDescent="0.25">
      <c r="A1198" s="23" t="s">
        <v>1058</v>
      </c>
      <c r="B1198" s="23" t="s">
        <v>1059</v>
      </c>
      <c r="C1198" s="23" t="s">
        <v>176</v>
      </c>
      <c r="D1198" s="23" t="s">
        <v>366</v>
      </c>
      <c r="E1198" s="23" t="s">
        <v>367</v>
      </c>
      <c r="F1198">
        <v>12</v>
      </c>
      <c r="G1198" s="23" t="s">
        <v>177</v>
      </c>
      <c r="H1198">
        <v>0</v>
      </c>
      <c r="I1198">
        <v>3750</v>
      </c>
      <c r="J1198" s="10">
        <v>674</v>
      </c>
      <c r="K1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98">
        <v>0</v>
      </c>
      <c r="M11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8">
        <v>0.2</v>
      </c>
      <c r="O1198" s="23" t="s">
        <v>242</v>
      </c>
      <c r="P1198">
        <v>2.4000000000000004</v>
      </c>
      <c r="Q1198" s="23" t="s">
        <v>181</v>
      </c>
    </row>
    <row r="1199" spans="1:17" x14ac:dyDescent="0.25">
      <c r="A1199" s="23" t="s">
        <v>1144</v>
      </c>
      <c r="B1199" s="23" t="s">
        <v>1145</v>
      </c>
      <c r="C1199" s="23" t="s">
        <v>176</v>
      </c>
      <c r="D1199" s="23" t="s">
        <v>366</v>
      </c>
      <c r="E1199" s="23" t="s">
        <v>367</v>
      </c>
      <c r="F1199">
        <v>12</v>
      </c>
      <c r="G1199" s="23" t="s">
        <v>177</v>
      </c>
      <c r="H1199">
        <v>0</v>
      </c>
      <c r="I1199">
        <v>3750</v>
      </c>
      <c r="J1199" s="10">
        <v>674</v>
      </c>
      <c r="K1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199">
        <v>0</v>
      </c>
      <c r="M11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199">
        <v>0.2</v>
      </c>
      <c r="O1199" s="23" t="s">
        <v>242</v>
      </c>
      <c r="P1199">
        <v>2.4000000000000004</v>
      </c>
      <c r="Q1199" s="23" t="s">
        <v>181</v>
      </c>
    </row>
    <row r="1200" spans="1:17" x14ac:dyDescent="0.25">
      <c r="A1200" s="23" t="s">
        <v>1150</v>
      </c>
      <c r="B1200" s="23" t="s">
        <v>1145</v>
      </c>
      <c r="C1200" s="23" t="s">
        <v>176</v>
      </c>
      <c r="D1200" s="23" t="s">
        <v>375</v>
      </c>
      <c r="E1200" s="23" t="s">
        <v>376</v>
      </c>
      <c r="F1200">
        <v>2</v>
      </c>
      <c r="G1200" s="23" t="s">
        <v>177</v>
      </c>
      <c r="H1200">
        <v>0</v>
      </c>
      <c r="I1200">
        <v>42</v>
      </c>
      <c r="J1200" s="10">
        <v>34</v>
      </c>
      <c r="K1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00">
        <v>0</v>
      </c>
      <c r="M12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0">
        <v>65</v>
      </c>
      <c r="O1200" s="23" t="s">
        <v>242</v>
      </c>
      <c r="P1200">
        <v>130</v>
      </c>
      <c r="Q1200" s="23" t="s">
        <v>181</v>
      </c>
    </row>
    <row r="1201" spans="1:17" x14ac:dyDescent="0.25">
      <c r="A1201" s="23" t="s">
        <v>1058</v>
      </c>
      <c r="B1201" s="23" t="s">
        <v>1059</v>
      </c>
      <c r="C1201" s="23" t="s">
        <v>176</v>
      </c>
      <c r="D1201" s="23" t="s">
        <v>375</v>
      </c>
      <c r="E1201" s="23" t="s">
        <v>376</v>
      </c>
      <c r="F1201">
        <v>2</v>
      </c>
      <c r="G1201" s="23" t="s">
        <v>177</v>
      </c>
      <c r="H1201">
        <v>0</v>
      </c>
      <c r="I1201">
        <v>42</v>
      </c>
      <c r="J1201" s="10">
        <v>34</v>
      </c>
      <c r="K1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01">
        <v>0</v>
      </c>
      <c r="M12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1">
        <v>65</v>
      </c>
      <c r="O1201" s="23" t="s">
        <v>242</v>
      </c>
      <c r="P1201">
        <v>130</v>
      </c>
      <c r="Q1201" s="23" t="s">
        <v>181</v>
      </c>
    </row>
    <row r="1202" spans="1:17" x14ac:dyDescent="0.25">
      <c r="A1202" s="23" t="s">
        <v>1148</v>
      </c>
      <c r="B1202" s="23" t="s">
        <v>1054</v>
      </c>
      <c r="C1202" s="23" t="s">
        <v>176</v>
      </c>
      <c r="D1202" s="23" t="s">
        <v>375</v>
      </c>
      <c r="E1202" s="23" t="s">
        <v>376</v>
      </c>
      <c r="F1202">
        <v>2</v>
      </c>
      <c r="G1202" s="23" t="s">
        <v>177</v>
      </c>
      <c r="H1202">
        <v>0</v>
      </c>
      <c r="I1202">
        <v>42</v>
      </c>
      <c r="J1202" s="10">
        <v>34</v>
      </c>
      <c r="K1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02">
        <v>0</v>
      </c>
      <c r="M12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2">
        <v>65</v>
      </c>
      <c r="O1202" s="23" t="s">
        <v>242</v>
      </c>
      <c r="P1202">
        <v>130</v>
      </c>
      <c r="Q1202" s="23" t="s">
        <v>181</v>
      </c>
    </row>
    <row r="1203" spans="1:17" x14ac:dyDescent="0.25">
      <c r="A1203" s="23" t="s">
        <v>1147</v>
      </c>
      <c r="B1203" s="23" t="s">
        <v>1145</v>
      </c>
      <c r="C1203" s="23" t="s">
        <v>176</v>
      </c>
      <c r="D1203" s="23" t="s">
        <v>375</v>
      </c>
      <c r="E1203" s="23" t="s">
        <v>376</v>
      </c>
      <c r="F1203">
        <v>2</v>
      </c>
      <c r="G1203" s="23" t="s">
        <v>177</v>
      </c>
      <c r="H1203">
        <v>0</v>
      </c>
      <c r="I1203">
        <v>42</v>
      </c>
      <c r="J1203" s="10">
        <v>34</v>
      </c>
      <c r="K1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03">
        <v>0</v>
      </c>
      <c r="M12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3">
        <v>65</v>
      </c>
      <c r="O1203" s="23" t="s">
        <v>242</v>
      </c>
      <c r="P1203">
        <v>130</v>
      </c>
      <c r="Q1203" s="23" t="s">
        <v>181</v>
      </c>
    </row>
    <row r="1204" spans="1:17" x14ac:dyDescent="0.25">
      <c r="A1204" s="23" t="s">
        <v>1055</v>
      </c>
      <c r="B1204" s="23" t="s">
        <v>1056</v>
      </c>
      <c r="C1204" s="23" t="s">
        <v>176</v>
      </c>
      <c r="D1204" s="23" t="s">
        <v>375</v>
      </c>
      <c r="E1204" s="23" t="s">
        <v>376</v>
      </c>
      <c r="F1204">
        <v>2</v>
      </c>
      <c r="G1204" s="23" t="s">
        <v>177</v>
      </c>
      <c r="H1204">
        <v>0</v>
      </c>
      <c r="I1204">
        <v>42</v>
      </c>
      <c r="J1204" s="10">
        <v>34</v>
      </c>
      <c r="K1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04">
        <v>0</v>
      </c>
      <c r="M12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4">
        <v>65</v>
      </c>
      <c r="O1204" s="23" t="s">
        <v>242</v>
      </c>
      <c r="P1204">
        <v>130</v>
      </c>
      <c r="Q1204" s="23" t="s">
        <v>181</v>
      </c>
    </row>
    <row r="1205" spans="1:17" x14ac:dyDescent="0.25">
      <c r="A1205" s="23" t="s">
        <v>1148</v>
      </c>
      <c r="B1205" s="23" t="s">
        <v>1054</v>
      </c>
      <c r="C1205" s="23" t="s">
        <v>176</v>
      </c>
      <c r="D1205" s="23" t="s">
        <v>19</v>
      </c>
      <c r="E1205" s="23" t="s">
        <v>20</v>
      </c>
      <c r="F1205">
        <v>2</v>
      </c>
      <c r="G1205" s="23" t="s">
        <v>177</v>
      </c>
      <c r="H1205">
        <v>0</v>
      </c>
      <c r="I1205">
        <v>13</v>
      </c>
      <c r="J1205" s="10">
        <v>22</v>
      </c>
      <c r="K1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205">
        <v>30</v>
      </c>
      <c r="M12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5">
        <v>122.1</v>
      </c>
      <c r="O1205" s="23" t="s">
        <v>228</v>
      </c>
      <c r="P1205">
        <v>244.2</v>
      </c>
      <c r="Q1205" s="23" t="s">
        <v>222</v>
      </c>
    </row>
    <row r="1206" spans="1:17" x14ac:dyDescent="0.25">
      <c r="A1206" s="23" t="s">
        <v>1149</v>
      </c>
      <c r="B1206" s="23" t="s">
        <v>1145</v>
      </c>
      <c r="C1206" s="23" t="s">
        <v>176</v>
      </c>
      <c r="D1206" s="23" t="s">
        <v>366</v>
      </c>
      <c r="E1206" s="23" t="s">
        <v>367</v>
      </c>
      <c r="F1206">
        <v>12</v>
      </c>
      <c r="G1206" s="23" t="s">
        <v>177</v>
      </c>
      <c r="H1206">
        <v>0</v>
      </c>
      <c r="I1206">
        <v>3750</v>
      </c>
      <c r="J1206" s="10">
        <v>674</v>
      </c>
      <c r="K1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06">
        <v>0</v>
      </c>
      <c r="M12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6">
        <v>0.2</v>
      </c>
      <c r="O1206" s="23" t="s">
        <v>242</v>
      </c>
      <c r="P1206">
        <v>2.4000000000000004</v>
      </c>
      <c r="Q1206" s="23" t="s">
        <v>181</v>
      </c>
    </row>
    <row r="1207" spans="1:17" x14ac:dyDescent="0.25">
      <c r="A1207" s="23" t="s">
        <v>1146</v>
      </c>
      <c r="B1207" s="23" t="s">
        <v>1145</v>
      </c>
      <c r="C1207" s="23" t="s">
        <v>176</v>
      </c>
      <c r="D1207" s="23" t="s">
        <v>366</v>
      </c>
      <c r="E1207" s="23" t="s">
        <v>367</v>
      </c>
      <c r="F1207">
        <v>12</v>
      </c>
      <c r="G1207" s="23" t="s">
        <v>177</v>
      </c>
      <c r="H1207">
        <v>0</v>
      </c>
      <c r="I1207">
        <v>3750</v>
      </c>
      <c r="J1207" s="10">
        <v>674</v>
      </c>
      <c r="K1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07">
        <v>0</v>
      </c>
      <c r="M12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7">
        <v>0.2</v>
      </c>
      <c r="O1207" s="23" t="s">
        <v>242</v>
      </c>
      <c r="P1207">
        <v>2.4000000000000004</v>
      </c>
      <c r="Q1207" s="23" t="s">
        <v>181</v>
      </c>
    </row>
    <row r="1208" spans="1:17" x14ac:dyDescent="0.25">
      <c r="A1208" s="23" t="s">
        <v>1144</v>
      </c>
      <c r="B1208" s="23" t="s">
        <v>1145</v>
      </c>
      <c r="C1208" s="23" t="s">
        <v>176</v>
      </c>
      <c r="D1208" s="23" t="s">
        <v>375</v>
      </c>
      <c r="E1208" s="23" t="s">
        <v>376</v>
      </c>
      <c r="F1208">
        <v>2</v>
      </c>
      <c r="G1208" s="23" t="s">
        <v>177</v>
      </c>
      <c r="H1208">
        <v>0</v>
      </c>
      <c r="I1208">
        <v>42</v>
      </c>
      <c r="J1208" s="10">
        <v>34</v>
      </c>
      <c r="K1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08">
        <v>0</v>
      </c>
      <c r="M12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8">
        <v>65</v>
      </c>
      <c r="O1208" s="23" t="s">
        <v>242</v>
      </c>
      <c r="P1208">
        <v>130</v>
      </c>
      <c r="Q1208" s="23" t="s">
        <v>181</v>
      </c>
    </row>
    <row r="1209" spans="1:17" x14ac:dyDescent="0.25">
      <c r="A1209" s="23" t="s">
        <v>1147</v>
      </c>
      <c r="B1209" s="23" t="s">
        <v>1145</v>
      </c>
      <c r="C1209" s="23" t="s">
        <v>176</v>
      </c>
      <c r="D1209" s="23" t="s">
        <v>366</v>
      </c>
      <c r="E1209" s="23" t="s">
        <v>367</v>
      </c>
      <c r="F1209">
        <v>8</v>
      </c>
      <c r="G1209" s="23" t="s">
        <v>177</v>
      </c>
      <c r="H1209">
        <v>0</v>
      </c>
      <c r="I1209">
        <v>3750</v>
      </c>
      <c r="J1209" s="10">
        <v>674</v>
      </c>
      <c r="K1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09">
        <v>0</v>
      </c>
      <c r="M12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09">
        <v>0.2</v>
      </c>
      <c r="O1209" s="23" t="s">
        <v>242</v>
      </c>
      <c r="P1209">
        <v>1.6</v>
      </c>
      <c r="Q1209" s="23" t="s">
        <v>181</v>
      </c>
    </row>
    <row r="1210" spans="1:17" x14ac:dyDescent="0.25">
      <c r="A1210" s="23" t="s">
        <v>1148</v>
      </c>
      <c r="B1210" s="23" t="s">
        <v>1054</v>
      </c>
      <c r="C1210" s="23" t="s">
        <v>176</v>
      </c>
      <c r="D1210" s="23" t="s">
        <v>366</v>
      </c>
      <c r="E1210" s="23" t="s">
        <v>367</v>
      </c>
      <c r="F1210">
        <v>18</v>
      </c>
      <c r="G1210" s="23" t="s">
        <v>177</v>
      </c>
      <c r="H1210">
        <v>0</v>
      </c>
      <c r="I1210">
        <v>3750</v>
      </c>
      <c r="J1210" s="10">
        <v>674</v>
      </c>
      <c r="K1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10">
        <v>0</v>
      </c>
      <c r="M12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0">
        <v>0.2</v>
      </c>
      <c r="O1210" s="23" t="s">
        <v>242</v>
      </c>
      <c r="P1210">
        <v>3.6</v>
      </c>
      <c r="Q1210" s="23" t="s">
        <v>181</v>
      </c>
    </row>
    <row r="1211" spans="1:17" x14ac:dyDescent="0.25">
      <c r="A1211" s="23" t="s">
        <v>1055</v>
      </c>
      <c r="B1211" s="23" t="s">
        <v>1056</v>
      </c>
      <c r="C1211" s="23" t="s">
        <v>176</v>
      </c>
      <c r="D1211" s="23" t="s">
        <v>366</v>
      </c>
      <c r="E1211" s="23" t="s">
        <v>367</v>
      </c>
      <c r="F1211">
        <v>8</v>
      </c>
      <c r="G1211" s="23" t="s">
        <v>177</v>
      </c>
      <c r="H1211">
        <v>0</v>
      </c>
      <c r="I1211">
        <v>3750</v>
      </c>
      <c r="J1211" s="10">
        <v>674</v>
      </c>
      <c r="K1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11">
        <v>0</v>
      </c>
      <c r="M12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1">
        <v>0.2</v>
      </c>
      <c r="O1211" s="23" t="s">
        <v>242</v>
      </c>
      <c r="P1211">
        <v>1.6</v>
      </c>
      <c r="Q1211" s="23" t="s">
        <v>181</v>
      </c>
    </row>
    <row r="1212" spans="1:17" x14ac:dyDescent="0.25">
      <c r="A1212" s="23" t="s">
        <v>1099</v>
      </c>
      <c r="B1212" s="23" t="s">
        <v>1056</v>
      </c>
      <c r="C1212" s="23" t="s">
        <v>176</v>
      </c>
      <c r="D1212" s="23" t="s">
        <v>366</v>
      </c>
      <c r="E1212" s="23" t="s">
        <v>367</v>
      </c>
      <c r="F1212">
        <v>12</v>
      </c>
      <c r="G1212" s="23" t="s">
        <v>177</v>
      </c>
      <c r="H1212">
        <v>0</v>
      </c>
      <c r="I1212">
        <v>3750</v>
      </c>
      <c r="J1212" s="10">
        <v>674</v>
      </c>
      <c r="K1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12">
        <v>0</v>
      </c>
      <c r="M12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2">
        <v>0.2</v>
      </c>
      <c r="O1212" s="23" t="s">
        <v>242</v>
      </c>
      <c r="P1212">
        <v>2.4000000000000004</v>
      </c>
      <c r="Q1212" s="23" t="s">
        <v>181</v>
      </c>
    </row>
    <row r="1213" spans="1:17" x14ac:dyDescent="0.25">
      <c r="A1213" s="23" t="s">
        <v>1197</v>
      </c>
      <c r="B1213" s="23" t="s">
        <v>1198</v>
      </c>
      <c r="C1213" s="23" t="s">
        <v>176</v>
      </c>
      <c r="D1213" s="23" t="s">
        <v>19</v>
      </c>
      <c r="E1213" s="23" t="s">
        <v>20</v>
      </c>
      <c r="F1213">
        <v>4</v>
      </c>
      <c r="G1213" s="23" t="s">
        <v>177</v>
      </c>
      <c r="H1213">
        <v>0</v>
      </c>
      <c r="I1213">
        <v>13</v>
      </c>
      <c r="J1213" s="10">
        <v>22</v>
      </c>
      <c r="K1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213">
        <v>30</v>
      </c>
      <c r="M12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3">
        <v>122.1</v>
      </c>
      <c r="O1213" s="23" t="s">
        <v>228</v>
      </c>
      <c r="P1213">
        <v>488.4</v>
      </c>
      <c r="Q1213" s="23" t="s">
        <v>222</v>
      </c>
    </row>
    <row r="1214" spans="1:17" x14ac:dyDescent="0.25">
      <c r="A1214" s="23" t="s">
        <v>1146</v>
      </c>
      <c r="B1214" s="23" t="s">
        <v>1145</v>
      </c>
      <c r="C1214" s="23" t="s">
        <v>176</v>
      </c>
      <c r="D1214" s="23" t="s">
        <v>407</v>
      </c>
      <c r="E1214" s="23" t="s">
        <v>408</v>
      </c>
      <c r="F1214">
        <v>2</v>
      </c>
      <c r="G1214" s="23" t="s">
        <v>177</v>
      </c>
      <c r="H1214">
        <v>0</v>
      </c>
      <c r="I1214">
        <v>35</v>
      </c>
      <c r="J1214" s="10">
        <v>61</v>
      </c>
      <c r="K1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1214">
        <v>0</v>
      </c>
      <c r="M12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4">
        <v>19.07</v>
      </c>
      <c r="O1214" s="23" t="s">
        <v>827</v>
      </c>
      <c r="P1214">
        <v>38.14</v>
      </c>
      <c r="Q1214" s="23" t="s">
        <v>222</v>
      </c>
    </row>
    <row r="1215" spans="1:17" x14ac:dyDescent="0.25">
      <c r="A1215" s="23" t="s">
        <v>1197</v>
      </c>
      <c r="B1215" s="23" t="s">
        <v>1198</v>
      </c>
      <c r="C1215" s="23" t="s">
        <v>176</v>
      </c>
      <c r="D1215" s="23" t="s">
        <v>328</v>
      </c>
      <c r="E1215" s="23" t="s">
        <v>329</v>
      </c>
      <c r="F1215">
        <v>0.05</v>
      </c>
      <c r="G1215" s="23" t="s">
        <v>177</v>
      </c>
      <c r="H1215">
        <v>0</v>
      </c>
      <c r="I1215">
        <v>1</v>
      </c>
      <c r="J1215" s="10">
        <v>0.92999999999999972</v>
      </c>
      <c r="K1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1215">
        <v>0</v>
      </c>
      <c r="M12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1215">
        <v>1525</v>
      </c>
      <c r="O1215" s="23" t="s">
        <v>242</v>
      </c>
      <c r="P1215">
        <v>76.25</v>
      </c>
      <c r="Q1215" s="23" t="s">
        <v>181</v>
      </c>
    </row>
    <row r="1216" spans="1:17" x14ac:dyDescent="0.25">
      <c r="A1216" s="23" t="s">
        <v>1062</v>
      </c>
      <c r="B1216" s="23" t="s">
        <v>1053</v>
      </c>
      <c r="C1216" s="23" t="s">
        <v>176</v>
      </c>
      <c r="D1216" s="23" t="s">
        <v>119</v>
      </c>
      <c r="E1216" s="23" t="s">
        <v>120</v>
      </c>
      <c r="F1216">
        <v>6</v>
      </c>
      <c r="G1216" s="23" t="s">
        <v>177</v>
      </c>
      <c r="H1216">
        <v>0</v>
      </c>
      <c r="I1216">
        <v>84</v>
      </c>
      <c r="J1216" s="10">
        <v>36</v>
      </c>
      <c r="K1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216">
        <v>0</v>
      </c>
      <c r="M12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216">
        <v>20</v>
      </c>
      <c r="O1216" s="23" t="s">
        <v>242</v>
      </c>
      <c r="P1216">
        <v>120</v>
      </c>
      <c r="Q1216" s="23" t="s">
        <v>179</v>
      </c>
    </row>
    <row r="1217" spans="1:17" x14ac:dyDescent="0.25">
      <c r="A1217" s="23" t="s">
        <v>1057</v>
      </c>
      <c r="B1217" s="23" t="s">
        <v>1056</v>
      </c>
      <c r="C1217" s="23" t="s">
        <v>176</v>
      </c>
      <c r="D1217" s="23" t="s">
        <v>459</v>
      </c>
      <c r="E1217" s="23" t="s">
        <v>460</v>
      </c>
      <c r="F1217">
        <v>0.01</v>
      </c>
      <c r="G1217" s="23" t="s">
        <v>177</v>
      </c>
      <c r="H1217">
        <v>0</v>
      </c>
      <c r="I1217">
        <v>6</v>
      </c>
      <c r="J1217" s="10">
        <v>22.53</v>
      </c>
      <c r="K1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17">
        <v>0</v>
      </c>
      <c r="M12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7">
        <v>133</v>
      </c>
      <c r="O1217" s="23" t="s">
        <v>217</v>
      </c>
      <c r="P1217">
        <v>1.33</v>
      </c>
      <c r="Q1217" s="23" t="s">
        <v>184</v>
      </c>
    </row>
    <row r="1218" spans="1:17" x14ac:dyDescent="0.25">
      <c r="A1218" s="23" t="s">
        <v>1094</v>
      </c>
      <c r="B1218" s="23" t="s">
        <v>1095</v>
      </c>
      <c r="C1218" s="23" t="s">
        <v>176</v>
      </c>
      <c r="D1218" s="23" t="s">
        <v>459</v>
      </c>
      <c r="E1218" s="23" t="s">
        <v>460</v>
      </c>
      <c r="F1218">
        <v>0.12000000000000001</v>
      </c>
      <c r="G1218" s="23" t="s">
        <v>177</v>
      </c>
      <c r="H1218">
        <v>0</v>
      </c>
      <c r="I1218">
        <v>6</v>
      </c>
      <c r="J1218" s="10">
        <v>22.53</v>
      </c>
      <c r="K1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18">
        <v>0</v>
      </c>
      <c r="M12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8">
        <v>133</v>
      </c>
      <c r="O1218" s="23" t="s">
        <v>217</v>
      </c>
      <c r="P1218">
        <v>15.96</v>
      </c>
      <c r="Q1218" s="23" t="s">
        <v>184</v>
      </c>
    </row>
    <row r="1219" spans="1:17" x14ac:dyDescent="0.25">
      <c r="A1219" s="23" t="s">
        <v>1150</v>
      </c>
      <c r="B1219" s="23" t="s">
        <v>1145</v>
      </c>
      <c r="C1219" s="23" t="s">
        <v>176</v>
      </c>
      <c r="D1219" s="23" t="s">
        <v>459</v>
      </c>
      <c r="E1219" s="23" t="s">
        <v>460</v>
      </c>
      <c r="F1219">
        <v>0.01</v>
      </c>
      <c r="G1219" s="23" t="s">
        <v>177</v>
      </c>
      <c r="H1219">
        <v>0</v>
      </c>
      <c r="I1219">
        <v>6</v>
      </c>
      <c r="J1219" s="10">
        <v>22.53</v>
      </c>
      <c r="K1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19">
        <v>0</v>
      </c>
      <c r="M12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19">
        <v>133</v>
      </c>
      <c r="O1219" s="23" t="s">
        <v>217</v>
      </c>
      <c r="P1219">
        <v>1.33</v>
      </c>
      <c r="Q1219" s="23" t="s">
        <v>184</v>
      </c>
    </row>
    <row r="1220" spans="1:17" x14ac:dyDescent="0.25">
      <c r="A1220" s="23" t="s">
        <v>1150</v>
      </c>
      <c r="B1220" s="23" t="s">
        <v>1145</v>
      </c>
      <c r="C1220" s="23" t="s">
        <v>176</v>
      </c>
      <c r="D1220" s="23" t="s">
        <v>119</v>
      </c>
      <c r="E1220" s="23" t="s">
        <v>120</v>
      </c>
      <c r="F1220">
        <v>6</v>
      </c>
      <c r="G1220" s="23" t="s">
        <v>177</v>
      </c>
      <c r="H1220">
        <v>0</v>
      </c>
      <c r="I1220">
        <v>84</v>
      </c>
      <c r="J1220" s="10">
        <v>36</v>
      </c>
      <c r="K1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220">
        <v>0</v>
      </c>
      <c r="M12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220">
        <v>20</v>
      </c>
      <c r="O1220" s="23" t="s">
        <v>242</v>
      </c>
      <c r="P1220">
        <v>120</v>
      </c>
      <c r="Q1220" s="23" t="s">
        <v>179</v>
      </c>
    </row>
    <row r="1221" spans="1:17" x14ac:dyDescent="0.25">
      <c r="A1221" s="23" t="s">
        <v>1149</v>
      </c>
      <c r="B1221" s="23" t="s">
        <v>1145</v>
      </c>
      <c r="C1221" s="23" t="s">
        <v>176</v>
      </c>
      <c r="D1221" s="23" t="s">
        <v>52</v>
      </c>
      <c r="E1221" s="23" t="s">
        <v>53</v>
      </c>
      <c r="F1221">
        <v>1</v>
      </c>
      <c r="G1221" s="23" t="s">
        <v>177</v>
      </c>
      <c r="H1221">
        <v>0</v>
      </c>
      <c r="I1221">
        <v>5</v>
      </c>
      <c r="J1221" s="10">
        <v>10</v>
      </c>
      <c r="K1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221">
        <v>0</v>
      </c>
      <c r="M12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1221">
        <v>12234.43</v>
      </c>
      <c r="O1221" s="23" t="s">
        <v>216</v>
      </c>
      <c r="P1221">
        <v>12234.43</v>
      </c>
      <c r="Q1221" s="23" t="s">
        <v>222</v>
      </c>
    </row>
    <row r="1222" spans="1:17" x14ac:dyDescent="0.25">
      <c r="A1222" s="23" t="s">
        <v>1150</v>
      </c>
      <c r="B1222" s="23" t="s">
        <v>1145</v>
      </c>
      <c r="C1222" s="23" t="s">
        <v>176</v>
      </c>
      <c r="D1222" s="23" t="s">
        <v>60</v>
      </c>
      <c r="E1222" s="23" t="s">
        <v>61</v>
      </c>
      <c r="F1222">
        <v>1</v>
      </c>
      <c r="G1222" s="23" t="s">
        <v>177</v>
      </c>
      <c r="H1222">
        <v>0</v>
      </c>
      <c r="I1222">
        <v>18</v>
      </c>
      <c r="J1222" s="10">
        <v>10</v>
      </c>
      <c r="K1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222">
        <v>0</v>
      </c>
      <c r="M12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2">
        <v>115.6</v>
      </c>
      <c r="O1222" s="23" t="s">
        <v>827</v>
      </c>
      <c r="P1222">
        <v>115.6</v>
      </c>
      <c r="Q1222" s="23" t="s">
        <v>222</v>
      </c>
    </row>
    <row r="1223" spans="1:17" x14ac:dyDescent="0.25">
      <c r="A1223" s="23" t="s">
        <v>1150</v>
      </c>
      <c r="B1223" s="23" t="s">
        <v>1145</v>
      </c>
      <c r="C1223" s="23" t="s">
        <v>176</v>
      </c>
      <c r="D1223" s="23" t="s">
        <v>407</v>
      </c>
      <c r="E1223" s="23" t="s">
        <v>408</v>
      </c>
      <c r="F1223">
        <v>2</v>
      </c>
      <c r="G1223" s="23" t="s">
        <v>177</v>
      </c>
      <c r="H1223">
        <v>0</v>
      </c>
      <c r="I1223">
        <v>35</v>
      </c>
      <c r="J1223" s="10">
        <v>61</v>
      </c>
      <c r="K1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1223">
        <v>0</v>
      </c>
      <c r="M12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3">
        <v>19.07</v>
      </c>
      <c r="O1223" s="23" t="s">
        <v>827</v>
      </c>
      <c r="P1223">
        <v>38.14</v>
      </c>
      <c r="Q1223" s="23" t="s">
        <v>222</v>
      </c>
    </row>
    <row r="1224" spans="1:17" x14ac:dyDescent="0.25">
      <c r="A1224" s="23" t="s">
        <v>1097</v>
      </c>
      <c r="B1224" s="23" t="s">
        <v>1095</v>
      </c>
      <c r="C1224" s="23" t="s">
        <v>176</v>
      </c>
      <c r="D1224" s="23" t="s">
        <v>328</v>
      </c>
      <c r="E1224" s="23" t="s">
        <v>329</v>
      </c>
      <c r="F1224">
        <v>0.1</v>
      </c>
      <c r="G1224" s="23" t="s">
        <v>177</v>
      </c>
      <c r="H1224">
        <v>0</v>
      </c>
      <c r="I1224">
        <v>1</v>
      </c>
      <c r="J1224" s="10">
        <v>0.92999999999999972</v>
      </c>
      <c r="K1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1224">
        <v>0</v>
      </c>
      <c r="M12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1224">
        <v>1525</v>
      </c>
      <c r="O1224" s="23" t="s">
        <v>242</v>
      </c>
      <c r="P1224">
        <v>152.5</v>
      </c>
      <c r="Q1224" s="23" t="s">
        <v>181</v>
      </c>
    </row>
    <row r="1225" spans="1:17" x14ac:dyDescent="0.25">
      <c r="A1225" s="23" t="s">
        <v>1097</v>
      </c>
      <c r="B1225" s="23" t="s">
        <v>1095</v>
      </c>
      <c r="C1225" s="23" t="s">
        <v>176</v>
      </c>
      <c r="D1225" s="23" t="s">
        <v>117</v>
      </c>
      <c r="E1225" s="23" t="s">
        <v>118</v>
      </c>
      <c r="F1225">
        <v>105.7</v>
      </c>
      <c r="G1225" s="23" t="s">
        <v>186</v>
      </c>
      <c r="H1225">
        <v>0</v>
      </c>
      <c r="I1225">
        <v>1840</v>
      </c>
      <c r="J1225" s="10">
        <v>973.62000000000012</v>
      </c>
      <c r="K1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1225">
        <v>920</v>
      </c>
      <c r="M12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5">
        <v>94.86</v>
      </c>
      <c r="O1225" s="23" t="s">
        <v>491</v>
      </c>
      <c r="P1225">
        <v>10026.701999999999</v>
      </c>
      <c r="Q1225" s="23" t="s">
        <v>184</v>
      </c>
    </row>
    <row r="1226" spans="1:17" x14ac:dyDescent="0.25">
      <c r="A1226" s="23" t="s">
        <v>1197</v>
      </c>
      <c r="B1226" s="23" t="s">
        <v>1198</v>
      </c>
      <c r="C1226" s="23" t="s">
        <v>176</v>
      </c>
      <c r="D1226" s="23" t="s">
        <v>117</v>
      </c>
      <c r="E1226" s="23" t="s">
        <v>118</v>
      </c>
      <c r="F1226">
        <v>108.87</v>
      </c>
      <c r="G1226" s="23" t="s">
        <v>186</v>
      </c>
      <c r="H1226">
        <v>0</v>
      </c>
      <c r="I1226">
        <v>1840</v>
      </c>
      <c r="J1226" s="10">
        <v>973.62000000000012</v>
      </c>
      <c r="K1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1226">
        <v>920</v>
      </c>
      <c r="M12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6">
        <v>94.86</v>
      </c>
      <c r="O1226" s="23" t="s">
        <v>491</v>
      </c>
      <c r="P1226">
        <v>10327.4082</v>
      </c>
      <c r="Q1226" s="23" t="s">
        <v>184</v>
      </c>
    </row>
    <row r="1227" spans="1:17" x14ac:dyDescent="0.25">
      <c r="A1227" s="23" t="s">
        <v>1097</v>
      </c>
      <c r="B1227" s="23" t="s">
        <v>1095</v>
      </c>
      <c r="C1227" s="23" t="s">
        <v>176</v>
      </c>
      <c r="D1227" s="23" t="s">
        <v>459</v>
      </c>
      <c r="E1227" s="23" t="s">
        <v>460</v>
      </c>
      <c r="F1227">
        <v>0.12000000000000001</v>
      </c>
      <c r="G1227" s="23" t="s">
        <v>177</v>
      </c>
      <c r="H1227">
        <v>0</v>
      </c>
      <c r="I1227">
        <v>6</v>
      </c>
      <c r="J1227" s="10">
        <v>22.53</v>
      </c>
      <c r="K1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27">
        <v>0</v>
      </c>
      <c r="M12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27">
        <v>133</v>
      </c>
      <c r="O1227" s="23" t="s">
        <v>217</v>
      </c>
      <c r="P1227">
        <v>15.96</v>
      </c>
      <c r="Q1227" s="23" t="s">
        <v>184</v>
      </c>
    </row>
    <row r="1228" spans="1:17" x14ac:dyDescent="0.25">
      <c r="A1228" s="23" t="s">
        <v>1097</v>
      </c>
      <c r="B1228" s="23" t="s">
        <v>1095</v>
      </c>
      <c r="C1228" s="23" t="s">
        <v>176</v>
      </c>
      <c r="D1228" s="23" t="s">
        <v>119</v>
      </c>
      <c r="E1228" s="23" t="s">
        <v>120</v>
      </c>
      <c r="F1228">
        <v>4</v>
      </c>
      <c r="G1228" s="23" t="s">
        <v>177</v>
      </c>
      <c r="H1228">
        <v>0</v>
      </c>
      <c r="I1228">
        <v>84</v>
      </c>
      <c r="J1228" s="10">
        <v>36</v>
      </c>
      <c r="K1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228">
        <v>0</v>
      </c>
      <c r="M12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228">
        <v>20</v>
      </c>
      <c r="O1228" s="23" t="s">
        <v>242</v>
      </c>
      <c r="P1228">
        <v>80</v>
      </c>
      <c r="Q1228" s="23" t="s">
        <v>179</v>
      </c>
    </row>
    <row r="1229" spans="1:17" x14ac:dyDescent="0.25">
      <c r="A1229" s="23" t="s">
        <v>1197</v>
      </c>
      <c r="B1229" s="23" t="s">
        <v>1198</v>
      </c>
      <c r="C1229" s="23" t="s">
        <v>176</v>
      </c>
      <c r="D1229" s="23" t="s">
        <v>119</v>
      </c>
      <c r="E1229" s="23" t="s">
        <v>120</v>
      </c>
      <c r="F1229">
        <v>6</v>
      </c>
      <c r="G1229" s="23" t="s">
        <v>177</v>
      </c>
      <c r="H1229">
        <v>0</v>
      </c>
      <c r="I1229">
        <v>84</v>
      </c>
      <c r="J1229" s="10">
        <v>36</v>
      </c>
      <c r="K1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229">
        <v>0</v>
      </c>
      <c r="M12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229">
        <v>20</v>
      </c>
      <c r="O1229" s="23" t="s">
        <v>242</v>
      </c>
      <c r="P1229">
        <v>120</v>
      </c>
      <c r="Q1229" s="23" t="s">
        <v>179</v>
      </c>
    </row>
    <row r="1230" spans="1:17" x14ac:dyDescent="0.25">
      <c r="A1230" s="23" t="s">
        <v>1097</v>
      </c>
      <c r="B1230" s="23" t="s">
        <v>1095</v>
      </c>
      <c r="C1230" s="23" t="s">
        <v>176</v>
      </c>
      <c r="D1230" s="23" t="s">
        <v>52</v>
      </c>
      <c r="E1230" s="23" t="s">
        <v>53</v>
      </c>
      <c r="F1230">
        <v>1</v>
      </c>
      <c r="G1230" s="23" t="s">
        <v>177</v>
      </c>
      <c r="H1230">
        <v>0</v>
      </c>
      <c r="I1230">
        <v>5</v>
      </c>
      <c r="J1230" s="10">
        <v>10</v>
      </c>
      <c r="K1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230">
        <v>0</v>
      </c>
      <c r="M12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1230">
        <v>12234.43</v>
      </c>
      <c r="O1230" s="23" t="s">
        <v>216</v>
      </c>
      <c r="P1230">
        <v>12234.43</v>
      </c>
      <c r="Q1230" s="23" t="s">
        <v>222</v>
      </c>
    </row>
    <row r="1231" spans="1:17" x14ac:dyDescent="0.25">
      <c r="A1231" s="23" t="s">
        <v>1097</v>
      </c>
      <c r="B1231" s="23" t="s">
        <v>1095</v>
      </c>
      <c r="C1231" s="23" t="s">
        <v>176</v>
      </c>
      <c r="D1231" s="23" t="s">
        <v>60</v>
      </c>
      <c r="E1231" s="23" t="s">
        <v>61</v>
      </c>
      <c r="F1231">
        <v>1</v>
      </c>
      <c r="G1231" s="23" t="s">
        <v>177</v>
      </c>
      <c r="H1231">
        <v>0</v>
      </c>
      <c r="I1231">
        <v>18</v>
      </c>
      <c r="J1231" s="10">
        <v>10</v>
      </c>
      <c r="K1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231">
        <v>0</v>
      </c>
      <c r="M12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1">
        <v>115.6</v>
      </c>
      <c r="O1231" s="23" t="s">
        <v>827</v>
      </c>
      <c r="P1231">
        <v>115.6</v>
      </c>
      <c r="Q1231" s="23" t="s">
        <v>222</v>
      </c>
    </row>
    <row r="1232" spans="1:17" x14ac:dyDescent="0.25">
      <c r="A1232" s="23" t="s">
        <v>1097</v>
      </c>
      <c r="B1232" s="23" t="s">
        <v>1095</v>
      </c>
      <c r="C1232" s="23" t="s">
        <v>176</v>
      </c>
      <c r="D1232" s="23" t="s">
        <v>407</v>
      </c>
      <c r="E1232" s="23" t="s">
        <v>408</v>
      </c>
      <c r="F1232">
        <v>1</v>
      </c>
      <c r="G1232" s="23" t="s">
        <v>177</v>
      </c>
      <c r="H1232">
        <v>0</v>
      </c>
      <c r="I1232">
        <v>35</v>
      </c>
      <c r="J1232" s="10">
        <v>61</v>
      </c>
      <c r="K1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1232">
        <v>0</v>
      </c>
      <c r="M12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2">
        <v>19.07</v>
      </c>
      <c r="O1232" s="23" t="s">
        <v>827</v>
      </c>
      <c r="P1232">
        <v>19.07</v>
      </c>
      <c r="Q1232" s="23" t="s">
        <v>222</v>
      </c>
    </row>
    <row r="1233" spans="1:17" x14ac:dyDescent="0.25">
      <c r="A1233" s="23" t="s">
        <v>1197</v>
      </c>
      <c r="B1233" s="23" t="s">
        <v>1198</v>
      </c>
      <c r="C1233" s="23" t="s">
        <v>176</v>
      </c>
      <c r="D1233" s="23" t="s">
        <v>407</v>
      </c>
      <c r="E1233" s="23" t="s">
        <v>408</v>
      </c>
      <c r="F1233">
        <v>2</v>
      </c>
      <c r="G1233" s="23" t="s">
        <v>177</v>
      </c>
      <c r="H1233">
        <v>0</v>
      </c>
      <c r="I1233">
        <v>35</v>
      </c>
      <c r="J1233" s="10">
        <v>61</v>
      </c>
      <c r="K1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1233">
        <v>0</v>
      </c>
      <c r="M12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3">
        <v>19.07</v>
      </c>
      <c r="O1233" s="23" t="s">
        <v>827</v>
      </c>
      <c r="P1233">
        <v>38.14</v>
      </c>
      <c r="Q1233" s="23" t="s">
        <v>222</v>
      </c>
    </row>
    <row r="1234" spans="1:17" x14ac:dyDescent="0.25">
      <c r="A1234" s="23" t="s">
        <v>1147</v>
      </c>
      <c r="B1234" s="23" t="s">
        <v>1145</v>
      </c>
      <c r="C1234" s="23" t="s">
        <v>176</v>
      </c>
      <c r="D1234" s="23" t="s">
        <v>117</v>
      </c>
      <c r="E1234" s="23" t="s">
        <v>118</v>
      </c>
      <c r="F1234">
        <v>108.01</v>
      </c>
      <c r="G1234" s="23" t="s">
        <v>186</v>
      </c>
      <c r="H1234">
        <v>0</v>
      </c>
      <c r="I1234">
        <v>1840</v>
      </c>
      <c r="J1234" s="10">
        <v>973.62000000000012</v>
      </c>
      <c r="K1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1234">
        <v>920</v>
      </c>
      <c r="M12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4">
        <v>94.86</v>
      </c>
      <c r="O1234" s="23" t="s">
        <v>491</v>
      </c>
      <c r="P1234">
        <v>10245.828600000001</v>
      </c>
      <c r="Q1234" s="23" t="s">
        <v>184</v>
      </c>
    </row>
    <row r="1235" spans="1:17" x14ac:dyDescent="0.25">
      <c r="A1235" s="23" t="s">
        <v>1058</v>
      </c>
      <c r="B1235" s="23" t="s">
        <v>1059</v>
      </c>
      <c r="C1235" s="23" t="s">
        <v>176</v>
      </c>
      <c r="D1235" s="23" t="s">
        <v>459</v>
      </c>
      <c r="E1235" s="23" t="s">
        <v>460</v>
      </c>
      <c r="F1235">
        <v>0.01</v>
      </c>
      <c r="G1235" s="23" t="s">
        <v>177</v>
      </c>
      <c r="H1235">
        <v>0</v>
      </c>
      <c r="I1235">
        <v>6</v>
      </c>
      <c r="J1235" s="10">
        <v>22.53</v>
      </c>
      <c r="K1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35">
        <v>0</v>
      </c>
      <c r="M12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5">
        <v>133</v>
      </c>
      <c r="O1235" s="23" t="s">
        <v>217</v>
      </c>
      <c r="P1235">
        <v>1.33</v>
      </c>
      <c r="Q1235" s="23" t="s">
        <v>184</v>
      </c>
    </row>
    <row r="1236" spans="1:17" x14ac:dyDescent="0.25">
      <c r="A1236" s="23" t="s">
        <v>1148</v>
      </c>
      <c r="B1236" s="23" t="s">
        <v>1054</v>
      </c>
      <c r="C1236" s="23" t="s">
        <v>176</v>
      </c>
      <c r="D1236" s="23" t="s">
        <v>459</v>
      </c>
      <c r="E1236" s="23" t="s">
        <v>460</v>
      </c>
      <c r="F1236">
        <v>0.12000000000000001</v>
      </c>
      <c r="G1236" s="23" t="s">
        <v>177</v>
      </c>
      <c r="H1236">
        <v>0</v>
      </c>
      <c r="I1236">
        <v>6</v>
      </c>
      <c r="J1236" s="10">
        <v>22.53</v>
      </c>
      <c r="K1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36">
        <v>0</v>
      </c>
      <c r="M12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6">
        <v>133</v>
      </c>
      <c r="O1236" s="23" t="s">
        <v>217</v>
      </c>
      <c r="P1236">
        <v>15.96</v>
      </c>
      <c r="Q1236" s="23" t="s">
        <v>184</v>
      </c>
    </row>
    <row r="1237" spans="1:17" x14ac:dyDescent="0.25">
      <c r="A1237" s="23" t="s">
        <v>1055</v>
      </c>
      <c r="B1237" s="23" t="s">
        <v>1056</v>
      </c>
      <c r="C1237" s="23" t="s">
        <v>176</v>
      </c>
      <c r="D1237" s="23" t="s">
        <v>459</v>
      </c>
      <c r="E1237" s="23" t="s">
        <v>460</v>
      </c>
      <c r="F1237">
        <v>0.01</v>
      </c>
      <c r="G1237" s="23" t="s">
        <v>177</v>
      </c>
      <c r="H1237">
        <v>0</v>
      </c>
      <c r="I1237">
        <v>6</v>
      </c>
      <c r="J1237" s="10">
        <v>22.53</v>
      </c>
      <c r="K1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37">
        <v>0</v>
      </c>
      <c r="M12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7">
        <v>133</v>
      </c>
      <c r="O1237" s="23" t="s">
        <v>217</v>
      </c>
      <c r="P1237">
        <v>1.33</v>
      </c>
      <c r="Q1237" s="23" t="s">
        <v>184</v>
      </c>
    </row>
    <row r="1238" spans="1:17" x14ac:dyDescent="0.25">
      <c r="A1238" s="23" t="s">
        <v>1099</v>
      </c>
      <c r="B1238" s="23" t="s">
        <v>1056</v>
      </c>
      <c r="C1238" s="23" t="s">
        <v>176</v>
      </c>
      <c r="D1238" s="23" t="s">
        <v>459</v>
      </c>
      <c r="E1238" s="23" t="s">
        <v>460</v>
      </c>
      <c r="F1238">
        <v>0.01</v>
      </c>
      <c r="G1238" s="23" t="s">
        <v>177</v>
      </c>
      <c r="H1238">
        <v>0</v>
      </c>
      <c r="I1238">
        <v>6</v>
      </c>
      <c r="J1238" s="10">
        <v>22.53</v>
      </c>
      <c r="K1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1238">
        <v>0</v>
      </c>
      <c r="M12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38">
        <v>133</v>
      </c>
      <c r="O1238" s="23" t="s">
        <v>217</v>
      </c>
      <c r="P1238">
        <v>1.33</v>
      </c>
      <c r="Q1238" s="23" t="s">
        <v>184</v>
      </c>
    </row>
    <row r="1239" spans="1:17" x14ac:dyDescent="0.25">
      <c r="A1239" s="23" t="s">
        <v>1058</v>
      </c>
      <c r="B1239" s="23" t="s">
        <v>1059</v>
      </c>
      <c r="C1239" s="23" t="s">
        <v>176</v>
      </c>
      <c r="D1239" s="23" t="s">
        <v>119</v>
      </c>
      <c r="E1239" s="23" t="s">
        <v>120</v>
      </c>
      <c r="F1239">
        <v>6</v>
      </c>
      <c r="G1239" s="23" t="s">
        <v>177</v>
      </c>
      <c r="H1239">
        <v>0</v>
      </c>
      <c r="I1239">
        <v>84</v>
      </c>
      <c r="J1239" s="10">
        <v>36</v>
      </c>
      <c r="K1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239">
        <v>0</v>
      </c>
      <c r="M12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239">
        <v>20</v>
      </c>
      <c r="O1239" s="23" t="s">
        <v>242</v>
      </c>
      <c r="P1239">
        <v>120</v>
      </c>
      <c r="Q1239" s="23" t="s">
        <v>179</v>
      </c>
    </row>
    <row r="1240" spans="1:17" x14ac:dyDescent="0.25">
      <c r="A1240" s="23" t="s">
        <v>1147</v>
      </c>
      <c r="B1240" s="23" t="s">
        <v>1145</v>
      </c>
      <c r="C1240" s="23" t="s">
        <v>176</v>
      </c>
      <c r="D1240" s="23" t="s">
        <v>119</v>
      </c>
      <c r="E1240" s="23" t="s">
        <v>120</v>
      </c>
      <c r="F1240">
        <v>6</v>
      </c>
      <c r="G1240" s="23" t="s">
        <v>177</v>
      </c>
      <c r="H1240">
        <v>0</v>
      </c>
      <c r="I1240">
        <v>84</v>
      </c>
      <c r="J1240" s="10">
        <v>36</v>
      </c>
      <c r="K1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240">
        <v>0</v>
      </c>
      <c r="M12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240">
        <v>20</v>
      </c>
      <c r="O1240" s="23" t="s">
        <v>242</v>
      </c>
      <c r="P1240">
        <v>120</v>
      </c>
      <c r="Q1240" s="23" t="s">
        <v>179</v>
      </c>
    </row>
    <row r="1241" spans="1:17" x14ac:dyDescent="0.25">
      <c r="A1241" s="23" t="s">
        <v>1097</v>
      </c>
      <c r="B1241" s="23" t="s">
        <v>1095</v>
      </c>
      <c r="C1241" s="23" t="s">
        <v>176</v>
      </c>
      <c r="D1241" s="23" t="s">
        <v>373</v>
      </c>
      <c r="E1241" s="23" t="s">
        <v>374</v>
      </c>
      <c r="F1241">
        <v>5</v>
      </c>
      <c r="G1241" s="23" t="s">
        <v>177</v>
      </c>
      <c r="H1241">
        <v>0</v>
      </c>
      <c r="I1241">
        <v>85</v>
      </c>
      <c r="J1241" s="10">
        <v>34</v>
      </c>
      <c r="K1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241">
        <v>40</v>
      </c>
      <c r="M12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1">
        <v>74</v>
      </c>
      <c r="O1241" s="23" t="s">
        <v>822</v>
      </c>
      <c r="P1241">
        <v>370</v>
      </c>
      <c r="Q1241" s="23" t="s">
        <v>179</v>
      </c>
    </row>
    <row r="1242" spans="1:17" x14ac:dyDescent="0.25">
      <c r="A1242" s="23" t="s">
        <v>1197</v>
      </c>
      <c r="B1242" s="23" t="s">
        <v>1198</v>
      </c>
      <c r="C1242" s="23" t="s">
        <v>176</v>
      </c>
      <c r="D1242" s="23" t="s">
        <v>373</v>
      </c>
      <c r="E1242" s="23" t="s">
        <v>374</v>
      </c>
      <c r="F1242">
        <v>6</v>
      </c>
      <c r="G1242" s="23" t="s">
        <v>177</v>
      </c>
      <c r="H1242">
        <v>0</v>
      </c>
      <c r="I1242">
        <v>85</v>
      </c>
      <c r="J1242" s="10">
        <v>34</v>
      </c>
      <c r="K1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242">
        <v>40</v>
      </c>
      <c r="M12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2">
        <v>74</v>
      </c>
      <c r="O1242" s="23" t="s">
        <v>822</v>
      </c>
      <c r="P1242">
        <v>444</v>
      </c>
      <c r="Q1242" s="23" t="s">
        <v>179</v>
      </c>
    </row>
    <row r="1243" spans="1:17" x14ac:dyDescent="0.25">
      <c r="A1243" s="23" t="s">
        <v>1062</v>
      </c>
      <c r="B1243" s="23" t="s">
        <v>1053</v>
      </c>
      <c r="C1243" s="23" t="s">
        <v>176</v>
      </c>
      <c r="D1243" s="23" t="s">
        <v>373</v>
      </c>
      <c r="E1243" s="23" t="s">
        <v>374</v>
      </c>
      <c r="F1243">
        <v>6</v>
      </c>
      <c r="G1243" s="23" t="s">
        <v>177</v>
      </c>
      <c r="H1243">
        <v>0</v>
      </c>
      <c r="I1243">
        <v>85</v>
      </c>
      <c r="J1243" s="10">
        <v>34</v>
      </c>
      <c r="K1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243">
        <v>40</v>
      </c>
      <c r="M12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3">
        <v>74</v>
      </c>
      <c r="O1243" s="23" t="s">
        <v>822</v>
      </c>
      <c r="P1243">
        <v>444</v>
      </c>
      <c r="Q1243" s="23" t="s">
        <v>179</v>
      </c>
    </row>
    <row r="1244" spans="1:17" x14ac:dyDescent="0.25">
      <c r="A1244" s="23" t="s">
        <v>1097</v>
      </c>
      <c r="B1244" s="23" t="s">
        <v>1095</v>
      </c>
      <c r="C1244" s="23" t="s">
        <v>176</v>
      </c>
      <c r="D1244" s="23" t="s">
        <v>124</v>
      </c>
      <c r="E1244" s="23" t="s">
        <v>634</v>
      </c>
      <c r="F1244">
        <v>0.2</v>
      </c>
      <c r="G1244" s="23" t="s">
        <v>180</v>
      </c>
      <c r="H1244">
        <v>0</v>
      </c>
      <c r="I1244">
        <v>200</v>
      </c>
      <c r="J1244" s="10">
        <v>1.1368683772161603E-13</v>
      </c>
      <c r="K1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244">
        <v>0</v>
      </c>
      <c r="M12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4">
        <v>2.89</v>
      </c>
      <c r="O1244" s="23" t="s">
        <v>827</v>
      </c>
      <c r="P1244">
        <v>0.57800000000000007</v>
      </c>
      <c r="Q1244" s="23" t="s">
        <v>222</v>
      </c>
    </row>
    <row r="1245" spans="1:17" x14ac:dyDescent="0.25">
      <c r="A1245" s="23" t="s">
        <v>1097</v>
      </c>
      <c r="B1245" s="23" t="s">
        <v>1095</v>
      </c>
      <c r="C1245" s="23" t="s">
        <v>176</v>
      </c>
      <c r="D1245" s="23" t="s">
        <v>238</v>
      </c>
      <c r="E1245" s="23" t="s">
        <v>306</v>
      </c>
      <c r="F1245">
        <v>2</v>
      </c>
      <c r="G1245" s="23" t="s">
        <v>177</v>
      </c>
      <c r="H1245">
        <v>0</v>
      </c>
      <c r="I1245">
        <v>455</v>
      </c>
      <c r="J1245" s="10">
        <v>23</v>
      </c>
      <c r="K1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245">
        <v>0</v>
      </c>
      <c r="M12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5">
        <v>20</v>
      </c>
      <c r="O1245" s="23"/>
      <c r="P1245">
        <v>40</v>
      </c>
      <c r="Q1245" s="23" t="s">
        <v>222</v>
      </c>
    </row>
    <row r="1246" spans="1:17" x14ac:dyDescent="0.25">
      <c r="A1246" s="23" t="s">
        <v>1100</v>
      </c>
      <c r="B1246" s="23" t="s">
        <v>1101</v>
      </c>
      <c r="C1246" s="23" t="s">
        <v>176</v>
      </c>
      <c r="D1246" s="23" t="s">
        <v>574</v>
      </c>
      <c r="E1246" s="23" t="s">
        <v>575</v>
      </c>
      <c r="F1246">
        <v>1</v>
      </c>
      <c r="G1246" s="23" t="s">
        <v>177</v>
      </c>
      <c r="H1246">
        <v>0</v>
      </c>
      <c r="I1246">
        <v>24</v>
      </c>
      <c r="J1246" s="10">
        <v>-5.6843418860808015E-14</v>
      </c>
      <c r="K1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246">
        <v>0</v>
      </c>
      <c r="M12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6">
        <v>120</v>
      </c>
      <c r="O1246" s="23" t="s">
        <v>242</v>
      </c>
      <c r="P1246">
        <v>120</v>
      </c>
      <c r="Q1246" s="23" t="s">
        <v>184</v>
      </c>
    </row>
    <row r="1247" spans="1:17" x14ac:dyDescent="0.25">
      <c r="A1247" s="23" t="s">
        <v>1148</v>
      </c>
      <c r="B1247" s="23" t="s">
        <v>1054</v>
      </c>
      <c r="C1247" s="23" t="s">
        <v>176</v>
      </c>
      <c r="D1247" s="23" t="s">
        <v>202</v>
      </c>
      <c r="E1247" s="23" t="s">
        <v>226</v>
      </c>
      <c r="F1247">
        <v>3</v>
      </c>
      <c r="G1247" s="23" t="s">
        <v>177</v>
      </c>
      <c r="H1247">
        <v>0</v>
      </c>
      <c r="I1247">
        <v>24</v>
      </c>
      <c r="J1247" s="10">
        <v>22</v>
      </c>
      <c r="K1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247">
        <v>50</v>
      </c>
      <c r="M12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7">
        <v>44</v>
      </c>
      <c r="O1247" s="23" t="s">
        <v>505</v>
      </c>
      <c r="P1247">
        <v>132</v>
      </c>
      <c r="Q1247" s="23" t="s">
        <v>222</v>
      </c>
    </row>
    <row r="1248" spans="1:17" x14ac:dyDescent="0.25">
      <c r="A1248" s="23" t="s">
        <v>1147</v>
      </c>
      <c r="B1248" s="23" t="s">
        <v>1145</v>
      </c>
      <c r="C1248" s="23" t="s">
        <v>176</v>
      </c>
      <c r="D1248" s="23" t="s">
        <v>2</v>
      </c>
      <c r="E1248" s="23" t="s">
        <v>424</v>
      </c>
      <c r="F1248">
        <v>2</v>
      </c>
      <c r="G1248" s="23" t="s">
        <v>177</v>
      </c>
      <c r="H1248">
        <v>0</v>
      </c>
      <c r="I1248">
        <v>22</v>
      </c>
      <c r="J1248" s="10">
        <v>18</v>
      </c>
      <c r="K1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248">
        <v>10</v>
      </c>
      <c r="M12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8">
        <v>400</v>
      </c>
      <c r="O1248" s="23" t="s">
        <v>218</v>
      </c>
      <c r="P1248">
        <v>800</v>
      </c>
      <c r="Q1248" s="23" t="s">
        <v>222</v>
      </c>
    </row>
    <row r="1249" spans="1:17" x14ac:dyDescent="0.25">
      <c r="A1249" s="23" t="s">
        <v>1100</v>
      </c>
      <c r="B1249" s="23" t="s">
        <v>1101</v>
      </c>
      <c r="C1249" s="23" t="s">
        <v>176</v>
      </c>
      <c r="D1249" s="23" t="s">
        <v>287</v>
      </c>
      <c r="E1249" s="23" t="s">
        <v>288</v>
      </c>
      <c r="F1249">
        <v>0.36</v>
      </c>
      <c r="G1249" s="23" t="s">
        <v>186</v>
      </c>
      <c r="H1249">
        <v>0.36</v>
      </c>
      <c r="I1249">
        <v>10</v>
      </c>
      <c r="J1249" s="10">
        <v>14.129999999999992</v>
      </c>
      <c r="K1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249">
        <v>10</v>
      </c>
      <c r="M12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49">
        <v>393.83</v>
      </c>
      <c r="O1249" s="23" t="s">
        <v>491</v>
      </c>
      <c r="P1249">
        <v>141.77879999999999</v>
      </c>
      <c r="Q1249" s="23" t="s">
        <v>184</v>
      </c>
    </row>
    <row r="1250" spans="1:17" x14ac:dyDescent="0.25">
      <c r="A1250" s="23" t="s">
        <v>1100</v>
      </c>
      <c r="B1250" s="23" t="s">
        <v>1101</v>
      </c>
      <c r="C1250" s="23" t="s">
        <v>176</v>
      </c>
      <c r="D1250" s="23" t="s">
        <v>69</v>
      </c>
      <c r="E1250" s="23" t="s">
        <v>70</v>
      </c>
      <c r="F1250">
        <v>18.78</v>
      </c>
      <c r="G1250" s="23" t="s">
        <v>186</v>
      </c>
      <c r="H1250">
        <v>0</v>
      </c>
      <c r="I1250">
        <v>181</v>
      </c>
      <c r="J1250" s="10">
        <v>-3.1263880373444408E-13</v>
      </c>
      <c r="K1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250">
        <v>46.1</v>
      </c>
      <c r="M12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0">
        <v>96.37</v>
      </c>
      <c r="O1250" s="23" t="s">
        <v>491</v>
      </c>
      <c r="P1250">
        <v>1809.8286000000003</v>
      </c>
      <c r="Q1250" s="23" t="s">
        <v>184</v>
      </c>
    </row>
    <row r="1251" spans="1:17" x14ac:dyDescent="0.25">
      <c r="A1251" s="23" t="s">
        <v>1058</v>
      </c>
      <c r="B1251" s="23" t="s">
        <v>1059</v>
      </c>
      <c r="C1251" s="23" t="s">
        <v>176</v>
      </c>
      <c r="D1251" s="23" t="s">
        <v>896</v>
      </c>
      <c r="E1251" s="23" t="s">
        <v>897</v>
      </c>
      <c r="F1251">
        <v>0.2</v>
      </c>
      <c r="G1251" s="23" t="s">
        <v>186</v>
      </c>
      <c r="H1251">
        <v>0</v>
      </c>
      <c r="I1251">
        <v>0</v>
      </c>
      <c r="J1251" s="10">
        <v>0</v>
      </c>
      <c r="K1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251">
        <v>0</v>
      </c>
      <c r="M12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251">
        <v>500</v>
      </c>
      <c r="O1251" s="23" t="s">
        <v>898</v>
      </c>
      <c r="P1251">
        <v>100</v>
      </c>
      <c r="Q1251" s="23" t="s">
        <v>184</v>
      </c>
    </row>
    <row r="1252" spans="1:17" x14ac:dyDescent="0.25">
      <c r="A1252" s="23" t="s">
        <v>1058</v>
      </c>
      <c r="B1252" s="23" t="s">
        <v>1059</v>
      </c>
      <c r="C1252" s="23" t="s">
        <v>176</v>
      </c>
      <c r="D1252" s="23" t="s">
        <v>73</v>
      </c>
      <c r="E1252" s="23" t="s">
        <v>74</v>
      </c>
      <c r="F1252">
        <v>1</v>
      </c>
      <c r="G1252" s="23" t="s">
        <v>177</v>
      </c>
      <c r="H1252">
        <v>1</v>
      </c>
      <c r="I1252">
        <v>3</v>
      </c>
      <c r="J1252" s="10">
        <v>7</v>
      </c>
      <c r="K1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252">
        <v>0</v>
      </c>
      <c r="M12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252">
        <v>8822.93</v>
      </c>
      <c r="O1252" s="23" t="s">
        <v>635</v>
      </c>
      <c r="P1252">
        <v>8822.93</v>
      </c>
      <c r="Q1252" s="23" t="s">
        <v>179</v>
      </c>
    </row>
    <row r="1253" spans="1:17" x14ac:dyDescent="0.25">
      <c r="A1253" s="23" t="s">
        <v>1058</v>
      </c>
      <c r="B1253" s="23" t="s">
        <v>1059</v>
      </c>
      <c r="C1253" s="23" t="s">
        <v>176</v>
      </c>
      <c r="D1253" s="23" t="s">
        <v>381</v>
      </c>
      <c r="E1253" s="23" t="s">
        <v>382</v>
      </c>
      <c r="F1253">
        <v>1.1000000000000001</v>
      </c>
      <c r="G1253" s="23" t="s">
        <v>180</v>
      </c>
      <c r="H1253">
        <v>0</v>
      </c>
      <c r="I1253">
        <v>0</v>
      </c>
      <c r="J1253" s="10">
        <v>20.300000000000029</v>
      </c>
      <c r="K1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253">
        <v>0</v>
      </c>
      <c r="M12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253">
        <v>115</v>
      </c>
      <c r="O1253" s="23" t="s">
        <v>822</v>
      </c>
      <c r="P1253">
        <v>126.50000000000001</v>
      </c>
      <c r="Q1253" s="23" t="s">
        <v>179</v>
      </c>
    </row>
    <row r="1254" spans="1:17" x14ac:dyDescent="0.25">
      <c r="A1254" s="23" t="s">
        <v>1058</v>
      </c>
      <c r="B1254" s="23" t="s">
        <v>1059</v>
      </c>
      <c r="C1254" s="23" t="s">
        <v>176</v>
      </c>
      <c r="D1254" s="23" t="s">
        <v>469</v>
      </c>
      <c r="E1254" s="23" t="s">
        <v>580</v>
      </c>
      <c r="F1254">
        <v>3</v>
      </c>
      <c r="G1254" s="23" t="s">
        <v>186</v>
      </c>
      <c r="H1254">
        <v>3</v>
      </c>
      <c r="I1254">
        <v>30</v>
      </c>
      <c r="J1254" s="10">
        <v>21.5</v>
      </c>
      <c r="K1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254">
        <v>0</v>
      </c>
      <c r="M12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254">
        <v>118.14</v>
      </c>
      <c r="O1254" s="23" t="s">
        <v>394</v>
      </c>
      <c r="P1254">
        <v>354.42</v>
      </c>
      <c r="Q1254" s="23" t="s">
        <v>184</v>
      </c>
    </row>
    <row r="1255" spans="1:17" x14ac:dyDescent="0.25">
      <c r="A1255" s="23" t="s">
        <v>1197</v>
      </c>
      <c r="B1255" s="23" t="s">
        <v>1198</v>
      </c>
      <c r="C1255" s="23" t="s">
        <v>176</v>
      </c>
      <c r="D1255" s="23" t="s">
        <v>68</v>
      </c>
      <c r="E1255" s="23" t="s">
        <v>586</v>
      </c>
      <c r="F1255">
        <v>0.5</v>
      </c>
      <c r="G1255" s="23" t="s">
        <v>177</v>
      </c>
      <c r="H1255">
        <v>0</v>
      </c>
      <c r="I1255">
        <v>13.5</v>
      </c>
      <c r="J1255" s="10">
        <v>8.5</v>
      </c>
      <c r="K1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255">
        <v>0</v>
      </c>
      <c r="M12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5">
        <v>1600</v>
      </c>
      <c r="O1255" s="23" t="s">
        <v>1051</v>
      </c>
      <c r="P1255">
        <v>800</v>
      </c>
      <c r="Q1255" s="23" t="s">
        <v>178</v>
      </c>
    </row>
    <row r="1256" spans="1:17" x14ac:dyDescent="0.25">
      <c r="A1256" s="23" t="s">
        <v>1142</v>
      </c>
      <c r="B1256" s="23" t="s">
        <v>1054</v>
      </c>
      <c r="C1256" s="23" t="s">
        <v>176</v>
      </c>
      <c r="D1256" s="23" t="s">
        <v>17</v>
      </c>
      <c r="E1256" s="23" t="s">
        <v>18</v>
      </c>
      <c r="F1256">
        <v>1</v>
      </c>
      <c r="G1256" s="23" t="s">
        <v>177</v>
      </c>
      <c r="H1256">
        <v>0</v>
      </c>
      <c r="I1256">
        <v>7</v>
      </c>
      <c r="J1256" s="10">
        <v>10</v>
      </c>
      <c r="K1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1256">
        <v>50</v>
      </c>
      <c r="M12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6">
        <v>839.2</v>
      </c>
      <c r="O1256" s="23" t="s">
        <v>236</v>
      </c>
      <c r="P1256">
        <v>839.2</v>
      </c>
      <c r="Q1256" s="23" t="s">
        <v>222</v>
      </c>
    </row>
    <row r="1257" spans="1:17" x14ac:dyDescent="0.25">
      <c r="A1257" s="23" t="s">
        <v>1100</v>
      </c>
      <c r="B1257" s="23" t="s">
        <v>1101</v>
      </c>
      <c r="C1257" s="23" t="s">
        <v>176</v>
      </c>
      <c r="D1257" s="23" t="s">
        <v>381</v>
      </c>
      <c r="E1257" s="23" t="s">
        <v>382</v>
      </c>
      <c r="F1257">
        <v>1.2</v>
      </c>
      <c r="G1257" s="23" t="s">
        <v>180</v>
      </c>
      <c r="H1257">
        <v>0</v>
      </c>
      <c r="I1257">
        <v>0</v>
      </c>
      <c r="J1257" s="10">
        <v>20.300000000000029</v>
      </c>
      <c r="K1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257">
        <v>0</v>
      </c>
      <c r="M12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257">
        <v>115</v>
      </c>
      <c r="O1257" s="23" t="s">
        <v>822</v>
      </c>
      <c r="P1257">
        <v>138</v>
      </c>
      <c r="Q1257" s="23" t="s">
        <v>179</v>
      </c>
    </row>
    <row r="1258" spans="1:17" x14ac:dyDescent="0.25">
      <c r="A1258" s="23" t="s">
        <v>1057</v>
      </c>
      <c r="B1258" s="23" t="s">
        <v>1056</v>
      </c>
      <c r="C1258" s="23" t="s">
        <v>176</v>
      </c>
      <c r="D1258" s="23" t="s">
        <v>21</v>
      </c>
      <c r="E1258" s="23" t="s">
        <v>22</v>
      </c>
      <c r="F1258">
        <v>5</v>
      </c>
      <c r="G1258" s="23" t="s">
        <v>180</v>
      </c>
      <c r="H1258">
        <v>0</v>
      </c>
      <c r="I1258">
        <v>100</v>
      </c>
      <c r="J1258" s="10">
        <v>105.5</v>
      </c>
      <c r="K1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58">
        <v>0</v>
      </c>
      <c r="M12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8">
        <v>131.25</v>
      </c>
      <c r="O1258" s="23" t="s">
        <v>827</v>
      </c>
      <c r="P1258">
        <v>656.25</v>
      </c>
      <c r="Q1258" s="23" t="s">
        <v>222</v>
      </c>
    </row>
    <row r="1259" spans="1:17" x14ac:dyDescent="0.25">
      <c r="A1259" s="23" t="s">
        <v>1143</v>
      </c>
      <c r="B1259" s="23" t="s">
        <v>1054</v>
      </c>
      <c r="C1259" s="23" t="s">
        <v>176</v>
      </c>
      <c r="D1259" s="23" t="s">
        <v>21</v>
      </c>
      <c r="E1259" s="23" t="s">
        <v>22</v>
      </c>
      <c r="F1259">
        <v>8</v>
      </c>
      <c r="G1259" s="23" t="s">
        <v>180</v>
      </c>
      <c r="H1259">
        <v>0</v>
      </c>
      <c r="I1259">
        <v>100</v>
      </c>
      <c r="J1259" s="10">
        <v>105.5</v>
      </c>
      <c r="K1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59">
        <v>0</v>
      </c>
      <c r="M12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59">
        <v>131.25</v>
      </c>
      <c r="O1259" s="23" t="s">
        <v>827</v>
      </c>
      <c r="P1259">
        <v>1050</v>
      </c>
      <c r="Q1259" s="23" t="s">
        <v>222</v>
      </c>
    </row>
    <row r="1260" spans="1:17" x14ac:dyDescent="0.25">
      <c r="A1260" s="23" t="s">
        <v>1142</v>
      </c>
      <c r="B1260" s="23" t="s">
        <v>1054</v>
      </c>
      <c r="C1260" s="23" t="s">
        <v>176</v>
      </c>
      <c r="D1260" s="23" t="s">
        <v>30</v>
      </c>
      <c r="E1260" s="23" t="s">
        <v>31</v>
      </c>
      <c r="F1260">
        <v>43</v>
      </c>
      <c r="G1260" s="23" t="s">
        <v>177</v>
      </c>
      <c r="H1260">
        <v>0</v>
      </c>
      <c r="I1260">
        <v>4500</v>
      </c>
      <c r="J1260" s="10">
        <v>2426</v>
      </c>
      <c r="K1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60">
        <v>0</v>
      </c>
      <c r="M12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0">
        <v>1</v>
      </c>
      <c r="O1260" s="23"/>
      <c r="P1260">
        <v>43</v>
      </c>
      <c r="Q1260" s="23" t="s">
        <v>181</v>
      </c>
    </row>
    <row r="1261" spans="1:17" x14ac:dyDescent="0.25">
      <c r="A1261" s="23" t="s">
        <v>1143</v>
      </c>
      <c r="B1261" s="23" t="s">
        <v>1054</v>
      </c>
      <c r="C1261" s="23" t="s">
        <v>176</v>
      </c>
      <c r="D1261" s="23" t="s">
        <v>30</v>
      </c>
      <c r="E1261" s="23" t="s">
        <v>31</v>
      </c>
      <c r="F1261">
        <v>29</v>
      </c>
      <c r="G1261" s="23" t="s">
        <v>177</v>
      </c>
      <c r="H1261">
        <v>0</v>
      </c>
      <c r="I1261">
        <v>4500</v>
      </c>
      <c r="J1261" s="10">
        <v>2426</v>
      </c>
      <c r="K1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61">
        <v>0</v>
      </c>
      <c r="M12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1">
        <v>1</v>
      </c>
      <c r="O1261" s="23"/>
      <c r="P1261">
        <v>29</v>
      </c>
      <c r="Q1261" s="23" t="s">
        <v>181</v>
      </c>
    </row>
    <row r="1262" spans="1:17" x14ac:dyDescent="0.25">
      <c r="A1262" s="23" t="s">
        <v>1096</v>
      </c>
      <c r="B1262" s="23" t="s">
        <v>1053</v>
      </c>
      <c r="C1262" s="23" t="s">
        <v>176</v>
      </c>
      <c r="D1262" s="23" t="s">
        <v>30</v>
      </c>
      <c r="E1262" s="23" t="s">
        <v>31</v>
      </c>
      <c r="F1262">
        <v>23</v>
      </c>
      <c r="G1262" s="23" t="s">
        <v>177</v>
      </c>
      <c r="H1262">
        <v>0</v>
      </c>
      <c r="I1262">
        <v>4500</v>
      </c>
      <c r="J1262" s="10">
        <v>2426</v>
      </c>
      <c r="K1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62">
        <v>0</v>
      </c>
      <c r="M12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2">
        <v>1</v>
      </c>
      <c r="O1262" s="23"/>
      <c r="P1262">
        <v>23</v>
      </c>
      <c r="Q1262" s="23" t="s">
        <v>181</v>
      </c>
    </row>
    <row r="1263" spans="1:17" x14ac:dyDescent="0.25">
      <c r="A1263" s="23" t="s">
        <v>1097</v>
      </c>
      <c r="B1263" s="23" t="s">
        <v>1095</v>
      </c>
      <c r="C1263" s="23" t="s">
        <v>176</v>
      </c>
      <c r="D1263" s="23" t="s">
        <v>287</v>
      </c>
      <c r="E1263" s="23" t="s">
        <v>288</v>
      </c>
      <c r="F1263">
        <v>0.34</v>
      </c>
      <c r="G1263" s="23" t="s">
        <v>186</v>
      </c>
      <c r="H1263">
        <v>0</v>
      </c>
      <c r="I1263">
        <v>10</v>
      </c>
      <c r="J1263" s="10">
        <v>14.129999999999992</v>
      </c>
      <c r="K1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263">
        <v>10</v>
      </c>
      <c r="M12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3">
        <v>393.83</v>
      </c>
      <c r="O1263" s="23" t="s">
        <v>491</v>
      </c>
      <c r="P1263">
        <v>133.90219999999999</v>
      </c>
      <c r="Q1263" s="23" t="s">
        <v>184</v>
      </c>
    </row>
    <row r="1264" spans="1:17" x14ac:dyDescent="0.25">
      <c r="A1264" s="23" t="s">
        <v>1097</v>
      </c>
      <c r="B1264" s="23" t="s">
        <v>1095</v>
      </c>
      <c r="C1264" s="23" t="s">
        <v>176</v>
      </c>
      <c r="D1264" s="23" t="s">
        <v>381</v>
      </c>
      <c r="E1264" s="23" t="s">
        <v>382</v>
      </c>
      <c r="F1264">
        <v>1.1000000000000001</v>
      </c>
      <c r="G1264" s="23" t="s">
        <v>180</v>
      </c>
      <c r="H1264">
        <v>0</v>
      </c>
      <c r="I1264">
        <v>0</v>
      </c>
      <c r="J1264" s="10">
        <v>20.300000000000029</v>
      </c>
      <c r="K1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264">
        <v>0</v>
      </c>
      <c r="M12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264">
        <v>115</v>
      </c>
      <c r="O1264" s="23" t="s">
        <v>822</v>
      </c>
      <c r="P1264">
        <v>126.50000000000001</v>
      </c>
      <c r="Q1264" s="23" t="s">
        <v>179</v>
      </c>
    </row>
    <row r="1265" spans="1:17" x14ac:dyDescent="0.25">
      <c r="A1265" s="23" t="s">
        <v>1147</v>
      </c>
      <c r="B1265" s="23" t="s">
        <v>1145</v>
      </c>
      <c r="C1265" s="23" t="s">
        <v>176</v>
      </c>
      <c r="D1265" s="23" t="s">
        <v>73</v>
      </c>
      <c r="E1265" s="23" t="s">
        <v>74</v>
      </c>
      <c r="F1265">
        <v>1</v>
      </c>
      <c r="G1265" s="23" t="s">
        <v>177</v>
      </c>
      <c r="H1265">
        <v>0</v>
      </c>
      <c r="I1265">
        <v>3</v>
      </c>
      <c r="J1265" s="10">
        <v>7</v>
      </c>
      <c r="K1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265">
        <v>0</v>
      </c>
      <c r="M12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265">
        <v>8822.93</v>
      </c>
      <c r="O1265" s="23" t="s">
        <v>635</v>
      </c>
      <c r="P1265">
        <v>8822.93</v>
      </c>
      <c r="Q1265" s="23" t="s">
        <v>179</v>
      </c>
    </row>
    <row r="1266" spans="1:17" x14ac:dyDescent="0.25">
      <c r="A1266" s="23" t="s">
        <v>1148</v>
      </c>
      <c r="B1266" s="23" t="s">
        <v>1054</v>
      </c>
      <c r="C1266" s="23" t="s">
        <v>176</v>
      </c>
      <c r="D1266" s="23" t="s">
        <v>73</v>
      </c>
      <c r="E1266" s="23" t="s">
        <v>74</v>
      </c>
      <c r="F1266">
        <v>1</v>
      </c>
      <c r="G1266" s="23" t="s">
        <v>177</v>
      </c>
      <c r="H1266">
        <v>0</v>
      </c>
      <c r="I1266">
        <v>3</v>
      </c>
      <c r="J1266" s="10">
        <v>7</v>
      </c>
      <c r="K1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266">
        <v>0</v>
      </c>
      <c r="M12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266">
        <v>8822.93</v>
      </c>
      <c r="O1266" s="23" t="s">
        <v>635</v>
      </c>
      <c r="P1266">
        <v>8822.93</v>
      </c>
      <c r="Q1266" s="23" t="s">
        <v>179</v>
      </c>
    </row>
    <row r="1267" spans="1:17" x14ac:dyDescent="0.25">
      <c r="A1267" s="23" t="s">
        <v>1147</v>
      </c>
      <c r="B1267" s="23" t="s">
        <v>1145</v>
      </c>
      <c r="C1267" s="23" t="s">
        <v>176</v>
      </c>
      <c r="D1267" s="23" t="s">
        <v>381</v>
      </c>
      <c r="E1267" s="23" t="s">
        <v>382</v>
      </c>
      <c r="F1267">
        <v>1.1000000000000001</v>
      </c>
      <c r="G1267" s="23" t="s">
        <v>180</v>
      </c>
      <c r="H1267">
        <v>0</v>
      </c>
      <c r="I1267">
        <v>0</v>
      </c>
      <c r="J1267" s="10">
        <v>20.300000000000029</v>
      </c>
      <c r="K1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267">
        <v>0</v>
      </c>
      <c r="M12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267">
        <v>115</v>
      </c>
      <c r="O1267" s="23" t="s">
        <v>822</v>
      </c>
      <c r="P1267">
        <v>126.50000000000001</v>
      </c>
      <c r="Q1267" s="23" t="s">
        <v>179</v>
      </c>
    </row>
    <row r="1268" spans="1:17" x14ac:dyDescent="0.25">
      <c r="A1268" s="23" t="s">
        <v>1148</v>
      </c>
      <c r="B1268" s="23" t="s">
        <v>1054</v>
      </c>
      <c r="C1268" s="23" t="s">
        <v>176</v>
      </c>
      <c r="D1268" s="23" t="s">
        <v>469</v>
      </c>
      <c r="E1268" s="23" t="s">
        <v>580</v>
      </c>
      <c r="F1268">
        <v>2</v>
      </c>
      <c r="G1268" s="23" t="s">
        <v>186</v>
      </c>
      <c r="H1268">
        <v>0</v>
      </c>
      <c r="I1268">
        <v>30</v>
      </c>
      <c r="J1268" s="10">
        <v>21.5</v>
      </c>
      <c r="K1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268">
        <v>0</v>
      </c>
      <c r="M12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268">
        <v>118.14</v>
      </c>
      <c r="O1268" s="23" t="s">
        <v>394</v>
      </c>
      <c r="P1268">
        <v>236.28</v>
      </c>
      <c r="Q1268" s="23" t="s">
        <v>184</v>
      </c>
    </row>
    <row r="1269" spans="1:17" x14ac:dyDescent="0.25">
      <c r="A1269" s="23" t="s">
        <v>1197</v>
      </c>
      <c r="B1269" s="23" t="s">
        <v>1198</v>
      </c>
      <c r="C1269" s="23" t="s">
        <v>176</v>
      </c>
      <c r="D1269" s="23" t="s">
        <v>17</v>
      </c>
      <c r="E1269" s="23" t="s">
        <v>18</v>
      </c>
      <c r="F1269">
        <v>1</v>
      </c>
      <c r="G1269" s="23" t="s">
        <v>177</v>
      </c>
      <c r="H1269">
        <v>0</v>
      </c>
      <c r="I1269">
        <v>7</v>
      </c>
      <c r="J1269" s="10">
        <v>10</v>
      </c>
      <c r="K1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1269">
        <v>50</v>
      </c>
      <c r="M12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69">
        <v>839.2</v>
      </c>
      <c r="O1269" s="23" t="s">
        <v>236</v>
      </c>
      <c r="P1269">
        <v>839.2</v>
      </c>
      <c r="Q1269" s="23" t="s">
        <v>222</v>
      </c>
    </row>
    <row r="1270" spans="1:17" x14ac:dyDescent="0.25">
      <c r="A1270" s="23" t="s">
        <v>1098</v>
      </c>
      <c r="B1270" s="23" t="s">
        <v>1053</v>
      </c>
      <c r="C1270" s="23" t="s">
        <v>176</v>
      </c>
      <c r="D1270" s="23" t="s">
        <v>17</v>
      </c>
      <c r="E1270" s="23" t="s">
        <v>18</v>
      </c>
      <c r="F1270">
        <v>1</v>
      </c>
      <c r="G1270" s="23" t="s">
        <v>177</v>
      </c>
      <c r="H1270">
        <v>0</v>
      </c>
      <c r="I1270">
        <v>7</v>
      </c>
      <c r="J1270" s="10">
        <v>10</v>
      </c>
      <c r="K1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1270">
        <v>50</v>
      </c>
      <c r="M12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0">
        <v>839.2</v>
      </c>
      <c r="O1270" s="23" t="s">
        <v>236</v>
      </c>
      <c r="P1270">
        <v>839.2</v>
      </c>
      <c r="Q1270" s="23" t="s">
        <v>222</v>
      </c>
    </row>
    <row r="1271" spans="1:17" x14ac:dyDescent="0.25">
      <c r="A1271" s="23" t="s">
        <v>1098</v>
      </c>
      <c r="B1271" s="23" t="s">
        <v>1053</v>
      </c>
      <c r="C1271" s="23" t="s">
        <v>176</v>
      </c>
      <c r="D1271" s="23" t="s">
        <v>706</v>
      </c>
      <c r="E1271" s="23" t="s">
        <v>707</v>
      </c>
      <c r="F1271">
        <v>4</v>
      </c>
      <c r="G1271" s="23" t="s">
        <v>177</v>
      </c>
      <c r="H1271">
        <v>0</v>
      </c>
      <c r="I1271">
        <v>1400</v>
      </c>
      <c r="J1271" s="10">
        <v>602</v>
      </c>
      <c r="K1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71">
        <v>0</v>
      </c>
      <c r="M12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1">
        <v>0.6</v>
      </c>
      <c r="O1271" s="23" t="s">
        <v>242</v>
      </c>
      <c r="P1271">
        <v>2.4</v>
      </c>
      <c r="Q1271" s="23" t="s">
        <v>181</v>
      </c>
    </row>
    <row r="1272" spans="1:17" x14ac:dyDescent="0.25">
      <c r="A1272" s="23" t="s">
        <v>1197</v>
      </c>
      <c r="B1272" s="23" t="s">
        <v>1198</v>
      </c>
      <c r="C1272" s="23" t="s">
        <v>176</v>
      </c>
      <c r="D1272" s="23" t="s">
        <v>706</v>
      </c>
      <c r="E1272" s="23" t="s">
        <v>707</v>
      </c>
      <c r="F1272">
        <v>12</v>
      </c>
      <c r="G1272" s="23" t="s">
        <v>177</v>
      </c>
      <c r="H1272">
        <v>0</v>
      </c>
      <c r="I1272">
        <v>1400</v>
      </c>
      <c r="J1272" s="10">
        <v>602</v>
      </c>
      <c r="K1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72">
        <v>0</v>
      </c>
      <c r="M12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2">
        <v>0.6</v>
      </c>
      <c r="O1272" s="23" t="s">
        <v>242</v>
      </c>
      <c r="P1272">
        <v>7.1999999999999993</v>
      </c>
      <c r="Q1272" s="23" t="s">
        <v>181</v>
      </c>
    </row>
    <row r="1273" spans="1:17" x14ac:dyDescent="0.25">
      <c r="A1273" s="23" t="s">
        <v>1197</v>
      </c>
      <c r="B1273" s="23" t="s">
        <v>1198</v>
      </c>
      <c r="C1273" s="23" t="s">
        <v>176</v>
      </c>
      <c r="D1273" s="23" t="s">
        <v>30</v>
      </c>
      <c r="E1273" s="23" t="s">
        <v>31</v>
      </c>
      <c r="F1273">
        <v>43</v>
      </c>
      <c r="G1273" s="23" t="s">
        <v>177</v>
      </c>
      <c r="H1273">
        <v>0</v>
      </c>
      <c r="I1273">
        <v>4500</v>
      </c>
      <c r="J1273" s="10">
        <v>2426</v>
      </c>
      <c r="K1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73">
        <v>0</v>
      </c>
      <c r="M12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3">
        <v>1</v>
      </c>
      <c r="O1273" s="23"/>
      <c r="P1273">
        <v>43</v>
      </c>
      <c r="Q1273" s="23" t="s">
        <v>181</v>
      </c>
    </row>
    <row r="1274" spans="1:17" x14ac:dyDescent="0.25">
      <c r="A1274" s="23" t="s">
        <v>1098</v>
      </c>
      <c r="B1274" s="23" t="s">
        <v>1053</v>
      </c>
      <c r="C1274" s="23" t="s">
        <v>176</v>
      </c>
      <c r="D1274" s="23" t="s">
        <v>30</v>
      </c>
      <c r="E1274" s="23" t="s">
        <v>31</v>
      </c>
      <c r="F1274">
        <v>48</v>
      </c>
      <c r="G1274" s="23" t="s">
        <v>177</v>
      </c>
      <c r="H1274">
        <v>0</v>
      </c>
      <c r="I1274">
        <v>4500</v>
      </c>
      <c r="J1274" s="10">
        <v>2426</v>
      </c>
      <c r="K1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74">
        <v>0</v>
      </c>
      <c r="M12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4">
        <v>1</v>
      </c>
      <c r="O1274" s="23"/>
      <c r="P1274">
        <v>48</v>
      </c>
      <c r="Q1274" s="23" t="s">
        <v>181</v>
      </c>
    </row>
    <row r="1275" spans="1:17" x14ac:dyDescent="0.25">
      <c r="A1275" s="23" t="s">
        <v>1094</v>
      </c>
      <c r="B1275" s="23" t="s">
        <v>1095</v>
      </c>
      <c r="C1275" s="23" t="s">
        <v>176</v>
      </c>
      <c r="D1275" s="23" t="s">
        <v>17</v>
      </c>
      <c r="E1275" s="23" t="s">
        <v>18</v>
      </c>
      <c r="F1275">
        <v>1</v>
      </c>
      <c r="G1275" s="23" t="s">
        <v>177</v>
      </c>
      <c r="H1275">
        <v>0</v>
      </c>
      <c r="I1275">
        <v>7</v>
      </c>
      <c r="J1275" s="10">
        <v>10</v>
      </c>
      <c r="K1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1275">
        <v>50</v>
      </c>
      <c r="M12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5">
        <v>839.2</v>
      </c>
      <c r="O1275" s="23" t="s">
        <v>236</v>
      </c>
      <c r="P1275">
        <v>839.2</v>
      </c>
      <c r="Q1275" s="23" t="s">
        <v>222</v>
      </c>
    </row>
    <row r="1276" spans="1:17" x14ac:dyDescent="0.25">
      <c r="A1276" s="23" t="s">
        <v>1094</v>
      </c>
      <c r="B1276" s="23" t="s">
        <v>1095</v>
      </c>
      <c r="C1276" s="23" t="s">
        <v>176</v>
      </c>
      <c r="D1276" s="23" t="s">
        <v>21</v>
      </c>
      <c r="E1276" s="23" t="s">
        <v>22</v>
      </c>
      <c r="F1276">
        <v>1.5</v>
      </c>
      <c r="G1276" s="23" t="s">
        <v>180</v>
      </c>
      <c r="H1276">
        <v>0</v>
      </c>
      <c r="I1276">
        <v>100</v>
      </c>
      <c r="J1276" s="10">
        <v>105.5</v>
      </c>
      <c r="K1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76">
        <v>0</v>
      </c>
      <c r="M12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6">
        <v>131.25</v>
      </c>
      <c r="O1276" s="23" t="s">
        <v>827</v>
      </c>
      <c r="P1276">
        <v>196.875</v>
      </c>
      <c r="Q1276" s="23" t="s">
        <v>222</v>
      </c>
    </row>
    <row r="1277" spans="1:17" x14ac:dyDescent="0.25">
      <c r="A1277" s="23" t="s">
        <v>1062</v>
      </c>
      <c r="B1277" s="23" t="s">
        <v>1053</v>
      </c>
      <c r="C1277" s="23" t="s">
        <v>176</v>
      </c>
      <c r="D1277" s="23" t="s">
        <v>30</v>
      </c>
      <c r="E1277" s="23" t="s">
        <v>31</v>
      </c>
      <c r="F1277">
        <v>23</v>
      </c>
      <c r="G1277" s="23" t="s">
        <v>177</v>
      </c>
      <c r="H1277">
        <v>0</v>
      </c>
      <c r="I1277">
        <v>4500</v>
      </c>
      <c r="J1277" s="10">
        <v>2426</v>
      </c>
      <c r="K1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77">
        <v>0</v>
      </c>
      <c r="M12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7">
        <v>1</v>
      </c>
      <c r="O1277" s="23"/>
      <c r="P1277">
        <v>23</v>
      </c>
      <c r="Q1277" s="23" t="s">
        <v>181</v>
      </c>
    </row>
    <row r="1278" spans="1:17" x14ac:dyDescent="0.25">
      <c r="A1278" s="23" t="s">
        <v>1097</v>
      </c>
      <c r="B1278" s="23" t="s">
        <v>1095</v>
      </c>
      <c r="C1278" s="23" t="s">
        <v>176</v>
      </c>
      <c r="D1278" s="23" t="s">
        <v>30</v>
      </c>
      <c r="E1278" s="23" t="s">
        <v>31</v>
      </c>
      <c r="F1278">
        <v>23</v>
      </c>
      <c r="G1278" s="23" t="s">
        <v>177</v>
      </c>
      <c r="H1278">
        <v>0</v>
      </c>
      <c r="I1278">
        <v>4500</v>
      </c>
      <c r="J1278" s="10">
        <v>2426</v>
      </c>
      <c r="K1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78">
        <v>0</v>
      </c>
      <c r="M12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8">
        <v>1</v>
      </c>
      <c r="O1278" s="23"/>
      <c r="P1278">
        <v>23</v>
      </c>
      <c r="Q1278" s="23" t="s">
        <v>181</v>
      </c>
    </row>
    <row r="1279" spans="1:17" x14ac:dyDescent="0.25">
      <c r="A1279" s="23" t="s">
        <v>1062</v>
      </c>
      <c r="B1279" s="23" t="s">
        <v>1053</v>
      </c>
      <c r="C1279" s="23" t="s">
        <v>176</v>
      </c>
      <c r="D1279" s="23" t="s">
        <v>68</v>
      </c>
      <c r="E1279" s="23" t="s">
        <v>586</v>
      </c>
      <c r="F1279">
        <v>0.5</v>
      </c>
      <c r="G1279" s="23" t="s">
        <v>177</v>
      </c>
      <c r="H1279">
        <v>0</v>
      </c>
      <c r="I1279">
        <v>13.5</v>
      </c>
      <c r="J1279" s="10">
        <v>8.5</v>
      </c>
      <c r="K1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279">
        <v>0</v>
      </c>
      <c r="M12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79">
        <v>1600</v>
      </c>
      <c r="O1279" s="23" t="s">
        <v>1051</v>
      </c>
      <c r="P1279">
        <v>800</v>
      </c>
      <c r="Q1279" s="23" t="s">
        <v>178</v>
      </c>
    </row>
    <row r="1280" spans="1:17" x14ac:dyDescent="0.25">
      <c r="A1280" s="23" t="s">
        <v>1143</v>
      </c>
      <c r="B1280" s="23" t="s">
        <v>1054</v>
      </c>
      <c r="C1280" s="23" t="s">
        <v>176</v>
      </c>
      <c r="D1280" s="23" t="s">
        <v>17</v>
      </c>
      <c r="E1280" s="23" t="s">
        <v>18</v>
      </c>
      <c r="F1280">
        <v>1</v>
      </c>
      <c r="G1280" s="23" t="s">
        <v>177</v>
      </c>
      <c r="H1280">
        <v>0</v>
      </c>
      <c r="I1280">
        <v>7</v>
      </c>
      <c r="J1280" s="10">
        <v>10</v>
      </c>
      <c r="K1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1280">
        <v>50</v>
      </c>
      <c r="M12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0">
        <v>839.2</v>
      </c>
      <c r="O1280" s="23" t="s">
        <v>236</v>
      </c>
      <c r="P1280">
        <v>839.2</v>
      </c>
      <c r="Q1280" s="23" t="s">
        <v>222</v>
      </c>
    </row>
    <row r="1281" spans="1:17" x14ac:dyDescent="0.25">
      <c r="A1281" s="23" t="s">
        <v>1096</v>
      </c>
      <c r="B1281" s="23" t="s">
        <v>1053</v>
      </c>
      <c r="C1281" s="23" t="s">
        <v>176</v>
      </c>
      <c r="D1281" s="23" t="s">
        <v>21</v>
      </c>
      <c r="E1281" s="23" t="s">
        <v>22</v>
      </c>
      <c r="F1281">
        <v>7</v>
      </c>
      <c r="G1281" s="23" t="s">
        <v>180</v>
      </c>
      <c r="H1281">
        <v>0</v>
      </c>
      <c r="I1281">
        <v>100</v>
      </c>
      <c r="J1281" s="10">
        <v>105.5</v>
      </c>
      <c r="K1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81">
        <v>0</v>
      </c>
      <c r="M12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1">
        <v>131.25</v>
      </c>
      <c r="O1281" s="23" t="s">
        <v>827</v>
      </c>
      <c r="P1281">
        <v>918.75</v>
      </c>
      <c r="Q1281" s="23" t="s">
        <v>222</v>
      </c>
    </row>
    <row r="1282" spans="1:17" x14ac:dyDescent="0.25">
      <c r="A1282" s="23" t="s">
        <v>1057</v>
      </c>
      <c r="B1282" s="23" t="s">
        <v>1056</v>
      </c>
      <c r="C1282" s="23" t="s">
        <v>176</v>
      </c>
      <c r="D1282" s="23" t="s">
        <v>706</v>
      </c>
      <c r="E1282" s="23" t="s">
        <v>707</v>
      </c>
      <c r="F1282">
        <v>4</v>
      </c>
      <c r="G1282" s="23" t="s">
        <v>177</v>
      </c>
      <c r="H1282">
        <v>0</v>
      </c>
      <c r="I1282">
        <v>1400</v>
      </c>
      <c r="J1282" s="10">
        <v>602</v>
      </c>
      <c r="K1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82">
        <v>0</v>
      </c>
      <c r="M12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2">
        <v>0.6</v>
      </c>
      <c r="O1282" s="23" t="s">
        <v>242</v>
      </c>
      <c r="P1282">
        <v>2.4</v>
      </c>
      <c r="Q1282" s="23" t="s">
        <v>181</v>
      </c>
    </row>
    <row r="1283" spans="1:17" x14ac:dyDescent="0.25">
      <c r="A1283" s="23" t="s">
        <v>1057</v>
      </c>
      <c r="B1283" s="23" t="s">
        <v>1056</v>
      </c>
      <c r="C1283" s="23" t="s">
        <v>176</v>
      </c>
      <c r="D1283" s="23" t="s">
        <v>30</v>
      </c>
      <c r="E1283" s="23" t="s">
        <v>31</v>
      </c>
      <c r="F1283">
        <v>43</v>
      </c>
      <c r="G1283" s="23" t="s">
        <v>177</v>
      </c>
      <c r="H1283">
        <v>0</v>
      </c>
      <c r="I1283">
        <v>4500</v>
      </c>
      <c r="J1283" s="10">
        <v>2426</v>
      </c>
      <c r="K1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83">
        <v>0</v>
      </c>
      <c r="M12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3">
        <v>1</v>
      </c>
      <c r="O1283" s="23"/>
      <c r="P1283">
        <v>43</v>
      </c>
      <c r="Q1283" s="23" t="s">
        <v>181</v>
      </c>
    </row>
    <row r="1284" spans="1:17" x14ac:dyDescent="0.25">
      <c r="A1284" s="23" t="s">
        <v>1094</v>
      </c>
      <c r="B1284" s="23" t="s">
        <v>1095</v>
      </c>
      <c r="C1284" s="23" t="s">
        <v>176</v>
      </c>
      <c r="D1284" s="23" t="s">
        <v>30</v>
      </c>
      <c r="E1284" s="23" t="s">
        <v>31</v>
      </c>
      <c r="F1284">
        <v>23</v>
      </c>
      <c r="G1284" s="23" t="s">
        <v>177</v>
      </c>
      <c r="H1284">
        <v>0</v>
      </c>
      <c r="I1284">
        <v>4500</v>
      </c>
      <c r="J1284" s="10">
        <v>2426</v>
      </c>
      <c r="K1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-3826</v>
      </c>
      <c r="L1284">
        <v>0</v>
      </c>
      <c r="M12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4">
        <v>1</v>
      </c>
      <c r="O1284" s="23"/>
      <c r="P1284">
        <v>23</v>
      </c>
      <c r="Q1284" s="23" t="s">
        <v>181</v>
      </c>
    </row>
    <row r="1285" spans="1:17" x14ac:dyDescent="0.25">
      <c r="A1285" s="23" t="s">
        <v>1097</v>
      </c>
      <c r="B1285" s="23" t="s">
        <v>1095</v>
      </c>
      <c r="C1285" s="23" t="s">
        <v>176</v>
      </c>
      <c r="D1285" s="23" t="s">
        <v>68</v>
      </c>
      <c r="E1285" s="23" t="s">
        <v>586</v>
      </c>
      <c r="F1285">
        <v>0.05</v>
      </c>
      <c r="G1285" s="23" t="s">
        <v>177</v>
      </c>
      <c r="H1285">
        <v>0</v>
      </c>
      <c r="I1285">
        <v>13.5</v>
      </c>
      <c r="J1285" s="10">
        <v>8.5</v>
      </c>
      <c r="K1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285">
        <v>0</v>
      </c>
      <c r="M12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5">
        <v>1600</v>
      </c>
      <c r="O1285" s="23" t="s">
        <v>1051</v>
      </c>
      <c r="P1285">
        <v>80</v>
      </c>
      <c r="Q1285" s="23" t="s">
        <v>178</v>
      </c>
    </row>
    <row r="1286" spans="1:17" x14ac:dyDescent="0.25">
      <c r="A1286" s="23" t="s">
        <v>1197</v>
      </c>
      <c r="B1286" s="23" t="s">
        <v>1198</v>
      </c>
      <c r="C1286" s="23" t="s">
        <v>176</v>
      </c>
      <c r="D1286" s="23" t="s">
        <v>287</v>
      </c>
      <c r="E1286" s="23" t="s">
        <v>288</v>
      </c>
      <c r="F1286">
        <v>0.35</v>
      </c>
      <c r="G1286" s="23" t="s">
        <v>186</v>
      </c>
      <c r="H1286">
        <v>0</v>
      </c>
      <c r="I1286">
        <v>10</v>
      </c>
      <c r="J1286" s="10">
        <v>14.129999999999992</v>
      </c>
      <c r="K1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286">
        <v>10</v>
      </c>
      <c r="M12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6">
        <v>393.83</v>
      </c>
      <c r="O1286" s="23" t="s">
        <v>491</v>
      </c>
      <c r="P1286">
        <v>137.84049999999999</v>
      </c>
      <c r="Q1286" s="23" t="s">
        <v>184</v>
      </c>
    </row>
    <row r="1287" spans="1:17" x14ac:dyDescent="0.25">
      <c r="A1287" s="23" t="s">
        <v>1098</v>
      </c>
      <c r="B1287" s="23" t="s">
        <v>1053</v>
      </c>
      <c r="C1287" s="23" t="s">
        <v>176</v>
      </c>
      <c r="D1287" s="23" t="s">
        <v>287</v>
      </c>
      <c r="E1287" s="23" t="s">
        <v>288</v>
      </c>
      <c r="F1287">
        <v>0.36</v>
      </c>
      <c r="G1287" s="23" t="s">
        <v>186</v>
      </c>
      <c r="H1287">
        <v>0</v>
      </c>
      <c r="I1287">
        <v>10</v>
      </c>
      <c r="J1287" s="10">
        <v>14.129999999999992</v>
      </c>
      <c r="K1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287">
        <v>10</v>
      </c>
      <c r="M12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7">
        <v>393.83</v>
      </c>
      <c r="O1287" s="23" t="s">
        <v>491</v>
      </c>
      <c r="P1287">
        <v>141.77879999999999</v>
      </c>
      <c r="Q1287" s="23" t="s">
        <v>184</v>
      </c>
    </row>
    <row r="1288" spans="1:17" x14ac:dyDescent="0.25">
      <c r="A1288" s="23" t="s">
        <v>1062</v>
      </c>
      <c r="B1288" s="23" t="s">
        <v>1053</v>
      </c>
      <c r="C1288" s="23" t="s">
        <v>176</v>
      </c>
      <c r="D1288" s="23" t="s">
        <v>69</v>
      </c>
      <c r="E1288" s="23" t="s">
        <v>70</v>
      </c>
      <c r="F1288">
        <v>10.709999999999999</v>
      </c>
      <c r="G1288" s="23" t="s">
        <v>186</v>
      </c>
      <c r="H1288">
        <v>0</v>
      </c>
      <c r="I1288">
        <v>181</v>
      </c>
      <c r="J1288" s="10">
        <v>-3.1263880373444408E-13</v>
      </c>
      <c r="K1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288">
        <v>46.1</v>
      </c>
      <c r="M12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8">
        <v>96.37</v>
      </c>
      <c r="O1288" s="23" t="s">
        <v>491</v>
      </c>
      <c r="P1288">
        <v>1032.1226999999999</v>
      </c>
      <c r="Q1288" s="23" t="s">
        <v>184</v>
      </c>
    </row>
    <row r="1289" spans="1:17" x14ac:dyDescent="0.25">
      <c r="A1289" s="23" t="s">
        <v>1197</v>
      </c>
      <c r="B1289" s="23" t="s">
        <v>1198</v>
      </c>
      <c r="C1289" s="23" t="s">
        <v>176</v>
      </c>
      <c r="D1289" s="23" t="s">
        <v>69</v>
      </c>
      <c r="E1289" s="23" t="s">
        <v>70</v>
      </c>
      <c r="F1289">
        <v>8.5400000000000009</v>
      </c>
      <c r="G1289" s="23" t="s">
        <v>186</v>
      </c>
      <c r="H1289">
        <v>0</v>
      </c>
      <c r="I1289">
        <v>181</v>
      </c>
      <c r="J1289" s="10">
        <v>-3.1263880373444408E-13</v>
      </c>
      <c r="K1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289">
        <v>46.1</v>
      </c>
      <c r="M12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89">
        <v>96.37</v>
      </c>
      <c r="O1289" s="23" t="s">
        <v>491</v>
      </c>
      <c r="P1289">
        <v>822.99980000000016</v>
      </c>
      <c r="Q1289" s="23" t="s">
        <v>184</v>
      </c>
    </row>
    <row r="1290" spans="1:17" x14ac:dyDescent="0.25">
      <c r="A1290" s="23" t="s">
        <v>1197</v>
      </c>
      <c r="B1290" s="23" t="s">
        <v>1198</v>
      </c>
      <c r="C1290" s="23" t="s">
        <v>176</v>
      </c>
      <c r="D1290" s="23" t="s">
        <v>896</v>
      </c>
      <c r="E1290" s="23" t="s">
        <v>897</v>
      </c>
      <c r="F1290">
        <v>0.2</v>
      </c>
      <c r="G1290" s="23" t="s">
        <v>186</v>
      </c>
      <c r="H1290">
        <v>0</v>
      </c>
      <c r="I1290">
        <v>0</v>
      </c>
      <c r="J1290" s="10">
        <v>0</v>
      </c>
      <c r="K1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290">
        <v>0</v>
      </c>
      <c r="M12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290">
        <v>500</v>
      </c>
      <c r="O1290" s="23" t="s">
        <v>898</v>
      </c>
      <c r="P1290">
        <v>100</v>
      </c>
      <c r="Q1290" s="23" t="s">
        <v>184</v>
      </c>
    </row>
    <row r="1291" spans="1:17" x14ac:dyDescent="0.25">
      <c r="A1291" s="23" t="s">
        <v>1097</v>
      </c>
      <c r="B1291" s="23" t="s">
        <v>1095</v>
      </c>
      <c r="C1291" s="23" t="s">
        <v>176</v>
      </c>
      <c r="D1291" s="23" t="s">
        <v>73</v>
      </c>
      <c r="E1291" s="23" t="s">
        <v>74</v>
      </c>
      <c r="F1291">
        <v>1</v>
      </c>
      <c r="G1291" s="23" t="s">
        <v>177</v>
      </c>
      <c r="H1291">
        <v>0</v>
      </c>
      <c r="I1291">
        <v>3</v>
      </c>
      <c r="J1291" s="10">
        <v>7</v>
      </c>
      <c r="K1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291">
        <v>0</v>
      </c>
      <c r="M12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291">
        <v>8822.93</v>
      </c>
      <c r="O1291" s="23" t="s">
        <v>635</v>
      </c>
      <c r="P1291">
        <v>8822.93</v>
      </c>
      <c r="Q1291" s="23" t="s">
        <v>179</v>
      </c>
    </row>
    <row r="1292" spans="1:17" x14ac:dyDescent="0.25">
      <c r="A1292" s="23" t="s">
        <v>1062</v>
      </c>
      <c r="B1292" s="23" t="s">
        <v>1053</v>
      </c>
      <c r="C1292" s="23" t="s">
        <v>176</v>
      </c>
      <c r="D1292" s="23" t="s">
        <v>381</v>
      </c>
      <c r="E1292" s="23" t="s">
        <v>382</v>
      </c>
      <c r="F1292">
        <v>1.1000000000000001</v>
      </c>
      <c r="G1292" s="23" t="s">
        <v>180</v>
      </c>
      <c r="H1292">
        <v>0</v>
      </c>
      <c r="I1292">
        <v>0</v>
      </c>
      <c r="J1292" s="10">
        <v>20.300000000000029</v>
      </c>
      <c r="K1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292">
        <v>0</v>
      </c>
      <c r="M12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292">
        <v>115</v>
      </c>
      <c r="O1292" s="23" t="s">
        <v>822</v>
      </c>
      <c r="P1292">
        <v>126.50000000000001</v>
      </c>
      <c r="Q1292" s="23" t="s">
        <v>179</v>
      </c>
    </row>
    <row r="1293" spans="1:17" x14ac:dyDescent="0.25">
      <c r="A1293" s="23" t="s">
        <v>1142</v>
      </c>
      <c r="B1293" s="23" t="s">
        <v>1054</v>
      </c>
      <c r="C1293" s="23" t="s">
        <v>176</v>
      </c>
      <c r="D1293" s="23" t="s">
        <v>21</v>
      </c>
      <c r="E1293" s="23" t="s">
        <v>22</v>
      </c>
      <c r="F1293">
        <v>4</v>
      </c>
      <c r="G1293" s="23" t="s">
        <v>180</v>
      </c>
      <c r="H1293">
        <v>0</v>
      </c>
      <c r="I1293">
        <v>100</v>
      </c>
      <c r="J1293" s="10">
        <v>105.5</v>
      </c>
      <c r="K1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93">
        <v>0</v>
      </c>
      <c r="M12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3">
        <v>131.25</v>
      </c>
      <c r="O1293" s="23" t="s">
        <v>827</v>
      </c>
      <c r="P1293">
        <v>525</v>
      </c>
      <c r="Q1293" s="23" t="s">
        <v>222</v>
      </c>
    </row>
    <row r="1294" spans="1:17" x14ac:dyDescent="0.25">
      <c r="A1294" s="23" t="s">
        <v>1142</v>
      </c>
      <c r="B1294" s="23" t="s">
        <v>1054</v>
      </c>
      <c r="C1294" s="23" t="s">
        <v>176</v>
      </c>
      <c r="D1294" s="23" t="s">
        <v>706</v>
      </c>
      <c r="E1294" s="23" t="s">
        <v>707</v>
      </c>
      <c r="F1294">
        <v>12</v>
      </c>
      <c r="G1294" s="23" t="s">
        <v>177</v>
      </c>
      <c r="H1294">
        <v>0</v>
      </c>
      <c r="I1294">
        <v>1400</v>
      </c>
      <c r="J1294" s="10">
        <v>602</v>
      </c>
      <c r="K1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-1296</v>
      </c>
      <c r="L1294">
        <v>0</v>
      </c>
      <c r="M12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4">
        <v>0.6</v>
      </c>
      <c r="O1294" s="23" t="s">
        <v>242</v>
      </c>
      <c r="P1294">
        <v>7.1999999999999993</v>
      </c>
      <c r="Q1294" s="23" t="s">
        <v>181</v>
      </c>
    </row>
    <row r="1295" spans="1:17" x14ac:dyDescent="0.25">
      <c r="A1295" s="23" t="s">
        <v>1098</v>
      </c>
      <c r="B1295" s="23" t="s">
        <v>1053</v>
      </c>
      <c r="C1295" s="23" t="s">
        <v>176</v>
      </c>
      <c r="D1295" s="23" t="s">
        <v>68</v>
      </c>
      <c r="E1295" s="23" t="s">
        <v>586</v>
      </c>
      <c r="F1295">
        <v>0.5</v>
      </c>
      <c r="G1295" s="23" t="s">
        <v>177</v>
      </c>
      <c r="H1295">
        <v>0</v>
      </c>
      <c r="I1295">
        <v>13.5</v>
      </c>
      <c r="J1295" s="10">
        <v>8.5</v>
      </c>
      <c r="K1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295">
        <v>0</v>
      </c>
      <c r="M12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5">
        <v>1600</v>
      </c>
      <c r="O1295" s="23" t="s">
        <v>1051</v>
      </c>
      <c r="P1295">
        <v>800</v>
      </c>
      <c r="Q1295" s="23" t="s">
        <v>178</v>
      </c>
    </row>
    <row r="1296" spans="1:17" x14ac:dyDescent="0.25">
      <c r="A1296" s="23" t="s">
        <v>1098</v>
      </c>
      <c r="B1296" s="23" t="s">
        <v>1053</v>
      </c>
      <c r="C1296" s="23" t="s">
        <v>176</v>
      </c>
      <c r="D1296" s="23" t="s">
        <v>73</v>
      </c>
      <c r="E1296" s="23" t="s">
        <v>74</v>
      </c>
      <c r="F1296">
        <v>1</v>
      </c>
      <c r="G1296" s="23" t="s">
        <v>177</v>
      </c>
      <c r="H1296">
        <v>0</v>
      </c>
      <c r="I1296">
        <v>3</v>
      </c>
      <c r="J1296" s="10">
        <v>7</v>
      </c>
      <c r="K1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296">
        <v>0</v>
      </c>
      <c r="M12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296">
        <v>8822.93</v>
      </c>
      <c r="O1296" s="23" t="s">
        <v>635</v>
      </c>
      <c r="P1296">
        <v>8822.93</v>
      </c>
      <c r="Q1296" s="23" t="s">
        <v>179</v>
      </c>
    </row>
    <row r="1297" spans="1:17" x14ac:dyDescent="0.25">
      <c r="A1297" s="23" t="s">
        <v>1062</v>
      </c>
      <c r="B1297" s="23" t="s">
        <v>1053</v>
      </c>
      <c r="C1297" s="23" t="s">
        <v>176</v>
      </c>
      <c r="D1297" s="23" t="s">
        <v>366</v>
      </c>
      <c r="E1297" s="23" t="s">
        <v>367</v>
      </c>
      <c r="F1297">
        <v>34</v>
      </c>
      <c r="G1297" s="23" t="s">
        <v>177</v>
      </c>
      <c r="H1297">
        <v>0</v>
      </c>
      <c r="I1297">
        <v>3750</v>
      </c>
      <c r="J1297" s="10">
        <v>674</v>
      </c>
      <c r="K1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97">
        <v>0</v>
      </c>
      <c r="M12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7">
        <v>0.2</v>
      </c>
      <c r="O1297" s="23" t="s">
        <v>242</v>
      </c>
      <c r="P1297">
        <v>6.8000000000000007</v>
      </c>
      <c r="Q1297" s="23" t="s">
        <v>181</v>
      </c>
    </row>
    <row r="1298" spans="1:17" x14ac:dyDescent="0.25">
      <c r="A1298" s="23" t="s">
        <v>1197</v>
      </c>
      <c r="B1298" s="23" t="s">
        <v>1198</v>
      </c>
      <c r="C1298" s="23" t="s">
        <v>176</v>
      </c>
      <c r="D1298" s="23" t="s">
        <v>366</v>
      </c>
      <c r="E1298" s="23" t="s">
        <v>367</v>
      </c>
      <c r="F1298">
        <v>12</v>
      </c>
      <c r="G1298" s="23" t="s">
        <v>177</v>
      </c>
      <c r="H1298">
        <v>0</v>
      </c>
      <c r="I1298">
        <v>3750</v>
      </c>
      <c r="J1298" s="10">
        <v>674</v>
      </c>
      <c r="K1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298">
        <v>0</v>
      </c>
      <c r="M12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8">
        <v>0.2</v>
      </c>
      <c r="O1298" s="23" t="s">
        <v>242</v>
      </c>
      <c r="P1298">
        <v>2.4000000000000004</v>
      </c>
      <c r="Q1298" s="23" t="s">
        <v>181</v>
      </c>
    </row>
    <row r="1299" spans="1:17" x14ac:dyDescent="0.25">
      <c r="A1299" s="23" t="s">
        <v>1097</v>
      </c>
      <c r="B1299" s="23" t="s">
        <v>1095</v>
      </c>
      <c r="C1299" s="23" t="s">
        <v>176</v>
      </c>
      <c r="D1299" s="23" t="s">
        <v>375</v>
      </c>
      <c r="E1299" s="23" t="s">
        <v>376</v>
      </c>
      <c r="F1299">
        <v>2</v>
      </c>
      <c r="G1299" s="23" t="s">
        <v>177</v>
      </c>
      <c r="H1299">
        <v>0</v>
      </c>
      <c r="I1299">
        <v>42</v>
      </c>
      <c r="J1299" s="10">
        <v>34</v>
      </c>
      <c r="K1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299">
        <v>0</v>
      </c>
      <c r="M12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299">
        <v>65</v>
      </c>
      <c r="O1299" s="23" t="s">
        <v>242</v>
      </c>
      <c r="P1299">
        <v>130</v>
      </c>
      <c r="Q1299" s="23" t="s">
        <v>181</v>
      </c>
    </row>
    <row r="1300" spans="1:17" x14ac:dyDescent="0.25">
      <c r="A1300" s="23" t="s">
        <v>1062</v>
      </c>
      <c r="B1300" s="23" t="s">
        <v>1053</v>
      </c>
      <c r="C1300" s="23" t="s">
        <v>176</v>
      </c>
      <c r="D1300" s="23" t="s">
        <v>375</v>
      </c>
      <c r="E1300" s="23" t="s">
        <v>376</v>
      </c>
      <c r="F1300">
        <v>2</v>
      </c>
      <c r="G1300" s="23" t="s">
        <v>177</v>
      </c>
      <c r="H1300">
        <v>0</v>
      </c>
      <c r="I1300">
        <v>42</v>
      </c>
      <c r="J1300" s="10">
        <v>34</v>
      </c>
      <c r="K1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300">
        <v>0</v>
      </c>
      <c r="M13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0">
        <v>65</v>
      </c>
      <c r="O1300" s="23" t="s">
        <v>242</v>
      </c>
      <c r="P1300">
        <v>130</v>
      </c>
      <c r="Q1300" s="23" t="s">
        <v>181</v>
      </c>
    </row>
    <row r="1301" spans="1:17" x14ac:dyDescent="0.25">
      <c r="A1301" s="23" t="s">
        <v>1098</v>
      </c>
      <c r="B1301" s="23" t="s">
        <v>1053</v>
      </c>
      <c r="C1301" s="23" t="s">
        <v>176</v>
      </c>
      <c r="D1301" s="23" t="s">
        <v>366</v>
      </c>
      <c r="E1301" s="23" t="s">
        <v>367</v>
      </c>
      <c r="F1301">
        <v>18</v>
      </c>
      <c r="G1301" s="23" t="s">
        <v>177</v>
      </c>
      <c r="H1301">
        <v>0</v>
      </c>
      <c r="I1301">
        <v>3750</v>
      </c>
      <c r="J1301" s="10">
        <v>674</v>
      </c>
      <c r="K1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301">
        <v>0</v>
      </c>
      <c r="M13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1">
        <v>0.2</v>
      </c>
      <c r="O1301" s="23" t="s">
        <v>242</v>
      </c>
      <c r="P1301">
        <v>3.6</v>
      </c>
      <c r="Q1301" s="23" t="s">
        <v>181</v>
      </c>
    </row>
    <row r="1302" spans="1:17" x14ac:dyDescent="0.25">
      <c r="A1302" s="23" t="s">
        <v>1197</v>
      </c>
      <c r="B1302" s="23" t="s">
        <v>1198</v>
      </c>
      <c r="C1302" s="23" t="s">
        <v>176</v>
      </c>
      <c r="D1302" s="23" t="s">
        <v>375</v>
      </c>
      <c r="E1302" s="23" t="s">
        <v>376</v>
      </c>
      <c r="F1302">
        <v>2</v>
      </c>
      <c r="G1302" s="23" t="s">
        <v>177</v>
      </c>
      <c r="H1302">
        <v>0</v>
      </c>
      <c r="I1302">
        <v>42</v>
      </c>
      <c r="J1302" s="10">
        <v>34</v>
      </c>
      <c r="K1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302">
        <v>0</v>
      </c>
      <c r="M13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2">
        <v>65</v>
      </c>
      <c r="O1302" s="23" t="s">
        <v>242</v>
      </c>
      <c r="P1302">
        <v>130</v>
      </c>
      <c r="Q1302" s="23" t="s">
        <v>181</v>
      </c>
    </row>
    <row r="1303" spans="1:17" x14ac:dyDescent="0.25">
      <c r="A1303" s="23" t="s">
        <v>1100</v>
      </c>
      <c r="B1303" s="23" t="s">
        <v>1101</v>
      </c>
      <c r="C1303" s="23" t="s">
        <v>176</v>
      </c>
      <c r="D1303" s="23" t="s">
        <v>869</v>
      </c>
      <c r="E1303" s="23" t="s">
        <v>870</v>
      </c>
      <c r="F1303">
        <v>3</v>
      </c>
      <c r="G1303" s="23" t="s">
        <v>177</v>
      </c>
      <c r="H1303">
        <v>0</v>
      </c>
      <c r="I1303">
        <v>302</v>
      </c>
      <c r="J1303" s="10">
        <v>1</v>
      </c>
      <c r="K1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-293</v>
      </c>
      <c r="L1303">
        <v>0</v>
      </c>
      <c r="M13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3">
        <v>8</v>
      </c>
      <c r="O1303" s="23" t="s">
        <v>242</v>
      </c>
      <c r="P1303">
        <v>24</v>
      </c>
      <c r="Q1303" s="23" t="s">
        <v>179</v>
      </c>
    </row>
    <row r="1304" spans="1:17" x14ac:dyDescent="0.25">
      <c r="A1304" s="23" t="s">
        <v>1097</v>
      </c>
      <c r="B1304" s="23" t="s">
        <v>1095</v>
      </c>
      <c r="C1304" s="23" t="s">
        <v>176</v>
      </c>
      <c r="D1304" s="23" t="s">
        <v>19</v>
      </c>
      <c r="E1304" s="23" t="s">
        <v>20</v>
      </c>
      <c r="F1304">
        <v>2</v>
      </c>
      <c r="G1304" s="23" t="s">
        <v>177</v>
      </c>
      <c r="H1304">
        <v>0</v>
      </c>
      <c r="I1304">
        <v>13</v>
      </c>
      <c r="J1304" s="10">
        <v>22</v>
      </c>
      <c r="K1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304">
        <v>30</v>
      </c>
      <c r="M13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4">
        <v>122.1</v>
      </c>
      <c r="O1304" s="23" t="s">
        <v>228</v>
      </c>
      <c r="P1304">
        <v>244.2</v>
      </c>
      <c r="Q1304" s="23" t="s">
        <v>222</v>
      </c>
    </row>
    <row r="1305" spans="1:17" x14ac:dyDescent="0.25">
      <c r="A1305" s="23" t="s">
        <v>1097</v>
      </c>
      <c r="B1305" s="23" t="s">
        <v>1095</v>
      </c>
      <c r="C1305" s="23" t="s">
        <v>176</v>
      </c>
      <c r="D1305" s="23" t="s">
        <v>366</v>
      </c>
      <c r="E1305" s="23" t="s">
        <v>367</v>
      </c>
      <c r="F1305">
        <v>18</v>
      </c>
      <c r="G1305" s="23" t="s">
        <v>177</v>
      </c>
      <c r="H1305">
        <v>0</v>
      </c>
      <c r="I1305">
        <v>3750</v>
      </c>
      <c r="J1305" s="10">
        <v>674</v>
      </c>
      <c r="K1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305">
        <v>0</v>
      </c>
      <c r="M13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5">
        <v>0.2</v>
      </c>
      <c r="O1305" s="23" t="s">
        <v>242</v>
      </c>
      <c r="P1305">
        <v>3.6</v>
      </c>
      <c r="Q1305" s="23" t="s">
        <v>181</v>
      </c>
    </row>
    <row r="1306" spans="1:17" x14ac:dyDescent="0.25">
      <c r="A1306" s="23" t="s">
        <v>1098</v>
      </c>
      <c r="B1306" s="23" t="s">
        <v>1053</v>
      </c>
      <c r="C1306" s="23" t="s">
        <v>176</v>
      </c>
      <c r="D1306" s="23" t="s">
        <v>375</v>
      </c>
      <c r="E1306" s="23" t="s">
        <v>376</v>
      </c>
      <c r="F1306">
        <v>2</v>
      </c>
      <c r="G1306" s="23" t="s">
        <v>177</v>
      </c>
      <c r="H1306">
        <v>0</v>
      </c>
      <c r="I1306">
        <v>42</v>
      </c>
      <c r="J1306" s="10">
        <v>34</v>
      </c>
      <c r="K1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306">
        <v>0</v>
      </c>
      <c r="M13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6">
        <v>65</v>
      </c>
      <c r="O1306" s="23" t="s">
        <v>242</v>
      </c>
      <c r="P1306">
        <v>130</v>
      </c>
      <c r="Q1306" s="23" t="s">
        <v>181</v>
      </c>
    </row>
    <row r="1307" spans="1:17" x14ac:dyDescent="0.25">
      <c r="A1307" s="23" t="s">
        <v>1142</v>
      </c>
      <c r="B1307" s="23" t="s">
        <v>1054</v>
      </c>
      <c r="C1307" s="23" t="s">
        <v>176</v>
      </c>
      <c r="D1307" s="23" t="s">
        <v>19</v>
      </c>
      <c r="E1307" s="23" t="s">
        <v>20</v>
      </c>
      <c r="F1307">
        <v>4</v>
      </c>
      <c r="G1307" s="23" t="s">
        <v>177</v>
      </c>
      <c r="H1307">
        <v>0</v>
      </c>
      <c r="I1307">
        <v>13</v>
      </c>
      <c r="J1307" s="10">
        <v>22</v>
      </c>
      <c r="K1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307">
        <v>30</v>
      </c>
      <c r="M13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7">
        <v>122.1</v>
      </c>
      <c r="O1307" s="23" t="s">
        <v>228</v>
      </c>
      <c r="P1307">
        <v>488.4</v>
      </c>
      <c r="Q1307" s="23" t="s">
        <v>222</v>
      </c>
    </row>
    <row r="1308" spans="1:17" x14ac:dyDescent="0.25">
      <c r="A1308" s="23" t="s">
        <v>1142</v>
      </c>
      <c r="B1308" s="23" t="s">
        <v>1054</v>
      </c>
      <c r="C1308" s="23" t="s">
        <v>176</v>
      </c>
      <c r="D1308" s="23" t="s">
        <v>366</v>
      </c>
      <c r="E1308" s="23" t="s">
        <v>367</v>
      </c>
      <c r="F1308">
        <v>12</v>
      </c>
      <c r="G1308" s="23" t="s">
        <v>177</v>
      </c>
      <c r="H1308">
        <v>0</v>
      </c>
      <c r="I1308">
        <v>3750</v>
      </c>
      <c r="J1308" s="10">
        <v>674</v>
      </c>
      <c r="K1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308">
        <v>0</v>
      </c>
      <c r="M13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8">
        <v>0.2</v>
      </c>
      <c r="O1308" s="23" t="s">
        <v>242</v>
      </c>
      <c r="P1308">
        <v>2.4000000000000004</v>
      </c>
      <c r="Q1308" s="23" t="s">
        <v>181</v>
      </c>
    </row>
    <row r="1309" spans="1:17" x14ac:dyDescent="0.25">
      <c r="A1309" s="23" t="s">
        <v>1143</v>
      </c>
      <c r="B1309" s="23" t="s">
        <v>1054</v>
      </c>
      <c r="C1309" s="23" t="s">
        <v>176</v>
      </c>
      <c r="D1309" s="23" t="s">
        <v>19</v>
      </c>
      <c r="E1309" s="23" t="s">
        <v>20</v>
      </c>
      <c r="F1309">
        <v>6</v>
      </c>
      <c r="G1309" s="23" t="s">
        <v>177</v>
      </c>
      <c r="H1309">
        <v>0</v>
      </c>
      <c r="I1309">
        <v>13</v>
      </c>
      <c r="J1309" s="10">
        <v>22</v>
      </c>
      <c r="K1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309">
        <v>30</v>
      </c>
      <c r="M13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09">
        <v>122.1</v>
      </c>
      <c r="O1309" s="23" t="s">
        <v>228</v>
      </c>
      <c r="P1309">
        <v>732.59999999999991</v>
      </c>
      <c r="Q1309" s="23" t="s">
        <v>222</v>
      </c>
    </row>
    <row r="1310" spans="1:17" x14ac:dyDescent="0.25">
      <c r="A1310" s="23" t="s">
        <v>1094</v>
      </c>
      <c r="B1310" s="23" t="s">
        <v>1095</v>
      </c>
      <c r="C1310" s="23" t="s">
        <v>176</v>
      </c>
      <c r="D1310" s="23" t="s">
        <v>19</v>
      </c>
      <c r="E1310" s="23" t="s">
        <v>20</v>
      </c>
      <c r="F1310">
        <v>2</v>
      </c>
      <c r="G1310" s="23" t="s">
        <v>177</v>
      </c>
      <c r="H1310">
        <v>0</v>
      </c>
      <c r="I1310">
        <v>13</v>
      </c>
      <c r="J1310" s="10">
        <v>22</v>
      </c>
      <c r="K1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310">
        <v>30</v>
      </c>
      <c r="M13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0">
        <v>122.1</v>
      </c>
      <c r="O1310" s="23" t="s">
        <v>228</v>
      </c>
      <c r="P1310">
        <v>244.2</v>
      </c>
      <c r="Q1310" s="23" t="s">
        <v>222</v>
      </c>
    </row>
    <row r="1311" spans="1:17" x14ac:dyDescent="0.25">
      <c r="A1311" s="23" t="s">
        <v>1143</v>
      </c>
      <c r="B1311" s="23" t="s">
        <v>1054</v>
      </c>
      <c r="C1311" s="23" t="s">
        <v>176</v>
      </c>
      <c r="D1311" s="23" t="s">
        <v>366</v>
      </c>
      <c r="E1311" s="23" t="s">
        <v>367</v>
      </c>
      <c r="F1311">
        <v>14</v>
      </c>
      <c r="G1311" s="23" t="s">
        <v>177</v>
      </c>
      <c r="H1311">
        <v>0</v>
      </c>
      <c r="I1311">
        <v>3750</v>
      </c>
      <c r="J1311" s="10">
        <v>674</v>
      </c>
      <c r="K1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311">
        <v>0</v>
      </c>
      <c r="M13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1">
        <v>0.2</v>
      </c>
      <c r="O1311" s="23" t="s">
        <v>242</v>
      </c>
      <c r="P1311">
        <v>2.8000000000000003</v>
      </c>
      <c r="Q1311" s="23" t="s">
        <v>181</v>
      </c>
    </row>
    <row r="1312" spans="1:17" x14ac:dyDescent="0.25">
      <c r="A1312" s="23" t="s">
        <v>1094</v>
      </c>
      <c r="B1312" s="23" t="s">
        <v>1095</v>
      </c>
      <c r="C1312" s="23" t="s">
        <v>176</v>
      </c>
      <c r="D1312" s="23" t="s">
        <v>366</v>
      </c>
      <c r="E1312" s="23" t="s">
        <v>367</v>
      </c>
      <c r="F1312">
        <v>18</v>
      </c>
      <c r="G1312" s="23" t="s">
        <v>177</v>
      </c>
      <c r="H1312">
        <v>0</v>
      </c>
      <c r="I1312">
        <v>3750</v>
      </c>
      <c r="J1312" s="10">
        <v>674</v>
      </c>
      <c r="K1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312">
        <v>0</v>
      </c>
      <c r="M13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2">
        <v>0.2</v>
      </c>
      <c r="O1312" s="23" t="s">
        <v>242</v>
      </c>
      <c r="P1312">
        <v>3.6</v>
      </c>
      <c r="Q1312" s="23" t="s">
        <v>181</v>
      </c>
    </row>
    <row r="1313" spans="1:17" x14ac:dyDescent="0.25">
      <c r="A1313" s="23" t="s">
        <v>1096</v>
      </c>
      <c r="B1313" s="23" t="s">
        <v>1053</v>
      </c>
      <c r="C1313" s="23" t="s">
        <v>176</v>
      </c>
      <c r="D1313" s="23" t="s">
        <v>366</v>
      </c>
      <c r="E1313" s="23" t="s">
        <v>367</v>
      </c>
      <c r="F1313">
        <v>34</v>
      </c>
      <c r="G1313" s="23" t="s">
        <v>177</v>
      </c>
      <c r="H1313">
        <v>0</v>
      </c>
      <c r="I1313">
        <v>3750</v>
      </c>
      <c r="J1313" s="10">
        <v>674</v>
      </c>
      <c r="K1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313">
        <v>0</v>
      </c>
      <c r="M13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3">
        <v>0.2</v>
      </c>
      <c r="O1313" s="23" t="s">
        <v>242</v>
      </c>
      <c r="P1313">
        <v>6.8000000000000007</v>
      </c>
      <c r="Q1313" s="23" t="s">
        <v>181</v>
      </c>
    </row>
    <row r="1314" spans="1:17" x14ac:dyDescent="0.25">
      <c r="A1314" s="23" t="s">
        <v>1098</v>
      </c>
      <c r="B1314" s="23" t="s">
        <v>1053</v>
      </c>
      <c r="C1314" s="23" t="s">
        <v>176</v>
      </c>
      <c r="D1314" s="23" t="s">
        <v>727</v>
      </c>
      <c r="E1314" s="23" t="s">
        <v>728</v>
      </c>
      <c r="F1314">
        <v>1</v>
      </c>
      <c r="G1314" s="23" t="s">
        <v>177</v>
      </c>
      <c r="H1314">
        <v>0</v>
      </c>
      <c r="I1314">
        <v>5</v>
      </c>
      <c r="J1314" s="10">
        <v>5</v>
      </c>
      <c r="K1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314">
        <v>0</v>
      </c>
      <c r="M13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1314">
        <v>10899.55</v>
      </c>
      <c r="O1314" s="23" t="s">
        <v>635</v>
      </c>
      <c r="P1314">
        <v>10899.55</v>
      </c>
      <c r="Q1314" s="23" t="s">
        <v>179</v>
      </c>
    </row>
    <row r="1315" spans="1:17" x14ac:dyDescent="0.25">
      <c r="A1315" s="23" t="s">
        <v>1197</v>
      </c>
      <c r="B1315" s="23" t="s">
        <v>1198</v>
      </c>
      <c r="C1315" s="23" t="s">
        <v>176</v>
      </c>
      <c r="D1315" s="23" t="s">
        <v>727</v>
      </c>
      <c r="E1315" s="23" t="s">
        <v>728</v>
      </c>
      <c r="F1315">
        <v>1</v>
      </c>
      <c r="G1315" s="23" t="s">
        <v>177</v>
      </c>
      <c r="H1315">
        <v>0</v>
      </c>
      <c r="I1315">
        <v>5</v>
      </c>
      <c r="J1315" s="10">
        <v>5</v>
      </c>
      <c r="K1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315">
        <v>0</v>
      </c>
      <c r="M13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1315">
        <v>10899.55</v>
      </c>
      <c r="O1315" s="23" t="s">
        <v>635</v>
      </c>
      <c r="P1315">
        <v>10899.55</v>
      </c>
      <c r="Q1315" s="23" t="s">
        <v>179</v>
      </c>
    </row>
    <row r="1316" spans="1:17" x14ac:dyDescent="0.25">
      <c r="A1316" s="23" t="s">
        <v>1097</v>
      </c>
      <c r="B1316" s="23" t="s">
        <v>1095</v>
      </c>
      <c r="C1316" s="23" t="s">
        <v>176</v>
      </c>
      <c r="D1316" s="23" t="s">
        <v>77</v>
      </c>
      <c r="E1316" s="23" t="s">
        <v>78</v>
      </c>
      <c r="F1316">
        <v>3</v>
      </c>
      <c r="G1316" s="23" t="s">
        <v>177</v>
      </c>
      <c r="H1316">
        <v>0</v>
      </c>
      <c r="I1316">
        <v>85</v>
      </c>
      <c r="J1316" s="10">
        <v>31</v>
      </c>
      <c r="K1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316">
        <v>0</v>
      </c>
      <c r="M13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6">
        <v>120</v>
      </c>
      <c r="O1316" s="23" t="s">
        <v>1153</v>
      </c>
      <c r="P1316">
        <v>360</v>
      </c>
      <c r="Q1316" s="23" t="s">
        <v>179</v>
      </c>
    </row>
    <row r="1317" spans="1:17" x14ac:dyDescent="0.25">
      <c r="A1317" s="23" t="s">
        <v>1147</v>
      </c>
      <c r="B1317" s="23" t="s">
        <v>1145</v>
      </c>
      <c r="C1317" s="23" t="s">
        <v>176</v>
      </c>
      <c r="D1317" s="23" t="s">
        <v>727</v>
      </c>
      <c r="E1317" s="23" t="s">
        <v>728</v>
      </c>
      <c r="F1317">
        <v>1</v>
      </c>
      <c r="G1317" s="23" t="s">
        <v>177</v>
      </c>
      <c r="H1317">
        <v>0</v>
      </c>
      <c r="I1317">
        <v>5</v>
      </c>
      <c r="J1317" s="10">
        <v>5</v>
      </c>
      <c r="K1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317">
        <v>0</v>
      </c>
      <c r="M13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1317">
        <v>10899.55</v>
      </c>
      <c r="O1317" s="23" t="s">
        <v>635</v>
      </c>
      <c r="P1317">
        <v>10899.55</v>
      </c>
      <c r="Q1317" s="23" t="s">
        <v>179</v>
      </c>
    </row>
    <row r="1318" spans="1:17" x14ac:dyDescent="0.25">
      <c r="A1318" s="23" t="s">
        <v>1055</v>
      </c>
      <c r="B1318" s="23" t="s">
        <v>1056</v>
      </c>
      <c r="C1318" s="23" t="s">
        <v>176</v>
      </c>
      <c r="D1318" s="23" t="s">
        <v>77</v>
      </c>
      <c r="E1318" s="23" t="s">
        <v>78</v>
      </c>
      <c r="F1318">
        <v>4</v>
      </c>
      <c r="G1318" s="23" t="s">
        <v>177</v>
      </c>
      <c r="H1318">
        <v>0</v>
      </c>
      <c r="I1318">
        <v>85</v>
      </c>
      <c r="J1318" s="10">
        <v>31</v>
      </c>
      <c r="K1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318">
        <v>0</v>
      </c>
      <c r="M13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8">
        <v>120</v>
      </c>
      <c r="O1318" s="23" t="s">
        <v>1153</v>
      </c>
      <c r="P1318">
        <v>480</v>
      </c>
      <c r="Q1318" s="23" t="s">
        <v>179</v>
      </c>
    </row>
    <row r="1319" spans="1:17" x14ac:dyDescent="0.25">
      <c r="A1319" s="23" t="s">
        <v>1099</v>
      </c>
      <c r="B1319" s="23" t="s">
        <v>1056</v>
      </c>
      <c r="C1319" s="23" t="s">
        <v>176</v>
      </c>
      <c r="D1319" s="23" t="s">
        <v>77</v>
      </c>
      <c r="E1319" s="23" t="s">
        <v>78</v>
      </c>
      <c r="F1319">
        <v>4</v>
      </c>
      <c r="G1319" s="23" t="s">
        <v>177</v>
      </c>
      <c r="H1319">
        <v>0</v>
      </c>
      <c r="I1319">
        <v>85</v>
      </c>
      <c r="J1319" s="10">
        <v>31</v>
      </c>
      <c r="K1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319">
        <v>0</v>
      </c>
      <c r="M13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19">
        <v>120</v>
      </c>
      <c r="O1319" s="23" t="s">
        <v>1153</v>
      </c>
      <c r="P1319">
        <v>480</v>
      </c>
      <c r="Q1319" s="23" t="s">
        <v>179</v>
      </c>
    </row>
    <row r="1320" spans="1:17" x14ac:dyDescent="0.25">
      <c r="A1320" s="23" t="s">
        <v>1100</v>
      </c>
      <c r="B1320" s="23" t="s">
        <v>1101</v>
      </c>
      <c r="C1320" s="23" t="s">
        <v>176</v>
      </c>
      <c r="D1320" s="23" t="s">
        <v>79</v>
      </c>
      <c r="E1320" s="23" t="s">
        <v>80</v>
      </c>
      <c r="F1320">
        <v>3</v>
      </c>
      <c r="G1320" s="23" t="s">
        <v>177</v>
      </c>
      <c r="H1320">
        <v>0</v>
      </c>
      <c r="I1320">
        <v>81</v>
      </c>
      <c r="J1320" s="10">
        <v>5</v>
      </c>
      <c r="K1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320">
        <v>0</v>
      </c>
      <c r="M13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0">
        <v>188</v>
      </c>
      <c r="O1320" s="23" t="s">
        <v>242</v>
      </c>
      <c r="P1320">
        <v>564</v>
      </c>
      <c r="Q1320" s="23" t="s">
        <v>179</v>
      </c>
    </row>
    <row r="1321" spans="1:17" x14ac:dyDescent="0.25">
      <c r="A1321" s="23" t="s">
        <v>1147</v>
      </c>
      <c r="B1321" s="23" t="s">
        <v>1145</v>
      </c>
      <c r="C1321" s="23" t="s">
        <v>176</v>
      </c>
      <c r="D1321" s="23" t="s">
        <v>83</v>
      </c>
      <c r="E1321" s="23" t="s">
        <v>84</v>
      </c>
      <c r="F1321">
        <v>60</v>
      </c>
      <c r="G1321" s="23" t="s">
        <v>183</v>
      </c>
      <c r="H1321">
        <v>0</v>
      </c>
      <c r="I1321">
        <v>58.5</v>
      </c>
      <c r="J1321" s="10">
        <v>21.929999999999808</v>
      </c>
      <c r="K1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1321">
        <v>54.25</v>
      </c>
      <c r="M13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1321">
        <v>220.42</v>
      </c>
      <c r="O1321" s="23" t="s">
        <v>224</v>
      </c>
      <c r="P1321">
        <v>13225.199999999999</v>
      </c>
      <c r="Q1321" s="23" t="s">
        <v>182</v>
      </c>
    </row>
    <row r="1322" spans="1:17" x14ac:dyDescent="0.25">
      <c r="A1322" s="23" t="s">
        <v>1197</v>
      </c>
      <c r="B1322" s="23" t="s">
        <v>1198</v>
      </c>
      <c r="C1322" s="23" t="s">
        <v>176</v>
      </c>
      <c r="D1322" s="23" t="s">
        <v>77</v>
      </c>
      <c r="E1322" s="23" t="s">
        <v>78</v>
      </c>
      <c r="F1322">
        <v>4</v>
      </c>
      <c r="G1322" s="23" t="s">
        <v>177</v>
      </c>
      <c r="H1322">
        <v>0</v>
      </c>
      <c r="I1322">
        <v>85</v>
      </c>
      <c r="J1322" s="10">
        <v>31</v>
      </c>
      <c r="K1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322">
        <v>0</v>
      </c>
      <c r="M13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2">
        <v>120</v>
      </c>
      <c r="O1322" s="23" t="s">
        <v>1153</v>
      </c>
      <c r="P1322">
        <v>480</v>
      </c>
      <c r="Q1322" s="23" t="s">
        <v>179</v>
      </c>
    </row>
    <row r="1323" spans="1:17" x14ac:dyDescent="0.25">
      <c r="A1323" s="23" t="s">
        <v>1147</v>
      </c>
      <c r="B1323" s="23" t="s">
        <v>1145</v>
      </c>
      <c r="C1323" s="23" t="s">
        <v>176</v>
      </c>
      <c r="D1323" s="23" t="s">
        <v>77</v>
      </c>
      <c r="E1323" s="23" t="s">
        <v>78</v>
      </c>
      <c r="F1323">
        <v>4</v>
      </c>
      <c r="G1323" s="23" t="s">
        <v>177</v>
      </c>
      <c r="H1323">
        <v>0</v>
      </c>
      <c r="I1323">
        <v>85</v>
      </c>
      <c r="J1323" s="10">
        <v>31</v>
      </c>
      <c r="K1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323">
        <v>0</v>
      </c>
      <c r="M13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3">
        <v>120</v>
      </c>
      <c r="O1323" s="23" t="s">
        <v>1153</v>
      </c>
      <c r="P1323">
        <v>480</v>
      </c>
      <c r="Q1323" s="23" t="s">
        <v>179</v>
      </c>
    </row>
    <row r="1324" spans="1:17" x14ac:dyDescent="0.25">
      <c r="A1324" s="23" t="s">
        <v>1098</v>
      </c>
      <c r="B1324" s="23" t="s">
        <v>1053</v>
      </c>
      <c r="C1324" s="23" t="s">
        <v>176</v>
      </c>
      <c r="D1324" s="23" t="s">
        <v>469</v>
      </c>
      <c r="E1324" s="23" t="s">
        <v>580</v>
      </c>
      <c r="F1324">
        <v>3</v>
      </c>
      <c r="G1324" s="23" t="s">
        <v>186</v>
      </c>
      <c r="H1324">
        <v>0</v>
      </c>
      <c r="I1324">
        <v>30</v>
      </c>
      <c r="J1324" s="10">
        <v>21.5</v>
      </c>
      <c r="K1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324">
        <v>0</v>
      </c>
      <c r="M13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324">
        <v>118.14</v>
      </c>
      <c r="O1324" s="23" t="s">
        <v>394</v>
      </c>
      <c r="P1324">
        <v>354.42</v>
      </c>
      <c r="Q1324" s="23" t="s">
        <v>184</v>
      </c>
    </row>
    <row r="1325" spans="1:17" x14ac:dyDescent="0.25">
      <c r="A1325" s="23" t="s">
        <v>1197</v>
      </c>
      <c r="B1325" s="23" t="s">
        <v>1198</v>
      </c>
      <c r="C1325" s="23" t="s">
        <v>176</v>
      </c>
      <c r="D1325" s="23" t="s">
        <v>75</v>
      </c>
      <c r="E1325" s="23" t="s">
        <v>76</v>
      </c>
      <c r="F1325">
        <v>3</v>
      </c>
      <c r="G1325" s="23" t="s">
        <v>177</v>
      </c>
      <c r="H1325">
        <v>0</v>
      </c>
      <c r="I1325">
        <v>24</v>
      </c>
      <c r="J1325" s="10">
        <v>30</v>
      </c>
      <c r="K1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25">
        <v>50</v>
      </c>
      <c r="M13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5">
        <v>37</v>
      </c>
      <c r="O1325" s="23" t="s">
        <v>822</v>
      </c>
      <c r="P1325">
        <v>111</v>
      </c>
      <c r="Q1325" s="23" t="s">
        <v>179</v>
      </c>
    </row>
    <row r="1326" spans="1:17" x14ac:dyDescent="0.25">
      <c r="A1326" s="23" t="s">
        <v>1098</v>
      </c>
      <c r="B1326" s="23" t="s">
        <v>1053</v>
      </c>
      <c r="C1326" s="23" t="s">
        <v>176</v>
      </c>
      <c r="D1326" s="23" t="s">
        <v>75</v>
      </c>
      <c r="E1326" s="23" t="s">
        <v>76</v>
      </c>
      <c r="F1326">
        <v>1</v>
      </c>
      <c r="G1326" s="23" t="s">
        <v>177</v>
      </c>
      <c r="H1326">
        <v>0</v>
      </c>
      <c r="I1326">
        <v>24</v>
      </c>
      <c r="J1326" s="10">
        <v>30</v>
      </c>
      <c r="K1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26">
        <v>50</v>
      </c>
      <c r="M13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6">
        <v>37</v>
      </c>
      <c r="O1326" s="23" t="s">
        <v>822</v>
      </c>
      <c r="P1326">
        <v>37</v>
      </c>
      <c r="Q1326" s="23" t="s">
        <v>179</v>
      </c>
    </row>
    <row r="1327" spans="1:17" x14ac:dyDescent="0.25">
      <c r="A1327" s="23" t="s">
        <v>1147</v>
      </c>
      <c r="B1327" s="23" t="s">
        <v>1145</v>
      </c>
      <c r="C1327" s="23" t="s">
        <v>176</v>
      </c>
      <c r="D1327" s="23" t="s">
        <v>75</v>
      </c>
      <c r="E1327" s="23" t="s">
        <v>76</v>
      </c>
      <c r="F1327">
        <v>3</v>
      </c>
      <c r="G1327" s="23" t="s">
        <v>177</v>
      </c>
      <c r="H1327">
        <v>0</v>
      </c>
      <c r="I1327">
        <v>24</v>
      </c>
      <c r="J1327" s="10">
        <v>30</v>
      </c>
      <c r="K1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27">
        <v>50</v>
      </c>
      <c r="M13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27">
        <v>37</v>
      </c>
      <c r="O1327" s="23" t="s">
        <v>822</v>
      </c>
      <c r="P1327">
        <v>111</v>
      </c>
      <c r="Q1327" s="23" t="s">
        <v>179</v>
      </c>
    </row>
    <row r="1328" spans="1:17" x14ac:dyDescent="0.25">
      <c r="A1328" s="23" t="s">
        <v>1058</v>
      </c>
      <c r="B1328" s="23" t="s">
        <v>1059</v>
      </c>
      <c r="C1328" s="23" t="s">
        <v>176</v>
      </c>
      <c r="D1328" s="23" t="s">
        <v>81</v>
      </c>
      <c r="E1328" s="23" t="s">
        <v>82</v>
      </c>
      <c r="F1328">
        <v>6</v>
      </c>
      <c r="G1328" s="23" t="s">
        <v>177</v>
      </c>
      <c r="H1328">
        <v>0</v>
      </c>
      <c r="I1328">
        <v>0</v>
      </c>
      <c r="J1328" s="10">
        <v>0.49999999999995737</v>
      </c>
      <c r="K1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1328">
        <v>10</v>
      </c>
      <c r="M13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1328">
        <v>666.67</v>
      </c>
      <c r="O1328" s="23" t="s">
        <v>224</v>
      </c>
      <c r="P1328">
        <v>4000.0199999999995</v>
      </c>
      <c r="Q1328" s="23" t="s">
        <v>182</v>
      </c>
    </row>
    <row r="1329" spans="1:17" x14ac:dyDescent="0.25">
      <c r="A1329" s="23" t="s">
        <v>1100</v>
      </c>
      <c r="B1329" s="23" t="s">
        <v>1101</v>
      </c>
      <c r="C1329" s="23" t="s">
        <v>176</v>
      </c>
      <c r="D1329" s="23" t="s">
        <v>469</v>
      </c>
      <c r="E1329" s="23" t="s">
        <v>580</v>
      </c>
      <c r="F1329">
        <v>3</v>
      </c>
      <c r="G1329" s="23" t="s">
        <v>186</v>
      </c>
      <c r="H1329">
        <v>0</v>
      </c>
      <c r="I1329">
        <v>30</v>
      </c>
      <c r="J1329" s="10">
        <v>21.5</v>
      </c>
      <c r="K1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329">
        <v>0</v>
      </c>
      <c r="M13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329">
        <v>118.14</v>
      </c>
      <c r="O1329" s="23" t="s">
        <v>394</v>
      </c>
      <c r="P1329">
        <v>354.42</v>
      </c>
      <c r="Q1329" s="23" t="s">
        <v>184</v>
      </c>
    </row>
    <row r="1330" spans="1:17" x14ac:dyDescent="0.25">
      <c r="A1330" s="23" t="s">
        <v>1100</v>
      </c>
      <c r="B1330" s="23" t="s">
        <v>1101</v>
      </c>
      <c r="C1330" s="23" t="s">
        <v>176</v>
      </c>
      <c r="D1330" s="23" t="s">
        <v>75</v>
      </c>
      <c r="E1330" s="23" t="s">
        <v>76</v>
      </c>
      <c r="F1330">
        <v>1</v>
      </c>
      <c r="G1330" s="23" t="s">
        <v>177</v>
      </c>
      <c r="H1330">
        <v>0</v>
      </c>
      <c r="I1330">
        <v>24</v>
      </c>
      <c r="J1330" s="10">
        <v>30</v>
      </c>
      <c r="K1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30">
        <v>50</v>
      </c>
      <c r="M13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0">
        <v>37</v>
      </c>
      <c r="O1330" s="23" t="s">
        <v>822</v>
      </c>
      <c r="P1330">
        <v>37</v>
      </c>
      <c r="Q1330" s="23" t="s">
        <v>179</v>
      </c>
    </row>
    <row r="1331" spans="1:17" x14ac:dyDescent="0.25">
      <c r="A1331" s="23" t="s">
        <v>1147</v>
      </c>
      <c r="B1331" s="23" t="s">
        <v>1145</v>
      </c>
      <c r="C1331" s="23" t="s">
        <v>176</v>
      </c>
      <c r="D1331" s="23" t="s">
        <v>81</v>
      </c>
      <c r="E1331" s="23" t="s">
        <v>82</v>
      </c>
      <c r="F1331">
        <v>6</v>
      </c>
      <c r="G1331" s="23" t="s">
        <v>177</v>
      </c>
      <c r="H1331">
        <v>0</v>
      </c>
      <c r="I1331">
        <v>0</v>
      </c>
      <c r="J1331" s="10">
        <v>0.49999999999995737</v>
      </c>
      <c r="K1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1331">
        <v>10</v>
      </c>
      <c r="M13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1331">
        <v>666.67</v>
      </c>
      <c r="O1331" s="23" t="s">
        <v>224</v>
      </c>
      <c r="P1331">
        <v>4000.0199999999995</v>
      </c>
      <c r="Q1331" s="23" t="s">
        <v>182</v>
      </c>
    </row>
    <row r="1332" spans="1:17" x14ac:dyDescent="0.25">
      <c r="A1332" s="23" t="s">
        <v>1148</v>
      </c>
      <c r="B1332" s="23" t="s">
        <v>1054</v>
      </c>
      <c r="C1332" s="23" t="s">
        <v>176</v>
      </c>
      <c r="D1332" s="23" t="s">
        <v>81</v>
      </c>
      <c r="E1332" s="23" t="s">
        <v>82</v>
      </c>
      <c r="F1332">
        <v>0.5</v>
      </c>
      <c r="G1332" s="23" t="s">
        <v>177</v>
      </c>
      <c r="H1332">
        <v>0</v>
      </c>
      <c r="I1332">
        <v>0</v>
      </c>
      <c r="J1332" s="10">
        <v>0.49999999999995737</v>
      </c>
      <c r="K1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1332">
        <v>10</v>
      </c>
      <c r="M13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1332">
        <v>666.67</v>
      </c>
      <c r="O1332" s="23" t="s">
        <v>224</v>
      </c>
      <c r="P1332">
        <v>333.33499999999998</v>
      </c>
      <c r="Q1332" s="23" t="s">
        <v>182</v>
      </c>
    </row>
    <row r="1333" spans="1:17" x14ac:dyDescent="0.25">
      <c r="A1333" s="23" t="s">
        <v>1149</v>
      </c>
      <c r="B1333" s="23" t="s">
        <v>1145</v>
      </c>
      <c r="C1333" s="23" t="s">
        <v>176</v>
      </c>
      <c r="D1333" s="23" t="s">
        <v>199</v>
      </c>
      <c r="E1333" s="23" t="s">
        <v>200</v>
      </c>
      <c r="F1333">
        <v>1</v>
      </c>
      <c r="G1333" s="23" t="s">
        <v>177</v>
      </c>
      <c r="H1333">
        <v>0</v>
      </c>
      <c r="I1333">
        <v>1</v>
      </c>
      <c r="J1333" s="10">
        <v>8</v>
      </c>
      <c r="K1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33">
        <v>0</v>
      </c>
      <c r="M13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33">
        <v>15618.42</v>
      </c>
      <c r="O1333" s="23" t="s">
        <v>216</v>
      </c>
      <c r="P1333">
        <v>15618.42</v>
      </c>
      <c r="Q1333" s="23" t="s">
        <v>178</v>
      </c>
    </row>
    <row r="1334" spans="1:17" x14ac:dyDescent="0.25">
      <c r="A1334" s="23" t="s">
        <v>1150</v>
      </c>
      <c r="B1334" s="23" t="s">
        <v>1145</v>
      </c>
      <c r="C1334" s="23" t="s">
        <v>176</v>
      </c>
      <c r="D1334" s="23" t="s">
        <v>308</v>
      </c>
      <c r="E1334" s="23" t="s">
        <v>309</v>
      </c>
      <c r="F1334">
        <v>1</v>
      </c>
      <c r="G1334" s="23" t="s">
        <v>177</v>
      </c>
      <c r="H1334">
        <v>0</v>
      </c>
      <c r="I1334">
        <v>13</v>
      </c>
      <c r="J1334" s="10">
        <v>1</v>
      </c>
      <c r="K1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334">
        <v>0</v>
      </c>
      <c r="M13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334">
        <v>65.42</v>
      </c>
      <c r="O1334" s="23" t="s">
        <v>629</v>
      </c>
      <c r="P1334">
        <v>65.42</v>
      </c>
      <c r="Q1334" s="23" t="s">
        <v>179</v>
      </c>
    </row>
    <row r="1335" spans="1:17" x14ac:dyDescent="0.25">
      <c r="A1335" s="23" t="s">
        <v>1100</v>
      </c>
      <c r="B1335" s="23" t="s">
        <v>1101</v>
      </c>
      <c r="C1335" s="23" t="s">
        <v>176</v>
      </c>
      <c r="D1335" s="23" t="s">
        <v>85</v>
      </c>
      <c r="E1335" s="23" t="s">
        <v>86</v>
      </c>
      <c r="F1335">
        <v>2</v>
      </c>
      <c r="G1335" s="23" t="s">
        <v>177</v>
      </c>
      <c r="H1335">
        <v>0</v>
      </c>
      <c r="I1335">
        <v>44</v>
      </c>
      <c r="J1335" s="10">
        <v>12</v>
      </c>
      <c r="K1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335">
        <v>0</v>
      </c>
      <c r="M13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5">
        <v>375</v>
      </c>
      <c r="O1335" s="23" t="s">
        <v>249</v>
      </c>
      <c r="P1335">
        <v>750</v>
      </c>
      <c r="Q1335" s="23" t="s">
        <v>178</v>
      </c>
    </row>
    <row r="1336" spans="1:17" x14ac:dyDescent="0.25">
      <c r="A1336" s="23" t="s">
        <v>1055</v>
      </c>
      <c r="B1336" s="23" t="s">
        <v>1056</v>
      </c>
      <c r="C1336" s="23" t="s">
        <v>176</v>
      </c>
      <c r="D1336" s="23" t="s">
        <v>824</v>
      </c>
      <c r="E1336" s="23" t="s">
        <v>825</v>
      </c>
      <c r="F1336">
        <v>8</v>
      </c>
      <c r="G1336" s="23" t="s">
        <v>177</v>
      </c>
      <c r="H1336">
        <v>0</v>
      </c>
      <c r="I1336">
        <v>175</v>
      </c>
      <c r="J1336" s="10">
        <v>0</v>
      </c>
      <c r="K1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336">
        <v>0</v>
      </c>
      <c r="M13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6">
        <v>8.42</v>
      </c>
      <c r="O1336" s="23" t="s">
        <v>883</v>
      </c>
      <c r="P1336">
        <v>67.36</v>
      </c>
      <c r="Q1336" s="23" t="s">
        <v>179</v>
      </c>
    </row>
    <row r="1337" spans="1:17" x14ac:dyDescent="0.25">
      <c r="A1337" s="23" t="s">
        <v>1149</v>
      </c>
      <c r="B1337" s="23" t="s">
        <v>1145</v>
      </c>
      <c r="C1337" s="23" t="s">
        <v>176</v>
      </c>
      <c r="D1337" s="23" t="s">
        <v>85</v>
      </c>
      <c r="E1337" s="23" t="s">
        <v>86</v>
      </c>
      <c r="F1337">
        <v>2</v>
      </c>
      <c r="G1337" s="23" t="s">
        <v>177</v>
      </c>
      <c r="H1337">
        <v>0</v>
      </c>
      <c r="I1337">
        <v>44</v>
      </c>
      <c r="J1337" s="10">
        <v>12</v>
      </c>
      <c r="K1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337">
        <v>0</v>
      </c>
      <c r="M13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7">
        <v>375</v>
      </c>
      <c r="O1337" s="23" t="s">
        <v>249</v>
      </c>
      <c r="P1337">
        <v>750</v>
      </c>
      <c r="Q1337" s="23" t="s">
        <v>178</v>
      </c>
    </row>
    <row r="1338" spans="1:17" x14ac:dyDescent="0.25">
      <c r="A1338" s="23" t="s">
        <v>1150</v>
      </c>
      <c r="B1338" s="23" t="s">
        <v>1145</v>
      </c>
      <c r="C1338" s="23" t="s">
        <v>176</v>
      </c>
      <c r="D1338" s="23" t="s">
        <v>199</v>
      </c>
      <c r="E1338" s="23" t="s">
        <v>200</v>
      </c>
      <c r="F1338">
        <v>1</v>
      </c>
      <c r="G1338" s="23" t="s">
        <v>177</v>
      </c>
      <c r="H1338">
        <v>0</v>
      </c>
      <c r="I1338">
        <v>1</v>
      </c>
      <c r="J1338" s="10">
        <v>8</v>
      </c>
      <c r="K1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38">
        <v>0</v>
      </c>
      <c r="M13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38">
        <v>15618.42</v>
      </c>
      <c r="O1338" s="23" t="s">
        <v>216</v>
      </c>
      <c r="P1338">
        <v>15618.42</v>
      </c>
      <c r="Q1338" s="23" t="s">
        <v>178</v>
      </c>
    </row>
    <row r="1339" spans="1:17" x14ac:dyDescent="0.25">
      <c r="A1339" s="23" t="s">
        <v>1150</v>
      </c>
      <c r="B1339" s="23" t="s">
        <v>1145</v>
      </c>
      <c r="C1339" s="23" t="s">
        <v>176</v>
      </c>
      <c r="D1339" s="23" t="s">
        <v>824</v>
      </c>
      <c r="E1339" s="23" t="s">
        <v>825</v>
      </c>
      <c r="F1339">
        <v>8</v>
      </c>
      <c r="G1339" s="23" t="s">
        <v>177</v>
      </c>
      <c r="H1339">
        <v>0</v>
      </c>
      <c r="I1339">
        <v>175</v>
      </c>
      <c r="J1339" s="10">
        <v>0</v>
      </c>
      <c r="K1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339">
        <v>0</v>
      </c>
      <c r="M13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39">
        <v>8.42</v>
      </c>
      <c r="O1339" s="23" t="s">
        <v>883</v>
      </c>
      <c r="P1339">
        <v>67.36</v>
      </c>
      <c r="Q1339" s="23" t="s">
        <v>179</v>
      </c>
    </row>
    <row r="1340" spans="1:17" x14ac:dyDescent="0.25">
      <c r="A1340" s="23" t="s">
        <v>1150</v>
      </c>
      <c r="B1340" s="23" t="s">
        <v>1145</v>
      </c>
      <c r="C1340" s="23" t="s">
        <v>176</v>
      </c>
      <c r="D1340" s="23" t="s">
        <v>313</v>
      </c>
      <c r="E1340" s="23" t="s">
        <v>314</v>
      </c>
      <c r="F1340">
        <v>4</v>
      </c>
      <c r="G1340" s="23" t="s">
        <v>180</v>
      </c>
      <c r="H1340">
        <v>0</v>
      </c>
      <c r="I1340">
        <v>125</v>
      </c>
      <c r="J1340" s="10">
        <v>16.500000000000028</v>
      </c>
      <c r="K1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40">
        <v>0</v>
      </c>
      <c r="M13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0">
        <v>80.84</v>
      </c>
      <c r="O1340" s="23" t="s">
        <v>315</v>
      </c>
      <c r="P1340">
        <v>323.36</v>
      </c>
      <c r="Q1340" s="23" t="s">
        <v>179</v>
      </c>
    </row>
    <row r="1341" spans="1:17" x14ac:dyDescent="0.25">
      <c r="A1341" s="23" t="s">
        <v>1147</v>
      </c>
      <c r="B1341" s="23" t="s">
        <v>1145</v>
      </c>
      <c r="C1341" s="23" t="s">
        <v>176</v>
      </c>
      <c r="D1341" s="23" t="s">
        <v>85</v>
      </c>
      <c r="E1341" s="23" t="s">
        <v>86</v>
      </c>
      <c r="F1341">
        <v>2</v>
      </c>
      <c r="G1341" s="23" t="s">
        <v>177</v>
      </c>
      <c r="H1341">
        <v>0</v>
      </c>
      <c r="I1341">
        <v>44</v>
      </c>
      <c r="J1341" s="10">
        <v>12</v>
      </c>
      <c r="K1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341">
        <v>0</v>
      </c>
      <c r="M13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1">
        <v>375</v>
      </c>
      <c r="O1341" s="23" t="s">
        <v>249</v>
      </c>
      <c r="P1341">
        <v>750</v>
      </c>
      <c r="Q1341" s="23" t="s">
        <v>178</v>
      </c>
    </row>
    <row r="1342" spans="1:17" x14ac:dyDescent="0.25">
      <c r="A1342" s="23" t="s">
        <v>1058</v>
      </c>
      <c r="B1342" s="23" t="s">
        <v>1059</v>
      </c>
      <c r="C1342" s="23" t="s">
        <v>176</v>
      </c>
      <c r="D1342" s="23" t="s">
        <v>199</v>
      </c>
      <c r="E1342" s="23" t="s">
        <v>200</v>
      </c>
      <c r="F1342">
        <v>1</v>
      </c>
      <c r="G1342" s="23" t="s">
        <v>177</v>
      </c>
      <c r="H1342">
        <v>1</v>
      </c>
      <c r="I1342">
        <v>1</v>
      </c>
      <c r="J1342" s="10">
        <v>8</v>
      </c>
      <c r="K1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42">
        <v>0</v>
      </c>
      <c r="M13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42">
        <v>15618.42</v>
      </c>
      <c r="O1342" s="23" t="s">
        <v>216</v>
      </c>
      <c r="P1342">
        <v>15618.42</v>
      </c>
      <c r="Q1342" s="23" t="s">
        <v>178</v>
      </c>
    </row>
    <row r="1343" spans="1:17" x14ac:dyDescent="0.25">
      <c r="A1343" s="23" t="s">
        <v>1099</v>
      </c>
      <c r="B1343" s="23" t="s">
        <v>1056</v>
      </c>
      <c r="C1343" s="23" t="s">
        <v>176</v>
      </c>
      <c r="D1343" s="23" t="s">
        <v>1047</v>
      </c>
      <c r="E1343" s="23" t="s">
        <v>1048</v>
      </c>
      <c r="F1343">
        <v>8</v>
      </c>
      <c r="G1343" s="23" t="s">
        <v>177</v>
      </c>
      <c r="H1343">
        <v>0</v>
      </c>
      <c r="I1343">
        <v>3000</v>
      </c>
      <c r="J1343" s="10">
        <v>10000</v>
      </c>
      <c r="K1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-2984</v>
      </c>
      <c r="L1343">
        <v>0</v>
      </c>
      <c r="M13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3">
        <v>0.3</v>
      </c>
      <c r="O1343" s="23" t="s">
        <v>242</v>
      </c>
      <c r="P1343">
        <v>2.4</v>
      </c>
      <c r="Q1343" s="23" t="s">
        <v>181</v>
      </c>
    </row>
    <row r="1344" spans="1:17" x14ac:dyDescent="0.25">
      <c r="A1344" s="23" t="s">
        <v>1150</v>
      </c>
      <c r="B1344" s="23" t="s">
        <v>1145</v>
      </c>
      <c r="C1344" s="23" t="s">
        <v>176</v>
      </c>
      <c r="D1344" s="23" t="s">
        <v>85</v>
      </c>
      <c r="E1344" s="23" t="s">
        <v>86</v>
      </c>
      <c r="F1344">
        <v>2</v>
      </c>
      <c r="G1344" s="23" t="s">
        <v>177</v>
      </c>
      <c r="H1344">
        <v>0</v>
      </c>
      <c r="I1344">
        <v>44</v>
      </c>
      <c r="J1344" s="10">
        <v>12</v>
      </c>
      <c r="K1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344">
        <v>0</v>
      </c>
      <c r="M13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4">
        <v>375</v>
      </c>
      <c r="O1344" s="23" t="s">
        <v>249</v>
      </c>
      <c r="P1344">
        <v>750</v>
      </c>
      <c r="Q1344" s="23" t="s">
        <v>178</v>
      </c>
    </row>
    <row r="1345" spans="1:17" x14ac:dyDescent="0.25">
      <c r="A1345" s="23" t="s">
        <v>1146</v>
      </c>
      <c r="B1345" s="23" t="s">
        <v>1145</v>
      </c>
      <c r="C1345" s="23" t="s">
        <v>176</v>
      </c>
      <c r="D1345" s="23" t="s">
        <v>824</v>
      </c>
      <c r="E1345" s="23" t="s">
        <v>825</v>
      </c>
      <c r="F1345">
        <v>8</v>
      </c>
      <c r="G1345" s="23" t="s">
        <v>177</v>
      </c>
      <c r="H1345">
        <v>0</v>
      </c>
      <c r="I1345">
        <v>175</v>
      </c>
      <c r="J1345" s="10">
        <v>0</v>
      </c>
      <c r="K1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345">
        <v>0</v>
      </c>
      <c r="M13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5">
        <v>8.42</v>
      </c>
      <c r="O1345" s="23" t="s">
        <v>883</v>
      </c>
      <c r="P1345">
        <v>67.36</v>
      </c>
      <c r="Q1345" s="23" t="s">
        <v>179</v>
      </c>
    </row>
    <row r="1346" spans="1:17" x14ac:dyDescent="0.25">
      <c r="A1346" s="23" t="s">
        <v>1144</v>
      </c>
      <c r="B1346" s="23" t="s">
        <v>1145</v>
      </c>
      <c r="C1346" s="23" t="s">
        <v>176</v>
      </c>
      <c r="D1346" s="23" t="s">
        <v>824</v>
      </c>
      <c r="E1346" s="23" t="s">
        <v>825</v>
      </c>
      <c r="F1346">
        <v>8</v>
      </c>
      <c r="G1346" s="23" t="s">
        <v>177</v>
      </c>
      <c r="H1346">
        <v>0</v>
      </c>
      <c r="I1346">
        <v>175</v>
      </c>
      <c r="J1346" s="10">
        <v>0</v>
      </c>
      <c r="K1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346">
        <v>0</v>
      </c>
      <c r="M13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6">
        <v>8.42</v>
      </c>
      <c r="O1346" s="23" t="s">
        <v>883</v>
      </c>
      <c r="P1346">
        <v>67.36</v>
      </c>
      <c r="Q1346" s="23" t="s">
        <v>179</v>
      </c>
    </row>
    <row r="1347" spans="1:17" x14ac:dyDescent="0.25">
      <c r="A1347" s="23" t="s">
        <v>1144</v>
      </c>
      <c r="B1347" s="23" t="s">
        <v>1145</v>
      </c>
      <c r="C1347" s="23" t="s">
        <v>176</v>
      </c>
      <c r="D1347" s="23" t="s">
        <v>313</v>
      </c>
      <c r="E1347" s="23" t="s">
        <v>314</v>
      </c>
      <c r="F1347">
        <v>4</v>
      </c>
      <c r="G1347" s="23" t="s">
        <v>180</v>
      </c>
      <c r="H1347">
        <v>0</v>
      </c>
      <c r="I1347">
        <v>125</v>
      </c>
      <c r="J1347" s="10">
        <v>16.500000000000028</v>
      </c>
      <c r="K1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47">
        <v>0</v>
      </c>
      <c r="M13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7">
        <v>80.84</v>
      </c>
      <c r="O1347" s="23" t="s">
        <v>315</v>
      </c>
      <c r="P1347">
        <v>323.36</v>
      </c>
      <c r="Q1347" s="23" t="s">
        <v>179</v>
      </c>
    </row>
    <row r="1348" spans="1:17" x14ac:dyDescent="0.25">
      <c r="A1348" s="23" t="s">
        <v>1146</v>
      </c>
      <c r="B1348" s="23" t="s">
        <v>1145</v>
      </c>
      <c r="C1348" s="23" t="s">
        <v>176</v>
      </c>
      <c r="D1348" s="23" t="s">
        <v>313</v>
      </c>
      <c r="E1348" s="23" t="s">
        <v>314</v>
      </c>
      <c r="F1348">
        <v>4</v>
      </c>
      <c r="G1348" s="23" t="s">
        <v>180</v>
      </c>
      <c r="H1348">
        <v>0</v>
      </c>
      <c r="I1348">
        <v>125</v>
      </c>
      <c r="J1348" s="10">
        <v>16.500000000000028</v>
      </c>
      <c r="K1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48">
        <v>0</v>
      </c>
      <c r="M13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48">
        <v>80.84</v>
      </c>
      <c r="O1348" s="23" t="s">
        <v>315</v>
      </c>
      <c r="P1348">
        <v>323.36</v>
      </c>
      <c r="Q1348" s="23" t="s">
        <v>179</v>
      </c>
    </row>
    <row r="1349" spans="1:17" x14ac:dyDescent="0.25">
      <c r="A1349" s="23" t="s">
        <v>1144</v>
      </c>
      <c r="B1349" s="23" t="s">
        <v>1145</v>
      </c>
      <c r="C1349" s="23" t="s">
        <v>176</v>
      </c>
      <c r="D1349" s="23" t="s">
        <v>308</v>
      </c>
      <c r="E1349" s="23" t="s">
        <v>309</v>
      </c>
      <c r="F1349">
        <v>1</v>
      </c>
      <c r="G1349" s="23" t="s">
        <v>177</v>
      </c>
      <c r="H1349">
        <v>0</v>
      </c>
      <c r="I1349">
        <v>13</v>
      </c>
      <c r="J1349" s="10">
        <v>1</v>
      </c>
      <c r="K1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349">
        <v>0</v>
      </c>
      <c r="M13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349">
        <v>65.42</v>
      </c>
      <c r="O1349" s="23" t="s">
        <v>629</v>
      </c>
      <c r="P1349">
        <v>65.42</v>
      </c>
      <c r="Q1349" s="23" t="s">
        <v>179</v>
      </c>
    </row>
    <row r="1350" spans="1:17" x14ac:dyDescent="0.25">
      <c r="A1350" s="23" t="s">
        <v>1148</v>
      </c>
      <c r="B1350" s="23" t="s">
        <v>1054</v>
      </c>
      <c r="C1350" s="23" t="s">
        <v>176</v>
      </c>
      <c r="D1350" s="23" t="s">
        <v>85</v>
      </c>
      <c r="E1350" s="23" t="s">
        <v>86</v>
      </c>
      <c r="F1350">
        <v>2</v>
      </c>
      <c r="G1350" s="23" t="s">
        <v>177</v>
      </c>
      <c r="H1350">
        <v>0</v>
      </c>
      <c r="I1350">
        <v>44</v>
      </c>
      <c r="J1350" s="10">
        <v>12</v>
      </c>
      <c r="K1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350">
        <v>0</v>
      </c>
      <c r="M13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0">
        <v>375</v>
      </c>
      <c r="O1350" s="23" t="s">
        <v>249</v>
      </c>
      <c r="P1350">
        <v>750</v>
      </c>
      <c r="Q1350" s="23" t="s">
        <v>178</v>
      </c>
    </row>
    <row r="1351" spans="1:17" x14ac:dyDescent="0.25">
      <c r="A1351" s="23" t="s">
        <v>1099</v>
      </c>
      <c r="B1351" s="23" t="s">
        <v>1056</v>
      </c>
      <c r="C1351" s="23" t="s">
        <v>176</v>
      </c>
      <c r="D1351" s="23" t="s">
        <v>119</v>
      </c>
      <c r="E1351" s="23" t="s">
        <v>120</v>
      </c>
      <c r="F1351">
        <v>6</v>
      </c>
      <c r="G1351" s="23" t="s">
        <v>177</v>
      </c>
      <c r="H1351">
        <v>0</v>
      </c>
      <c r="I1351">
        <v>84</v>
      </c>
      <c r="J1351" s="10">
        <v>36</v>
      </c>
      <c r="K1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1351">
        <v>0</v>
      </c>
      <c r="M13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1351">
        <v>20</v>
      </c>
      <c r="O1351" s="23" t="s">
        <v>242</v>
      </c>
      <c r="P1351">
        <v>120</v>
      </c>
      <c r="Q1351" s="23" t="s">
        <v>179</v>
      </c>
    </row>
    <row r="1352" spans="1:17" x14ac:dyDescent="0.25">
      <c r="A1352" s="23" t="s">
        <v>1099</v>
      </c>
      <c r="B1352" s="23" t="s">
        <v>1056</v>
      </c>
      <c r="C1352" s="23" t="s">
        <v>176</v>
      </c>
      <c r="D1352" s="23" t="s">
        <v>52</v>
      </c>
      <c r="E1352" s="23" t="s">
        <v>53</v>
      </c>
      <c r="F1352">
        <v>1</v>
      </c>
      <c r="G1352" s="23" t="s">
        <v>177</v>
      </c>
      <c r="H1352">
        <v>1</v>
      </c>
      <c r="I1352">
        <v>5</v>
      </c>
      <c r="J1352" s="10">
        <v>10</v>
      </c>
      <c r="K1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352">
        <v>0</v>
      </c>
      <c r="M13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1352">
        <v>12234.43</v>
      </c>
      <c r="O1352" s="23" t="s">
        <v>216</v>
      </c>
      <c r="P1352">
        <v>12234.43</v>
      </c>
      <c r="Q1352" s="23" t="s">
        <v>222</v>
      </c>
    </row>
    <row r="1353" spans="1:17" x14ac:dyDescent="0.25">
      <c r="A1353" s="23" t="s">
        <v>1099</v>
      </c>
      <c r="B1353" s="23" t="s">
        <v>1056</v>
      </c>
      <c r="C1353" s="23" t="s">
        <v>176</v>
      </c>
      <c r="D1353" s="23" t="s">
        <v>56</v>
      </c>
      <c r="E1353" s="23" t="s">
        <v>57</v>
      </c>
      <c r="F1353">
        <v>6</v>
      </c>
      <c r="G1353" s="23" t="s">
        <v>180</v>
      </c>
      <c r="H1353">
        <v>0</v>
      </c>
      <c r="I1353">
        <v>140</v>
      </c>
      <c r="J1353" s="10">
        <v>0</v>
      </c>
      <c r="K1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1353">
        <v>0</v>
      </c>
      <c r="M13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3">
        <v>25.42</v>
      </c>
      <c r="O1353" s="23" t="s">
        <v>827</v>
      </c>
      <c r="P1353">
        <v>152.52000000000001</v>
      </c>
      <c r="Q1353" s="23" t="s">
        <v>222</v>
      </c>
    </row>
    <row r="1354" spans="1:17" x14ac:dyDescent="0.25">
      <c r="A1354" s="23" t="s">
        <v>1098</v>
      </c>
      <c r="B1354" s="23" t="s">
        <v>1053</v>
      </c>
      <c r="C1354" s="23" t="s">
        <v>176</v>
      </c>
      <c r="D1354" s="23" t="s">
        <v>15</v>
      </c>
      <c r="E1354" s="23" t="s">
        <v>16</v>
      </c>
      <c r="F1354">
        <v>1</v>
      </c>
      <c r="G1354" s="23" t="s">
        <v>177</v>
      </c>
      <c r="H1354">
        <v>0</v>
      </c>
      <c r="I1354">
        <v>7</v>
      </c>
      <c r="J1354" s="10">
        <v>10</v>
      </c>
      <c r="K1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354">
        <v>0</v>
      </c>
      <c r="M13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1354">
        <v>3383.99</v>
      </c>
      <c r="O1354" s="23" t="s">
        <v>216</v>
      </c>
      <c r="P1354">
        <v>3383.99</v>
      </c>
      <c r="Q1354" s="23" t="s">
        <v>222</v>
      </c>
    </row>
    <row r="1355" spans="1:17" x14ac:dyDescent="0.25">
      <c r="A1355" s="23" t="s">
        <v>1197</v>
      </c>
      <c r="B1355" s="23" t="s">
        <v>1198</v>
      </c>
      <c r="C1355" s="23" t="s">
        <v>176</v>
      </c>
      <c r="D1355" s="23" t="s">
        <v>28</v>
      </c>
      <c r="E1355" s="23" t="s">
        <v>29</v>
      </c>
      <c r="F1355">
        <v>135</v>
      </c>
      <c r="G1355" s="23" t="s">
        <v>177</v>
      </c>
      <c r="H1355">
        <v>0</v>
      </c>
      <c r="I1355">
        <v>3000</v>
      </c>
      <c r="J1355" s="10">
        <v>1048</v>
      </c>
      <c r="K1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55">
        <v>0</v>
      </c>
      <c r="M13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5">
        <v>2.92</v>
      </c>
      <c r="O1355" s="23" t="s">
        <v>629</v>
      </c>
      <c r="P1355">
        <v>394.2</v>
      </c>
      <c r="Q1355" s="23" t="s">
        <v>181</v>
      </c>
    </row>
    <row r="1356" spans="1:17" x14ac:dyDescent="0.25">
      <c r="A1356" s="23" t="s">
        <v>1098</v>
      </c>
      <c r="B1356" s="23" t="s">
        <v>1053</v>
      </c>
      <c r="C1356" s="23" t="s">
        <v>176</v>
      </c>
      <c r="D1356" s="23" t="s">
        <v>28</v>
      </c>
      <c r="E1356" s="23" t="s">
        <v>29</v>
      </c>
      <c r="F1356">
        <v>81</v>
      </c>
      <c r="G1356" s="23" t="s">
        <v>177</v>
      </c>
      <c r="H1356">
        <v>0</v>
      </c>
      <c r="I1356">
        <v>3000</v>
      </c>
      <c r="J1356" s="10">
        <v>1048</v>
      </c>
      <c r="K1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56">
        <v>0</v>
      </c>
      <c r="M13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6">
        <v>2.92</v>
      </c>
      <c r="O1356" s="23" t="s">
        <v>629</v>
      </c>
      <c r="P1356">
        <v>236.51999999999998</v>
      </c>
      <c r="Q1356" s="23" t="s">
        <v>181</v>
      </c>
    </row>
    <row r="1357" spans="1:17" x14ac:dyDescent="0.25">
      <c r="A1357" s="23" t="s">
        <v>1098</v>
      </c>
      <c r="B1357" s="23" t="s">
        <v>1053</v>
      </c>
      <c r="C1357" s="23" t="s">
        <v>176</v>
      </c>
      <c r="D1357" s="23" t="s">
        <v>537</v>
      </c>
      <c r="E1357" s="23" t="s">
        <v>538</v>
      </c>
      <c r="F1357">
        <v>7</v>
      </c>
      <c r="G1357" s="23" t="s">
        <v>177</v>
      </c>
      <c r="H1357">
        <v>0</v>
      </c>
      <c r="I1357">
        <v>2200</v>
      </c>
      <c r="J1357" s="10">
        <v>0</v>
      </c>
      <c r="K1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357">
        <v>0</v>
      </c>
      <c r="M13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7">
        <v>0.7</v>
      </c>
      <c r="O1357" s="23" t="s">
        <v>242</v>
      </c>
      <c r="P1357">
        <v>4.8999999999999995</v>
      </c>
      <c r="Q1357" s="23" t="s">
        <v>181</v>
      </c>
    </row>
    <row r="1358" spans="1:17" x14ac:dyDescent="0.25">
      <c r="A1358" s="23" t="s">
        <v>1197</v>
      </c>
      <c r="B1358" s="23" t="s">
        <v>1198</v>
      </c>
      <c r="C1358" s="23" t="s">
        <v>176</v>
      </c>
      <c r="D1358" s="23" t="s">
        <v>808</v>
      </c>
      <c r="E1358" s="23" t="s">
        <v>809</v>
      </c>
      <c r="F1358">
        <v>1</v>
      </c>
      <c r="G1358" s="23" t="s">
        <v>177</v>
      </c>
      <c r="H1358">
        <v>0</v>
      </c>
      <c r="I1358">
        <v>11</v>
      </c>
      <c r="J1358" s="10">
        <v>1</v>
      </c>
      <c r="K1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1358">
        <v>0</v>
      </c>
      <c r="M13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8">
        <v>583.33000000000004</v>
      </c>
      <c r="O1358" s="23" t="s">
        <v>629</v>
      </c>
      <c r="P1358">
        <v>583.33000000000004</v>
      </c>
      <c r="Q1358" s="23" t="s">
        <v>178</v>
      </c>
    </row>
    <row r="1359" spans="1:17" x14ac:dyDescent="0.25">
      <c r="A1359" s="23" t="s">
        <v>1096</v>
      </c>
      <c r="B1359" s="23" t="s">
        <v>1053</v>
      </c>
      <c r="C1359" s="23" t="s">
        <v>176</v>
      </c>
      <c r="D1359" s="23" t="s">
        <v>232</v>
      </c>
      <c r="E1359" s="23" t="s">
        <v>233</v>
      </c>
      <c r="F1359">
        <v>2</v>
      </c>
      <c r="G1359" s="23" t="s">
        <v>177</v>
      </c>
      <c r="H1359">
        <v>0</v>
      </c>
      <c r="I1359">
        <v>239</v>
      </c>
      <c r="J1359" s="10">
        <v>90</v>
      </c>
      <c r="K1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59">
        <v>0</v>
      </c>
      <c r="M13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59">
        <v>4</v>
      </c>
      <c r="O1359" s="23" t="s">
        <v>221</v>
      </c>
      <c r="P1359">
        <v>8</v>
      </c>
      <c r="Q1359" s="23" t="s">
        <v>222</v>
      </c>
    </row>
    <row r="1360" spans="1:17" x14ac:dyDescent="0.25">
      <c r="A1360" s="23" t="s">
        <v>1094</v>
      </c>
      <c r="B1360" s="23" t="s">
        <v>1095</v>
      </c>
      <c r="C1360" s="23" t="s">
        <v>176</v>
      </c>
      <c r="D1360" s="23" t="s">
        <v>15</v>
      </c>
      <c r="E1360" s="23" t="s">
        <v>16</v>
      </c>
      <c r="F1360">
        <v>1</v>
      </c>
      <c r="G1360" s="23" t="s">
        <v>177</v>
      </c>
      <c r="H1360">
        <v>0</v>
      </c>
      <c r="I1360">
        <v>7</v>
      </c>
      <c r="J1360" s="10">
        <v>10</v>
      </c>
      <c r="K1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360">
        <v>0</v>
      </c>
      <c r="M13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1360">
        <v>3383.99</v>
      </c>
      <c r="O1360" s="23" t="s">
        <v>216</v>
      </c>
      <c r="P1360">
        <v>3383.99</v>
      </c>
      <c r="Q1360" s="23" t="s">
        <v>222</v>
      </c>
    </row>
    <row r="1361" spans="1:17" x14ac:dyDescent="0.25">
      <c r="A1361" s="23" t="s">
        <v>1062</v>
      </c>
      <c r="B1361" s="23" t="s">
        <v>1053</v>
      </c>
      <c r="C1361" s="23" t="s">
        <v>176</v>
      </c>
      <c r="D1361" s="23" t="s">
        <v>28</v>
      </c>
      <c r="E1361" s="23" t="s">
        <v>29</v>
      </c>
      <c r="F1361">
        <v>110</v>
      </c>
      <c r="G1361" s="23" t="s">
        <v>177</v>
      </c>
      <c r="H1361">
        <v>0</v>
      </c>
      <c r="I1361">
        <v>3000</v>
      </c>
      <c r="J1361" s="10">
        <v>1048</v>
      </c>
      <c r="K1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61">
        <v>0</v>
      </c>
      <c r="M13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1">
        <v>2.92</v>
      </c>
      <c r="O1361" s="23" t="s">
        <v>629</v>
      </c>
      <c r="P1361">
        <v>321.2</v>
      </c>
      <c r="Q1361" s="23" t="s">
        <v>181</v>
      </c>
    </row>
    <row r="1362" spans="1:17" x14ac:dyDescent="0.25">
      <c r="A1362" s="23" t="s">
        <v>1062</v>
      </c>
      <c r="B1362" s="23" t="s">
        <v>1053</v>
      </c>
      <c r="C1362" s="23" t="s">
        <v>176</v>
      </c>
      <c r="D1362" s="23" t="s">
        <v>537</v>
      </c>
      <c r="E1362" s="23" t="s">
        <v>538</v>
      </c>
      <c r="F1362">
        <v>7</v>
      </c>
      <c r="G1362" s="23" t="s">
        <v>177</v>
      </c>
      <c r="H1362">
        <v>0</v>
      </c>
      <c r="I1362">
        <v>2200</v>
      </c>
      <c r="J1362" s="10">
        <v>0</v>
      </c>
      <c r="K1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362">
        <v>0</v>
      </c>
      <c r="M13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2">
        <v>0.7</v>
      </c>
      <c r="O1362" s="23" t="s">
        <v>242</v>
      </c>
      <c r="P1362">
        <v>4.8999999999999995</v>
      </c>
      <c r="Q1362" s="23" t="s">
        <v>181</v>
      </c>
    </row>
    <row r="1363" spans="1:17" x14ac:dyDescent="0.25">
      <c r="A1363" s="23" t="s">
        <v>1142</v>
      </c>
      <c r="B1363" s="23" t="s">
        <v>1054</v>
      </c>
      <c r="C1363" s="23" t="s">
        <v>176</v>
      </c>
      <c r="D1363" s="23" t="s">
        <v>232</v>
      </c>
      <c r="E1363" s="23" t="s">
        <v>233</v>
      </c>
      <c r="F1363">
        <v>2</v>
      </c>
      <c r="G1363" s="23" t="s">
        <v>177</v>
      </c>
      <c r="H1363">
        <v>0</v>
      </c>
      <c r="I1363">
        <v>239</v>
      </c>
      <c r="J1363" s="10">
        <v>90</v>
      </c>
      <c r="K1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63">
        <v>0</v>
      </c>
      <c r="M13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3">
        <v>4</v>
      </c>
      <c r="O1363" s="23" t="s">
        <v>221</v>
      </c>
      <c r="P1363">
        <v>8</v>
      </c>
      <c r="Q1363" s="23" t="s">
        <v>222</v>
      </c>
    </row>
    <row r="1364" spans="1:17" x14ac:dyDescent="0.25">
      <c r="A1364" s="23" t="s">
        <v>1142</v>
      </c>
      <c r="B1364" s="23" t="s">
        <v>1054</v>
      </c>
      <c r="C1364" s="23" t="s">
        <v>176</v>
      </c>
      <c r="D1364" s="23" t="s">
        <v>28</v>
      </c>
      <c r="E1364" s="23" t="s">
        <v>29</v>
      </c>
      <c r="F1364">
        <v>135</v>
      </c>
      <c r="G1364" s="23" t="s">
        <v>177</v>
      </c>
      <c r="H1364">
        <v>0</v>
      </c>
      <c r="I1364">
        <v>3000</v>
      </c>
      <c r="J1364" s="10">
        <v>1048</v>
      </c>
      <c r="K1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64">
        <v>0</v>
      </c>
      <c r="M13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4">
        <v>2.92</v>
      </c>
      <c r="O1364" s="23" t="s">
        <v>629</v>
      </c>
      <c r="P1364">
        <v>394.2</v>
      </c>
      <c r="Q1364" s="23" t="s">
        <v>181</v>
      </c>
    </row>
    <row r="1365" spans="1:17" x14ac:dyDescent="0.25">
      <c r="A1365" s="23" t="s">
        <v>1062</v>
      </c>
      <c r="B1365" s="23" t="s">
        <v>1053</v>
      </c>
      <c r="C1365" s="23" t="s">
        <v>176</v>
      </c>
      <c r="D1365" s="23" t="s">
        <v>72</v>
      </c>
      <c r="E1365" s="23" t="s">
        <v>251</v>
      </c>
      <c r="F1365">
        <v>9.509999999999998</v>
      </c>
      <c r="G1365" s="23" t="s">
        <v>177</v>
      </c>
      <c r="H1365">
        <v>0</v>
      </c>
      <c r="I1365">
        <v>96</v>
      </c>
      <c r="J1365" s="10">
        <v>195.44000000000005</v>
      </c>
      <c r="K1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365">
        <v>0</v>
      </c>
      <c r="M13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365">
        <v>128.93</v>
      </c>
      <c r="O1365" s="23" t="s">
        <v>252</v>
      </c>
      <c r="P1365">
        <v>1226.1242999999997</v>
      </c>
      <c r="Q1365" s="23" t="s">
        <v>181</v>
      </c>
    </row>
    <row r="1366" spans="1:17" x14ac:dyDescent="0.25">
      <c r="A1366" s="23" t="s">
        <v>1197</v>
      </c>
      <c r="B1366" s="23" t="s">
        <v>1198</v>
      </c>
      <c r="C1366" s="23" t="s">
        <v>176</v>
      </c>
      <c r="D1366" s="23" t="s">
        <v>1028</v>
      </c>
      <c r="E1366" s="23" t="s">
        <v>1029</v>
      </c>
      <c r="F1366">
        <v>1</v>
      </c>
      <c r="G1366" s="23" t="s">
        <v>183</v>
      </c>
      <c r="H1366">
        <v>0</v>
      </c>
      <c r="I1366">
        <v>40</v>
      </c>
      <c r="J1366" s="10">
        <v>20</v>
      </c>
      <c r="K1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366">
        <v>0</v>
      </c>
      <c r="M13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6">
        <v>54.17</v>
      </c>
      <c r="O1366" s="23" t="s">
        <v>454</v>
      </c>
      <c r="P1366">
        <v>54.17</v>
      </c>
      <c r="Q1366" s="23" t="s">
        <v>184</v>
      </c>
    </row>
    <row r="1367" spans="1:17" x14ac:dyDescent="0.25">
      <c r="A1367" s="23" t="s">
        <v>1099</v>
      </c>
      <c r="B1367" s="23" t="s">
        <v>1056</v>
      </c>
      <c r="C1367" s="23" t="s">
        <v>176</v>
      </c>
      <c r="D1367" s="23" t="s">
        <v>72</v>
      </c>
      <c r="E1367" s="23" t="s">
        <v>251</v>
      </c>
      <c r="F1367">
        <v>7.4999999999999991</v>
      </c>
      <c r="G1367" s="23" t="s">
        <v>177</v>
      </c>
      <c r="H1367">
        <v>0</v>
      </c>
      <c r="I1367">
        <v>96</v>
      </c>
      <c r="J1367" s="10">
        <v>195.44000000000005</v>
      </c>
      <c r="K1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367">
        <v>0</v>
      </c>
      <c r="M13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367">
        <v>128.93</v>
      </c>
      <c r="O1367" s="23" t="s">
        <v>252</v>
      </c>
      <c r="P1367">
        <v>966.97499999999991</v>
      </c>
      <c r="Q1367" s="23" t="s">
        <v>181</v>
      </c>
    </row>
    <row r="1368" spans="1:17" x14ac:dyDescent="0.25">
      <c r="A1368" s="23" t="s">
        <v>1055</v>
      </c>
      <c r="B1368" s="23" t="s">
        <v>1056</v>
      </c>
      <c r="C1368" s="23" t="s">
        <v>176</v>
      </c>
      <c r="D1368" s="23" t="s">
        <v>390</v>
      </c>
      <c r="E1368" s="23" t="s">
        <v>391</v>
      </c>
      <c r="F1368">
        <v>8</v>
      </c>
      <c r="G1368" s="23" t="s">
        <v>177</v>
      </c>
      <c r="H1368">
        <v>0</v>
      </c>
      <c r="I1368">
        <v>100</v>
      </c>
      <c r="J1368" s="10">
        <v>352</v>
      </c>
      <c r="K1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368">
        <v>0</v>
      </c>
      <c r="M13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8">
        <v>6.4</v>
      </c>
      <c r="O1368" s="23" t="s">
        <v>883</v>
      </c>
      <c r="P1368">
        <v>51.2</v>
      </c>
      <c r="Q1368" s="23" t="s">
        <v>179</v>
      </c>
    </row>
    <row r="1369" spans="1:17" x14ac:dyDescent="0.25">
      <c r="A1369" s="23" t="s">
        <v>1097</v>
      </c>
      <c r="B1369" s="23" t="s">
        <v>1095</v>
      </c>
      <c r="C1369" s="23" t="s">
        <v>176</v>
      </c>
      <c r="D1369" s="23" t="s">
        <v>28</v>
      </c>
      <c r="E1369" s="23" t="s">
        <v>29</v>
      </c>
      <c r="F1369">
        <v>83</v>
      </c>
      <c r="G1369" s="23" t="s">
        <v>177</v>
      </c>
      <c r="H1369">
        <v>0</v>
      </c>
      <c r="I1369">
        <v>3000</v>
      </c>
      <c r="J1369" s="10">
        <v>1048</v>
      </c>
      <c r="K1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69">
        <v>0</v>
      </c>
      <c r="M13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69">
        <v>2.92</v>
      </c>
      <c r="O1369" s="23" t="s">
        <v>629</v>
      </c>
      <c r="P1369">
        <v>242.35999999999999</v>
      </c>
      <c r="Q1369" s="23" t="s">
        <v>181</v>
      </c>
    </row>
    <row r="1370" spans="1:17" x14ac:dyDescent="0.25">
      <c r="A1370" s="23" t="s">
        <v>1197</v>
      </c>
      <c r="B1370" s="23" t="s">
        <v>1198</v>
      </c>
      <c r="C1370" s="23" t="s">
        <v>176</v>
      </c>
      <c r="D1370" s="23" t="s">
        <v>537</v>
      </c>
      <c r="E1370" s="23" t="s">
        <v>538</v>
      </c>
      <c r="F1370">
        <v>45</v>
      </c>
      <c r="G1370" s="23" t="s">
        <v>177</v>
      </c>
      <c r="H1370">
        <v>0</v>
      </c>
      <c r="I1370">
        <v>2200</v>
      </c>
      <c r="J1370" s="10">
        <v>0</v>
      </c>
      <c r="K1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370">
        <v>0</v>
      </c>
      <c r="M13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0">
        <v>0.7</v>
      </c>
      <c r="O1370" s="23" t="s">
        <v>242</v>
      </c>
      <c r="P1370">
        <v>31.499999999999996</v>
      </c>
      <c r="Q1370" s="23" t="s">
        <v>181</v>
      </c>
    </row>
    <row r="1371" spans="1:17" x14ac:dyDescent="0.25">
      <c r="A1371" s="23" t="s">
        <v>1143</v>
      </c>
      <c r="B1371" s="23" t="s">
        <v>1054</v>
      </c>
      <c r="C1371" s="23" t="s">
        <v>176</v>
      </c>
      <c r="D1371" s="23" t="s">
        <v>492</v>
      </c>
      <c r="E1371" s="23" t="s">
        <v>493</v>
      </c>
      <c r="F1371">
        <v>14</v>
      </c>
      <c r="G1371" s="23" t="s">
        <v>180</v>
      </c>
      <c r="H1371">
        <v>0</v>
      </c>
      <c r="I1371">
        <v>0</v>
      </c>
      <c r="J1371" s="10">
        <v>0</v>
      </c>
      <c r="K1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58</v>
      </c>
      <c r="L1371">
        <v>200</v>
      </c>
      <c r="M13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232.57999999999998</v>
      </c>
      <c r="N1371">
        <v>4.01</v>
      </c>
      <c r="O1371" s="23" t="s">
        <v>708</v>
      </c>
      <c r="P1371">
        <v>56.14</v>
      </c>
      <c r="Q1371" s="23" t="s">
        <v>185</v>
      </c>
    </row>
    <row r="1372" spans="1:17" x14ac:dyDescent="0.25">
      <c r="A1372" s="23" t="s">
        <v>1057</v>
      </c>
      <c r="B1372" s="23" t="s">
        <v>1056</v>
      </c>
      <c r="C1372" s="23" t="s">
        <v>176</v>
      </c>
      <c r="D1372" s="23" t="s">
        <v>232</v>
      </c>
      <c r="E1372" s="23" t="s">
        <v>233</v>
      </c>
      <c r="F1372">
        <v>2</v>
      </c>
      <c r="G1372" s="23" t="s">
        <v>177</v>
      </c>
      <c r="H1372">
        <v>0</v>
      </c>
      <c r="I1372">
        <v>239</v>
      </c>
      <c r="J1372" s="10">
        <v>90</v>
      </c>
      <c r="K1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72">
        <v>0</v>
      </c>
      <c r="M13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2">
        <v>4</v>
      </c>
      <c r="O1372" s="23" t="s">
        <v>221</v>
      </c>
      <c r="P1372">
        <v>8</v>
      </c>
      <c r="Q1372" s="23" t="s">
        <v>222</v>
      </c>
    </row>
    <row r="1373" spans="1:17" x14ac:dyDescent="0.25">
      <c r="A1373" s="23" t="s">
        <v>1094</v>
      </c>
      <c r="B1373" s="23" t="s">
        <v>1095</v>
      </c>
      <c r="C1373" s="23" t="s">
        <v>176</v>
      </c>
      <c r="D1373" s="23" t="s">
        <v>232</v>
      </c>
      <c r="E1373" s="23" t="s">
        <v>233</v>
      </c>
      <c r="F1373">
        <v>2</v>
      </c>
      <c r="G1373" s="23" t="s">
        <v>177</v>
      </c>
      <c r="H1373">
        <v>0</v>
      </c>
      <c r="I1373">
        <v>239</v>
      </c>
      <c r="J1373" s="10">
        <v>90</v>
      </c>
      <c r="K1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373">
        <v>0</v>
      </c>
      <c r="M13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3">
        <v>4</v>
      </c>
      <c r="O1373" s="23" t="s">
        <v>221</v>
      </c>
      <c r="P1373">
        <v>8</v>
      </c>
      <c r="Q1373" s="23" t="s">
        <v>222</v>
      </c>
    </row>
    <row r="1374" spans="1:17" x14ac:dyDescent="0.25">
      <c r="A1374" s="23" t="s">
        <v>1057</v>
      </c>
      <c r="B1374" s="23" t="s">
        <v>1056</v>
      </c>
      <c r="C1374" s="23" t="s">
        <v>176</v>
      </c>
      <c r="D1374" s="23" t="s">
        <v>28</v>
      </c>
      <c r="E1374" s="23" t="s">
        <v>29</v>
      </c>
      <c r="F1374">
        <v>66</v>
      </c>
      <c r="G1374" s="23" t="s">
        <v>177</v>
      </c>
      <c r="H1374">
        <v>0</v>
      </c>
      <c r="I1374">
        <v>3000</v>
      </c>
      <c r="J1374" s="10">
        <v>1048</v>
      </c>
      <c r="K1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74">
        <v>0</v>
      </c>
      <c r="M13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4">
        <v>2.92</v>
      </c>
      <c r="O1374" s="23" t="s">
        <v>629</v>
      </c>
      <c r="P1374">
        <v>192.72</v>
      </c>
      <c r="Q1374" s="23" t="s">
        <v>181</v>
      </c>
    </row>
    <row r="1375" spans="1:17" x14ac:dyDescent="0.25">
      <c r="A1375" s="23" t="s">
        <v>1143</v>
      </c>
      <c r="B1375" s="23" t="s">
        <v>1054</v>
      </c>
      <c r="C1375" s="23" t="s">
        <v>176</v>
      </c>
      <c r="D1375" s="23" t="s">
        <v>28</v>
      </c>
      <c r="E1375" s="23" t="s">
        <v>29</v>
      </c>
      <c r="F1375">
        <v>106</v>
      </c>
      <c r="G1375" s="23" t="s">
        <v>177</v>
      </c>
      <c r="H1375">
        <v>0</v>
      </c>
      <c r="I1375">
        <v>3000</v>
      </c>
      <c r="J1375" s="10">
        <v>1048</v>
      </c>
      <c r="K1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375">
        <v>0</v>
      </c>
      <c r="M13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5">
        <v>2.92</v>
      </c>
      <c r="O1375" s="23" t="s">
        <v>629</v>
      </c>
      <c r="P1375">
        <v>309.52</v>
      </c>
      <c r="Q1375" s="23" t="s">
        <v>181</v>
      </c>
    </row>
    <row r="1376" spans="1:17" x14ac:dyDescent="0.25">
      <c r="A1376" s="23" t="s">
        <v>1097</v>
      </c>
      <c r="B1376" s="23" t="s">
        <v>1095</v>
      </c>
      <c r="C1376" s="23" t="s">
        <v>176</v>
      </c>
      <c r="D1376" s="23" t="s">
        <v>537</v>
      </c>
      <c r="E1376" s="23" t="s">
        <v>538</v>
      </c>
      <c r="F1376">
        <v>7</v>
      </c>
      <c r="G1376" s="23" t="s">
        <v>177</v>
      </c>
      <c r="H1376">
        <v>0</v>
      </c>
      <c r="I1376">
        <v>2200</v>
      </c>
      <c r="J1376" s="10">
        <v>0</v>
      </c>
      <c r="K1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376">
        <v>0</v>
      </c>
      <c r="M13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76">
        <v>0.7</v>
      </c>
      <c r="O1376" s="23" t="s">
        <v>242</v>
      </c>
      <c r="P1376">
        <v>4.8999999999999995</v>
      </c>
      <c r="Q1376" s="23" t="s">
        <v>181</v>
      </c>
    </row>
    <row r="1377" spans="1:17" x14ac:dyDescent="0.25">
      <c r="A1377" s="23" t="s">
        <v>1147</v>
      </c>
      <c r="B1377" s="23" t="s">
        <v>1145</v>
      </c>
      <c r="C1377" s="23" t="s">
        <v>176</v>
      </c>
      <c r="D1377" s="23" t="s">
        <v>199</v>
      </c>
      <c r="E1377" s="23" t="s">
        <v>200</v>
      </c>
      <c r="F1377">
        <v>1</v>
      </c>
      <c r="G1377" s="23" t="s">
        <v>177</v>
      </c>
      <c r="H1377">
        <v>0</v>
      </c>
      <c r="I1377">
        <v>1</v>
      </c>
      <c r="J1377" s="10">
        <v>8</v>
      </c>
      <c r="K1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77">
        <v>0</v>
      </c>
      <c r="M13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77">
        <v>15618.42</v>
      </c>
      <c r="O1377" s="23" t="s">
        <v>216</v>
      </c>
      <c r="P1377">
        <v>15618.42</v>
      </c>
      <c r="Q1377" s="23" t="s">
        <v>178</v>
      </c>
    </row>
    <row r="1378" spans="1:17" x14ac:dyDescent="0.25">
      <c r="A1378" s="23" t="s">
        <v>1148</v>
      </c>
      <c r="B1378" s="23" t="s">
        <v>1054</v>
      </c>
      <c r="C1378" s="23" t="s">
        <v>176</v>
      </c>
      <c r="D1378" s="23" t="s">
        <v>199</v>
      </c>
      <c r="E1378" s="23" t="s">
        <v>200</v>
      </c>
      <c r="F1378">
        <v>1</v>
      </c>
      <c r="G1378" s="23" t="s">
        <v>177</v>
      </c>
      <c r="H1378">
        <v>0</v>
      </c>
      <c r="I1378">
        <v>1</v>
      </c>
      <c r="J1378" s="10">
        <v>8</v>
      </c>
      <c r="K1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78">
        <v>0</v>
      </c>
      <c r="M13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78">
        <v>15618.42</v>
      </c>
      <c r="O1378" s="23" t="s">
        <v>216</v>
      </c>
      <c r="P1378">
        <v>15618.42</v>
      </c>
      <c r="Q1378" s="23" t="s">
        <v>178</v>
      </c>
    </row>
    <row r="1379" spans="1:17" x14ac:dyDescent="0.25">
      <c r="A1379" s="23" t="s">
        <v>1146</v>
      </c>
      <c r="B1379" s="23" t="s">
        <v>1145</v>
      </c>
      <c r="C1379" s="23" t="s">
        <v>176</v>
      </c>
      <c r="D1379" s="23" t="s">
        <v>199</v>
      </c>
      <c r="E1379" s="23" t="s">
        <v>200</v>
      </c>
      <c r="F1379">
        <v>1</v>
      </c>
      <c r="G1379" s="23" t="s">
        <v>177</v>
      </c>
      <c r="H1379">
        <v>0</v>
      </c>
      <c r="I1379">
        <v>1</v>
      </c>
      <c r="J1379" s="10">
        <v>8</v>
      </c>
      <c r="K1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79">
        <v>0</v>
      </c>
      <c r="M13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79">
        <v>15618.42</v>
      </c>
      <c r="O1379" s="23" t="s">
        <v>216</v>
      </c>
      <c r="P1379">
        <v>15618.42</v>
      </c>
      <c r="Q1379" s="23" t="s">
        <v>178</v>
      </c>
    </row>
    <row r="1380" spans="1:17" x14ac:dyDescent="0.25">
      <c r="A1380" s="23" t="s">
        <v>1144</v>
      </c>
      <c r="B1380" s="23" t="s">
        <v>1145</v>
      </c>
      <c r="C1380" s="23" t="s">
        <v>176</v>
      </c>
      <c r="D1380" s="23" t="s">
        <v>199</v>
      </c>
      <c r="E1380" s="23" t="s">
        <v>200</v>
      </c>
      <c r="F1380">
        <v>1</v>
      </c>
      <c r="G1380" s="23" t="s">
        <v>177</v>
      </c>
      <c r="H1380">
        <v>0</v>
      </c>
      <c r="I1380">
        <v>1</v>
      </c>
      <c r="J1380" s="10">
        <v>8</v>
      </c>
      <c r="K1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80">
        <v>0</v>
      </c>
      <c r="M13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80">
        <v>15618.42</v>
      </c>
      <c r="O1380" s="23" t="s">
        <v>216</v>
      </c>
      <c r="P1380">
        <v>15618.42</v>
      </c>
      <c r="Q1380" s="23" t="s">
        <v>178</v>
      </c>
    </row>
    <row r="1381" spans="1:17" x14ac:dyDescent="0.25">
      <c r="A1381" s="23" t="s">
        <v>1149</v>
      </c>
      <c r="B1381" s="23" t="s">
        <v>1145</v>
      </c>
      <c r="C1381" s="23" t="s">
        <v>176</v>
      </c>
      <c r="D1381" s="23" t="s">
        <v>824</v>
      </c>
      <c r="E1381" s="23" t="s">
        <v>825</v>
      </c>
      <c r="F1381">
        <v>8</v>
      </c>
      <c r="G1381" s="23" t="s">
        <v>177</v>
      </c>
      <c r="H1381">
        <v>0</v>
      </c>
      <c r="I1381">
        <v>175</v>
      </c>
      <c r="J1381" s="10">
        <v>0</v>
      </c>
      <c r="K1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381">
        <v>0</v>
      </c>
      <c r="M13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1">
        <v>8.42</v>
      </c>
      <c r="O1381" s="23" t="s">
        <v>883</v>
      </c>
      <c r="P1381">
        <v>67.36</v>
      </c>
      <c r="Q1381" s="23" t="s">
        <v>179</v>
      </c>
    </row>
    <row r="1382" spans="1:17" x14ac:dyDescent="0.25">
      <c r="A1382" s="23" t="s">
        <v>1149</v>
      </c>
      <c r="B1382" s="23" t="s">
        <v>1145</v>
      </c>
      <c r="C1382" s="23" t="s">
        <v>176</v>
      </c>
      <c r="D1382" s="23" t="s">
        <v>313</v>
      </c>
      <c r="E1382" s="23" t="s">
        <v>314</v>
      </c>
      <c r="F1382">
        <v>4</v>
      </c>
      <c r="G1382" s="23" t="s">
        <v>180</v>
      </c>
      <c r="H1382">
        <v>0</v>
      </c>
      <c r="I1382">
        <v>125</v>
      </c>
      <c r="J1382" s="10">
        <v>16.500000000000028</v>
      </c>
      <c r="K1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382">
        <v>0</v>
      </c>
      <c r="M13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2">
        <v>80.84</v>
      </c>
      <c r="O1382" s="23" t="s">
        <v>315</v>
      </c>
      <c r="P1382">
        <v>323.36</v>
      </c>
      <c r="Q1382" s="23" t="s">
        <v>179</v>
      </c>
    </row>
    <row r="1383" spans="1:17" x14ac:dyDescent="0.25">
      <c r="A1383" s="23" t="s">
        <v>1149</v>
      </c>
      <c r="B1383" s="23" t="s">
        <v>1145</v>
      </c>
      <c r="C1383" s="23" t="s">
        <v>176</v>
      </c>
      <c r="D1383" s="23" t="s">
        <v>308</v>
      </c>
      <c r="E1383" s="23" t="s">
        <v>309</v>
      </c>
      <c r="F1383">
        <v>1</v>
      </c>
      <c r="G1383" s="23" t="s">
        <v>177</v>
      </c>
      <c r="H1383">
        <v>0</v>
      </c>
      <c r="I1383">
        <v>13</v>
      </c>
      <c r="J1383" s="10">
        <v>1</v>
      </c>
      <c r="K1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383">
        <v>0</v>
      </c>
      <c r="M13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383">
        <v>65.42</v>
      </c>
      <c r="O1383" s="23" t="s">
        <v>629</v>
      </c>
      <c r="P1383">
        <v>65.42</v>
      </c>
      <c r="Q1383" s="23" t="s">
        <v>179</v>
      </c>
    </row>
    <row r="1384" spans="1:17" x14ac:dyDescent="0.25">
      <c r="A1384" s="23" t="s">
        <v>1055</v>
      </c>
      <c r="B1384" s="23" t="s">
        <v>1056</v>
      </c>
      <c r="C1384" s="23" t="s">
        <v>176</v>
      </c>
      <c r="D1384" s="23" t="s">
        <v>199</v>
      </c>
      <c r="E1384" s="23" t="s">
        <v>200</v>
      </c>
      <c r="F1384">
        <v>1</v>
      </c>
      <c r="G1384" s="23" t="s">
        <v>177</v>
      </c>
      <c r="H1384">
        <v>1</v>
      </c>
      <c r="I1384">
        <v>1</v>
      </c>
      <c r="J1384" s="10">
        <v>8</v>
      </c>
      <c r="K1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84">
        <v>0</v>
      </c>
      <c r="M13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84">
        <v>15618.42</v>
      </c>
      <c r="O1384" s="23" t="s">
        <v>216</v>
      </c>
      <c r="P1384">
        <v>15618.42</v>
      </c>
      <c r="Q1384" s="23" t="s">
        <v>178</v>
      </c>
    </row>
    <row r="1385" spans="1:17" x14ac:dyDescent="0.25">
      <c r="A1385" s="23" t="s">
        <v>1099</v>
      </c>
      <c r="B1385" s="23" t="s">
        <v>1056</v>
      </c>
      <c r="C1385" s="23" t="s">
        <v>176</v>
      </c>
      <c r="D1385" s="23" t="s">
        <v>199</v>
      </c>
      <c r="E1385" s="23" t="s">
        <v>200</v>
      </c>
      <c r="F1385">
        <v>1</v>
      </c>
      <c r="G1385" s="23" t="s">
        <v>177</v>
      </c>
      <c r="H1385">
        <v>1</v>
      </c>
      <c r="I1385">
        <v>1</v>
      </c>
      <c r="J1385" s="10">
        <v>8</v>
      </c>
      <c r="K1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385">
        <v>0</v>
      </c>
      <c r="M13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156184.20000000001</v>
      </c>
      <c r="N1385">
        <v>15618.42</v>
      </c>
      <c r="O1385" s="23" t="s">
        <v>216</v>
      </c>
      <c r="P1385">
        <v>15618.42</v>
      </c>
      <c r="Q1385" s="23" t="s">
        <v>178</v>
      </c>
    </row>
    <row r="1386" spans="1:17" x14ac:dyDescent="0.25">
      <c r="A1386" s="23" t="s">
        <v>1150</v>
      </c>
      <c r="B1386" s="23" t="s">
        <v>1145</v>
      </c>
      <c r="C1386" s="23" t="s">
        <v>176</v>
      </c>
      <c r="D1386" s="23" t="s">
        <v>574</v>
      </c>
      <c r="E1386" s="23" t="s">
        <v>575</v>
      </c>
      <c r="F1386">
        <v>1</v>
      </c>
      <c r="G1386" s="23" t="s">
        <v>177</v>
      </c>
      <c r="H1386">
        <v>0</v>
      </c>
      <c r="I1386">
        <v>24</v>
      </c>
      <c r="J1386" s="10">
        <v>-5.6843418860808015E-14</v>
      </c>
      <c r="K1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386">
        <v>0</v>
      </c>
      <c r="M13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6">
        <v>120</v>
      </c>
      <c r="O1386" s="23" t="s">
        <v>242</v>
      </c>
      <c r="P1386">
        <v>120</v>
      </c>
      <c r="Q1386" s="23" t="s">
        <v>184</v>
      </c>
    </row>
    <row r="1387" spans="1:17" x14ac:dyDescent="0.25">
      <c r="A1387" s="23" t="s">
        <v>1149</v>
      </c>
      <c r="B1387" s="23" t="s">
        <v>1145</v>
      </c>
      <c r="C1387" s="23" t="s">
        <v>176</v>
      </c>
      <c r="D1387" s="23" t="s">
        <v>202</v>
      </c>
      <c r="E1387" s="23" t="s">
        <v>226</v>
      </c>
      <c r="F1387">
        <v>3</v>
      </c>
      <c r="G1387" s="23" t="s">
        <v>177</v>
      </c>
      <c r="H1387">
        <v>0</v>
      </c>
      <c r="I1387">
        <v>24</v>
      </c>
      <c r="J1387" s="10">
        <v>22</v>
      </c>
      <c r="K1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387">
        <v>50</v>
      </c>
      <c r="M13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7">
        <v>44</v>
      </c>
      <c r="O1387" s="23" t="s">
        <v>505</v>
      </c>
      <c r="P1387">
        <v>132</v>
      </c>
      <c r="Q1387" s="23" t="s">
        <v>222</v>
      </c>
    </row>
    <row r="1388" spans="1:17" x14ac:dyDescent="0.25">
      <c r="A1388" s="23" t="s">
        <v>1150</v>
      </c>
      <c r="B1388" s="23" t="s">
        <v>1145</v>
      </c>
      <c r="C1388" s="23" t="s">
        <v>176</v>
      </c>
      <c r="D1388" s="23" t="s">
        <v>2</v>
      </c>
      <c r="E1388" s="23" t="s">
        <v>424</v>
      </c>
      <c r="F1388">
        <v>2</v>
      </c>
      <c r="G1388" s="23" t="s">
        <v>177</v>
      </c>
      <c r="H1388">
        <v>0</v>
      </c>
      <c r="I1388">
        <v>22</v>
      </c>
      <c r="J1388" s="10">
        <v>18</v>
      </c>
      <c r="K1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388">
        <v>10</v>
      </c>
      <c r="M13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8">
        <v>400</v>
      </c>
      <c r="O1388" s="23" t="s">
        <v>218</v>
      </c>
      <c r="P1388">
        <v>800</v>
      </c>
      <c r="Q1388" s="23" t="s">
        <v>222</v>
      </c>
    </row>
    <row r="1389" spans="1:17" x14ac:dyDescent="0.25">
      <c r="A1389" s="23" t="s">
        <v>1149</v>
      </c>
      <c r="B1389" s="23" t="s">
        <v>1145</v>
      </c>
      <c r="C1389" s="23" t="s">
        <v>176</v>
      </c>
      <c r="D1389" s="23" t="s">
        <v>124</v>
      </c>
      <c r="E1389" s="23" t="s">
        <v>634</v>
      </c>
      <c r="F1389">
        <v>0.2</v>
      </c>
      <c r="G1389" s="23" t="s">
        <v>180</v>
      </c>
      <c r="H1389">
        <v>0</v>
      </c>
      <c r="I1389">
        <v>200</v>
      </c>
      <c r="J1389" s="10">
        <v>1.1368683772161603E-13</v>
      </c>
      <c r="K1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389">
        <v>0</v>
      </c>
      <c r="M13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89">
        <v>2.89</v>
      </c>
      <c r="O1389" s="23" t="s">
        <v>827</v>
      </c>
      <c r="P1389">
        <v>0.57800000000000007</v>
      </c>
      <c r="Q1389" s="23" t="s">
        <v>222</v>
      </c>
    </row>
    <row r="1390" spans="1:17" x14ac:dyDescent="0.25">
      <c r="A1390" s="23" t="s">
        <v>1149</v>
      </c>
      <c r="B1390" s="23" t="s">
        <v>1145</v>
      </c>
      <c r="C1390" s="23" t="s">
        <v>176</v>
      </c>
      <c r="D1390" s="23" t="s">
        <v>238</v>
      </c>
      <c r="E1390" s="23" t="s">
        <v>306</v>
      </c>
      <c r="F1390">
        <v>2</v>
      </c>
      <c r="G1390" s="23" t="s">
        <v>177</v>
      </c>
      <c r="H1390">
        <v>0</v>
      </c>
      <c r="I1390">
        <v>455</v>
      </c>
      <c r="J1390" s="10">
        <v>23</v>
      </c>
      <c r="K1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390">
        <v>0</v>
      </c>
      <c r="M13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0">
        <v>20</v>
      </c>
      <c r="O1390" s="23"/>
      <c r="P1390">
        <v>40</v>
      </c>
      <c r="Q1390" s="23" t="s">
        <v>222</v>
      </c>
    </row>
    <row r="1391" spans="1:17" x14ac:dyDescent="0.25">
      <c r="A1391" s="23" t="s">
        <v>1142</v>
      </c>
      <c r="B1391" s="23" t="s">
        <v>1054</v>
      </c>
      <c r="C1391" s="23" t="s">
        <v>176</v>
      </c>
      <c r="D1391" s="23" t="s">
        <v>2</v>
      </c>
      <c r="E1391" s="23" t="s">
        <v>424</v>
      </c>
      <c r="F1391">
        <v>2</v>
      </c>
      <c r="G1391" s="23" t="s">
        <v>177</v>
      </c>
      <c r="H1391">
        <v>0</v>
      </c>
      <c r="I1391">
        <v>22</v>
      </c>
      <c r="J1391" s="10">
        <v>18</v>
      </c>
      <c r="K1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391">
        <v>10</v>
      </c>
      <c r="M13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1">
        <v>400</v>
      </c>
      <c r="O1391" s="23" t="s">
        <v>218</v>
      </c>
      <c r="P1391">
        <v>800</v>
      </c>
      <c r="Q1391" s="23" t="s">
        <v>222</v>
      </c>
    </row>
    <row r="1392" spans="1:17" x14ac:dyDescent="0.25">
      <c r="A1392" s="23" t="s">
        <v>1144</v>
      </c>
      <c r="B1392" s="23" t="s">
        <v>1145</v>
      </c>
      <c r="C1392" s="23" t="s">
        <v>176</v>
      </c>
      <c r="D1392" s="23" t="s">
        <v>574</v>
      </c>
      <c r="E1392" s="23" t="s">
        <v>575</v>
      </c>
      <c r="F1392">
        <v>1</v>
      </c>
      <c r="G1392" s="23" t="s">
        <v>177</v>
      </c>
      <c r="H1392">
        <v>0</v>
      </c>
      <c r="I1392">
        <v>24</v>
      </c>
      <c r="J1392" s="10">
        <v>-5.6843418860808015E-14</v>
      </c>
      <c r="K1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392">
        <v>0</v>
      </c>
      <c r="M13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2">
        <v>120</v>
      </c>
      <c r="O1392" s="23" t="s">
        <v>242</v>
      </c>
      <c r="P1392">
        <v>120</v>
      </c>
      <c r="Q1392" s="23" t="s">
        <v>184</v>
      </c>
    </row>
    <row r="1393" spans="1:17" x14ac:dyDescent="0.25">
      <c r="A1393" s="23" t="s">
        <v>1146</v>
      </c>
      <c r="B1393" s="23" t="s">
        <v>1145</v>
      </c>
      <c r="C1393" s="23" t="s">
        <v>176</v>
      </c>
      <c r="D1393" s="23" t="s">
        <v>574</v>
      </c>
      <c r="E1393" s="23" t="s">
        <v>575</v>
      </c>
      <c r="F1393">
        <v>1</v>
      </c>
      <c r="G1393" s="23" t="s">
        <v>177</v>
      </c>
      <c r="H1393">
        <v>0</v>
      </c>
      <c r="I1393">
        <v>24</v>
      </c>
      <c r="J1393" s="10">
        <v>-5.6843418860808015E-14</v>
      </c>
      <c r="K1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393">
        <v>0</v>
      </c>
      <c r="M13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3">
        <v>120</v>
      </c>
      <c r="O1393" s="23" t="s">
        <v>242</v>
      </c>
      <c r="P1393">
        <v>120</v>
      </c>
      <c r="Q1393" s="23" t="s">
        <v>184</v>
      </c>
    </row>
    <row r="1394" spans="1:17" x14ac:dyDescent="0.25">
      <c r="A1394" s="23" t="s">
        <v>1144</v>
      </c>
      <c r="B1394" s="23" t="s">
        <v>1145</v>
      </c>
      <c r="C1394" s="23" t="s">
        <v>176</v>
      </c>
      <c r="D1394" s="23" t="s">
        <v>2</v>
      </c>
      <c r="E1394" s="23" t="s">
        <v>424</v>
      </c>
      <c r="F1394">
        <v>2</v>
      </c>
      <c r="G1394" s="23" t="s">
        <v>177</v>
      </c>
      <c r="H1394">
        <v>0</v>
      </c>
      <c r="I1394">
        <v>22</v>
      </c>
      <c r="J1394" s="10">
        <v>18</v>
      </c>
      <c r="K1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394">
        <v>10</v>
      </c>
      <c r="M13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4">
        <v>400</v>
      </c>
      <c r="O1394" s="23" t="s">
        <v>218</v>
      </c>
      <c r="P1394">
        <v>800</v>
      </c>
      <c r="Q1394" s="23" t="s">
        <v>222</v>
      </c>
    </row>
    <row r="1395" spans="1:17" x14ac:dyDescent="0.25">
      <c r="A1395" s="23" t="s">
        <v>1146</v>
      </c>
      <c r="B1395" s="23" t="s">
        <v>1145</v>
      </c>
      <c r="C1395" s="23" t="s">
        <v>176</v>
      </c>
      <c r="D1395" s="23" t="s">
        <v>2</v>
      </c>
      <c r="E1395" s="23" t="s">
        <v>424</v>
      </c>
      <c r="F1395">
        <v>2</v>
      </c>
      <c r="G1395" s="23" t="s">
        <v>177</v>
      </c>
      <c r="H1395">
        <v>0</v>
      </c>
      <c r="I1395">
        <v>22</v>
      </c>
      <c r="J1395" s="10">
        <v>18</v>
      </c>
      <c r="K1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395">
        <v>10</v>
      </c>
      <c r="M13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5">
        <v>400</v>
      </c>
      <c r="O1395" s="23" t="s">
        <v>218</v>
      </c>
      <c r="P1395">
        <v>800</v>
      </c>
      <c r="Q1395" s="23" t="s">
        <v>222</v>
      </c>
    </row>
    <row r="1396" spans="1:17" x14ac:dyDescent="0.25">
      <c r="A1396" s="23" t="s">
        <v>1144</v>
      </c>
      <c r="B1396" s="23" t="s">
        <v>1145</v>
      </c>
      <c r="C1396" s="23" t="s">
        <v>176</v>
      </c>
      <c r="D1396" s="23" t="s">
        <v>373</v>
      </c>
      <c r="E1396" s="23" t="s">
        <v>374</v>
      </c>
      <c r="F1396">
        <v>6</v>
      </c>
      <c r="G1396" s="23" t="s">
        <v>177</v>
      </c>
      <c r="H1396">
        <v>0</v>
      </c>
      <c r="I1396">
        <v>85</v>
      </c>
      <c r="J1396" s="10">
        <v>34</v>
      </c>
      <c r="K1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396">
        <v>40</v>
      </c>
      <c r="M13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6">
        <v>74</v>
      </c>
      <c r="O1396" s="23" t="s">
        <v>822</v>
      </c>
      <c r="P1396">
        <v>444</v>
      </c>
      <c r="Q1396" s="23" t="s">
        <v>179</v>
      </c>
    </row>
    <row r="1397" spans="1:17" x14ac:dyDescent="0.25">
      <c r="A1397" s="23" t="s">
        <v>1150</v>
      </c>
      <c r="B1397" s="23" t="s">
        <v>1145</v>
      </c>
      <c r="C1397" s="23" t="s">
        <v>176</v>
      </c>
      <c r="D1397" s="23" t="s">
        <v>124</v>
      </c>
      <c r="E1397" s="23" t="s">
        <v>634</v>
      </c>
      <c r="F1397">
        <v>0.2</v>
      </c>
      <c r="G1397" s="23" t="s">
        <v>180</v>
      </c>
      <c r="H1397">
        <v>0</v>
      </c>
      <c r="I1397">
        <v>200</v>
      </c>
      <c r="J1397" s="10">
        <v>1.1368683772161603E-13</v>
      </c>
      <c r="K1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397">
        <v>0</v>
      </c>
      <c r="M13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7">
        <v>2.89</v>
      </c>
      <c r="O1397" s="23" t="s">
        <v>827</v>
      </c>
      <c r="P1397">
        <v>0.57800000000000007</v>
      </c>
      <c r="Q1397" s="23" t="s">
        <v>222</v>
      </c>
    </row>
    <row r="1398" spans="1:17" x14ac:dyDescent="0.25">
      <c r="A1398" s="23" t="s">
        <v>1150</v>
      </c>
      <c r="B1398" s="23" t="s">
        <v>1145</v>
      </c>
      <c r="C1398" s="23" t="s">
        <v>176</v>
      </c>
      <c r="D1398" s="23" t="s">
        <v>238</v>
      </c>
      <c r="E1398" s="23" t="s">
        <v>306</v>
      </c>
      <c r="F1398">
        <v>2</v>
      </c>
      <c r="G1398" s="23" t="s">
        <v>177</v>
      </c>
      <c r="H1398">
        <v>0</v>
      </c>
      <c r="I1398">
        <v>455</v>
      </c>
      <c r="J1398" s="10">
        <v>23</v>
      </c>
      <c r="K1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398">
        <v>0</v>
      </c>
      <c r="M13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8">
        <v>20</v>
      </c>
      <c r="O1398" s="23"/>
      <c r="P1398">
        <v>40</v>
      </c>
      <c r="Q1398" s="23" t="s">
        <v>222</v>
      </c>
    </row>
    <row r="1399" spans="1:17" x14ac:dyDescent="0.25">
      <c r="A1399" s="23" t="s">
        <v>1146</v>
      </c>
      <c r="B1399" s="23" t="s">
        <v>1145</v>
      </c>
      <c r="C1399" s="23" t="s">
        <v>176</v>
      </c>
      <c r="D1399" s="23" t="s">
        <v>721</v>
      </c>
      <c r="E1399" s="23" t="s">
        <v>722</v>
      </c>
      <c r="F1399">
        <v>2</v>
      </c>
      <c r="G1399" s="23" t="s">
        <v>177</v>
      </c>
      <c r="H1399">
        <v>0</v>
      </c>
      <c r="I1399">
        <v>200</v>
      </c>
      <c r="J1399" s="10">
        <v>88</v>
      </c>
      <c r="K1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1399">
        <v>0</v>
      </c>
      <c r="M13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399">
        <v>10</v>
      </c>
      <c r="O1399" s="23" t="s">
        <v>227</v>
      </c>
      <c r="P1399">
        <v>20</v>
      </c>
      <c r="Q1399" s="23" t="s">
        <v>181</v>
      </c>
    </row>
    <row r="1400" spans="1:17" x14ac:dyDescent="0.25">
      <c r="A1400" s="23" t="s">
        <v>1144</v>
      </c>
      <c r="B1400" s="23" t="s">
        <v>1145</v>
      </c>
      <c r="C1400" s="23" t="s">
        <v>176</v>
      </c>
      <c r="D1400" s="23" t="s">
        <v>801</v>
      </c>
      <c r="E1400" s="23" t="s">
        <v>802</v>
      </c>
      <c r="F1400">
        <v>3</v>
      </c>
      <c r="G1400" s="23" t="s">
        <v>177</v>
      </c>
      <c r="H1400">
        <v>0</v>
      </c>
      <c r="I1400">
        <v>400</v>
      </c>
      <c r="J1400" s="10">
        <v>0</v>
      </c>
      <c r="K1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1400">
        <v>0</v>
      </c>
      <c r="M14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0">
        <v>10</v>
      </c>
      <c r="O1400" s="23" t="s">
        <v>227</v>
      </c>
      <c r="P1400">
        <v>30</v>
      </c>
      <c r="Q1400" s="23" t="s">
        <v>181</v>
      </c>
    </row>
    <row r="1401" spans="1:17" x14ac:dyDescent="0.25">
      <c r="A1401" s="23" t="s">
        <v>1197</v>
      </c>
      <c r="B1401" s="23" t="s">
        <v>1198</v>
      </c>
      <c r="C1401" s="23" t="s">
        <v>176</v>
      </c>
      <c r="D1401" s="23" t="s">
        <v>202</v>
      </c>
      <c r="E1401" s="23" t="s">
        <v>226</v>
      </c>
      <c r="F1401">
        <v>3</v>
      </c>
      <c r="G1401" s="23" t="s">
        <v>177</v>
      </c>
      <c r="H1401">
        <v>0</v>
      </c>
      <c r="I1401">
        <v>24</v>
      </c>
      <c r="J1401" s="10">
        <v>22</v>
      </c>
      <c r="K1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401">
        <v>50</v>
      </c>
      <c r="M14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1">
        <v>44</v>
      </c>
      <c r="O1401" s="23" t="s">
        <v>505</v>
      </c>
      <c r="P1401">
        <v>132</v>
      </c>
      <c r="Q1401" s="23" t="s">
        <v>222</v>
      </c>
    </row>
    <row r="1402" spans="1:17" x14ac:dyDescent="0.25">
      <c r="A1402" s="23" t="s">
        <v>1197</v>
      </c>
      <c r="B1402" s="23" t="s">
        <v>1198</v>
      </c>
      <c r="C1402" s="23" t="s">
        <v>176</v>
      </c>
      <c r="D1402" s="23" t="s">
        <v>124</v>
      </c>
      <c r="E1402" s="23" t="s">
        <v>634</v>
      </c>
      <c r="F1402">
        <v>0.2</v>
      </c>
      <c r="G1402" s="23" t="s">
        <v>180</v>
      </c>
      <c r="H1402">
        <v>0</v>
      </c>
      <c r="I1402">
        <v>200</v>
      </c>
      <c r="J1402" s="10">
        <v>1.1368683772161603E-13</v>
      </c>
      <c r="K1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402">
        <v>0</v>
      </c>
      <c r="M14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2">
        <v>2.89</v>
      </c>
      <c r="O1402" s="23" t="s">
        <v>827</v>
      </c>
      <c r="P1402">
        <v>0.57800000000000007</v>
      </c>
      <c r="Q1402" s="23" t="s">
        <v>222</v>
      </c>
    </row>
    <row r="1403" spans="1:17" x14ac:dyDescent="0.25">
      <c r="A1403" s="23" t="s">
        <v>1197</v>
      </c>
      <c r="B1403" s="23" t="s">
        <v>1198</v>
      </c>
      <c r="C1403" s="23" t="s">
        <v>176</v>
      </c>
      <c r="D1403" s="23" t="s">
        <v>238</v>
      </c>
      <c r="E1403" s="23" t="s">
        <v>306</v>
      </c>
      <c r="F1403">
        <v>2</v>
      </c>
      <c r="G1403" s="23" t="s">
        <v>177</v>
      </c>
      <c r="H1403">
        <v>0</v>
      </c>
      <c r="I1403">
        <v>455</v>
      </c>
      <c r="J1403" s="10">
        <v>23</v>
      </c>
      <c r="K1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403">
        <v>0</v>
      </c>
      <c r="M14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3">
        <v>20</v>
      </c>
      <c r="O1403" s="23"/>
      <c r="P1403">
        <v>40</v>
      </c>
      <c r="Q1403" s="23" t="s">
        <v>222</v>
      </c>
    </row>
    <row r="1404" spans="1:17" x14ac:dyDescent="0.25">
      <c r="A1404" s="23" t="s">
        <v>1143</v>
      </c>
      <c r="B1404" s="23" t="s">
        <v>1054</v>
      </c>
      <c r="C1404" s="23" t="s">
        <v>176</v>
      </c>
      <c r="D1404" s="23" t="s">
        <v>232</v>
      </c>
      <c r="E1404" s="23" t="s">
        <v>233</v>
      </c>
      <c r="F1404">
        <v>2</v>
      </c>
      <c r="G1404" s="23" t="s">
        <v>177</v>
      </c>
      <c r="H1404">
        <v>0</v>
      </c>
      <c r="I1404">
        <v>239</v>
      </c>
      <c r="J1404" s="10">
        <v>90</v>
      </c>
      <c r="K1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1404">
        <v>0</v>
      </c>
      <c r="M14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4">
        <v>4</v>
      </c>
      <c r="O1404" s="23" t="s">
        <v>221</v>
      </c>
      <c r="P1404">
        <v>8</v>
      </c>
      <c r="Q1404" s="23" t="s">
        <v>222</v>
      </c>
    </row>
    <row r="1405" spans="1:17" x14ac:dyDescent="0.25">
      <c r="A1405" s="23" t="s">
        <v>1143</v>
      </c>
      <c r="B1405" s="23" t="s">
        <v>1054</v>
      </c>
      <c r="C1405" s="23" t="s">
        <v>176</v>
      </c>
      <c r="D1405" s="23" t="s">
        <v>15</v>
      </c>
      <c r="E1405" s="23" t="s">
        <v>16</v>
      </c>
      <c r="F1405">
        <v>1</v>
      </c>
      <c r="G1405" s="23" t="s">
        <v>177</v>
      </c>
      <c r="H1405">
        <v>0</v>
      </c>
      <c r="I1405">
        <v>7</v>
      </c>
      <c r="J1405" s="10">
        <v>10</v>
      </c>
      <c r="K1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05">
        <v>0</v>
      </c>
      <c r="M14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1405">
        <v>3383.99</v>
      </c>
      <c r="O1405" s="23" t="s">
        <v>216</v>
      </c>
      <c r="P1405">
        <v>3383.99</v>
      </c>
      <c r="Q1405" s="23" t="s">
        <v>222</v>
      </c>
    </row>
    <row r="1406" spans="1:17" x14ac:dyDescent="0.25">
      <c r="A1406" s="23" t="s">
        <v>1057</v>
      </c>
      <c r="B1406" s="23" t="s">
        <v>1056</v>
      </c>
      <c r="C1406" s="23" t="s">
        <v>176</v>
      </c>
      <c r="D1406" s="23" t="s">
        <v>537</v>
      </c>
      <c r="E1406" s="23" t="s">
        <v>538</v>
      </c>
      <c r="F1406">
        <v>40</v>
      </c>
      <c r="G1406" s="23" t="s">
        <v>177</v>
      </c>
      <c r="H1406">
        <v>0</v>
      </c>
      <c r="I1406">
        <v>2200</v>
      </c>
      <c r="J1406" s="10">
        <v>0</v>
      </c>
      <c r="K1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406">
        <v>0</v>
      </c>
      <c r="M14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6">
        <v>0.7</v>
      </c>
      <c r="O1406" s="23" t="s">
        <v>242</v>
      </c>
      <c r="P1406">
        <v>28</v>
      </c>
      <c r="Q1406" s="23" t="s">
        <v>181</v>
      </c>
    </row>
    <row r="1407" spans="1:17" x14ac:dyDescent="0.25">
      <c r="A1407" s="23" t="s">
        <v>1097</v>
      </c>
      <c r="B1407" s="23" t="s">
        <v>1095</v>
      </c>
      <c r="C1407" s="23" t="s">
        <v>176</v>
      </c>
      <c r="D1407" s="23" t="s">
        <v>71</v>
      </c>
      <c r="E1407" s="23" t="s">
        <v>289</v>
      </c>
      <c r="F1407">
        <v>5.49</v>
      </c>
      <c r="G1407" s="23" t="s">
        <v>186</v>
      </c>
      <c r="H1407">
        <v>0</v>
      </c>
      <c r="I1407">
        <v>120</v>
      </c>
      <c r="J1407" s="10">
        <v>113.68999999999956</v>
      </c>
      <c r="K1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407">
        <v>120</v>
      </c>
      <c r="M14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07">
        <v>101.44</v>
      </c>
      <c r="O1407" s="23" t="s">
        <v>491</v>
      </c>
      <c r="P1407">
        <v>556.90560000000005</v>
      </c>
      <c r="Q1407" s="23" t="s">
        <v>184</v>
      </c>
    </row>
    <row r="1408" spans="1:17" x14ac:dyDescent="0.25">
      <c r="A1408" s="23" t="s">
        <v>1197</v>
      </c>
      <c r="B1408" s="23" t="s">
        <v>1198</v>
      </c>
      <c r="C1408" s="23" t="s">
        <v>176</v>
      </c>
      <c r="D1408" s="23" t="s">
        <v>72</v>
      </c>
      <c r="E1408" s="23" t="s">
        <v>251</v>
      </c>
      <c r="F1408">
        <v>7.2999999999999989</v>
      </c>
      <c r="G1408" s="23" t="s">
        <v>177</v>
      </c>
      <c r="H1408">
        <v>0</v>
      </c>
      <c r="I1408">
        <v>96</v>
      </c>
      <c r="J1408" s="10">
        <v>195.44000000000005</v>
      </c>
      <c r="K1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408">
        <v>0</v>
      </c>
      <c r="M14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408">
        <v>128.93</v>
      </c>
      <c r="O1408" s="23" t="s">
        <v>252</v>
      </c>
      <c r="P1408">
        <v>941.18899999999996</v>
      </c>
      <c r="Q1408" s="23" t="s">
        <v>181</v>
      </c>
    </row>
    <row r="1409" spans="1:17" x14ac:dyDescent="0.25">
      <c r="A1409" s="23" t="s">
        <v>1098</v>
      </c>
      <c r="B1409" s="23" t="s">
        <v>1053</v>
      </c>
      <c r="C1409" s="23" t="s">
        <v>176</v>
      </c>
      <c r="D1409" s="23" t="s">
        <v>72</v>
      </c>
      <c r="E1409" s="23" t="s">
        <v>251</v>
      </c>
      <c r="F1409">
        <v>9.0500000000000007</v>
      </c>
      <c r="G1409" s="23" t="s">
        <v>177</v>
      </c>
      <c r="H1409">
        <v>0</v>
      </c>
      <c r="I1409">
        <v>96</v>
      </c>
      <c r="J1409" s="10">
        <v>195.44000000000005</v>
      </c>
      <c r="K1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409">
        <v>0</v>
      </c>
      <c r="M14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409">
        <v>128.93</v>
      </c>
      <c r="O1409" s="23" t="s">
        <v>252</v>
      </c>
      <c r="P1409">
        <v>1166.8165000000001</v>
      </c>
      <c r="Q1409" s="23" t="s">
        <v>181</v>
      </c>
    </row>
    <row r="1410" spans="1:17" x14ac:dyDescent="0.25">
      <c r="A1410" s="23" t="s">
        <v>1094</v>
      </c>
      <c r="B1410" s="23" t="s">
        <v>1095</v>
      </c>
      <c r="C1410" s="23" t="s">
        <v>176</v>
      </c>
      <c r="D1410" s="23" t="s">
        <v>28</v>
      </c>
      <c r="E1410" s="23" t="s">
        <v>29</v>
      </c>
      <c r="F1410">
        <v>83</v>
      </c>
      <c r="G1410" s="23" t="s">
        <v>177</v>
      </c>
      <c r="H1410">
        <v>0</v>
      </c>
      <c r="I1410">
        <v>3000</v>
      </c>
      <c r="J1410" s="10">
        <v>1048</v>
      </c>
      <c r="K1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1410">
        <v>0</v>
      </c>
      <c r="M14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0">
        <v>2.92</v>
      </c>
      <c r="O1410" s="23" t="s">
        <v>629</v>
      </c>
      <c r="P1410">
        <v>242.35999999999999</v>
      </c>
      <c r="Q1410" s="23" t="s">
        <v>181</v>
      </c>
    </row>
    <row r="1411" spans="1:17" x14ac:dyDescent="0.25">
      <c r="A1411" s="23" t="s">
        <v>1197</v>
      </c>
      <c r="B1411" s="23" t="s">
        <v>1198</v>
      </c>
      <c r="C1411" s="23" t="s">
        <v>176</v>
      </c>
      <c r="D1411" s="23" t="s">
        <v>71</v>
      </c>
      <c r="E1411" s="23" t="s">
        <v>289</v>
      </c>
      <c r="F1411">
        <v>6.8</v>
      </c>
      <c r="G1411" s="23" t="s">
        <v>186</v>
      </c>
      <c r="H1411">
        <v>0</v>
      </c>
      <c r="I1411">
        <v>120</v>
      </c>
      <c r="J1411" s="10">
        <v>113.68999999999956</v>
      </c>
      <c r="K1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411">
        <v>120</v>
      </c>
      <c r="M14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1">
        <v>101.44</v>
      </c>
      <c r="O1411" s="23" t="s">
        <v>491</v>
      </c>
      <c r="P1411">
        <v>689.79199999999992</v>
      </c>
      <c r="Q1411" s="23" t="s">
        <v>184</v>
      </c>
    </row>
    <row r="1412" spans="1:17" x14ac:dyDescent="0.25">
      <c r="A1412" s="23" t="s">
        <v>1197</v>
      </c>
      <c r="B1412" s="23" t="s">
        <v>1198</v>
      </c>
      <c r="C1412" s="23" t="s">
        <v>176</v>
      </c>
      <c r="D1412" s="23" t="s">
        <v>390</v>
      </c>
      <c r="E1412" s="23" t="s">
        <v>391</v>
      </c>
      <c r="F1412">
        <v>4</v>
      </c>
      <c r="G1412" s="23" t="s">
        <v>177</v>
      </c>
      <c r="H1412">
        <v>0</v>
      </c>
      <c r="I1412">
        <v>100</v>
      </c>
      <c r="J1412" s="10">
        <v>352</v>
      </c>
      <c r="K1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412">
        <v>0</v>
      </c>
      <c r="M14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2">
        <v>6.4</v>
      </c>
      <c r="O1412" s="23" t="s">
        <v>883</v>
      </c>
      <c r="P1412">
        <v>25.6</v>
      </c>
      <c r="Q1412" s="23" t="s">
        <v>179</v>
      </c>
    </row>
    <row r="1413" spans="1:17" x14ac:dyDescent="0.25">
      <c r="A1413" s="23" t="s">
        <v>1148</v>
      </c>
      <c r="B1413" s="23" t="s">
        <v>1054</v>
      </c>
      <c r="C1413" s="23" t="s">
        <v>176</v>
      </c>
      <c r="D1413" s="23" t="s">
        <v>676</v>
      </c>
      <c r="E1413" s="23" t="s">
        <v>677</v>
      </c>
      <c r="F1413">
        <v>2</v>
      </c>
      <c r="G1413" s="23" t="s">
        <v>180</v>
      </c>
      <c r="H1413">
        <v>0</v>
      </c>
      <c r="I1413">
        <v>20</v>
      </c>
      <c r="J1413" s="10">
        <v>16</v>
      </c>
      <c r="K1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13">
        <v>0</v>
      </c>
      <c r="M14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3">
        <v>97.17</v>
      </c>
      <c r="O1413" s="23" t="s">
        <v>256</v>
      </c>
      <c r="P1413">
        <v>194.34</v>
      </c>
      <c r="Q1413" s="23" t="s">
        <v>181</v>
      </c>
    </row>
    <row r="1414" spans="1:17" x14ac:dyDescent="0.25">
      <c r="A1414" s="23" t="s">
        <v>1055</v>
      </c>
      <c r="B1414" s="23" t="s">
        <v>1056</v>
      </c>
      <c r="C1414" s="23" t="s">
        <v>176</v>
      </c>
      <c r="D1414" s="23" t="s">
        <v>610</v>
      </c>
      <c r="E1414" s="23" t="s">
        <v>611</v>
      </c>
      <c r="F1414">
        <v>0.8</v>
      </c>
      <c r="G1414" s="23" t="s">
        <v>177</v>
      </c>
      <c r="H1414">
        <v>0</v>
      </c>
      <c r="I1414">
        <v>0</v>
      </c>
      <c r="J1414" s="10">
        <v>-7.1054273576010019E-15</v>
      </c>
      <c r="K1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414">
        <v>11</v>
      </c>
      <c r="M14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414">
        <v>1833.33</v>
      </c>
      <c r="O1414" s="23" t="s">
        <v>224</v>
      </c>
      <c r="P1414">
        <v>1466.664</v>
      </c>
      <c r="Q1414" s="23" t="s">
        <v>182</v>
      </c>
    </row>
    <row r="1415" spans="1:17" x14ac:dyDescent="0.25">
      <c r="A1415" s="23" t="s">
        <v>1062</v>
      </c>
      <c r="B1415" s="23" t="s">
        <v>1053</v>
      </c>
      <c r="C1415" s="23" t="s">
        <v>176</v>
      </c>
      <c r="D1415" s="23" t="s">
        <v>676</v>
      </c>
      <c r="E1415" s="23" t="s">
        <v>677</v>
      </c>
      <c r="F1415">
        <v>2</v>
      </c>
      <c r="G1415" s="23" t="s">
        <v>180</v>
      </c>
      <c r="H1415">
        <v>0</v>
      </c>
      <c r="I1415">
        <v>20</v>
      </c>
      <c r="J1415" s="10">
        <v>16</v>
      </c>
      <c r="K1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15">
        <v>0</v>
      </c>
      <c r="M14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5">
        <v>97.17</v>
      </c>
      <c r="O1415" s="23" t="s">
        <v>256</v>
      </c>
      <c r="P1415">
        <v>194.34</v>
      </c>
      <c r="Q1415" s="23" t="s">
        <v>181</v>
      </c>
    </row>
    <row r="1416" spans="1:17" x14ac:dyDescent="0.25">
      <c r="A1416" s="23" t="s">
        <v>1098</v>
      </c>
      <c r="B1416" s="23" t="s">
        <v>1053</v>
      </c>
      <c r="C1416" s="23" t="s">
        <v>176</v>
      </c>
      <c r="D1416" s="23" t="s">
        <v>676</v>
      </c>
      <c r="E1416" s="23" t="s">
        <v>677</v>
      </c>
      <c r="F1416">
        <v>3</v>
      </c>
      <c r="G1416" s="23" t="s">
        <v>180</v>
      </c>
      <c r="H1416">
        <v>0</v>
      </c>
      <c r="I1416">
        <v>20</v>
      </c>
      <c r="J1416" s="10">
        <v>16</v>
      </c>
      <c r="K1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16">
        <v>0</v>
      </c>
      <c r="M14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6">
        <v>97.17</v>
      </c>
      <c r="O1416" s="23" t="s">
        <v>256</v>
      </c>
      <c r="P1416">
        <v>291.51</v>
      </c>
      <c r="Q1416" s="23" t="s">
        <v>181</v>
      </c>
    </row>
    <row r="1417" spans="1:17" x14ac:dyDescent="0.25">
      <c r="A1417" s="23" t="s">
        <v>1100</v>
      </c>
      <c r="B1417" s="23" t="s">
        <v>1101</v>
      </c>
      <c r="C1417" s="23" t="s">
        <v>176</v>
      </c>
      <c r="D1417" s="23" t="s">
        <v>936</v>
      </c>
      <c r="E1417" s="23" t="s">
        <v>937</v>
      </c>
      <c r="F1417">
        <v>5</v>
      </c>
      <c r="G1417" s="23" t="s">
        <v>180</v>
      </c>
      <c r="H1417">
        <v>0</v>
      </c>
      <c r="I1417">
        <v>0</v>
      </c>
      <c r="J1417" s="10">
        <v>90</v>
      </c>
      <c r="K1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417">
        <v>0</v>
      </c>
      <c r="M14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80</v>
      </c>
      <c r="N1417">
        <v>8</v>
      </c>
      <c r="O1417" s="23" t="s">
        <v>315</v>
      </c>
      <c r="P1417">
        <v>40</v>
      </c>
      <c r="Q1417" s="23" t="s">
        <v>181</v>
      </c>
    </row>
    <row r="1418" spans="1:17" x14ac:dyDescent="0.25">
      <c r="A1418" s="23" t="s">
        <v>1146</v>
      </c>
      <c r="B1418" s="23" t="s">
        <v>1145</v>
      </c>
      <c r="C1418" s="23" t="s">
        <v>176</v>
      </c>
      <c r="D1418" s="23" t="s">
        <v>71</v>
      </c>
      <c r="E1418" s="23" t="s">
        <v>289</v>
      </c>
      <c r="F1418">
        <v>6.5</v>
      </c>
      <c r="G1418" s="23" t="s">
        <v>186</v>
      </c>
      <c r="H1418">
        <v>6.5</v>
      </c>
      <c r="I1418">
        <v>120</v>
      </c>
      <c r="J1418" s="10">
        <v>113.68999999999956</v>
      </c>
      <c r="K1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418">
        <v>120</v>
      </c>
      <c r="M14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8">
        <v>101.44</v>
      </c>
      <c r="O1418" s="23" t="s">
        <v>491</v>
      </c>
      <c r="P1418">
        <v>659.36</v>
      </c>
      <c r="Q1418" s="23" t="s">
        <v>184</v>
      </c>
    </row>
    <row r="1419" spans="1:17" x14ac:dyDescent="0.25">
      <c r="A1419" s="23" t="s">
        <v>1144</v>
      </c>
      <c r="B1419" s="23" t="s">
        <v>1145</v>
      </c>
      <c r="C1419" s="23" t="s">
        <v>176</v>
      </c>
      <c r="D1419" s="23" t="s">
        <v>71</v>
      </c>
      <c r="E1419" s="23" t="s">
        <v>289</v>
      </c>
      <c r="F1419">
        <v>6.8</v>
      </c>
      <c r="G1419" s="23" t="s">
        <v>186</v>
      </c>
      <c r="H1419">
        <v>0</v>
      </c>
      <c r="I1419">
        <v>120</v>
      </c>
      <c r="J1419" s="10">
        <v>113.68999999999956</v>
      </c>
      <c r="K1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419">
        <v>120</v>
      </c>
      <c r="M14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19">
        <v>101.44</v>
      </c>
      <c r="O1419" s="23" t="s">
        <v>491</v>
      </c>
      <c r="P1419">
        <v>689.79199999999992</v>
      </c>
      <c r="Q1419" s="23" t="s">
        <v>184</v>
      </c>
    </row>
    <row r="1420" spans="1:17" x14ac:dyDescent="0.25">
      <c r="A1420" s="23" t="s">
        <v>1146</v>
      </c>
      <c r="B1420" s="23" t="s">
        <v>1145</v>
      </c>
      <c r="C1420" s="23" t="s">
        <v>176</v>
      </c>
      <c r="D1420" s="23" t="s">
        <v>72</v>
      </c>
      <c r="E1420" s="23" t="s">
        <v>251</v>
      </c>
      <c r="F1420">
        <v>7.7999999999999989</v>
      </c>
      <c r="G1420" s="23" t="s">
        <v>177</v>
      </c>
      <c r="H1420">
        <v>0</v>
      </c>
      <c r="I1420">
        <v>96</v>
      </c>
      <c r="J1420" s="10">
        <v>195.44000000000005</v>
      </c>
      <c r="K1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420">
        <v>0</v>
      </c>
      <c r="M14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420">
        <v>128.93</v>
      </c>
      <c r="O1420" s="23" t="s">
        <v>252</v>
      </c>
      <c r="P1420">
        <v>1005.6539999999999</v>
      </c>
      <c r="Q1420" s="23" t="s">
        <v>181</v>
      </c>
    </row>
    <row r="1421" spans="1:17" x14ac:dyDescent="0.25">
      <c r="A1421" s="23" t="s">
        <v>1144</v>
      </c>
      <c r="B1421" s="23" t="s">
        <v>1145</v>
      </c>
      <c r="C1421" s="23" t="s">
        <v>176</v>
      </c>
      <c r="D1421" s="23" t="s">
        <v>72</v>
      </c>
      <c r="E1421" s="23" t="s">
        <v>251</v>
      </c>
      <c r="F1421">
        <v>8.1</v>
      </c>
      <c r="G1421" s="23" t="s">
        <v>177</v>
      </c>
      <c r="H1421">
        <v>0</v>
      </c>
      <c r="I1421">
        <v>96</v>
      </c>
      <c r="J1421" s="10">
        <v>195.44000000000005</v>
      </c>
      <c r="K1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421">
        <v>0</v>
      </c>
      <c r="M14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421">
        <v>128.93</v>
      </c>
      <c r="O1421" s="23" t="s">
        <v>252</v>
      </c>
      <c r="P1421">
        <v>1044.3330000000001</v>
      </c>
      <c r="Q1421" s="23" t="s">
        <v>181</v>
      </c>
    </row>
    <row r="1422" spans="1:17" x14ac:dyDescent="0.25">
      <c r="A1422" s="23" t="s">
        <v>1144</v>
      </c>
      <c r="B1422" s="23" t="s">
        <v>1145</v>
      </c>
      <c r="C1422" s="23" t="s">
        <v>176</v>
      </c>
      <c r="D1422" s="23" t="s">
        <v>390</v>
      </c>
      <c r="E1422" s="23" t="s">
        <v>391</v>
      </c>
      <c r="F1422">
        <v>8</v>
      </c>
      <c r="G1422" s="23" t="s">
        <v>177</v>
      </c>
      <c r="H1422">
        <v>0</v>
      </c>
      <c r="I1422">
        <v>100</v>
      </c>
      <c r="J1422" s="10">
        <v>352</v>
      </c>
      <c r="K1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422">
        <v>0</v>
      </c>
      <c r="M14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2">
        <v>6.4</v>
      </c>
      <c r="O1422" s="23" t="s">
        <v>883</v>
      </c>
      <c r="P1422">
        <v>51.2</v>
      </c>
      <c r="Q1422" s="23" t="s">
        <v>179</v>
      </c>
    </row>
    <row r="1423" spans="1:17" x14ac:dyDescent="0.25">
      <c r="A1423" s="23" t="s">
        <v>1148</v>
      </c>
      <c r="B1423" s="23" t="s">
        <v>1054</v>
      </c>
      <c r="C1423" s="23" t="s">
        <v>176</v>
      </c>
      <c r="D1423" s="23" t="s">
        <v>610</v>
      </c>
      <c r="E1423" s="23" t="s">
        <v>611</v>
      </c>
      <c r="F1423">
        <v>0.5</v>
      </c>
      <c r="G1423" s="23" t="s">
        <v>177</v>
      </c>
      <c r="H1423">
        <v>0</v>
      </c>
      <c r="I1423">
        <v>0</v>
      </c>
      <c r="J1423" s="10">
        <v>-7.1054273576010019E-15</v>
      </c>
      <c r="K1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423">
        <v>11</v>
      </c>
      <c r="M14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423">
        <v>1833.33</v>
      </c>
      <c r="O1423" s="23" t="s">
        <v>224</v>
      </c>
      <c r="P1423">
        <v>916.66499999999996</v>
      </c>
      <c r="Q1423" s="23" t="s">
        <v>182</v>
      </c>
    </row>
    <row r="1424" spans="1:17" x14ac:dyDescent="0.25">
      <c r="A1424" s="23" t="s">
        <v>1100</v>
      </c>
      <c r="B1424" s="23" t="s">
        <v>1101</v>
      </c>
      <c r="C1424" s="23" t="s">
        <v>176</v>
      </c>
      <c r="D1424" s="23" t="s">
        <v>461</v>
      </c>
      <c r="E1424" s="23" t="s">
        <v>462</v>
      </c>
      <c r="F1424">
        <v>1.5</v>
      </c>
      <c r="G1424" s="23" t="s">
        <v>177</v>
      </c>
      <c r="H1424">
        <v>0</v>
      </c>
      <c r="I1424">
        <v>72</v>
      </c>
      <c r="J1424" s="10">
        <v>2</v>
      </c>
      <c r="K1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424">
        <v>0</v>
      </c>
      <c r="M14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4">
        <v>5</v>
      </c>
      <c r="O1424" s="23" t="s">
        <v>242</v>
      </c>
      <c r="P1424">
        <v>7.5</v>
      </c>
      <c r="Q1424" s="23" t="s">
        <v>181</v>
      </c>
    </row>
    <row r="1425" spans="1:17" x14ac:dyDescent="0.25">
      <c r="A1425" s="23" t="s">
        <v>1149</v>
      </c>
      <c r="B1425" s="23" t="s">
        <v>1145</v>
      </c>
      <c r="C1425" s="23" t="s">
        <v>176</v>
      </c>
      <c r="D1425" s="23" t="s">
        <v>72</v>
      </c>
      <c r="E1425" s="23" t="s">
        <v>251</v>
      </c>
      <c r="F1425">
        <v>8.6</v>
      </c>
      <c r="G1425" s="23" t="s">
        <v>177</v>
      </c>
      <c r="H1425">
        <v>0</v>
      </c>
      <c r="I1425">
        <v>96</v>
      </c>
      <c r="J1425" s="10">
        <v>195.44000000000005</v>
      </c>
      <c r="K1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425">
        <v>0</v>
      </c>
      <c r="M14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425">
        <v>128.93</v>
      </c>
      <c r="O1425" s="23" t="s">
        <v>252</v>
      </c>
      <c r="P1425">
        <v>1108.798</v>
      </c>
      <c r="Q1425" s="23" t="s">
        <v>181</v>
      </c>
    </row>
    <row r="1426" spans="1:17" x14ac:dyDescent="0.25">
      <c r="A1426" s="23" t="s">
        <v>1144</v>
      </c>
      <c r="B1426" s="23" t="s">
        <v>1145</v>
      </c>
      <c r="C1426" s="23" t="s">
        <v>176</v>
      </c>
      <c r="D1426" s="23" t="s">
        <v>1028</v>
      </c>
      <c r="E1426" s="23" t="s">
        <v>1029</v>
      </c>
      <c r="F1426">
        <v>1</v>
      </c>
      <c r="G1426" s="23" t="s">
        <v>183</v>
      </c>
      <c r="H1426">
        <v>0</v>
      </c>
      <c r="I1426">
        <v>40</v>
      </c>
      <c r="J1426" s="10">
        <v>20</v>
      </c>
      <c r="K1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426">
        <v>0</v>
      </c>
      <c r="M14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6">
        <v>54.17</v>
      </c>
      <c r="O1426" s="23" t="s">
        <v>454</v>
      </c>
      <c r="P1426">
        <v>54.17</v>
      </c>
      <c r="Q1426" s="23" t="s">
        <v>184</v>
      </c>
    </row>
    <row r="1427" spans="1:17" x14ac:dyDescent="0.25">
      <c r="A1427" s="23" t="s">
        <v>1150</v>
      </c>
      <c r="B1427" s="23" t="s">
        <v>1145</v>
      </c>
      <c r="C1427" s="23" t="s">
        <v>176</v>
      </c>
      <c r="D1427" s="23" t="s">
        <v>390</v>
      </c>
      <c r="E1427" s="23" t="s">
        <v>391</v>
      </c>
      <c r="F1427">
        <v>8</v>
      </c>
      <c r="G1427" s="23" t="s">
        <v>177</v>
      </c>
      <c r="H1427">
        <v>0</v>
      </c>
      <c r="I1427">
        <v>100</v>
      </c>
      <c r="J1427" s="10">
        <v>352</v>
      </c>
      <c r="K1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427">
        <v>0</v>
      </c>
      <c r="M14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7">
        <v>6.4</v>
      </c>
      <c r="O1427" s="23" t="s">
        <v>883</v>
      </c>
      <c r="P1427">
        <v>51.2</v>
      </c>
      <c r="Q1427" s="23" t="s">
        <v>179</v>
      </c>
    </row>
    <row r="1428" spans="1:17" x14ac:dyDescent="0.25">
      <c r="A1428" s="23" t="s">
        <v>1097</v>
      </c>
      <c r="B1428" s="23" t="s">
        <v>1095</v>
      </c>
      <c r="C1428" s="23" t="s">
        <v>176</v>
      </c>
      <c r="D1428" s="23" t="s">
        <v>1028</v>
      </c>
      <c r="E1428" s="23" t="s">
        <v>1029</v>
      </c>
      <c r="F1428">
        <v>0.125</v>
      </c>
      <c r="G1428" s="23" t="s">
        <v>183</v>
      </c>
      <c r="H1428">
        <v>0</v>
      </c>
      <c r="I1428">
        <v>40</v>
      </c>
      <c r="J1428" s="10">
        <v>20</v>
      </c>
      <c r="K1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428">
        <v>0</v>
      </c>
      <c r="M14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8">
        <v>54.17</v>
      </c>
      <c r="O1428" s="23" t="s">
        <v>454</v>
      </c>
      <c r="P1428">
        <v>6.7712500000000002</v>
      </c>
      <c r="Q1428" s="23" t="s">
        <v>184</v>
      </c>
    </row>
    <row r="1429" spans="1:17" x14ac:dyDescent="0.25">
      <c r="A1429" s="23" t="s">
        <v>1097</v>
      </c>
      <c r="B1429" s="23" t="s">
        <v>1095</v>
      </c>
      <c r="C1429" s="23" t="s">
        <v>176</v>
      </c>
      <c r="D1429" s="23" t="s">
        <v>676</v>
      </c>
      <c r="E1429" s="23" t="s">
        <v>677</v>
      </c>
      <c r="F1429">
        <v>2</v>
      </c>
      <c r="G1429" s="23" t="s">
        <v>180</v>
      </c>
      <c r="H1429">
        <v>0</v>
      </c>
      <c r="I1429">
        <v>20</v>
      </c>
      <c r="J1429" s="10">
        <v>16</v>
      </c>
      <c r="K1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29">
        <v>0</v>
      </c>
      <c r="M14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29">
        <v>97.17</v>
      </c>
      <c r="O1429" s="23" t="s">
        <v>256</v>
      </c>
      <c r="P1429">
        <v>194.34</v>
      </c>
      <c r="Q1429" s="23" t="s">
        <v>181</v>
      </c>
    </row>
    <row r="1430" spans="1:17" x14ac:dyDescent="0.25">
      <c r="A1430" s="23" t="s">
        <v>1058</v>
      </c>
      <c r="B1430" s="23" t="s">
        <v>1059</v>
      </c>
      <c r="C1430" s="23" t="s">
        <v>176</v>
      </c>
      <c r="D1430" s="23" t="s">
        <v>610</v>
      </c>
      <c r="E1430" s="23" t="s">
        <v>611</v>
      </c>
      <c r="F1430">
        <v>1.8</v>
      </c>
      <c r="G1430" s="23" t="s">
        <v>177</v>
      </c>
      <c r="H1430">
        <v>0</v>
      </c>
      <c r="I1430">
        <v>0</v>
      </c>
      <c r="J1430" s="10">
        <v>-7.1054273576010019E-15</v>
      </c>
      <c r="K1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430">
        <v>11</v>
      </c>
      <c r="M14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430">
        <v>1833.33</v>
      </c>
      <c r="O1430" s="23" t="s">
        <v>224</v>
      </c>
      <c r="P1430">
        <v>3299.9940000000001</v>
      </c>
      <c r="Q1430" s="23" t="s">
        <v>182</v>
      </c>
    </row>
    <row r="1431" spans="1:17" x14ac:dyDescent="0.25">
      <c r="A1431" s="23" t="s">
        <v>1098</v>
      </c>
      <c r="B1431" s="23" t="s">
        <v>1053</v>
      </c>
      <c r="C1431" s="23" t="s">
        <v>176</v>
      </c>
      <c r="D1431" s="23" t="s">
        <v>238</v>
      </c>
      <c r="E1431" s="23" t="s">
        <v>306</v>
      </c>
      <c r="F1431">
        <v>2</v>
      </c>
      <c r="G1431" s="23" t="s">
        <v>177</v>
      </c>
      <c r="H1431">
        <v>0</v>
      </c>
      <c r="I1431">
        <v>455</v>
      </c>
      <c r="J1431" s="10">
        <v>23</v>
      </c>
      <c r="K1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1431">
        <v>0</v>
      </c>
      <c r="M14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1">
        <v>20</v>
      </c>
      <c r="O1431" s="23"/>
      <c r="P1431">
        <v>40</v>
      </c>
      <c r="Q1431" s="23" t="s">
        <v>222</v>
      </c>
    </row>
    <row r="1432" spans="1:17" x14ac:dyDescent="0.25">
      <c r="A1432" s="23" t="s">
        <v>1148</v>
      </c>
      <c r="B1432" s="23" t="s">
        <v>1054</v>
      </c>
      <c r="C1432" s="23" t="s">
        <v>176</v>
      </c>
      <c r="D1432" s="23" t="s">
        <v>1131</v>
      </c>
      <c r="E1432" s="23" t="s">
        <v>1132</v>
      </c>
      <c r="F1432">
        <v>1</v>
      </c>
      <c r="G1432" s="23" t="s">
        <v>177</v>
      </c>
      <c r="H1432">
        <v>0</v>
      </c>
      <c r="I1432">
        <v>0</v>
      </c>
      <c r="J1432" s="10">
        <v>0</v>
      </c>
      <c r="K1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1432">
        <v>0</v>
      </c>
      <c r="M14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40950.03</v>
      </c>
      <c r="N1432">
        <v>13650.01</v>
      </c>
      <c r="O1432" s="23" t="s">
        <v>228</v>
      </c>
      <c r="P1432">
        <v>13650.01</v>
      </c>
      <c r="Q1432" s="23" t="s">
        <v>222</v>
      </c>
    </row>
    <row r="1433" spans="1:17" x14ac:dyDescent="0.25">
      <c r="A1433" s="23" t="s">
        <v>1147</v>
      </c>
      <c r="B1433" s="23" t="s">
        <v>1145</v>
      </c>
      <c r="C1433" s="23" t="s">
        <v>176</v>
      </c>
      <c r="D1433" s="23" t="s">
        <v>202</v>
      </c>
      <c r="E1433" s="23" t="s">
        <v>226</v>
      </c>
      <c r="F1433">
        <v>3</v>
      </c>
      <c r="G1433" s="23" t="s">
        <v>177</v>
      </c>
      <c r="H1433">
        <v>0</v>
      </c>
      <c r="I1433">
        <v>24</v>
      </c>
      <c r="J1433" s="10">
        <v>22</v>
      </c>
      <c r="K1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433">
        <v>50</v>
      </c>
      <c r="M14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3">
        <v>44</v>
      </c>
      <c r="O1433" s="23" t="s">
        <v>505</v>
      </c>
      <c r="P1433">
        <v>132</v>
      </c>
      <c r="Q1433" s="23" t="s">
        <v>222</v>
      </c>
    </row>
    <row r="1434" spans="1:17" x14ac:dyDescent="0.25">
      <c r="A1434" s="23" t="s">
        <v>1148</v>
      </c>
      <c r="B1434" s="23" t="s">
        <v>1054</v>
      </c>
      <c r="C1434" s="23" t="s">
        <v>176</v>
      </c>
      <c r="D1434" s="23" t="s">
        <v>373</v>
      </c>
      <c r="E1434" s="23" t="s">
        <v>374</v>
      </c>
      <c r="F1434">
        <v>5</v>
      </c>
      <c r="G1434" s="23" t="s">
        <v>177</v>
      </c>
      <c r="H1434">
        <v>0</v>
      </c>
      <c r="I1434">
        <v>85</v>
      </c>
      <c r="J1434" s="10">
        <v>34</v>
      </c>
      <c r="K1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434">
        <v>40</v>
      </c>
      <c r="M14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4">
        <v>74</v>
      </c>
      <c r="O1434" s="23" t="s">
        <v>822</v>
      </c>
      <c r="P1434">
        <v>370</v>
      </c>
      <c r="Q1434" s="23" t="s">
        <v>179</v>
      </c>
    </row>
    <row r="1435" spans="1:17" x14ac:dyDescent="0.25">
      <c r="A1435" s="23" t="s">
        <v>1058</v>
      </c>
      <c r="B1435" s="23" t="s">
        <v>1059</v>
      </c>
      <c r="C1435" s="23" t="s">
        <v>176</v>
      </c>
      <c r="D1435" s="23" t="s">
        <v>124</v>
      </c>
      <c r="E1435" s="23" t="s">
        <v>634</v>
      </c>
      <c r="F1435">
        <v>0.2</v>
      </c>
      <c r="G1435" s="23" t="s">
        <v>180</v>
      </c>
      <c r="H1435">
        <v>0</v>
      </c>
      <c r="I1435">
        <v>200</v>
      </c>
      <c r="J1435" s="10">
        <v>1.1368683772161603E-13</v>
      </c>
      <c r="K1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435">
        <v>0</v>
      </c>
      <c r="M14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5">
        <v>2.89</v>
      </c>
      <c r="O1435" s="23" t="s">
        <v>827</v>
      </c>
      <c r="P1435">
        <v>0.57800000000000007</v>
      </c>
      <c r="Q1435" s="23" t="s">
        <v>222</v>
      </c>
    </row>
    <row r="1436" spans="1:17" x14ac:dyDescent="0.25">
      <c r="A1436" s="23" t="s">
        <v>1147</v>
      </c>
      <c r="B1436" s="23" t="s">
        <v>1145</v>
      </c>
      <c r="C1436" s="23" t="s">
        <v>176</v>
      </c>
      <c r="D1436" s="23" t="s">
        <v>124</v>
      </c>
      <c r="E1436" s="23" t="s">
        <v>634</v>
      </c>
      <c r="F1436">
        <v>0.2</v>
      </c>
      <c r="G1436" s="23" t="s">
        <v>180</v>
      </c>
      <c r="H1436">
        <v>0</v>
      </c>
      <c r="I1436">
        <v>200</v>
      </c>
      <c r="J1436" s="10">
        <v>1.1368683772161603E-13</v>
      </c>
      <c r="K1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436">
        <v>0</v>
      </c>
      <c r="M14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6">
        <v>2.89</v>
      </c>
      <c r="O1436" s="23" t="s">
        <v>827</v>
      </c>
      <c r="P1436">
        <v>0.57800000000000007</v>
      </c>
      <c r="Q1436" s="23" t="s">
        <v>222</v>
      </c>
    </row>
    <row r="1437" spans="1:17" x14ac:dyDescent="0.25">
      <c r="A1437" s="23" t="s">
        <v>1148</v>
      </c>
      <c r="B1437" s="23" t="s">
        <v>1054</v>
      </c>
      <c r="C1437" s="23" t="s">
        <v>176</v>
      </c>
      <c r="D1437" s="23" t="s">
        <v>124</v>
      </c>
      <c r="E1437" s="23" t="s">
        <v>634</v>
      </c>
      <c r="F1437">
        <v>0.2</v>
      </c>
      <c r="G1437" s="23" t="s">
        <v>180</v>
      </c>
      <c r="H1437">
        <v>0</v>
      </c>
      <c r="I1437">
        <v>200</v>
      </c>
      <c r="J1437" s="10">
        <v>1.1368683772161603E-13</v>
      </c>
      <c r="K1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437">
        <v>0</v>
      </c>
      <c r="M14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7">
        <v>2.89</v>
      </c>
      <c r="O1437" s="23" t="s">
        <v>827</v>
      </c>
      <c r="P1437">
        <v>0.57800000000000007</v>
      </c>
      <c r="Q1437" s="23" t="s">
        <v>222</v>
      </c>
    </row>
    <row r="1438" spans="1:17" x14ac:dyDescent="0.25">
      <c r="A1438" s="23" t="s">
        <v>1099</v>
      </c>
      <c r="B1438" s="23" t="s">
        <v>1056</v>
      </c>
      <c r="C1438" s="23" t="s">
        <v>176</v>
      </c>
      <c r="D1438" s="23" t="s">
        <v>124</v>
      </c>
      <c r="E1438" s="23" t="s">
        <v>634</v>
      </c>
      <c r="F1438">
        <v>0.2</v>
      </c>
      <c r="G1438" s="23" t="s">
        <v>180</v>
      </c>
      <c r="H1438">
        <v>0</v>
      </c>
      <c r="I1438">
        <v>200</v>
      </c>
      <c r="J1438" s="10">
        <v>1.1368683772161603E-13</v>
      </c>
      <c r="K1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1438">
        <v>0</v>
      </c>
      <c r="M14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8">
        <v>2.89</v>
      </c>
      <c r="O1438" s="23" t="s">
        <v>827</v>
      </c>
      <c r="P1438">
        <v>0.57800000000000007</v>
      </c>
      <c r="Q1438" s="23" t="s">
        <v>222</v>
      </c>
    </row>
    <row r="1439" spans="1:17" x14ac:dyDescent="0.25">
      <c r="A1439" s="23" t="s">
        <v>1098</v>
      </c>
      <c r="B1439" s="23" t="s">
        <v>1053</v>
      </c>
      <c r="C1439" s="23" t="s">
        <v>176</v>
      </c>
      <c r="D1439" s="23" t="s">
        <v>373</v>
      </c>
      <c r="E1439" s="23" t="s">
        <v>374</v>
      </c>
      <c r="F1439">
        <v>6</v>
      </c>
      <c r="G1439" s="23" t="s">
        <v>177</v>
      </c>
      <c r="H1439">
        <v>0</v>
      </c>
      <c r="I1439">
        <v>85</v>
      </c>
      <c r="J1439" s="10">
        <v>34</v>
      </c>
      <c r="K1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1439">
        <v>40</v>
      </c>
      <c r="M14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39">
        <v>74</v>
      </c>
      <c r="O1439" s="23" t="s">
        <v>822</v>
      </c>
      <c r="P1439">
        <v>444</v>
      </c>
      <c r="Q1439" s="23" t="s">
        <v>179</v>
      </c>
    </row>
    <row r="1440" spans="1:17" x14ac:dyDescent="0.25">
      <c r="A1440" s="23" t="s">
        <v>1147</v>
      </c>
      <c r="B1440" s="23" t="s">
        <v>1145</v>
      </c>
      <c r="C1440" s="23" t="s">
        <v>176</v>
      </c>
      <c r="D1440" s="23" t="s">
        <v>574</v>
      </c>
      <c r="E1440" s="23" t="s">
        <v>575</v>
      </c>
      <c r="F1440">
        <v>1</v>
      </c>
      <c r="G1440" s="23" t="s">
        <v>177</v>
      </c>
      <c r="H1440">
        <v>0</v>
      </c>
      <c r="I1440">
        <v>24</v>
      </c>
      <c r="J1440" s="10">
        <v>-5.6843418860808015E-14</v>
      </c>
      <c r="K1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1440">
        <v>0</v>
      </c>
      <c r="M14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0">
        <v>120</v>
      </c>
      <c r="O1440" s="23" t="s">
        <v>242</v>
      </c>
      <c r="P1440">
        <v>120</v>
      </c>
      <c r="Q1440" s="23" t="s">
        <v>184</v>
      </c>
    </row>
    <row r="1441" spans="1:17" x14ac:dyDescent="0.25">
      <c r="A1441" s="23" t="s">
        <v>1058</v>
      </c>
      <c r="B1441" s="23" t="s">
        <v>1059</v>
      </c>
      <c r="C1441" s="23" t="s">
        <v>176</v>
      </c>
      <c r="D1441" s="23" t="s">
        <v>202</v>
      </c>
      <c r="E1441" s="23" t="s">
        <v>226</v>
      </c>
      <c r="F1441">
        <v>3</v>
      </c>
      <c r="G1441" s="23" t="s">
        <v>177</v>
      </c>
      <c r="H1441">
        <v>3</v>
      </c>
      <c r="I1441">
        <v>24</v>
      </c>
      <c r="J1441" s="10">
        <v>22</v>
      </c>
      <c r="K1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1441">
        <v>50</v>
      </c>
      <c r="M14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1">
        <v>44</v>
      </c>
      <c r="O1441" s="23" t="s">
        <v>505</v>
      </c>
      <c r="P1441">
        <v>132</v>
      </c>
      <c r="Q1441" s="23" t="s">
        <v>222</v>
      </c>
    </row>
    <row r="1442" spans="1:17" x14ac:dyDescent="0.25">
      <c r="A1442" s="23" t="s">
        <v>1146</v>
      </c>
      <c r="B1442" s="23" t="s">
        <v>1145</v>
      </c>
      <c r="C1442" s="23" t="s">
        <v>176</v>
      </c>
      <c r="D1442" s="23" t="s">
        <v>69</v>
      </c>
      <c r="E1442" s="23" t="s">
        <v>70</v>
      </c>
      <c r="F1442">
        <v>8.5400000000000009</v>
      </c>
      <c r="G1442" s="23" t="s">
        <v>186</v>
      </c>
      <c r="H1442">
        <v>0</v>
      </c>
      <c r="I1442">
        <v>181</v>
      </c>
      <c r="J1442" s="10">
        <v>-3.1263880373444408E-13</v>
      </c>
      <c r="K1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442">
        <v>46.1</v>
      </c>
      <c r="M14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2">
        <v>96.37</v>
      </c>
      <c r="O1442" s="23" t="s">
        <v>491</v>
      </c>
      <c r="P1442">
        <v>822.99980000000016</v>
      </c>
      <c r="Q1442" s="23" t="s">
        <v>184</v>
      </c>
    </row>
    <row r="1443" spans="1:17" x14ac:dyDescent="0.25">
      <c r="A1443" s="23" t="s">
        <v>1144</v>
      </c>
      <c r="B1443" s="23" t="s">
        <v>1145</v>
      </c>
      <c r="C1443" s="23" t="s">
        <v>176</v>
      </c>
      <c r="D1443" s="23" t="s">
        <v>896</v>
      </c>
      <c r="E1443" s="23" t="s">
        <v>897</v>
      </c>
      <c r="F1443">
        <v>0.2</v>
      </c>
      <c r="G1443" s="23" t="s">
        <v>186</v>
      </c>
      <c r="H1443">
        <v>0</v>
      </c>
      <c r="I1443">
        <v>0</v>
      </c>
      <c r="J1443" s="10">
        <v>0</v>
      </c>
      <c r="K1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443">
        <v>0</v>
      </c>
      <c r="M14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443">
        <v>500</v>
      </c>
      <c r="O1443" s="23" t="s">
        <v>898</v>
      </c>
      <c r="P1443">
        <v>100</v>
      </c>
      <c r="Q1443" s="23" t="s">
        <v>184</v>
      </c>
    </row>
    <row r="1444" spans="1:17" x14ac:dyDescent="0.25">
      <c r="A1444" s="23" t="s">
        <v>1149</v>
      </c>
      <c r="B1444" s="23" t="s">
        <v>1145</v>
      </c>
      <c r="C1444" s="23" t="s">
        <v>176</v>
      </c>
      <c r="D1444" s="23" t="s">
        <v>73</v>
      </c>
      <c r="E1444" s="23" t="s">
        <v>74</v>
      </c>
      <c r="F1444">
        <v>1</v>
      </c>
      <c r="G1444" s="23" t="s">
        <v>177</v>
      </c>
      <c r="H1444">
        <v>0</v>
      </c>
      <c r="I1444">
        <v>3</v>
      </c>
      <c r="J1444" s="10">
        <v>7</v>
      </c>
      <c r="K1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444">
        <v>0</v>
      </c>
      <c r="M14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444">
        <v>8822.93</v>
      </c>
      <c r="O1444" s="23" t="s">
        <v>635</v>
      </c>
      <c r="P1444">
        <v>8822.93</v>
      </c>
      <c r="Q1444" s="23" t="s">
        <v>179</v>
      </c>
    </row>
    <row r="1445" spans="1:17" x14ac:dyDescent="0.25">
      <c r="A1445" s="23" t="s">
        <v>1149</v>
      </c>
      <c r="B1445" s="23" t="s">
        <v>1145</v>
      </c>
      <c r="C1445" s="23" t="s">
        <v>176</v>
      </c>
      <c r="D1445" s="23" t="s">
        <v>381</v>
      </c>
      <c r="E1445" s="23" t="s">
        <v>382</v>
      </c>
      <c r="F1445">
        <v>1.1000000000000001</v>
      </c>
      <c r="G1445" s="23" t="s">
        <v>180</v>
      </c>
      <c r="H1445">
        <v>0</v>
      </c>
      <c r="I1445">
        <v>0</v>
      </c>
      <c r="J1445" s="10">
        <v>20.300000000000029</v>
      </c>
      <c r="K1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445">
        <v>0</v>
      </c>
      <c r="M14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445">
        <v>115</v>
      </c>
      <c r="O1445" s="23" t="s">
        <v>822</v>
      </c>
      <c r="P1445">
        <v>126.50000000000001</v>
      </c>
      <c r="Q1445" s="23" t="s">
        <v>179</v>
      </c>
    </row>
    <row r="1446" spans="1:17" x14ac:dyDescent="0.25">
      <c r="A1446" s="23" t="s">
        <v>1146</v>
      </c>
      <c r="B1446" s="23" t="s">
        <v>1145</v>
      </c>
      <c r="C1446" s="23" t="s">
        <v>176</v>
      </c>
      <c r="D1446" s="23" t="s">
        <v>75</v>
      </c>
      <c r="E1446" s="23" t="s">
        <v>76</v>
      </c>
      <c r="F1446">
        <v>3</v>
      </c>
      <c r="G1446" s="23" t="s">
        <v>177</v>
      </c>
      <c r="H1446">
        <v>0</v>
      </c>
      <c r="I1446">
        <v>24</v>
      </c>
      <c r="J1446" s="10">
        <v>30</v>
      </c>
      <c r="K1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446">
        <v>50</v>
      </c>
      <c r="M14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46">
        <v>37</v>
      </c>
      <c r="O1446" s="23" t="s">
        <v>822</v>
      </c>
      <c r="P1446">
        <v>111</v>
      </c>
      <c r="Q1446" s="23" t="s">
        <v>179</v>
      </c>
    </row>
    <row r="1447" spans="1:17" x14ac:dyDescent="0.25">
      <c r="A1447" s="23" t="s">
        <v>1062</v>
      </c>
      <c r="B1447" s="23" t="s">
        <v>1053</v>
      </c>
      <c r="C1447" s="23" t="s">
        <v>176</v>
      </c>
      <c r="D1447" s="23" t="s">
        <v>469</v>
      </c>
      <c r="E1447" s="23" t="s">
        <v>580</v>
      </c>
      <c r="F1447">
        <v>2</v>
      </c>
      <c r="G1447" s="23" t="s">
        <v>186</v>
      </c>
      <c r="H1447">
        <v>0</v>
      </c>
      <c r="I1447">
        <v>30</v>
      </c>
      <c r="J1447" s="10">
        <v>21.5</v>
      </c>
      <c r="K1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47">
        <v>0</v>
      </c>
      <c r="M14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447">
        <v>118.14</v>
      </c>
      <c r="O1447" s="23" t="s">
        <v>394</v>
      </c>
      <c r="P1447">
        <v>236.28</v>
      </c>
      <c r="Q1447" s="23" t="s">
        <v>184</v>
      </c>
    </row>
    <row r="1448" spans="1:17" x14ac:dyDescent="0.25">
      <c r="A1448" s="23" t="s">
        <v>1197</v>
      </c>
      <c r="B1448" s="23" t="s">
        <v>1198</v>
      </c>
      <c r="C1448" s="23" t="s">
        <v>176</v>
      </c>
      <c r="D1448" s="23" t="s">
        <v>469</v>
      </c>
      <c r="E1448" s="23" t="s">
        <v>580</v>
      </c>
      <c r="F1448">
        <v>1.5</v>
      </c>
      <c r="G1448" s="23" t="s">
        <v>186</v>
      </c>
      <c r="H1448">
        <v>0</v>
      </c>
      <c r="I1448">
        <v>30</v>
      </c>
      <c r="J1448" s="10">
        <v>21.5</v>
      </c>
      <c r="K1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48">
        <v>0</v>
      </c>
      <c r="M14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448">
        <v>118.14</v>
      </c>
      <c r="O1448" s="23" t="s">
        <v>394</v>
      </c>
      <c r="P1448">
        <v>177.21</v>
      </c>
      <c r="Q1448" s="23" t="s">
        <v>184</v>
      </c>
    </row>
    <row r="1449" spans="1:17" x14ac:dyDescent="0.25">
      <c r="A1449" s="23" t="s">
        <v>1097</v>
      </c>
      <c r="B1449" s="23" t="s">
        <v>1095</v>
      </c>
      <c r="C1449" s="23" t="s">
        <v>176</v>
      </c>
      <c r="D1449" s="23" t="s">
        <v>469</v>
      </c>
      <c r="E1449" s="23" t="s">
        <v>580</v>
      </c>
      <c r="F1449">
        <v>2</v>
      </c>
      <c r="G1449" s="23" t="s">
        <v>186</v>
      </c>
      <c r="H1449">
        <v>0</v>
      </c>
      <c r="I1449">
        <v>30</v>
      </c>
      <c r="J1449" s="10">
        <v>21.5</v>
      </c>
      <c r="K1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49">
        <v>0</v>
      </c>
      <c r="M14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449">
        <v>118.14</v>
      </c>
      <c r="O1449" s="23" t="s">
        <v>394</v>
      </c>
      <c r="P1449">
        <v>236.28</v>
      </c>
      <c r="Q1449" s="23" t="s">
        <v>184</v>
      </c>
    </row>
    <row r="1450" spans="1:17" x14ac:dyDescent="0.25">
      <c r="A1450" s="23" t="s">
        <v>1097</v>
      </c>
      <c r="B1450" s="23" t="s">
        <v>1095</v>
      </c>
      <c r="C1450" s="23" t="s">
        <v>176</v>
      </c>
      <c r="D1450" s="23" t="s">
        <v>75</v>
      </c>
      <c r="E1450" s="23" t="s">
        <v>76</v>
      </c>
      <c r="F1450">
        <v>2</v>
      </c>
      <c r="G1450" s="23" t="s">
        <v>177</v>
      </c>
      <c r="H1450">
        <v>0</v>
      </c>
      <c r="I1450">
        <v>24</v>
      </c>
      <c r="J1450" s="10">
        <v>30</v>
      </c>
      <c r="K1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450">
        <v>50</v>
      </c>
      <c r="M14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50">
        <v>37</v>
      </c>
      <c r="O1450" s="23" t="s">
        <v>822</v>
      </c>
      <c r="P1450">
        <v>74</v>
      </c>
      <c r="Q1450" s="23" t="s">
        <v>179</v>
      </c>
    </row>
    <row r="1451" spans="1:17" x14ac:dyDescent="0.25">
      <c r="A1451" s="23" t="s">
        <v>1062</v>
      </c>
      <c r="B1451" s="23" t="s">
        <v>1053</v>
      </c>
      <c r="C1451" s="23" t="s">
        <v>176</v>
      </c>
      <c r="D1451" s="23" t="s">
        <v>75</v>
      </c>
      <c r="E1451" s="23" t="s">
        <v>76</v>
      </c>
      <c r="F1451">
        <v>3</v>
      </c>
      <c r="G1451" s="23" t="s">
        <v>177</v>
      </c>
      <c r="H1451">
        <v>0</v>
      </c>
      <c r="I1451">
        <v>24</v>
      </c>
      <c r="J1451" s="10">
        <v>30</v>
      </c>
      <c r="K1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451">
        <v>50</v>
      </c>
      <c r="M14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51">
        <v>37</v>
      </c>
      <c r="O1451" s="23" t="s">
        <v>822</v>
      </c>
      <c r="P1451">
        <v>111</v>
      </c>
      <c r="Q1451" s="23" t="s">
        <v>179</v>
      </c>
    </row>
    <row r="1452" spans="1:17" x14ac:dyDescent="0.25">
      <c r="A1452" s="23" t="s">
        <v>1099</v>
      </c>
      <c r="B1452" s="23" t="s">
        <v>1056</v>
      </c>
      <c r="C1452" s="23" t="s">
        <v>176</v>
      </c>
      <c r="D1452" s="23" t="s">
        <v>469</v>
      </c>
      <c r="E1452" s="23" t="s">
        <v>580</v>
      </c>
      <c r="F1452">
        <v>2</v>
      </c>
      <c r="G1452" s="23" t="s">
        <v>186</v>
      </c>
      <c r="H1452">
        <v>0</v>
      </c>
      <c r="I1452">
        <v>30</v>
      </c>
      <c r="J1452" s="10">
        <v>21.5</v>
      </c>
      <c r="K1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452">
        <v>0</v>
      </c>
      <c r="M14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452">
        <v>118.14</v>
      </c>
      <c r="O1452" s="23" t="s">
        <v>394</v>
      </c>
      <c r="P1452">
        <v>236.28</v>
      </c>
      <c r="Q1452" s="23" t="s">
        <v>184</v>
      </c>
    </row>
    <row r="1453" spans="1:17" x14ac:dyDescent="0.25">
      <c r="A1453" s="23" t="s">
        <v>1055</v>
      </c>
      <c r="B1453" s="23" t="s">
        <v>1056</v>
      </c>
      <c r="C1453" s="23" t="s">
        <v>176</v>
      </c>
      <c r="D1453" s="23" t="s">
        <v>81</v>
      </c>
      <c r="E1453" s="23" t="s">
        <v>82</v>
      </c>
      <c r="F1453">
        <v>5</v>
      </c>
      <c r="G1453" s="23" t="s">
        <v>177</v>
      </c>
      <c r="H1453">
        <v>5</v>
      </c>
      <c r="I1453">
        <v>0</v>
      </c>
      <c r="J1453" s="10">
        <v>0.49999999999995737</v>
      </c>
      <c r="K1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1453">
        <v>10</v>
      </c>
      <c r="M14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1453">
        <v>666.67</v>
      </c>
      <c r="O1453" s="23" t="s">
        <v>224</v>
      </c>
      <c r="P1453">
        <v>3333.35</v>
      </c>
      <c r="Q1453" s="23" t="s">
        <v>182</v>
      </c>
    </row>
    <row r="1454" spans="1:17" x14ac:dyDescent="0.25">
      <c r="A1454" s="23" t="s">
        <v>1146</v>
      </c>
      <c r="B1454" s="23" t="s">
        <v>1145</v>
      </c>
      <c r="C1454" s="23" t="s">
        <v>176</v>
      </c>
      <c r="D1454" s="23" t="s">
        <v>73</v>
      </c>
      <c r="E1454" s="23" t="s">
        <v>74</v>
      </c>
      <c r="F1454">
        <v>1</v>
      </c>
      <c r="G1454" s="23" t="s">
        <v>177</v>
      </c>
      <c r="H1454">
        <v>0</v>
      </c>
      <c r="I1454">
        <v>3</v>
      </c>
      <c r="J1454" s="10">
        <v>7</v>
      </c>
      <c r="K1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454">
        <v>0</v>
      </c>
      <c r="M14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454">
        <v>8822.93</v>
      </c>
      <c r="O1454" s="23" t="s">
        <v>635</v>
      </c>
      <c r="P1454">
        <v>8822.93</v>
      </c>
      <c r="Q1454" s="23" t="s">
        <v>179</v>
      </c>
    </row>
    <row r="1455" spans="1:17" x14ac:dyDescent="0.25">
      <c r="A1455" s="23" t="s">
        <v>1144</v>
      </c>
      <c r="B1455" s="23" t="s">
        <v>1145</v>
      </c>
      <c r="C1455" s="23" t="s">
        <v>176</v>
      </c>
      <c r="D1455" s="23" t="s">
        <v>73</v>
      </c>
      <c r="E1455" s="23" t="s">
        <v>74</v>
      </c>
      <c r="F1455">
        <v>1</v>
      </c>
      <c r="G1455" s="23" t="s">
        <v>177</v>
      </c>
      <c r="H1455">
        <v>0</v>
      </c>
      <c r="I1455">
        <v>3</v>
      </c>
      <c r="J1455" s="10">
        <v>7</v>
      </c>
      <c r="K1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455">
        <v>0</v>
      </c>
      <c r="M14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455">
        <v>8822.93</v>
      </c>
      <c r="O1455" s="23" t="s">
        <v>635</v>
      </c>
      <c r="P1455">
        <v>8822.93</v>
      </c>
      <c r="Q1455" s="23" t="s">
        <v>179</v>
      </c>
    </row>
    <row r="1456" spans="1:17" x14ac:dyDescent="0.25">
      <c r="A1456" s="23" t="s">
        <v>1144</v>
      </c>
      <c r="B1456" s="23" t="s">
        <v>1145</v>
      </c>
      <c r="C1456" s="23" t="s">
        <v>176</v>
      </c>
      <c r="D1456" s="23" t="s">
        <v>381</v>
      </c>
      <c r="E1456" s="23" t="s">
        <v>382</v>
      </c>
      <c r="F1456">
        <v>1.1000000000000001</v>
      </c>
      <c r="G1456" s="23" t="s">
        <v>180</v>
      </c>
      <c r="H1456">
        <v>0</v>
      </c>
      <c r="I1456">
        <v>0</v>
      </c>
      <c r="J1456" s="10">
        <v>20.300000000000029</v>
      </c>
      <c r="K1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456">
        <v>0</v>
      </c>
      <c r="M14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456">
        <v>115</v>
      </c>
      <c r="O1456" s="23" t="s">
        <v>822</v>
      </c>
      <c r="P1456">
        <v>126.50000000000001</v>
      </c>
      <c r="Q1456" s="23" t="s">
        <v>179</v>
      </c>
    </row>
    <row r="1457" spans="1:17" x14ac:dyDescent="0.25">
      <c r="A1457" s="23" t="s">
        <v>1146</v>
      </c>
      <c r="B1457" s="23" t="s">
        <v>1145</v>
      </c>
      <c r="C1457" s="23" t="s">
        <v>176</v>
      </c>
      <c r="D1457" s="23" t="s">
        <v>381</v>
      </c>
      <c r="E1457" s="23" t="s">
        <v>382</v>
      </c>
      <c r="F1457">
        <v>1.1000000000000001</v>
      </c>
      <c r="G1457" s="23" t="s">
        <v>180</v>
      </c>
      <c r="H1457">
        <v>0</v>
      </c>
      <c r="I1457">
        <v>0</v>
      </c>
      <c r="J1457" s="10">
        <v>20.300000000000029</v>
      </c>
      <c r="K1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457">
        <v>0</v>
      </c>
      <c r="M14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457">
        <v>115</v>
      </c>
      <c r="O1457" s="23" t="s">
        <v>822</v>
      </c>
      <c r="P1457">
        <v>126.50000000000001</v>
      </c>
      <c r="Q1457" s="23" t="s">
        <v>179</v>
      </c>
    </row>
    <row r="1458" spans="1:17" x14ac:dyDescent="0.25">
      <c r="A1458" s="23" t="s">
        <v>1149</v>
      </c>
      <c r="B1458" s="23" t="s">
        <v>1145</v>
      </c>
      <c r="C1458" s="23" t="s">
        <v>176</v>
      </c>
      <c r="D1458" s="23" t="s">
        <v>113</v>
      </c>
      <c r="E1458" s="23" t="s">
        <v>114</v>
      </c>
      <c r="F1458">
        <v>1</v>
      </c>
      <c r="G1458" s="23" t="s">
        <v>177</v>
      </c>
      <c r="H1458">
        <v>0</v>
      </c>
      <c r="I1458">
        <v>2</v>
      </c>
      <c r="J1458" s="10">
        <v>4</v>
      </c>
      <c r="K1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458">
        <v>0</v>
      </c>
      <c r="M14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1458">
        <v>7450</v>
      </c>
      <c r="O1458" s="23" t="s">
        <v>585</v>
      </c>
      <c r="P1458">
        <v>7450</v>
      </c>
      <c r="Q1458" s="23" t="s">
        <v>178</v>
      </c>
    </row>
    <row r="1459" spans="1:17" x14ac:dyDescent="0.25">
      <c r="A1459" s="23" t="s">
        <v>1149</v>
      </c>
      <c r="B1459" s="23" t="s">
        <v>1145</v>
      </c>
      <c r="C1459" s="23" t="s">
        <v>176</v>
      </c>
      <c r="D1459" s="23" t="s">
        <v>671</v>
      </c>
      <c r="E1459" s="23" t="s">
        <v>672</v>
      </c>
      <c r="F1459">
        <v>1</v>
      </c>
      <c r="G1459" s="23" t="s">
        <v>177</v>
      </c>
      <c r="H1459">
        <v>0</v>
      </c>
      <c r="I1459">
        <v>12</v>
      </c>
      <c r="J1459" s="10">
        <v>13</v>
      </c>
      <c r="K1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59">
        <v>0</v>
      </c>
      <c r="M14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59">
        <v>28339.38</v>
      </c>
      <c r="O1459" s="23" t="s">
        <v>215</v>
      </c>
      <c r="P1459">
        <v>28339.38</v>
      </c>
      <c r="Q1459" s="23" t="s">
        <v>178</v>
      </c>
    </row>
    <row r="1460" spans="1:17" x14ac:dyDescent="0.25">
      <c r="A1460" s="23" t="s">
        <v>1144</v>
      </c>
      <c r="B1460" s="23" t="s">
        <v>1145</v>
      </c>
      <c r="C1460" s="23" t="s">
        <v>176</v>
      </c>
      <c r="D1460" s="23" t="s">
        <v>654</v>
      </c>
      <c r="E1460" s="23" t="s">
        <v>655</v>
      </c>
      <c r="F1460">
        <v>0.05</v>
      </c>
      <c r="G1460" s="23" t="s">
        <v>186</v>
      </c>
      <c r="H1460">
        <v>0</v>
      </c>
      <c r="I1460">
        <v>1.8</v>
      </c>
      <c r="J1460" s="10">
        <v>0.85000000000000098</v>
      </c>
      <c r="K1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1460">
        <v>1.75</v>
      </c>
      <c r="M14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0">
        <v>645.64</v>
      </c>
      <c r="O1460" s="23" t="s">
        <v>491</v>
      </c>
      <c r="P1460">
        <v>32.282000000000004</v>
      </c>
      <c r="Q1460" s="23" t="s">
        <v>184</v>
      </c>
    </row>
    <row r="1461" spans="1:17" x14ac:dyDescent="0.25">
      <c r="A1461" s="23" t="s">
        <v>1144</v>
      </c>
      <c r="B1461" s="23" t="s">
        <v>1145</v>
      </c>
      <c r="C1461" s="23" t="s">
        <v>176</v>
      </c>
      <c r="D1461" s="23" t="s">
        <v>0</v>
      </c>
      <c r="E1461" s="23" t="s">
        <v>1</v>
      </c>
      <c r="F1461">
        <v>2</v>
      </c>
      <c r="G1461" s="23" t="s">
        <v>177</v>
      </c>
      <c r="H1461">
        <v>0</v>
      </c>
      <c r="I1461">
        <v>69</v>
      </c>
      <c r="J1461" s="10">
        <v>22</v>
      </c>
      <c r="K1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461">
        <v>0</v>
      </c>
      <c r="M14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1">
        <v>640</v>
      </c>
      <c r="O1461" s="23" t="s">
        <v>221</v>
      </c>
      <c r="P1461">
        <v>1280</v>
      </c>
      <c r="Q1461" s="23" t="s">
        <v>222</v>
      </c>
    </row>
    <row r="1462" spans="1:17" x14ac:dyDescent="0.25">
      <c r="A1462" s="23" t="s">
        <v>1146</v>
      </c>
      <c r="B1462" s="23" t="s">
        <v>1145</v>
      </c>
      <c r="C1462" s="23" t="s">
        <v>176</v>
      </c>
      <c r="D1462" s="23" t="s">
        <v>0</v>
      </c>
      <c r="E1462" s="23" t="s">
        <v>1</v>
      </c>
      <c r="F1462">
        <v>3</v>
      </c>
      <c r="G1462" s="23" t="s">
        <v>177</v>
      </c>
      <c r="H1462">
        <v>0</v>
      </c>
      <c r="I1462">
        <v>69</v>
      </c>
      <c r="J1462" s="10">
        <v>22</v>
      </c>
      <c r="K1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462">
        <v>0</v>
      </c>
      <c r="M14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2">
        <v>640</v>
      </c>
      <c r="O1462" s="23" t="s">
        <v>221</v>
      </c>
      <c r="P1462">
        <v>1920</v>
      </c>
      <c r="Q1462" s="23" t="s">
        <v>222</v>
      </c>
    </row>
    <row r="1463" spans="1:17" x14ac:dyDescent="0.25">
      <c r="A1463" s="23" t="s">
        <v>1149</v>
      </c>
      <c r="B1463" s="23" t="s">
        <v>1145</v>
      </c>
      <c r="C1463" s="23" t="s">
        <v>176</v>
      </c>
      <c r="D1463" s="23" t="s">
        <v>230</v>
      </c>
      <c r="E1463" s="23" t="s">
        <v>231</v>
      </c>
      <c r="F1463">
        <v>2</v>
      </c>
      <c r="G1463" s="23" t="s">
        <v>177</v>
      </c>
      <c r="H1463">
        <v>0</v>
      </c>
      <c r="I1463">
        <v>238</v>
      </c>
      <c r="J1463" s="10">
        <v>90</v>
      </c>
      <c r="K1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63">
        <v>0</v>
      </c>
      <c r="M14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3">
        <v>4</v>
      </c>
      <c r="O1463" s="23" t="s">
        <v>221</v>
      </c>
      <c r="P1463">
        <v>8</v>
      </c>
      <c r="Q1463" s="23" t="s">
        <v>222</v>
      </c>
    </row>
    <row r="1464" spans="1:17" x14ac:dyDescent="0.25">
      <c r="A1464" s="23" t="s">
        <v>1149</v>
      </c>
      <c r="B1464" s="23" t="s">
        <v>1145</v>
      </c>
      <c r="C1464" s="23" t="s">
        <v>176</v>
      </c>
      <c r="D1464" s="23" t="s">
        <v>54</v>
      </c>
      <c r="E1464" s="23" t="s">
        <v>55</v>
      </c>
      <c r="F1464">
        <v>1</v>
      </c>
      <c r="G1464" s="23" t="s">
        <v>177</v>
      </c>
      <c r="H1464">
        <v>0</v>
      </c>
      <c r="I1464">
        <v>10</v>
      </c>
      <c r="J1464" s="10">
        <v>12</v>
      </c>
      <c r="K1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464">
        <v>4</v>
      </c>
      <c r="M14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4">
        <v>1600</v>
      </c>
      <c r="O1464" s="23" t="s">
        <v>218</v>
      </c>
      <c r="P1464">
        <v>1600</v>
      </c>
      <c r="Q1464" s="23" t="s">
        <v>222</v>
      </c>
    </row>
    <row r="1465" spans="1:17" x14ac:dyDescent="0.25">
      <c r="A1465" s="23" t="s">
        <v>1146</v>
      </c>
      <c r="B1465" s="23" t="s">
        <v>1145</v>
      </c>
      <c r="C1465" s="23" t="s">
        <v>176</v>
      </c>
      <c r="D1465" s="23" t="s">
        <v>54</v>
      </c>
      <c r="E1465" s="23" t="s">
        <v>55</v>
      </c>
      <c r="F1465">
        <v>1</v>
      </c>
      <c r="G1465" s="23" t="s">
        <v>177</v>
      </c>
      <c r="H1465">
        <v>0</v>
      </c>
      <c r="I1465">
        <v>10</v>
      </c>
      <c r="J1465" s="10">
        <v>12</v>
      </c>
      <c r="K1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465">
        <v>4</v>
      </c>
      <c r="M14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5">
        <v>1600</v>
      </c>
      <c r="O1465" s="23" t="s">
        <v>218</v>
      </c>
      <c r="P1465">
        <v>1600</v>
      </c>
      <c r="Q1465" s="23" t="s">
        <v>222</v>
      </c>
    </row>
    <row r="1466" spans="1:17" x14ac:dyDescent="0.25">
      <c r="A1466" s="23" t="s">
        <v>1144</v>
      </c>
      <c r="B1466" s="23" t="s">
        <v>1145</v>
      </c>
      <c r="C1466" s="23" t="s">
        <v>176</v>
      </c>
      <c r="D1466" s="23" t="s">
        <v>58</v>
      </c>
      <c r="E1466" s="23" t="s">
        <v>59</v>
      </c>
      <c r="F1466">
        <v>1</v>
      </c>
      <c r="G1466" s="23" t="s">
        <v>177</v>
      </c>
      <c r="H1466">
        <v>0</v>
      </c>
      <c r="I1466">
        <v>18</v>
      </c>
      <c r="J1466" s="10">
        <v>10</v>
      </c>
      <c r="K1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66">
        <v>0</v>
      </c>
      <c r="M14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6">
        <v>1094.4000000000001</v>
      </c>
      <c r="O1466" s="23" t="s">
        <v>827</v>
      </c>
      <c r="P1466">
        <v>1094.4000000000001</v>
      </c>
      <c r="Q1466" s="23" t="s">
        <v>222</v>
      </c>
    </row>
    <row r="1467" spans="1:17" x14ac:dyDescent="0.25">
      <c r="A1467" s="23" t="s">
        <v>1146</v>
      </c>
      <c r="B1467" s="23" t="s">
        <v>1145</v>
      </c>
      <c r="C1467" s="23" t="s">
        <v>176</v>
      </c>
      <c r="D1467" s="23" t="s">
        <v>58</v>
      </c>
      <c r="E1467" s="23" t="s">
        <v>59</v>
      </c>
      <c r="F1467">
        <v>1</v>
      </c>
      <c r="G1467" s="23" t="s">
        <v>177</v>
      </c>
      <c r="H1467">
        <v>0</v>
      </c>
      <c r="I1467">
        <v>18</v>
      </c>
      <c r="J1467" s="10">
        <v>10</v>
      </c>
      <c r="K1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67">
        <v>0</v>
      </c>
      <c r="M14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7">
        <v>1094.4000000000001</v>
      </c>
      <c r="O1467" s="23" t="s">
        <v>827</v>
      </c>
      <c r="P1467">
        <v>1094.4000000000001</v>
      </c>
      <c r="Q1467" s="23" t="s">
        <v>222</v>
      </c>
    </row>
    <row r="1468" spans="1:17" x14ac:dyDescent="0.25">
      <c r="A1468" s="23" t="s">
        <v>1144</v>
      </c>
      <c r="B1468" s="23" t="s">
        <v>1145</v>
      </c>
      <c r="C1468" s="23" t="s">
        <v>176</v>
      </c>
      <c r="D1468" s="23" t="s">
        <v>377</v>
      </c>
      <c r="E1468" s="23" t="s">
        <v>378</v>
      </c>
      <c r="F1468">
        <v>3</v>
      </c>
      <c r="G1468" s="23" t="s">
        <v>177</v>
      </c>
      <c r="H1468">
        <v>0</v>
      </c>
      <c r="I1468">
        <v>38</v>
      </c>
      <c r="J1468" s="10">
        <v>25</v>
      </c>
      <c r="K1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468">
        <v>20</v>
      </c>
      <c r="M14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8">
        <v>245</v>
      </c>
      <c r="O1468" s="23" t="s">
        <v>822</v>
      </c>
      <c r="P1468">
        <v>735</v>
      </c>
      <c r="Q1468" s="23" t="s">
        <v>179</v>
      </c>
    </row>
    <row r="1469" spans="1:17" x14ac:dyDescent="0.25">
      <c r="A1469" s="23" t="s">
        <v>1146</v>
      </c>
      <c r="B1469" s="23" t="s">
        <v>1145</v>
      </c>
      <c r="C1469" s="23" t="s">
        <v>176</v>
      </c>
      <c r="D1469" s="23" t="s">
        <v>377</v>
      </c>
      <c r="E1469" s="23" t="s">
        <v>378</v>
      </c>
      <c r="F1469">
        <v>3</v>
      </c>
      <c r="G1469" s="23" t="s">
        <v>177</v>
      </c>
      <c r="H1469">
        <v>0</v>
      </c>
      <c r="I1469">
        <v>38</v>
      </c>
      <c r="J1469" s="10">
        <v>25</v>
      </c>
      <c r="K1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469">
        <v>20</v>
      </c>
      <c r="M14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69">
        <v>245</v>
      </c>
      <c r="O1469" s="23" t="s">
        <v>822</v>
      </c>
      <c r="P1469">
        <v>735</v>
      </c>
      <c r="Q1469" s="23" t="s">
        <v>179</v>
      </c>
    </row>
    <row r="1470" spans="1:17" x14ac:dyDescent="0.25">
      <c r="A1470" s="23" t="s">
        <v>1098</v>
      </c>
      <c r="B1470" s="23" t="s">
        <v>1053</v>
      </c>
      <c r="C1470" s="23" t="s">
        <v>176</v>
      </c>
      <c r="D1470" s="23" t="s">
        <v>111</v>
      </c>
      <c r="E1470" s="23" t="s">
        <v>112</v>
      </c>
      <c r="F1470">
        <v>1</v>
      </c>
      <c r="G1470" s="23" t="s">
        <v>177</v>
      </c>
      <c r="H1470">
        <v>0</v>
      </c>
      <c r="I1470">
        <v>2</v>
      </c>
      <c r="J1470" s="10">
        <v>8</v>
      </c>
      <c r="K1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470">
        <v>11</v>
      </c>
      <c r="M14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0">
        <v>675</v>
      </c>
      <c r="O1470" s="23" t="s">
        <v>633</v>
      </c>
      <c r="P1470">
        <v>675</v>
      </c>
      <c r="Q1470" s="23" t="s">
        <v>178</v>
      </c>
    </row>
    <row r="1471" spans="1:17" x14ac:dyDescent="0.25">
      <c r="A1471" s="23" t="s">
        <v>1062</v>
      </c>
      <c r="B1471" s="23" t="s">
        <v>1053</v>
      </c>
      <c r="C1471" s="23" t="s">
        <v>176</v>
      </c>
      <c r="D1471" s="23" t="s">
        <v>671</v>
      </c>
      <c r="E1471" s="23" t="s">
        <v>672</v>
      </c>
      <c r="F1471">
        <v>1</v>
      </c>
      <c r="G1471" s="23" t="s">
        <v>177</v>
      </c>
      <c r="H1471">
        <v>1</v>
      </c>
      <c r="I1471">
        <v>12</v>
      </c>
      <c r="J1471" s="10">
        <v>13</v>
      </c>
      <c r="K1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71">
        <v>0</v>
      </c>
      <c r="M14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1">
        <v>28339.38</v>
      </c>
      <c r="O1471" s="23" t="s">
        <v>215</v>
      </c>
      <c r="P1471">
        <v>28339.38</v>
      </c>
      <c r="Q1471" s="23" t="s">
        <v>178</v>
      </c>
    </row>
    <row r="1472" spans="1:17" x14ac:dyDescent="0.25">
      <c r="A1472" s="23" t="s">
        <v>1197</v>
      </c>
      <c r="B1472" s="23" t="s">
        <v>1198</v>
      </c>
      <c r="C1472" s="23" t="s">
        <v>176</v>
      </c>
      <c r="D1472" s="23" t="s">
        <v>115</v>
      </c>
      <c r="E1472" s="23" t="s">
        <v>116</v>
      </c>
      <c r="F1472">
        <v>1.504</v>
      </c>
      <c r="G1472" s="23" t="s">
        <v>186</v>
      </c>
      <c r="H1472">
        <v>0</v>
      </c>
      <c r="I1472">
        <v>0</v>
      </c>
      <c r="J1472" s="10">
        <v>65.03100000000002</v>
      </c>
      <c r="K1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472">
        <v>0</v>
      </c>
      <c r="M14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472">
        <v>389.53</v>
      </c>
      <c r="O1472" s="23" t="s">
        <v>491</v>
      </c>
      <c r="P1472">
        <v>585.85311999999999</v>
      </c>
      <c r="Q1472" s="23" t="s">
        <v>184</v>
      </c>
    </row>
    <row r="1473" spans="1:17" x14ac:dyDescent="0.25">
      <c r="A1473" s="23" t="s">
        <v>1098</v>
      </c>
      <c r="B1473" s="23" t="s">
        <v>1053</v>
      </c>
      <c r="C1473" s="23" t="s">
        <v>176</v>
      </c>
      <c r="D1473" s="23" t="s">
        <v>0</v>
      </c>
      <c r="E1473" s="23" t="s">
        <v>1</v>
      </c>
      <c r="F1473">
        <v>3</v>
      </c>
      <c r="G1473" s="23" t="s">
        <v>177</v>
      </c>
      <c r="H1473">
        <v>0</v>
      </c>
      <c r="I1473">
        <v>69</v>
      </c>
      <c r="J1473" s="10">
        <v>22</v>
      </c>
      <c r="K1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473">
        <v>0</v>
      </c>
      <c r="M14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3">
        <v>640</v>
      </c>
      <c r="O1473" s="23" t="s">
        <v>221</v>
      </c>
      <c r="P1473">
        <v>1920</v>
      </c>
      <c r="Q1473" s="23" t="s">
        <v>222</v>
      </c>
    </row>
    <row r="1474" spans="1:17" x14ac:dyDescent="0.25">
      <c r="A1474" s="23" t="s">
        <v>1062</v>
      </c>
      <c r="B1474" s="23" t="s">
        <v>1053</v>
      </c>
      <c r="C1474" s="23" t="s">
        <v>176</v>
      </c>
      <c r="D1474" s="23" t="s">
        <v>54</v>
      </c>
      <c r="E1474" s="23" t="s">
        <v>55</v>
      </c>
      <c r="F1474">
        <v>1</v>
      </c>
      <c r="G1474" s="23" t="s">
        <v>177</v>
      </c>
      <c r="H1474">
        <v>1</v>
      </c>
      <c r="I1474">
        <v>10</v>
      </c>
      <c r="J1474" s="10">
        <v>12</v>
      </c>
      <c r="K1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474">
        <v>4</v>
      </c>
      <c r="M14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4">
        <v>1600</v>
      </c>
      <c r="O1474" s="23" t="s">
        <v>218</v>
      </c>
      <c r="P1474">
        <v>1600</v>
      </c>
      <c r="Q1474" s="23" t="s">
        <v>222</v>
      </c>
    </row>
    <row r="1475" spans="1:17" x14ac:dyDescent="0.25">
      <c r="A1475" s="23" t="s">
        <v>1062</v>
      </c>
      <c r="B1475" s="23" t="s">
        <v>1053</v>
      </c>
      <c r="C1475" s="23" t="s">
        <v>176</v>
      </c>
      <c r="D1475" s="23" t="s">
        <v>377</v>
      </c>
      <c r="E1475" s="23" t="s">
        <v>378</v>
      </c>
      <c r="F1475">
        <v>3</v>
      </c>
      <c r="G1475" s="23" t="s">
        <v>177</v>
      </c>
      <c r="H1475">
        <v>0</v>
      </c>
      <c r="I1475">
        <v>38</v>
      </c>
      <c r="J1475" s="10">
        <v>25</v>
      </c>
      <c r="K1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475">
        <v>20</v>
      </c>
      <c r="M14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5">
        <v>245</v>
      </c>
      <c r="O1475" s="23" t="s">
        <v>822</v>
      </c>
      <c r="P1475">
        <v>735</v>
      </c>
      <c r="Q1475" s="23" t="s">
        <v>179</v>
      </c>
    </row>
    <row r="1476" spans="1:17" x14ac:dyDescent="0.25">
      <c r="A1476" s="23" t="s">
        <v>1062</v>
      </c>
      <c r="B1476" s="23" t="s">
        <v>1053</v>
      </c>
      <c r="C1476" s="23" t="s">
        <v>176</v>
      </c>
      <c r="D1476" s="23" t="s">
        <v>617</v>
      </c>
      <c r="E1476" s="23" t="s">
        <v>618</v>
      </c>
      <c r="F1476">
        <v>1</v>
      </c>
      <c r="G1476" s="23" t="s">
        <v>177</v>
      </c>
      <c r="H1476">
        <v>0</v>
      </c>
      <c r="I1476">
        <v>114</v>
      </c>
      <c r="J1476" s="10">
        <v>0</v>
      </c>
      <c r="K1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1476">
        <v>0</v>
      </c>
      <c r="M14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6">
        <v>10</v>
      </c>
      <c r="O1476" s="23"/>
      <c r="P1476">
        <v>10</v>
      </c>
      <c r="Q1476" s="23" t="s">
        <v>179</v>
      </c>
    </row>
    <row r="1477" spans="1:17" x14ac:dyDescent="0.25">
      <c r="A1477" s="23" t="s">
        <v>1197</v>
      </c>
      <c r="B1477" s="23" t="s">
        <v>1198</v>
      </c>
      <c r="C1477" s="23" t="s">
        <v>176</v>
      </c>
      <c r="D1477" s="23" t="s">
        <v>243</v>
      </c>
      <c r="E1477" s="23" t="s">
        <v>244</v>
      </c>
      <c r="F1477">
        <v>1</v>
      </c>
      <c r="G1477" s="23" t="s">
        <v>177</v>
      </c>
      <c r="H1477">
        <v>0</v>
      </c>
      <c r="I1477">
        <v>49</v>
      </c>
      <c r="J1477" s="10">
        <v>1.599999999999973</v>
      </c>
      <c r="K1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1477">
        <v>0</v>
      </c>
      <c r="M14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77">
        <v>60</v>
      </c>
      <c r="O1477" s="23" t="s">
        <v>491</v>
      </c>
      <c r="P1477">
        <v>60</v>
      </c>
      <c r="Q1477" s="23" t="s">
        <v>181</v>
      </c>
    </row>
    <row r="1478" spans="1:17" x14ac:dyDescent="0.25">
      <c r="A1478" s="23" t="s">
        <v>1147</v>
      </c>
      <c r="B1478" s="23" t="s">
        <v>1145</v>
      </c>
      <c r="C1478" s="23" t="s">
        <v>176</v>
      </c>
      <c r="D1478" s="23" t="s">
        <v>115</v>
      </c>
      <c r="E1478" s="23" t="s">
        <v>116</v>
      </c>
      <c r="F1478">
        <v>1.4909999999999999</v>
      </c>
      <c r="G1478" s="23" t="s">
        <v>186</v>
      </c>
      <c r="H1478">
        <v>0</v>
      </c>
      <c r="I1478">
        <v>0</v>
      </c>
      <c r="J1478" s="10">
        <v>65.03100000000002</v>
      </c>
      <c r="K1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478">
        <v>0</v>
      </c>
      <c r="M14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478">
        <v>389.53</v>
      </c>
      <c r="O1478" s="23" t="s">
        <v>491</v>
      </c>
      <c r="P1478">
        <v>580.78922999999986</v>
      </c>
      <c r="Q1478" s="23" t="s">
        <v>184</v>
      </c>
    </row>
    <row r="1479" spans="1:17" x14ac:dyDescent="0.25">
      <c r="A1479" s="23" t="s">
        <v>1180</v>
      </c>
      <c r="B1479" s="23" t="s">
        <v>1181</v>
      </c>
      <c r="C1479" s="23" t="s">
        <v>176</v>
      </c>
      <c r="D1479" s="23" t="s">
        <v>115</v>
      </c>
      <c r="E1479" s="23" t="s">
        <v>116</v>
      </c>
      <c r="F1479">
        <v>1.135</v>
      </c>
      <c r="G1479" s="23" t="s">
        <v>186</v>
      </c>
      <c r="H1479">
        <v>0</v>
      </c>
      <c r="I1479">
        <v>0</v>
      </c>
      <c r="J1479" s="10">
        <v>65.03100000000002</v>
      </c>
      <c r="K1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1479">
        <v>0</v>
      </c>
      <c r="M14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1479">
        <v>389.53</v>
      </c>
      <c r="O1479" s="23" t="s">
        <v>491</v>
      </c>
      <c r="P1479">
        <v>442.11654999999996</v>
      </c>
      <c r="Q1479" s="23" t="s">
        <v>184</v>
      </c>
    </row>
    <row r="1480" spans="1:17" x14ac:dyDescent="0.25">
      <c r="A1480" s="23" t="s">
        <v>1100</v>
      </c>
      <c r="B1480" s="23" t="s">
        <v>1101</v>
      </c>
      <c r="C1480" s="23" t="s">
        <v>176</v>
      </c>
      <c r="D1480" s="23" t="s">
        <v>230</v>
      </c>
      <c r="E1480" s="23" t="s">
        <v>231</v>
      </c>
      <c r="F1480">
        <v>2</v>
      </c>
      <c r="G1480" s="23" t="s">
        <v>177</v>
      </c>
      <c r="H1480">
        <v>0</v>
      </c>
      <c r="I1480">
        <v>238</v>
      </c>
      <c r="J1480" s="10">
        <v>90</v>
      </c>
      <c r="K1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80">
        <v>0</v>
      </c>
      <c r="M14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0">
        <v>4</v>
      </c>
      <c r="O1480" s="23" t="s">
        <v>221</v>
      </c>
      <c r="P1480">
        <v>8</v>
      </c>
      <c r="Q1480" s="23" t="s">
        <v>222</v>
      </c>
    </row>
    <row r="1481" spans="1:17" x14ac:dyDescent="0.25">
      <c r="A1481" s="23" t="s">
        <v>1100</v>
      </c>
      <c r="B1481" s="23" t="s">
        <v>1101</v>
      </c>
      <c r="C1481" s="23" t="s">
        <v>176</v>
      </c>
      <c r="D1481" s="23" t="s">
        <v>58</v>
      </c>
      <c r="E1481" s="23" t="s">
        <v>59</v>
      </c>
      <c r="F1481">
        <v>1</v>
      </c>
      <c r="G1481" s="23" t="s">
        <v>177</v>
      </c>
      <c r="H1481">
        <v>0</v>
      </c>
      <c r="I1481">
        <v>18</v>
      </c>
      <c r="J1481" s="10">
        <v>10</v>
      </c>
      <c r="K1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481">
        <v>0</v>
      </c>
      <c r="M14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1">
        <v>1094.4000000000001</v>
      </c>
      <c r="O1481" s="23" t="s">
        <v>827</v>
      </c>
      <c r="P1481">
        <v>1094.4000000000001</v>
      </c>
      <c r="Q1481" s="23" t="s">
        <v>222</v>
      </c>
    </row>
    <row r="1482" spans="1:17" x14ac:dyDescent="0.25">
      <c r="A1482" s="23" t="s">
        <v>1097</v>
      </c>
      <c r="B1482" s="23" t="s">
        <v>1095</v>
      </c>
      <c r="C1482" s="23" t="s">
        <v>176</v>
      </c>
      <c r="D1482" s="23" t="s">
        <v>230</v>
      </c>
      <c r="E1482" s="23" t="s">
        <v>231</v>
      </c>
      <c r="F1482">
        <v>2</v>
      </c>
      <c r="G1482" s="23" t="s">
        <v>177</v>
      </c>
      <c r="H1482">
        <v>0</v>
      </c>
      <c r="I1482">
        <v>238</v>
      </c>
      <c r="J1482" s="10">
        <v>90</v>
      </c>
      <c r="K1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82">
        <v>0</v>
      </c>
      <c r="M14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2">
        <v>4</v>
      </c>
      <c r="O1482" s="23" t="s">
        <v>221</v>
      </c>
      <c r="P1482">
        <v>8</v>
      </c>
      <c r="Q1482" s="23" t="s">
        <v>222</v>
      </c>
    </row>
    <row r="1483" spans="1:17" x14ac:dyDescent="0.25">
      <c r="A1483" s="23" t="s">
        <v>1180</v>
      </c>
      <c r="B1483" s="23" t="s">
        <v>1181</v>
      </c>
      <c r="C1483" s="23" t="s">
        <v>176</v>
      </c>
      <c r="D1483" s="23" t="s">
        <v>0</v>
      </c>
      <c r="E1483" s="23" t="s">
        <v>1</v>
      </c>
      <c r="F1483">
        <v>3</v>
      </c>
      <c r="G1483" s="23" t="s">
        <v>177</v>
      </c>
      <c r="H1483">
        <v>0</v>
      </c>
      <c r="I1483">
        <v>69</v>
      </c>
      <c r="J1483" s="10">
        <v>22</v>
      </c>
      <c r="K1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483">
        <v>0</v>
      </c>
      <c r="M14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3">
        <v>640</v>
      </c>
      <c r="O1483" s="23" t="s">
        <v>221</v>
      </c>
      <c r="P1483">
        <v>1920</v>
      </c>
      <c r="Q1483" s="23" t="s">
        <v>222</v>
      </c>
    </row>
    <row r="1484" spans="1:17" x14ac:dyDescent="0.25">
      <c r="A1484" s="23" t="s">
        <v>1100</v>
      </c>
      <c r="B1484" s="23" t="s">
        <v>1101</v>
      </c>
      <c r="C1484" s="23" t="s">
        <v>176</v>
      </c>
      <c r="D1484" s="23" t="s">
        <v>0</v>
      </c>
      <c r="E1484" s="23" t="s">
        <v>1</v>
      </c>
      <c r="F1484">
        <v>2</v>
      </c>
      <c r="G1484" s="23" t="s">
        <v>177</v>
      </c>
      <c r="H1484">
        <v>0</v>
      </c>
      <c r="I1484">
        <v>69</v>
      </c>
      <c r="J1484" s="10">
        <v>22</v>
      </c>
      <c r="K1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484">
        <v>0</v>
      </c>
      <c r="M14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4">
        <v>640</v>
      </c>
      <c r="O1484" s="23" t="s">
        <v>221</v>
      </c>
      <c r="P1484">
        <v>1280</v>
      </c>
      <c r="Q1484" s="23" t="s">
        <v>222</v>
      </c>
    </row>
    <row r="1485" spans="1:17" x14ac:dyDescent="0.25">
      <c r="A1485" s="23" t="s">
        <v>1148</v>
      </c>
      <c r="B1485" s="23" t="s">
        <v>1054</v>
      </c>
      <c r="C1485" s="23" t="s">
        <v>176</v>
      </c>
      <c r="D1485" s="23" t="s">
        <v>230</v>
      </c>
      <c r="E1485" s="23" t="s">
        <v>231</v>
      </c>
      <c r="F1485">
        <v>2</v>
      </c>
      <c r="G1485" s="23" t="s">
        <v>177</v>
      </c>
      <c r="H1485">
        <v>0</v>
      </c>
      <c r="I1485">
        <v>238</v>
      </c>
      <c r="J1485" s="10">
        <v>90</v>
      </c>
      <c r="K1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85">
        <v>0</v>
      </c>
      <c r="M14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5">
        <v>4</v>
      </c>
      <c r="O1485" s="23" t="s">
        <v>221</v>
      </c>
      <c r="P1485">
        <v>8</v>
      </c>
      <c r="Q1485" s="23" t="s">
        <v>222</v>
      </c>
    </row>
    <row r="1486" spans="1:17" x14ac:dyDescent="0.25">
      <c r="A1486" s="23" t="s">
        <v>1055</v>
      </c>
      <c r="B1486" s="23" t="s">
        <v>1056</v>
      </c>
      <c r="C1486" s="23" t="s">
        <v>176</v>
      </c>
      <c r="D1486" s="23" t="s">
        <v>230</v>
      </c>
      <c r="E1486" s="23" t="s">
        <v>231</v>
      </c>
      <c r="F1486">
        <v>2</v>
      </c>
      <c r="G1486" s="23" t="s">
        <v>177</v>
      </c>
      <c r="H1486">
        <v>0</v>
      </c>
      <c r="I1486">
        <v>238</v>
      </c>
      <c r="J1486" s="10">
        <v>90</v>
      </c>
      <c r="K1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86">
        <v>0</v>
      </c>
      <c r="M14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6">
        <v>4</v>
      </c>
      <c r="O1486" s="23" t="s">
        <v>221</v>
      </c>
      <c r="P1486">
        <v>8</v>
      </c>
      <c r="Q1486" s="23" t="s">
        <v>222</v>
      </c>
    </row>
    <row r="1487" spans="1:17" x14ac:dyDescent="0.25">
      <c r="A1487" s="23" t="s">
        <v>1099</v>
      </c>
      <c r="B1487" s="23" t="s">
        <v>1056</v>
      </c>
      <c r="C1487" s="23" t="s">
        <v>176</v>
      </c>
      <c r="D1487" s="23" t="s">
        <v>230</v>
      </c>
      <c r="E1487" s="23" t="s">
        <v>231</v>
      </c>
      <c r="F1487">
        <v>2</v>
      </c>
      <c r="G1487" s="23" t="s">
        <v>177</v>
      </c>
      <c r="H1487">
        <v>0</v>
      </c>
      <c r="I1487">
        <v>238</v>
      </c>
      <c r="J1487" s="10">
        <v>90</v>
      </c>
      <c r="K1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87">
        <v>0</v>
      </c>
      <c r="M14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7">
        <v>4</v>
      </c>
      <c r="O1487" s="23" t="s">
        <v>221</v>
      </c>
      <c r="P1487">
        <v>8</v>
      </c>
      <c r="Q1487" s="23" t="s">
        <v>222</v>
      </c>
    </row>
    <row r="1488" spans="1:17" x14ac:dyDescent="0.25">
      <c r="A1488" s="23" t="s">
        <v>1100</v>
      </c>
      <c r="B1488" s="23" t="s">
        <v>1101</v>
      </c>
      <c r="C1488" s="23" t="s">
        <v>176</v>
      </c>
      <c r="D1488" s="23" t="s">
        <v>54</v>
      </c>
      <c r="E1488" s="23" t="s">
        <v>55</v>
      </c>
      <c r="F1488">
        <v>1</v>
      </c>
      <c r="G1488" s="23" t="s">
        <v>177</v>
      </c>
      <c r="H1488">
        <v>0</v>
      </c>
      <c r="I1488">
        <v>10</v>
      </c>
      <c r="J1488" s="10">
        <v>12</v>
      </c>
      <c r="K1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488">
        <v>4</v>
      </c>
      <c r="M14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8">
        <v>1600</v>
      </c>
      <c r="O1488" s="23" t="s">
        <v>218</v>
      </c>
      <c r="P1488">
        <v>1600</v>
      </c>
      <c r="Q1488" s="23" t="s">
        <v>222</v>
      </c>
    </row>
    <row r="1489" spans="1:17" x14ac:dyDescent="0.25">
      <c r="A1489" s="23" t="s">
        <v>1100</v>
      </c>
      <c r="B1489" s="23" t="s">
        <v>1101</v>
      </c>
      <c r="C1489" s="23" t="s">
        <v>176</v>
      </c>
      <c r="D1489" s="23" t="s">
        <v>377</v>
      </c>
      <c r="E1489" s="23" t="s">
        <v>378</v>
      </c>
      <c r="F1489">
        <v>3</v>
      </c>
      <c r="G1489" s="23" t="s">
        <v>177</v>
      </c>
      <c r="H1489">
        <v>0</v>
      </c>
      <c r="I1489">
        <v>38</v>
      </c>
      <c r="J1489" s="10">
        <v>25</v>
      </c>
      <c r="K1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1489">
        <v>20</v>
      </c>
      <c r="M14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89">
        <v>245</v>
      </c>
      <c r="O1489" s="23" t="s">
        <v>822</v>
      </c>
      <c r="P1489">
        <v>735</v>
      </c>
      <c r="Q1489" s="23" t="s">
        <v>179</v>
      </c>
    </row>
    <row r="1490" spans="1:17" x14ac:dyDescent="0.25">
      <c r="A1490" s="23" t="s">
        <v>1097</v>
      </c>
      <c r="B1490" s="23" t="s">
        <v>1095</v>
      </c>
      <c r="C1490" s="23" t="s">
        <v>176</v>
      </c>
      <c r="D1490" s="23" t="s">
        <v>0</v>
      </c>
      <c r="E1490" s="23" t="s">
        <v>1</v>
      </c>
      <c r="F1490">
        <v>2</v>
      </c>
      <c r="G1490" s="23" t="s">
        <v>177</v>
      </c>
      <c r="H1490">
        <v>0</v>
      </c>
      <c r="I1490">
        <v>69</v>
      </c>
      <c r="J1490" s="10">
        <v>22</v>
      </c>
      <c r="K1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1490">
        <v>0</v>
      </c>
      <c r="M14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0">
        <v>640</v>
      </c>
      <c r="O1490" s="23" t="s">
        <v>221</v>
      </c>
      <c r="P1490">
        <v>1280</v>
      </c>
      <c r="Q1490" s="23" t="s">
        <v>222</v>
      </c>
    </row>
    <row r="1491" spans="1:17" x14ac:dyDescent="0.25">
      <c r="A1491" s="23" t="s">
        <v>1062</v>
      </c>
      <c r="B1491" s="23" t="s">
        <v>1053</v>
      </c>
      <c r="C1491" s="23" t="s">
        <v>176</v>
      </c>
      <c r="D1491" s="23" t="s">
        <v>230</v>
      </c>
      <c r="E1491" s="23" t="s">
        <v>231</v>
      </c>
      <c r="F1491">
        <v>2</v>
      </c>
      <c r="G1491" s="23" t="s">
        <v>177</v>
      </c>
      <c r="H1491">
        <v>0</v>
      </c>
      <c r="I1491">
        <v>238</v>
      </c>
      <c r="J1491" s="10">
        <v>90</v>
      </c>
      <c r="K1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91">
        <v>0</v>
      </c>
      <c r="M14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1">
        <v>4</v>
      </c>
      <c r="O1491" s="23" t="s">
        <v>221</v>
      </c>
      <c r="P1491">
        <v>8</v>
      </c>
      <c r="Q1491" s="23" t="s">
        <v>222</v>
      </c>
    </row>
    <row r="1492" spans="1:17" x14ac:dyDescent="0.25">
      <c r="A1492" s="23" t="s">
        <v>1197</v>
      </c>
      <c r="B1492" s="23" t="s">
        <v>1198</v>
      </c>
      <c r="C1492" s="23" t="s">
        <v>176</v>
      </c>
      <c r="D1492" s="23" t="s">
        <v>230</v>
      </c>
      <c r="E1492" s="23" t="s">
        <v>231</v>
      </c>
      <c r="F1492">
        <v>2</v>
      </c>
      <c r="G1492" s="23" t="s">
        <v>177</v>
      </c>
      <c r="H1492">
        <v>0</v>
      </c>
      <c r="I1492">
        <v>238</v>
      </c>
      <c r="J1492" s="10">
        <v>90</v>
      </c>
      <c r="K1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1492">
        <v>0</v>
      </c>
      <c r="M14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2">
        <v>4</v>
      </c>
      <c r="O1492" s="23" t="s">
        <v>221</v>
      </c>
      <c r="P1492">
        <v>8</v>
      </c>
      <c r="Q1492" s="23" t="s">
        <v>222</v>
      </c>
    </row>
    <row r="1493" spans="1:17" x14ac:dyDescent="0.25">
      <c r="A1493" s="23" t="s">
        <v>1057</v>
      </c>
      <c r="B1493" s="23" t="s">
        <v>1056</v>
      </c>
      <c r="C1493" s="23" t="s">
        <v>176</v>
      </c>
      <c r="D1493" s="23" t="s">
        <v>417</v>
      </c>
      <c r="E1493" s="23" t="s">
        <v>418</v>
      </c>
      <c r="F1493">
        <v>18</v>
      </c>
      <c r="G1493" s="23" t="s">
        <v>177</v>
      </c>
      <c r="H1493">
        <v>0</v>
      </c>
      <c r="I1493">
        <v>1000</v>
      </c>
      <c r="J1493" s="10">
        <v>4807</v>
      </c>
      <c r="K1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1493">
        <v>0</v>
      </c>
      <c r="M14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3">
        <v>0.3</v>
      </c>
      <c r="O1493" s="23" t="s">
        <v>629</v>
      </c>
      <c r="P1493">
        <v>5.3999999999999995</v>
      </c>
      <c r="Q1493" s="23" t="s">
        <v>181</v>
      </c>
    </row>
    <row r="1494" spans="1:17" x14ac:dyDescent="0.25">
      <c r="A1494" s="23" t="s">
        <v>1143</v>
      </c>
      <c r="B1494" s="23" t="s">
        <v>1054</v>
      </c>
      <c r="C1494" s="23" t="s">
        <v>176</v>
      </c>
      <c r="D1494" s="23" t="s">
        <v>417</v>
      </c>
      <c r="E1494" s="23" t="s">
        <v>418</v>
      </c>
      <c r="F1494">
        <v>21</v>
      </c>
      <c r="G1494" s="23" t="s">
        <v>177</v>
      </c>
      <c r="H1494">
        <v>0</v>
      </c>
      <c r="I1494">
        <v>1000</v>
      </c>
      <c r="J1494" s="10">
        <v>4807</v>
      </c>
      <c r="K1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1494">
        <v>0</v>
      </c>
      <c r="M14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4">
        <v>0.3</v>
      </c>
      <c r="O1494" s="23" t="s">
        <v>629</v>
      </c>
      <c r="P1494">
        <v>6.3</v>
      </c>
      <c r="Q1494" s="23" t="s">
        <v>181</v>
      </c>
    </row>
    <row r="1495" spans="1:17" x14ac:dyDescent="0.25">
      <c r="A1495" s="23" t="s">
        <v>1094</v>
      </c>
      <c r="B1495" s="23" t="s">
        <v>1095</v>
      </c>
      <c r="C1495" s="23" t="s">
        <v>176</v>
      </c>
      <c r="D1495" s="23" t="s">
        <v>417</v>
      </c>
      <c r="E1495" s="23" t="s">
        <v>418</v>
      </c>
      <c r="F1495">
        <v>11</v>
      </c>
      <c r="G1495" s="23" t="s">
        <v>177</v>
      </c>
      <c r="H1495">
        <v>0</v>
      </c>
      <c r="I1495">
        <v>1000</v>
      </c>
      <c r="J1495" s="10">
        <v>4807</v>
      </c>
      <c r="K1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1495">
        <v>0</v>
      </c>
      <c r="M14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5">
        <v>0.3</v>
      </c>
      <c r="O1495" s="23" t="s">
        <v>629</v>
      </c>
      <c r="P1495">
        <v>3.3</v>
      </c>
      <c r="Q1495" s="23" t="s">
        <v>181</v>
      </c>
    </row>
    <row r="1496" spans="1:17" x14ac:dyDescent="0.25">
      <c r="A1496" s="23" t="s">
        <v>1143</v>
      </c>
      <c r="B1496" s="23" t="s">
        <v>1054</v>
      </c>
      <c r="C1496" s="23" t="s">
        <v>176</v>
      </c>
      <c r="D1496" s="23" t="s">
        <v>659</v>
      </c>
      <c r="E1496" s="23" t="s">
        <v>660</v>
      </c>
      <c r="F1496">
        <v>1</v>
      </c>
      <c r="G1496" s="23" t="s">
        <v>177</v>
      </c>
      <c r="H1496">
        <v>0</v>
      </c>
      <c r="I1496">
        <v>0</v>
      </c>
      <c r="J1496" s="10">
        <v>65</v>
      </c>
      <c r="K1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1496">
        <v>100</v>
      </c>
      <c r="M14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6">
        <v>115</v>
      </c>
      <c r="O1496" s="23" t="s">
        <v>242</v>
      </c>
      <c r="P1496">
        <v>115</v>
      </c>
      <c r="Q1496" s="23" t="s">
        <v>181</v>
      </c>
    </row>
    <row r="1497" spans="1:17" x14ac:dyDescent="0.25">
      <c r="A1497" s="23" t="s">
        <v>1197</v>
      </c>
      <c r="B1497" s="23" t="s">
        <v>1198</v>
      </c>
      <c r="C1497" s="23" t="s">
        <v>176</v>
      </c>
      <c r="D1497" s="23" t="s">
        <v>1215</v>
      </c>
      <c r="E1497" s="23" t="s">
        <v>1216</v>
      </c>
      <c r="F1497">
        <v>0.3</v>
      </c>
      <c r="G1497" s="23" t="s">
        <v>186</v>
      </c>
      <c r="H1497">
        <v>0</v>
      </c>
      <c r="I1497">
        <v>0</v>
      </c>
      <c r="J1497" s="10">
        <v>22</v>
      </c>
      <c r="K1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</v>
      </c>
      <c r="L1497">
        <v>0</v>
      </c>
      <c r="M14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162.54600000000002</v>
      </c>
      <c r="N1497">
        <v>270.91000000000003</v>
      </c>
      <c r="O1497" s="23" t="s">
        <v>1194</v>
      </c>
      <c r="P1497">
        <v>81.27300000000001</v>
      </c>
      <c r="Q1497" s="23" t="s">
        <v>184</v>
      </c>
    </row>
    <row r="1498" spans="1:17" x14ac:dyDescent="0.25">
      <c r="A1498" s="23" t="s">
        <v>1097</v>
      </c>
      <c r="B1498" s="23" t="s">
        <v>1095</v>
      </c>
      <c r="C1498" s="23" t="s">
        <v>176</v>
      </c>
      <c r="D1498" s="23" t="s">
        <v>364</v>
      </c>
      <c r="E1498" s="23" t="s">
        <v>365</v>
      </c>
      <c r="F1498">
        <v>5.5</v>
      </c>
      <c r="G1498" s="23" t="s">
        <v>180</v>
      </c>
      <c r="H1498">
        <v>0</v>
      </c>
      <c r="I1498">
        <v>200</v>
      </c>
      <c r="J1498" s="10">
        <v>59.899999999999928</v>
      </c>
      <c r="K1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498">
        <v>0</v>
      </c>
      <c r="M14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8">
        <v>22.5</v>
      </c>
      <c r="O1498" s="23" t="s">
        <v>315</v>
      </c>
      <c r="P1498">
        <v>123.75</v>
      </c>
      <c r="Q1498" s="23" t="s">
        <v>179</v>
      </c>
    </row>
    <row r="1499" spans="1:17" x14ac:dyDescent="0.25">
      <c r="A1499" s="23" t="s">
        <v>1197</v>
      </c>
      <c r="B1499" s="23" t="s">
        <v>1198</v>
      </c>
      <c r="C1499" s="23" t="s">
        <v>176</v>
      </c>
      <c r="D1499" s="23" t="s">
        <v>364</v>
      </c>
      <c r="E1499" s="23" t="s">
        <v>365</v>
      </c>
      <c r="F1499">
        <v>7.5</v>
      </c>
      <c r="G1499" s="23" t="s">
        <v>180</v>
      </c>
      <c r="H1499">
        <v>0</v>
      </c>
      <c r="I1499">
        <v>200</v>
      </c>
      <c r="J1499" s="10">
        <v>59.899999999999928</v>
      </c>
      <c r="K1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499">
        <v>0</v>
      </c>
      <c r="M14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499">
        <v>22.5</v>
      </c>
      <c r="O1499" s="23" t="s">
        <v>315</v>
      </c>
      <c r="P1499">
        <v>168.75</v>
      </c>
      <c r="Q1499" s="23" t="s">
        <v>179</v>
      </c>
    </row>
    <row r="1500" spans="1:17" x14ac:dyDescent="0.25">
      <c r="A1500" s="23" t="s">
        <v>1100</v>
      </c>
      <c r="B1500" s="23" t="s">
        <v>1101</v>
      </c>
      <c r="C1500" s="23" t="s">
        <v>176</v>
      </c>
      <c r="D1500" s="23" t="s">
        <v>364</v>
      </c>
      <c r="E1500" s="23" t="s">
        <v>365</v>
      </c>
      <c r="F1500">
        <v>10</v>
      </c>
      <c r="G1500" s="23" t="s">
        <v>180</v>
      </c>
      <c r="H1500">
        <v>0</v>
      </c>
      <c r="I1500">
        <v>200</v>
      </c>
      <c r="J1500" s="10">
        <v>59.899999999999928</v>
      </c>
      <c r="K1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00">
        <v>0</v>
      </c>
      <c r="M15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0">
        <v>22.5</v>
      </c>
      <c r="O1500" s="23" t="s">
        <v>315</v>
      </c>
      <c r="P1500">
        <v>225</v>
      </c>
      <c r="Q1500" s="23" t="s">
        <v>179</v>
      </c>
    </row>
    <row r="1501" spans="1:17" x14ac:dyDescent="0.25">
      <c r="A1501" s="23" t="s">
        <v>1062</v>
      </c>
      <c r="B1501" s="23" t="s">
        <v>1053</v>
      </c>
      <c r="C1501" s="23" t="s">
        <v>176</v>
      </c>
      <c r="D1501" s="23" t="s">
        <v>417</v>
      </c>
      <c r="E1501" s="23" t="s">
        <v>418</v>
      </c>
      <c r="F1501">
        <v>45</v>
      </c>
      <c r="G1501" s="23" t="s">
        <v>177</v>
      </c>
      <c r="H1501">
        <v>0</v>
      </c>
      <c r="I1501">
        <v>1000</v>
      </c>
      <c r="J1501" s="10">
        <v>4807</v>
      </c>
      <c r="K1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1501">
        <v>0</v>
      </c>
      <c r="M15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1">
        <v>0.3</v>
      </c>
      <c r="O1501" s="23" t="s">
        <v>629</v>
      </c>
      <c r="P1501">
        <v>13.5</v>
      </c>
      <c r="Q1501" s="23" t="s">
        <v>181</v>
      </c>
    </row>
    <row r="1502" spans="1:17" x14ac:dyDescent="0.25">
      <c r="A1502" s="23" t="s">
        <v>1098</v>
      </c>
      <c r="B1502" s="23" t="s">
        <v>1053</v>
      </c>
      <c r="C1502" s="23" t="s">
        <v>176</v>
      </c>
      <c r="D1502" s="23" t="s">
        <v>659</v>
      </c>
      <c r="E1502" s="23" t="s">
        <v>660</v>
      </c>
      <c r="F1502">
        <v>1</v>
      </c>
      <c r="G1502" s="23" t="s">
        <v>177</v>
      </c>
      <c r="H1502">
        <v>0</v>
      </c>
      <c r="I1502">
        <v>0</v>
      </c>
      <c r="J1502" s="10">
        <v>65</v>
      </c>
      <c r="K1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1502">
        <v>100</v>
      </c>
      <c r="M15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2">
        <v>115</v>
      </c>
      <c r="O1502" s="23" t="s">
        <v>242</v>
      </c>
      <c r="P1502">
        <v>115</v>
      </c>
      <c r="Q1502" s="23" t="s">
        <v>181</v>
      </c>
    </row>
    <row r="1503" spans="1:17" x14ac:dyDescent="0.25">
      <c r="A1503" s="23" t="s">
        <v>1062</v>
      </c>
      <c r="B1503" s="23" t="s">
        <v>1053</v>
      </c>
      <c r="C1503" s="23" t="s">
        <v>176</v>
      </c>
      <c r="D1503" s="23" t="s">
        <v>851</v>
      </c>
      <c r="E1503" s="23" t="s">
        <v>852</v>
      </c>
      <c r="F1503">
        <v>1</v>
      </c>
      <c r="G1503" s="23" t="s">
        <v>177</v>
      </c>
      <c r="H1503">
        <v>0</v>
      </c>
      <c r="I1503">
        <v>10</v>
      </c>
      <c r="J1503" s="10">
        <v>3</v>
      </c>
      <c r="K1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503">
        <v>0</v>
      </c>
      <c r="M15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3">
        <v>45</v>
      </c>
      <c r="O1503" s="23" t="s">
        <v>242</v>
      </c>
      <c r="P1503">
        <v>45</v>
      </c>
      <c r="Q1503" s="23" t="s">
        <v>181</v>
      </c>
    </row>
    <row r="1504" spans="1:17" x14ac:dyDescent="0.25">
      <c r="A1504" s="23" t="s">
        <v>1097</v>
      </c>
      <c r="B1504" s="23" t="s">
        <v>1095</v>
      </c>
      <c r="C1504" s="23" t="s">
        <v>176</v>
      </c>
      <c r="D1504" s="23" t="s">
        <v>659</v>
      </c>
      <c r="E1504" s="23" t="s">
        <v>660</v>
      </c>
      <c r="F1504">
        <v>1</v>
      </c>
      <c r="G1504" s="23" t="s">
        <v>177</v>
      </c>
      <c r="H1504">
        <v>0</v>
      </c>
      <c r="I1504">
        <v>0</v>
      </c>
      <c r="J1504" s="10">
        <v>65</v>
      </c>
      <c r="K1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1504">
        <v>100</v>
      </c>
      <c r="M15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4">
        <v>115</v>
      </c>
      <c r="O1504" s="23" t="s">
        <v>242</v>
      </c>
      <c r="P1504">
        <v>115</v>
      </c>
      <c r="Q1504" s="23" t="s">
        <v>181</v>
      </c>
    </row>
    <row r="1505" spans="1:17" x14ac:dyDescent="0.25">
      <c r="A1505" s="23" t="s">
        <v>1094</v>
      </c>
      <c r="B1505" s="23" t="s">
        <v>1095</v>
      </c>
      <c r="C1505" s="23" t="s">
        <v>176</v>
      </c>
      <c r="D1505" s="23" t="s">
        <v>659</v>
      </c>
      <c r="E1505" s="23" t="s">
        <v>660</v>
      </c>
      <c r="F1505">
        <v>1</v>
      </c>
      <c r="G1505" s="23" t="s">
        <v>177</v>
      </c>
      <c r="H1505">
        <v>0</v>
      </c>
      <c r="I1505">
        <v>0</v>
      </c>
      <c r="J1505" s="10">
        <v>65</v>
      </c>
      <c r="K1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1505">
        <v>100</v>
      </c>
      <c r="M15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5">
        <v>115</v>
      </c>
      <c r="O1505" s="23" t="s">
        <v>242</v>
      </c>
      <c r="P1505">
        <v>115</v>
      </c>
      <c r="Q1505" s="23" t="s">
        <v>181</v>
      </c>
    </row>
    <row r="1506" spans="1:17" x14ac:dyDescent="0.25">
      <c r="A1506" s="23" t="s">
        <v>1097</v>
      </c>
      <c r="B1506" s="23" t="s">
        <v>1095</v>
      </c>
      <c r="C1506" s="23" t="s">
        <v>176</v>
      </c>
      <c r="D1506" s="23" t="s">
        <v>1105</v>
      </c>
      <c r="E1506" s="23" t="s">
        <v>1106</v>
      </c>
      <c r="F1506">
        <v>0.5</v>
      </c>
      <c r="G1506" s="23" t="s">
        <v>413</v>
      </c>
      <c r="H1506">
        <v>0</v>
      </c>
      <c r="I1506">
        <v>500</v>
      </c>
      <c r="J1506" s="10">
        <v>0</v>
      </c>
      <c r="K1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-499</v>
      </c>
      <c r="L1506">
        <v>0</v>
      </c>
      <c r="M15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6">
        <v>4</v>
      </c>
      <c r="O1506" s="23" t="s">
        <v>347</v>
      </c>
      <c r="P1506">
        <v>2</v>
      </c>
      <c r="Q1506" s="23" t="s">
        <v>184</v>
      </c>
    </row>
    <row r="1507" spans="1:17" x14ac:dyDescent="0.25">
      <c r="A1507" s="23" t="s">
        <v>1062</v>
      </c>
      <c r="B1507" s="23" t="s">
        <v>1053</v>
      </c>
      <c r="C1507" s="23" t="s">
        <v>176</v>
      </c>
      <c r="D1507" s="23" t="s">
        <v>364</v>
      </c>
      <c r="E1507" s="23" t="s">
        <v>365</v>
      </c>
      <c r="F1507">
        <v>10</v>
      </c>
      <c r="G1507" s="23" t="s">
        <v>180</v>
      </c>
      <c r="H1507">
        <v>0</v>
      </c>
      <c r="I1507">
        <v>200</v>
      </c>
      <c r="J1507" s="10">
        <v>59.899999999999928</v>
      </c>
      <c r="K1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07">
        <v>0</v>
      </c>
      <c r="M15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7">
        <v>22.5</v>
      </c>
      <c r="O1507" s="23" t="s">
        <v>315</v>
      </c>
      <c r="P1507">
        <v>225</v>
      </c>
      <c r="Q1507" s="23" t="s">
        <v>179</v>
      </c>
    </row>
    <row r="1508" spans="1:17" x14ac:dyDescent="0.25">
      <c r="A1508" s="23" t="s">
        <v>1098</v>
      </c>
      <c r="B1508" s="23" t="s">
        <v>1053</v>
      </c>
      <c r="C1508" s="23" t="s">
        <v>176</v>
      </c>
      <c r="D1508" s="23" t="s">
        <v>364</v>
      </c>
      <c r="E1508" s="23" t="s">
        <v>365</v>
      </c>
      <c r="F1508">
        <v>5.65</v>
      </c>
      <c r="G1508" s="23" t="s">
        <v>180</v>
      </c>
      <c r="H1508">
        <v>0</v>
      </c>
      <c r="I1508">
        <v>200</v>
      </c>
      <c r="J1508" s="10">
        <v>59.899999999999928</v>
      </c>
      <c r="K1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08">
        <v>0</v>
      </c>
      <c r="M15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8">
        <v>22.5</v>
      </c>
      <c r="O1508" s="23" t="s">
        <v>315</v>
      </c>
      <c r="P1508">
        <v>127.12500000000001</v>
      </c>
      <c r="Q1508" s="23" t="s">
        <v>179</v>
      </c>
    </row>
    <row r="1509" spans="1:17" x14ac:dyDescent="0.25">
      <c r="A1509" s="23" t="s">
        <v>1197</v>
      </c>
      <c r="B1509" s="23" t="s">
        <v>1198</v>
      </c>
      <c r="C1509" s="23" t="s">
        <v>176</v>
      </c>
      <c r="D1509" s="23" t="s">
        <v>156</v>
      </c>
      <c r="E1509" s="23" t="s">
        <v>157</v>
      </c>
      <c r="F1509">
        <v>0.01</v>
      </c>
      <c r="G1509" s="23" t="s">
        <v>180</v>
      </c>
      <c r="H1509">
        <v>0</v>
      </c>
      <c r="I1509">
        <v>200</v>
      </c>
      <c r="J1509" s="10">
        <v>75.000000000000014</v>
      </c>
      <c r="K1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509">
        <v>0</v>
      </c>
      <c r="M15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09">
        <v>7.4</v>
      </c>
      <c r="O1509" s="23" t="s">
        <v>636</v>
      </c>
      <c r="P1509">
        <v>7.400000000000001E-2</v>
      </c>
      <c r="Q1509" s="23" t="s">
        <v>222</v>
      </c>
    </row>
    <row r="1510" spans="1:17" x14ac:dyDescent="0.25">
      <c r="A1510" s="23" t="s">
        <v>1058</v>
      </c>
      <c r="B1510" s="23" t="s">
        <v>1059</v>
      </c>
      <c r="C1510" s="23" t="s">
        <v>176</v>
      </c>
      <c r="D1510" s="23" t="s">
        <v>156</v>
      </c>
      <c r="E1510" s="23" t="s">
        <v>157</v>
      </c>
      <c r="F1510">
        <v>1</v>
      </c>
      <c r="G1510" s="23" t="s">
        <v>180</v>
      </c>
      <c r="H1510">
        <v>0</v>
      </c>
      <c r="I1510">
        <v>200</v>
      </c>
      <c r="J1510" s="10">
        <v>75.000000000000014</v>
      </c>
      <c r="K1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510">
        <v>0</v>
      </c>
      <c r="M15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0">
        <v>7.4</v>
      </c>
      <c r="O1510" s="23" t="s">
        <v>636</v>
      </c>
      <c r="P1510">
        <v>7.4</v>
      </c>
      <c r="Q1510" s="23" t="s">
        <v>222</v>
      </c>
    </row>
    <row r="1511" spans="1:17" x14ac:dyDescent="0.25">
      <c r="A1511" s="23" t="s">
        <v>1150</v>
      </c>
      <c r="B1511" s="23" t="s">
        <v>1145</v>
      </c>
      <c r="C1511" s="23" t="s">
        <v>176</v>
      </c>
      <c r="D1511" s="23" t="s">
        <v>364</v>
      </c>
      <c r="E1511" s="23" t="s">
        <v>365</v>
      </c>
      <c r="F1511">
        <v>7.5</v>
      </c>
      <c r="G1511" s="23" t="s">
        <v>180</v>
      </c>
      <c r="H1511">
        <v>0</v>
      </c>
      <c r="I1511">
        <v>200</v>
      </c>
      <c r="J1511" s="10">
        <v>59.899999999999928</v>
      </c>
      <c r="K1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11">
        <v>0</v>
      </c>
      <c r="M15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1">
        <v>22.5</v>
      </c>
      <c r="O1511" s="23" t="s">
        <v>315</v>
      </c>
      <c r="P1511">
        <v>168.75</v>
      </c>
      <c r="Q1511" s="23" t="s">
        <v>179</v>
      </c>
    </row>
    <row r="1512" spans="1:17" x14ac:dyDescent="0.25">
      <c r="A1512" s="23" t="s">
        <v>1148</v>
      </c>
      <c r="B1512" s="23" t="s">
        <v>1054</v>
      </c>
      <c r="C1512" s="23" t="s">
        <v>176</v>
      </c>
      <c r="D1512" s="23" t="s">
        <v>77</v>
      </c>
      <c r="E1512" s="23" t="s">
        <v>78</v>
      </c>
      <c r="F1512">
        <v>3</v>
      </c>
      <c r="G1512" s="23" t="s">
        <v>177</v>
      </c>
      <c r="H1512">
        <v>0</v>
      </c>
      <c r="I1512">
        <v>85</v>
      </c>
      <c r="J1512" s="10">
        <v>31</v>
      </c>
      <c r="K1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512">
        <v>0</v>
      </c>
      <c r="M15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2">
        <v>120</v>
      </c>
      <c r="O1512" s="23" t="s">
        <v>1153</v>
      </c>
      <c r="P1512">
        <v>360</v>
      </c>
      <c r="Q1512" s="23" t="s">
        <v>179</v>
      </c>
    </row>
    <row r="1513" spans="1:17" x14ac:dyDescent="0.25">
      <c r="A1513" s="23" t="s">
        <v>1058</v>
      </c>
      <c r="B1513" s="23" t="s">
        <v>1059</v>
      </c>
      <c r="C1513" s="23" t="s">
        <v>176</v>
      </c>
      <c r="D1513" s="23" t="s">
        <v>79</v>
      </c>
      <c r="E1513" s="23" t="s">
        <v>80</v>
      </c>
      <c r="F1513">
        <v>3</v>
      </c>
      <c r="G1513" s="23" t="s">
        <v>177</v>
      </c>
      <c r="H1513">
        <v>0</v>
      </c>
      <c r="I1513">
        <v>81</v>
      </c>
      <c r="J1513" s="10">
        <v>5</v>
      </c>
      <c r="K1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513">
        <v>0</v>
      </c>
      <c r="M15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3">
        <v>188</v>
      </c>
      <c r="O1513" s="23" t="s">
        <v>242</v>
      </c>
      <c r="P1513">
        <v>564</v>
      </c>
      <c r="Q1513" s="23" t="s">
        <v>179</v>
      </c>
    </row>
    <row r="1514" spans="1:17" x14ac:dyDescent="0.25">
      <c r="A1514" s="23" t="s">
        <v>1055</v>
      </c>
      <c r="B1514" s="23" t="s">
        <v>1056</v>
      </c>
      <c r="C1514" s="23" t="s">
        <v>176</v>
      </c>
      <c r="D1514" s="23" t="s">
        <v>79</v>
      </c>
      <c r="E1514" s="23" t="s">
        <v>80</v>
      </c>
      <c r="F1514">
        <v>3</v>
      </c>
      <c r="G1514" s="23" t="s">
        <v>177</v>
      </c>
      <c r="H1514">
        <v>0</v>
      </c>
      <c r="I1514">
        <v>81</v>
      </c>
      <c r="J1514" s="10">
        <v>5</v>
      </c>
      <c r="K1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514">
        <v>0</v>
      </c>
      <c r="M15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4">
        <v>188</v>
      </c>
      <c r="O1514" s="23" t="s">
        <v>242</v>
      </c>
      <c r="P1514">
        <v>564</v>
      </c>
      <c r="Q1514" s="23" t="s">
        <v>179</v>
      </c>
    </row>
    <row r="1515" spans="1:17" x14ac:dyDescent="0.25">
      <c r="A1515" s="23" t="s">
        <v>1148</v>
      </c>
      <c r="B1515" s="23" t="s">
        <v>1054</v>
      </c>
      <c r="C1515" s="23" t="s">
        <v>176</v>
      </c>
      <c r="D1515" s="23" t="s">
        <v>79</v>
      </c>
      <c r="E1515" s="23" t="s">
        <v>80</v>
      </c>
      <c r="F1515">
        <v>3</v>
      </c>
      <c r="G1515" s="23" t="s">
        <v>177</v>
      </c>
      <c r="H1515">
        <v>0</v>
      </c>
      <c r="I1515">
        <v>81</v>
      </c>
      <c r="J1515" s="10">
        <v>5</v>
      </c>
      <c r="K1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515">
        <v>0</v>
      </c>
      <c r="M15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5">
        <v>188</v>
      </c>
      <c r="O1515" s="23" t="s">
        <v>242</v>
      </c>
      <c r="P1515">
        <v>564</v>
      </c>
      <c r="Q1515" s="23" t="s">
        <v>179</v>
      </c>
    </row>
    <row r="1516" spans="1:17" x14ac:dyDescent="0.25">
      <c r="A1516" s="23" t="s">
        <v>1099</v>
      </c>
      <c r="B1516" s="23" t="s">
        <v>1056</v>
      </c>
      <c r="C1516" s="23" t="s">
        <v>176</v>
      </c>
      <c r="D1516" s="23" t="s">
        <v>79</v>
      </c>
      <c r="E1516" s="23" t="s">
        <v>80</v>
      </c>
      <c r="F1516">
        <v>3</v>
      </c>
      <c r="G1516" s="23" t="s">
        <v>177</v>
      </c>
      <c r="H1516">
        <v>0</v>
      </c>
      <c r="I1516">
        <v>81</v>
      </c>
      <c r="J1516" s="10">
        <v>5</v>
      </c>
      <c r="K1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516">
        <v>0</v>
      </c>
      <c r="M15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6">
        <v>188</v>
      </c>
      <c r="O1516" s="23" t="s">
        <v>242</v>
      </c>
      <c r="P1516">
        <v>564</v>
      </c>
      <c r="Q1516" s="23" t="s">
        <v>179</v>
      </c>
    </row>
    <row r="1517" spans="1:17" x14ac:dyDescent="0.25">
      <c r="A1517" s="23" t="s">
        <v>1055</v>
      </c>
      <c r="B1517" s="23" t="s">
        <v>1056</v>
      </c>
      <c r="C1517" s="23" t="s">
        <v>176</v>
      </c>
      <c r="D1517" s="23" t="s">
        <v>83</v>
      </c>
      <c r="E1517" s="23" t="s">
        <v>84</v>
      </c>
      <c r="F1517">
        <v>1.5</v>
      </c>
      <c r="G1517" s="23" t="s">
        <v>183</v>
      </c>
      <c r="H1517">
        <v>0</v>
      </c>
      <c r="I1517">
        <v>58.5</v>
      </c>
      <c r="J1517" s="10">
        <v>21.929999999999808</v>
      </c>
      <c r="K1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1517">
        <v>54.25</v>
      </c>
      <c r="M15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1517">
        <v>220.42</v>
      </c>
      <c r="O1517" s="23" t="s">
        <v>224</v>
      </c>
      <c r="P1517">
        <v>330.63</v>
      </c>
      <c r="Q1517" s="23" t="s">
        <v>182</v>
      </c>
    </row>
    <row r="1518" spans="1:17" x14ac:dyDescent="0.25">
      <c r="A1518" s="23" t="s">
        <v>1148</v>
      </c>
      <c r="B1518" s="23" t="s">
        <v>1054</v>
      </c>
      <c r="C1518" s="23" t="s">
        <v>176</v>
      </c>
      <c r="D1518" s="23" t="s">
        <v>23</v>
      </c>
      <c r="E1518" s="23" t="s">
        <v>305</v>
      </c>
      <c r="F1518">
        <v>1</v>
      </c>
      <c r="G1518" s="23" t="s">
        <v>177</v>
      </c>
      <c r="H1518">
        <v>0</v>
      </c>
      <c r="I1518">
        <v>0</v>
      </c>
      <c r="J1518" s="10">
        <v>7</v>
      </c>
      <c r="K1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518">
        <v>0</v>
      </c>
      <c r="M15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518">
        <v>40</v>
      </c>
      <c r="O1518" s="23" t="s">
        <v>636</v>
      </c>
      <c r="P1518">
        <v>40</v>
      </c>
      <c r="Q1518" s="23" t="s">
        <v>222</v>
      </c>
    </row>
    <row r="1519" spans="1:17" x14ac:dyDescent="0.25">
      <c r="A1519" s="23" t="s">
        <v>1143</v>
      </c>
      <c r="B1519" s="23" t="s">
        <v>1054</v>
      </c>
      <c r="C1519" s="23" t="s">
        <v>176</v>
      </c>
      <c r="D1519" s="23" t="s">
        <v>753</v>
      </c>
      <c r="E1519" s="23" t="s">
        <v>754</v>
      </c>
      <c r="F1519">
        <v>1</v>
      </c>
      <c r="G1519" s="23" t="s">
        <v>177</v>
      </c>
      <c r="H1519">
        <v>0</v>
      </c>
      <c r="I1519">
        <v>5</v>
      </c>
      <c r="J1519" s="10">
        <v>2</v>
      </c>
      <c r="K1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519">
        <v>0</v>
      </c>
      <c r="M15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19">
        <v>7450</v>
      </c>
      <c r="O1519" s="23" t="s">
        <v>585</v>
      </c>
      <c r="P1519">
        <v>7450</v>
      </c>
      <c r="Q1519" s="23" t="s">
        <v>178</v>
      </c>
    </row>
    <row r="1520" spans="1:17" x14ac:dyDescent="0.25">
      <c r="A1520" s="23" t="s">
        <v>1142</v>
      </c>
      <c r="B1520" s="23" t="s">
        <v>1054</v>
      </c>
      <c r="C1520" s="23" t="s">
        <v>176</v>
      </c>
      <c r="D1520" s="23" t="s">
        <v>50</v>
      </c>
      <c r="E1520" s="23" t="s">
        <v>51</v>
      </c>
      <c r="F1520">
        <v>1</v>
      </c>
      <c r="G1520" s="23" t="s">
        <v>177</v>
      </c>
      <c r="H1520">
        <v>0</v>
      </c>
      <c r="I1520">
        <v>4</v>
      </c>
      <c r="J1520" s="10">
        <v>10</v>
      </c>
      <c r="K1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20">
        <v>0</v>
      </c>
      <c r="M15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20">
        <v>5206.1400000000003</v>
      </c>
      <c r="O1520" s="23" t="s">
        <v>216</v>
      </c>
      <c r="P1520">
        <v>5206.1400000000003</v>
      </c>
      <c r="Q1520" s="23" t="s">
        <v>222</v>
      </c>
    </row>
    <row r="1521" spans="1:17" x14ac:dyDescent="0.25">
      <c r="A1521" s="23" t="s">
        <v>1142</v>
      </c>
      <c r="B1521" s="23" t="s">
        <v>1054</v>
      </c>
      <c r="C1521" s="23" t="s">
        <v>176</v>
      </c>
      <c r="D1521" s="23" t="s">
        <v>64</v>
      </c>
      <c r="E1521" s="23" t="s">
        <v>65</v>
      </c>
      <c r="F1521">
        <v>1</v>
      </c>
      <c r="G1521" s="23" t="s">
        <v>177</v>
      </c>
      <c r="H1521">
        <v>0</v>
      </c>
      <c r="I1521">
        <v>38</v>
      </c>
      <c r="J1521" s="10">
        <v>10</v>
      </c>
      <c r="K1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521">
        <v>0</v>
      </c>
      <c r="M15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1">
        <v>95</v>
      </c>
      <c r="O1521" s="23" t="s">
        <v>218</v>
      </c>
      <c r="P1521">
        <v>95</v>
      </c>
      <c r="Q1521" s="23" t="s">
        <v>181</v>
      </c>
    </row>
    <row r="1522" spans="1:17" x14ac:dyDescent="0.25">
      <c r="A1522" s="23" t="s">
        <v>1057</v>
      </c>
      <c r="B1522" s="23" t="s">
        <v>1056</v>
      </c>
      <c r="C1522" s="23" t="s">
        <v>176</v>
      </c>
      <c r="D1522" s="23" t="s">
        <v>399</v>
      </c>
      <c r="E1522" s="23" t="s">
        <v>400</v>
      </c>
      <c r="F1522">
        <v>0.05</v>
      </c>
      <c r="G1522" s="23" t="s">
        <v>186</v>
      </c>
      <c r="H1522">
        <v>0</v>
      </c>
      <c r="I1522">
        <v>3</v>
      </c>
      <c r="J1522" s="10">
        <v>-2.7755575615628914E-16</v>
      </c>
      <c r="K1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22">
        <v>0</v>
      </c>
      <c r="M15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2">
        <v>148.31</v>
      </c>
      <c r="O1522" s="23"/>
      <c r="P1522">
        <v>7.4155000000000006</v>
      </c>
      <c r="Q1522" s="23" t="s">
        <v>184</v>
      </c>
    </row>
    <row r="1523" spans="1:17" x14ac:dyDescent="0.25">
      <c r="A1523" s="23" t="s">
        <v>1096</v>
      </c>
      <c r="B1523" s="23" t="s">
        <v>1053</v>
      </c>
      <c r="C1523" s="23" t="s">
        <v>176</v>
      </c>
      <c r="D1523" s="23" t="s">
        <v>399</v>
      </c>
      <c r="E1523" s="23" t="s">
        <v>400</v>
      </c>
      <c r="F1523">
        <v>0.05</v>
      </c>
      <c r="G1523" s="23" t="s">
        <v>186</v>
      </c>
      <c r="H1523">
        <v>0</v>
      </c>
      <c r="I1523">
        <v>3</v>
      </c>
      <c r="J1523" s="10">
        <v>-2.7755575615628914E-16</v>
      </c>
      <c r="K1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23">
        <v>0</v>
      </c>
      <c r="M15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3">
        <v>148.31</v>
      </c>
      <c r="O1523" s="23"/>
      <c r="P1523">
        <v>7.4155000000000006</v>
      </c>
      <c r="Q1523" s="23" t="s">
        <v>184</v>
      </c>
    </row>
    <row r="1524" spans="1:17" x14ac:dyDescent="0.25">
      <c r="A1524" s="23" t="s">
        <v>1094</v>
      </c>
      <c r="B1524" s="23" t="s">
        <v>1095</v>
      </c>
      <c r="C1524" s="23" t="s">
        <v>176</v>
      </c>
      <c r="D1524" s="23" t="s">
        <v>50</v>
      </c>
      <c r="E1524" s="23" t="s">
        <v>51</v>
      </c>
      <c r="F1524">
        <v>1</v>
      </c>
      <c r="G1524" s="23" t="s">
        <v>177</v>
      </c>
      <c r="H1524">
        <v>0</v>
      </c>
      <c r="I1524">
        <v>4</v>
      </c>
      <c r="J1524" s="10">
        <v>10</v>
      </c>
      <c r="K1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24">
        <v>0</v>
      </c>
      <c r="M15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24">
        <v>5206.1400000000003</v>
      </c>
      <c r="O1524" s="23" t="s">
        <v>216</v>
      </c>
      <c r="P1524">
        <v>5206.1400000000003</v>
      </c>
      <c r="Q1524" s="23" t="s">
        <v>222</v>
      </c>
    </row>
    <row r="1525" spans="1:17" x14ac:dyDescent="0.25">
      <c r="A1525" s="23" t="s">
        <v>1150</v>
      </c>
      <c r="B1525" s="23" t="s">
        <v>1145</v>
      </c>
      <c r="C1525" s="23" t="s">
        <v>176</v>
      </c>
      <c r="D1525" s="23" t="s">
        <v>50</v>
      </c>
      <c r="E1525" s="23" t="s">
        <v>51</v>
      </c>
      <c r="F1525">
        <v>1</v>
      </c>
      <c r="G1525" s="23" t="s">
        <v>177</v>
      </c>
      <c r="H1525">
        <v>0</v>
      </c>
      <c r="I1525">
        <v>4</v>
      </c>
      <c r="J1525" s="10">
        <v>10</v>
      </c>
      <c r="K1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25">
        <v>0</v>
      </c>
      <c r="M15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25">
        <v>5206.1400000000003</v>
      </c>
      <c r="O1525" s="23" t="s">
        <v>216</v>
      </c>
      <c r="P1525">
        <v>5206.1400000000003</v>
      </c>
      <c r="Q1525" s="23" t="s">
        <v>222</v>
      </c>
    </row>
    <row r="1526" spans="1:17" x14ac:dyDescent="0.25">
      <c r="A1526" s="23" t="s">
        <v>1150</v>
      </c>
      <c r="B1526" s="23" t="s">
        <v>1145</v>
      </c>
      <c r="C1526" s="23" t="s">
        <v>176</v>
      </c>
      <c r="D1526" s="23" t="s">
        <v>125</v>
      </c>
      <c r="E1526" s="23" t="s">
        <v>126</v>
      </c>
      <c r="F1526">
        <v>7</v>
      </c>
      <c r="G1526" s="23" t="s">
        <v>186</v>
      </c>
      <c r="H1526">
        <v>0</v>
      </c>
      <c r="I1526">
        <v>0</v>
      </c>
      <c r="J1526" s="10">
        <v>297.61000000000013</v>
      </c>
      <c r="K1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26">
        <v>0</v>
      </c>
      <c r="M15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26">
        <v>136.18</v>
      </c>
      <c r="O1526" s="23" t="s">
        <v>254</v>
      </c>
      <c r="P1526">
        <v>953.26</v>
      </c>
      <c r="Q1526" s="23" t="s">
        <v>184</v>
      </c>
    </row>
    <row r="1527" spans="1:17" x14ac:dyDescent="0.25">
      <c r="A1527" s="23" t="s">
        <v>1098</v>
      </c>
      <c r="B1527" s="23" t="s">
        <v>1053</v>
      </c>
      <c r="C1527" s="23" t="s">
        <v>176</v>
      </c>
      <c r="D1527" s="23" t="s">
        <v>753</v>
      </c>
      <c r="E1527" s="23" t="s">
        <v>754</v>
      </c>
      <c r="F1527">
        <v>1</v>
      </c>
      <c r="G1527" s="23" t="s">
        <v>177</v>
      </c>
      <c r="H1527">
        <v>0</v>
      </c>
      <c r="I1527">
        <v>5</v>
      </c>
      <c r="J1527" s="10">
        <v>2</v>
      </c>
      <c r="K1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527">
        <v>0</v>
      </c>
      <c r="M15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7">
        <v>7450</v>
      </c>
      <c r="O1527" s="23" t="s">
        <v>585</v>
      </c>
      <c r="P1527">
        <v>7450</v>
      </c>
      <c r="Q1527" s="23" t="s">
        <v>178</v>
      </c>
    </row>
    <row r="1528" spans="1:17" x14ac:dyDescent="0.25">
      <c r="A1528" s="23" t="s">
        <v>1149</v>
      </c>
      <c r="B1528" s="23" t="s">
        <v>1145</v>
      </c>
      <c r="C1528" s="23" t="s">
        <v>176</v>
      </c>
      <c r="D1528" s="23" t="s">
        <v>399</v>
      </c>
      <c r="E1528" s="23" t="s">
        <v>400</v>
      </c>
      <c r="F1528">
        <v>0.02</v>
      </c>
      <c r="G1528" s="23" t="s">
        <v>186</v>
      </c>
      <c r="H1528">
        <v>0</v>
      </c>
      <c r="I1528">
        <v>3</v>
      </c>
      <c r="J1528" s="10">
        <v>-2.7755575615628914E-16</v>
      </c>
      <c r="K1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28">
        <v>0</v>
      </c>
      <c r="M15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28">
        <v>148.31</v>
      </c>
      <c r="O1528" s="23"/>
      <c r="P1528">
        <v>2.9662000000000002</v>
      </c>
      <c r="Q1528" s="23" t="s">
        <v>184</v>
      </c>
    </row>
    <row r="1529" spans="1:17" x14ac:dyDescent="0.25">
      <c r="A1529" s="23" t="s">
        <v>1149</v>
      </c>
      <c r="B1529" s="23" t="s">
        <v>1145</v>
      </c>
      <c r="C1529" s="23" t="s">
        <v>176</v>
      </c>
      <c r="D1529" s="23" t="s">
        <v>50</v>
      </c>
      <c r="E1529" s="23" t="s">
        <v>51</v>
      </c>
      <c r="F1529">
        <v>1</v>
      </c>
      <c r="G1529" s="23" t="s">
        <v>177</v>
      </c>
      <c r="H1529">
        <v>0</v>
      </c>
      <c r="I1529">
        <v>4</v>
      </c>
      <c r="J1529" s="10">
        <v>10</v>
      </c>
      <c r="K1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29">
        <v>0</v>
      </c>
      <c r="M15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29">
        <v>5206.1400000000003</v>
      </c>
      <c r="O1529" s="23" t="s">
        <v>216</v>
      </c>
      <c r="P1529">
        <v>5206.1400000000003</v>
      </c>
      <c r="Q1529" s="23" t="s">
        <v>222</v>
      </c>
    </row>
    <row r="1530" spans="1:17" x14ac:dyDescent="0.25">
      <c r="A1530" s="23" t="s">
        <v>1146</v>
      </c>
      <c r="B1530" s="23" t="s">
        <v>1145</v>
      </c>
      <c r="C1530" s="23" t="s">
        <v>176</v>
      </c>
      <c r="D1530" s="23" t="s">
        <v>50</v>
      </c>
      <c r="E1530" s="23" t="s">
        <v>51</v>
      </c>
      <c r="F1530">
        <v>1</v>
      </c>
      <c r="G1530" s="23" t="s">
        <v>177</v>
      </c>
      <c r="H1530">
        <v>0</v>
      </c>
      <c r="I1530">
        <v>4</v>
      </c>
      <c r="J1530" s="10">
        <v>10</v>
      </c>
      <c r="K1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30">
        <v>0</v>
      </c>
      <c r="M15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30">
        <v>5206.1400000000003</v>
      </c>
      <c r="O1530" s="23" t="s">
        <v>216</v>
      </c>
      <c r="P1530">
        <v>5206.1400000000003</v>
      </c>
      <c r="Q1530" s="23" t="s">
        <v>222</v>
      </c>
    </row>
    <row r="1531" spans="1:17" x14ac:dyDescent="0.25">
      <c r="A1531" s="23" t="s">
        <v>1144</v>
      </c>
      <c r="B1531" s="23" t="s">
        <v>1145</v>
      </c>
      <c r="C1531" s="23" t="s">
        <v>176</v>
      </c>
      <c r="D1531" s="23" t="s">
        <v>50</v>
      </c>
      <c r="E1531" s="23" t="s">
        <v>51</v>
      </c>
      <c r="F1531">
        <v>1</v>
      </c>
      <c r="G1531" s="23" t="s">
        <v>177</v>
      </c>
      <c r="H1531">
        <v>0</v>
      </c>
      <c r="I1531">
        <v>4</v>
      </c>
      <c r="J1531" s="10">
        <v>10</v>
      </c>
      <c r="K1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31">
        <v>0</v>
      </c>
      <c r="M15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31">
        <v>5206.1400000000003</v>
      </c>
      <c r="O1531" s="23" t="s">
        <v>216</v>
      </c>
      <c r="P1531">
        <v>5206.1400000000003</v>
      </c>
      <c r="Q1531" s="23" t="s">
        <v>222</v>
      </c>
    </row>
    <row r="1532" spans="1:17" x14ac:dyDescent="0.25">
      <c r="A1532" s="23" t="s">
        <v>1144</v>
      </c>
      <c r="B1532" s="23" t="s">
        <v>1145</v>
      </c>
      <c r="C1532" s="23" t="s">
        <v>176</v>
      </c>
      <c r="D1532" s="23" t="s">
        <v>125</v>
      </c>
      <c r="E1532" s="23" t="s">
        <v>126</v>
      </c>
      <c r="F1532">
        <v>7</v>
      </c>
      <c r="G1532" s="23" t="s">
        <v>186</v>
      </c>
      <c r="H1532">
        <v>0</v>
      </c>
      <c r="I1532">
        <v>0</v>
      </c>
      <c r="J1532" s="10">
        <v>297.61000000000013</v>
      </c>
      <c r="K1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32">
        <v>0</v>
      </c>
      <c r="M15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32">
        <v>136.18</v>
      </c>
      <c r="O1532" s="23" t="s">
        <v>254</v>
      </c>
      <c r="P1532">
        <v>953.26</v>
      </c>
      <c r="Q1532" s="23" t="s">
        <v>184</v>
      </c>
    </row>
    <row r="1533" spans="1:17" x14ac:dyDescent="0.25">
      <c r="A1533" s="23" t="s">
        <v>1149</v>
      </c>
      <c r="B1533" s="23" t="s">
        <v>1145</v>
      </c>
      <c r="C1533" s="23" t="s">
        <v>176</v>
      </c>
      <c r="D1533" s="23" t="s">
        <v>266</v>
      </c>
      <c r="E1533" s="23" t="s">
        <v>267</v>
      </c>
      <c r="F1533">
        <v>1</v>
      </c>
      <c r="G1533" s="23" t="s">
        <v>177</v>
      </c>
      <c r="H1533">
        <v>0</v>
      </c>
      <c r="I1533">
        <v>1</v>
      </c>
      <c r="J1533" s="10">
        <v>7</v>
      </c>
      <c r="K1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1533">
        <v>0</v>
      </c>
      <c r="M15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1533">
        <v>4633.34</v>
      </c>
      <c r="O1533" s="23" t="s">
        <v>215</v>
      </c>
      <c r="P1533">
        <v>4633.34</v>
      </c>
      <c r="Q1533" s="23" t="s">
        <v>178</v>
      </c>
    </row>
    <row r="1534" spans="1:17" x14ac:dyDescent="0.25">
      <c r="A1534" s="23" t="s">
        <v>1062</v>
      </c>
      <c r="B1534" s="23" t="s">
        <v>1053</v>
      </c>
      <c r="C1534" s="23" t="s">
        <v>176</v>
      </c>
      <c r="D1534" s="23" t="s">
        <v>753</v>
      </c>
      <c r="E1534" s="23" t="s">
        <v>754</v>
      </c>
      <c r="F1534">
        <v>1</v>
      </c>
      <c r="G1534" s="23" t="s">
        <v>177</v>
      </c>
      <c r="H1534">
        <v>1</v>
      </c>
      <c r="I1534">
        <v>5</v>
      </c>
      <c r="J1534" s="10">
        <v>2</v>
      </c>
      <c r="K1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534">
        <v>0</v>
      </c>
      <c r="M15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4">
        <v>7450</v>
      </c>
      <c r="O1534" s="23" t="s">
        <v>585</v>
      </c>
      <c r="P1534">
        <v>7450</v>
      </c>
      <c r="Q1534" s="23" t="s">
        <v>178</v>
      </c>
    </row>
    <row r="1535" spans="1:17" x14ac:dyDescent="0.25">
      <c r="A1535" s="23" t="s">
        <v>1097</v>
      </c>
      <c r="B1535" s="23" t="s">
        <v>1095</v>
      </c>
      <c r="C1535" s="23" t="s">
        <v>176</v>
      </c>
      <c r="D1535" s="23" t="s">
        <v>753</v>
      </c>
      <c r="E1535" s="23" t="s">
        <v>754</v>
      </c>
      <c r="F1535">
        <v>1</v>
      </c>
      <c r="G1535" s="23" t="s">
        <v>177</v>
      </c>
      <c r="H1535">
        <v>0</v>
      </c>
      <c r="I1535">
        <v>5</v>
      </c>
      <c r="J1535" s="10">
        <v>2</v>
      </c>
      <c r="K1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535">
        <v>0</v>
      </c>
      <c r="M15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5">
        <v>7450</v>
      </c>
      <c r="O1535" s="23" t="s">
        <v>585</v>
      </c>
      <c r="P1535">
        <v>7450</v>
      </c>
      <c r="Q1535" s="23" t="s">
        <v>178</v>
      </c>
    </row>
    <row r="1536" spans="1:17" x14ac:dyDescent="0.25">
      <c r="A1536" s="23" t="s">
        <v>1098</v>
      </c>
      <c r="B1536" s="23" t="s">
        <v>1053</v>
      </c>
      <c r="C1536" s="23" t="s">
        <v>176</v>
      </c>
      <c r="D1536" s="23" t="s">
        <v>50</v>
      </c>
      <c r="E1536" s="23" t="s">
        <v>51</v>
      </c>
      <c r="F1536">
        <v>1</v>
      </c>
      <c r="G1536" s="23" t="s">
        <v>177</v>
      </c>
      <c r="H1536">
        <v>0</v>
      </c>
      <c r="I1536">
        <v>4</v>
      </c>
      <c r="J1536" s="10">
        <v>10</v>
      </c>
      <c r="K1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36">
        <v>0</v>
      </c>
      <c r="M15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36">
        <v>5206.1400000000003</v>
      </c>
      <c r="O1536" s="23" t="s">
        <v>216</v>
      </c>
      <c r="P1536">
        <v>5206.1400000000003</v>
      </c>
      <c r="Q1536" s="23" t="s">
        <v>222</v>
      </c>
    </row>
    <row r="1537" spans="1:17" x14ac:dyDescent="0.25">
      <c r="A1537" s="23" t="s">
        <v>1150</v>
      </c>
      <c r="B1537" s="23" t="s">
        <v>1145</v>
      </c>
      <c r="C1537" s="23" t="s">
        <v>176</v>
      </c>
      <c r="D1537" s="23" t="s">
        <v>399</v>
      </c>
      <c r="E1537" s="23" t="s">
        <v>400</v>
      </c>
      <c r="F1537">
        <v>0.02</v>
      </c>
      <c r="G1537" s="23" t="s">
        <v>186</v>
      </c>
      <c r="H1537">
        <v>0</v>
      </c>
      <c r="I1537">
        <v>3</v>
      </c>
      <c r="J1537" s="10">
        <v>-2.7755575615628914E-16</v>
      </c>
      <c r="K1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37">
        <v>0</v>
      </c>
      <c r="M15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7">
        <v>148.31</v>
      </c>
      <c r="O1537" s="23"/>
      <c r="P1537">
        <v>2.9662000000000002</v>
      </c>
      <c r="Q1537" s="23" t="s">
        <v>184</v>
      </c>
    </row>
    <row r="1538" spans="1:17" x14ac:dyDescent="0.25">
      <c r="A1538" s="23" t="s">
        <v>1149</v>
      </c>
      <c r="B1538" s="23" t="s">
        <v>1145</v>
      </c>
      <c r="C1538" s="23" t="s">
        <v>176</v>
      </c>
      <c r="D1538" s="23" t="s">
        <v>125</v>
      </c>
      <c r="E1538" s="23" t="s">
        <v>126</v>
      </c>
      <c r="F1538">
        <v>7</v>
      </c>
      <c r="G1538" s="23" t="s">
        <v>186</v>
      </c>
      <c r="H1538">
        <v>0</v>
      </c>
      <c r="I1538">
        <v>0</v>
      </c>
      <c r="J1538" s="10">
        <v>297.61000000000013</v>
      </c>
      <c r="K1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38">
        <v>0</v>
      </c>
      <c r="M15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38">
        <v>136.18</v>
      </c>
      <c r="O1538" s="23" t="s">
        <v>254</v>
      </c>
      <c r="P1538">
        <v>953.26</v>
      </c>
      <c r="Q1538" s="23" t="s">
        <v>184</v>
      </c>
    </row>
    <row r="1539" spans="1:17" x14ac:dyDescent="0.25">
      <c r="A1539" s="23" t="s">
        <v>1142</v>
      </c>
      <c r="B1539" s="23" t="s">
        <v>1054</v>
      </c>
      <c r="C1539" s="23" t="s">
        <v>176</v>
      </c>
      <c r="D1539" s="23" t="s">
        <v>399</v>
      </c>
      <c r="E1539" s="23" t="s">
        <v>400</v>
      </c>
      <c r="F1539">
        <v>0.02</v>
      </c>
      <c r="G1539" s="23" t="s">
        <v>186</v>
      </c>
      <c r="H1539">
        <v>0</v>
      </c>
      <c r="I1539">
        <v>3</v>
      </c>
      <c r="J1539" s="10">
        <v>-2.7755575615628914E-16</v>
      </c>
      <c r="K1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39">
        <v>0</v>
      </c>
      <c r="M15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39">
        <v>148.31</v>
      </c>
      <c r="O1539" s="23"/>
      <c r="P1539">
        <v>2.9662000000000002</v>
      </c>
      <c r="Q1539" s="23" t="s">
        <v>184</v>
      </c>
    </row>
    <row r="1540" spans="1:17" x14ac:dyDescent="0.25">
      <c r="A1540" s="23" t="s">
        <v>1096</v>
      </c>
      <c r="B1540" s="23" t="s">
        <v>1053</v>
      </c>
      <c r="C1540" s="23" t="s">
        <v>176</v>
      </c>
      <c r="D1540" s="23" t="s">
        <v>50</v>
      </c>
      <c r="E1540" s="23" t="s">
        <v>51</v>
      </c>
      <c r="F1540">
        <v>1</v>
      </c>
      <c r="G1540" s="23" t="s">
        <v>177</v>
      </c>
      <c r="H1540">
        <v>1</v>
      </c>
      <c r="I1540">
        <v>4</v>
      </c>
      <c r="J1540" s="10">
        <v>10</v>
      </c>
      <c r="K1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40">
        <v>0</v>
      </c>
      <c r="M15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40">
        <v>5206.1400000000003</v>
      </c>
      <c r="O1540" s="23" t="s">
        <v>216</v>
      </c>
      <c r="P1540">
        <v>5206.1400000000003</v>
      </c>
      <c r="Q1540" s="23" t="s">
        <v>222</v>
      </c>
    </row>
    <row r="1541" spans="1:17" x14ac:dyDescent="0.25">
      <c r="A1541" s="23" t="s">
        <v>1144</v>
      </c>
      <c r="B1541" s="23" t="s">
        <v>1145</v>
      </c>
      <c r="C1541" s="23" t="s">
        <v>176</v>
      </c>
      <c r="D1541" s="23" t="s">
        <v>399</v>
      </c>
      <c r="E1541" s="23" t="s">
        <v>400</v>
      </c>
      <c r="F1541">
        <v>0.02</v>
      </c>
      <c r="G1541" s="23" t="s">
        <v>186</v>
      </c>
      <c r="H1541">
        <v>0</v>
      </c>
      <c r="I1541">
        <v>3</v>
      </c>
      <c r="J1541" s="10">
        <v>-2.7755575615628914E-16</v>
      </c>
      <c r="K1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1541">
        <v>0</v>
      </c>
      <c r="M15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1">
        <v>148.31</v>
      </c>
      <c r="O1541" s="23"/>
      <c r="P1541">
        <v>2.9662000000000002</v>
      </c>
      <c r="Q1541" s="23" t="s">
        <v>184</v>
      </c>
    </row>
    <row r="1542" spans="1:17" x14ac:dyDescent="0.25">
      <c r="A1542" s="23" t="s">
        <v>1197</v>
      </c>
      <c r="B1542" s="23" t="s">
        <v>1198</v>
      </c>
      <c r="C1542" s="23" t="s">
        <v>176</v>
      </c>
      <c r="D1542" s="23" t="s">
        <v>125</v>
      </c>
      <c r="E1542" s="23" t="s">
        <v>126</v>
      </c>
      <c r="F1542">
        <v>7</v>
      </c>
      <c r="G1542" s="23" t="s">
        <v>186</v>
      </c>
      <c r="H1542">
        <v>0</v>
      </c>
      <c r="I1542">
        <v>0</v>
      </c>
      <c r="J1542" s="10">
        <v>297.61000000000013</v>
      </c>
      <c r="K1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42">
        <v>0</v>
      </c>
      <c r="M15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42">
        <v>136.18</v>
      </c>
      <c r="O1542" s="23" t="s">
        <v>254</v>
      </c>
      <c r="P1542">
        <v>953.26</v>
      </c>
      <c r="Q1542" s="23" t="s">
        <v>184</v>
      </c>
    </row>
    <row r="1543" spans="1:17" x14ac:dyDescent="0.25">
      <c r="A1543" s="23" t="s">
        <v>1098</v>
      </c>
      <c r="B1543" s="23" t="s">
        <v>1053</v>
      </c>
      <c r="C1543" s="23" t="s">
        <v>176</v>
      </c>
      <c r="D1543" s="23" t="s">
        <v>125</v>
      </c>
      <c r="E1543" s="23" t="s">
        <v>126</v>
      </c>
      <c r="F1543">
        <v>9.6300000000000008</v>
      </c>
      <c r="G1543" s="23" t="s">
        <v>186</v>
      </c>
      <c r="H1543">
        <v>0</v>
      </c>
      <c r="I1543">
        <v>0</v>
      </c>
      <c r="J1543" s="10">
        <v>297.61000000000013</v>
      </c>
      <c r="K1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43">
        <v>0</v>
      </c>
      <c r="M15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43">
        <v>136.18</v>
      </c>
      <c r="O1543" s="23" t="s">
        <v>254</v>
      </c>
      <c r="P1543">
        <v>1311.4134000000001</v>
      </c>
      <c r="Q1543" s="23" t="s">
        <v>184</v>
      </c>
    </row>
    <row r="1544" spans="1:17" x14ac:dyDescent="0.25">
      <c r="A1544" s="23" t="s">
        <v>1147</v>
      </c>
      <c r="B1544" s="23" t="s">
        <v>1145</v>
      </c>
      <c r="C1544" s="23" t="s">
        <v>176</v>
      </c>
      <c r="D1544" s="23" t="s">
        <v>125</v>
      </c>
      <c r="E1544" s="23" t="s">
        <v>126</v>
      </c>
      <c r="F1544">
        <v>7</v>
      </c>
      <c r="G1544" s="23" t="s">
        <v>186</v>
      </c>
      <c r="H1544">
        <v>0</v>
      </c>
      <c r="I1544">
        <v>0</v>
      </c>
      <c r="J1544" s="10">
        <v>297.61000000000013</v>
      </c>
      <c r="K1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44">
        <v>0</v>
      </c>
      <c r="M15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44">
        <v>136.18</v>
      </c>
      <c r="O1544" s="23" t="s">
        <v>254</v>
      </c>
      <c r="P1544">
        <v>953.26</v>
      </c>
      <c r="Q1544" s="23" t="s">
        <v>184</v>
      </c>
    </row>
    <row r="1545" spans="1:17" x14ac:dyDescent="0.25">
      <c r="A1545" s="23" t="s">
        <v>1148</v>
      </c>
      <c r="B1545" s="23" t="s">
        <v>1054</v>
      </c>
      <c r="C1545" s="23" t="s">
        <v>176</v>
      </c>
      <c r="D1545" s="23" t="s">
        <v>125</v>
      </c>
      <c r="E1545" s="23" t="s">
        <v>126</v>
      </c>
      <c r="F1545">
        <v>8.89</v>
      </c>
      <c r="G1545" s="23" t="s">
        <v>186</v>
      </c>
      <c r="H1545">
        <v>0</v>
      </c>
      <c r="I1545">
        <v>0</v>
      </c>
      <c r="J1545" s="10">
        <v>297.61000000000013</v>
      </c>
      <c r="K1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1545">
        <v>0</v>
      </c>
      <c r="M15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1545">
        <v>136.18</v>
      </c>
      <c r="O1545" s="23" t="s">
        <v>254</v>
      </c>
      <c r="P1545">
        <v>1210.6402</v>
      </c>
      <c r="Q1545" s="23" t="s">
        <v>184</v>
      </c>
    </row>
    <row r="1546" spans="1:17" x14ac:dyDescent="0.25">
      <c r="A1546" s="23" t="s">
        <v>1062</v>
      </c>
      <c r="B1546" s="23" t="s">
        <v>1053</v>
      </c>
      <c r="C1546" s="23" t="s">
        <v>176</v>
      </c>
      <c r="D1546" s="23" t="s">
        <v>50</v>
      </c>
      <c r="E1546" s="23" t="s">
        <v>51</v>
      </c>
      <c r="F1546">
        <v>1</v>
      </c>
      <c r="G1546" s="23" t="s">
        <v>177</v>
      </c>
      <c r="H1546">
        <v>0</v>
      </c>
      <c r="I1546">
        <v>4</v>
      </c>
      <c r="J1546" s="10">
        <v>10</v>
      </c>
      <c r="K1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46">
        <v>0</v>
      </c>
      <c r="M15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46">
        <v>5206.1400000000003</v>
      </c>
      <c r="O1546" s="23" t="s">
        <v>216</v>
      </c>
      <c r="P1546">
        <v>5206.1400000000003</v>
      </c>
      <c r="Q1546" s="23" t="s">
        <v>222</v>
      </c>
    </row>
    <row r="1547" spans="1:17" x14ac:dyDescent="0.25">
      <c r="A1547" s="23" t="s">
        <v>1097</v>
      </c>
      <c r="B1547" s="23" t="s">
        <v>1095</v>
      </c>
      <c r="C1547" s="23" t="s">
        <v>176</v>
      </c>
      <c r="D1547" s="23" t="s">
        <v>50</v>
      </c>
      <c r="E1547" s="23" t="s">
        <v>51</v>
      </c>
      <c r="F1547">
        <v>1</v>
      </c>
      <c r="G1547" s="23" t="s">
        <v>177</v>
      </c>
      <c r="H1547">
        <v>0</v>
      </c>
      <c r="I1547">
        <v>4</v>
      </c>
      <c r="J1547" s="10">
        <v>10</v>
      </c>
      <c r="K1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47">
        <v>0</v>
      </c>
      <c r="M15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47">
        <v>5206.1400000000003</v>
      </c>
      <c r="O1547" s="23" t="s">
        <v>216</v>
      </c>
      <c r="P1547">
        <v>5206.1400000000003</v>
      </c>
      <c r="Q1547" s="23" t="s">
        <v>222</v>
      </c>
    </row>
    <row r="1548" spans="1:17" x14ac:dyDescent="0.25">
      <c r="A1548" s="23" t="s">
        <v>1197</v>
      </c>
      <c r="B1548" s="23" t="s">
        <v>1198</v>
      </c>
      <c r="C1548" s="23" t="s">
        <v>176</v>
      </c>
      <c r="D1548" s="23" t="s">
        <v>50</v>
      </c>
      <c r="E1548" s="23" t="s">
        <v>51</v>
      </c>
      <c r="F1548">
        <v>1</v>
      </c>
      <c r="G1548" s="23" t="s">
        <v>177</v>
      </c>
      <c r="H1548">
        <v>0</v>
      </c>
      <c r="I1548">
        <v>4</v>
      </c>
      <c r="J1548" s="10">
        <v>10</v>
      </c>
      <c r="K1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548">
        <v>0</v>
      </c>
      <c r="M15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1548">
        <v>5206.1400000000003</v>
      </c>
      <c r="O1548" s="23" t="s">
        <v>216</v>
      </c>
      <c r="P1548">
        <v>5206.1400000000003</v>
      </c>
      <c r="Q1548" s="23" t="s">
        <v>222</v>
      </c>
    </row>
    <row r="1549" spans="1:17" x14ac:dyDescent="0.25">
      <c r="A1549" s="23" t="s">
        <v>1058</v>
      </c>
      <c r="B1549" s="23" t="s">
        <v>1059</v>
      </c>
      <c r="C1549" s="23" t="s">
        <v>176</v>
      </c>
      <c r="D1549" s="23" t="s">
        <v>541</v>
      </c>
      <c r="E1549" s="23" t="s">
        <v>542</v>
      </c>
      <c r="F1549">
        <v>4</v>
      </c>
      <c r="G1549" s="23" t="s">
        <v>177</v>
      </c>
      <c r="H1549">
        <v>0</v>
      </c>
      <c r="I1549">
        <v>1000</v>
      </c>
      <c r="J1549" s="10">
        <v>0</v>
      </c>
      <c r="K1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1549">
        <v>0</v>
      </c>
      <c r="M15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49">
        <v>1.2</v>
      </c>
      <c r="O1549" s="23" t="s">
        <v>242</v>
      </c>
      <c r="P1549">
        <v>4.8</v>
      </c>
      <c r="Q1549" s="23" t="s">
        <v>181</v>
      </c>
    </row>
    <row r="1550" spans="1:17" x14ac:dyDescent="0.25">
      <c r="A1550" s="23" t="s">
        <v>1100</v>
      </c>
      <c r="B1550" s="23" t="s">
        <v>1101</v>
      </c>
      <c r="C1550" s="23" t="s">
        <v>176</v>
      </c>
      <c r="D1550" s="23" t="s">
        <v>258</v>
      </c>
      <c r="E1550" s="23" t="s">
        <v>259</v>
      </c>
      <c r="F1550">
        <v>2.8</v>
      </c>
      <c r="G1550" s="23" t="s">
        <v>177</v>
      </c>
      <c r="H1550">
        <v>0</v>
      </c>
      <c r="I1550">
        <v>14</v>
      </c>
      <c r="J1550" s="10">
        <v>6.7999999999999901</v>
      </c>
      <c r="K1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50">
        <v>12</v>
      </c>
      <c r="M15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50">
        <v>328.85</v>
      </c>
      <c r="O1550" s="23" t="s">
        <v>260</v>
      </c>
      <c r="P1550">
        <v>920.78</v>
      </c>
      <c r="Q1550" s="23" t="s">
        <v>184</v>
      </c>
    </row>
    <row r="1551" spans="1:17" x14ac:dyDescent="0.25">
      <c r="A1551" s="23" t="s">
        <v>1142</v>
      </c>
      <c r="B1551" s="23" t="s">
        <v>1054</v>
      </c>
      <c r="C1551" s="23" t="s">
        <v>176</v>
      </c>
      <c r="D1551" s="23" t="s">
        <v>258</v>
      </c>
      <c r="E1551" s="23" t="s">
        <v>259</v>
      </c>
      <c r="F1551">
        <v>4.3</v>
      </c>
      <c r="G1551" s="23" t="s">
        <v>177</v>
      </c>
      <c r="H1551">
        <v>0</v>
      </c>
      <c r="I1551">
        <v>14</v>
      </c>
      <c r="J1551" s="10">
        <v>6.7999999999999901</v>
      </c>
      <c r="K1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51">
        <v>12</v>
      </c>
      <c r="M15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51">
        <v>328.85</v>
      </c>
      <c r="O1551" s="23" t="s">
        <v>260</v>
      </c>
      <c r="P1551">
        <v>1414.0550000000001</v>
      </c>
      <c r="Q1551" s="23" t="s">
        <v>184</v>
      </c>
    </row>
    <row r="1552" spans="1:17" x14ac:dyDescent="0.25">
      <c r="A1552" s="23" t="s">
        <v>1150</v>
      </c>
      <c r="B1552" s="23" t="s">
        <v>1145</v>
      </c>
      <c r="C1552" s="23" t="s">
        <v>176</v>
      </c>
      <c r="D1552" s="23" t="s">
        <v>258</v>
      </c>
      <c r="E1552" s="23" t="s">
        <v>259</v>
      </c>
      <c r="F1552">
        <v>2.7</v>
      </c>
      <c r="G1552" s="23" t="s">
        <v>177</v>
      </c>
      <c r="H1552">
        <v>0</v>
      </c>
      <c r="I1552">
        <v>14</v>
      </c>
      <c r="J1552" s="10">
        <v>6.7999999999999901</v>
      </c>
      <c r="K1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52">
        <v>12</v>
      </c>
      <c r="M15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52">
        <v>328.85</v>
      </c>
      <c r="O1552" s="23" t="s">
        <v>260</v>
      </c>
      <c r="P1552">
        <v>887.8950000000001</v>
      </c>
      <c r="Q1552" s="23" t="s">
        <v>184</v>
      </c>
    </row>
    <row r="1553" spans="1:17" x14ac:dyDescent="0.25">
      <c r="A1553" s="23" t="s">
        <v>1094</v>
      </c>
      <c r="B1553" s="23" t="s">
        <v>1095</v>
      </c>
      <c r="C1553" s="23" t="s">
        <v>176</v>
      </c>
      <c r="D1553" s="23" t="s">
        <v>1133</v>
      </c>
      <c r="E1553" s="23" t="s">
        <v>1134</v>
      </c>
      <c r="F1553">
        <v>1</v>
      </c>
      <c r="G1553" s="23" t="s">
        <v>177</v>
      </c>
      <c r="H1553">
        <v>0</v>
      </c>
      <c r="I1553">
        <v>0</v>
      </c>
      <c r="J1553" s="10">
        <v>0</v>
      </c>
      <c r="K1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553">
        <v>0</v>
      </c>
      <c r="M15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48928.1</v>
      </c>
      <c r="N1553">
        <v>24464.05</v>
      </c>
      <c r="O1553" s="23" t="s">
        <v>713</v>
      </c>
      <c r="P1553">
        <v>24464.05</v>
      </c>
      <c r="Q1553" s="23" t="s">
        <v>178</v>
      </c>
    </row>
    <row r="1554" spans="1:17" x14ac:dyDescent="0.25">
      <c r="A1554" s="23" t="s">
        <v>1094</v>
      </c>
      <c r="B1554" s="23" t="s">
        <v>1095</v>
      </c>
      <c r="C1554" s="23" t="s">
        <v>176</v>
      </c>
      <c r="D1554" s="23" t="s">
        <v>541</v>
      </c>
      <c r="E1554" s="23" t="s">
        <v>542</v>
      </c>
      <c r="F1554">
        <v>4</v>
      </c>
      <c r="G1554" s="23" t="s">
        <v>177</v>
      </c>
      <c r="H1554">
        <v>0</v>
      </c>
      <c r="I1554">
        <v>1000</v>
      </c>
      <c r="J1554" s="10">
        <v>0</v>
      </c>
      <c r="K1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1554">
        <v>0</v>
      </c>
      <c r="M15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4">
        <v>1.2</v>
      </c>
      <c r="O1554" s="23" t="s">
        <v>242</v>
      </c>
      <c r="P1554">
        <v>4.8</v>
      </c>
      <c r="Q1554" s="23" t="s">
        <v>181</v>
      </c>
    </row>
    <row r="1555" spans="1:17" x14ac:dyDescent="0.25">
      <c r="A1555" s="23" t="s">
        <v>1143</v>
      </c>
      <c r="B1555" s="23" t="s">
        <v>1054</v>
      </c>
      <c r="C1555" s="23" t="s">
        <v>176</v>
      </c>
      <c r="D1555" s="23" t="s">
        <v>258</v>
      </c>
      <c r="E1555" s="23" t="s">
        <v>259</v>
      </c>
      <c r="F1555">
        <v>2.1</v>
      </c>
      <c r="G1555" s="23" t="s">
        <v>177</v>
      </c>
      <c r="H1555">
        <v>0</v>
      </c>
      <c r="I1555">
        <v>14</v>
      </c>
      <c r="J1555" s="10">
        <v>6.7999999999999901</v>
      </c>
      <c r="K1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55">
        <v>12</v>
      </c>
      <c r="M15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55">
        <v>328.85</v>
      </c>
      <c r="O1555" s="23" t="s">
        <v>260</v>
      </c>
      <c r="P1555">
        <v>690.58500000000004</v>
      </c>
      <c r="Q1555" s="23" t="s">
        <v>184</v>
      </c>
    </row>
    <row r="1556" spans="1:17" x14ac:dyDescent="0.25">
      <c r="A1556" s="23" t="s">
        <v>1096</v>
      </c>
      <c r="B1556" s="23" t="s">
        <v>1053</v>
      </c>
      <c r="C1556" s="23" t="s">
        <v>176</v>
      </c>
      <c r="D1556" s="23" t="s">
        <v>258</v>
      </c>
      <c r="E1556" s="23" t="s">
        <v>259</v>
      </c>
      <c r="F1556">
        <v>1.6</v>
      </c>
      <c r="G1556" s="23" t="s">
        <v>177</v>
      </c>
      <c r="H1556">
        <v>1.6</v>
      </c>
      <c r="I1556">
        <v>14</v>
      </c>
      <c r="J1556" s="10">
        <v>6.7999999999999901</v>
      </c>
      <c r="K1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56">
        <v>12</v>
      </c>
      <c r="M15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56">
        <v>328.85</v>
      </c>
      <c r="O1556" s="23" t="s">
        <v>260</v>
      </c>
      <c r="P1556">
        <v>526.16000000000008</v>
      </c>
      <c r="Q1556" s="23" t="s">
        <v>184</v>
      </c>
    </row>
    <row r="1557" spans="1:17" x14ac:dyDescent="0.25">
      <c r="A1557" s="23" t="s">
        <v>1096</v>
      </c>
      <c r="B1557" s="23" t="s">
        <v>1053</v>
      </c>
      <c r="C1557" s="23" t="s">
        <v>176</v>
      </c>
      <c r="D1557" s="23" t="s">
        <v>421</v>
      </c>
      <c r="E1557" s="23" t="s">
        <v>422</v>
      </c>
      <c r="F1557">
        <v>1</v>
      </c>
      <c r="G1557" s="23" t="s">
        <v>180</v>
      </c>
      <c r="H1557">
        <v>0</v>
      </c>
      <c r="I1557">
        <v>0</v>
      </c>
      <c r="J1557" s="10">
        <v>3.0000000000000142</v>
      </c>
      <c r="K1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557">
        <v>0</v>
      </c>
      <c r="M15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1557">
        <v>490.85</v>
      </c>
      <c r="O1557" s="23" t="s">
        <v>423</v>
      </c>
      <c r="P1557">
        <v>490.85</v>
      </c>
      <c r="Q1557" s="23" t="s">
        <v>185</v>
      </c>
    </row>
    <row r="1558" spans="1:17" x14ac:dyDescent="0.25">
      <c r="A1558" s="23" t="s">
        <v>1100</v>
      </c>
      <c r="B1558" s="23" t="s">
        <v>1101</v>
      </c>
      <c r="C1558" s="23" t="s">
        <v>176</v>
      </c>
      <c r="D1558" s="23" t="s">
        <v>1133</v>
      </c>
      <c r="E1558" s="23" t="s">
        <v>1134</v>
      </c>
      <c r="F1558">
        <v>1</v>
      </c>
      <c r="G1558" s="23" t="s">
        <v>177</v>
      </c>
      <c r="H1558">
        <v>0</v>
      </c>
      <c r="I1558">
        <v>0</v>
      </c>
      <c r="J1558" s="10">
        <v>0</v>
      </c>
      <c r="K1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558">
        <v>0</v>
      </c>
      <c r="M15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48928.1</v>
      </c>
      <c r="N1558">
        <v>24464.05</v>
      </c>
      <c r="O1558" s="23" t="s">
        <v>713</v>
      </c>
      <c r="P1558">
        <v>24464.05</v>
      </c>
      <c r="Q1558" s="23" t="s">
        <v>178</v>
      </c>
    </row>
    <row r="1559" spans="1:17" x14ac:dyDescent="0.25">
      <c r="A1559" s="23" t="s">
        <v>1055</v>
      </c>
      <c r="B1559" s="23" t="s">
        <v>1056</v>
      </c>
      <c r="C1559" s="23" t="s">
        <v>176</v>
      </c>
      <c r="D1559" s="23" t="s">
        <v>541</v>
      </c>
      <c r="E1559" s="23" t="s">
        <v>542</v>
      </c>
      <c r="F1559">
        <v>4</v>
      </c>
      <c r="G1559" s="23" t="s">
        <v>177</v>
      </c>
      <c r="H1559">
        <v>0</v>
      </c>
      <c r="I1559">
        <v>1000</v>
      </c>
      <c r="J1559" s="10">
        <v>0</v>
      </c>
      <c r="K1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1559">
        <v>0</v>
      </c>
      <c r="M15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59">
        <v>1.2</v>
      </c>
      <c r="O1559" s="23" t="s">
        <v>242</v>
      </c>
      <c r="P1559">
        <v>4.8</v>
      </c>
      <c r="Q1559" s="23" t="s">
        <v>181</v>
      </c>
    </row>
    <row r="1560" spans="1:17" x14ac:dyDescent="0.25">
      <c r="A1560" s="23" t="s">
        <v>1099</v>
      </c>
      <c r="B1560" s="23" t="s">
        <v>1056</v>
      </c>
      <c r="C1560" s="23" t="s">
        <v>176</v>
      </c>
      <c r="D1560" s="23" t="s">
        <v>541</v>
      </c>
      <c r="E1560" s="23" t="s">
        <v>542</v>
      </c>
      <c r="F1560">
        <v>4</v>
      </c>
      <c r="G1560" s="23" t="s">
        <v>177</v>
      </c>
      <c r="H1560">
        <v>0</v>
      </c>
      <c r="I1560">
        <v>1000</v>
      </c>
      <c r="J1560" s="10">
        <v>0</v>
      </c>
      <c r="K1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1560">
        <v>0</v>
      </c>
      <c r="M15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0">
        <v>1.2</v>
      </c>
      <c r="O1560" s="23" t="s">
        <v>242</v>
      </c>
      <c r="P1560">
        <v>4.8</v>
      </c>
      <c r="Q1560" s="23" t="s">
        <v>181</v>
      </c>
    </row>
    <row r="1561" spans="1:17" x14ac:dyDescent="0.25">
      <c r="A1561" s="23" t="s">
        <v>1057</v>
      </c>
      <c r="B1561" s="23" t="s">
        <v>1056</v>
      </c>
      <c r="C1561" s="23" t="s">
        <v>176</v>
      </c>
      <c r="D1561" s="23" t="s">
        <v>541</v>
      </c>
      <c r="E1561" s="23" t="s">
        <v>542</v>
      </c>
      <c r="F1561">
        <v>4</v>
      </c>
      <c r="G1561" s="23" t="s">
        <v>177</v>
      </c>
      <c r="H1561">
        <v>0</v>
      </c>
      <c r="I1561">
        <v>1000</v>
      </c>
      <c r="J1561" s="10">
        <v>0</v>
      </c>
      <c r="K1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1561">
        <v>0</v>
      </c>
      <c r="M15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1">
        <v>1.2</v>
      </c>
      <c r="O1561" s="23" t="s">
        <v>242</v>
      </c>
      <c r="P1561">
        <v>4.8</v>
      </c>
      <c r="Q1561" s="23" t="s">
        <v>181</v>
      </c>
    </row>
    <row r="1562" spans="1:17" x14ac:dyDescent="0.25">
      <c r="A1562" s="23" t="s">
        <v>1094</v>
      </c>
      <c r="B1562" s="23" t="s">
        <v>1095</v>
      </c>
      <c r="C1562" s="23" t="s">
        <v>176</v>
      </c>
      <c r="D1562" s="23" t="s">
        <v>258</v>
      </c>
      <c r="E1562" s="23" t="s">
        <v>259</v>
      </c>
      <c r="F1562">
        <v>3.2</v>
      </c>
      <c r="G1562" s="23" t="s">
        <v>177</v>
      </c>
      <c r="H1562">
        <v>0</v>
      </c>
      <c r="I1562">
        <v>14</v>
      </c>
      <c r="J1562" s="10">
        <v>6.7999999999999901</v>
      </c>
      <c r="K1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62">
        <v>12</v>
      </c>
      <c r="M15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62">
        <v>328.85</v>
      </c>
      <c r="O1562" s="23" t="s">
        <v>260</v>
      </c>
      <c r="P1562">
        <v>1052.3200000000002</v>
      </c>
      <c r="Q1562" s="23" t="s">
        <v>184</v>
      </c>
    </row>
    <row r="1563" spans="1:17" x14ac:dyDescent="0.25">
      <c r="A1563" s="23" t="s">
        <v>1143</v>
      </c>
      <c r="B1563" s="23" t="s">
        <v>1054</v>
      </c>
      <c r="C1563" s="23" t="s">
        <v>176</v>
      </c>
      <c r="D1563" s="23" t="s">
        <v>421</v>
      </c>
      <c r="E1563" s="23" t="s">
        <v>422</v>
      </c>
      <c r="F1563">
        <v>1</v>
      </c>
      <c r="G1563" s="23" t="s">
        <v>180</v>
      </c>
      <c r="H1563">
        <v>0</v>
      </c>
      <c r="I1563">
        <v>0</v>
      </c>
      <c r="J1563" s="10">
        <v>3.0000000000000142</v>
      </c>
      <c r="K1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563">
        <v>0</v>
      </c>
      <c r="M15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1563">
        <v>490.85</v>
      </c>
      <c r="O1563" s="23" t="s">
        <v>423</v>
      </c>
      <c r="P1563">
        <v>490.85</v>
      </c>
      <c r="Q1563" s="23" t="s">
        <v>185</v>
      </c>
    </row>
    <row r="1564" spans="1:17" x14ac:dyDescent="0.25">
      <c r="A1564" s="23" t="s">
        <v>1144</v>
      </c>
      <c r="B1564" s="23" t="s">
        <v>1145</v>
      </c>
      <c r="C1564" s="23" t="s">
        <v>176</v>
      </c>
      <c r="D1564" s="23" t="s">
        <v>258</v>
      </c>
      <c r="E1564" s="23" t="s">
        <v>259</v>
      </c>
      <c r="F1564">
        <v>2.7</v>
      </c>
      <c r="G1564" s="23" t="s">
        <v>177</v>
      </c>
      <c r="H1564">
        <v>0</v>
      </c>
      <c r="I1564">
        <v>14</v>
      </c>
      <c r="J1564" s="10">
        <v>6.7999999999999901</v>
      </c>
      <c r="K1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564">
        <v>12</v>
      </c>
      <c r="M15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564">
        <v>328.85</v>
      </c>
      <c r="O1564" s="23" t="s">
        <v>260</v>
      </c>
      <c r="P1564">
        <v>887.8950000000001</v>
      </c>
      <c r="Q1564" s="23" t="s">
        <v>184</v>
      </c>
    </row>
    <row r="1565" spans="1:17" x14ac:dyDescent="0.25">
      <c r="A1565" s="23" t="s">
        <v>1150</v>
      </c>
      <c r="B1565" s="23" t="s">
        <v>1145</v>
      </c>
      <c r="C1565" s="23" t="s">
        <v>176</v>
      </c>
      <c r="D1565" s="23" t="s">
        <v>234</v>
      </c>
      <c r="E1565" s="23" t="s">
        <v>235</v>
      </c>
      <c r="F1565">
        <v>2</v>
      </c>
      <c r="G1565" s="23" t="s">
        <v>177</v>
      </c>
      <c r="H1565">
        <v>0</v>
      </c>
      <c r="I1565">
        <v>222</v>
      </c>
      <c r="J1565" s="10">
        <v>90</v>
      </c>
      <c r="K1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565">
        <v>0</v>
      </c>
      <c r="M15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5">
        <v>4</v>
      </c>
      <c r="O1565" s="23" t="s">
        <v>221</v>
      </c>
      <c r="P1565">
        <v>8</v>
      </c>
      <c r="Q1565" s="23" t="s">
        <v>222</v>
      </c>
    </row>
    <row r="1566" spans="1:17" x14ac:dyDescent="0.25">
      <c r="A1566" s="23" t="s">
        <v>1150</v>
      </c>
      <c r="B1566" s="23" t="s">
        <v>1145</v>
      </c>
      <c r="C1566" s="23" t="s">
        <v>176</v>
      </c>
      <c r="D1566" s="23" t="s">
        <v>388</v>
      </c>
      <c r="E1566" s="23" t="s">
        <v>389</v>
      </c>
      <c r="F1566">
        <v>7</v>
      </c>
      <c r="G1566" s="23" t="s">
        <v>177</v>
      </c>
      <c r="H1566">
        <v>0</v>
      </c>
      <c r="I1566">
        <v>1100</v>
      </c>
      <c r="J1566" s="10">
        <v>780</v>
      </c>
      <c r="K1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566">
        <v>0</v>
      </c>
      <c r="M15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6">
        <v>0.32</v>
      </c>
      <c r="O1566" s="23" t="s">
        <v>242</v>
      </c>
      <c r="P1566">
        <v>2.2400000000000002</v>
      </c>
      <c r="Q1566" s="23" t="s">
        <v>181</v>
      </c>
    </row>
    <row r="1567" spans="1:17" x14ac:dyDescent="0.25">
      <c r="A1567" s="23" t="s">
        <v>1142</v>
      </c>
      <c r="B1567" s="23" t="s">
        <v>1054</v>
      </c>
      <c r="C1567" s="23" t="s">
        <v>176</v>
      </c>
      <c r="D1567" s="23" t="s">
        <v>234</v>
      </c>
      <c r="E1567" s="23" t="s">
        <v>235</v>
      </c>
      <c r="F1567">
        <v>2</v>
      </c>
      <c r="G1567" s="23" t="s">
        <v>177</v>
      </c>
      <c r="H1567">
        <v>0</v>
      </c>
      <c r="I1567">
        <v>222</v>
      </c>
      <c r="J1567" s="10">
        <v>90</v>
      </c>
      <c r="K1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567">
        <v>0</v>
      </c>
      <c r="M15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7">
        <v>4</v>
      </c>
      <c r="O1567" s="23" t="s">
        <v>221</v>
      </c>
      <c r="P1567">
        <v>8</v>
      </c>
      <c r="Q1567" s="23" t="s">
        <v>222</v>
      </c>
    </row>
    <row r="1568" spans="1:17" x14ac:dyDescent="0.25">
      <c r="A1568" s="23" t="s">
        <v>1094</v>
      </c>
      <c r="B1568" s="23" t="s">
        <v>1095</v>
      </c>
      <c r="C1568" s="23" t="s">
        <v>176</v>
      </c>
      <c r="D1568" s="23" t="s">
        <v>777</v>
      </c>
      <c r="E1568" s="23" t="s">
        <v>778</v>
      </c>
      <c r="F1568">
        <v>1</v>
      </c>
      <c r="G1568" s="23" t="s">
        <v>177</v>
      </c>
      <c r="H1568">
        <v>0</v>
      </c>
      <c r="I1568">
        <v>7</v>
      </c>
      <c r="J1568" s="10">
        <v>6</v>
      </c>
      <c r="K1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568">
        <v>0</v>
      </c>
      <c r="M15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1568">
        <v>2457.65</v>
      </c>
      <c r="O1568" s="23" t="s">
        <v>635</v>
      </c>
      <c r="P1568">
        <v>2457.65</v>
      </c>
      <c r="Q1568" s="23" t="s">
        <v>178</v>
      </c>
    </row>
    <row r="1569" spans="1:17" x14ac:dyDescent="0.25">
      <c r="A1569" s="23" t="s">
        <v>1142</v>
      </c>
      <c r="B1569" s="23" t="s">
        <v>1054</v>
      </c>
      <c r="C1569" s="23" t="s">
        <v>176</v>
      </c>
      <c r="D1569" s="23" t="s">
        <v>417</v>
      </c>
      <c r="E1569" s="23" t="s">
        <v>418</v>
      </c>
      <c r="F1569">
        <v>40</v>
      </c>
      <c r="G1569" s="23" t="s">
        <v>177</v>
      </c>
      <c r="H1569">
        <v>0</v>
      </c>
      <c r="I1569">
        <v>1000</v>
      </c>
      <c r="J1569" s="10">
        <v>4807</v>
      </c>
      <c r="K1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1569">
        <v>0</v>
      </c>
      <c r="M15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69">
        <v>0.3</v>
      </c>
      <c r="O1569" s="23" t="s">
        <v>629</v>
      </c>
      <c r="P1569">
        <v>12</v>
      </c>
      <c r="Q1569" s="23" t="s">
        <v>181</v>
      </c>
    </row>
    <row r="1570" spans="1:17" x14ac:dyDescent="0.25">
      <c r="A1570" s="23" t="s">
        <v>1096</v>
      </c>
      <c r="B1570" s="23" t="s">
        <v>1053</v>
      </c>
      <c r="C1570" s="23" t="s">
        <v>176</v>
      </c>
      <c r="D1570" s="23" t="s">
        <v>417</v>
      </c>
      <c r="E1570" s="23" t="s">
        <v>418</v>
      </c>
      <c r="F1570">
        <v>45</v>
      </c>
      <c r="G1570" s="23" t="s">
        <v>177</v>
      </c>
      <c r="H1570">
        <v>0</v>
      </c>
      <c r="I1570">
        <v>1000</v>
      </c>
      <c r="J1570" s="10">
        <v>4807</v>
      </c>
      <c r="K1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-450</v>
      </c>
      <c r="L1570">
        <v>0</v>
      </c>
      <c r="M15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0">
        <v>0.3</v>
      </c>
      <c r="O1570" s="23" t="s">
        <v>629</v>
      </c>
      <c r="P1570">
        <v>13.5</v>
      </c>
      <c r="Q1570" s="23" t="s">
        <v>181</v>
      </c>
    </row>
    <row r="1571" spans="1:17" x14ac:dyDescent="0.25">
      <c r="A1571" s="23" t="s">
        <v>1142</v>
      </c>
      <c r="B1571" s="23" t="s">
        <v>1054</v>
      </c>
      <c r="C1571" s="23" t="s">
        <v>176</v>
      </c>
      <c r="D1571" s="23" t="s">
        <v>535</v>
      </c>
      <c r="E1571" s="23" t="s">
        <v>536</v>
      </c>
      <c r="F1571">
        <v>4</v>
      </c>
      <c r="G1571" s="23" t="s">
        <v>177</v>
      </c>
      <c r="H1571">
        <v>0</v>
      </c>
      <c r="I1571">
        <v>212</v>
      </c>
      <c r="J1571" s="10">
        <v>625</v>
      </c>
      <c r="K1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1571">
        <v>0</v>
      </c>
      <c r="M15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1">
        <v>3.95</v>
      </c>
      <c r="O1571" s="23" t="s">
        <v>242</v>
      </c>
      <c r="P1571">
        <v>15.8</v>
      </c>
      <c r="Q1571" s="23" t="s">
        <v>181</v>
      </c>
    </row>
    <row r="1572" spans="1:17" x14ac:dyDescent="0.25">
      <c r="A1572" s="23" t="s">
        <v>1149</v>
      </c>
      <c r="B1572" s="23" t="s">
        <v>1145</v>
      </c>
      <c r="C1572" s="23" t="s">
        <v>176</v>
      </c>
      <c r="D1572" s="23" t="s">
        <v>364</v>
      </c>
      <c r="E1572" s="23" t="s">
        <v>365</v>
      </c>
      <c r="F1572">
        <v>7.5</v>
      </c>
      <c r="G1572" s="23" t="s">
        <v>180</v>
      </c>
      <c r="H1572">
        <v>0</v>
      </c>
      <c r="I1572">
        <v>200</v>
      </c>
      <c r="J1572" s="10">
        <v>59.899999999999928</v>
      </c>
      <c r="K1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72">
        <v>0</v>
      </c>
      <c r="M15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2">
        <v>22.5</v>
      </c>
      <c r="O1572" s="23" t="s">
        <v>315</v>
      </c>
      <c r="P1572">
        <v>168.75</v>
      </c>
      <c r="Q1572" s="23" t="s">
        <v>179</v>
      </c>
    </row>
    <row r="1573" spans="1:17" x14ac:dyDescent="0.25">
      <c r="A1573" s="23" t="s">
        <v>1144</v>
      </c>
      <c r="B1573" s="23" t="s">
        <v>1145</v>
      </c>
      <c r="C1573" s="23" t="s">
        <v>176</v>
      </c>
      <c r="D1573" s="23" t="s">
        <v>364</v>
      </c>
      <c r="E1573" s="23" t="s">
        <v>365</v>
      </c>
      <c r="F1573">
        <v>7.5</v>
      </c>
      <c r="G1573" s="23" t="s">
        <v>180</v>
      </c>
      <c r="H1573">
        <v>0</v>
      </c>
      <c r="I1573">
        <v>200</v>
      </c>
      <c r="J1573" s="10">
        <v>59.899999999999928</v>
      </c>
      <c r="K1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73">
        <v>0</v>
      </c>
      <c r="M15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3">
        <v>22.5</v>
      </c>
      <c r="O1573" s="23" t="s">
        <v>315</v>
      </c>
      <c r="P1573">
        <v>168.75</v>
      </c>
      <c r="Q1573" s="23" t="s">
        <v>179</v>
      </c>
    </row>
    <row r="1574" spans="1:17" x14ac:dyDescent="0.25">
      <c r="A1574" s="23" t="s">
        <v>1146</v>
      </c>
      <c r="B1574" s="23" t="s">
        <v>1145</v>
      </c>
      <c r="C1574" s="23" t="s">
        <v>176</v>
      </c>
      <c r="D1574" s="23" t="s">
        <v>364</v>
      </c>
      <c r="E1574" s="23" t="s">
        <v>365</v>
      </c>
      <c r="F1574">
        <v>7.5</v>
      </c>
      <c r="G1574" s="23" t="s">
        <v>180</v>
      </c>
      <c r="H1574">
        <v>0</v>
      </c>
      <c r="I1574">
        <v>200</v>
      </c>
      <c r="J1574" s="10">
        <v>59.899999999999928</v>
      </c>
      <c r="K1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1574">
        <v>0</v>
      </c>
      <c r="M15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4">
        <v>22.5</v>
      </c>
      <c r="O1574" s="23" t="s">
        <v>315</v>
      </c>
      <c r="P1574">
        <v>168.75</v>
      </c>
      <c r="Q1574" s="23" t="s">
        <v>179</v>
      </c>
    </row>
    <row r="1575" spans="1:17" x14ac:dyDescent="0.25">
      <c r="A1575" s="23" t="s">
        <v>1144</v>
      </c>
      <c r="B1575" s="23" t="s">
        <v>1145</v>
      </c>
      <c r="C1575" s="23" t="s">
        <v>176</v>
      </c>
      <c r="D1575" s="23" t="s">
        <v>156</v>
      </c>
      <c r="E1575" s="23" t="s">
        <v>157</v>
      </c>
      <c r="F1575">
        <v>0.01</v>
      </c>
      <c r="G1575" s="23" t="s">
        <v>180</v>
      </c>
      <c r="H1575">
        <v>0</v>
      </c>
      <c r="I1575">
        <v>200</v>
      </c>
      <c r="J1575" s="10">
        <v>75.000000000000014</v>
      </c>
      <c r="K1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575">
        <v>0</v>
      </c>
      <c r="M15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5">
        <v>7.4</v>
      </c>
      <c r="O1575" s="23" t="s">
        <v>636</v>
      </c>
      <c r="P1575">
        <v>7.400000000000001E-2</v>
      </c>
      <c r="Q1575" s="23" t="s">
        <v>222</v>
      </c>
    </row>
    <row r="1576" spans="1:17" x14ac:dyDescent="0.25">
      <c r="A1576" s="23" t="s">
        <v>1146</v>
      </c>
      <c r="B1576" s="23" t="s">
        <v>1145</v>
      </c>
      <c r="C1576" s="23" t="s">
        <v>176</v>
      </c>
      <c r="D1576" s="23" t="s">
        <v>156</v>
      </c>
      <c r="E1576" s="23" t="s">
        <v>157</v>
      </c>
      <c r="F1576">
        <v>0.01</v>
      </c>
      <c r="G1576" s="23" t="s">
        <v>180</v>
      </c>
      <c r="H1576">
        <v>0</v>
      </c>
      <c r="I1576">
        <v>200</v>
      </c>
      <c r="J1576" s="10">
        <v>75.000000000000014</v>
      </c>
      <c r="K1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1576">
        <v>0</v>
      </c>
      <c r="M15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6">
        <v>7.4</v>
      </c>
      <c r="O1576" s="23" t="s">
        <v>636</v>
      </c>
      <c r="P1576">
        <v>7.400000000000001E-2</v>
      </c>
      <c r="Q1576" s="23" t="s">
        <v>222</v>
      </c>
    </row>
    <row r="1577" spans="1:17" x14ac:dyDescent="0.25">
      <c r="A1577" s="23" t="s">
        <v>1100</v>
      </c>
      <c r="B1577" s="23" t="s">
        <v>1101</v>
      </c>
      <c r="C1577" s="23" t="s">
        <v>176</v>
      </c>
      <c r="D1577" s="23" t="s">
        <v>539</v>
      </c>
      <c r="E1577" s="23" t="s">
        <v>540</v>
      </c>
      <c r="F1577">
        <v>8</v>
      </c>
      <c r="G1577" s="23" t="s">
        <v>177</v>
      </c>
      <c r="H1577">
        <v>0</v>
      </c>
      <c r="I1577">
        <v>250</v>
      </c>
      <c r="J1577" s="10">
        <v>3</v>
      </c>
      <c r="K1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577">
        <v>0</v>
      </c>
      <c r="M15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7">
        <v>2</v>
      </c>
      <c r="O1577" s="23"/>
      <c r="P1577">
        <v>16</v>
      </c>
      <c r="Q1577" s="23" t="s">
        <v>181</v>
      </c>
    </row>
    <row r="1578" spans="1:17" x14ac:dyDescent="0.25">
      <c r="A1578" s="23" t="s">
        <v>1055</v>
      </c>
      <c r="B1578" s="23" t="s">
        <v>1056</v>
      </c>
      <c r="C1578" s="23" t="s">
        <v>176</v>
      </c>
      <c r="D1578" s="23" t="s">
        <v>853</v>
      </c>
      <c r="E1578" s="23" t="s">
        <v>854</v>
      </c>
      <c r="F1578">
        <v>4</v>
      </c>
      <c r="G1578" s="23" t="s">
        <v>177</v>
      </c>
      <c r="H1578">
        <v>0</v>
      </c>
      <c r="I1578">
        <v>250</v>
      </c>
      <c r="J1578" s="10">
        <v>835</v>
      </c>
      <c r="K1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578">
        <v>0</v>
      </c>
      <c r="M15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8">
        <v>1.58</v>
      </c>
      <c r="O1578" s="23" t="s">
        <v>883</v>
      </c>
      <c r="P1578">
        <v>6.32</v>
      </c>
      <c r="Q1578" s="23" t="s">
        <v>181</v>
      </c>
    </row>
    <row r="1579" spans="1:17" x14ac:dyDescent="0.25">
      <c r="A1579" s="23" t="s">
        <v>1099</v>
      </c>
      <c r="B1579" s="23" t="s">
        <v>1056</v>
      </c>
      <c r="C1579" s="23" t="s">
        <v>176</v>
      </c>
      <c r="D1579" s="23" t="s">
        <v>853</v>
      </c>
      <c r="E1579" s="23" t="s">
        <v>854</v>
      </c>
      <c r="F1579">
        <v>4</v>
      </c>
      <c r="G1579" s="23" t="s">
        <v>177</v>
      </c>
      <c r="H1579">
        <v>0</v>
      </c>
      <c r="I1579">
        <v>250</v>
      </c>
      <c r="J1579" s="10">
        <v>835</v>
      </c>
      <c r="K1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579">
        <v>0</v>
      </c>
      <c r="M15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79">
        <v>1.58</v>
      </c>
      <c r="O1579" s="23" t="s">
        <v>883</v>
      </c>
      <c r="P1579">
        <v>6.32</v>
      </c>
      <c r="Q1579" s="23" t="s">
        <v>181</v>
      </c>
    </row>
    <row r="1580" spans="1:17" x14ac:dyDescent="0.25">
      <c r="A1580" s="23" t="s">
        <v>1142</v>
      </c>
      <c r="B1580" s="23" t="s">
        <v>1054</v>
      </c>
      <c r="C1580" s="23" t="s">
        <v>176</v>
      </c>
      <c r="D1580" s="23" t="s">
        <v>487</v>
      </c>
      <c r="E1580" s="23" t="s">
        <v>488</v>
      </c>
      <c r="F1580">
        <v>2</v>
      </c>
      <c r="G1580" s="23" t="s">
        <v>177</v>
      </c>
      <c r="H1580">
        <v>0</v>
      </c>
      <c r="I1580">
        <v>20</v>
      </c>
      <c r="J1580" s="10">
        <v>34</v>
      </c>
      <c r="K1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580">
        <v>0</v>
      </c>
      <c r="M15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580">
        <v>82</v>
      </c>
      <c r="O1580" s="23" t="s">
        <v>1088</v>
      </c>
      <c r="P1580">
        <v>164</v>
      </c>
      <c r="Q1580" s="23" t="s">
        <v>484</v>
      </c>
    </row>
    <row r="1581" spans="1:17" x14ac:dyDescent="0.25">
      <c r="A1581" s="23" t="s">
        <v>1143</v>
      </c>
      <c r="B1581" s="23" t="s">
        <v>1054</v>
      </c>
      <c r="C1581" s="23" t="s">
        <v>198</v>
      </c>
      <c r="D1581" s="23" t="s">
        <v>499</v>
      </c>
      <c r="E1581" s="23" t="s">
        <v>500</v>
      </c>
      <c r="F1581">
        <v>1</v>
      </c>
      <c r="G1581" s="23" t="s">
        <v>177</v>
      </c>
      <c r="H1581">
        <v>0</v>
      </c>
      <c r="I1581">
        <v>11</v>
      </c>
      <c r="J1581" s="10">
        <v>8</v>
      </c>
      <c r="K1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581">
        <v>0</v>
      </c>
      <c r="M15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581" s="23" t="s">
        <v>714</v>
      </c>
      <c r="Q1581" s="23" t="s">
        <v>761</v>
      </c>
    </row>
    <row r="1582" spans="1:17" x14ac:dyDescent="0.25">
      <c r="A1582" s="23" t="s">
        <v>1057</v>
      </c>
      <c r="B1582" s="23" t="s">
        <v>1056</v>
      </c>
      <c r="C1582" s="23" t="s">
        <v>176</v>
      </c>
      <c r="D1582" s="23" t="s">
        <v>539</v>
      </c>
      <c r="E1582" s="23" t="s">
        <v>540</v>
      </c>
      <c r="F1582">
        <v>2</v>
      </c>
      <c r="G1582" s="23" t="s">
        <v>177</v>
      </c>
      <c r="H1582">
        <v>0</v>
      </c>
      <c r="I1582">
        <v>250</v>
      </c>
      <c r="J1582" s="10">
        <v>3</v>
      </c>
      <c r="K1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582">
        <v>0</v>
      </c>
      <c r="M15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2">
        <v>2</v>
      </c>
      <c r="O1582" s="23"/>
      <c r="P1582">
        <v>4</v>
      </c>
      <c r="Q1582" s="23" t="s">
        <v>181</v>
      </c>
    </row>
    <row r="1583" spans="1:17" x14ac:dyDescent="0.25">
      <c r="A1583" s="23" t="s">
        <v>1057</v>
      </c>
      <c r="B1583" s="23" t="s">
        <v>1056</v>
      </c>
      <c r="C1583" s="23" t="s">
        <v>176</v>
      </c>
      <c r="D1583" s="23" t="s">
        <v>853</v>
      </c>
      <c r="E1583" s="23" t="s">
        <v>854</v>
      </c>
      <c r="F1583">
        <v>4</v>
      </c>
      <c r="G1583" s="23" t="s">
        <v>177</v>
      </c>
      <c r="H1583">
        <v>0</v>
      </c>
      <c r="I1583">
        <v>250</v>
      </c>
      <c r="J1583" s="10">
        <v>835</v>
      </c>
      <c r="K1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583">
        <v>0</v>
      </c>
      <c r="M15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3">
        <v>1.58</v>
      </c>
      <c r="O1583" s="23" t="s">
        <v>883</v>
      </c>
      <c r="P1583">
        <v>6.32</v>
      </c>
      <c r="Q1583" s="23" t="s">
        <v>181</v>
      </c>
    </row>
    <row r="1584" spans="1:17" x14ac:dyDescent="0.25">
      <c r="A1584" s="23" t="s">
        <v>1143</v>
      </c>
      <c r="B1584" s="23" t="s">
        <v>1054</v>
      </c>
      <c r="C1584" s="23" t="s">
        <v>176</v>
      </c>
      <c r="D1584" s="23" t="s">
        <v>853</v>
      </c>
      <c r="E1584" s="23" t="s">
        <v>854</v>
      </c>
      <c r="F1584">
        <v>8</v>
      </c>
      <c r="G1584" s="23" t="s">
        <v>177</v>
      </c>
      <c r="H1584">
        <v>0</v>
      </c>
      <c r="I1584">
        <v>250</v>
      </c>
      <c r="J1584" s="10">
        <v>835</v>
      </c>
      <c r="K1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584">
        <v>0</v>
      </c>
      <c r="M15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4">
        <v>1.58</v>
      </c>
      <c r="O1584" s="23" t="s">
        <v>883</v>
      </c>
      <c r="P1584">
        <v>12.64</v>
      </c>
      <c r="Q1584" s="23" t="s">
        <v>181</v>
      </c>
    </row>
    <row r="1585" spans="1:17" x14ac:dyDescent="0.25">
      <c r="A1585" s="23" t="s">
        <v>1150</v>
      </c>
      <c r="B1585" s="23" t="s">
        <v>1145</v>
      </c>
      <c r="C1585" s="23" t="s">
        <v>176</v>
      </c>
      <c r="D1585" s="23" t="s">
        <v>487</v>
      </c>
      <c r="E1585" s="23" t="s">
        <v>488</v>
      </c>
      <c r="F1585">
        <v>2</v>
      </c>
      <c r="G1585" s="23" t="s">
        <v>177</v>
      </c>
      <c r="H1585">
        <v>0</v>
      </c>
      <c r="I1585">
        <v>20</v>
      </c>
      <c r="J1585" s="10">
        <v>34</v>
      </c>
      <c r="K1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585">
        <v>0</v>
      </c>
      <c r="M15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585">
        <v>82</v>
      </c>
      <c r="O1585" s="23" t="s">
        <v>1088</v>
      </c>
      <c r="P1585">
        <v>164</v>
      </c>
      <c r="Q1585" s="23" t="s">
        <v>484</v>
      </c>
    </row>
    <row r="1586" spans="1:17" x14ac:dyDescent="0.25">
      <c r="A1586" s="23" t="s">
        <v>1144</v>
      </c>
      <c r="B1586" s="23" t="s">
        <v>1145</v>
      </c>
      <c r="C1586" s="23" t="s">
        <v>198</v>
      </c>
      <c r="D1586" s="23" t="s">
        <v>499</v>
      </c>
      <c r="E1586" s="23" t="s">
        <v>500</v>
      </c>
      <c r="F1586">
        <v>1</v>
      </c>
      <c r="G1586" s="23" t="s">
        <v>177</v>
      </c>
      <c r="H1586">
        <v>0</v>
      </c>
      <c r="I1586">
        <v>11</v>
      </c>
      <c r="J1586" s="10">
        <v>8</v>
      </c>
      <c r="K1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586">
        <v>0</v>
      </c>
      <c r="M15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586" s="23" t="s">
        <v>714</v>
      </c>
      <c r="Q1586" s="23" t="s">
        <v>761</v>
      </c>
    </row>
    <row r="1587" spans="1:17" x14ac:dyDescent="0.25">
      <c r="A1587" s="23" t="s">
        <v>1146</v>
      </c>
      <c r="B1587" s="23" t="s">
        <v>1145</v>
      </c>
      <c r="C1587" s="23" t="s">
        <v>198</v>
      </c>
      <c r="D1587" s="23" t="s">
        <v>499</v>
      </c>
      <c r="E1587" s="23" t="s">
        <v>500</v>
      </c>
      <c r="F1587">
        <v>1</v>
      </c>
      <c r="G1587" s="23" t="s">
        <v>177</v>
      </c>
      <c r="H1587">
        <v>0</v>
      </c>
      <c r="I1587">
        <v>11</v>
      </c>
      <c r="J1587" s="10">
        <v>8</v>
      </c>
      <c r="K1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587">
        <v>0</v>
      </c>
      <c r="M15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587" s="23" t="s">
        <v>714</v>
      </c>
      <c r="Q1587" s="23" t="s">
        <v>761</v>
      </c>
    </row>
    <row r="1588" spans="1:17" x14ac:dyDescent="0.25">
      <c r="A1588" s="23" t="s">
        <v>1144</v>
      </c>
      <c r="B1588" s="23" t="s">
        <v>1145</v>
      </c>
      <c r="C1588" s="23" t="s">
        <v>176</v>
      </c>
      <c r="D1588" s="23" t="s">
        <v>539</v>
      </c>
      <c r="E1588" s="23" t="s">
        <v>540</v>
      </c>
      <c r="F1588">
        <v>2</v>
      </c>
      <c r="G1588" s="23" t="s">
        <v>177</v>
      </c>
      <c r="H1588">
        <v>0</v>
      </c>
      <c r="I1588">
        <v>250</v>
      </c>
      <c r="J1588" s="10">
        <v>3</v>
      </c>
      <c r="K1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588">
        <v>0</v>
      </c>
      <c r="M15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8">
        <v>2</v>
      </c>
      <c r="O1588" s="23"/>
      <c r="P1588">
        <v>4</v>
      </c>
      <c r="Q1588" s="23" t="s">
        <v>181</v>
      </c>
    </row>
    <row r="1589" spans="1:17" x14ac:dyDescent="0.25">
      <c r="A1589" s="23" t="s">
        <v>1144</v>
      </c>
      <c r="B1589" s="23" t="s">
        <v>1145</v>
      </c>
      <c r="C1589" s="23" t="s">
        <v>176</v>
      </c>
      <c r="D1589" s="23" t="s">
        <v>853</v>
      </c>
      <c r="E1589" s="23" t="s">
        <v>854</v>
      </c>
      <c r="F1589">
        <v>4</v>
      </c>
      <c r="G1589" s="23" t="s">
        <v>177</v>
      </c>
      <c r="H1589">
        <v>0</v>
      </c>
      <c r="I1589">
        <v>250</v>
      </c>
      <c r="J1589" s="10">
        <v>835</v>
      </c>
      <c r="K1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589">
        <v>0</v>
      </c>
      <c r="M15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89">
        <v>1.58</v>
      </c>
      <c r="O1589" s="23" t="s">
        <v>883</v>
      </c>
      <c r="P1589">
        <v>6.32</v>
      </c>
      <c r="Q1589" s="23" t="s">
        <v>181</v>
      </c>
    </row>
    <row r="1590" spans="1:17" x14ac:dyDescent="0.25">
      <c r="A1590" s="23" t="s">
        <v>1149</v>
      </c>
      <c r="B1590" s="23" t="s">
        <v>1145</v>
      </c>
      <c r="C1590" s="23" t="s">
        <v>176</v>
      </c>
      <c r="D1590" s="23" t="s">
        <v>334</v>
      </c>
      <c r="E1590" s="23" t="s">
        <v>335</v>
      </c>
      <c r="F1590">
        <v>1</v>
      </c>
      <c r="G1590" s="23" t="s">
        <v>177</v>
      </c>
      <c r="H1590">
        <v>0</v>
      </c>
      <c r="I1590">
        <v>25</v>
      </c>
      <c r="J1590" s="10">
        <v>18</v>
      </c>
      <c r="K1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90">
        <v>0</v>
      </c>
      <c r="M15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0">
        <v>225</v>
      </c>
      <c r="O1590" s="23" t="s">
        <v>227</v>
      </c>
      <c r="P1590">
        <v>225</v>
      </c>
      <c r="Q1590" s="23" t="s">
        <v>181</v>
      </c>
    </row>
    <row r="1591" spans="1:17" x14ac:dyDescent="0.25">
      <c r="A1591" s="23" t="s">
        <v>1144</v>
      </c>
      <c r="B1591" s="23" t="s">
        <v>1145</v>
      </c>
      <c r="C1591" s="23" t="s">
        <v>176</v>
      </c>
      <c r="D1591" s="23" t="s">
        <v>334</v>
      </c>
      <c r="E1591" s="23" t="s">
        <v>335</v>
      </c>
      <c r="F1591">
        <v>1</v>
      </c>
      <c r="G1591" s="23" t="s">
        <v>177</v>
      </c>
      <c r="H1591">
        <v>0</v>
      </c>
      <c r="I1591">
        <v>25</v>
      </c>
      <c r="J1591" s="10">
        <v>18</v>
      </c>
      <c r="K1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91">
        <v>0</v>
      </c>
      <c r="M15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1">
        <v>225</v>
      </c>
      <c r="O1591" s="23" t="s">
        <v>227</v>
      </c>
      <c r="P1591">
        <v>225</v>
      </c>
      <c r="Q1591" s="23" t="s">
        <v>181</v>
      </c>
    </row>
    <row r="1592" spans="1:17" x14ac:dyDescent="0.25">
      <c r="A1592" s="23" t="s">
        <v>1146</v>
      </c>
      <c r="B1592" s="23" t="s">
        <v>1145</v>
      </c>
      <c r="C1592" s="23" t="s">
        <v>176</v>
      </c>
      <c r="D1592" s="23" t="s">
        <v>334</v>
      </c>
      <c r="E1592" s="23" t="s">
        <v>335</v>
      </c>
      <c r="F1592">
        <v>1</v>
      </c>
      <c r="G1592" s="23" t="s">
        <v>177</v>
      </c>
      <c r="H1592">
        <v>0</v>
      </c>
      <c r="I1592">
        <v>25</v>
      </c>
      <c r="J1592" s="10">
        <v>18</v>
      </c>
      <c r="K1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92">
        <v>0</v>
      </c>
      <c r="M15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2">
        <v>225</v>
      </c>
      <c r="O1592" s="23" t="s">
        <v>227</v>
      </c>
      <c r="P1592">
        <v>225</v>
      </c>
      <c r="Q1592" s="23" t="s">
        <v>181</v>
      </c>
    </row>
    <row r="1593" spans="1:17" x14ac:dyDescent="0.25">
      <c r="A1593" s="23" t="s">
        <v>1057</v>
      </c>
      <c r="B1593" s="23" t="s">
        <v>1056</v>
      </c>
      <c r="C1593" s="23" t="s">
        <v>176</v>
      </c>
      <c r="D1593" s="23" t="s">
        <v>3</v>
      </c>
      <c r="E1593" s="23" t="s">
        <v>4</v>
      </c>
      <c r="F1593">
        <v>21</v>
      </c>
      <c r="G1593" s="23" t="s">
        <v>180</v>
      </c>
      <c r="H1593">
        <v>0</v>
      </c>
      <c r="I1593">
        <v>150</v>
      </c>
      <c r="J1593" s="10">
        <v>0</v>
      </c>
      <c r="K1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</v>
      </c>
      <c r="L1593">
        <v>0</v>
      </c>
      <c r="M15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3">
        <v>320</v>
      </c>
      <c r="O1593" s="23" t="s">
        <v>1151</v>
      </c>
      <c r="P1593">
        <v>6720</v>
      </c>
      <c r="Q1593" s="23" t="s">
        <v>185</v>
      </c>
    </row>
    <row r="1594" spans="1:17" x14ac:dyDescent="0.25">
      <c r="A1594" s="23" t="s">
        <v>1094</v>
      </c>
      <c r="B1594" s="23" t="s">
        <v>1095</v>
      </c>
      <c r="C1594" s="23" t="s">
        <v>176</v>
      </c>
      <c r="D1594" s="23" t="s">
        <v>334</v>
      </c>
      <c r="E1594" s="23" t="s">
        <v>335</v>
      </c>
      <c r="F1594">
        <v>1</v>
      </c>
      <c r="G1594" s="23" t="s">
        <v>177</v>
      </c>
      <c r="H1594">
        <v>0</v>
      </c>
      <c r="I1594">
        <v>25</v>
      </c>
      <c r="J1594" s="10">
        <v>18</v>
      </c>
      <c r="K1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94">
        <v>0</v>
      </c>
      <c r="M15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4">
        <v>225</v>
      </c>
      <c r="O1594" s="23" t="s">
        <v>227</v>
      </c>
      <c r="P1594">
        <v>225</v>
      </c>
      <c r="Q1594" s="23" t="s">
        <v>181</v>
      </c>
    </row>
    <row r="1595" spans="1:17" x14ac:dyDescent="0.25">
      <c r="A1595" s="23" t="s">
        <v>1096</v>
      </c>
      <c r="B1595" s="23" t="s">
        <v>1053</v>
      </c>
      <c r="C1595" s="23" t="s">
        <v>176</v>
      </c>
      <c r="D1595" s="23" t="s">
        <v>334</v>
      </c>
      <c r="E1595" s="23" t="s">
        <v>335</v>
      </c>
      <c r="F1595">
        <v>1</v>
      </c>
      <c r="G1595" s="23" t="s">
        <v>177</v>
      </c>
      <c r="H1595">
        <v>0</v>
      </c>
      <c r="I1595">
        <v>25</v>
      </c>
      <c r="J1595" s="10">
        <v>18</v>
      </c>
      <c r="K1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595">
        <v>0</v>
      </c>
      <c r="M15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5">
        <v>225</v>
      </c>
      <c r="O1595" s="23" t="s">
        <v>227</v>
      </c>
      <c r="P1595">
        <v>225</v>
      </c>
      <c r="Q1595" s="23" t="s">
        <v>181</v>
      </c>
    </row>
    <row r="1596" spans="1:17" x14ac:dyDescent="0.25">
      <c r="A1596" s="23" t="s">
        <v>1100</v>
      </c>
      <c r="B1596" s="23" t="s">
        <v>1101</v>
      </c>
      <c r="C1596" s="23" t="s">
        <v>176</v>
      </c>
      <c r="D1596" s="23" t="s">
        <v>487</v>
      </c>
      <c r="E1596" s="23" t="s">
        <v>488</v>
      </c>
      <c r="F1596">
        <v>2</v>
      </c>
      <c r="G1596" s="23" t="s">
        <v>177</v>
      </c>
      <c r="H1596">
        <v>0</v>
      </c>
      <c r="I1596">
        <v>20</v>
      </c>
      <c r="J1596" s="10">
        <v>34</v>
      </c>
      <c r="K1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596">
        <v>0</v>
      </c>
      <c r="M15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596">
        <v>82</v>
      </c>
      <c r="O1596" s="23" t="s">
        <v>1088</v>
      </c>
      <c r="P1596">
        <v>164</v>
      </c>
      <c r="Q1596" s="23" t="s">
        <v>484</v>
      </c>
    </row>
    <row r="1597" spans="1:17" x14ac:dyDescent="0.25">
      <c r="A1597" s="23" t="s">
        <v>1147</v>
      </c>
      <c r="B1597" s="23" t="s">
        <v>1145</v>
      </c>
      <c r="C1597" s="23" t="s">
        <v>176</v>
      </c>
      <c r="D1597" s="23" t="s">
        <v>610</v>
      </c>
      <c r="E1597" s="23" t="s">
        <v>611</v>
      </c>
      <c r="F1597">
        <v>2.8</v>
      </c>
      <c r="G1597" s="23" t="s">
        <v>177</v>
      </c>
      <c r="H1597">
        <v>0</v>
      </c>
      <c r="I1597">
        <v>0</v>
      </c>
      <c r="J1597" s="10">
        <v>-7.1054273576010019E-15</v>
      </c>
      <c r="K1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597">
        <v>11</v>
      </c>
      <c r="M15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597">
        <v>1833.33</v>
      </c>
      <c r="O1597" s="23" t="s">
        <v>224</v>
      </c>
      <c r="P1597">
        <v>5133.3239999999996</v>
      </c>
      <c r="Q1597" s="23" t="s">
        <v>182</v>
      </c>
    </row>
    <row r="1598" spans="1:17" x14ac:dyDescent="0.25">
      <c r="A1598" s="23" t="s">
        <v>1099</v>
      </c>
      <c r="B1598" s="23" t="s">
        <v>1056</v>
      </c>
      <c r="C1598" s="23" t="s">
        <v>176</v>
      </c>
      <c r="D1598" s="23" t="s">
        <v>610</v>
      </c>
      <c r="E1598" s="23" t="s">
        <v>611</v>
      </c>
      <c r="F1598">
        <v>0.8</v>
      </c>
      <c r="G1598" s="23" t="s">
        <v>177</v>
      </c>
      <c r="H1598">
        <v>0.8</v>
      </c>
      <c r="I1598">
        <v>0</v>
      </c>
      <c r="J1598" s="10">
        <v>-7.1054273576010019E-15</v>
      </c>
      <c r="K1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598">
        <v>11</v>
      </c>
      <c r="M15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598">
        <v>1833.33</v>
      </c>
      <c r="O1598" s="23" t="s">
        <v>224</v>
      </c>
      <c r="P1598">
        <v>1466.664</v>
      </c>
      <c r="Q1598" s="23" t="s">
        <v>182</v>
      </c>
    </row>
    <row r="1599" spans="1:17" x14ac:dyDescent="0.25">
      <c r="A1599" s="23" t="s">
        <v>1058</v>
      </c>
      <c r="B1599" s="23" t="s">
        <v>1059</v>
      </c>
      <c r="C1599" s="23" t="s">
        <v>176</v>
      </c>
      <c r="D1599" s="23" t="s">
        <v>461</v>
      </c>
      <c r="E1599" s="23" t="s">
        <v>462</v>
      </c>
      <c r="F1599">
        <v>1.5</v>
      </c>
      <c r="G1599" s="23" t="s">
        <v>177</v>
      </c>
      <c r="H1599">
        <v>0</v>
      </c>
      <c r="I1599">
        <v>72</v>
      </c>
      <c r="J1599" s="10">
        <v>2</v>
      </c>
      <c r="K1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599">
        <v>0</v>
      </c>
      <c r="M15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599">
        <v>5</v>
      </c>
      <c r="O1599" s="23" t="s">
        <v>242</v>
      </c>
      <c r="P1599">
        <v>7.5</v>
      </c>
      <c r="Q1599" s="23" t="s">
        <v>181</v>
      </c>
    </row>
    <row r="1600" spans="1:17" x14ac:dyDescent="0.25">
      <c r="A1600" s="23" t="s">
        <v>1147</v>
      </c>
      <c r="B1600" s="23" t="s">
        <v>1145</v>
      </c>
      <c r="C1600" s="23" t="s">
        <v>176</v>
      </c>
      <c r="D1600" s="23" t="s">
        <v>461</v>
      </c>
      <c r="E1600" s="23" t="s">
        <v>462</v>
      </c>
      <c r="F1600">
        <v>1.5</v>
      </c>
      <c r="G1600" s="23" t="s">
        <v>177</v>
      </c>
      <c r="H1600">
        <v>0</v>
      </c>
      <c r="I1600">
        <v>72</v>
      </c>
      <c r="J1600" s="10">
        <v>2</v>
      </c>
      <c r="K1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600">
        <v>0</v>
      </c>
      <c r="M16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0">
        <v>5</v>
      </c>
      <c r="O1600" s="23" t="s">
        <v>242</v>
      </c>
      <c r="P1600">
        <v>7.5</v>
      </c>
      <c r="Q1600" s="23" t="s">
        <v>181</v>
      </c>
    </row>
    <row r="1601" spans="1:17" x14ac:dyDescent="0.25">
      <c r="A1601" s="23" t="s">
        <v>1099</v>
      </c>
      <c r="B1601" s="23" t="s">
        <v>1056</v>
      </c>
      <c r="C1601" s="23" t="s">
        <v>176</v>
      </c>
      <c r="D1601" s="23" t="s">
        <v>461</v>
      </c>
      <c r="E1601" s="23" t="s">
        <v>462</v>
      </c>
      <c r="F1601">
        <v>1.5</v>
      </c>
      <c r="G1601" s="23" t="s">
        <v>177</v>
      </c>
      <c r="H1601">
        <v>0</v>
      </c>
      <c r="I1601">
        <v>72</v>
      </c>
      <c r="J1601" s="10">
        <v>2</v>
      </c>
      <c r="K1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601">
        <v>0</v>
      </c>
      <c r="M16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1">
        <v>5</v>
      </c>
      <c r="O1601" s="23" t="s">
        <v>242</v>
      </c>
      <c r="P1601">
        <v>7.5</v>
      </c>
      <c r="Q1601" s="23" t="s">
        <v>181</v>
      </c>
    </row>
    <row r="1602" spans="1:17" x14ac:dyDescent="0.25">
      <c r="A1602" s="23" t="s">
        <v>1148</v>
      </c>
      <c r="B1602" s="23" t="s">
        <v>1054</v>
      </c>
      <c r="C1602" s="23" t="s">
        <v>176</v>
      </c>
      <c r="D1602" s="23" t="s">
        <v>261</v>
      </c>
      <c r="E1602" s="23" t="s">
        <v>262</v>
      </c>
      <c r="F1602">
        <v>0.85000000000000009</v>
      </c>
      <c r="G1602" s="23" t="s">
        <v>177</v>
      </c>
      <c r="H1602">
        <v>0</v>
      </c>
      <c r="I1602">
        <v>5</v>
      </c>
      <c r="J1602" s="10">
        <v>0.30000000000001581</v>
      </c>
      <c r="K1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602">
        <v>0</v>
      </c>
      <c r="M16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602">
        <v>1622.4</v>
      </c>
      <c r="O1602" s="23" t="s">
        <v>263</v>
      </c>
      <c r="P1602">
        <v>1379.0400000000002</v>
      </c>
      <c r="Q1602" s="23" t="s">
        <v>184</v>
      </c>
    </row>
    <row r="1603" spans="1:17" x14ac:dyDescent="0.25">
      <c r="A1603" s="23" t="s">
        <v>1148</v>
      </c>
      <c r="B1603" s="23" t="s">
        <v>1054</v>
      </c>
      <c r="C1603" s="23" t="s">
        <v>176</v>
      </c>
      <c r="D1603" s="23" t="s">
        <v>729</v>
      </c>
      <c r="E1603" s="23" t="s">
        <v>730</v>
      </c>
      <c r="F1603">
        <v>9</v>
      </c>
      <c r="G1603" s="23" t="s">
        <v>180</v>
      </c>
      <c r="H1603">
        <v>0</v>
      </c>
      <c r="I1603">
        <v>0</v>
      </c>
      <c r="J1603" s="10">
        <v>344</v>
      </c>
      <c r="K1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1603">
        <v>0</v>
      </c>
      <c r="M16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1603">
        <v>20.420000000000002</v>
      </c>
      <c r="O1603" s="23" t="s">
        <v>224</v>
      </c>
      <c r="P1603">
        <v>183.78000000000003</v>
      </c>
      <c r="Q1603" s="23" t="s">
        <v>182</v>
      </c>
    </row>
    <row r="1604" spans="1:17" x14ac:dyDescent="0.25">
      <c r="A1604" s="23" t="s">
        <v>1058</v>
      </c>
      <c r="B1604" s="23" t="s">
        <v>1059</v>
      </c>
      <c r="C1604" s="23" t="s">
        <v>176</v>
      </c>
      <c r="D1604" s="23" t="s">
        <v>791</v>
      </c>
      <c r="E1604" s="23" t="s">
        <v>829</v>
      </c>
      <c r="F1604">
        <v>6</v>
      </c>
      <c r="G1604" s="23" t="s">
        <v>180</v>
      </c>
      <c r="H1604">
        <v>0</v>
      </c>
      <c r="I1604">
        <v>100</v>
      </c>
      <c r="J1604" s="10">
        <v>50</v>
      </c>
      <c r="K1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604">
        <v>0</v>
      </c>
      <c r="M16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4">
        <v>46</v>
      </c>
      <c r="O1604" s="23" t="s">
        <v>792</v>
      </c>
      <c r="P1604">
        <v>276</v>
      </c>
      <c r="Q1604" s="23" t="s">
        <v>222</v>
      </c>
    </row>
    <row r="1605" spans="1:17" x14ac:dyDescent="0.25">
      <c r="A1605" s="23" t="s">
        <v>1055</v>
      </c>
      <c r="B1605" s="23" t="s">
        <v>1056</v>
      </c>
      <c r="C1605" s="23" t="s">
        <v>176</v>
      </c>
      <c r="D1605" s="23" t="s">
        <v>791</v>
      </c>
      <c r="E1605" s="23" t="s">
        <v>829</v>
      </c>
      <c r="F1605">
        <v>6</v>
      </c>
      <c r="G1605" s="23" t="s">
        <v>180</v>
      </c>
      <c r="H1605">
        <v>0</v>
      </c>
      <c r="I1605">
        <v>100</v>
      </c>
      <c r="J1605" s="10">
        <v>50</v>
      </c>
      <c r="K1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605">
        <v>0</v>
      </c>
      <c r="M16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5">
        <v>46</v>
      </c>
      <c r="O1605" s="23" t="s">
        <v>792</v>
      </c>
      <c r="P1605">
        <v>276</v>
      </c>
      <c r="Q1605" s="23" t="s">
        <v>222</v>
      </c>
    </row>
    <row r="1606" spans="1:17" x14ac:dyDescent="0.25">
      <c r="A1606" s="23" t="s">
        <v>1149</v>
      </c>
      <c r="B1606" s="23" t="s">
        <v>1145</v>
      </c>
      <c r="C1606" s="23" t="s">
        <v>176</v>
      </c>
      <c r="D1606" s="23" t="s">
        <v>261</v>
      </c>
      <c r="E1606" s="23" t="s">
        <v>262</v>
      </c>
      <c r="F1606">
        <v>0.7</v>
      </c>
      <c r="G1606" s="23" t="s">
        <v>177</v>
      </c>
      <c r="H1606">
        <v>0</v>
      </c>
      <c r="I1606">
        <v>5</v>
      </c>
      <c r="J1606" s="10">
        <v>0.30000000000001581</v>
      </c>
      <c r="K1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606">
        <v>0</v>
      </c>
      <c r="M16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606">
        <v>1622.4</v>
      </c>
      <c r="O1606" s="23" t="s">
        <v>263</v>
      </c>
      <c r="P1606">
        <v>1135.68</v>
      </c>
      <c r="Q1606" s="23" t="s">
        <v>184</v>
      </c>
    </row>
    <row r="1607" spans="1:17" x14ac:dyDescent="0.25">
      <c r="A1607" s="23" t="s">
        <v>1144</v>
      </c>
      <c r="B1607" s="23" t="s">
        <v>1145</v>
      </c>
      <c r="C1607" s="23" t="s">
        <v>176</v>
      </c>
      <c r="D1607" s="23" t="s">
        <v>352</v>
      </c>
      <c r="E1607" s="23" t="s">
        <v>353</v>
      </c>
      <c r="F1607">
        <v>229</v>
      </c>
      <c r="G1607" s="23" t="s">
        <v>177</v>
      </c>
      <c r="H1607">
        <v>0</v>
      </c>
      <c r="I1607">
        <v>4000</v>
      </c>
      <c r="J1607" s="10">
        <v>7366</v>
      </c>
      <c r="K1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07">
        <v>0</v>
      </c>
      <c r="M16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7">
        <v>0.35</v>
      </c>
      <c r="O1607" s="23" t="s">
        <v>242</v>
      </c>
      <c r="P1607">
        <v>80.149999999999991</v>
      </c>
      <c r="Q1607" s="23" t="s">
        <v>181</v>
      </c>
    </row>
    <row r="1608" spans="1:17" x14ac:dyDescent="0.25">
      <c r="A1608" s="23" t="s">
        <v>1055</v>
      </c>
      <c r="B1608" s="23" t="s">
        <v>1056</v>
      </c>
      <c r="C1608" s="23" t="s">
        <v>176</v>
      </c>
      <c r="D1608" s="23" t="s">
        <v>261</v>
      </c>
      <c r="E1608" s="23" t="s">
        <v>262</v>
      </c>
      <c r="F1608">
        <v>0.7</v>
      </c>
      <c r="G1608" s="23" t="s">
        <v>177</v>
      </c>
      <c r="H1608">
        <v>0</v>
      </c>
      <c r="I1608">
        <v>5</v>
      </c>
      <c r="J1608" s="10">
        <v>0.30000000000001581</v>
      </c>
      <c r="K1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608">
        <v>0</v>
      </c>
      <c r="M16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608">
        <v>1622.4</v>
      </c>
      <c r="O1608" s="23" t="s">
        <v>263</v>
      </c>
      <c r="P1608">
        <v>1135.68</v>
      </c>
      <c r="Q1608" s="23" t="s">
        <v>184</v>
      </c>
    </row>
    <row r="1609" spans="1:17" x14ac:dyDescent="0.25">
      <c r="A1609" s="23" t="s">
        <v>1099</v>
      </c>
      <c r="B1609" s="23" t="s">
        <v>1056</v>
      </c>
      <c r="C1609" s="23" t="s">
        <v>176</v>
      </c>
      <c r="D1609" s="23" t="s">
        <v>791</v>
      </c>
      <c r="E1609" s="23" t="s">
        <v>829</v>
      </c>
      <c r="F1609">
        <v>6</v>
      </c>
      <c r="G1609" s="23" t="s">
        <v>180</v>
      </c>
      <c r="H1609">
        <v>0</v>
      </c>
      <c r="I1609">
        <v>100</v>
      </c>
      <c r="J1609" s="10">
        <v>50</v>
      </c>
      <c r="K1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609">
        <v>0</v>
      </c>
      <c r="M16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09">
        <v>46</v>
      </c>
      <c r="O1609" s="23" t="s">
        <v>792</v>
      </c>
      <c r="P1609">
        <v>276</v>
      </c>
      <c r="Q1609" s="23" t="s">
        <v>222</v>
      </c>
    </row>
    <row r="1610" spans="1:17" x14ac:dyDescent="0.25">
      <c r="A1610" s="23" t="s">
        <v>1150</v>
      </c>
      <c r="B1610" s="23" t="s">
        <v>1145</v>
      </c>
      <c r="C1610" s="23" t="s">
        <v>176</v>
      </c>
      <c r="D1610" s="23" t="s">
        <v>465</v>
      </c>
      <c r="E1610" s="23" t="s">
        <v>466</v>
      </c>
      <c r="F1610">
        <v>2</v>
      </c>
      <c r="G1610" s="23" t="s">
        <v>177</v>
      </c>
      <c r="H1610">
        <v>0</v>
      </c>
      <c r="I1610">
        <v>222</v>
      </c>
      <c r="J1610" s="10">
        <v>2</v>
      </c>
      <c r="K1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10">
        <v>0</v>
      </c>
      <c r="M16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0">
        <v>11.5</v>
      </c>
      <c r="O1610" s="23" t="s">
        <v>242</v>
      </c>
      <c r="P1610">
        <v>23</v>
      </c>
      <c r="Q1610" s="23" t="s">
        <v>179</v>
      </c>
    </row>
    <row r="1611" spans="1:17" x14ac:dyDescent="0.25">
      <c r="A1611" s="23" t="s">
        <v>1150</v>
      </c>
      <c r="B1611" s="23" t="s">
        <v>1145</v>
      </c>
      <c r="C1611" s="23" t="s">
        <v>176</v>
      </c>
      <c r="D1611" s="23" t="s">
        <v>261</v>
      </c>
      <c r="E1611" s="23" t="s">
        <v>262</v>
      </c>
      <c r="F1611">
        <v>0.7</v>
      </c>
      <c r="G1611" s="23" t="s">
        <v>177</v>
      </c>
      <c r="H1611">
        <v>0</v>
      </c>
      <c r="I1611">
        <v>5</v>
      </c>
      <c r="J1611" s="10">
        <v>0.30000000000001581</v>
      </c>
      <c r="K1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1611">
        <v>0</v>
      </c>
      <c r="M16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1611">
        <v>1622.4</v>
      </c>
      <c r="O1611" s="23" t="s">
        <v>263</v>
      </c>
      <c r="P1611">
        <v>1135.68</v>
      </c>
      <c r="Q1611" s="23" t="s">
        <v>184</v>
      </c>
    </row>
    <row r="1612" spans="1:17" x14ac:dyDescent="0.25">
      <c r="A1612" s="23" t="s">
        <v>1150</v>
      </c>
      <c r="B1612" s="23" t="s">
        <v>1145</v>
      </c>
      <c r="C1612" s="23" t="s">
        <v>176</v>
      </c>
      <c r="D1612" s="23" t="s">
        <v>791</v>
      </c>
      <c r="E1612" s="23" t="s">
        <v>829</v>
      </c>
      <c r="F1612">
        <v>6</v>
      </c>
      <c r="G1612" s="23" t="s">
        <v>180</v>
      </c>
      <c r="H1612">
        <v>0</v>
      </c>
      <c r="I1612">
        <v>100</v>
      </c>
      <c r="J1612" s="10">
        <v>50</v>
      </c>
      <c r="K1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612">
        <v>0</v>
      </c>
      <c r="M16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2">
        <v>46</v>
      </c>
      <c r="O1612" s="23" t="s">
        <v>792</v>
      </c>
      <c r="P1612">
        <v>276</v>
      </c>
      <c r="Q1612" s="23" t="s">
        <v>222</v>
      </c>
    </row>
    <row r="1613" spans="1:17" x14ac:dyDescent="0.25">
      <c r="A1613" s="23" t="s">
        <v>1150</v>
      </c>
      <c r="B1613" s="23" t="s">
        <v>1145</v>
      </c>
      <c r="C1613" s="23" t="s">
        <v>176</v>
      </c>
      <c r="D1613" s="23" t="s">
        <v>352</v>
      </c>
      <c r="E1613" s="23" t="s">
        <v>353</v>
      </c>
      <c r="F1613">
        <v>229</v>
      </c>
      <c r="G1613" s="23" t="s">
        <v>177</v>
      </c>
      <c r="H1613">
        <v>0</v>
      </c>
      <c r="I1613">
        <v>4000</v>
      </c>
      <c r="J1613" s="10">
        <v>7366</v>
      </c>
      <c r="K1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13">
        <v>0</v>
      </c>
      <c r="M16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3">
        <v>0.35</v>
      </c>
      <c r="O1613" s="23" t="s">
        <v>242</v>
      </c>
      <c r="P1613">
        <v>80.149999999999991</v>
      </c>
      <c r="Q1613" s="23" t="s">
        <v>181</v>
      </c>
    </row>
    <row r="1614" spans="1:17" x14ac:dyDescent="0.25">
      <c r="A1614" s="23" t="s">
        <v>1149</v>
      </c>
      <c r="B1614" s="23" t="s">
        <v>1145</v>
      </c>
      <c r="C1614" s="23" t="s">
        <v>176</v>
      </c>
      <c r="D1614" s="23" t="s">
        <v>465</v>
      </c>
      <c r="E1614" s="23" t="s">
        <v>466</v>
      </c>
      <c r="F1614">
        <v>2</v>
      </c>
      <c r="G1614" s="23" t="s">
        <v>177</v>
      </c>
      <c r="H1614">
        <v>0</v>
      </c>
      <c r="I1614">
        <v>222</v>
      </c>
      <c r="J1614" s="10">
        <v>2</v>
      </c>
      <c r="K1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14">
        <v>0</v>
      </c>
      <c r="M16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4">
        <v>11.5</v>
      </c>
      <c r="O1614" s="23" t="s">
        <v>242</v>
      </c>
      <c r="P1614">
        <v>23</v>
      </c>
      <c r="Q1614" s="23" t="s">
        <v>179</v>
      </c>
    </row>
    <row r="1615" spans="1:17" x14ac:dyDescent="0.25">
      <c r="A1615" s="23" t="s">
        <v>1149</v>
      </c>
      <c r="B1615" s="23" t="s">
        <v>1145</v>
      </c>
      <c r="C1615" s="23" t="s">
        <v>176</v>
      </c>
      <c r="D1615" s="23" t="s">
        <v>791</v>
      </c>
      <c r="E1615" s="23" t="s">
        <v>829</v>
      </c>
      <c r="F1615">
        <v>6</v>
      </c>
      <c r="G1615" s="23" t="s">
        <v>180</v>
      </c>
      <c r="H1615">
        <v>0</v>
      </c>
      <c r="I1615">
        <v>100</v>
      </c>
      <c r="J1615" s="10">
        <v>50</v>
      </c>
      <c r="K1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1615">
        <v>0</v>
      </c>
      <c r="M16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5">
        <v>46</v>
      </c>
      <c r="O1615" s="23" t="s">
        <v>792</v>
      </c>
      <c r="P1615">
        <v>276</v>
      </c>
      <c r="Q1615" s="23" t="s">
        <v>222</v>
      </c>
    </row>
    <row r="1616" spans="1:17" x14ac:dyDescent="0.25">
      <c r="A1616" s="23" t="s">
        <v>1097</v>
      </c>
      <c r="B1616" s="23" t="s">
        <v>1095</v>
      </c>
      <c r="C1616" s="23" t="s">
        <v>176</v>
      </c>
      <c r="D1616" s="23" t="s">
        <v>867</v>
      </c>
      <c r="E1616" s="23" t="s">
        <v>868</v>
      </c>
      <c r="F1616">
        <v>4</v>
      </c>
      <c r="G1616" s="23" t="s">
        <v>177</v>
      </c>
      <c r="H1616">
        <v>0</v>
      </c>
      <c r="I1616">
        <v>415</v>
      </c>
      <c r="J1616" s="10">
        <v>0</v>
      </c>
      <c r="K1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616">
        <v>0</v>
      </c>
      <c r="M16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6">
        <v>4.25</v>
      </c>
      <c r="O1616" s="23" t="s">
        <v>242</v>
      </c>
      <c r="P1616">
        <v>17</v>
      </c>
      <c r="Q1616" s="23" t="s">
        <v>179</v>
      </c>
    </row>
    <row r="1617" spans="1:17" x14ac:dyDescent="0.25">
      <c r="A1617" s="23" t="s">
        <v>1058</v>
      </c>
      <c r="B1617" s="23" t="s">
        <v>1059</v>
      </c>
      <c r="C1617" s="23" t="s">
        <v>176</v>
      </c>
      <c r="D1617" s="23" t="s">
        <v>352</v>
      </c>
      <c r="E1617" s="23" t="s">
        <v>353</v>
      </c>
      <c r="F1617">
        <v>229</v>
      </c>
      <c r="G1617" s="23" t="s">
        <v>177</v>
      </c>
      <c r="H1617">
        <v>0</v>
      </c>
      <c r="I1617">
        <v>4000</v>
      </c>
      <c r="J1617" s="10">
        <v>7366</v>
      </c>
      <c r="K1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17">
        <v>0</v>
      </c>
      <c r="M16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7">
        <v>0.35</v>
      </c>
      <c r="O1617" s="23" t="s">
        <v>242</v>
      </c>
      <c r="P1617">
        <v>80.149999999999991</v>
      </c>
      <c r="Q1617" s="23" t="s">
        <v>181</v>
      </c>
    </row>
    <row r="1618" spans="1:17" x14ac:dyDescent="0.25">
      <c r="A1618" s="23" t="s">
        <v>1147</v>
      </c>
      <c r="B1618" s="23" t="s">
        <v>1145</v>
      </c>
      <c r="C1618" s="23" t="s">
        <v>176</v>
      </c>
      <c r="D1618" s="23" t="s">
        <v>352</v>
      </c>
      <c r="E1618" s="23" t="s">
        <v>353</v>
      </c>
      <c r="F1618">
        <v>229</v>
      </c>
      <c r="G1618" s="23" t="s">
        <v>177</v>
      </c>
      <c r="H1618">
        <v>0</v>
      </c>
      <c r="I1618">
        <v>4000</v>
      </c>
      <c r="J1618" s="10">
        <v>7366</v>
      </c>
      <c r="K1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18">
        <v>0</v>
      </c>
      <c r="M16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8">
        <v>0.35</v>
      </c>
      <c r="O1618" s="23" t="s">
        <v>242</v>
      </c>
      <c r="P1618">
        <v>80.149999999999991</v>
      </c>
      <c r="Q1618" s="23" t="s">
        <v>181</v>
      </c>
    </row>
    <row r="1619" spans="1:17" x14ac:dyDescent="0.25">
      <c r="A1619" s="23" t="s">
        <v>1148</v>
      </c>
      <c r="B1619" s="23" t="s">
        <v>1054</v>
      </c>
      <c r="C1619" s="23" t="s">
        <v>176</v>
      </c>
      <c r="D1619" s="23" t="s">
        <v>352</v>
      </c>
      <c r="E1619" s="23" t="s">
        <v>353</v>
      </c>
      <c r="F1619">
        <v>165</v>
      </c>
      <c r="G1619" s="23" t="s">
        <v>177</v>
      </c>
      <c r="H1619">
        <v>0</v>
      </c>
      <c r="I1619">
        <v>4000</v>
      </c>
      <c r="J1619" s="10">
        <v>7366</v>
      </c>
      <c r="K1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19">
        <v>0</v>
      </c>
      <c r="M16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19">
        <v>0.35</v>
      </c>
      <c r="O1619" s="23" t="s">
        <v>242</v>
      </c>
      <c r="P1619">
        <v>57.749999999999993</v>
      </c>
      <c r="Q1619" s="23" t="s">
        <v>181</v>
      </c>
    </row>
    <row r="1620" spans="1:17" x14ac:dyDescent="0.25">
      <c r="A1620" s="23" t="s">
        <v>1099</v>
      </c>
      <c r="B1620" s="23" t="s">
        <v>1056</v>
      </c>
      <c r="C1620" s="23" t="s">
        <v>176</v>
      </c>
      <c r="D1620" s="23" t="s">
        <v>352</v>
      </c>
      <c r="E1620" s="23" t="s">
        <v>353</v>
      </c>
      <c r="F1620">
        <v>119</v>
      </c>
      <c r="G1620" s="23" t="s">
        <v>177</v>
      </c>
      <c r="H1620">
        <v>0</v>
      </c>
      <c r="I1620">
        <v>4000</v>
      </c>
      <c r="J1620" s="10">
        <v>7366</v>
      </c>
      <c r="K1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20">
        <v>0</v>
      </c>
      <c r="M16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0">
        <v>0.35</v>
      </c>
      <c r="O1620" s="23" t="s">
        <v>242</v>
      </c>
      <c r="P1620">
        <v>41.65</v>
      </c>
      <c r="Q1620" s="23" t="s">
        <v>181</v>
      </c>
    </row>
    <row r="1621" spans="1:17" x14ac:dyDescent="0.25">
      <c r="A1621" s="23" t="s">
        <v>1100</v>
      </c>
      <c r="B1621" s="23" t="s">
        <v>1101</v>
      </c>
      <c r="C1621" s="23" t="s">
        <v>176</v>
      </c>
      <c r="D1621" s="23" t="s">
        <v>352</v>
      </c>
      <c r="E1621" s="23" t="s">
        <v>353</v>
      </c>
      <c r="F1621">
        <v>92</v>
      </c>
      <c r="G1621" s="23" t="s">
        <v>177</v>
      </c>
      <c r="H1621">
        <v>0</v>
      </c>
      <c r="I1621">
        <v>4000</v>
      </c>
      <c r="J1621" s="10">
        <v>7366</v>
      </c>
      <c r="K1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21">
        <v>0</v>
      </c>
      <c r="M16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1">
        <v>0.35</v>
      </c>
      <c r="O1621" s="23" t="s">
        <v>242</v>
      </c>
      <c r="P1621">
        <v>32.199999999999996</v>
      </c>
      <c r="Q1621" s="23" t="s">
        <v>181</v>
      </c>
    </row>
    <row r="1622" spans="1:17" x14ac:dyDescent="0.25">
      <c r="A1622" s="23" t="s">
        <v>1055</v>
      </c>
      <c r="B1622" s="23" t="s">
        <v>1056</v>
      </c>
      <c r="C1622" s="23" t="s">
        <v>176</v>
      </c>
      <c r="D1622" s="23" t="s">
        <v>352</v>
      </c>
      <c r="E1622" s="23" t="s">
        <v>353</v>
      </c>
      <c r="F1622">
        <v>155</v>
      </c>
      <c r="G1622" s="23" t="s">
        <v>177</v>
      </c>
      <c r="H1622">
        <v>0</v>
      </c>
      <c r="I1622">
        <v>4000</v>
      </c>
      <c r="J1622" s="10">
        <v>7366</v>
      </c>
      <c r="K1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1622">
        <v>0</v>
      </c>
      <c r="M16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2">
        <v>0.35</v>
      </c>
      <c r="O1622" s="23" t="s">
        <v>242</v>
      </c>
      <c r="P1622">
        <v>54.25</v>
      </c>
      <c r="Q1622" s="23" t="s">
        <v>181</v>
      </c>
    </row>
    <row r="1623" spans="1:17" x14ac:dyDescent="0.25">
      <c r="A1623" s="23" t="s">
        <v>1100</v>
      </c>
      <c r="B1623" s="23" t="s">
        <v>1101</v>
      </c>
      <c r="C1623" s="23" t="s">
        <v>176</v>
      </c>
      <c r="D1623" s="23" t="s">
        <v>867</v>
      </c>
      <c r="E1623" s="23" t="s">
        <v>868</v>
      </c>
      <c r="F1623">
        <v>2</v>
      </c>
      <c r="G1623" s="23" t="s">
        <v>177</v>
      </c>
      <c r="H1623">
        <v>0</v>
      </c>
      <c r="I1623">
        <v>415</v>
      </c>
      <c r="J1623" s="10">
        <v>0</v>
      </c>
      <c r="K1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623">
        <v>0</v>
      </c>
      <c r="M16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3">
        <v>4.25</v>
      </c>
      <c r="O1623" s="23" t="s">
        <v>242</v>
      </c>
      <c r="P1623">
        <v>8.5</v>
      </c>
      <c r="Q1623" s="23" t="s">
        <v>179</v>
      </c>
    </row>
    <row r="1624" spans="1:17" x14ac:dyDescent="0.25">
      <c r="A1624" s="23" t="s">
        <v>1100</v>
      </c>
      <c r="B1624" s="23" t="s">
        <v>1101</v>
      </c>
      <c r="C1624" s="23" t="s">
        <v>176</v>
      </c>
      <c r="D1624" s="23" t="s">
        <v>853</v>
      </c>
      <c r="E1624" s="23" t="s">
        <v>854</v>
      </c>
      <c r="F1624">
        <v>12</v>
      </c>
      <c r="G1624" s="23" t="s">
        <v>177</v>
      </c>
      <c r="H1624">
        <v>0</v>
      </c>
      <c r="I1624">
        <v>250</v>
      </c>
      <c r="J1624" s="10">
        <v>835</v>
      </c>
      <c r="K1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624">
        <v>0</v>
      </c>
      <c r="M16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4">
        <v>1.58</v>
      </c>
      <c r="O1624" s="23" t="s">
        <v>883</v>
      </c>
      <c r="P1624">
        <v>18.96</v>
      </c>
      <c r="Q1624" s="23" t="s">
        <v>181</v>
      </c>
    </row>
    <row r="1625" spans="1:17" x14ac:dyDescent="0.25">
      <c r="A1625" s="23" t="s">
        <v>1096</v>
      </c>
      <c r="B1625" s="23" t="s">
        <v>1053</v>
      </c>
      <c r="C1625" s="23" t="s">
        <v>176</v>
      </c>
      <c r="D1625" s="23" t="s">
        <v>487</v>
      </c>
      <c r="E1625" s="23" t="s">
        <v>488</v>
      </c>
      <c r="F1625">
        <v>2</v>
      </c>
      <c r="G1625" s="23" t="s">
        <v>177</v>
      </c>
      <c r="H1625">
        <v>0</v>
      </c>
      <c r="I1625">
        <v>20</v>
      </c>
      <c r="J1625" s="10">
        <v>34</v>
      </c>
      <c r="K1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625">
        <v>0</v>
      </c>
      <c r="M16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625">
        <v>82</v>
      </c>
      <c r="O1625" s="23" t="s">
        <v>1088</v>
      </c>
      <c r="P1625">
        <v>164</v>
      </c>
      <c r="Q1625" s="23" t="s">
        <v>484</v>
      </c>
    </row>
    <row r="1626" spans="1:17" x14ac:dyDescent="0.25">
      <c r="A1626" s="23" t="s">
        <v>1142</v>
      </c>
      <c r="B1626" s="23" t="s">
        <v>1054</v>
      </c>
      <c r="C1626" s="23" t="s">
        <v>198</v>
      </c>
      <c r="D1626" s="23" t="s">
        <v>499</v>
      </c>
      <c r="E1626" s="23" t="s">
        <v>500</v>
      </c>
      <c r="F1626">
        <v>1</v>
      </c>
      <c r="G1626" s="23" t="s">
        <v>177</v>
      </c>
      <c r="H1626">
        <v>0</v>
      </c>
      <c r="I1626">
        <v>11</v>
      </c>
      <c r="J1626" s="10">
        <v>8</v>
      </c>
      <c r="K1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626">
        <v>0</v>
      </c>
      <c r="M16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626" s="23" t="s">
        <v>714</v>
      </c>
      <c r="Q1626" s="23" t="s">
        <v>761</v>
      </c>
    </row>
    <row r="1627" spans="1:17" x14ac:dyDescent="0.25">
      <c r="A1627" s="23" t="s">
        <v>1142</v>
      </c>
      <c r="B1627" s="23" t="s">
        <v>1054</v>
      </c>
      <c r="C1627" s="23" t="s">
        <v>176</v>
      </c>
      <c r="D1627" s="23" t="s">
        <v>539</v>
      </c>
      <c r="E1627" s="23" t="s">
        <v>540</v>
      </c>
      <c r="F1627">
        <v>2</v>
      </c>
      <c r="G1627" s="23" t="s">
        <v>177</v>
      </c>
      <c r="H1627">
        <v>0</v>
      </c>
      <c r="I1627">
        <v>250</v>
      </c>
      <c r="J1627" s="10">
        <v>3</v>
      </c>
      <c r="K1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27">
        <v>0</v>
      </c>
      <c r="M16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7">
        <v>2</v>
      </c>
      <c r="O1627" s="23"/>
      <c r="P1627">
        <v>4</v>
      </c>
      <c r="Q1627" s="23" t="s">
        <v>181</v>
      </c>
    </row>
    <row r="1628" spans="1:17" x14ac:dyDescent="0.25">
      <c r="A1628" s="23" t="s">
        <v>1096</v>
      </c>
      <c r="B1628" s="23" t="s">
        <v>1053</v>
      </c>
      <c r="C1628" s="23" t="s">
        <v>176</v>
      </c>
      <c r="D1628" s="23" t="s">
        <v>539</v>
      </c>
      <c r="E1628" s="23" t="s">
        <v>540</v>
      </c>
      <c r="F1628">
        <v>8</v>
      </c>
      <c r="G1628" s="23" t="s">
        <v>177</v>
      </c>
      <c r="H1628">
        <v>0</v>
      </c>
      <c r="I1628">
        <v>250</v>
      </c>
      <c r="J1628" s="10">
        <v>3</v>
      </c>
      <c r="K1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28">
        <v>0</v>
      </c>
      <c r="M16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28">
        <v>2</v>
      </c>
      <c r="O1628" s="23"/>
      <c r="P1628">
        <v>16</v>
      </c>
      <c r="Q1628" s="23" t="s">
        <v>181</v>
      </c>
    </row>
    <row r="1629" spans="1:17" x14ac:dyDescent="0.25">
      <c r="A1629" s="23" t="s">
        <v>1149</v>
      </c>
      <c r="B1629" s="23" t="s">
        <v>1145</v>
      </c>
      <c r="C1629" s="23" t="s">
        <v>176</v>
      </c>
      <c r="D1629" s="23" t="s">
        <v>487</v>
      </c>
      <c r="E1629" s="23" t="s">
        <v>488</v>
      </c>
      <c r="F1629">
        <v>2</v>
      </c>
      <c r="G1629" s="23" t="s">
        <v>177</v>
      </c>
      <c r="H1629">
        <v>0</v>
      </c>
      <c r="I1629">
        <v>20</v>
      </c>
      <c r="J1629" s="10">
        <v>34</v>
      </c>
      <c r="K1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1629">
        <v>0</v>
      </c>
      <c r="M16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1629">
        <v>82</v>
      </c>
      <c r="O1629" s="23" t="s">
        <v>1088</v>
      </c>
      <c r="P1629">
        <v>164</v>
      </c>
      <c r="Q1629" s="23" t="s">
        <v>484</v>
      </c>
    </row>
    <row r="1630" spans="1:17" x14ac:dyDescent="0.25">
      <c r="A1630" s="23" t="s">
        <v>1149</v>
      </c>
      <c r="B1630" s="23" t="s">
        <v>1145</v>
      </c>
      <c r="C1630" s="23" t="s">
        <v>198</v>
      </c>
      <c r="D1630" s="23" t="s">
        <v>499</v>
      </c>
      <c r="E1630" s="23" t="s">
        <v>500</v>
      </c>
      <c r="F1630">
        <v>1</v>
      </c>
      <c r="G1630" s="23" t="s">
        <v>177</v>
      </c>
      <c r="H1630">
        <v>0</v>
      </c>
      <c r="I1630">
        <v>11</v>
      </c>
      <c r="J1630" s="10">
        <v>8</v>
      </c>
      <c r="K1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630">
        <v>0</v>
      </c>
      <c r="M16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1630" s="23" t="s">
        <v>714</v>
      </c>
      <c r="Q1630" s="23" t="s">
        <v>761</v>
      </c>
    </row>
    <row r="1631" spans="1:17" x14ac:dyDescent="0.25">
      <c r="A1631" s="23" t="s">
        <v>1149</v>
      </c>
      <c r="B1631" s="23" t="s">
        <v>1145</v>
      </c>
      <c r="C1631" s="23" t="s">
        <v>176</v>
      </c>
      <c r="D1631" s="23" t="s">
        <v>539</v>
      </c>
      <c r="E1631" s="23" t="s">
        <v>540</v>
      </c>
      <c r="F1631">
        <v>2</v>
      </c>
      <c r="G1631" s="23" t="s">
        <v>177</v>
      </c>
      <c r="H1631">
        <v>0</v>
      </c>
      <c r="I1631">
        <v>250</v>
      </c>
      <c r="J1631" s="10">
        <v>3</v>
      </c>
      <c r="K1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31">
        <v>0</v>
      </c>
      <c r="M16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1">
        <v>2</v>
      </c>
      <c r="O1631" s="23"/>
      <c r="P1631">
        <v>4</v>
      </c>
      <c r="Q1631" s="23" t="s">
        <v>181</v>
      </c>
    </row>
    <row r="1632" spans="1:17" x14ac:dyDescent="0.25">
      <c r="A1632" s="23" t="s">
        <v>1146</v>
      </c>
      <c r="B1632" s="23" t="s">
        <v>1145</v>
      </c>
      <c r="C1632" s="23" t="s">
        <v>176</v>
      </c>
      <c r="D1632" s="23" t="s">
        <v>539</v>
      </c>
      <c r="E1632" s="23" t="s">
        <v>540</v>
      </c>
      <c r="F1632">
        <v>2</v>
      </c>
      <c r="G1632" s="23" t="s">
        <v>177</v>
      </c>
      <c r="H1632">
        <v>0</v>
      </c>
      <c r="I1632">
        <v>250</v>
      </c>
      <c r="J1632" s="10">
        <v>3</v>
      </c>
      <c r="K1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1632">
        <v>0</v>
      </c>
      <c r="M16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2">
        <v>2</v>
      </c>
      <c r="O1632" s="23"/>
      <c r="P1632">
        <v>4</v>
      </c>
      <c r="Q1632" s="23" t="s">
        <v>181</v>
      </c>
    </row>
    <row r="1633" spans="1:17" x14ac:dyDescent="0.25">
      <c r="A1633" s="23" t="s">
        <v>1149</v>
      </c>
      <c r="B1633" s="23" t="s">
        <v>1145</v>
      </c>
      <c r="C1633" s="23" t="s">
        <v>176</v>
      </c>
      <c r="D1633" s="23" t="s">
        <v>853</v>
      </c>
      <c r="E1633" s="23" t="s">
        <v>854</v>
      </c>
      <c r="F1633">
        <v>4</v>
      </c>
      <c r="G1633" s="23" t="s">
        <v>177</v>
      </c>
      <c r="H1633">
        <v>0</v>
      </c>
      <c r="I1633">
        <v>250</v>
      </c>
      <c r="J1633" s="10">
        <v>835</v>
      </c>
      <c r="K1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1633">
        <v>0</v>
      </c>
      <c r="M16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3">
        <v>1.58</v>
      </c>
      <c r="O1633" s="23" t="s">
        <v>883</v>
      </c>
      <c r="P1633">
        <v>6.32</v>
      </c>
      <c r="Q1633" s="23" t="s">
        <v>181</v>
      </c>
    </row>
    <row r="1634" spans="1:17" x14ac:dyDescent="0.25">
      <c r="A1634" s="23" t="s">
        <v>1150</v>
      </c>
      <c r="B1634" s="23" t="s">
        <v>1145</v>
      </c>
      <c r="C1634" s="23" t="s">
        <v>176</v>
      </c>
      <c r="D1634" s="23" t="s">
        <v>334</v>
      </c>
      <c r="E1634" s="23" t="s">
        <v>335</v>
      </c>
      <c r="F1634">
        <v>1</v>
      </c>
      <c r="G1634" s="23" t="s">
        <v>177</v>
      </c>
      <c r="H1634">
        <v>0</v>
      </c>
      <c r="I1634">
        <v>25</v>
      </c>
      <c r="J1634" s="10">
        <v>18</v>
      </c>
      <c r="K1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634">
        <v>0</v>
      </c>
      <c r="M16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4">
        <v>225</v>
      </c>
      <c r="O1634" s="23" t="s">
        <v>227</v>
      </c>
      <c r="P1634">
        <v>225</v>
      </c>
      <c r="Q1634" s="23" t="s">
        <v>181</v>
      </c>
    </row>
    <row r="1635" spans="1:17" x14ac:dyDescent="0.25">
      <c r="A1635" s="23" t="s">
        <v>1100</v>
      </c>
      <c r="B1635" s="23" t="s">
        <v>1101</v>
      </c>
      <c r="C1635" s="23" t="s">
        <v>176</v>
      </c>
      <c r="D1635" s="23" t="s">
        <v>48</v>
      </c>
      <c r="E1635" s="23" t="s">
        <v>49</v>
      </c>
      <c r="F1635">
        <v>3</v>
      </c>
      <c r="G1635" s="23" t="s">
        <v>177</v>
      </c>
      <c r="H1635">
        <v>0</v>
      </c>
      <c r="I1635">
        <v>24</v>
      </c>
      <c r="J1635" s="10">
        <v>27</v>
      </c>
      <c r="K1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635">
        <v>0</v>
      </c>
      <c r="M16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1635">
        <v>42</v>
      </c>
      <c r="O1635" s="23" t="s">
        <v>247</v>
      </c>
      <c r="P1635">
        <v>126</v>
      </c>
      <c r="Q1635" s="23" t="s">
        <v>181</v>
      </c>
    </row>
    <row r="1636" spans="1:17" x14ac:dyDescent="0.25">
      <c r="A1636" s="23" t="s">
        <v>1100</v>
      </c>
      <c r="B1636" s="23" t="s">
        <v>1101</v>
      </c>
      <c r="C1636" s="23" t="s">
        <v>176</v>
      </c>
      <c r="D1636" s="23" t="s">
        <v>356</v>
      </c>
      <c r="E1636" s="23" t="s">
        <v>357</v>
      </c>
      <c r="F1636">
        <v>16</v>
      </c>
      <c r="G1636" s="23" t="s">
        <v>177</v>
      </c>
      <c r="H1636">
        <v>0</v>
      </c>
      <c r="I1636">
        <v>4822</v>
      </c>
      <c r="J1636" s="10">
        <v>811</v>
      </c>
      <c r="K1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636">
        <v>0</v>
      </c>
      <c r="M16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6">
        <v>0.3</v>
      </c>
      <c r="O1636" s="23" t="s">
        <v>242</v>
      </c>
      <c r="P1636">
        <v>4.8</v>
      </c>
      <c r="Q1636" s="23" t="s">
        <v>181</v>
      </c>
    </row>
    <row r="1637" spans="1:17" x14ac:dyDescent="0.25">
      <c r="A1637" s="23" t="s">
        <v>1149</v>
      </c>
      <c r="B1637" s="23" t="s">
        <v>1145</v>
      </c>
      <c r="C1637" s="23" t="s">
        <v>176</v>
      </c>
      <c r="D1637" s="23" t="s">
        <v>356</v>
      </c>
      <c r="E1637" s="23" t="s">
        <v>357</v>
      </c>
      <c r="F1637">
        <v>16</v>
      </c>
      <c r="G1637" s="23" t="s">
        <v>177</v>
      </c>
      <c r="H1637">
        <v>0</v>
      </c>
      <c r="I1637">
        <v>4822</v>
      </c>
      <c r="J1637" s="10">
        <v>811</v>
      </c>
      <c r="K1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1637">
        <v>0</v>
      </c>
      <c r="M16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7">
        <v>0.3</v>
      </c>
      <c r="O1637" s="23" t="s">
        <v>242</v>
      </c>
      <c r="P1637">
        <v>4.8</v>
      </c>
      <c r="Q1637" s="23" t="s">
        <v>181</v>
      </c>
    </row>
    <row r="1638" spans="1:17" x14ac:dyDescent="0.25">
      <c r="A1638" s="23" t="s">
        <v>1149</v>
      </c>
      <c r="B1638" s="23" t="s">
        <v>1145</v>
      </c>
      <c r="C1638" s="23" t="s">
        <v>176</v>
      </c>
      <c r="D1638" s="23" t="s">
        <v>652</v>
      </c>
      <c r="E1638" s="23" t="s">
        <v>653</v>
      </c>
      <c r="F1638">
        <v>25</v>
      </c>
      <c r="G1638" s="23" t="s">
        <v>177</v>
      </c>
      <c r="H1638">
        <v>0</v>
      </c>
      <c r="I1638">
        <v>976</v>
      </c>
      <c r="J1638" s="10">
        <v>167</v>
      </c>
      <c r="K1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638">
        <v>0</v>
      </c>
      <c r="M16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8">
        <v>3.46</v>
      </c>
      <c r="O1638" s="23" t="s">
        <v>883</v>
      </c>
      <c r="P1638">
        <v>86.5</v>
      </c>
      <c r="Q1638" s="23" t="s">
        <v>181</v>
      </c>
    </row>
    <row r="1639" spans="1:17" x14ac:dyDescent="0.25">
      <c r="A1639" s="23" t="s">
        <v>1146</v>
      </c>
      <c r="B1639" s="23" t="s">
        <v>1145</v>
      </c>
      <c r="C1639" s="23" t="s">
        <v>176</v>
      </c>
      <c r="D1639" s="23" t="s">
        <v>652</v>
      </c>
      <c r="E1639" s="23" t="s">
        <v>653</v>
      </c>
      <c r="F1639">
        <v>25</v>
      </c>
      <c r="G1639" s="23" t="s">
        <v>177</v>
      </c>
      <c r="H1639">
        <v>0</v>
      </c>
      <c r="I1639">
        <v>976</v>
      </c>
      <c r="J1639" s="10">
        <v>167</v>
      </c>
      <c r="K1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-508</v>
      </c>
      <c r="L1639">
        <v>0</v>
      </c>
      <c r="M16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39">
        <v>3.46</v>
      </c>
      <c r="O1639" s="23" t="s">
        <v>883</v>
      </c>
      <c r="P1639">
        <v>86.5</v>
      </c>
      <c r="Q1639" s="23" t="s">
        <v>181</v>
      </c>
    </row>
    <row r="1640" spans="1:17" x14ac:dyDescent="0.25">
      <c r="A1640" s="23" t="s">
        <v>1144</v>
      </c>
      <c r="B1640" s="23" t="s">
        <v>1145</v>
      </c>
      <c r="C1640" s="23" t="s">
        <v>176</v>
      </c>
      <c r="D1640" s="23" t="s">
        <v>385</v>
      </c>
      <c r="E1640" s="23" t="s">
        <v>386</v>
      </c>
      <c r="F1640">
        <v>37</v>
      </c>
      <c r="G1640" s="23" t="s">
        <v>177</v>
      </c>
      <c r="H1640">
        <v>0</v>
      </c>
      <c r="I1640">
        <v>495</v>
      </c>
      <c r="J1640" s="10">
        <v>146</v>
      </c>
      <c r="K1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40">
        <v>0</v>
      </c>
      <c r="M16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0">
        <v>3.75</v>
      </c>
      <c r="O1640" s="23" t="s">
        <v>629</v>
      </c>
      <c r="P1640">
        <v>138.75</v>
      </c>
      <c r="Q1640" s="23" t="s">
        <v>181</v>
      </c>
    </row>
    <row r="1641" spans="1:17" x14ac:dyDescent="0.25">
      <c r="A1641" s="23" t="s">
        <v>1149</v>
      </c>
      <c r="B1641" s="23" t="s">
        <v>1145</v>
      </c>
      <c r="C1641" s="23" t="s">
        <v>176</v>
      </c>
      <c r="D1641" s="23" t="s">
        <v>89</v>
      </c>
      <c r="E1641" s="23" t="s">
        <v>90</v>
      </c>
      <c r="F1641">
        <v>3.3</v>
      </c>
      <c r="G1641" s="23" t="s">
        <v>180</v>
      </c>
      <c r="H1641">
        <v>0</v>
      </c>
      <c r="I1641">
        <v>125</v>
      </c>
      <c r="J1641" s="10">
        <v>37.499999999999957</v>
      </c>
      <c r="K1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41">
        <v>0</v>
      </c>
      <c r="M16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1">
        <v>44</v>
      </c>
      <c r="O1641" s="23" t="s">
        <v>315</v>
      </c>
      <c r="P1641">
        <v>145.19999999999999</v>
      </c>
      <c r="Q1641" s="23" t="s">
        <v>179</v>
      </c>
    </row>
    <row r="1642" spans="1:17" x14ac:dyDescent="0.25">
      <c r="A1642" s="23" t="s">
        <v>1146</v>
      </c>
      <c r="B1642" s="23" t="s">
        <v>1145</v>
      </c>
      <c r="C1642" s="23" t="s">
        <v>176</v>
      </c>
      <c r="D1642" s="23" t="s">
        <v>89</v>
      </c>
      <c r="E1642" s="23" t="s">
        <v>90</v>
      </c>
      <c r="F1642">
        <v>3.3</v>
      </c>
      <c r="G1642" s="23" t="s">
        <v>180</v>
      </c>
      <c r="H1642">
        <v>0</v>
      </c>
      <c r="I1642">
        <v>125</v>
      </c>
      <c r="J1642" s="10">
        <v>37.499999999999957</v>
      </c>
      <c r="K1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42">
        <v>0</v>
      </c>
      <c r="M16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2">
        <v>44</v>
      </c>
      <c r="O1642" s="23" t="s">
        <v>315</v>
      </c>
      <c r="P1642">
        <v>145.19999999999999</v>
      </c>
      <c r="Q1642" s="23" t="s">
        <v>179</v>
      </c>
    </row>
    <row r="1643" spans="1:17" x14ac:dyDescent="0.25">
      <c r="A1643" s="23" t="s">
        <v>1147</v>
      </c>
      <c r="B1643" s="23" t="s">
        <v>1145</v>
      </c>
      <c r="C1643" s="23" t="s">
        <v>176</v>
      </c>
      <c r="D1643" s="23" t="s">
        <v>395</v>
      </c>
      <c r="E1643" s="23" t="s">
        <v>396</v>
      </c>
      <c r="F1643">
        <v>3.1</v>
      </c>
      <c r="G1643" s="23" t="s">
        <v>177</v>
      </c>
      <c r="H1643">
        <v>0</v>
      </c>
      <c r="I1643">
        <v>17</v>
      </c>
      <c r="J1643" s="10">
        <v>3.0000000000000124</v>
      </c>
      <c r="K1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43">
        <v>0</v>
      </c>
      <c r="M16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43">
        <v>145.83000000000001</v>
      </c>
      <c r="O1643" s="23" t="s">
        <v>629</v>
      </c>
      <c r="P1643">
        <v>452.07300000000004</v>
      </c>
      <c r="Q1643" s="23" t="s">
        <v>184</v>
      </c>
    </row>
    <row r="1644" spans="1:17" x14ac:dyDescent="0.25">
      <c r="A1644" s="23" t="s">
        <v>1146</v>
      </c>
      <c r="B1644" s="23" t="s">
        <v>1145</v>
      </c>
      <c r="C1644" s="23" t="s">
        <v>176</v>
      </c>
      <c r="D1644" s="23" t="s">
        <v>385</v>
      </c>
      <c r="E1644" s="23" t="s">
        <v>386</v>
      </c>
      <c r="F1644">
        <v>37</v>
      </c>
      <c r="G1644" s="23" t="s">
        <v>177</v>
      </c>
      <c r="H1644">
        <v>0</v>
      </c>
      <c r="I1644">
        <v>495</v>
      </c>
      <c r="J1644" s="10">
        <v>146</v>
      </c>
      <c r="K1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44">
        <v>0</v>
      </c>
      <c r="M16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4">
        <v>3.75</v>
      </c>
      <c r="O1644" s="23" t="s">
        <v>629</v>
      </c>
      <c r="P1644">
        <v>138.75</v>
      </c>
      <c r="Q1644" s="23" t="s">
        <v>181</v>
      </c>
    </row>
    <row r="1645" spans="1:17" x14ac:dyDescent="0.25">
      <c r="A1645" s="23" t="s">
        <v>1150</v>
      </c>
      <c r="B1645" s="23" t="s">
        <v>1145</v>
      </c>
      <c r="C1645" s="23" t="s">
        <v>176</v>
      </c>
      <c r="D1645" s="23" t="s">
        <v>395</v>
      </c>
      <c r="E1645" s="23" t="s">
        <v>396</v>
      </c>
      <c r="F1645">
        <v>3.1</v>
      </c>
      <c r="G1645" s="23" t="s">
        <v>177</v>
      </c>
      <c r="H1645">
        <v>0</v>
      </c>
      <c r="I1645">
        <v>17</v>
      </c>
      <c r="J1645" s="10">
        <v>3.0000000000000124</v>
      </c>
      <c r="K1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45">
        <v>0</v>
      </c>
      <c r="M16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45">
        <v>145.83000000000001</v>
      </c>
      <c r="O1645" s="23" t="s">
        <v>629</v>
      </c>
      <c r="P1645">
        <v>452.07300000000004</v>
      </c>
      <c r="Q1645" s="23" t="s">
        <v>184</v>
      </c>
    </row>
    <row r="1646" spans="1:17" x14ac:dyDescent="0.25">
      <c r="A1646" s="23" t="s">
        <v>1147</v>
      </c>
      <c r="B1646" s="23" t="s">
        <v>1145</v>
      </c>
      <c r="C1646" s="23" t="s">
        <v>176</v>
      </c>
      <c r="D1646" s="23" t="s">
        <v>385</v>
      </c>
      <c r="E1646" s="23" t="s">
        <v>386</v>
      </c>
      <c r="F1646">
        <v>37</v>
      </c>
      <c r="G1646" s="23" t="s">
        <v>177</v>
      </c>
      <c r="H1646">
        <v>0</v>
      </c>
      <c r="I1646">
        <v>495</v>
      </c>
      <c r="J1646" s="10">
        <v>146</v>
      </c>
      <c r="K1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46">
        <v>0</v>
      </c>
      <c r="M16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6">
        <v>3.75</v>
      </c>
      <c r="O1646" s="23" t="s">
        <v>629</v>
      </c>
      <c r="P1646">
        <v>138.75</v>
      </c>
      <c r="Q1646" s="23" t="s">
        <v>181</v>
      </c>
    </row>
    <row r="1647" spans="1:17" x14ac:dyDescent="0.25">
      <c r="A1647" s="23" t="s">
        <v>1099</v>
      </c>
      <c r="B1647" s="23" t="s">
        <v>1056</v>
      </c>
      <c r="C1647" s="23" t="s">
        <v>176</v>
      </c>
      <c r="D1647" s="23" t="s">
        <v>385</v>
      </c>
      <c r="E1647" s="23" t="s">
        <v>386</v>
      </c>
      <c r="F1647">
        <v>7</v>
      </c>
      <c r="G1647" s="23" t="s">
        <v>177</v>
      </c>
      <c r="H1647">
        <v>0</v>
      </c>
      <c r="I1647">
        <v>495</v>
      </c>
      <c r="J1647" s="10">
        <v>146</v>
      </c>
      <c r="K1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47">
        <v>0</v>
      </c>
      <c r="M16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7">
        <v>3.75</v>
      </c>
      <c r="O1647" s="23" t="s">
        <v>629</v>
      </c>
      <c r="P1647">
        <v>26.25</v>
      </c>
      <c r="Q1647" s="23" t="s">
        <v>181</v>
      </c>
    </row>
    <row r="1648" spans="1:17" x14ac:dyDescent="0.25">
      <c r="A1648" s="23" t="s">
        <v>1148</v>
      </c>
      <c r="B1648" s="23" t="s">
        <v>1054</v>
      </c>
      <c r="C1648" s="23" t="s">
        <v>176</v>
      </c>
      <c r="D1648" s="23" t="s">
        <v>385</v>
      </c>
      <c r="E1648" s="23" t="s">
        <v>386</v>
      </c>
      <c r="F1648">
        <v>21</v>
      </c>
      <c r="G1648" s="23" t="s">
        <v>177</v>
      </c>
      <c r="H1648">
        <v>0</v>
      </c>
      <c r="I1648">
        <v>495</v>
      </c>
      <c r="J1648" s="10">
        <v>146</v>
      </c>
      <c r="K1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1648">
        <v>0</v>
      </c>
      <c r="M16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48">
        <v>3.75</v>
      </c>
      <c r="O1648" s="23" t="s">
        <v>629</v>
      </c>
      <c r="P1648">
        <v>78.75</v>
      </c>
      <c r="Q1648" s="23" t="s">
        <v>181</v>
      </c>
    </row>
    <row r="1649" spans="1:17" x14ac:dyDescent="0.25">
      <c r="A1649" s="23" t="s">
        <v>1058</v>
      </c>
      <c r="B1649" s="23" t="s">
        <v>1059</v>
      </c>
      <c r="C1649" s="23" t="s">
        <v>176</v>
      </c>
      <c r="D1649" s="23" t="s">
        <v>395</v>
      </c>
      <c r="E1649" s="23" t="s">
        <v>396</v>
      </c>
      <c r="F1649">
        <v>3.1</v>
      </c>
      <c r="G1649" s="23" t="s">
        <v>177</v>
      </c>
      <c r="H1649">
        <v>0</v>
      </c>
      <c r="I1649">
        <v>17</v>
      </c>
      <c r="J1649" s="10">
        <v>3.0000000000000124</v>
      </c>
      <c r="K1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649">
        <v>0</v>
      </c>
      <c r="M16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649">
        <v>145.83000000000001</v>
      </c>
      <c r="O1649" s="23" t="s">
        <v>629</v>
      </c>
      <c r="P1649">
        <v>452.07300000000004</v>
      </c>
      <c r="Q1649" s="23" t="s">
        <v>184</v>
      </c>
    </row>
    <row r="1650" spans="1:17" x14ac:dyDescent="0.25">
      <c r="A1650" s="23" t="s">
        <v>1058</v>
      </c>
      <c r="B1650" s="23" t="s">
        <v>1059</v>
      </c>
      <c r="C1650" s="23" t="s">
        <v>176</v>
      </c>
      <c r="D1650" s="23" t="s">
        <v>89</v>
      </c>
      <c r="E1650" s="23" t="s">
        <v>90</v>
      </c>
      <c r="F1650">
        <v>3.3</v>
      </c>
      <c r="G1650" s="23" t="s">
        <v>180</v>
      </c>
      <c r="H1650">
        <v>0</v>
      </c>
      <c r="I1650">
        <v>125</v>
      </c>
      <c r="J1650" s="10">
        <v>37.499999999999957</v>
      </c>
      <c r="K1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50">
        <v>0</v>
      </c>
      <c r="M16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0">
        <v>44</v>
      </c>
      <c r="O1650" s="23" t="s">
        <v>315</v>
      </c>
      <c r="P1650">
        <v>145.19999999999999</v>
      </c>
      <c r="Q1650" s="23" t="s">
        <v>179</v>
      </c>
    </row>
    <row r="1651" spans="1:17" x14ac:dyDescent="0.25">
      <c r="A1651" s="23" t="s">
        <v>1147</v>
      </c>
      <c r="B1651" s="23" t="s">
        <v>1145</v>
      </c>
      <c r="C1651" s="23" t="s">
        <v>176</v>
      </c>
      <c r="D1651" s="23" t="s">
        <v>89</v>
      </c>
      <c r="E1651" s="23" t="s">
        <v>90</v>
      </c>
      <c r="F1651">
        <v>3.3</v>
      </c>
      <c r="G1651" s="23" t="s">
        <v>180</v>
      </c>
      <c r="H1651">
        <v>0</v>
      </c>
      <c r="I1651">
        <v>125</v>
      </c>
      <c r="J1651" s="10">
        <v>37.499999999999957</v>
      </c>
      <c r="K1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51">
        <v>0</v>
      </c>
      <c r="M16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1">
        <v>44</v>
      </c>
      <c r="O1651" s="23" t="s">
        <v>315</v>
      </c>
      <c r="P1651">
        <v>145.19999999999999</v>
      </c>
      <c r="Q1651" s="23" t="s">
        <v>179</v>
      </c>
    </row>
    <row r="1652" spans="1:17" x14ac:dyDescent="0.25">
      <c r="A1652" s="23" t="s">
        <v>1055</v>
      </c>
      <c r="B1652" s="23" t="s">
        <v>1056</v>
      </c>
      <c r="C1652" s="23" t="s">
        <v>176</v>
      </c>
      <c r="D1652" s="23" t="s">
        <v>89</v>
      </c>
      <c r="E1652" s="23" t="s">
        <v>90</v>
      </c>
      <c r="F1652">
        <v>3.3</v>
      </c>
      <c r="G1652" s="23" t="s">
        <v>180</v>
      </c>
      <c r="H1652">
        <v>0</v>
      </c>
      <c r="I1652">
        <v>125</v>
      </c>
      <c r="J1652" s="10">
        <v>37.499999999999957</v>
      </c>
      <c r="K1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652">
        <v>0</v>
      </c>
      <c r="M16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2">
        <v>44</v>
      </c>
      <c r="O1652" s="23" t="s">
        <v>315</v>
      </c>
      <c r="P1652">
        <v>145.19999999999999</v>
      </c>
      <c r="Q1652" s="23" t="s">
        <v>179</v>
      </c>
    </row>
    <row r="1653" spans="1:17" x14ac:dyDescent="0.25">
      <c r="A1653" s="23" t="s">
        <v>1142</v>
      </c>
      <c r="B1653" s="23" t="s">
        <v>1054</v>
      </c>
      <c r="C1653" s="23" t="s">
        <v>176</v>
      </c>
      <c r="D1653" s="23" t="s">
        <v>388</v>
      </c>
      <c r="E1653" s="23" t="s">
        <v>389</v>
      </c>
      <c r="F1653">
        <v>7</v>
      </c>
      <c r="G1653" s="23" t="s">
        <v>177</v>
      </c>
      <c r="H1653">
        <v>0</v>
      </c>
      <c r="I1653">
        <v>1100</v>
      </c>
      <c r="J1653" s="10">
        <v>780</v>
      </c>
      <c r="K1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1653">
        <v>0</v>
      </c>
      <c r="M16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3">
        <v>0.32</v>
      </c>
      <c r="O1653" s="23" t="s">
        <v>242</v>
      </c>
      <c r="P1653">
        <v>2.2400000000000002</v>
      </c>
      <c r="Q1653" s="23" t="s">
        <v>181</v>
      </c>
    </row>
    <row r="1654" spans="1:17" x14ac:dyDescent="0.25">
      <c r="A1654" s="23" t="s">
        <v>1147</v>
      </c>
      <c r="B1654" s="23" t="s">
        <v>1145</v>
      </c>
      <c r="C1654" s="23" t="s">
        <v>176</v>
      </c>
      <c r="D1654" s="23" t="s">
        <v>258</v>
      </c>
      <c r="E1654" s="23" t="s">
        <v>259</v>
      </c>
      <c r="F1654">
        <v>1.5</v>
      </c>
      <c r="G1654" s="23" t="s">
        <v>177</v>
      </c>
      <c r="H1654">
        <v>0</v>
      </c>
      <c r="I1654">
        <v>14</v>
      </c>
      <c r="J1654" s="10">
        <v>6.7999999999999901</v>
      </c>
      <c r="K1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654">
        <v>12</v>
      </c>
      <c r="M16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654">
        <v>328.85</v>
      </c>
      <c r="O1654" s="23" t="s">
        <v>260</v>
      </c>
      <c r="P1654">
        <v>493.27500000000003</v>
      </c>
      <c r="Q1654" s="23" t="s">
        <v>184</v>
      </c>
    </row>
    <row r="1655" spans="1:17" x14ac:dyDescent="0.25">
      <c r="A1655" s="23" t="s">
        <v>1148</v>
      </c>
      <c r="B1655" s="23" t="s">
        <v>1054</v>
      </c>
      <c r="C1655" s="23" t="s">
        <v>176</v>
      </c>
      <c r="D1655" s="23" t="s">
        <v>258</v>
      </c>
      <c r="E1655" s="23" t="s">
        <v>259</v>
      </c>
      <c r="F1655">
        <v>4</v>
      </c>
      <c r="G1655" s="23" t="s">
        <v>177</v>
      </c>
      <c r="H1655">
        <v>0</v>
      </c>
      <c r="I1655">
        <v>14</v>
      </c>
      <c r="J1655" s="10">
        <v>6.7999999999999901</v>
      </c>
      <c r="K1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655">
        <v>12</v>
      </c>
      <c r="M16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655">
        <v>328.85</v>
      </c>
      <c r="O1655" s="23" t="s">
        <v>260</v>
      </c>
      <c r="P1655">
        <v>1315.4</v>
      </c>
      <c r="Q1655" s="23" t="s">
        <v>184</v>
      </c>
    </row>
    <row r="1656" spans="1:17" x14ac:dyDescent="0.25">
      <c r="A1656" s="23" t="s">
        <v>1057</v>
      </c>
      <c r="B1656" s="23" t="s">
        <v>1056</v>
      </c>
      <c r="C1656" s="23" t="s">
        <v>176</v>
      </c>
      <c r="D1656" s="23" t="s">
        <v>904</v>
      </c>
      <c r="E1656" s="23" t="s">
        <v>905</v>
      </c>
      <c r="F1656">
        <v>2</v>
      </c>
      <c r="G1656" s="23" t="s">
        <v>177</v>
      </c>
      <c r="H1656">
        <v>2</v>
      </c>
      <c r="I1656">
        <v>3</v>
      </c>
      <c r="J1656" s="10">
        <v>6</v>
      </c>
      <c r="K1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656">
        <v>0</v>
      </c>
      <c r="M16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6">
        <v>100</v>
      </c>
      <c r="O1656" s="23" t="s">
        <v>227</v>
      </c>
      <c r="P1656">
        <v>200</v>
      </c>
      <c r="Q1656" s="23" t="s">
        <v>181</v>
      </c>
    </row>
    <row r="1657" spans="1:17" x14ac:dyDescent="0.25">
      <c r="A1657" s="23" t="s">
        <v>1096</v>
      </c>
      <c r="B1657" s="23" t="s">
        <v>1053</v>
      </c>
      <c r="C1657" s="23" t="s">
        <v>176</v>
      </c>
      <c r="D1657" s="23" t="s">
        <v>541</v>
      </c>
      <c r="E1657" s="23" t="s">
        <v>542</v>
      </c>
      <c r="F1657">
        <v>4</v>
      </c>
      <c r="G1657" s="23" t="s">
        <v>177</v>
      </c>
      <c r="H1657">
        <v>0</v>
      </c>
      <c r="I1657">
        <v>1000</v>
      </c>
      <c r="J1657" s="10">
        <v>0</v>
      </c>
      <c r="K1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1657">
        <v>0</v>
      </c>
      <c r="M16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57">
        <v>1.2</v>
      </c>
      <c r="O1657" s="23" t="s">
        <v>242</v>
      </c>
      <c r="P1657">
        <v>4.8</v>
      </c>
      <c r="Q1657" s="23" t="s">
        <v>181</v>
      </c>
    </row>
    <row r="1658" spans="1:17" x14ac:dyDescent="0.25">
      <c r="A1658" s="23" t="s">
        <v>1094</v>
      </c>
      <c r="B1658" s="23" t="s">
        <v>1095</v>
      </c>
      <c r="C1658" s="23" t="s">
        <v>176</v>
      </c>
      <c r="D1658" s="23" t="s">
        <v>421</v>
      </c>
      <c r="E1658" s="23" t="s">
        <v>422</v>
      </c>
      <c r="F1658">
        <v>1</v>
      </c>
      <c r="G1658" s="23" t="s">
        <v>180</v>
      </c>
      <c r="H1658">
        <v>0</v>
      </c>
      <c r="I1658">
        <v>0</v>
      </c>
      <c r="J1658" s="10">
        <v>3.0000000000000142</v>
      </c>
      <c r="K1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1658">
        <v>0</v>
      </c>
      <c r="M16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1658">
        <v>490.85</v>
      </c>
      <c r="O1658" s="23" t="s">
        <v>423</v>
      </c>
      <c r="P1658">
        <v>490.85</v>
      </c>
      <c r="Q1658" s="23" t="s">
        <v>185</v>
      </c>
    </row>
    <row r="1659" spans="1:17" x14ac:dyDescent="0.25">
      <c r="A1659" s="23" t="s">
        <v>1146</v>
      </c>
      <c r="B1659" s="23" t="s">
        <v>1145</v>
      </c>
      <c r="C1659" s="23" t="s">
        <v>176</v>
      </c>
      <c r="D1659" s="23" t="s">
        <v>258</v>
      </c>
      <c r="E1659" s="23" t="s">
        <v>259</v>
      </c>
      <c r="F1659">
        <v>1.5</v>
      </c>
      <c r="G1659" s="23" t="s">
        <v>177</v>
      </c>
      <c r="H1659">
        <v>0</v>
      </c>
      <c r="I1659">
        <v>14</v>
      </c>
      <c r="J1659" s="10">
        <v>6.7999999999999901</v>
      </c>
      <c r="K1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1659">
        <v>12</v>
      </c>
      <c r="M16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1659">
        <v>328.85</v>
      </c>
      <c r="O1659" s="23" t="s">
        <v>260</v>
      </c>
      <c r="P1659">
        <v>493.27500000000003</v>
      </c>
      <c r="Q1659" s="23" t="s">
        <v>184</v>
      </c>
    </row>
    <row r="1660" spans="1:17" x14ac:dyDescent="0.25">
      <c r="A1660" s="23" t="s">
        <v>1149</v>
      </c>
      <c r="B1660" s="23" t="s">
        <v>1145</v>
      </c>
      <c r="C1660" s="23" t="s">
        <v>176</v>
      </c>
      <c r="D1660" s="23" t="s">
        <v>666</v>
      </c>
      <c r="E1660" s="23" t="s">
        <v>667</v>
      </c>
      <c r="F1660">
        <v>1</v>
      </c>
      <c r="G1660" s="23" t="s">
        <v>177</v>
      </c>
      <c r="H1660">
        <v>0</v>
      </c>
      <c r="I1660">
        <v>0</v>
      </c>
      <c r="J1660" s="10">
        <v>4</v>
      </c>
      <c r="K1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660">
        <v>20</v>
      </c>
      <c r="M16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0">
        <v>28000</v>
      </c>
      <c r="O1660" s="23" t="s">
        <v>830</v>
      </c>
      <c r="P1660">
        <v>28000</v>
      </c>
      <c r="Q1660" s="23" t="s">
        <v>222</v>
      </c>
    </row>
    <row r="1661" spans="1:17" x14ac:dyDescent="0.25">
      <c r="A1661" s="23" t="s">
        <v>1144</v>
      </c>
      <c r="B1661" s="23" t="s">
        <v>1145</v>
      </c>
      <c r="C1661" s="23" t="s">
        <v>176</v>
      </c>
      <c r="D1661" s="23" t="s">
        <v>234</v>
      </c>
      <c r="E1661" s="23" t="s">
        <v>235</v>
      </c>
      <c r="F1661">
        <v>2</v>
      </c>
      <c r="G1661" s="23" t="s">
        <v>177</v>
      </c>
      <c r="H1661">
        <v>0</v>
      </c>
      <c r="I1661">
        <v>222</v>
      </c>
      <c r="J1661" s="10">
        <v>90</v>
      </c>
      <c r="K1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661">
        <v>0</v>
      </c>
      <c r="M16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1">
        <v>4</v>
      </c>
      <c r="O1661" s="23" t="s">
        <v>221</v>
      </c>
      <c r="P1661">
        <v>8</v>
      </c>
      <c r="Q1661" s="23" t="s">
        <v>222</v>
      </c>
    </row>
    <row r="1662" spans="1:17" x14ac:dyDescent="0.25">
      <c r="A1662" s="23" t="s">
        <v>1147</v>
      </c>
      <c r="B1662" s="23" t="s">
        <v>1145</v>
      </c>
      <c r="C1662" s="23" t="s">
        <v>176</v>
      </c>
      <c r="D1662" s="23" t="s">
        <v>87</v>
      </c>
      <c r="E1662" s="23" t="s">
        <v>88</v>
      </c>
      <c r="F1662">
        <v>2.02</v>
      </c>
      <c r="G1662" s="23" t="s">
        <v>177</v>
      </c>
      <c r="H1662">
        <v>0</v>
      </c>
      <c r="I1662">
        <v>48</v>
      </c>
      <c r="J1662" s="10">
        <v>7.1054273576010019E-15</v>
      </c>
      <c r="K1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62">
        <v>0</v>
      </c>
      <c r="M16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62">
        <v>100</v>
      </c>
      <c r="O1662" s="23" t="s">
        <v>242</v>
      </c>
      <c r="P1662">
        <v>202</v>
      </c>
      <c r="Q1662" s="23" t="s">
        <v>184</v>
      </c>
    </row>
    <row r="1663" spans="1:17" x14ac:dyDescent="0.25">
      <c r="A1663" s="23" t="s">
        <v>1099</v>
      </c>
      <c r="B1663" s="23" t="s">
        <v>1056</v>
      </c>
      <c r="C1663" s="23" t="s">
        <v>176</v>
      </c>
      <c r="D1663" s="23" t="s">
        <v>87</v>
      </c>
      <c r="E1663" s="23" t="s">
        <v>88</v>
      </c>
      <c r="F1663">
        <v>9</v>
      </c>
      <c r="G1663" s="23" t="s">
        <v>177</v>
      </c>
      <c r="H1663">
        <v>0</v>
      </c>
      <c r="I1663">
        <v>48</v>
      </c>
      <c r="J1663" s="10">
        <v>7.1054273576010019E-15</v>
      </c>
      <c r="K1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63">
        <v>0</v>
      </c>
      <c r="M16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63">
        <v>100</v>
      </c>
      <c r="O1663" s="23" t="s">
        <v>242</v>
      </c>
      <c r="P1663">
        <v>900</v>
      </c>
      <c r="Q1663" s="23" t="s">
        <v>184</v>
      </c>
    </row>
    <row r="1664" spans="1:17" x14ac:dyDescent="0.25">
      <c r="A1664" s="23" t="s">
        <v>1150</v>
      </c>
      <c r="B1664" s="23" t="s">
        <v>1145</v>
      </c>
      <c r="C1664" s="23" t="s">
        <v>176</v>
      </c>
      <c r="D1664" s="23" t="s">
        <v>350</v>
      </c>
      <c r="E1664" s="23" t="s">
        <v>351</v>
      </c>
      <c r="F1664">
        <v>0.5</v>
      </c>
      <c r="G1664" s="23" t="s">
        <v>177</v>
      </c>
      <c r="H1664">
        <v>0</v>
      </c>
      <c r="I1664">
        <v>12</v>
      </c>
      <c r="J1664" s="10">
        <v>3</v>
      </c>
      <c r="K1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664">
        <v>0</v>
      </c>
      <c r="M16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4">
        <v>130</v>
      </c>
      <c r="O1664" s="23" t="s">
        <v>227</v>
      </c>
      <c r="P1664">
        <v>65</v>
      </c>
      <c r="Q1664" s="23" t="s">
        <v>184</v>
      </c>
    </row>
    <row r="1665" spans="1:17" x14ac:dyDescent="0.25">
      <c r="A1665" s="23" t="s">
        <v>1144</v>
      </c>
      <c r="B1665" s="23" t="s">
        <v>1145</v>
      </c>
      <c r="C1665" s="23" t="s">
        <v>176</v>
      </c>
      <c r="D1665" s="23" t="s">
        <v>87</v>
      </c>
      <c r="E1665" s="23" t="s">
        <v>88</v>
      </c>
      <c r="F1665">
        <v>2.02</v>
      </c>
      <c r="G1665" s="23" t="s">
        <v>177</v>
      </c>
      <c r="H1665">
        <v>0</v>
      </c>
      <c r="I1665">
        <v>48</v>
      </c>
      <c r="J1665" s="10">
        <v>7.1054273576010019E-15</v>
      </c>
      <c r="K1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65">
        <v>0</v>
      </c>
      <c r="M16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65">
        <v>100</v>
      </c>
      <c r="O1665" s="23" t="s">
        <v>242</v>
      </c>
      <c r="P1665">
        <v>202</v>
      </c>
      <c r="Q1665" s="23" t="s">
        <v>184</v>
      </c>
    </row>
    <row r="1666" spans="1:17" x14ac:dyDescent="0.25">
      <c r="A1666" s="23" t="s">
        <v>1146</v>
      </c>
      <c r="B1666" s="23" t="s">
        <v>1145</v>
      </c>
      <c r="C1666" s="23" t="s">
        <v>176</v>
      </c>
      <c r="D1666" s="23" t="s">
        <v>87</v>
      </c>
      <c r="E1666" s="23" t="s">
        <v>88</v>
      </c>
      <c r="F1666">
        <v>2</v>
      </c>
      <c r="G1666" s="23" t="s">
        <v>177</v>
      </c>
      <c r="H1666">
        <v>0</v>
      </c>
      <c r="I1666">
        <v>48</v>
      </c>
      <c r="J1666" s="10">
        <v>7.1054273576010019E-15</v>
      </c>
      <c r="K1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66">
        <v>0</v>
      </c>
      <c r="M16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66">
        <v>100</v>
      </c>
      <c r="O1666" s="23" t="s">
        <v>242</v>
      </c>
      <c r="P1666">
        <v>200</v>
      </c>
      <c r="Q1666" s="23" t="s">
        <v>184</v>
      </c>
    </row>
    <row r="1667" spans="1:17" x14ac:dyDescent="0.25">
      <c r="A1667" s="23" t="s">
        <v>1147</v>
      </c>
      <c r="B1667" s="23" t="s">
        <v>1145</v>
      </c>
      <c r="C1667" s="23" t="s">
        <v>176</v>
      </c>
      <c r="D1667" s="23" t="s">
        <v>1192</v>
      </c>
      <c r="E1667" s="23" t="s">
        <v>1193</v>
      </c>
      <c r="F1667">
        <v>0.1</v>
      </c>
      <c r="G1667" s="23" t="s">
        <v>186</v>
      </c>
      <c r="H1667">
        <v>0</v>
      </c>
      <c r="I1667">
        <v>32</v>
      </c>
      <c r="J1667" s="10">
        <v>60</v>
      </c>
      <c r="K1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667">
        <v>0</v>
      </c>
      <c r="M16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7">
        <v>110</v>
      </c>
      <c r="O1667" s="23" t="s">
        <v>1194</v>
      </c>
      <c r="P1667">
        <v>11</v>
      </c>
      <c r="Q1667" s="23" t="s">
        <v>184</v>
      </c>
    </row>
    <row r="1668" spans="1:17" x14ac:dyDescent="0.25">
      <c r="A1668" s="23" t="s">
        <v>1058</v>
      </c>
      <c r="B1668" s="23" t="s">
        <v>1059</v>
      </c>
      <c r="C1668" s="23" t="s">
        <v>176</v>
      </c>
      <c r="D1668" s="23" t="s">
        <v>350</v>
      </c>
      <c r="E1668" s="23" t="s">
        <v>351</v>
      </c>
      <c r="F1668">
        <v>0.5</v>
      </c>
      <c r="G1668" s="23" t="s">
        <v>177</v>
      </c>
      <c r="H1668">
        <v>0</v>
      </c>
      <c r="I1668">
        <v>12</v>
      </c>
      <c r="J1668" s="10">
        <v>3</v>
      </c>
      <c r="K1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668">
        <v>0</v>
      </c>
      <c r="M16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8">
        <v>130</v>
      </c>
      <c r="O1668" s="23" t="s">
        <v>227</v>
      </c>
      <c r="P1668">
        <v>65</v>
      </c>
      <c r="Q1668" s="23" t="s">
        <v>184</v>
      </c>
    </row>
    <row r="1669" spans="1:17" x14ac:dyDescent="0.25">
      <c r="A1669" s="23" t="s">
        <v>1147</v>
      </c>
      <c r="B1669" s="23" t="s">
        <v>1145</v>
      </c>
      <c r="C1669" s="23" t="s">
        <v>176</v>
      </c>
      <c r="D1669" s="23" t="s">
        <v>350</v>
      </c>
      <c r="E1669" s="23" t="s">
        <v>351</v>
      </c>
      <c r="F1669">
        <v>0.5</v>
      </c>
      <c r="G1669" s="23" t="s">
        <v>177</v>
      </c>
      <c r="H1669">
        <v>0</v>
      </c>
      <c r="I1669">
        <v>12</v>
      </c>
      <c r="J1669" s="10">
        <v>3</v>
      </c>
      <c r="K1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669">
        <v>0</v>
      </c>
      <c r="M16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69">
        <v>130</v>
      </c>
      <c r="O1669" s="23" t="s">
        <v>227</v>
      </c>
      <c r="P1669">
        <v>65</v>
      </c>
      <c r="Q1669" s="23" t="s">
        <v>184</v>
      </c>
    </row>
    <row r="1670" spans="1:17" x14ac:dyDescent="0.25">
      <c r="A1670" s="23" t="s">
        <v>1148</v>
      </c>
      <c r="B1670" s="23" t="s">
        <v>1054</v>
      </c>
      <c r="C1670" s="23" t="s">
        <v>176</v>
      </c>
      <c r="D1670" s="23" t="s">
        <v>350</v>
      </c>
      <c r="E1670" s="23" t="s">
        <v>351</v>
      </c>
      <c r="F1670">
        <v>0.5</v>
      </c>
      <c r="G1670" s="23" t="s">
        <v>177</v>
      </c>
      <c r="H1670">
        <v>0</v>
      </c>
      <c r="I1670">
        <v>12</v>
      </c>
      <c r="J1670" s="10">
        <v>3</v>
      </c>
      <c r="K1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1670">
        <v>0</v>
      </c>
      <c r="M16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0">
        <v>130</v>
      </c>
      <c r="O1670" s="23" t="s">
        <v>227</v>
      </c>
      <c r="P1670">
        <v>65</v>
      </c>
      <c r="Q1670" s="23" t="s">
        <v>184</v>
      </c>
    </row>
    <row r="1671" spans="1:17" x14ac:dyDescent="0.25">
      <c r="A1671" s="23" t="s">
        <v>1148</v>
      </c>
      <c r="B1671" s="23" t="s">
        <v>1054</v>
      </c>
      <c r="C1671" s="23" t="s">
        <v>176</v>
      </c>
      <c r="D1671" s="23" t="s">
        <v>87</v>
      </c>
      <c r="E1671" s="23" t="s">
        <v>88</v>
      </c>
      <c r="F1671">
        <v>3</v>
      </c>
      <c r="G1671" s="23" t="s">
        <v>177</v>
      </c>
      <c r="H1671">
        <v>0</v>
      </c>
      <c r="I1671">
        <v>48</v>
      </c>
      <c r="J1671" s="10">
        <v>7.1054273576010019E-15</v>
      </c>
      <c r="K1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1">
        <v>0</v>
      </c>
      <c r="M16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1">
        <v>100</v>
      </c>
      <c r="O1671" s="23" t="s">
        <v>242</v>
      </c>
      <c r="P1671">
        <v>300</v>
      </c>
      <c r="Q1671" s="23" t="s">
        <v>184</v>
      </c>
    </row>
    <row r="1672" spans="1:17" x14ac:dyDescent="0.25">
      <c r="A1672" s="23" t="s">
        <v>1150</v>
      </c>
      <c r="B1672" s="23" t="s">
        <v>1145</v>
      </c>
      <c r="C1672" s="23" t="s">
        <v>176</v>
      </c>
      <c r="D1672" s="23" t="s">
        <v>1192</v>
      </c>
      <c r="E1672" s="23" t="s">
        <v>1193</v>
      </c>
      <c r="F1672">
        <v>0.1</v>
      </c>
      <c r="G1672" s="23" t="s">
        <v>186</v>
      </c>
      <c r="H1672">
        <v>0</v>
      </c>
      <c r="I1672">
        <v>32</v>
      </c>
      <c r="J1672" s="10">
        <v>60</v>
      </c>
      <c r="K1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-31.4</v>
      </c>
      <c r="L1672">
        <v>0</v>
      </c>
      <c r="M16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2">
        <v>110</v>
      </c>
      <c r="O1672" s="23" t="s">
        <v>1194</v>
      </c>
      <c r="P1672">
        <v>11</v>
      </c>
      <c r="Q1672" s="23" t="s">
        <v>184</v>
      </c>
    </row>
    <row r="1673" spans="1:17" x14ac:dyDescent="0.25">
      <c r="A1673" s="23" t="s">
        <v>1150</v>
      </c>
      <c r="B1673" s="23" t="s">
        <v>1145</v>
      </c>
      <c r="C1673" s="23" t="s">
        <v>176</v>
      </c>
      <c r="D1673" s="23" t="s">
        <v>87</v>
      </c>
      <c r="E1673" s="23" t="s">
        <v>88</v>
      </c>
      <c r="F1673">
        <v>2.02</v>
      </c>
      <c r="G1673" s="23" t="s">
        <v>177</v>
      </c>
      <c r="H1673">
        <v>0</v>
      </c>
      <c r="I1673">
        <v>48</v>
      </c>
      <c r="J1673" s="10">
        <v>7.1054273576010019E-15</v>
      </c>
      <c r="K1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3">
        <v>0</v>
      </c>
      <c r="M16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3">
        <v>100</v>
      </c>
      <c r="O1673" s="23" t="s">
        <v>242</v>
      </c>
      <c r="P1673">
        <v>202</v>
      </c>
      <c r="Q1673" s="23" t="s">
        <v>184</v>
      </c>
    </row>
    <row r="1674" spans="1:17" x14ac:dyDescent="0.25">
      <c r="A1674" s="23" t="s">
        <v>1058</v>
      </c>
      <c r="B1674" s="23" t="s">
        <v>1059</v>
      </c>
      <c r="C1674" s="23" t="s">
        <v>176</v>
      </c>
      <c r="D1674" s="23" t="s">
        <v>87</v>
      </c>
      <c r="E1674" s="23" t="s">
        <v>88</v>
      </c>
      <c r="F1674">
        <v>2</v>
      </c>
      <c r="G1674" s="23" t="s">
        <v>177</v>
      </c>
      <c r="H1674">
        <v>0</v>
      </c>
      <c r="I1674">
        <v>48</v>
      </c>
      <c r="J1674" s="10">
        <v>7.1054273576010019E-15</v>
      </c>
      <c r="K1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4">
        <v>0</v>
      </c>
      <c r="M16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4">
        <v>100</v>
      </c>
      <c r="O1674" s="23" t="s">
        <v>242</v>
      </c>
      <c r="P1674">
        <v>200</v>
      </c>
      <c r="Q1674" s="23" t="s">
        <v>184</v>
      </c>
    </row>
    <row r="1675" spans="1:17" x14ac:dyDescent="0.25">
      <c r="A1675" s="23" t="s">
        <v>1100</v>
      </c>
      <c r="B1675" s="23" t="s">
        <v>1101</v>
      </c>
      <c r="C1675" s="23" t="s">
        <v>176</v>
      </c>
      <c r="D1675" s="23" t="s">
        <v>87</v>
      </c>
      <c r="E1675" s="23" t="s">
        <v>88</v>
      </c>
      <c r="F1675">
        <v>4</v>
      </c>
      <c r="G1675" s="23" t="s">
        <v>177</v>
      </c>
      <c r="H1675">
        <v>0</v>
      </c>
      <c r="I1675">
        <v>48</v>
      </c>
      <c r="J1675" s="10">
        <v>7.1054273576010019E-15</v>
      </c>
      <c r="K1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5">
        <v>0</v>
      </c>
      <c r="M16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5">
        <v>100</v>
      </c>
      <c r="O1675" s="23" t="s">
        <v>242</v>
      </c>
      <c r="P1675">
        <v>400</v>
      </c>
      <c r="Q1675" s="23" t="s">
        <v>184</v>
      </c>
    </row>
    <row r="1676" spans="1:17" x14ac:dyDescent="0.25">
      <c r="A1676" s="23" t="s">
        <v>1143</v>
      </c>
      <c r="B1676" s="23" t="s">
        <v>1054</v>
      </c>
      <c r="C1676" s="23" t="s">
        <v>176</v>
      </c>
      <c r="D1676" s="23" t="s">
        <v>87</v>
      </c>
      <c r="E1676" s="23" t="s">
        <v>88</v>
      </c>
      <c r="F1676">
        <v>2</v>
      </c>
      <c r="G1676" s="23" t="s">
        <v>177</v>
      </c>
      <c r="H1676">
        <v>0</v>
      </c>
      <c r="I1676">
        <v>48</v>
      </c>
      <c r="J1676" s="10">
        <v>7.1054273576010019E-15</v>
      </c>
      <c r="K1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6">
        <v>0</v>
      </c>
      <c r="M16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6">
        <v>100</v>
      </c>
      <c r="O1676" s="23" t="s">
        <v>242</v>
      </c>
      <c r="P1676">
        <v>200</v>
      </c>
      <c r="Q1676" s="23" t="s">
        <v>184</v>
      </c>
    </row>
    <row r="1677" spans="1:17" x14ac:dyDescent="0.25">
      <c r="A1677" s="23" t="s">
        <v>1057</v>
      </c>
      <c r="B1677" s="23" t="s">
        <v>1056</v>
      </c>
      <c r="C1677" s="23" t="s">
        <v>176</v>
      </c>
      <c r="D1677" s="23" t="s">
        <v>87</v>
      </c>
      <c r="E1677" s="23" t="s">
        <v>88</v>
      </c>
      <c r="F1677">
        <v>9</v>
      </c>
      <c r="G1677" s="23" t="s">
        <v>177</v>
      </c>
      <c r="H1677">
        <v>0</v>
      </c>
      <c r="I1677">
        <v>48</v>
      </c>
      <c r="J1677" s="10">
        <v>7.1054273576010019E-15</v>
      </c>
      <c r="K1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7">
        <v>0</v>
      </c>
      <c r="M16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7">
        <v>100</v>
      </c>
      <c r="O1677" s="23" t="s">
        <v>242</v>
      </c>
      <c r="P1677">
        <v>900</v>
      </c>
      <c r="Q1677" s="23" t="s">
        <v>184</v>
      </c>
    </row>
    <row r="1678" spans="1:17" x14ac:dyDescent="0.25">
      <c r="A1678" s="23" t="s">
        <v>1096</v>
      </c>
      <c r="B1678" s="23" t="s">
        <v>1053</v>
      </c>
      <c r="C1678" s="23" t="s">
        <v>176</v>
      </c>
      <c r="D1678" s="23" t="s">
        <v>87</v>
      </c>
      <c r="E1678" s="23" t="s">
        <v>88</v>
      </c>
      <c r="F1678">
        <v>4</v>
      </c>
      <c r="G1678" s="23" t="s">
        <v>177</v>
      </c>
      <c r="H1678">
        <v>0</v>
      </c>
      <c r="I1678">
        <v>48</v>
      </c>
      <c r="J1678" s="10">
        <v>7.1054273576010019E-15</v>
      </c>
      <c r="K1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678">
        <v>0</v>
      </c>
      <c r="M16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678">
        <v>100</v>
      </c>
      <c r="O1678" s="23" t="s">
        <v>242</v>
      </c>
      <c r="P1678">
        <v>400</v>
      </c>
      <c r="Q1678" s="23" t="s">
        <v>184</v>
      </c>
    </row>
    <row r="1679" spans="1:17" x14ac:dyDescent="0.25">
      <c r="A1679" s="23" t="s">
        <v>1142</v>
      </c>
      <c r="B1679" s="23" t="s">
        <v>1054</v>
      </c>
      <c r="C1679" s="23" t="s">
        <v>176</v>
      </c>
      <c r="D1679" s="23" t="s">
        <v>38</v>
      </c>
      <c r="E1679" s="23" t="s">
        <v>39</v>
      </c>
      <c r="F1679">
        <v>2</v>
      </c>
      <c r="G1679" s="23" t="s">
        <v>177</v>
      </c>
      <c r="H1679">
        <v>0</v>
      </c>
      <c r="I1679">
        <v>306</v>
      </c>
      <c r="J1679" s="10">
        <v>11</v>
      </c>
      <c r="K1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679">
        <v>0</v>
      </c>
      <c r="M16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79">
        <v>210</v>
      </c>
      <c r="O1679" s="23" t="s">
        <v>221</v>
      </c>
      <c r="P1679">
        <v>420</v>
      </c>
      <c r="Q1679" s="23" t="s">
        <v>222</v>
      </c>
    </row>
    <row r="1680" spans="1:17" x14ac:dyDescent="0.25">
      <c r="A1680" s="23" t="s">
        <v>1149</v>
      </c>
      <c r="B1680" s="23" t="s">
        <v>1145</v>
      </c>
      <c r="C1680" s="23" t="s">
        <v>176</v>
      </c>
      <c r="D1680" s="23" t="s">
        <v>469</v>
      </c>
      <c r="E1680" s="23" t="s">
        <v>580</v>
      </c>
      <c r="F1680">
        <v>1.5</v>
      </c>
      <c r="G1680" s="23" t="s">
        <v>186</v>
      </c>
      <c r="H1680">
        <v>0</v>
      </c>
      <c r="I1680">
        <v>30</v>
      </c>
      <c r="J1680" s="10">
        <v>21.5</v>
      </c>
      <c r="K1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680">
        <v>0</v>
      </c>
      <c r="M16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680">
        <v>118.14</v>
      </c>
      <c r="O1680" s="23" t="s">
        <v>394</v>
      </c>
      <c r="P1680">
        <v>177.21</v>
      </c>
      <c r="Q1680" s="23" t="s">
        <v>184</v>
      </c>
    </row>
    <row r="1681" spans="1:17" x14ac:dyDescent="0.25">
      <c r="A1681" s="23" t="s">
        <v>1144</v>
      </c>
      <c r="B1681" s="23" t="s">
        <v>1145</v>
      </c>
      <c r="C1681" s="23" t="s">
        <v>176</v>
      </c>
      <c r="D1681" s="23" t="s">
        <v>469</v>
      </c>
      <c r="E1681" s="23" t="s">
        <v>580</v>
      </c>
      <c r="F1681">
        <v>1.5</v>
      </c>
      <c r="G1681" s="23" t="s">
        <v>186</v>
      </c>
      <c r="H1681">
        <v>0</v>
      </c>
      <c r="I1681">
        <v>30</v>
      </c>
      <c r="J1681" s="10">
        <v>21.5</v>
      </c>
      <c r="K1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681">
        <v>0</v>
      </c>
      <c r="M16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681">
        <v>118.14</v>
      </c>
      <c r="O1681" s="23" t="s">
        <v>394</v>
      </c>
      <c r="P1681">
        <v>177.21</v>
      </c>
      <c r="Q1681" s="23" t="s">
        <v>184</v>
      </c>
    </row>
    <row r="1682" spans="1:17" x14ac:dyDescent="0.25">
      <c r="A1682" s="23" t="s">
        <v>1146</v>
      </c>
      <c r="B1682" s="23" t="s">
        <v>1145</v>
      </c>
      <c r="C1682" s="23" t="s">
        <v>176</v>
      </c>
      <c r="D1682" s="23" t="s">
        <v>469</v>
      </c>
      <c r="E1682" s="23" t="s">
        <v>580</v>
      </c>
      <c r="F1682">
        <v>3</v>
      </c>
      <c r="G1682" s="23" t="s">
        <v>186</v>
      </c>
      <c r="H1682">
        <v>0</v>
      </c>
      <c r="I1682">
        <v>30</v>
      </c>
      <c r="J1682" s="10">
        <v>21.5</v>
      </c>
      <c r="K1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682">
        <v>0</v>
      </c>
      <c r="M16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682">
        <v>118.14</v>
      </c>
      <c r="O1682" s="23" t="s">
        <v>394</v>
      </c>
      <c r="P1682">
        <v>354.42</v>
      </c>
      <c r="Q1682" s="23" t="s">
        <v>184</v>
      </c>
    </row>
    <row r="1683" spans="1:17" x14ac:dyDescent="0.25">
      <c r="A1683" s="23" t="s">
        <v>1062</v>
      </c>
      <c r="B1683" s="23" t="s">
        <v>1053</v>
      </c>
      <c r="C1683" s="23" t="s">
        <v>176</v>
      </c>
      <c r="D1683" s="23" t="s">
        <v>287</v>
      </c>
      <c r="E1683" s="23" t="s">
        <v>288</v>
      </c>
      <c r="F1683">
        <v>0.4</v>
      </c>
      <c r="G1683" s="23" t="s">
        <v>186</v>
      </c>
      <c r="H1683">
        <v>0.4</v>
      </c>
      <c r="I1683">
        <v>10</v>
      </c>
      <c r="J1683" s="10">
        <v>14.129999999999992</v>
      </c>
      <c r="K1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683">
        <v>10</v>
      </c>
      <c r="M16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3">
        <v>393.83</v>
      </c>
      <c r="O1683" s="23" t="s">
        <v>491</v>
      </c>
      <c r="P1683">
        <v>157.53200000000001</v>
      </c>
      <c r="Q1683" s="23" t="s">
        <v>184</v>
      </c>
    </row>
    <row r="1684" spans="1:17" x14ac:dyDescent="0.25">
      <c r="A1684" s="23" t="s">
        <v>1097</v>
      </c>
      <c r="B1684" s="23" t="s">
        <v>1095</v>
      </c>
      <c r="C1684" s="23" t="s">
        <v>176</v>
      </c>
      <c r="D1684" s="23" t="s">
        <v>69</v>
      </c>
      <c r="E1684" s="23" t="s">
        <v>70</v>
      </c>
      <c r="F1684">
        <v>9.7099999999999991</v>
      </c>
      <c r="G1684" s="23" t="s">
        <v>186</v>
      </c>
      <c r="H1684">
        <v>0</v>
      </c>
      <c r="I1684">
        <v>181</v>
      </c>
      <c r="J1684" s="10">
        <v>-3.1263880373444408E-13</v>
      </c>
      <c r="K1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684">
        <v>46.1</v>
      </c>
      <c r="M16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4">
        <v>96.37</v>
      </c>
      <c r="O1684" s="23" t="s">
        <v>491</v>
      </c>
      <c r="P1684">
        <v>935.7527</v>
      </c>
      <c r="Q1684" s="23" t="s">
        <v>184</v>
      </c>
    </row>
    <row r="1685" spans="1:17" x14ac:dyDescent="0.25">
      <c r="A1685" s="23" t="s">
        <v>1197</v>
      </c>
      <c r="B1685" s="23" t="s">
        <v>1198</v>
      </c>
      <c r="C1685" s="23" t="s">
        <v>176</v>
      </c>
      <c r="D1685" s="23" t="s">
        <v>73</v>
      </c>
      <c r="E1685" s="23" t="s">
        <v>74</v>
      </c>
      <c r="F1685">
        <v>1</v>
      </c>
      <c r="G1685" s="23" t="s">
        <v>177</v>
      </c>
      <c r="H1685">
        <v>0</v>
      </c>
      <c r="I1685">
        <v>3</v>
      </c>
      <c r="J1685" s="10">
        <v>7</v>
      </c>
      <c r="K1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685">
        <v>0</v>
      </c>
      <c r="M16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685">
        <v>8822.93</v>
      </c>
      <c r="O1685" s="23" t="s">
        <v>635</v>
      </c>
      <c r="P1685">
        <v>8822.93</v>
      </c>
      <c r="Q1685" s="23" t="s">
        <v>179</v>
      </c>
    </row>
    <row r="1686" spans="1:17" x14ac:dyDescent="0.25">
      <c r="A1686" s="23" t="s">
        <v>1197</v>
      </c>
      <c r="B1686" s="23" t="s">
        <v>1198</v>
      </c>
      <c r="C1686" s="23" t="s">
        <v>176</v>
      </c>
      <c r="D1686" s="23" t="s">
        <v>381</v>
      </c>
      <c r="E1686" s="23" t="s">
        <v>382</v>
      </c>
      <c r="F1686">
        <v>1.1000000000000001</v>
      </c>
      <c r="G1686" s="23" t="s">
        <v>180</v>
      </c>
      <c r="H1686">
        <v>0</v>
      </c>
      <c r="I1686">
        <v>0</v>
      </c>
      <c r="J1686" s="10">
        <v>20.300000000000029</v>
      </c>
      <c r="K1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686">
        <v>0</v>
      </c>
      <c r="M16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686">
        <v>115</v>
      </c>
      <c r="O1686" s="23" t="s">
        <v>822</v>
      </c>
      <c r="P1686">
        <v>126.50000000000001</v>
      </c>
      <c r="Q1686" s="23" t="s">
        <v>179</v>
      </c>
    </row>
    <row r="1687" spans="1:17" x14ac:dyDescent="0.25">
      <c r="A1687" s="23" t="s">
        <v>1098</v>
      </c>
      <c r="B1687" s="23" t="s">
        <v>1053</v>
      </c>
      <c r="C1687" s="23" t="s">
        <v>176</v>
      </c>
      <c r="D1687" s="23" t="s">
        <v>381</v>
      </c>
      <c r="E1687" s="23" t="s">
        <v>382</v>
      </c>
      <c r="F1687">
        <v>1.2</v>
      </c>
      <c r="G1687" s="23" t="s">
        <v>180</v>
      </c>
      <c r="H1687">
        <v>0</v>
      </c>
      <c r="I1687">
        <v>0</v>
      </c>
      <c r="J1687" s="10">
        <v>20.300000000000029</v>
      </c>
      <c r="K1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687">
        <v>0</v>
      </c>
      <c r="M16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687">
        <v>115</v>
      </c>
      <c r="O1687" s="23" t="s">
        <v>822</v>
      </c>
      <c r="P1687">
        <v>138</v>
      </c>
      <c r="Q1687" s="23" t="s">
        <v>179</v>
      </c>
    </row>
    <row r="1688" spans="1:17" x14ac:dyDescent="0.25">
      <c r="A1688" s="23" t="s">
        <v>1147</v>
      </c>
      <c r="B1688" s="23" t="s">
        <v>1145</v>
      </c>
      <c r="C1688" s="23" t="s">
        <v>176</v>
      </c>
      <c r="D1688" s="23" t="s">
        <v>469</v>
      </c>
      <c r="E1688" s="23" t="s">
        <v>580</v>
      </c>
      <c r="F1688">
        <v>1.5</v>
      </c>
      <c r="G1688" s="23" t="s">
        <v>186</v>
      </c>
      <c r="H1688">
        <v>0</v>
      </c>
      <c r="I1688">
        <v>30</v>
      </c>
      <c r="J1688" s="10">
        <v>21.5</v>
      </c>
      <c r="K1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688">
        <v>0</v>
      </c>
      <c r="M16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688">
        <v>118.14</v>
      </c>
      <c r="O1688" s="23" t="s">
        <v>394</v>
      </c>
      <c r="P1688">
        <v>177.21</v>
      </c>
      <c r="Q1688" s="23" t="s">
        <v>184</v>
      </c>
    </row>
    <row r="1689" spans="1:17" x14ac:dyDescent="0.25">
      <c r="A1689" s="23" t="s">
        <v>1058</v>
      </c>
      <c r="B1689" s="23" t="s">
        <v>1059</v>
      </c>
      <c r="C1689" s="23" t="s">
        <v>176</v>
      </c>
      <c r="D1689" s="23" t="s">
        <v>75</v>
      </c>
      <c r="E1689" s="23" t="s">
        <v>76</v>
      </c>
      <c r="F1689">
        <v>3</v>
      </c>
      <c r="G1689" s="23" t="s">
        <v>177</v>
      </c>
      <c r="H1689">
        <v>0</v>
      </c>
      <c r="I1689">
        <v>24</v>
      </c>
      <c r="J1689" s="10">
        <v>30</v>
      </c>
      <c r="K1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89">
        <v>50</v>
      </c>
      <c r="M16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89">
        <v>37</v>
      </c>
      <c r="O1689" s="23" t="s">
        <v>822</v>
      </c>
      <c r="P1689">
        <v>111</v>
      </c>
      <c r="Q1689" s="23" t="s">
        <v>179</v>
      </c>
    </row>
    <row r="1690" spans="1:17" x14ac:dyDescent="0.25">
      <c r="A1690" s="23" t="s">
        <v>1055</v>
      </c>
      <c r="B1690" s="23" t="s">
        <v>1056</v>
      </c>
      <c r="C1690" s="23" t="s">
        <v>176</v>
      </c>
      <c r="D1690" s="23" t="s">
        <v>75</v>
      </c>
      <c r="E1690" s="23" t="s">
        <v>76</v>
      </c>
      <c r="F1690">
        <v>3</v>
      </c>
      <c r="G1690" s="23" t="s">
        <v>177</v>
      </c>
      <c r="H1690">
        <v>0</v>
      </c>
      <c r="I1690">
        <v>24</v>
      </c>
      <c r="J1690" s="10">
        <v>30</v>
      </c>
      <c r="K1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90">
        <v>50</v>
      </c>
      <c r="M16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0">
        <v>37</v>
      </c>
      <c r="O1690" s="23" t="s">
        <v>822</v>
      </c>
      <c r="P1690">
        <v>111</v>
      </c>
      <c r="Q1690" s="23" t="s">
        <v>179</v>
      </c>
    </row>
    <row r="1691" spans="1:17" x14ac:dyDescent="0.25">
      <c r="A1691" s="23" t="s">
        <v>1147</v>
      </c>
      <c r="B1691" s="23" t="s">
        <v>1145</v>
      </c>
      <c r="C1691" s="23" t="s">
        <v>176</v>
      </c>
      <c r="D1691" s="23" t="s">
        <v>824</v>
      </c>
      <c r="E1691" s="23" t="s">
        <v>825</v>
      </c>
      <c r="F1691">
        <v>8</v>
      </c>
      <c r="G1691" s="23" t="s">
        <v>177</v>
      </c>
      <c r="H1691">
        <v>0</v>
      </c>
      <c r="I1691">
        <v>175</v>
      </c>
      <c r="J1691" s="10">
        <v>0</v>
      </c>
      <c r="K1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691">
        <v>0</v>
      </c>
      <c r="M16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1">
        <v>8.42</v>
      </c>
      <c r="O1691" s="23" t="s">
        <v>883</v>
      </c>
      <c r="P1691">
        <v>67.36</v>
      </c>
      <c r="Q1691" s="23" t="s">
        <v>179</v>
      </c>
    </row>
    <row r="1692" spans="1:17" x14ac:dyDescent="0.25">
      <c r="A1692" s="23" t="s">
        <v>1099</v>
      </c>
      <c r="B1692" s="23" t="s">
        <v>1056</v>
      </c>
      <c r="C1692" s="23" t="s">
        <v>176</v>
      </c>
      <c r="D1692" s="23" t="s">
        <v>824</v>
      </c>
      <c r="E1692" s="23" t="s">
        <v>825</v>
      </c>
      <c r="F1692">
        <v>8</v>
      </c>
      <c r="G1692" s="23" t="s">
        <v>177</v>
      </c>
      <c r="H1692">
        <v>0</v>
      </c>
      <c r="I1692">
        <v>175</v>
      </c>
      <c r="J1692" s="10">
        <v>0</v>
      </c>
      <c r="K1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692">
        <v>0</v>
      </c>
      <c r="M16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2">
        <v>8.42</v>
      </c>
      <c r="O1692" s="23" t="s">
        <v>883</v>
      </c>
      <c r="P1692">
        <v>67.36</v>
      </c>
      <c r="Q1692" s="23" t="s">
        <v>179</v>
      </c>
    </row>
    <row r="1693" spans="1:17" x14ac:dyDescent="0.25">
      <c r="A1693" s="23" t="s">
        <v>1147</v>
      </c>
      <c r="B1693" s="23" t="s">
        <v>1145</v>
      </c>
      <c r="C1693" s="23" t="s">
        <v>176</v>
      </c>
      <c r="D1693" s="23" t="s">
        <v>313</v>
      </c>
      <c r="E1693" s="23" t="s">
        <v>314</v>
      </c>
      <c r="F1693">
        <v>4</v>
      </c>
      <c r="G1693" s="23" t="s">
        <v>180</v>
      </c>
      <c r="H1693">
        <v>0</v>
      </c>
      <c r="I1693">
        <v>125</v>
      </c>
      <c r="J1693" s="10">
        <v>16.500000000000028</v>
      </c>
      <c r="K1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93">
        <v>0</v>
      </c>
      <c r="M16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3">
        <v>80.84</v>
      </c>
      <c r="O1693" s="23" t="s">
        <v>315</v>
      </c>
      <c r="P1693">
        <v>323.36</v>
      </c>
      <c r="Q1693" s="23" t="s">
        <v>179</v>
      </c>
    </row>
    <row r="1694" spans="1:17" x14ac:dyDescent="0.25">
      <c r="A1694" s="23" t="s">
        <v>1099</v>
      </c>
      <c r="B1694" s="23" t="s">
        <v>1056</v>
      </c>
      <c r="C1694" s="23" t="s">
        <v>176</v>
      </c>
      <c r="D1694" s="23" t="s">
        <v>313</v>
      </c>
      <c r="E1694" s="23" t="s">
        <v>314</v>
      </c>
      <c r="F1694">
        <v>4</v>
      </c>
      <c r="G1694" s="23" t="s">
        <v>180</v>
      </c>
      <c r="H1694">
        <v>0</v>
      </c>
      <c r="I1694">
        <v>125</v>
      </c>
      <c r="J1694" s="10">
        <v>16.500000000000028</v>
      </c>
      <c r="K1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94">
        <v>0</v>
      </c>
      <c r="M16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4">
        <v>80.84</v>
      </c>
      <c r="O1694" s="23" t="s">
        <v>315</v>
      </c>
      <c r="P1694">
        <v>323.36</v>
      </c>
      <c r="Q1694" s="23" t="s">
        <v>179</v>
      </c>
    </row>
    <row r="1695" spans="1:17" x14ac:dyDescent="0.25">
      <c r="A1695" s="23" t="s">
        <v>1148</v>
      </c>
      <c r="B1695" s="23" t="s">
        <v>1054</v>
      </c>
      <c r="C1695" s="23" t="s">
        <v>176</v>
      </c>
      <c r="D1695" s="23" t="s">
        <v>313</v>
      </c>
      <c r="E1695" s="23" t="s">
        <v>314</v>
      </c>
      <c r="F1695">
        <v>5</v>
      </c>
      <c r="G1695" s="23" t="s">
        <v>180</v>
      </c>
      <c r="H1695">
        <v>0</v>
      </c>
      <c r="I1695">
        <v>125</v>
      </c>
      <c r="J1695" s="10">
        <v>16.500000000000028</v>
      </c>
      <c r="K1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95">
        <v>0</v>
      </c>
      <c r="M16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5">
        <v>80.84</v>
      </c>
      <c r="O1695" s="23" t="s">
        <v>315</v>
      </c>
      <c r="P1695">
        <v>404.20000000000005</v>
      </c>
      <c r="Q1695" s="23" t="s">
        <v>179</v>
      </c>
    </row>
    <row r="1696" spans="1:17" x14ac:dyDescent="0.25">
      <c r="A1696" s="23" t="s">
        <v>1096</v>
      </c>
      <c r="B1696" s="23" t="s">
        <v>1053</v>
      </c>
      <c r="C1696" s="23" t="s">
        <v>176</v>
      </c>
      <c r="D1696" s="23" t="s">
        <v>313</v>
      </c>
      <c r="E1696" s="23" t="s">
        <v>314</v>
      </c>
      <c r="F1696">
        <v>12</v>
      </c>
      <c r="G1696" s="23" t="s">
        <v>180</v>
      </c>
      <c r="H1696">
        <v>0</v>
      </c>
      <c r="I1696">
        <v>125</v>
      </c>
      <c r="J1696" s="10">
        <v>16.500000000000028</v>
      </c>
      <c r="K1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96">
        <v>0</v>
      </c>
      <c r="M16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6">
        <v>80.84</v>
      </c>
      <c r="O1696" s="23" t="s">
        <v>315</v>
      </c>
      <c r="P1696">
        <v>970.08</v>
      </c>
      <c r="Q1696" s="23" t="s">
        <v>179</v>
      </c>
    </row>
    <row r="1697" spans="1:17" x14ac:dyDescent="0.25">
      <c r="A1697" s="23" t="s">
        <v>1094</v>
      </c>
      <c r="B1697" s="23" t="s">
        <v>1095</v>
      </c>
      <c r="C1697" s="23" t="s">
        <v>176</v>
      </c>
      <c r="D1697" s="23" t="s">
        <v>308</v>
      </c>
      <c r="E1697" s="23" t="s">
        <v>309</v>
      </c>
      <c r="F1697">
        <v>2</v>
      </c>
      <c r="G1697" s="23" t="s">
        <v>177</v>
      </c>
      <c r="H1697">
        <v>0</v>
      </c>
      <c r="I1697">
        <v>13</v>
      </c>
      <c r="J1697" s="10">
        <v>1</v>
      </c>
      <c r="K1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697">
        <v>0</v>
      </c>
      <c r="M16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697">
        <v>65.42</v>
      </c>
      <c r="O1697" s="23" t="s">
        <v>629</v>
      </c>
      <c r="P1697">
        <v>130.84</v>
      </c>
      <c r="Q1697" s="23" t="s">
        <v>179</v>
      </c>
    </row>
    <row r="1698" spans="1:17" x14ac:dyDescent="0.25">
      <c r="A1698" s="23" t="s">
        <v>1096</v>
      </c>
      <c r="B1698" s="23" t="s">
        <v>1053</v>
      </c>
      <c r="C1698" s="23" t="s">
        <v>176</v>
      </c>
      <c r="D1698" s="23" t="s">
        <v>308</v>
      </c>
      <c r="E1698" s="23" t="s">
        <v>309</v>
      </c>
      <c r="F1698">
        <v>3</v>
      </c>
      <c r="G1698" s="23" t="s">
        <v>177</v>
      </c>
      <c r="H1698">
        <v>0</v>
      </c>
      <c r="I1698">
        <v>13</v>
      </c>
      <c r="J1698" s="10">
        <v>1</v>
      </c>
      <c r="K1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698">
        <v>0</v>
      </c>
      <c r="M16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698">
        <v>65.42</v>
      </c>
      <c r="O1698" s="23" t="s">
        <v>629</v>
      </c>
      <c r="P1698">
        <v>196.26</v>
      </c>
      <c r="Q1698" s="23" t="s">
        <v>179</v>
      </c>
    </row>
    <row r="1699" spans="1:17" x14ac:dyDescent="0.25">
      <c r="A1699" s="23" t="s">
        <v>1055</v>
      </c>
      <c r="B1699" s="23" t="s">
        <v>1056</v>
      </c>
      <c r="C1699" s="23" t="s">
        <v>176</v>
      </c>
      <c r="D1699" s="23" t="s">
        <v>313</v>
      </c>
      <c r="E1699" s="23" t="s">
        <v>314</v>
      </c>
      <c r="F1699">
        <v>4</v>
      </c>
      <c r="G1699" s="23" t="s">
        <v>180</v>
      </c>
      <c r="H1699">
        <v>0</v>
      </c>
      <c r="I1699">
        <v>125</v>
      </c>
      <c r="J1699" s="10">
        <v>16.500000000000028</v>
      </c>
      <c r="K1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699">
        <v>0</v>
      </c>
      <c r="M16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699">
        <v>80.84</v>
      </c>
      <c r="O1699" s="23" t="s">
        <v>315</v>
      </c>
      <c r="P1699">
        <v>323.36</v>
      </c>
      <c r="Q1699" s="23" t="s">
        <v>179</v>
      </c>
    </row>
    <row r="1700" spans="1:17" x14ac:dyDescent="0.25">
      <c r="A1700" s="23" t="s">
        <v>1057</v>
      </c>
      <c r="B1700" s="23" t="s">
        <v>1056</v>
      </c>
      <c r="C1700" s="23" t="s">
        <v>176</v>
      </c>
      <c r="D1700" s="23" t="s">
        <v>824</v>
      </c>
      <c r="E1700" s="23" t="s">
        <v>825</v>
      </c>
      <c r="F1700">
        <v>8</v>
      </c>
      <c r="G1700" s="23" t="s">
        <v>177</v>
      </c>
      <c r="H1700">
        <v>0</v>
      </c>
      <c r="I1700">
        <v>175</v>
      </c>
      <c r="J1700" s="10">
        <v>0</v>
      </c>
      <c r="K1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700">
        <v>0</v>
      </c>
      <c r="M17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0">
        <v>8.42</v>
      </c>
      <c r="O1700" s="23" t="s">
        <v>883</v>
      </c>
      <c r="P1700">
        <v>67.36</v>
      </c>
      <c r="Q1700" s="23" t="s">
        <v>179</v>
      </c>
    </row>
    <row r="1701" spans="1:17" x14ac:dyDescent="0.25">
      <c r="A1701" s="23" t="s">
        <v>1094</v>
      </c>
      <c r="B1701" s="23" t="s">
        <v>1095</v>
      </c>
      <c r="C1701" s="23" t="s">
        <v>176</v>
      </c>
      <c r="D1701" s="23" t="s">
        <v>313</v>
      </c>
      <c r="E1701" s="23" t="s">
        <v>314</v>
      </c>
      <c r="F1701">
        <v>5</v>
      </c>
      <c r="G1701" s="23" t="s">
        <v>180</v>
      </c>
      <c r="H1701">
        <v>0</v>
      </c>
      <c r="I1701">
        <v>125</v>
      </c>
      <c r="J1701" s="10">
        <v>16.500000000000028</v>
      </c>
      <c r="K1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01">
        <v>0</v>
      </c>
      <c r="M17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1">
        <v>80.84</v>
      </c>
      <c r="O1701" s="23" t="s">
        <v>315</v>
      </c>
      <c r="P1701">
        <v>404.20000000000005</v>
      </c>
      <c r="Q1701" s="23" t="s">
        <v>179</v>
      </c>
    </row>
    <row r="1702" spans="1:17" x14ac:dyDescent="0.25">
      <c r="A1702" s="23" t="s">
        <v>1057</v>
      </c>
      <c r="B1702" s="23" t="s">
        <v>1056</v>
      </c>
      <c r="C1702" s="23" t="s">
        <v>176</v>
      </c>
      <c r="D1702" s="23" t="s">
        <v>313</v>
      </c>
      <c r="E1702" s="23" t="s">
        <v>314</v>
      </c>
      <c r="F1702">
        <v>4</v>
      </c>
      <c r="G1702" s="23" t="s">
        <v>180</v>
      </c>
      <c r="H1702">
        <v>0</v>
      </c>
      <c r="I1702">
        <v>125</v>
      </c>
      <c r="J1702" s="10">
        <v>16.500000000000028</v>
      </c>
      <c r="K1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02">
        <v>0</v>
      </c>
      <c r="M17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2">
        <v>80.84</v>
      </c>
      <c r="O1702" s="23" t="s">
        <v>315</v>
      </c>
      <c r="P1702">
        <v>323.36</v>
      </c>
      <c r="Q1702" s="23" t="s">
        <v>179</v>
      </c>
    </row>
    <row r="1703" spans="1:17" x14ac:dyDescent="0.25">
      <c r="A1703" s="23" t="s">
        <v>1143</v>
      </c>
      <c r="B1703" s="23" t="s">
        <v>1054</v>
      </c>
      <c r="C1703" s="23" t="s">
        <v>176</v>
      </c>
      <c r="D1703" s="23" t="s">
        <v>313</v>
      </c>
      <c r="E1703" s="23" t="s">
        <v>314</v>
      </c>
      <c r="F1703">
        <v>5</v>
      </c>
      <c r="G1703" s="23" t="s">
        <v>180</v>
      </c>
      <c r="H1703">
        <v>0</v>
      </c>
      <c r="I1703">
        <v>125</v>
      </c>
      <c r="J1703" s="10">
        <v>16.500000000000028</v>
      </c>
      <c r="K1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03">
        <v>0</v>
      </c>
      <c r="M17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3">
        <v>80.84</v>
      </c>
      <c r="O1703" s="23" t="s">
        <v>315</v>
      </c>
      <c r="P1703">
        <v>404.20000000000005</v>
      </c>
      <c r="Q1703" s="23" t="s">
        <v>179</v>
      </c>
    </row>
    <row r="1704" spans="1:17" x14ac:dyDescent="0.25">
      <c r="A1704" s="23" t="s">
        <v>1057</v>
      </c>
      <c r="B1704" s="23" t="s">
        <v>1056</v>
      </c>
      <c r="C1704" s="23" t="s">
        <v>176</v>
      </c>
      <c r="D1704" s="23" t="s">
        <v>308</v>
      </c>
      <c r="E1704" s="23" t="s">
        <v>309</v>
      </c>
      <c r="F1704">
        <v>2</v>
      </c>
      <c r="G1704" s="23" t="s">
        <v>177</v>
      </c>
      <c r="H1704">
        <v>0</v>
      </c>
      <c r="I1704">
        <v>13</v>
      </c>
      <c r="J1704" s="10">
        <v>1</v>
      </c>
      <c r="K1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704">
        <v>0</v>
      </c>
      <c r="M17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704">
        <v>65.42</v>
      </c>
      <c r="O1704" s="23" t="s">
        <v>629</v>
      </c>
      <c r="P1704">
        <v>130.84</v>
      </c>
      <c r="Q1704" s="23" t="s">
        <v>179</v>
      </c>
    </row>
    <row r="1705" spans="1:17" x14ac:dyDescent="0.25">
      <c r="A1705" s="23" t="s">
        <v>1143</v>
      </c>
      <c r="B1705" s="23" t="s">
        <v>1054</v>
      </c>
      <c r="C1705" s="23" t="s">
        <v>176</v>
      </c>
      <c r="D1705" s="23" t="s">
        <v>308</v>
      </c>
      <c r="E1705" s="23" t="s">
        <v>309</v>
      </c>
      <c r="F1705">
        <v>3</v>
      </c>
      <c r="G1705" s="23" t="s">
        <v>177</v>
      </c>
      <c r="H1705">
        <v>0</v>
      </c>
      <c r="I1705">
        <v>13</v>
      </c>
      <c r="J1705" s="10">
        <v>1</v>
      </c>
      <c r="K1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705">
        <v>0</v>
      </c>
      <c r="M17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705">
        <v>65.42</v>
      </c>
      <c r="O1705" s="23" t="s">
        <v>629</v>
      </c>
      <c r="P1705">
        <v>196.26</v>
      </c>
      <c r="Q1705" s="23" t="s">
        <v>179</v>
      </c>
    </row>
    <row r="1706" spans="1:17" x14ac:dyDescent="0.25">
      <c r="A1706" s="23" t="s">
        <v>1143</v>
      </c>
      <c r="B1706" s="23" t="s">
        <v>1054</v>
      </c>
      <c r="C1706" s="23" t="s">
        <v>176</v>
      </c>
      <c r="D1706" s="23" t="s">
        <v>36</v>
      </c>
      <c r="E1706" s="23" t="s">
        <v>37</v>
      </c>
      <c r="F1706">
        <v>3</v>
      </c>
      <c r="G1706" s="23" t="s">
        <v>177</v>
      </c>
      <c r="H1706">
        <v>0</v>
      </c>
      <c r="I1706">
        <v>35</v>
      </c>
      <c r="J1706" s="10">
        <v>24</v>
      </c>
      <c r="K1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706">
        <v>0</v>
      </c>
      <c r="M17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706">
        <v>1750</v>
      </c>
      <c r="O1706" s="23" t="s">
        <v>1221</v>
      </c>
      <c r="P1706">
        <v>5250</v>
      </c>
      <c r="Q1706" s="23" t="s">
        <v>222</v>
      </c>
    </row>
    <row r="1707" spans="1:17" x14ac:dyDescent="0.25">
      <c r="A1707" s="23" t="s">
        <v>1057</v>
      </c>
      <c r="B1707" s="23" t="s">
        <v>1056</v>
      </c>
      <c r="C1707" s="23" t="s">
        <v>176</v>
      </c>
      <c r="D1707" s="23" t="s">
        <v>36</v>
      </c>
      <c r="E1707" s="23" t="s">
        <v>37</v>
      </c>
      <c r="F1707">
        <v>3</v>
      </c>
      <c r="G1707" s="23" t="s">
        <v>177</v>
      </c>
      <c r="H1707">
        <v>0</v>
      </c>
      <c r="I1707">
        <v>35</v>
      </c>
      <c r="J1707" s="10">
        <v>24</v>
      </c>
      <c r="K1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707">
        <v>0</v>
      </c>
      <c r="M17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707">
        <v>1750</v>
      </c>
      <c r="O1707" s="23" t="s">
        <v>1221</v>
      </c>
      <c r="P1707">
        <v>5250</v>
      </c>
      <c r="Q1707" s="23" t="s">
        <v>222</v>
      </c>
    </row>
    <row r="1708" spans="1:17" x14ac:dyDescent="0.25">
      <c r="A1708" s="23" t="s">
        <v>1096</v>
      </c>
      <c r="B1708" s="23" t="s">
        <v>1053</v>
      </c>
      <c r="C1708" s="23" t="s">
        <v>176</v>
      </c>
      <c r="D1708" s="23" t="s">
        <v>36</v>
      </c>
      <c r="E1708" s="23" t="s">
        <v>37</v>
      </c>
      <c r="F1708">
        <v>3</v>
      </c>
      <c r="G1708" s="23" t="s">
        <v>177</v>
      </c>
      <c r="H1708">
        <v>0</v>
      </c>
      <c r="I1708">
        <v>35</v>
      </c>
      <c r="J1708" s="10">
        <v>24</v>
      </c>
      <c r="K1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708">
        <v>0</v>
      </c>
      <c r="M17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708">
        <v>1750</v>
      </c>
      <c r="O1708" s="23" t="s">
        <v>1221</v>
      </c>
      <c r="P1708">
        <v>5250</v>
      </c>
      <c r="Q1708" s="23" t="s">
        <v>222</v>
      </c>
    </row>
    <row r="1709" spans="1:17" x14ac:dyDescent="0.25">
      <c r="A1709" s="23" t="s">
        <v>1143</v>
      </c>
      <c r="B1709" s="23" t="s">
        <v>1054</v>
      </c>
      <c r="C1709" s="23" t="s">
        <v>176</v>
      </c>
      <c r="D1709" s="23" t="s">
        <v>240</v>
      </c>
      <c r="E1709" s="23" t="s">
        <v>241</v>
      </c>
      <c r="F1709">
        <v>3.71</v>
      </c>
      <c r="G1709" s="23" t="s">
        <v>186</v>
      </c>
      <c r="H1709">
        <v>0</v>
      </c>
      <c r="I1709">
        <v>110</v>
      </c>
      <c r="J1709" s="10">
        <v>57.22</v>
      </c>
      <c r="K1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709">
        <v>0</v>
      </c>
      <c r="M17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09">
        <v>40</v>
      </c>
      <c r="O1709" s="23" t="s">
        <v>242</v>
      </c>
      <c r="P1709">
        <v>148.4</v>
      </c>
      <c r="Q1709" s="23" t="s">
        <v>181</v>
      </c>
    </row>
    <row r="1710" spans="1:17" x14ac:dyDescent="0.25">
      <c r="A1710" s="23" t="s">
        <v>1150</v>
      </c>
      <c r="B1710" s="23" t="s">
        <v>1145</v>
      </c>
      <c r="C1710" s="23" t="s">
        <v>176</v>
      </c>
      <c r="D1710" s="23" t="s">
        <v>240</v>
      </c>
      <c r="E1710" s="23" t="s">
        <v>241</v>
      </c>
      <c r="F1710">
        <v>2.8</v>
      </c>
      <c r="G1710" s="23" t="s">
        <v>186</v>
      </c>
      <c r="H1710">
        <v>0</v>
      </c>
      <c r="I1710">
        <v>110</v>
      </c>
      <c r="J1710" s="10">
        <v>57.22</v>
      </c>
      <c r="K1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710">
        <v>0</v>
      </c>
      <c r="M17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0">
        <v>40</v>
      </c>
      <c r="O1710" s="23" t="s">
        <v>242</v>
      </c>
      <c r="P1710">
        <v>112</v>
      </c>
      <c r="Q1710" s="23" t="s">
        <v>181</v>
      </c>
    </row>
    <row r="1711" spans="1:17" x14ac:dyDescent="0.25">
      <c r="A1711" s="23" t="s">
        <v>1142</v>
      </c>
      <c r="B1711" s="23" t="s">
        <v>1054</v>
      </c>
      <c r="C1711" s="23" t="s">
        <v>176</v>
      </c>
      <c r="D1711" s="23" t="s">
        <v>313</v>
      </c>
      <c r="E1711" s="23" t="s">
        <v>314</v>
      </c>
      <c r="F1711">
        <v>4</v>
      </c>
      <c r="G1711" s="23" t="s">
        <v>180</v>
      </c>
      <c r="H1711">
        <v>0</v>
      </c>
      <c r="I1711">
        <v>125</v>
      </c>
      <c r="J1711" s="10">
        <v>16.500000000000028</v>
      </c>
      <c r="K1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11">
        <v>0</v>
      </c>
      <c r="M17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1">
        <v>80.84</v>
      </c>
      <c r="O1711" s="23" t="s">
        <v>315</v>
      </c>
      <c r="P1711">
        <v>323.36</v>
      </c>
      <c r="Q1711" s="23" t="s">
        <v>179</v>
      </c>
    </row>
    <row r="1712" spans="1:17" x14ac:dyDescent="0.25">
      <c r="A1712" s="23" t="s">
        <v>1142</v>
      </c>
      <c r="B1712" s="23" t="s">
        <v>1054</v>
      </c>
      <c r="C1712" s="23" t="s">
        <v>176</v>
      </c>
      <c r="D1712" s="23" t="s">
        <v>240</v>
      </c>
      <c r="E1712" s="23" t="s">
        <v>241</v>
      </c>
      <c r="F1712">
        <v>2.8</v>
      </c>
      <c r="G1712" s="23" t="s">
        <v>186</v>
      </c>
      <c r="H1712">
        <v>0</v>
      </c>
      <c r="I1712">
        <v>110</v>
      </c>
      <c r="J1712" s="10">
        <v>57.22</v>
      </c>
      <c r="K1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712">
        <v>0</v>
      </c>
      <c r="M17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2">
        <v>40</v>
      </c>
      <c r="O1712" s="23" t="s">
        <v>242</v>
      </c>
      <c r="P1712">
        <v>112</v>
      </c>
      <c r="Q1712" s="23" t="s">
        <v>181</v>
      </c>
    </row>
    <row r="1713" spans="1:17" x14ac:dyDescent="0.25">
      <c r="A1713" s="23" t="s">
        <v>1146</v>
      </c>
      <c r="B1713" s="23" t="s">
        <v>1145</v>
      </c>
      <c r="C1713" s="23" t="s">
        <v>176</v>
      </c>
      <c r="D1713" s="23" t="s">
        <v>308</v>
      </c>
      <c r="E1713" s="23" t="s">
        <v>309</v>
      </c>
      <c r="F1713">
        <v>1</v>
      </c>
      <c r="G1713" s="23" t="s">
        <v>177</v>
      </c>
      <c r="H1713">
        <v>0</v>
      </c>
      <c r="I1713">
        <v>13</v>
      </c>
      <c r="J1713" s="10">
        <v>1</v>
      </c>
      <c r="K1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713">
        <v>0</v>
      </c>
      <c r="M17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713">
        <v>65.42</v>
      </c>
      <c r="O1713" s="23" t="s">
        <v>629</v>
      </c>
      <c r="P1713">
        <v>65.42</v>
      </c>
      <c r="Q1713" s="23" t="s">
        <v>179</v>
      </c>
    </row>
    <row r="1714" spans="1:17" x14ac:dyDescent="0.25">
      <c r="A1714" s="23" t="s">
        <v>1146</v>
      </c>
      <c r="B1714" s="23" t="s">
        <v>1145</v>
      </c>
      <c r="C1714" s="23" t="s">
        <v>176</v>
      </c>
      <c r="D1714" s="23" t="s">
        <v>36</v>
      </c>
      <c r="E1714" s="23" t="s">
        <v>37</v>
      </c>
      <c r="F1714">
        <v>3</v>
      </c>
      <c r="G1714" s="23" t="s">
        <v>177</v>
      </c>
      <c r="H1714">
        <v>0</v>
      </c>
      <c r="I1714">
        <v>35</v>
      </c>
      <c r="J1714" s="10">
        <v>24</v>
      </c>
      <c r="K1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714">
        <v>0</v>
      </c>
      <c r="M17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714">
        <v>1750</v>
      </c>
      <c r="O1714" s="23" t="s">
        <v>1221</v>
      </c>
      <c r="P1714">
        <v>5250</v>
      </c>
      <c r="Q1714" s="23" t="s">
        <v>222</v>
      </c>
    </row>
    <row r="1715" spans="1:17" x14ac:dyDescent="0.25">
      <c r="A1715" s="23" t="s">
        <v>1144</v>
      </c>
      <c r="B1715" s="23" t="s">
        <v>1145</v>
      </c>
      <c r="C1715" s="23" t="s">
        <v>176</v>
      </c>
      <c r="D1715" s="23" t="s">
        <v>36</v>
      </c>
      <c r="E1715" s="23" t="s">
        <v>37</v>
      </c>
      <c r="F1715">
        <v>3</v>
      </c>
      <c r="G1715" s="23" t="s">
        <v>177</v>
      </c>
      <c r="H1715">
        <v>0</v>
      </c>
      <c r="I1715">
        <v>35</v>
      </c>
      <c r="J1715" s="10">
        <v>24</v>
      </c>
      <c r="K1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715">
        <v>0</v>
      </c>
      <c r="M17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715">
        <v>1750</v>
      </c>
      <c r="O1715" s="23" t="s">
        <v>1221</v>
      </c>
      <c r="P1715">
        <v>5250</v>
      </c>
      <c r="Q1715" s="23" t="s">
        <v>222</v>
      </c>
    </row>
    <row r="1716" spans="1:17" x14ac:dyDescent="0.25">
      <c r="A1716" s="23" t="s">
        <v>1144</v>
      </c>
      <c r="B1716" s="23" t="s">
        <v>1145</v>
      </c>
      <c r="C1716" s="23" t="s">
        <v>176</v>
      </c>
      <c r="D1716" s="23" t="s">
        <v>240</v>
      </c>
      <c r="E1716" s="23" t="s">
        <v>241</v>
      </c>
      <c r="F1716">
        <v>2.8</v>
      </c>
      <c r="G1716" s="23" t="s">
        <v>186</v>
      </c>
      <c r="H1716">
        <v>0</v>
      </c>
      <c r="I1716">
        <v>110</v>
      </c>
      <c r="J1716" s="10">
        <v>57.22</v>
      </c>
      <c r="K1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716">
        <v>0</v>
      </c>
      <c r="M17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6">
        <v>40</v>
      </c>
      <c r="O1716" s="23" t="s">
        <v>242</v>
      </c>
      <c r="P1716">
        <v>112</v>
      </c>
      <c r="Q1716" s="23" t="s">
        <v>181</v>
      </c>
    </row>
    <row r="1717" spans="1:17" x14ac:dyDescent="0.25">
      <c r="A1717" s="23" t="s">
        <v>1144</v>
      </c>
      <c r="B1717" s="23" t="s">
        <v>1145</v>
      </c>
      <c r="C1717" s="23" t="s">
        <v>176</v>
      </c>
      <c r="D1717" s="23" t="s">
        <v>961</v>
      </c>
      <c r="E1717" s="23" t="s">
        <v>962</v>
      </c>
      <c r="F1717">
        <v>1</v>
      </c>
      <c r="G1717" s="23" t="s">
        <v>177</v>
      </c>
      <c r="H1717">
        <v>0</v>
      </c>
      <c r="I1717">
        <v>4</v>
      </c>
      <c r="J1717" s="10">
        <v>2</v>
      </c>
      <c r="K1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717">
        <v>0</v>
      </c>
      <c r="M17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7">
        <v>2249.17</v>
      </c>
      <c r="O1717" s="23" t="s">
        <v>1072</v>
      </c>
      <c r="P1717">
        <v>2249.17</v>
      </c>
      <c r="Q1717" s="23" t="s">
        <v>178</v>
      </c>
    </row>
    <row r="1718" spans="1:17" x14ac:dyDescent="0.25">
      <c r="A1718" s="23" t="s">
        <v>1062</v>
      </c>
      <c r="B1718" s="23" t="s">
        <v>1053</v>
      </c>
      <c r="C1718" s="23" t="s">
        <v>176</v>
      </c>
      <c r="D1718" s="23" t="s">
        <v>308</v>
      </c>
      <c r="E1718" s="23" t="s">
        <v>309</v>
      </c>
      <c r="F1718">
        <v>3</v>
      </c>
      <c r="G1718" s="23" t="s">
        <v>177</v>
      </c>
      <c r="H1718">
        <v>0</v>
      </c>
      <c r="I1718">
        <v>13</v>
      </c>
      <c r="J1718" s="10">
        <v>1</v>
      </c>
      <c r="K1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718">
        <v>0</v>
      </c>
      <c r="M17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718">
        <v>65.42</v>
      </c>
      <c r="O1718" s="23" t="s">
        <v>629</v>
      </c>
      <c r="P1718">
        <v>196.26</v>
      </c>
      <c r="Q1718" s="23" t="s">
        <v>179</v>
      </c>
    </row>
    <row r="1719" spans="1:17" x14ac:dyDescent="0.25">
      <c r="A1719" s="23" t="s">
        <v>1094</v>
      </c>
      <c r="B1719" s="23" t="s">
        <v>1095</v>
      </c>
      <c r="C1719" s="23" t="s">
        <v>176</v>
      </c>
      <c r="D1719" s="23" t="s">
        <v>209</v>
      </c>
      <c r="E1719" s="23" t="s">
        <v>286</v>
      </c>
      <c r="F1719">
        <v>25</v>
      </c>
      <c r="G1719" s="23" t="s">
        <v>177</v>
      </c>
      <c r="H1719">
        <v>0</v>
      </c>
      <c r="I1719">
        <v>2600</v>
      </c>
      <c r="J1719" s="10">
        <v>292</v>
      </c>
      <c r="K1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719">
        <v>0</v>
      </c>
      <c r="M17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19">
        <v>0.4</v>
      </c>
      <c r="O1719" s="23" t="s">
        <v>242</v>
      </c>
      <c r="P1719">
        <v>10</v>
      </c>
      <c r="Q1719" s="23" t="s">
        <v>181</v>
      </c>
    </row>
    <row r="1720" spans="1:17" x14ac:dyDescent="0.25">
      <c r="A1720" s="23" t="s">
        <v>1096</v>
      </c>
      <c r="B1720" s="23" t="s">
        <v>1053</v>
      </c>
      <c r="C1720" s="23" t="s">
        <v>176</v>
      </c>
      <c r="D1720" s="23" t="s">
        <v>209</v>
      </c>
      <c r="E1720" s="23" t="s">
        <v>286</v>
      </c>
      <c r="F1720">
        <v>81</v>
      </c>
      <c r="G1720" s="23" t="s">
        <v>177</v>
      </c>
      <c r="H1720">
        <v>0</v>
      </c>
      <c r="I1720">
        <v>2600</v>
      </c>
      <c r="J1720" s="10">
        <v>292</v>
      </c>
      <c r="K1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720">
        <v>0</v>
      </c>
      <c r="M17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0">
        <v>0.4</v>
      </c>
      <c r="O1720" s="23" t="s">
        <v>242</v>
      </c>
      <c r="P1720">
        <v>32.4</v>
      </c>
      <c r="Q1720" s="23" t="s">
        <v>181</v>
      </c>
    </row>
    <row r="1721" spans="1:17" x14ac:dyDescent="0.25">
      <c r="A1721" s="23" t="s">
        <v>1096</v>
      </c>
      <c r="B1721" s="23" t="s">
        <v>1053</v>
      </c>
      <c r="C1721" s="23" t="s">
        <v>176</v>
      </c>
      <c r="D1721" s="23" t="s">
        <v>749</v>
      </c>
      <c r="E1721" s="23" t="s">
        <v>750</v>
      </c>
      <c r="F1721">
        <v>4</v>
      </c>
      <c r="G1721" s="23" t="s">
        <v>177</v>
      </c>
      <c r="H1721">
        <v>0</v>
      </c>
      <c r="I1721">
        <v>250</v>
      </c>
      <c r="J1721" s="10">
        <v>0</v>
      </c>
      <c r="K1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721">
        <v>0</v>
      </c>
      <c r="M17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1">
        <v>5.74</v>
      </c>
      <c r="O1721" s="23" t="s">
        <v>883</v>
      </c>
      <c r="P1721">
        <v>22.96</v>
      </c>
      <c r="Q1721" s="23" t="s">
        <v>181</v>
      </c>
    </row>
    <row r="1722" spans="1:17" x14ac:dyDescent="0.25">
      <c r="A1722" s="23" t="s">
        <v>1094</v>
      </c>
      <c r="B1722" s="23" t="s">
        <v>1095</v>
      </c>
      <c r="C1722" s="23" t="s">
        <v>176</v>
      </c>
      <c r="D1722" s="23" t="s">
        <v>95</v>
      </c>
      <c r="E1722" s="23" t="s">
        <v>96</v>
      </c>
      <c r="F1722">
        <v>1</v>
      </c>
      <c r="G1722" s="23" t="s">
        <v>177</v>
      </c>
      <c r="H1722">
        <v>0</v>
      </c>
      <c r="I1722">
        <v>13</v>
      </c>
      <c r="J1722" s="10">
        <v>6</v>
      </c>
      <c r="K1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722">
        <v>0</v>
      </c>
      <c r="M17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2">
        <v>1145.83</v>
      </c>
      <c r="O1722" s="23" t="s">
        <v>249</v>
      </c>
      <c r="P1722">
        <v>1145.83</v>
      </c>
      <c r="Q1722" s="23" t="s">
        <v>178</v>
      </c>
    </row>
    <row r="1723" spans="1:17" x14ac:dyDescent="0.25">
      <c r="A1723" s="23" t="s">
        <v>1055</v>
      </c>
      <c r="B1723" s="23" t="s">
        <v>1056</v>
      </c>
      <c r="C1723" s="23" t="s">
        <v>176</v>
      </c>
      <c r="D1723" s="23" t="s">
        <v>1000</v>
      </c>
      <c r="E1723" s="23" t="s">
        <v>1001</v>
      </c>
      <c r="F1723">
        <v>1</v>
      </c>
      <c r="G1723" s="23" t="s">
        <v>177</v>
      </c>
      <c r="H1723">
        <v>0</v>
      </c>
      <c r="I1723">
        <v>30</v>
      </c>
      <c r="J1723" s="10">
        <v>5.7</v>
      </c>
      <c r="K1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723">
        <v>0</v>
      </c>
      <c r="M17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3">
        <v>199.37</v>
      </c>
      <c r="O1723" s="23" t="s">
        <v>256</v>
      </c>
      <c r="P1723">
        <v>199.37</v>
      </c>
      <c r="Q1723" s="23" t="s">
        <v>181</v>
      </c>
    </row>
    <row r="1724" spans="1:17" x14ac:dyDescent="0.25">
      <c r="A1724" s="23" t="s">
        <v>1058</v>
      </c>
      <c r="B1724" s="23" t="s">
        <v>1059</v>
      </c>
      <c r="C1724" s="23" t="s">
        <v>176</v>
      </c>
      <c r="D1724" s="23" t="s">
        <v>383</v>
      </c>
      <c r="E1724" s="23" t="s">
        <v>384</v>
      </c>
      <c r="F1724">
        <v>1</v>
      </c>
      <c r="G1724" s="23" t="s">
        <v>177</v>
      </c>
      <c r="H1724">
        <v>0</v>
      </c>
      <c r="I1724">
        <v>52</v>
      </c>
      <c r="J1724" s="10">
        <v>2</v>
      </c>
      <c r="K1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24">
        <v>0</v>
      </c>
      <c r="M17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4">
        <v>34</v>
      </c>
      <c r="O1724" s="23" t="s">
        <v>242</v>
      </c>
      <c r="P1724">
        <v>34</v>
      </c>
      <c r="Q1724" s="23" t="s">
        <v>179</v>
      </c>
    </row>
    <row r="1725" spans="1:17" x14ac:dyDescent="0.25">
      <c r="A1725" s="23" t="s">
        <v>1055</v>
      </c>
      <c r="B1725" s="23" t="s">
        <v>1056</v>
      </c>
      <c r="C1725" s="23" t="s">
        <v>176</v>
      </c>
      <c r="D1725" s="23" t="s">
        <v>383</v>
      </c>
      <c r="E1725" s="23" t="s">
        <v>384</v>
      </c>
      <c r="F1725">
        <v>1</v>
      </c>
      <c r="G1725" s="23" t="s">
        <v>177</v>
      </c>
      <c r="H1725">
        <v>0</v>
      </c>
      <c r="I1725">
        <v>52</v>
      </c>
      <c r="J1725" s="10">
        <v>2</v>
      </c>
      <c r="K1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25">
        <v>0</v>
      </c>
      <c r="M17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5">
        <v>34</v>
      </c>
      <c r="O1725" s="23" t="s">
        <v>242</v>
      </c>
      <c r="P1725">
        <v>34</v>
      </c>
      <c r="Q1725" s="23" t="s">
        <v>179</v>
      </c>
    </row>
    <row r="1726" spans="1:17" x14ac:dyDescent="0.25">
      <c r="A1726" s="23" t="s">
        <v>1148</v>
      </c>
      <c r="B1726" s="23" t="s">
        <v>1054</v>
      </c>
      <c r="C1726" s="23" t="s">
        <v>176</v>
      </c>
      <c r="D1726" s="23" t="s">
        <v>383</v>
      </c>
      <c r="E1726" s="23" t="s">
        <v>384</v>
      </c>
      <c r="F1726">
        <v>1</v>
      </c>
      <c r="G1726" s="23" t="s">
        <v>177</v>
      </c>
      <c r="H1726">
        <v>0</v>
      </c>
      <c r="I1726">
        <v>52</v>
      </c>
      <c r="J1726" s="10">
        <v>2</v>
      </c>
      <c r="K1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26">
        <v>0</v>
      </c>
      <c r="M17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6">
        <v>34</v>
      </c>
      <c r="O1726" s="23" t="s">
        <v>242</v>
      </c>
      <c r="P1726">
        <v>34</v>
      </c>
      <c r="Q1726" s="23" t="s">
        <v>179</v>
      </c>
    </row>
    <row r="1727" spans="1:17" x14ac:dyDescent="0.25">
      <c r="A1727" s="23" t="s">
        <v>1099</v>
      </c>
      <c r="B1727" s="23" t="s">
        <v>1056</v>
      </c>
      <c r="C1727" s="23" t="s">
        <v>176</v>
      </c>
      <c r="D1727" s="23" t="s">
        <v>383</v>
      </c>
      <c r="E1727" s="23" t="s">
        <v>384</v>
      </c>
      <c r="F1727">
        <v>1</v>
      </c>
      <c r="G1727" s="23" t="s">
        <v>177</v>
      </c>
      <c r="H1727">
        <v>0</v>
      </c>
      <c r="I1727">
        <v>52</v>
      </c>
      <c r="J1727" s="10">
        <v>2</v>
      </c>
      <c r="K1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27">
        <v>0</v>
      </c>
      <c r="M17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7">
        <v>34</v>
      </c>
      <c r="O1727" s="23" t="s">
        <v>242</v>
      </c>
      <c r="P1727">
        <v>34</v>
      </c>
      <c r="Q1727" s="23" t="s">
        <v>179</v>
      </c>
    </row>
    <row r="1728" spans="1:17" x14ac:dyDescent="0.25">
      <c r="A1728" s="23" t="s">
        <v>1142</v>
      </c>
      <c r="B1728" s="23" t="s">
        <v>1054</v>
      </c>
      <c r="C1728" s="23" t="s">
        <v>176</v>
      </c>
      <c r="D1728" s="23" t="s">
        <v>257</v>
      </c>
      <c r="E1728" s="23" t="s">
        <v>310</v>
      </c>
      <c r="F1728">
        <v>2</v>
      </c>
      <c r="G1728" s="23" t="s">
        <v>177</v>
      </c>
      <c r="H1728">
        <v>0</v>
      </c>
      <c r="I1728">
        <v>40</v>
      </c>
      <c r="J1728" s="10">
        <v>18</v>
      </c>
      <c r="K1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28">
        <v>0</v>
      </c>
      <c r="M17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8">
        <v>55</v>
      </c>
      <c r="O1728" s="23" t="s">
        <v>827</v>
      </c>
      <c r="P1728">
        <v>110</v>
      </c>
      <c r="Q1728" s="23" t="s">
        <v>222</v>
      </c>
    </row>
    <row r="1729" spans="1:17" x14ac:dyDescent="0.25">
      <c r="A1729" s="23" t="s">
        <v>1057</v>
      </c>
      <c r="B1729" s="23" t="s">
        <v>1056</v>
      </c>
      <c r="C1729" s="23" t="s">
        <v>176</v>
      </c>
      <c r="D1729" s="23" t="s">
        <v>383</v>
      </c>
      <c r="E1729" s="23" t="s">
        <v>384</v>
      </c>
      <c r="F1729">
        <v>1</v>
      </c>
      <c r="G1729" s="23" t="s">
        <v>177</v>
      </c>
      <c r="H1729">
        <v>0</v>
      </c>
      <c r="I1729">
        <v>52</v>
      </c>
      <c r="J1729" s="10">
        <v>2</v>
      </c>
      <c r="K1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29">
        <v>0</v>
      </c>
      <c r="M17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29">
        <v>34</v>
      </c>
      <c r="O1729" s="23" t="s">
        <v>242</v>
      </c>
      <c r="P1729">
        <v>34</v>
      </c>
      <c r="Q1729" s="23" t="s">
        <v>179</v>
      </c>
    </row>
    <row r="1730" spans="1:17" x14ac:dyDescent="0.25">
      <c r="A1730" s="23" t="s">
        <v>1094</v>
      </c>
      <c r="B1730" s="23" t="s">
        <v>1095</v>
      </c>
      <c r="C1730" s="23" t="s">
        <v>176</v>
      </c>
      <c r="D1730" s="23" t="s">
        <v>383</v>
      </c>
      <c r="E1730" s="23" t="s">
        <v>384</v>
      </c>
      <c r="F1730">
        <v>1</v>
      </c>
      <c r="G1730" s="23" t="s">
        <v>177</v>
      </c>
      <c r="H1730">
        <v>0</v>
      </c>
      <c r="I1730">
        <v>52</v>
      </c>
      <c r="J1730" s="10">
        <v>2</v>
      </c>
      <c r="K1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30">
        <v>0</v>
      </c>
      <c r="M17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0">
        <v>34</v>
      </c>
      <c r="O1730" s="23" t="s">
        <v>242</v>
      </c>
      <c r="P1730">
        <v>34</v>
      </c>
      <c r="Q1730" s="23" t="s">
        <v>179</v>
      </c>
    </row>
    <row r="1731" spans="1:17" x14ac:dyDescent="0.25">
      <c r="A1731" s="23" t="s">
        <v>1144</v>
      </c>
      <c r="B1731" s="23" t="s">
        <v>1145</v>
      </c>
      <c r="C1731" s="23" t="s">
        <v>176</v>
      </c>
      <c r="D1731" s="23" t="s">
        <v>572</v>
      </c>
      <c r="E1731" s="23" t="s">
        <v>573</v>
      </c>
      <c r="F1731">
        <v>2.7</v>
      </c>
      <c r="G1731" s="23" t="s">
        <v>180</v>
      </c>
      <c r="H1731">
        <v>0</v>
      </c>
      <c r="I1731">
        <v>50</v>
      </c>
      <c r="J1731" s="10">
        <v>-1.4210854715202004E-14</v>
      </c>
      <c r="K1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731">
        <v>0</v>
      </c>
      <c r="M17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1">
        <v>11</v>
      </c>
      <c r="O1731" s="23" t="s">
        <v>227</v>
      </c>
      <c r="P1731">
        <v>29.700000000000003</v>
      </c>
      <c r="Q1731" s="23" t="s">
        <v>181</v>
      </c>
    </row>
    <row r="1732" spans="1:17" x14ac:dyDescent="0.25">
      <c r="A1732" s="23" t="s">
        <v>1146</v>
      </c>
      <c r="B1732" s="23" t="s">
        <v>1145</v>
      </c>
      <c r="C1732" s="23" t="s">
        <v>176</v>
      </c>
      <c r="D1732" s="23" t="s">
        <v>572</v>
      </c>
      <c r="E1732" s="23" t="s">
        <v>573</v>
      </c>
      <c r="F1732">
        <v>2.7</v>
      </c>
      <c r="G1732" s="23" t="s">
        <v>180</v>
      </c>
      <c r="H1732">
        <v>0</v>
      </c>
      <c r="I1732">
        <v>50</v>
      </c>
      <c r="J1732" s="10">
        <v>-1.4210854715202004E-14</v>
      </c>
      <c r="K1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1732">
        <v>0</v>
      </c>
      <c r="M17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2">
        <v>11</v>
      </c>
      <c r="O1732" s="23" t="s">
        <v>227</v>
      </c>
      <c r="P1732">
        <v>29.700000000000003</v>
      </c>
      <c r="Q1732" s="23" t="s">
        <v>181</v>
      </c>
    </row>
    <row r="1733" spans="1:17" x14ac:dyDescent="0.25">
      <c r="A1733" s="23" t="s">
        <v>1144</v>
      </c>
      <c r="B1733" s="23" t="s">
        <v>1145</v>
      </c>
      <c r="C1733" s="23" t="s">
        <v>176</v>
      </c>
      <c r="D1733" s="23" t="s">
        <v>257</v>
      </c>
      <c r="E1733" s="23" t="s">
        <v>310</v>
      </c>
      <c r="F1733">
        <v>2</v>
      </c>
      <c r="G1733" s="23" t="s">
        <v>177</v>
      </c>
      <c r="H1733">
        <v>0</v>
      </c>
      <c r="I1733">
        <v>40</v>
      </c>
      <c r="J1733" s="10">
        <v>18</v>
      </c>
      <c r="K1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33">
        <v>0</v>
      </c>
      <c r="M17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3">
        <v>55</v>
      </c>
      <c r="O1733" s="23" t="s">
        <v>827</v>
      </c>
      <c r="P1733">
        <v>110</v>
      </c>
      <c r="Q1733" s="23" t="s">
        <v>222</v>
      </c>
    </row>
    <row r="1734" spans="1:17" x14ac:dyDescent="0.25">
      <c r="A1734" s="23" t="s">
        <v>1148</v>
      </c>
      <c r="B1734" s="23" t="s">
        <v>1054</v>
      </c>
      <c r="C1734" s="23" t="s">
        <v>176</v>
      </c>
      <c r="D1734" s="23" t="s">
        <v>89</v>
      </c>
      <c r="E1734" s="23" t="s">
        <v>90</v>
      </c>
      <c r="F1734">
        <v>5.5</v>
      </c>
      <c r="G1734" s="23" t="s">
        <v>180</v>
      </c>
      <c r="H1734">
        <v>0</v>
      </c>
      <c r="I1734">
        <v>125</v>
      </c>
      <c r="J1734" s="10">
        <v>37.499999999999957</v>
      </c>
      <c r="K1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34">
        <v>0</v>
      </c>
      <c r="M17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4">
        <v>44</v>
      </c>
      <c r="O1734" s="23" t="s">
        <v>315</v>
      </c>
      <c r="P1734">
        <v>242</v>
      </c>
      <c r="Q1734" s="23" t="s">
        <v>179</v>
      </c>
    </row>
    <row r="1735" spans="1:17" x14ac:dyDescent="0.25">
      <c r="A1735" s="23" t="s">
        <v>1099</v>
      </c>
      <c r="B1735" s="23" t="s">
        <v>1056</v>
      </c>
      <c r="C1735" s="23" t="s">
        <v>176</v>
      </c>
      <c r="D1735" s="23" t="s">
        <v>89</v>
      </c>
      <c r="E1735" s="23" t="s">
        <v>90</v>
      </c>
      <c r="F1735">
        <v>3.3</v>
      </c>
      <c r="G1735" s="23" t="s">
        <v>180</v>
      </c>
      <c r="H1735">
        <v>0</v>
      </c>
      <c r="I1735">
        <v>125</v>
      </c>
      <c r="J1735" s="10">
        <v>37.499999999999957</v>
      </c>
      <c r="K1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35">
        <v>0</v>
      </c>
      <c r="M17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5">
        <v>44</v>
      </c>
      <c r="O1735" s="23" t="s">
        <v>315</v>
      </c>
      <c r="P1735">
        <v>145.19999999999999</v>
      </c>
      <c r="Q1735" s="23" t="s">
        <v>179</v>
      </c>
    </row>
    <row r="1736" spans="1:17" x14ac:dyDescent="0.25">
      <c r="A1736" s="23" t="s">
        <v>1143</v>
      </c>
      <c r="B1736" s="23" t="s">
        <v>1054</v>
      </c>
      <c r="C1736" s="23" t="s">
        <v>176</v>
      </c>
      <c r="D1736" s="23" t="s">
        <v>395</v>
      </c>
      <c r="E1736" s="23" t="s">
        <v>396</v>
      </c>
      <c r="F1736">
        <v>1</v>
      </c>
      <c r="G1736" s="23" t="s">
        <v>177</v>
      </c>
      <c r="H1736">
        <v>0</v>
      </c>
      <c r="I1736">
        <v>17</v>
      </c>
      <c r="J1736" s="10">
        <v>3.0000000000000124</v>
      </c>
      <c r="K1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736">
        <v>0</v>
      </c>
      <c r="M17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736">
        <v>145.83000000000001</v>
      </c>
      <c r="O1736" s="23" t="s">
        <v>629</v>
      </c>
      <c r="P1736">
        <v>145.83000000000001</v>
      </c>
      <c r="Q1736" s="23" t="s">
        <v>184</v>
      </c>
    </row>
    <row r="1737" spans="1:17" x14ac:dyDescent="0.25">
      <c r="A1737" s="23" t="s">
        <v>1094</v>
      </c>
      <c r="B1737" s="23" t="s">
        <v>1095</v>
      </c>
      <c r="C1737" s="23" t="s">
        <v>176</v>
      </c>
      <c r="D1737" s="23" t="s">
        <v>89</v>
      </c>
      <c r="E1737" s="23" t="s">
        <v>90</v>
      </c>
      <c r="F1737">
        <v>5.5</v>
      </c>
      <c r="G1737" s="23" t="s">
        <v>180</v>
      </c>
      <c r="H1737">
        <v>0</v>
      </c>
      <c r="I1737">
        <v>125</v>
      </c>
      <c r="J1737" s="10">
        <v>37.499999999999957</v>
      </c>
      <c r="K1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37">
        <v>0</v>
      </c>
      <c r="M17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7">
        <v>44</v>
      </c>
      <c r="O1737" s="23" t="s">
        <v>315</v>
      </c>
      <c r="P1737">
        <v>242</v>
      </c>
      <c r="Q1737" s="23" t="s">
        <v>179</v>
      </c>
    </row>
    <row r="1738" spans="1:17" x14ac:dyDescent="0.25">
      <c r="A1738" s="23" t="s">
        <v>1094</v>
      </c>
      <c r="B1738" s="23" t="s">
        <v>1095</v>
      </c>
      <c r="C1738" s="23" t="s">
        <v>176</v>
      </c>
      <c r="D1738" s="23" t="s">
        <v>91</v>
      </c>
      <c r="E1738" s="23" t="s">
        <v>92</v>
      </c>
      <c r="F1738">
        <v>1</v>
      </c>
      <c r="G1738" s="23" t="s">
        <v>177</v>
      </c>
      <c r="H1738">
        <v>0</v>
      </c>
      <c r="I1738">
        <v>6</v>
      </c>
      <c r="J1738" s="10">
        <v>10</v>
      </c>
      <c r="K1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38">
        <v>0</v>
      </c>
      <c r="M17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38">
        <v>1776.43</v>
      </c>
      <c r="O1738" s="23" t="s">
        <v>635</v>
      </c>
      <c r="P1738">
        <v>1776.43</v>
      </c>
      <c r="Q1738" s="23" t="s">
        <v>179</v>
      </c>
    </row>
    <row r="1739" spans="1:17" x14ac:dyDescent="0.25">
      <c r="A1739" s="23" t="s">
        <v>1143</v>
      </c>
      <c r="B1739" s="23" t="s">
        <v>1054</v>
      </c>
      <c r="C1739" s="23" t="s">
        <v>176</v>
      </c>
      <c r="D1739" s="23" t="s">
        <v>789</v>
      </c>
      <c r="E1739" s="23" t="s">
        <v>790</v>
      </c>
      <c r="F1739">
        <v>1</v>
      </c>
      <c r="G1739" s="23" t="s">
        <v>177</v>
      </c>
      <c r="H1739">
        <v>0</v>
      </c>
      <c r="I1739">
        <v>3</v>
      </c>
      <c r="J1739" s="10">
        <v>2</v>
      </c>
      <c r="K1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739">
        <v>1</v>
      </c>
      <c r="M17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39">
        <v>4484.26</v>
      </c>
      <c r="O1739" s="23" t="s">
        <v>1104</v>
      </c>
      <c r="P1739">
        <v>4484.26</v>
      </c>
      <c r="Q1739" s="23" t="s">
        <v>222</v>
      </c>
    </row>
    <row r="1740" spans="1:17" x14ac:dyDescent="0.25">
      <c r="A1740" s="23" t="s">
        <v>1150</v>
      </c>
      <c r="B1740" s="23" t="s">
        <v>1145</v>
      </c>
      <c r="C1740" s="23" t="s">
        <v>176</v>
      </c>
      <c r="D1740" s="23" t="s">
        <v>91</v>
      </c>
      <c r="E1740" s="23" t="s">
        <v>92</v>
      </c>
      <c r="F1740">
        <v>1</v>
      </c>
      <c r="G1740" s="23" t="s">
        <v>177</v>
      </c>
      <c r="H1740">
        <v>0</v>
      </c>
      <c r="I1740">
        <v>6</v>
      </c>
      <c r="J1740" s="10">
        <v>10</v>
      </c>
      <c r="K1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40">
        <v>0</v>
      </c>
      <c r="M17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40">
        <v>1776.43</v>
      </c>
      <c r="O1740" s="23" t="s">
        <v>635</v>
      </c>
      <c r="P1740">
        <v>1776.43</v>
      </c>
      <c r="Q1740" s="23" t="s">
        <v>179</v>
      </c>
    </row>
    <row r="1741" spans="1:17" x14ac:dyDescent="0.25">
      <c r="A1741" s="23" t="s">
        <v>1150</v>
      </c>
      <c r="B1741" s="23" t="s">
        <v>1145</v>
      </c>
      <c r="C1741" s="23" t="s">
        <v>176</v>
      </c>
      <c r="D1741" s="23" t="s">
        <v>322</v>
      </c>
      <c r="E1741" s="23" t="s">
        <v>323</v>
      </c>
      <c r="F1741">
        <v>6</v>
      </c>
      <c r="G1741" s="23" t="s">
        <v>177</v>
      </c>
      <c r="H1741">
        <v>0</v>
      </c>
      <c r="I1741">
        <v>84</v>
      </c>
      <c r="J1741" s="10">
        <v>195.90000000000006</v>
      </c>
      <c r="K1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1741">
        <v>0</v>
      </c>
      <c r="M17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1">
        <v>29</v>
      </c>
      <c r="O1741" s="23" t="s">
        <v>242</v>
      </c>
      <c r="P1741">
        <v>174</v>
      </c>
      <c r="Q1741" s="23" t="s">
        <v>181</v>
      </c>
    </row>
    <row r="1742" spans="1:17" x14ac:dyDescent="0.25">
      <c r="A1742" s="23" t="s">
        <v>1096</v>
      </c>
      <c r="B1742" s="23" t="s">
        <v>1053</v>
      </c>
      <c r="C1742" s="23" t="s">
        <v>176</v>
      </c>
      <c r="D1742" s="23" t="s">
        <v>810</v>
      </c>
      <c r="E1742" s="23" t="s">
        <v>811</v>
      </c>
      <c r="F1742">
        <v>4</v>
      </c>
      <c r="G1742" s="23" t="s">
        <v>177</v>
      </c>
      <c r="H1742">
        <v>0</v>
      </c>
      <c r="I1742">
        <v>200</v>
      </c>
      <c r="J1742" s="10">
        <v>180</v>
      </c>
      <c r="K1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742">
        <v>0</v>
      </c>
      <c r="M17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2">
        <v>5.04</v>
      </c>
      <c r="O1742" s="23" t="s">
        <v>883</v>
      </c>
      <c r="P1742">
        <v>20.16</v>
      </c>
      <c r="Q1742" s="23" t="s">
        <v>179</v>
      </c>
    </row>
    <row r="1743" spans="1:17" x14ac:dyDescent="0.25">
      <c r="A1743" s="23" t="s">
        <v>1142</v>
      </c>
      <c r="B1743" s="23" t="s">
        <v>1054</v>
      </c>
      <c r="C1743" s="23" t="s">
        <v>176</v>
      </c>
      <c r="D1743" s="23" t="s">
        <v>89</v>
      </c>
      <c r="E1743" s="23" t="s">
        <v>90</v>
      </c>
      <c r="F1743">
        <v>3.3</v>
      </c>
      <c r="G1743" s="23" t="s">
        <v>180</v>
      </c>
      <c r="H1743">
        <v>0</v>
      </c>
      <c r="I1743">
        <v>125</v>
      </c>
      <c r="J1743" s="10">
        <v>37.499999999999957</v>
      </c>
      <c r="K1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43">
        <v>0</v>
      </c>
      <c r="M17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3">
        <v>44</v>
      </c>
      <c r="O1743" s="23" t="s">
        <v>315</v>
      </c>
      <c r="P1743">
        <v>145.19999999999999</v>
      </c>
      <c r="Q1743" s="23" t="s">
        <v>179</v>
      </c>
    </row>
    <row r="1744" spans="1:17" x14ac:dyDescent="0.25">
      <c r="A1744" s="23" t="s">
        <v>1096</v>
      </c>
      <c r="B1744" s="23" t="s">
        <v>1053</v>
      </c>
      <c r="C1744" s="23" t="s">
        <v>176</v>
      </c>
      <c r="D1744" s="23" t="s">
        <v>89</v>
      </c>
      <c r="E1744" s="23" t="s">
        <v>90</v>
      </c>
      <c r="F1744">
        <v>5.5</v>
      </c>
      <c r="G1744" s="23" t="s">
        <v>180</v>
      </c>
      <c r="H1744">
        <v>0</v>
      </c>
      <c r="I1744">
        <v>125</v>
      </c>
      <c r="J1744" s="10">
        <v>37.499999999999957</v>
      </c>
      <c r="K1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44">
        <v>0</v>
      </c>
      <c r="M17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4">
        <v>44</v>
      </c>
      <c r="O1744" s="23" t="s">
        <v>315</v>
      </c>
      <c r="P1744">
        <v>242</v>
      </c>
      <c r="Q1744" s="23" t="s">
        <v>179</v>
      </c>
    </row>
    <row r="1745" spans="1:17" x14ac:dyDescent="0.25">
      <c r="A1745" s="23" t="s">
        <v>1142</v>
      </c>
      <c r="B1745" s="23" t="s">
        <v>1054</v>
      </c>
      <c r="C1745" s="23" t="s">
        <v>176</v>
      </c>
      <c r="D1745" s="23" t="s">
        <v>91</v>
      </c>
      <c r="E1745" s="23" t="s">
        <v>92</v>
      </c>
      <c r="F1745">
        <v>1</v>
      </c>
      <c r="G1745" s="23" t="s">
        <v>177</v>
      </c>
      <c r="H1745">
        <v>0</v>
      </c>
      <c r="I1745">
        <v>6</v>
      </c>
      <c r="J1745" s="10">
        <v>10</v>
      </c>
      <c r="K1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45">
        <v>0</v>
      </c>
      <c r="M17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45">
        <v>1776.43</v>
      </c>
      <c r="O1745" s="23" t="s">
        <v>635</v>
      </c>
      <c r="P1745">
        <v>1776.43</v>
      </c>
      <c r="Q1745" s="23" t="s">
        <v>179</v>
      </c>
    </row>
    <row r="1746" spans="1:17" x14ac:dyDescent="0.25">
      <c r="A1746" s="23" t="s">
        <v>1143</v>
      </c>
      <c r="B1746" s="23" t="s">
        <v>1054</v>
      </c>
      <c r="C1746" s="23" t="s">
        <v>176</v>
      </c>
      <c r="D1746" s="23" t="s">
        <v>91</v>
      </c>
      <c r="E1746" s="23" t="s">
        <v>92</v>
      </c>
      <c r="F1746">
        <v>1</v>
      </c>
      <c r="G1746" s="23" t="s">
        <v>177</v>
      </c>
      <c r="H1746">
        <v>0</v>
      </c>
      <c r="I1746">
        <v>6</v>
      </c>
      <c r="J1746" s="10">
        <v>10</v>
      </c>
      <c r="K1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46">
        <v>0</v>
      </c>
      <c r="M17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46">
        <v>1776.43</v>
      </c>
      <c r="O1746" s="23" t="s">
        <v>635</v>
      </c>
      <c r="P1746">
        <v>1776.43</v>
      </c>
      <c r="Q1746" s="23" t="s">
        <v>179</v>
      </c>
    </row>
    <row r="1747" spans="1:17" x14ac:dyDescent="0.25">
      <c r="A1747" s="23" t="s">
        <v>1142</v>
      </c>
      <c r="B1747" s="23" t="s">
        <v>1054</v>
      </c>
      <c r="C1747" s="23" t="s">
        <v>176</v>
      </c>
      <c r="D1747" s="23" t="s">
        <v>789</v>
      </c>
      <c r="E1747" s="23" t="s">
        <v>790</v>
      </c>
      <c r="F1747">
        <v>1</v>
      </c>
      <c r="G1747" s="23" t="s">
        <v>177</v>
      </c>
      <c r="H1747">
        <v>0</v>
      </c>
      <c r="I1747">
        <v>3</v>
      </c>
      <c r="J1747" s="10">
        <v>2</v>
      </c>
      <c r="K1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747">
        <v>1</v>
      </c>
      <c r="M17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7">
        <v>4484.26</v>
      </c>
      <c r="O1747" s="23" t="s">
        <v>1104</v>
      </c>
      <c r="P1747">
        <v>4484.26</v>
      </c>
      <c r="Q1747" s="23" t="s">
        <v>222</v>
      </c>
    </row>
    <row r="1748" spans="1:17" x14ac:dyDescent="0.25">
      <c r="A1748" s="23" t="s">
        <v>1142</v>
      </c>
      <c r="B1748" s="23" t="s">
        <v>1054</v>
      </c>
      <c r="C1748" s="23" t="s">
        <v>176</v>
      </c>
      <c r="D1748" s="23" t="s">
        <v>322</v>
      </c>
      <c r="E1748" s="23" t="s">
        <v>323</v>
      </c>
      <c r="F1748">
        <v>6</v>
      </c>
      <c r="G1748" s="23" t="s">
        <v>177</v>
      </c>
      <c r="H1748">
        <v>0</v>
      </c>
      <c r="I1748">
        <v>84</v>
      </c>
      <c r="J1748" s="10">
        <v>195.90000000000006</v>
      </c>
      <c r="K1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1748">
        <v>0</v>
      </c>
      <c r="M17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48">
        <v>29</v>
      </c>
      <c r="O1748" s="23" t="s">
        <v>242</v>
      </c>
      <c r="P1748">
        <v>174</v>
      </c>
      <c r="Q1748" s="23" t="s">
        <v>181</v>
      </c>
    </row>
    <row r="1749" spans="1:17" x14ac:dyDescent="0.25">
      <c r="A1749" s="23" t="s">
        <v>1149</v>
      </c>
      <c r="B1749" s="23" t="s">
        <v>1145</v>
      </c>
      <c r="C1749" s="23" t="s">
        <v>176</v>
      </c>
      <c r="D1749" s="23" t="s">
        <v>91</v>
      </c>
      <c r="E1749" s="23" t="s">
        <v>92</v>
      </c>
      <c r="F1749">
        <v>1</v>
      </c>
      <c r="G1749" s="23" t="s">
        <v>177</v>
      </c>
      <c r="H1749">
        <v>0</v>
      </c>
      <c r="I1749">
        <v>6</v>
      </c>
      <c r="J1749" s="10">
        <v>10</v>
      </c>
      <c r="K1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49">
        <v>0</v>
      </c>
      <c r="M17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49">
        <v>1776.43</v>
      </c>
      <c r="O1749" s="23" t="s">
        <v>635</v>
      </c>
      <c r="P1749">
        <v>1776.43</v>
      </c>
      <c r="Q1749" s="23" t="s">
        <v>179</v>
      </c>
    </row>
    <row r="1750" spans="1:17" x14ac:dyDescent="0.25">
      <c r="A1750" s="23" t="s">
        <v>1144</v>
      </c>
      <c r="B1750" s="23" t="s">
        <v>1145</v>
      </c>
      <c r="C1750" s="23" t="s">
        <v>176</v>
      </c>
      <c r="D1750" s="23" t="s">
        <v>322</v>
      </c>
      <c r="E1750" s="23" t="s">
        <v>323</v>
      </c>
      <c r="F1750">
        <v>6</v>
      </c>
      <c r="G1750" s="23" t="s">
        <v>177</v>
      </c>
      <c r="H1750">
        <v>0</v>
      </c>
      <c r="I1750">
        <v>84</v>
      </c>
      <c r="J1750" s="10">
        <v>195.90000000000006</v>
      </c>
      <c r="K1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1750">
        <v>0</v>
      </c>
      <c r="M17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0">
        <v>29</v>
      </c>
      <c r="O1750" s="23" t="s">
        <v>242</v>
      </c>
      <c r="P1750">
        <v>174</v>
      </c>
      <c r="Q1750" s="23" t="s">
        <v>181</v>
      </c>
    </row>
    <row r="1751" spans="1:17" x14ac:dyDescent="0.25">
      <c r="A1751" s="23" t="s">
        <v>1146</v>
      </c>
      <c r="B1751" s="23" t="s">
        <v>1145</v>
      </c>
      <c r="C1751" s="23" t="s">
        <v>176</v>
      </c>
      <c r="D1751" s="23" t="s">
        <v>322</v>
      </c>
      <c r="E1751" s="23" t="s">
        <v>323</v>
      </c>
      <c r="F1751">
        <v>6</v>
      </c>
      <c r="G1751" s="23" t="s">
        <v>177</v>
      </c>
      <c r="H1751">
        <v>6</v>
      </c>
      <c r="I1751">
        <v>84</v>
      </c>
      <c r="J1751" s="10">
        <v>195.90000000000006</v>
      </c>
      <c r="K1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1751">
        <v>0</v>
      </c>
      <c r="M17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1">
        <v>29</v>
      </c>
      <c r="O1751" s="23" t="s">
        <v>242</v>
      </c>
      <c r="P1751">
        <v>174</v>
      </c>
      <c r="Q1751" s="23" t="s">
        <v>181</v>
      </c>
    </row>
    <row r="1752" spans="1:17" x14ac:dyDescent="0.25">
      <c r="A1752" s="23" t="s">
        <v>1100</v>
      </c>
      <c r="B1752" s="23" t="s">
        <v>1101</v>
      </c>
      <c r="C1752" s="23" t="s">
        <v>176</v>
      </c>
      <c r="D1752" s="23" t="s">
        <v>810</v>
      </c>
      <c r="E1752" s="23" t="s">
        <v>811</v>
      </c>
      <c r="F1752">
        <v>4</v>
      </c>
      <c r="G1752" s="23" t="s">
        <v>177</v>
      </c>
      <c r="H1752">
        <v>0</v>
      </c>
      <c r="I1752">
        <v>200</v>
      </c>
      <c r="J1752" s="10">
        <v>180</v>
      </c>
      <c r="K1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1752">
        <v>0</v>
      </c>
      <c r="M17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2">
        <v>5.04</v>
      </c>
      <c r="O1752" s="23" t="s">
        <v>883</v>
      </c>
      <c r="P1752">
        <v>20.16</v>
      </c>
      <c r="Q1752" s="23" t="s">
        <v>179</v>
      </c>
    </row>
    <row r="1753" spans="1:17" x14ac:dyDescent="0.25">
      <c r="A1753" s="23" t="s">
        <v>1100</v>
      </c>
      <c r="B1753" s="23" t="s">
        <v>1101</v>
      </c>
      <c r="C1753" s="23" t="s">
        <v>176</v>
      </c>
      <c r="D1753" s="23" t="s">
        <v>89</v>
      </c>
      <c r="E1753" s="23" t="s">
        <v>90</v>
      </c>
      <c r="F1753">
        <v>6.3</v>
      </c>
      <c r="G1753" s="23" t="s">
        <v>180</v>
      </c>
      <c r="H1753">
        <v>0</v>
      </c>
      <c r="I1753">
        <v>125</v>
      </c>
      <c r="J1753" s="10">
        <v>37.499999999999957</v>
      </c>
      <c r="K1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53">
        <v>0</v>
      </c>
      <c r="M17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3">
        <v>44</v>
      </c>
      <c r="O1753" s="23" t="s">
        <v>315</v>
      </c>
      <c r="P1753">
        <v>277.2</v>
      </c>
      <c r="Q1753" s="23" t="s">
        <v>179</v>
      </c>
    </row>
    <row r="1754" spans="1:17" x14ac:dyDescent="0.25">
      <c r="A1754" s="23" t="s">
        <v>1094</v>
      </c>
      <c r="B1754" s="23" t="s">
        <v>1095</v>
      </c>
      <c r="C1754" s="23" t="s">
        <v>176</v>
      </c>
      <c r="D1754" s="23" t="s">
        <v>395</v>
      </c>
      <c r="E1754" s="23" t="s">
        <v>396</v>
      </c>
      <c r="F1754">
        <v>1</v>
      </c>
      <c r="G1754" s="23" t="s">
        <v>177</v>
      </c>
      <c r="H1754">
        <v>0</v>
      </c>
      <c r="I1754">
        <v>17</v>
      </c>
      <c r="J1754" s="10">
        <v>3.0000000000000124</v>
      </c>
      <c r="K1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754">
        <v>0</v>
      </c>
      <c r="M17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754">
        <v>145.83000000000001</v>
      </c>
      <c r="O1754" s="23" t="s">
        <v>629</v>
      </c>
      <c r="P1754">
        <v>145.83000000000001</v>
      </c>
      <c r="Q1754" s="23" t="s">
        <v>184</v>
      </c>
    </row>
    <row r="1755" spans="1:17" x14ac:dyDescent="0.25">
      <c r="A1755" s="23" t="s">
        <v>1096</v>
      </c>
      <c r="B1755" s="23" t="s">
        <v>1053</v>
      </c>
      <c r="C1755" s="23" t="s">
        <v>176</v>
      </c>
      <c r="D1755" s="23" t="s">
        <v>395</v>
      </c>
      <c r="E1755" s="23" t="s">
        <v>396</v>
      </c>
      <c r="F1755">
        <v>1</v>
      </c>
      <c r="G1755" s="23" t="s">
        <v>177</v>
      </c>
      <c r="H1755">
        <v>0</v>
      </c>
      <c r="I1755">
        <v>17</v>
      </c>
      <c r="J1755" s="10">
        <v>3.0000000000000124</v>
      </c>
      <c r="K1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755">
        <v>0</v>
      </c>
      <c r="M17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755">
        <v>145.83000000000001</v>
      </c>
      <c r="O1755" s="23" t="s">
        <v>629</v>
      </c>
      <c r="P1755">
        <v>145.83000000000001</v>
      </c>
      <c r="Q1755" s="23" t="s">
        <v>184</v>
      </c>
    </row>
    <row r="1756" spans="1:17" x14ac:dyDescent="0.25">
      <c r="A1756" s="23" t="s">
        <v>1057</v>
      </c>
      <c r="B1756" s="23" t="s">
        <v>1056</v>
      </c>
      <c r="C1756" s="23" t="s">
        <v>176</v>
      </c>
      <c r="D1756" s="23" t="s">
        <v>395</v>
      </c>
      <c r="E1756" s="23" t="s">
        <v>396</v>
      </c>
      <c r="F1756">
        <v>0.1</v>
      </c>
      <c r="G1756" s="23" t="s">
        <v>177</v>
      </c>
      <c r="H1756">
        <v>0</v>
      </c>
      <c r="I1756">
        <v>17</v>
      </c>
      <c r="J1756" s="10">
        <v>3.0000000000000124</v>
      </c>
      <c r="K1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17.100000000000009</v>
      </c>
      <c r="L1756">
        <v>0</v>
      </c>
      <c r="M17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2493.6930000000016</v>
      </c>
      <c r="N1756">
        <v>145.83000000000001</v>
      </c>
      <c r="O1756" s="23" t="s">
        <v>629</v>
      </c>
      <c r="P1756">
        <v>14.583000000000002</v>
      </c>
      <c r="Q1756" s="23" t="s">
        <v>184</v>
      </c>
    </row>
    <row r="1757" spans="1:17" x14ac:dyDescent="0.25">
      <c r="A1757" s="23" t="s">
        <v>1143</v>
      </c>
      <c r="B1757" s="23" t="s">
        <v>1054</v>
      </c>
      <c r="C1757" s="23" t="s">
        <v>176</v>
      </c>
      <c r="D1757" s="23" t="s">
        <v>89</v>
      </c>
      <c r="E1757" s="23" t="s">
        <v>90</v>
      </c>
      <c r="F1757">
        <v>5.5</v>
      </c>
      <c r="G1757" s="23" t="s">
        <v>180</v>
      </c>
      <c r="H1757">
        <v>0</v>
      </c>
      <c r="I1757">
        <v>125</v>
      </c>
      <c r="J1757" s="10">
        <v>37.499999999999957</v>
      </c>
      <c r="K1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57">
        <v>0</v>
      </c>
      <c r="M17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7">
        <v>44</v>
      </c>
      <c r="O1757" s="23" t="s">
        <v>315</v>
      </c>
      <c r="P1757">
        <v>242</v>
      </c>
      <c r="Q1757" s="23" t="s">
        <v>179</v>
      </c>
    </row>
    <row r="1758" spans="1:17" x14ac:dyDescent="0.25">
      <c r="A1758" s="23" t="s">
        <v>1057</v>
      </c>
      <c r="B1758" s="23" t="s">
        <v>1056</v>
      </c>
      <c r="C1758" s="23" t="s">
        <v>176</v>
      </c>
      <c r="D1758" s="23" t="s">
        <v>89</v>
      </c>
      <c r="E1758" s="23" t="s">
        <v>90</v>
      </c>
      <c r="F1758">
        <v>3.3</v>
      </c>
      <c r="G1758" s="23" t="s">
        <v>180</v>
      </c>
      <c r="H1758">
        <v>0</v>
      </c>
      <c r="I1758">
        <v>125</v>
      </c>
      <c r="J1758" s="10">
        <v>37.499999999999957</v>
      </c>
      <c r="K1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-44.100000000000023</v>
      </c>
      <c r="L1758">
        <v>0</v>
      </c>
      <c r="M17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58">
        <v>44</v>
      </c>
      <c r="O1758" s="23" t="s">
        <v>315</v>
      </c>
      <c r="P1758">
        <v>145.19999999999999</v>
      </c>
      <c r="Q1758" s="23" t="s">
        <v>179</v>
      </c>
    </row>
    <row r="1759" spans="1:17" x14ac:dyDescent="0.25">
      <c r="A1759" s="23" t="s">
        <v>1144</v>
      </c>
      <c r="B1759" s="23" t="s">
        <v>1145</v>
      </c>
      <c r="C1759" s="23" t="s">
        <v>176</v>
      </c>
      <c r="D1759" s="23" t="s">
        <v>91</v>
      </c>
      <c r="E1759" s="23" t="s">
        <v>92</v>
      </c>
      <c r="F1759">
        <v>1</v>
      </c>
      <c r="G1759" s="23" t="s">
        <v>177</v>
      </c>
      <c r="H1759">
        <v>0</v>
      </c>
      <c r="I1759">
        <v>6</v>
      </c>
      <c r="J1759" s="10">
        <v>10</v>
      </c>
      <c r="K1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59">
        <v>0</v>
      </c>
      <c r="M17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59">
        <v>1776.43</v>
      </c>
      <c r="O1759" s="23" t="s">
        <v>635</v>
      </c>
      <c r="P1759">
        <v>1776.43</v>
      </c>
      <c r="Q1759" s="23" t="s">
        <v>179</v>
      </c>
    </row>
    <row r="1760" spans="1:17" x14ac:dyDescent="0.25">
      <c r="A1760" s="23" t="s">
        <v>1146</v>
      </c>
      <c r="B1760" s="23" t="s">
        <v>1145</v>
      </c>
      <c r="C1760" s="23" t="s">
        <v>176</v>
      </c>
      <c r="D1760" s="23" t="s">
        <v>91</v>
      </c>
      <c r="E1760" s="23" t="s">
        <v>92</v>
      </c>
      <c r="F1760">
        <v>1</v>
      </c>
      <c r="G1760" s="23" t="s">
        <v>177</v>
      </c>
      <c r="H1760">
        <v>0</v>
      </c>
      <c r="I1760">
        <v>6</v>
      </c>
      <c r="J1760" s="10">
        <v>10</v>
      </c>
      <c r="K1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60">
        <v>0</v>
      </c>
      <c r="M17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1760">
        <v>1776.43</v>
      </c>
      <c r="O1760" s="23" t="s">
        <v>635</v>
      </c>
      <c r="P1760">
        <v>1776.43</v>
      </c>
      <c r="Q1760" s="23" t="s">
        <v>179</v>
      </c>
    </row>
    <row r="1761" spans="1:17" x14ac:dyDescent="0.25">
      <c r="A1761" s="23" t="s">
        <v>1144</v>
      </c>
      <c r="B1761" s="23" t="s">
        <v>1145</v>
      </c>
      <c r="C1761" s="23" t="s">
        <v>176</v>
      </c>
      <c r="D1761" s="23" t="s">
        <v>941</v>
      </c>
      <c r="E1761" s="23" t="s">
        <v>942</v>
      </c>
      <c r="F1761">
        <v>1</v>
      </c>
      <c r="G1761" s="23" t="s">
        <v>177</v>
      </c>
      <c r="H1761">
        <v>0</v>
      </c>
      <c r="I1761">
        <v>2</v>
      </c>
      <c r="J1761" s="10">
        <v>1</v>
      </c>
      <c r="K1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1761">
        <v>0</v>
      </c>
      <c r="M17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1761">
        <v>9940.35</v>
      </c>
      <c r="O1761" s="23" t="s">
        <v>1052</v>
      </c>
      <c r="P1761">
        <v>9940.35</v>
      </c>
      <c r="Q1761" s="23" t="s">
        <v>222</v>
      </c>
    </row>
    <row r="1762" spans="1:17" x14ac:dyDescent="0.25">
      <c r="A1762" s="23" t="s">
        <v>1146</v>
      </c>
      <c r="B1762" s="23" t="s">
        <v>1145</v>
      </c>
      <c r="C1762" s="23" t="s">
        <v>176</v>
      </c>
      <c r="D1762" s="23" t="s">
        <v>257</v>
      </c>
      <c r="E1762" s="23" t="s">
        <v>310</v>
      </c>
      <c r="F1762">
        <v>2</v>
      </c>
      <c r="G1762" s="23" t="s">
        <v>177</v>
      </c>
      <c r="H1762">
        <v>0</v>
      </c>
      <c r="I1762">
        <v>40</v>
      </c>
      <c r="J1762" s="10">
        <v>18</v>
      </c>
      <c r="K1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62">
        <v>0</v>
      </c>
      <c r="M17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2">
        <v>55</v>
      </c>
      <c r="O1762" s="23" t="s">
        <v>827</v>
      </c>
      <c r="P1762">
        <v>110</v>
      </c>
      <c r="Q1762" s="23" t="s">
        <v>222</v>
      </c>
    </row>
    <row r="1763" spans="1:17" x14ac:dyDescent="0.25">
      <c r="A1763" s="23" t="s">
        <v>1142</v>
      </c>
      <c r="B1763" s="23" t="s">
        <v>1054</v>
      </c>
      <c r="C1763" s="23" t="s">
        <v>176</v>
      </c>
      <c r="D1763" s="23" t="s">
        <v>209</v>
      </c>
      <c r="E1763" s="23" t="s">
        <v>286</v>
      </c>
      <c r="F1763">
        <v>6</v>
      </c>
      <c r="G1763" s="23" t="s">
        <v>177</v>
      </c>
      <c r="H1763">
        <v>0</v>
      </c>
      <c r="I1763">
        <v>2600</v>
      </c>
      <c r="J1763" s="10">
        <v>292</v>
      </c>
      <c r="K1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763">
        <v>0</v>
      </c>
      <c r="M17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3">
        <v>0.4</v>
      </c>
      <c r="O1763" s="23" t="s">
        <v>242</v>
      </c>
      <c r="P1763">
        <v>2.4000000000000004</v>
      </c>
      <c r="Q1763" s="23" t="s">
        <v>181</v>
      </c>
    </row>
    <row r="1764" spans="1:17" x14ac:dyDescent="0.25">
      <c r="A1764" s="23" t="s">
        <v>1142</v>
      </c>
      <c r="B1764" s="23" t="s">
        <v>1054</v>
      </c>
      <c r="C1764" s="23" t="s">
        <v>176</v>
      </c>
      <c r="D1764" s="23" t="s">
        <v>95</v>
      </c>
      <c r="E1764" s="23" t="s">
        <v>96</v>
      </c>
      <c r="F1764">
        <v>1</v>
      </c>
      <c r="G1764" s="23" t="s">
        <v>177</v>
      </c>
      <c r="H1764">
        <v>0</v>
      </c>
      <c r="I1764">
        <v>13</v>
      </c>
      <c r="J1764" s="10">
        <v>6</v>
      </c>
      <c r="K1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764">
        <v>0</v>
      </c>
      <c r="M17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4">
        <v>1145.83</v>
      </c>
      <c r="O1764" s="23" t="s">
        <v>249</v>
      </c>
      <c r="P1764">
        <v>1145.83</v>
      </c>
      <c r="Q1764" s="23" t="s">
        <v>178</v>
      </c>
    </row>
    <row r="1765" spans="1:17" x14ac:dyDescent="0.25">
      <c r="A1765" s="23" t="s">
        <v>1197</v>
      </c>
      <c r="B1765" s="23" t="s">
        <v>1198</v>
      </c>
      <c r="C1765" s="23" t="s">
        <v>176</v>
      </c>
      <c r="D1765" s="23" t="s">
        <v>383</v>
      </c>
      <c r="E1765" s="23" t="s">
        <v>384</v>
      </c>
      <c r="F1765">
        <v>1</v>
      </c>
      <c r="G1765" s="23" t="s">
        <v>177</v>
      </c>
      <c r="H1765">
        <v>0</v>
      </c>
      <c r="I1765">
        <v>52</v>
      </c>
      <c r="J1765" s="10">
        <v>2</v>
      </c>
      <c r="K1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65">
        <v>0</v>
      </c>
      <c r="M17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5">
        <v>34</v>
      </c>
      <c r="O1765" s="23" t="s">
        <v>242</v>
      </c>
      <c r="P1765">
        <v>34</v>
      </c>
      <c r="Q1765" s="23" t="s">
        <v>179</v>
      </c>
    </row>
    <row r="1766" spans="1:17" x14ac:dyDescent="0.25">
      <c r="A1766" s="23" t="s">
        <v>1098</v>
      </c>
      <c r="B1766" s="23" t="s">
        <v>1053</v>
      </c>
      <c r="C1766" s="23" t="s">
        <v>176</v>
      </c>
      <c r="D1766" s="23" t="s">
        <v>383</v>
      </c>
      <c r="E1766" s="23" t="s">
        <v>384</v>
      </c>
      <c r="F1766">
        <v>1</v>
      </c>
      <c r="G1766" s="23" t="s">
        <v>177</v>
      </c>
      <c r="H1766">
        <v>0</v>
      </c>
      <c r="I1766">
        <v>52</v>
      </c>
      <c r="J1766" s="10">
        <v>2</v>
      </c>
      <c r="K1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66">
        <v>0</v>
      </c>
      <c r="M17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6">
        <v>34</v>
      </c>
      <c r="O1766" s="23" t="s">
        <v>242</v>
      </c>
      <c r="P1766">
        <v>34</v>
      </c>
      <c r="Q1766" s="23" t="s">
        <v>179</v>
      </c>
    </row>
    <row r="1767" spans="1:17" x14ac:dyDescent="0.25">
      <c r="A1767" s="23" t="s">
        <v>1098</v>
      </c>
      <c r="B1767" s="23" t="s">
        <v>1053</v>
      </c>
      <c r="C1767" s="23" t="s">
        <v>176</v>
      </c>
      <c r="D1767" s="23" t="s">
        <v>927</v>
      </c>
      <c r="E1767" s="23" t="s">
        <v>928</v>
      </c>
      <c r="F1767">
        <v>1</v>
      </c>
      <c r="G1767" s="23" t="s">
        <v>177</v>
      </c>
      <c r="H1767">
        <v>0</v>
      </c>
      <c r="I1767">
        <v>0</v>
      </c>
      <c r="J1767" s="10">
        <v>246</v>
      </c>
      <c r="K1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1767">
        <v>0</v>
      </c>
      <c r="M17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1767">
        <v>5.42</v>
      </c>
      <c r="O1767" s="23" t="s">
        <v>629</v>
      </c>
      <c r="P1767">
        <v>5.42</v>
      </c>
      <c r="Q1767" s="23" t="s">
        <v>181</v>
      </c>
    </row>
    <row r="1768" spans="1:17" x14ac:dyDescent="0.25">
      <c r="A1768" s="23" t="s">
        <v>1150</v>
      </c>
      <c r="B1768" s="23" t="s">
        <v>1145</v>
      </c>
      <c r="C1768" s="23" t="s">
        <v>176</v>
      </c>
      <c r="D1768" s="23" t="s">
        <v>257</v>
      </c>
      <c r="E1768" s="23" t="s">
        <v>310</v>
      </c>
      <c r="F1768">
        <v>2</v>
      </c>
      <c r="G1768" s="23" t="s">
        <v>177</v>
      </c>
      <c r="H1768">
        <v>0</v>
      </c>
      <c r="I1768">
        <v>40</v>
      </c>
      <c r="J1768" s="10">
        <v>18</v>
      </c>
      <c r="K1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68">
        <v>0</v>
      </c>
      <c r="M17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8">
        <v>55</v>
      </c>
      <c r="O1768" s="23" t="s">
        <v>827</v>
      </c>
      <c r="P1768">
        <v>110</v>
      </c>
      <c r="Q1768" s="23" t="s">
        <v>222</v>
      </c>
    </row>
    <row r="1769" spans="1:17" x14ac:dyDescent="0.25">
      <c r="A1769" s="23" t="s">
        <v>1144</v>
      </c>
      <c r="B1769" s="23" t="s">
        <v>1145</v>
      </c>
      <c r="C1769" s="23" t="s">
        <v>176</v>
      </c>
      <c r="D1769" s="23" t="s">
        <v>383</v>
      </c>
      <c r="E1769" s="23" t="s">
        <v>384</v>
      </c>
      <c r="F1769">
        <v>1</v>
      </c>
      <c r="G1769" s="23" t="s">
        <v>177</v>
      </c>
      <c r="H1769">
        <v>0</v>
      </c>
      <c r="I1769">
        <v>52</v>
      </c>
      <c r="J1769" s="10">
        <v>2</v>
      </c>
      <c r="K1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69">
        <v>0</v>
      </c>
      <c r="M17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69">
        <v>34</v>
      </c>
      <c r="O1769" s="23" t="s">
        <v>242</v>
      </c>
      <c r="P1769">
        <v>34</v>
      </c>
      <c r="Q1769" s="23" t="s">
        <v>179</v>
      </c>
    </row>
    <row r="1770" spans="1:17" x14ac:dyDescent="0.25">
      <c r="A1770" s="23" t="s">
        <v>1146</v>
      </c>
      <c r="B1770" s="23" t="s">
        <v>1145</v>
      </c>
      <c r="C1770" s="23" t="s">
        <v>176</v>
      </c>
      <c r="D1770" s="23" t="s">
        <v>383</v>
      </c>
      <c r="E1770" s="23" t="s">
        <v>384</v>
      </c>
      <c r="F1770">
        <v>1</v>
      </c>
      <c r="G1770" s="23" t="s">
        <v>177</v>
      </c>
      <c r="H1770">
        <v>0</v>
      </c>
      <c r="I1770">
        <v>52</v>
      </c>
      <c r="J1770" s="10">
        <v>2</v>
      </c>
      <c r="K1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1770">
        <v>0</v>
      </c>
      <c r="M17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0">
        <v>34</v>
      </c>
      <c r="O1770" s="23" t="s">
        <v>242</v>
      </c>
      <c r="P1770">
        <v>34</v>
      </c>
      <c r="Q1770" s="23" t="s">
        <v>179</v>
      </c>
    </row>
    <row r="1771" spans="1:17" x14ac:dyDescent="0.25">
      <c r="A1771" s="23" t="s">
        <v>1149</v>
      </c>
      <c r="B1771" s="23" t="s">
        <v>1145</v>
      </c>
      <c r="C1771" s="23" t="s">
        <v>176</v>
      </c>
      <c r="D1771" s="23" t="s">
        <v>209</v>
      </c>
      <c r="E1771" s="23" t="s">
        <v>286</v>
      </c>
      <c r="F1771">
        <v>6</v>
      </c>
      <c r="G1771" s="23" t="s">
        <v>177</v>
      </c>
      <c r="H1771">
        <v>0</v>
      </c>
      <c r="I1771">
        <v>2600</v>
      </c>
      <c r="J1771" s="10">
        <v>292</v>
      </c>
      <c r="K1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1771">
        <v>0</v>
      </c>
      <c r="M17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1">
        <v>0.4</v>
      </c>
      <c r="O1771" s="23" t="s">
        <v>242</v>
      </c>
      <c r="P1771">
        <v>2.4000000000000004</v>
      </c>
      <c r="Q1771" s="23" t="s">
        <v>181</v>
      </c>
    </row>
    <row r="1772" spans="1:17" x14ac:dyDescent="0.25">
      <c r="A1772" s="23" t="s">
        <v>1094</v>
      </c>
      <c r="B1772" s="23" t="s">
        <v>1095</v>
      </c>
      <c r="C1772" s="23" t="s">
        <v>176</v>
      </c>
      <c r="D1772" s="23" t="s">
        <v>749</v>
      </c>
      <c r="E1772" s="23" t="s">
        <v>750</v>
      </c>
      <c r="F1772">
        <v>4</v>
      </c>
      <c r="G1772" s="23" t="s">
        <v>177</v>
      </c>
      <c r="H1772">
        <v>0</v>
      </c>
      <c r="I1772">
        <v>250</v>
      </c>
      <c r="J1772" s="10">
        <v>0</v>
      </c>
      <c r="K1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772">
        <v>0</v>
      </c>
      <c r="M17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2">
        <v>5.74</v>
      </c>
      <c r="O1772" s="23" t="s">
        <v>883</v>
      </c>
      <c r="P1772">
        <v>22.96</v>
      </c>
      <c r="Q1772" s="23" t="s">
        <v>181</v>
      </c>
    </row>
    <row r="1773" spans="1:17" x14ac:dyDescent="0.25">
      <c r="A1773" s="23" t="s">
        <v>1143</v>
      </c>
      <c r="B1773" s="23" t="s">
        <v>1054</v>
      </c>
      <c r="C1773" s="23" t="s">
        <v>176</v>
      </c>
      <c r="D1773" s="23" t="s">
        <v>749</v>
      </c>
      <c r="E1773" s="23" t="s">
        <v>750</v>
      </c>
      <c r="F1773">
        <v>4</v>
      </c>
      <c r="G1773" s="23" t="s">
        <v>177</v>
      </c>
      <c r="H1773">
        <v>0</v>
      </c>
      <c r="I1773">
        <v>250</v>
      </c>
      <c r="J1773" s="10">
        <v>0</v>
      </c>
      <c r="K1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1773">
        <v>0</v>
      </c>
      <c r="M17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3">
        <v>5.74</v>
      </c>
      <c r="O1773" s="23" t="s">
        <v>883</v>
      </c>
      <c r="P1773">
        <v>22.96</v>
      </c>
      <c r="Q1773" s="23" t="s">
        <v>181</v>
      </c>
    </row>
    <row r="1774" spans="1:17" x14ac:dyDescent="0.25">
      <c r="A1774" s="23" t="s">
        <v>1143</v>
      </c>
      <c r="B1774" s="23" t="s">
        <v>1054</v>
      </c>
      <c r="C1774" s="23" t="s">
        <v>176</v>
      </c>
      <c r="D1774" s="23" t="s">
        <v>95</v>
      </c>
      <c r="E1774" s="23" t="s">
        <v>96</v>
      </c>
      <c r="F1774">
        <v>1</v>
      </c>
      <c r="G1774" s="23" t="s">
        <v>177</v>
      </c>
      <c r="H1774">
        <v>0</v>
      </c>
      <c r="I1774">
        <v>13</v>
      </c>
      <c r="J1774" s="10">
        <v>6</v>
      </c>
      <c r="K1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774">
        <v>0</v>
      </c>
      <c r="M17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4">
        <v>1145.83</v>
      </c>
      <c r="O1774" s="23" t="s">
        <v>249</v>
      </c>
      <c r="P1774">
        <v>1145.83</v>
      </c>
      <c r="Q1774" s="23" t="s">
        <v>178</v>
      </c>
    </row>
    <row r="1775" spans="1:17" x14ac:dyDescent="0.25">
      <c r="A1775" s="23" t="s">
        <v>1148</v>
      </c>
      <c r="B1775" s="23" t="s">
        <v>1054</v>
      </c>
      <c r="C1775" s="23" t="s">
        <v>176</v>
      </c>
      <c r="D1775" s="23" t="s">
        <v>75</v>
      </c>
      <c r="E1775" s="23" t="s">
        <v>76</v>
      </c>
      <c r="F1775">
        <v>2</v>
      </c>
      <c r="G1775" s="23" t="s">
        <v>177</v>
      </c>
      <c r="H1775">
        <v>0</v>
      </c>
      <c r="I1775">
        <v>24</v>
      </c>
      <c r="J1775" s="10">
        <v>30</v>
      </c>
      <c r="K1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75">
        <v>50</v>
      </c>
      <c r="M17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5">
        <v>37</v>
      </c>
      <c r="O1775" s="23" t="s">
        <v>822</v>
      </c>
      <c r="P1775">
        <v>74</v>
      </c>
      <c r="Q1775" s="23" t="s">
        <v>179</v>
      </c>
    </row>
    <row r="1776" spans="1:17" x14ac:dyDescent="0.25">
      <c r="A1776" s="23" t="s">
        <v>1099</v>
      </c>
      <c r="B1776" s="23" t="s">
        <v>1056</v>
      </c>
      <c r="C1776" s="23" t="s">
        <v>176</v>
      </c>
      <c r="D1776" s="23" t="s">
        <v>75</v>
      </c>
      <c r="E1776" s="23" t="s">
        <v>76</v>
      </c>
      <c r="F1776">
        <v>3</v>
      </c>
      <c r="G1776" s="23" t="s">
        <v>177</v>
      </c>
      <c r="H1776">
        <v>0</v>
      </c>
      <c r="I1776">
        <v>24</v>
      </c>
      <c r="J1776" s="10">
        <v>30</v>
      </c>
      <c r="K1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76">
        <v>50</v>
      </c>
      <c r="M17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6">
        <v>37</v>
      </c>
      <c r="O1776" s="23" t="s">
        <v>822</v>
      </c>
      <c r="P1776">
        <v>111</v>
      </c>
      <c r="Q1776" s="23" t="s">
        <v>179</v>
      </c>
    </row>
    <row r="1777" spans="1:17" x14ac:dyDescent="0.25">
      <c r="A1777" s="23" t="s">
        <v>1150</v>
      </c>
      <c r="B1777" s="23" t="s">
        <v>1145</v>
      </c>
      <c r="C1777" s="23" t="s">
        <v>176</v>
      </c>
      <c r="D1777" s="23" t="s">
        <v>69</v>
      </c>
      <c r="E1777" s="23" t="s">
        <v>70</v>
      </c>
      <c r="F1777">
        <v>8.5400000000000009</v>
      </c>
      <c r="G1777" s="23" t="s">
        <v>186</v>
      </c>
      <c r="H1777">
        <v>0</v>
      </c>
      <c r="I1777">
        <v>181</v>
      </c>
      <c r="J1777" s="10">
        <v>-3.1263880373444408E-13</v>
      </c>
      <c r="K1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777">
        <v>46.1</v>
      </c>
      <c r="M17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77">
        <v>96.37</v>
      </c>
      <c r="O1777" s="23" t="s">
        <v>491</v>
      </c>
      <c r="P1777">
        <v>822.99980000000016</v>
      </c>
      <c r="Q1777" s="23" t="s">
        <v>184</v>
      </c>
    </row>
    <row r="1778" spans="1:17" x14ac:dyDescent="0.25">
      <c r="A1778" s="23" t="s">
        <v>1150</v>
      </c>
      <c r="B1778" s="23" t="s">
        <v>1145</v>
      </c>
      <c r="C1778" s="23" t="s">
        <v>176</v>
      </c>
      <c r="D1778" s="23" t="s">
        <v>896</v>
      </c>
      <c r="E1778" s="23" t="s">
        <v>897</v>
      </c>
      <c r="F1778">
        <v>0.2</v>
      </c>
      <c r="G1778" s="23" t="s">
        <v>186</v>
      </c>
      <c r="H1778">
        <v>0</v>
      </c>
      <c r="I1778">
        <v>0</v>
      </c>
      <c r="J1778" s="10">
        <v>0</v>
      </c>
      <c r="K1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0.8</v>
      </c>
      <c r="L1778">
        <v>0</v>
      </c>
      <c r="M17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1778">
        <v>500</v>
      </c>
      <c r="O1778" s="23" t="s">
        <v>898</v>
      </c>
      <c r="P1778">
        <v>100</v>
      </c>
      <c r="Q1778" s="23" t="s">
        <v>184</v>
      </c>
    </row>
    <row r="1779" spans="1:17" x14ac:dyDescent="0.25">
      <c r="A1779" s="23" t="s">
        <v>1150</v>
      </c>
      <c r="B1779" s="23" t="s">
        <v>1145</v>
      </c>
      <c r="C1779" s="23" t="s">
        <v>176</v>
      </c>
      <c r="D1779" s="23" t="s">
        <v>73</v>
      </c>
      <c r="E1779" s="23" t="s">
        <v>74</v>
      </c>
      <c r="F1779">
        <v>1</v>
      </c>
      <c r="G1779" s="23" t="s">
        <v>177</v>
      </c>
      <c r="H1779">
        <v>0</v>
      </c>
      <c r="I1779">
        <v>3</v>
      </c>
      <c r="J1779" s="10">
        <v>7</v>
      </c>
      <c r="K1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779">
        <v>0</v>
      </c>
      <c r="M17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779">
        <v>8822.93</v>
      </c>
      <c r="O1779" s="23" t="s">
        <v>635</v>
      </c>
      <c r="P1779">
        <v>8822.93</v>
      </c>
      <c r="Q1779" s="23" t="s">
        <v>179</v>
      </c>
    </row>
    <row r="1780" spans="1:17" x14ac:dyDescent="0.25">
      <c r="A1780" s="23" t="s">
        <v>1150</v>
      </c>
      <c r="B1780" s="23" t="s">
        <v>1145</v>
      </c>
      <c r="C1780" s="23" t="s">
        <v>176</v>
      </c>
      <c r="D1780" s="23" t="s">
        <v>381</v>
      </c>
      <c r="E1780" s="23" t="s">
        <v>382</v>
      </c>
      <c r="F1780">
        <v>1.1000000000000001</v>
      </c>
      <c r="G1780" s="23" t="s">
        <v>180</v>
      </c>
      <c r="H1780">
        <v>0</v>
      </c>
      <c r="I1780">
        <v>0</v>
      </c>
      <c r="J1780" s="10">
        <v>20.300000000000029</v>
      </c>
      <c r="K1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780">
        <v>0</v>
      </c>
      <c r="M17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780">
        <v>115</v>
      </c>
      <c r="O1780" s="23" t="s">
        <v>822</v>
      </c>
      <c r="P1780">
        <v>126.50000000000001</v>
      </c>
      <c r="Q1780" s="23" t="s">
        <v>179</v>
      </c>
    </row>
    <row r="1781" spans="1:17" x14ac:dyDescent="0.25">
      <c r="A1781" s="23" t="s">
        <v>1150</v>
      </c>
      <c r="B1781" s="23" t="s">
        <v>1145</v>
      </c>
      <c r="C1781" s="23" t="s">
        <v>176</v>
      </c>
      <c r="D1781" s="23" t="s">
        <v>469</v>
      </c>
      <c r="E1781" s="23" t="s">
        <v>580</v>
      </c>
      <c r="F1781">
        <v>1.5</v>
      </c>
      <c r="G1781" s="23" t="s">
        <v>186</v>
      </c>
      <c r="H1781">
        <v>0</v>
      </c>
      <c r="I1781">
        <v>30</v>
      </c>
      <c r="J1781" s="10">
        <v>21.5</v>
      </c>
      <c r="K1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81">
        <v>0</v>
      </c>
      <c r="M17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81">
        <v>118.14</v>
      </c>
      <c r="O1781" s="23" t="s">
        <v>394</v>
      </c>
      <c r="P1781">
        <v>177.21</v>
      </c>
      <c r="Q1781" s="23" t="s">
        <v>184</v>
      </c>
    </row>
    <row r="1782" spans="1:17" x14ac:dyDescent="0.25">
      <c r="A1782" s="23" t="s">
        <v>1149</v>
      </c>
      <c r="B1782" s="23" t="s">
        <v>1145</v>
      </c>
      <c r="C1782" s="23" t="s">
        <v>176</v>
      </c>
      <c r="D1782" s="23" t="s">
        <v>75</v>
      </c>
      <c r="E1782" s="23" t="s">
        <v>76</v>
      </c>
      <c r="F1782">
        <v>3</v>
      </c>
      <c r="G1782" s="23" t="s">
        <v>177</v>
      </c>
      <c r="H1782">
        <v>0</v>
      </c>
      <c r="I1782">
        <v>24</v>
      </c>
      <c r="J1782" s="10">
        <v>30</v>
      </c>
      <c r="K1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82">
        <v>50</v>
      </c>
      <c r="M17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2">
        <v>37</v>
      </c>
      <c r="O1782" s="23" t="s">
        <v>822</v>
      </c>
      <c r="P1782">
        <v>111</v>
      </c>
      <c r="Q1782" s="23" t="s">
        <v>179</v>
      </c>
    </row>
    <row r="1783" spans="1:17" x14ac:dyDescent="0.25">
      <c r="A1783" s="23" t="s">
        <v>1143</v>
      </c>
      <c r="B1783" s="23" t="s">
        <v>1054</v>
      </c>
      <c r="C1783" s="23" t="s">
        <v>176</v>
      </c>
      <c r="D1783" s="23" t="s">
        <v>287</v>
      </c>
      <c r="E1783" s="23" t="s">
        <v>288</v>
      </c>
      <c r="F1783">
        <v>0.36</v>
      </c>
      <c r="G1783" s="23" t="s">
        <v>186</v>
      </c>
      <c r="H1783">
        <v>0</v>
      </c>
      <c r="I1783">
        <v>10</v>
      </c>
      <c r="J1783" s="10">
        <v>14.129999999999992</v>
      </c>
      <c r="K1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783">
        <v>10</v>
      </c>
      <c r="M17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3">
        <v>393.83</v>
      </c>
      <c r="O1783" s="23" t="s">
        <v>491</v>
      </c>
      <c r="P1783">
        <v>141.77879999999999</v>
      </c>
      <c r="Q1783" s="23" t="s">
        <v>184</v>
      </c>
    </row>
    <row r="1784" spans="1:17" x14ac:dyDescent="0.25">
      <c r="A1784" s="23" t="s">
        <v>1143</v>
      </c>
      <c r="B1784" s="23" t="s">
        <v>1054</v>
      </c>
      <c r="C1784" s="23" t="s">
        <v>176</v>
      </c>
      <c r="D1784" s="23" t="s">
        <v>69</v>
      </c>
      <c r="E1784" s="23" t="s">
        <v>70</v>
      </c>
      <c r="F1784">
        <v>10.14</v>
      </c>
      <c r="G1784" s="23" t="s">
        <v>186</v>
      </c>
      <c r="H1784">
        <v>0</v>
      </c>
      <c r="I1784">
        <v>181</v>
      </c>
      <c r="J1784" s="10">
        <v>-3.1263880373444408E-13</v>
      </c>
      <c r="K1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784">
        <v>46.1</v>
      </c>
      <c r="M17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4">
        <v>96.37</v>
      </c>
      <c r="O1784" s="23" t="s">
        <v>491</v>
      </c>
      <c r="P1784">
        <v>977.19180000000006</v>
      </c>
      <c r="Q1784" s="23" t="s">
        <v>184</v>
      </c>
    </row>
    <row r="1785" spans="1:17" x14ac:dyDescent="0.25">
      <c r="A1785" s="23" t="s">
        <v>1142</v>
      </c>
      <c r="B1785" s="23" t="s">
        <v>1054</v>
      </c>
      <c r="C1785" s="23" t="s">
        <v>176</v>
      </c>
      <c r="D1785" s="23" t="s">
        <v>73</v>
      </c>
      <c r="E1785" s="23" t="s">
        <v>74</v>
      </c>
      <c r="F1785">
        <v>1</v>
      </c>
      <c r="G1785" s="23" t="s">
        <v>177</v>
      </c>
      <c r="H1785">
        <v>0</v>
      </c>
      <c r="I1785">
        <v>3</v>
      </c>
      <c r="J1785" s="10">
        <v>7</v>
      </c>
      <c r="K1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1785">
        <v>0</v>
      </c>
      <c r="M17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1785">
        <v>8822.93</v>
      </c>
      <c r="O1785" s="23" t="s">
        <v>635</v>
      </c>
      <c r="P1785">
        <v>8822.93</v>
      </c>
      <c r="Q1785" s="23" t="s">
        <v>179</v>
      </c>
    </row>
    <row r="1786" spans="1:17" x14ac:dyDescent="0.25">
      <c r="A1786" s="23" t="s">
        <v>1143</v>
      </c>
      <c r="B1786" s="23" t="s">
        <v>1054</v>
      </c>
      <c r="C1786" s="23" t="s">
        <v>176</v>
      </c>
      <c r="D1786" s="23" t="s">
        <v>68</v>
      </c>
      <c r="E1786" s="23" t="s">
        <v>586</v>
      </c>
      <c r="F1786">
        <v>0.5</v>
      </c>
      <c r="G1786" s="23" t="s">
        <v>177</v>
      </c>
      <c r="H1786">
        <v>0</v>
      </c>
      <c r="I1786">
        <v>13.5</v>
      </c>
      <c r="J1786" s="10">
        <v>8.5</v>
      </c>
      <c r="K1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786">
        <v>0</v>
      </c>
      <c r="M17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6">
        <v>1600</v>
      </c>
      <c r="O1786" s="23" t="s">
        <v>1051</v>
      </c>
      <c r="P1786">
        <v>800</v>
      </c>
      <c r="Q1786" s="23" t="s">
        <v>178</v>
      </c>
    </row>
    <row r="1787" spans="1:17" x14ac:dyDescent="0.25">
      <c r="A1787" s="23" t="s">
        <v>1096</v>
      </c>
      <c r="B1787" s="23" t="s">
        <v>1053</v>
      </c>
      <c r="C1787" s="23" t="s">
        <v>176</v>
      </c>
      <c r="D1787" s="23" t="s">
        <v>287</v>
      </c>
      <c r="E1787" s="23" t="s">
        <v>288</v>
      </c>
      <c r="F1787">
        <v>0.4</v>
      </c>
      <c r="G1787" s="23" t="s">
        <v>186</v>
      </c>
      <c r="H1787">
        <v>0.4</v>
      </c>
      <c r="I1787">
        <v>10</v>
      </c>
      <c r="J1787" s="10">
        <v>14.129999999999992</v>
      </c>
      <c r="K1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787">
        <v>10</v>
      </c>
      <c r="M17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7">
        <v>393.83</v>
      </c>
      <c r="O1787" s="23" t="s">
        <v>491</v>
      </c>
      <c r="P1787">
        <v>157.53200000000001</v>
      </c>
      <c r="Q1787" s="23" t="s">
        <v>184</v>
      </c>
    </row>
    <row r="1788" spans="1:17" x14ac:dyDescent="0.25">
      <c r="A1788" s="23" t="s">
        <v>1096</v>
      </c>
      <c r="B1788" s="23" t="s">
        <v>1053</v>
      </c>
      <c r="C1788" s="23" t="s">
        <v>176</v>
      </c>
      <c r="D1788" s="23" t="s">
        <v>69</v>
      </c>
      <c r="E1788" s="23" t="s">
        <v>70</v>
      </c>
      <c r="F1788">
        <v>10.709999999999999</v>
      </c>
      <c r="G1788" s="23" t="s">
        <v>186</v>
      </c>
      <c r="H1788">
        <v>0</v>
      </c>
      <c r="I1788">
        <v>181</v>
      </c>
      <c r="J1788" s="10">
        <v>-3.1263880373444408E-13</v>
      </c>
      <c r="K1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788">
        <v>46.1</v>
      </c>
      <c r="M17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88">
        <v>96.37</v>
      </c>
      <c r="O1788" s="23" t="s">
        <v>491</v>
      </c>
      <c r="P1788">
        <v>1032.1226999999999</v>
      </c>
      <c r="Q1788" s="23" t="s">
        <v>184</v>
      </c>
    </row>
    <row r="1789" spans="1:17" x14ac:dyDescent="0.25">
      <c r="A1789" s="23" t="s">
        <v>1057</v>
      </c>
      <c r="B1789" s="23" t="s">
        <v>1056</v>
      </c>
      <c r="C1789" s="23" t="s">
        <v>176</v>
      </c>
      <c r="D1789" s="23" t="s">
        <v>381</v>
      </c>
      <c r="E1789" s="23" t="s">
        <v>382</v>
      </c>
      <c r="F1789">
        <v>1.1000000000000001</v>
      </c>
      <c r="G1789" s="23" t="s">
        <v>180</v>
      </c>
      <c r="H1789">
        <v>0</v>
      </c>
      <c r="I1789">
        <v>0</v>
      </c>
      <c r="J1789" s="10">
        <v>20.300000000000029</v>
      </c>
      <c r="K1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789">
        <v>0</v>
      </c>
      <c r="M17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789">
        <v>115</v>
      </c>
      <c r="O1789" s="23" t="s">
        <v>822</v>
      </c>
      <c r="P1789">
        <v>126.50000000000001</v>
      </c>
      <c r="Q1789" s="23" t="s">
        <v>179</v>
      </c>
    </row>
    <row r="1790" spans="1:17" x14ac:dyDescent="0.25">
      <c r="A1790" s="23" t="s">
        <v>1143</v>
      </c>
      <c r="B1790" s="23" t="s">
        <v>1054</v>
      </c>
      <c r="C1790" s="23" t="s">
        <v>176</v>
      </c>
      <c r="D1790" s="23" t="s">
        <v>381</v>
      </c>
      <c r="E1790" s="23" t="s">
        <v>382</v>
      </c>
      <c r="F1790">
        <v>1.1000000000000001</v>
      </c>
      <c r="G1790" s="23" t="s">
        <v>180</v>
      </c>
      <c r="H1790">
        <v>0</v>
      </c>
      <c r="I1790">
        <v>0</v>
      </c>
      <c r="J1790" s="10">
        <v>20.300000000000029</v>
      </c>
      <c r="K1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790">
        <v>0</v>
      </c>
      <c r="M17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790">
        <v>115</v>
      </c>
      <c r="O1790" s="23" t="s">
        <v>822</v>
      </c>
      <c r="P1790">
        <v>126.50000000000001</v>
      </c>
      <c r="Q1790" s="23" t="s">
        <v>179</v>
      </c>
    </row>
    <row r="1791" spans="1:17" x14ac:dyDescent="0.25">
      <c r="A1791" s="23" t="s">
        <v>1094</v>
      </c>
      <c r="B1791" s="23" t="s">
        <v>1095</v>
      </c>
      <c r="C1791" s="23" t="s">
        <v>176</v>
      </c>
      <c r="D1791" s="23" t="s">
        <v>381</v>
      </c>
      <c r="E1791" s="23" t="s">
        <v>382</v>
      </c>
      <c r="F1791">
        <v>1.1000000000000001</v>
      </c>
      <c r="G1791" s="23" t="s">
        <v>180</v>
      </c>
      <c r="H1791">
        <v>0</v>
      </c>
      <c r="I1791">
        <v>0</v>
      </c>
      <c r="J1791" s="10">
        <v>20.300000000000029</v>
      </c>
      <c r="K1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791">
        <v>0</v>
      </c>
      <c r="M17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791">
        <v>115</v>
      </c>
      <c r="O1791" s="23" t="s">
        <v>822</v>
      </c>
      <c r="P1791">
        <v>126.50000000000001</v>
      </c>
      <c r="Q1791" s="23" t="s">
        <v>179</v>
      </c>
    </row>
    <row r="1792" spans="1:17" x14ac:dyDescent="0.25">
      <c r="A1792" s="23" t="s">
        <v>1096</v>
      </c>
      <c r="B1792" s="23" t="s">
        <v>1053</v>
      </c>
      <c r="C1792" s="23" t="s">
        <v>176</v>
      </c>
      <c r="D1792" s="23" t="s">
        <v>381</v>
      </c>
      <c r="E1792" s="23" t="s">
        <v>382</v>
      </c>
      <c r="F1792">
        <v>1.1000000000000001</v>
      </c>
      <c r="G1792" s="23" t="s">
        <v>180</v>
      </c>
      <c r="H1792">
        <v>0</v>
      </c>
      <c r="I1792">
        <v>0</v>
      </c>
      <c r="J1792" s="10">
        <v>20.300000000000029</v>
      </c>
      <c r="K1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792">
        <v>0</v>
      </c>
      <c r="M17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792">
        <v>115</v>
      </c>
      <c r="O1792" s="23" t="s">
        <v>822</v>
      </c>
      <c r="P1792">
        <v>126.50000000000001</v>
      </c>
      <c r="Q1792" s="23" t="s">
        <v>179</v>
      </c>
    </row>
    <row r="1793" spans="1:17" x14ac:dyDescent="0.25">
      <c r="A1793" s="23" t="s">
        <v>1143</v>
      </c>
      <c r="B1793" s="23" t="s">
        <v>1054</v>
      </c>
      <c r="C1793" s="23" t="s">
        <v>176</v>
      </c>
      <c r="D1793" s="23" t="s">
        <v>469</v>
      </c>
      <c r="E1793" s="23" t="s">
        <v>580</v>
      </c>
      <c r="F1793">
        <v>2</v>
      </c>
      <c r="G1793" s="23" t="s">
        <v>186</v>
      </c>
      <c r="H1793">
        <v>0</v>
      </c>
      <c r="I1793">
        <v>30</v>
      </c>
      <c r="J1793" s="10">
        <v>21.5</v>
      </c>
      <c r="K1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793">
        <v>0</v>
      </c>
      <c r="M17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793">
        <v>118.14</v>
      </c>
      <c r="O1793" s="23" t="s">
        <v>394</v>
      </c>
      <c r="P1793">
        <v>236.28</v>
      </c>
      <c r="Q1793" s="23" t="s">
        <v>184</v>
      </c>
    </row>
    <row r="1794" spans="1:17" x14ac:dyDescent="0.25">
      <c r="A1794" s="23" t="s">
        <v>1143</v>
      </c>
      <c r="B1794" s="23" t="s">
        <v>1054</v>
      </c>
      <c r="C1794" s="23" t="s">
        <v>176</v>
      </c>
      <c r="D1794" s="23" t="s">
        <v>75</v>
      </c>
      <c r="E1794" s="23" t="s">
        <v>76</v>
      </c>
      <c r="F1794">
        <v>3</v>
      </c>
      <c r="G1794" s="23" t="s">
        <v>177</v>
      </c>
      <c r="H1794">
        <v>0</v>
      </c>
      <c r="I1794">
        <v>24</v>
      </c>
      <c r="J1794" s="10">
        <v>30</v>
      </c>
      <c r="K1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94">
        <v>50</v>
      </c>
      <c r="M17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4">
        <v>37</v>
      </c>
      <c r="O1794" s="23" t="s">
        <v>822</v>
      </c>
      <c r="P1794">
        <v>111</v>
      </c>
      <c r="Q1794" s="23" t="s">
        <v>179</v>
      </c>
    </row>
    <row r="1795" spans="1:17" x14ac:dyDescent="0.25">
      <c r="A1795" s="23" t="s">
        <v>1143</v>
      </c>
      <c r="B1795" s="23" t="s">
        <v>1054</v>
      </c>
      <c r="C1795" s="23" t="s">
        <v>176</v>
      </c>
      <c r="D1795" s="23" t="s">
        <v>81</v>
      </c>
      <c r="E1795" s="23" t="s">
        <v>82</v>
      </c>
      <c r="F1795">
        <v>8</v>
      </c>
      <c r="G1795" s="23" t="s">
        <v>177</v>
      </c>
      <c r="H1795">
        <v>0</v>
      </c>
      <c r="I1795">
        <v>0</v>
      </c>
      <c r="J1795" s="10">
        <v>0.49999999999995737</v>
      </c>
      <c r="K1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1795">
        <v>10</v>
      </c>
      <c r="M17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1795">
        <v>666.67</v>
      </c>
      <c r="O1795" s="23" t="s">
        <v>224</v>
      </c>
      <c r="P1795">
        <v>5333.36</v>
      </c>
      <c r="Q1795" s="23" t="s">
        <v>182</v>
      </c>
    </row>
    <row r="1796" spans="1:17" x14ac:dyDescent="0.25">
      <c r="A1796" s="23" t="s">
        <v>1096</v>
      </c>
      <c r="B1796" s="23" t="s">
        <v>1053</v>
      </c>
      <c r="C1796" s="23" t="s">
        <v>176</v>
      </c>
      <c r="D1796" s="23" t="s">
        <v>414</v>
      </c>
      <c r="E1796" s="23" t="s">
        <v>665</v>
      </c>
      <c r="F1796">
        <v>0.2</v>
      </c>
      <c r="G1796" s="23" t="s">
        <v>180</v>
      </c>
      <c r="H1796">
        <v>0</v>
      </c>
      <c r="I1796">
        <v>0</v>
      </c>
      <c r="J1796" s="10">
        <v>93.8</v>
      </c>
      <c r="K1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796">
        <v>0</v>
      </c>
      <c r="M17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796">
        <v>6.77</v>
      </c>
      <c r="O1796" s="23" t="s">
        <v>636</v>
      </c>
      <c r="P1796">
        <v>1.3540000000000001</v>
      </c>
      <c r="Q1796" s="23" t="s">
        <v>222</v>
      </c>
    </row>
    <row r="1797" spans="1:17" x14ac:dyDescent="0.25">
      <c r="A1797" s="23" t="s">
        <v>1143</v>
      </c>
      <c r="B1797" s="23" t="s">
        <v>1054</v>
      </c>
      <c r="C1797" s="23" t="s">
        <v>176</v>
      </c>
      <c r="D1797" s="23" t="s">
        <v>239</v>
      </c>
      <c r="E1797" s="23" t="s">
        <v>307</v>
      </c>
      <c r="F1797">
        <v>2</v>
      </c>
      <c r="G1797" s="23" t="s">
        <v>177</v>
      </c>
      <c r="H1797">
        <v>0</v>
      </c>
      <c r="I1797">
        <v>40</v>
      </c>
      <c r="J1797" s="10">
        <v>18</v>
      </c>
      <c r="K1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797">
        <v>0</v>
      </c>
      <c r="M17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7">
        <v>45.3</v>
      </c>
      <c r="O1797" s="23" t="s">
        <v>827</v>
      </c>
      <c r="P1797">
        <v>90.6</v>
      </c>
      <c r="Q1797" s="23" t="s">
        <v>222</v>
      </c>
    </row>
    <row r="1798" spans="1:17" x14ac:dyDescent="0.25">
      <c r="A1798" s="23" t="s">
        <v>1144</v>
      </c>
      <c r="B1798" s="23" t="s">
        <v>1145</v>
      </c>
      <c r="C1798" s="23" t="s">
        <v>176</v>
      </c>
      <c r="D1798" s="23" t="s">
        <v>75</v>
      </c>
      <c r="E1798" s="23" t="s">
        <v>76</v>
      </c>
      <c r="F1798">
        <v>3</v>
      </c>
      <c r="G1798" s="23" t="s">
        <v>177</v>
      </c>
      <c r="H1798">
        <v>0</v>
      </c>
      <c r="I1798">
        <v>24</v>
      </c>
      <c r="J1798" s="10">
        <v>30</v>
      </c>
      <c r="K1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798">
        <v>50</v>
      </c>
      <c r="M17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8">
        <v>37</v>
      </c>
      <c r="O1798" s="23" t="s">
        <v>822</v>
      </c>
      <c r="P1798">
        <v>111</v>
      </c>
      <c r="Q1798" s="23" t="s">
        <v>179</v>
      </c>
    </row>
    <row r="1799" spans="1:17" x14ac:dyDescent="0.25">
      <c r="A1799" s="23" t="s">
        <v>1142</v>
      </c>
      <c r="B1799" s="23" t="s">
        <v>1054</v>
      </c>
      <c r="C1799" s="23" t="s">
        <v>176</v>
      </c>
      <c r="D1799" s="23" t="s">
        <v>68</v>
      </c>
      <c r="E1799" s="23" t="s">
        <v>586</v>
      </c>
      <c r="F1799">
        <v>0.5</v>
      </c>
      <c r="G1799" s="23" t="s">
        <v>177</v>
      </c>
      <c r="H1799">
        <v>0</v>
      </c>
      <c r="I1799">
        <v>13.5</v>
      </c>
      <c r="J1799" s="10">
        <v>8.5</v>
      </c>
      <c r="K1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799">
        <v>0</v>
      </c>
      <c r="M17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799">
        <v>1600</v>
      </c>
      <c r="O1799" s="23" t="s">
        <v>1051</v>
      </c>
      <c r="P1799">
        <v>800</v>
      </c>
      <c r="Q1799" s="23" t="s">
        <v>178</v>
      </c>
    </row>
    <row r="1800" spans="1:17" x14ac:dyDescent="0.25">
      <c r="A1800" s="23" t="s">
        <v>1096</v>
      </c>
      <c r="B1800" s="23" t="s">
        <v>1053</v>
      </c>
      <c r="C1800" s="23" t="s">
        <v>176</v>
      </c>
      <c r="D1800" s="23" t="s">
        <v>68</v>
      </c>
      <c r="E1800" s="23" t="s">
        <v>586</v>
      </c>
      <c r="F1800">
        <v>0.5</v>
      </c>
      <c r="G1800" s="23" t="s">
        <v>177</v>
      </c>
      <c r="H1800">
        <v>0</v>
      </c>
      <c r="I1800">
        <v>13.5</v>
      </c>
      <c r="J1800" s="10">
        <v>8.5</v>
      </c>
      <c r="K1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800">
        <v>0</v>
      </c>
      <c r="M18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0">
        <v>1600</v>
      </c>
      <c r="O1800" s="23" t="s">
        <v>1051</v>
      </c>
      <c r="P1800">
        <v>800</v>
      </c>
      <c r="Q1800" s="23" t="s">
        <v>178</v>
      </c>
    </row>
    <row r="1801" spans="1:17" x14ac:dyDescent="0.25">
      <c r="A1801" s="23" t="s">
        <v>1094</v>
      </c>
      <c r="B1801" s="23" t="s">
        <v>1095</v>
      </c>
      <c r="C1801" s="23" t="s">
        <v>176</v>
      </c>
      <c r="D1801" s="23" t="s">
        <v>287</v>
      </c>
      <c r="E1801" s="23" t="s">
        <v>288</v>
      </c>
      <c r="F1801">
        <v>0.34</v>
      </c>
      <c r="G1801" s="23" t="s">
        <v>186</v>
      </c>
      <c r="H1801">
        <v>0</v>
      </c>
      <c r="I1801">
        <v>10</v>
      </c>
      <c r="J1801" s="10">
        <v>14.129999999999992</v>
      </c>
      <c r="K1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1801">
        <v>10</v>
      </c>
      <c r="M18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1">
        <v>393.83</v>
      </c>
      <c r="O1801" s="23" t="s">
        <v>491</v>
      </c>
      <c r="P1801">
        <v>133.90219999999999</v>
      </c>
      <c r="Q1801" s="23" t="s">
        <v>184</v>
      </c>
    </row>
    <row r="1802" spans="1:17" x14ac:dyDescent="0.25">
      <c r="A1802" s="23" t="s">
        <v>1098</v>
      </c>
      <c r="B1802" s="23" t="s">
        <v>1053</v>
      </c>
      <c r="C1802" s="23" t="s">
        <v>176</v>
      </c>
      <c r="D1802" s="23" t="s">
        <v>36</v>
      </c>
      <c r="E1802" s="23" t="s">
        <v>37</v>
      </c>
      <c r="F1802">
        <v>3</v>
      </c>
      <c r="G1802" s="23" t="s">
        <v>177</v>
      </c>
      <c r="H1802">
        <v>0</v>
      </c>
      <c r="I1802">
        <v>35</v>
      </c>
      <c r="J1802" s="10">
        <v>24</v>
      </c>
      <c r="K1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02">
        <v>0</v>
      </c>
      <c r="M18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802">
        <v>1750</v>
      </c>
      <c r="O1802" s="23" t="s">
        <v>1221</v>
      </c>
      <c r="P1802">
        <v>5250</v>
      </c>
      <c r="Q1802" s="23" t="s">
        <v>222</v>
      </c>
    </row>
    <row r="1803" spans="1:17" x14ac:dyDescent="0.25">
      <c r="A1803" s="23" t="s">
        <v>1058</v>
      </c>
      <c r="B1803" s="23" t="s">
        <v>1059</v>
      </c>
      <c r="C1803" s="23" t="s">
        <v>176</v>
      </c>
      <c r="D1803" s="23" t="s">
        <v>824</v>
      </c>
      <c r="E1803" s="23" t="s">
        <v>825</v>
      </c>
      <c r="F1803">
        <v>8</v>
      </c>
      <c r="G1803" s="23" t="s">
        <v>177</v>
      </c>
      <c r="H1803">
        <v>8</v>
      </c>
      <c r="I1803">
        <v>175</v>
      </c>
      <c r="J1803" s="10">
        <v>0</v>
      </c>
      <c r="K1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803">
        <v>0</v>
      </c>
      <c r="M18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3">
        <v>8.42</v>
      </c>
      <c r="O1803" s="23" t="s">
        <v>883</v>
      </c>
      <c r="P1803">
        <v>67.36</v>
      </c>
      <c r="Q1803" s="23" t="s">
        <v>179</v>
      </c>
    </row>
    <row r="1804" spans="1:17" x14ac:dyDescent="0.25">
      <c r="A1804" s="23" t="s">
        <v>1058</v>
      </c>
      <c r="B1804" s="23" t="s">
        <v>1059</v>
      </c>
      <c r="C1804" s="23" t="s">
        <v>176</v>
      </c>
      <c r="D1804" s="23" t="s">
        <v>313</v>
      </c>
      <c r="E1804" s="23" t="s">
        <v>314</v>
      </c>
      <c r="F1804">
        <v>4</v>
      </c>
      <c r="G1804" s="23" t="s">
        <v>180</v>
      </c>
      <c r="H1804">
        <v>0</v>
      </c>
      <c r="I1804">
        <v>125</v>
      </c>
      <c r="J1804" s="10">
        <v>16.500000000000028</v>
      </c>
      <c r="K1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804">
        <v>0</v>
      </c>
      <c r="M18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4">
        <v>80.84</v>
      </c>
      <c r="O1804" s="23" t="s">
        <v>315</v>
      </c>
      <c r="P1804">
        <v>323.36</v>
      </c>
      <c r="Q1804" s="23" t="s">
        <v>179</v>
      </c>
    </row>
    <row r="1805" spans="1:17" x14ac:dyDescent="0.25">
      <c r="A1805" s="23" t="s">
        <v>1142</v>
      </c>
      <c r="B1805" s="23" t="s">
        <v>1054</v>
      </c>
      <c r="C1805" s="23" t="s">
        <v>176</v>
      </c>
      <c r="D1805" s="23" t="s">
        <v>824</v>
      </c>
      <c r="E1805" s="23" t="s">
        <v>825</v>
      </c>
      <c r="F1805">
        <v>8</v>
      </c>
      <c r="G1805" s="23" t="s">
        <v>177</v>
      </c>
      <c r="H1805">
        <v>0</v>
      </c>
      <c r="I1805">
        <v>175</v>
      </c>
      <c r="J1805" s="10">
        <v>0</v>
      </c>
      <c r="K1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-95</v>
      </c>
      <c r="L1805">
        <v>0</v>
      </c>
      <c r="M18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5">
        <v>8.42</v>
      </c>
      <c r="O1805" s="23" t="s">
        <v>883</v>
      </c>
      <c r="P1805">
        <v>67.36</v>
      </c>
      <c r="Q1805" s="23" t="s">
        <v>179</v>
      </c>
    </row>
    <row r="1806" spans="1:17" x14ac:dyDescent="0.25">
      <c r="A1806" s="23" t="s">
        <v>1142</v>
      </c>
      <c r="B1806" s="23" t="s">
        <v>1054</v>
      </c>
      <c r="C1806" s="23" t="s">
        <v>176</v>
      </c>
      <c r="D1806" s="23" t="s">
        <v>36</v>
      </c>
      <c r="E1806" s="23" t="s">
        <v>37</v>
      </c>
      <c r="F1806">
        <v>3</v>
      </c>
      <c r="G1806" s="23" t="s">
        <v>177</v>
      </c>
      <c r="H1806">
        <v>0</v>
      </c>
      <c r="I1806">
        <v>35</v>
      </c>
      <c r="J1806" s="10">
        <v>24</v>
      </c>
      <c r="K1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06">
        <v>0</v>
      </c>
      <c r="M18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806">
        <v>1750</v>
      </c>
      <c r="O1806" s="23" t="s">
        <v>1221</v>
      </c>
      <c r="P1806">
        <v>5250</v>
      </c>
      <c r="Q1806" s="23" t="s">
        <v>222</v>
      </c>
    </row>
    <row r="1807" spans="1:17" x14ac:dyDescent="0.25">
      <c r="A1807" s="23" t="s">
        <v>1150</v>
      </c>
      <c r="B1807" s="23" t="s">
        <v>1145</v>
      </c>
      <c r="C1807" s="23" t="s">
        <v>176</v>
      </c>
      <c r="D1807" s="23" t="s">
        <v>36</v>
      </c>
      <c r="E1807" s="23" t="s">
        <v>37</v>
      </c>
      <c r="F1807">
        <v>3</v>
      </c>
      <c r="G1807" s="23" t="s">
        <v>177</v>
      </c>
      <c r="H1807">
        <v>0</v>
      </c>
      <c r="I1807">
        <v>35</v>
      </c>
      <c r="J1807" s="10">
        <v>24</v>
      </c>
      <c r="K1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07">
        <v>0</v>
      </c>
      <c r="M18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807">
        <v>1750</v>
      </c>
      <c r="O1807" s="23" t="s">
        <v>1221</v>
      </c>
      <c r="P1807">
        <v>5250</v>
      </c>
      <c r="Q1807" s="23" t="s">
        <v>222</v>
      </c>
    </row>
    <row r="1808" spans="1:17" x14ac:dyDescent="0.25">
      <c r="A1808" s="23" t="s">
        <v>1150</v>
      </c>
      <c r="B1808" s="23" t="s">
        <v>1145</v>
      </c>
      <c r="C1808" s="23" t="s">
        <v>176</v>
      </c>
      <c r="D1808" s="23" t="s">
        <v>961</v>
      </c>
      <c r="E1808" s="23" t="s">
        <v>962</v>
      </c>
      <c r="F1808">
        <v>1</v>
      </c>
      <c r="G1808" s="23" t="s">
        <v>177</v>
      </c>
      <c r="H1808">
        <v>0</v>
      </c>
      <c r="I1808">
        <v>4</v>
      </c>
      <c r="J1808" s="10">
        <v>2</v>
      </c>
      <c r="K1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808">
        <v>0</v>
      </c>
      <c r="M18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8">
        <v>2249.17</v>
      </c>
      <c r="O1808" s="23" t="s">
        <v>1072</v>
      </c>
      <c r="P1808">
        <v>2249.17</v>
      </c>
      <c r="Q1808" s="23" t="s">
        <v>178</v>
      </c>
    </row>
    <row r="1809" spans="1:17" x14ac:dyDescent="0.25">
      <c r="A1809" s="23" t="s">
        <v>1150</v>
      </c>
      <c r="B1809" s="23" t="s">
        <v>1145</v>
      </c>
      <c r="C1809" s="23" t="s">
        <v>176</v>
      </c>
      <c r="D1809" s="23" t="s">
        <v>447</v>
      </c>
      <c r="E1809" s="23" t="s">
        <v>448</v>
      </c>
      <c r="F1809">
        <v>1</v>
      </c>
      <c r="G1809" s="23" t="s">
        <v>177</v>
      </c>
      <c r="H1809">
        <v>0</v>
      </c>
      <c r="I1809">
        <v>15</v>
      </c>
      <c r="J1809" s="10">
        <v>11</v>
      </c>
      <c r="K1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809">
        <v>0</v>
      </c>
      <c r="M18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09">
        <v>237.5</v>
      </c>
      <c r="O1809" s="23" t="s">
        <v>629</v>
      </c>
      <c r="P1809">
        <v>237.5</v>
      </c>
      <c r="Q1809" s="23" t="s">
        <v>181</v>
      </c>
    </row>
    <row r="1810" spans="1:17" x14ac:dyDescent="0.25">
      <c r="A1810" s="23" t="s">
        <v>1094</v>
      </c>
      <c r="B1810" s="23" t="s">
        <v>1095</v>
      </c>
      <c r="C1810" s="23" t="s">
        <v>176</v>
      </c>
      <c r="D1810" s="23" t="s">
        <v>36</v>
      </c>
      <c r="E1810" s="23" t="s">
        <v>37</v>
      </c>
      <c r="F1810">
        <v>3</v>
      </c>
      <c r="G1810" s="23" t="s">
        <v>177</v>
      </c>
      <c r="H1810">
        <v>0</v>
      </c>
      <c r="I1810">
        <v>35</v>
      </c>
      <c r="J1810" s="10">
        <v>24</v>
      </c>
      <c r="K1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10">
        <v>0</v>
      </c>
      <c r="M18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810">
        <v>1750</v>
      </c>
      <c r="O1810" s="23" t="s">
        <v>1221</v>
      </c>
      <c r="P1810">
        <v>5250</v>
      </c>
      <c r="Q1810" s="23" t="s">
        <v>222</v>
      </c>
    </row>
    <row r="1811" spans="1:17" x14ac:dyDescent="0.25">
      <c r="A1811" s="23" t="s">
        <v>1094</v>
      </c>
      <c r="B1811" s="23" t="s">
        <v>1095</v>
      </c>
      <c r="C1811" s="23" t="s">
        <v>176</v>
      </c>
      <c r="D1811" s="23" t="s">
        <v>240</v>
      </c>
      <c r="E1811" s="23" t="s">
        <v>241</v>
      </c>
      <c r="F1811">
        <v>3.6100000000000003</v>
      </c>
      <c r="G1811" s="23" t="s">
        <v>186</v>
      </c>
      <c r="H1811">
        <v>0</v>
      </c>
      <c r="I1811">
        <v>110</v>
      </c>
      <c r="J1811" s="10">
        <v>57.22</v>
      </c>
      <c r="K1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811">
        <v>0</v>
      </c>
      <c r="M18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1">
        <v>40</v>
      </c>
      <c r="O1811" s="23" t="s">
        <v>242</v>
      </c>
      <c r="P1811">
        <v>144.4</v>
      </c>
      <c r="Q1811" s="23" t="s">
        <v>181</v>
      </c>
    </row>
    <row r="1812" spans="1:17" x14ac:dyDescent="0.25">
      <c r="A1812" s="23" t="s">
        <v>1149</v>
      </c>
      <c r="B1812" s="23" t="s">
        <v>1145</v>
      </c>
      <c r="C1812" s="23" t="s">
        <v>176</v>
      </c>
      <c r="D1812" s="23" t="s">
        <v>36</v>
      </c>
      <c r="E1812" s="23" t="s">
        <v>37</v>
      </c>
      <c r="F1812">
        <v>3</v>
      </c>
      <c r="G1812" s="23" t="s">
        <v>177</v>
      </c>
      <c r="H1812">
        <v>0</v>
      </c>
      <c r="I1812">
        <v>35</v>
      </c>
      <c r="J1812" s="10">
        <v>24</v>
      </c>
      <c r="K1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12">
        <v>0</v>
      </c>
      <c r="M18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812">
        <v>1750</v>
      </c>
      <c r="O1812" s="23" t="s">
        <v>1221</v>
      </c>
      <c r="P1812">
        <v>5250</v>
      </c>
      <c r="Q1812" s="23" t="s">
        <v>222</v>
      </c>
    </row>
    <row r="1813" spans="1:17" x14ac:dyDescent="0.25">
      <c r="A1813" s="23" t="s">
        <v>1149</v>
      </c>
      <c r="B1813" s="23" t="s">
        <v>1145</v>
      </c>
      <c r="C1813" s="23" t="s">
        <v>176</v>
      </c>
      <c r="D1813" s="23" t="s">
        <v>240</v>
      </c>
      <c r="E1813" s="23" t="s">
        <v>241</v>
      </c>
      <c r="F1813">
        <v>2.8</v>
      </c>
      <c r="G1813" s="23" t="s">
        <v>186</v>
      </c>
      <c r="H1813">
        <v>0</v>
      </c>
      <c r="I1813">
        <v>110</v>
      </c>
      <c r="J1813" s="10">
        <v>57.22</v>
      </c>
      <c r="K1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813">
        <v>0</v>
      </c>
      <c r="M18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3">
        <v>40</v>
      </c>
      <c r="O1813" s="23" t="s">
        <v>242</v>
      </c>
      <c r="P1813">
        <v>112</v>
      </c>
      <c r="Q1813" s="23" t="s">
        <v>181</v>
      </c>
    </row>
    <row r="1814" spans="1:17" x14ac:dyDescent="0.25">
      <c r="A1814" s="23" t="s">
        <v>1144</v>
      </c>
      <c r="B1814" s="23" t="s">
        <v>1145</v>
      </c>
      <c r="C1814" s="23" t="s">
        <v>176</v>
      </c>
      <c r="D1814" s="23" t="s">
        <v>447</v>
      </c>
      <c r="E1814" s="23" t="s">
        <v>448</v>
      </c>
      <c r="F1814">
        <v>1</v>
      </c>
      <c r="G1814" s="23" t="s">
        <v>177</v>
      </c>
      <c r="H1814">
        <v>0</v>
      </c>
      <c r="I1814">
        <v>15</v>
      </c>
      <c r="J1814" s="10">
        <v>11</v>
      </c>
      <c r="K1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814">
        <v>0</v>
      </c>
      <c r="M18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4">
        <v>237.5</v>
      </c>
      <c r="O1814" s="23" t="s">
        <v>629</v>
      </c>
      <c r="P1814">
        <v>237.5</v>
      </c>
      <c r="Q1814" s="23" t="s">
        <v>181</v>
      </c>
    </row>
    <row r="1815" spans="1:17" x14ac:dyDescent="0.25">
      <c r="A1815" s="23" t="s">
        <v>1148</v>
      </c>
      <c r="B1815" s="23" t="s">
        <v>1054</v>
      </c>
      <c r="C1815" s="23" t="s">
        <v>176</v>
      </c>
      <c r="D1815" s="23" t="s">
        <v>867</v>
      </c>
      <c r="E1815" s="23" t="s">
        <v>868</v>
      </c>
      <c r="F1815">
        <v>4</v>
      </c>
      <c r="G1815" s="23" t="s">
        <v>177</v>
      </c>
      <c r="H1815">
        <v>0</v>
      </c>
      <c r="I1815">
        <v>415</v>
      </c>
      <c r="J1815" s="10">
        <v>0</v>
      </c>
      <c r="K1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815">
        <v>0</v>
      </c>
      <c r="M18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5">
        <v>4.25</v>
      </c>
      <c r="O1815" s="23" t="s">
        <v>242</v>
      </c>
      <c r="P1815">
        <v>17</v>
      </c>
      <c r="Q1815" s="23" t="s">
        <v>179</v>
      </c>
    </row>
    <row r="1816" spans="1:17" x14ac:dyDescent="0.25">
      <c r="A1816" s="23" t="s">
        <v>1143</v>
      </c>
      <c r="B1816" s="23" t="s">
        <v>1054</v>
      </c>
      <c r="C1816" s="23" t="s">
        <v>176</v>
      </c>
      <c r="D1816" s="23" t="s">
        <v>867</v>
      </c>
      <c r="E1816" s="23" t="s">
        <v>868</v>
      </c>
      <c r="F1816">
        <v>4</v>
      </c>
      <c r="G1816" s="23" t="s">
        <v>177</v>
      </c>
      <c r="H1816">
        <v>0</v>
      </c>
      <c r="I1816">
        <v>415</v>
      </c>
      <c r="J1816" s="10">
        <v>0</v>
      </c>
      <c r="K1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816">
        <v>0</v>
      </c>
      <c r="M18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6">
        <v>4.25</v>
      </c>
      <c r="O1816" s="23" t="s">
        <v>242</v>
      </c>
      <c r="P1816">
        <v>17</v>
      </c>
      <c r="Q1816" s="23" t="s">
        <v>179</v>
      </c>
    </row>
    <row r="1817" spans="1:17" x14ac:dyDescent="0.25">
      <c r="A1817" s="23" t="s">
        <v>1143</v>
      </c>
      <c r="B1817" s="23" t="s">
        <v>1054</v>
      </c>
      <c r="C1817" s="23" t="s">
        <v>176</v>
      </c>
      <c r="D1817" s="23" t="s">
        <v>725</v>
      </c>
      <c r="E1817" s="23" t="s">
        <v>726</v>
      </c>
      <c r="F1817">
        <v>1</v>
      </c>
      <c r="G1817" s="23" t="s">
        <v>177</v>
      </c>
      <c r="H1817">
        <v>0</v>
      </c>
      <c r="I1817">
        <v>56</v>
      </c>
      <c r="J1817" s="10">
        <v>4</v>
      </c>
      <c r="K1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1817">
        <v>0</v>
      </c>
      <c r="M18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7">
        <v>16.5</v>
      </c>
      <c r="O1817" s="23" t="s">
        <v>242</v>
      </c>
      <c r="P1817">
        <v>16.5</v>
      </c>
      <c r="Q1817" s="23" t="s">
        <v>179</v>
      </c>
    </row>
    <row r="1818" spans="1:17" x14ac:dyDescent="0.25">
      <c r="A1818" s="23" t="s">
        <v>1094</v>
      </c>
      <c r="B1818" s="23" t="s">
        <v>1095</v>
      </c>
      <c r="C1818" s="23" t="s">
        <v>176</v>
      </c>
      <c r="D1818" s="23" t="s">
        <v>867</v>
      </c>
      <c r="E1818" s="23" t="s">
        <v>868</v>
      </c>
      <c r="F1818">
        <v>8</v>
      </c>
      <c r="G1818" s="23" t="s">
        <v>177</v>
      </c>
      <c r="H1818">
        <v>0</v>
      </c>
      <c r="I1818">
        <v>415</v>
      </c>
      <c r="J1818" s="10">
        <v>0</v>
      </c>
      <c r="K1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-393</v>
      </c>
      <c r="L1818">
        <v>0</v>
      </c>
      <c r="M18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8">
        <v>4.25</v>
      </c>
      <c r="O1818" s="23" t="s">
        <v>242</v>
      </c>
      <c r="P1818">
        <v>34</v>
      </c>
      <c r="Q1818" s="23" t="s">
        <v>179</v>
      </c>
    </row>
    <row r="1819" spans="1:17" x14ac:dyDescent="0.25">
      <c r="A1819" s="23" t="s">
        <v>1150</v>
      </c>
      <c r="B1819" s="23" t="s">
        <v>1145</v>
      </c>
      <c r="C1819" s="23" t="s">
        <v>176</v>
      </c>
      <c r="D1819" s="23" t="s">
        <v>1158</v>
      </c>
      <c r="E1819" s="23" t="s">
        <v>1159</v>
      </c>
      <c r="F1819">
        <v>6</v>
      </c>
      <c r="G1819" s="23" t="s">
        <v>177</v>
      </c>
      <c r="H1819">
        <v>0</v>
      </c>
      <c r="I1819">
        <v>0</v>
      </c>
      <c r="J1819" s="10">
        <v>0</v>
      </c>
      <c r="K1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1819">
        <v>0</v>
      </c>
      <c r="M18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19">
        <v>0</v>
      </c>
      <c r="O1819" s="23"/>
      <c r="P1819">
        <v>0</v>
      </c>
      <c r="Q1819" s="23" t="s">
        <v>181</v>
      </c>
    </row>
    <row r="1820" spans="1:17" x14ac:dyDescent="0.25">
      <c r="A1820" s="23" t="s">
        <v>1150</v>
      </c>
      <c r="B1820" s="23" t="s">
        <v>1145</v>
      </c>
      <c r="C1820" s="23" t="s">
        <v>176</v>
      </c>
      <c r="D1820" s="23" t="s">
        <v>93</v>
      </c>
      <c r="E1820" s="23" t="s">
        <v>94</v>
      </c>
      <c r="F1820">
        <v>4</v>
      </c>
      <c r="G1820" s="23" t="s">
        <v>177</v>
      </c>
      <c r="H1820">
        <v>0</v>
      </c>
      <c r="I1820">
        <v>105</v>
      </c>
      <c r="J1820" s="10">
        <v>56</v>
      </c>
      <c r="K1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820">
        <v>0</v>
      </c>
      <c r="M18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0">
        <v>72.599999999999994</v>
      </c>
      <c r="O1820" s="23" t="s">
        <v>242</v>
      </c>
      <c r="P1820">
        <v>290.39999999999998</v>
      </c>
      <c r="Q1820" s="23" t="s">
        <v>179</v>
      </c>
    </row>
    <row r="1821" spans="1:17" x14ac:dyDescent="0.25">
      <c r="A1821" s="23" t="s">
        <v>1150</v>
      </c>
      <c r="B1821" s="23" t="s">
        <v>1145</v>
      </c>
      <c r="C1821" s="23" t="s">
        <v>176</v>
      </c>
      <c r="D1821" s="23" t="s">
        <v>71</v>
      </c>
      <c r="E1821" s="23" t="s">
        <v>289</v>
      </c>
      <c r="F1821">
        <v>6.8</v>
      </c>
      <c r="G1821" s="23" t="s">
        <v>186</v>
      </c>
      <c r="H1821">
        <v>0</v>
      </c>
      <c r="I1821">
        <v>120</v>
      </c>
      <c r="J1821" s="10">
        <v>113.68999999999956</v>
      </c>
      <c r="K1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821">
        <v>120</v>
      </c>
      <c r="M18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1">
        <v>101.44</v>
      </c>
      <c r="O1821" s="23" t="s">
        <v>491</v>
      </c>
      <c r="P1821">
        <v>689.79199999999992</v>
      </c>
      <c r="Q1821" s="23" t="s">
        <v>184</v>
      </c>
    </row>
    <row r="1822" spans="1:17" x14ac:dyDescent="0.25">
      <c r="A1822" s="23" t="s">
        <v>1150</v>
      </c>
      <c r="B1822" s="23" t="s">
        <v>1145</v>
      </c>
      <c r="C1822" s="23" t="s">
        <v>176</v>
      </c>
      <c r="D1822" s="23" t="s">
        <v>72</v>
      </c>
      <c r="E1822" s="23" t="s">
        <v>251</v>
      </c>
      <c r="F1822">
        <v>8.1</v>
      </c>
      <c r="G1822" s="23" t="s">
        <v>177</v>
      </c>
      <c r="H1822">
        <v>0</v>
      </c>
      <c r="I1822">
        <v>96</v>
      </c>
      <c r="J1822" s="10">
        <v>195.44000000000005</v>
      </c>
      <c r="K1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822">
        <v>0</v>
      </c>
      <c r="M18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822">
        <v>128.93</v>
      </c>
      <c r="O1822" s="23" t="s">
        <v>252</v>
      </c>
      <c r="P1822">
        <v>1044.3330000000001</v>
      </c>
      <c r="Q1822" s="23" t="s">
        <v>181</v>
      </c>
    </row>
    <row r="1823" spans="1:17" x14ac:dyDescent="0.25">
      <c r="A1823" s="23" t="s">
        <v>1148</v>
      </c>
      <c r="B1823" s="23" t="s">
        <v>1054</v>
      </c>
      <c r="C1823" s="23" t="s">
        <v>176</v>
      </c>
      <c r="D1823" s="23" t="s">
        <v>461</v>
      </c>
      <c r="E1823" s="23" t="s">
        <v>462</v>
      </c>
      <c r="F1823">
        <v>1.5</v>
      </c>
      <c r="G1823" s="23" t="s">
        <v>177</v>
      </c>
      <c r="H1823">
        <v>0</v>
      </c>
      <c r="I1823">
        <v>72</v>
      </c>
      <c r="J1823" s="10">
        <v>2</v>
      </c>
      <c r="K1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823">
        <v>0</v>
      </c>
      <c r="M18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3">
        <v>5</v>
      </c>
      <c r="O1823" s="23" t="s">
        <v>242</v>
      </c>
      <c r="P1823">
        <v>7.5</v>
      </c>
      <c r="Q1823" s="23" t="s">
        <v>181</v>
      </c>
    </row>
    <row r="1824" spans="1:17" x14ac:dyDescent="0.25">
      <c r="A1824" s="23" t="s">
        <v>1149</v>
      </c>
      <c r="B1824" s="23" t="s">
        <v>1145</v>
      </c>
      <c r="C1824" s="23" t="s">
        <v>176</v>
      </c>
      <c r="D1824" s="23" t="s">
        <v>71</v>
      </c>
      <c r="E1824" s="23" t="s">
        <v>289</v>
      </c>
      <c r="F1824">
        <v>6.8</v>
      </c>
      <c r="G1824" s="23" t="s">
        <v>186</v>
      </c>
      <c r="H1824">
        <v>0</v>
      </c>
      <c r="I1824">
        <v>120</v>
      </c>
      <c r="J1824" s="10">
        <v>113.68999999999956</v>
      </c>
      <c r="K1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824">
        <v>120</v>
      </c>
      <c r="M18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4">
        <v>101.44</v>
      </c>
      <c r="O1824" s="23" t="s">
        <v>491</v>
      </c>
      <c r="P1824">
        <v>689.79199999999992</v>
      </c>
      <c r="Q1824" s="23" t="s">
        <v>184</v>
      </c>
    </row>
    <row r="1825" spans="1:17" x14ac:dyDescent="0.25">
      <c r="A1825" s="23" t="s">
        <v>1150</v>
      </c>
      <c r="B1825" s="23" t="s">
        <v>1145</v>
      </c>
      <c r="C1825" s="23" t="s">
        <v>176</v>
      </c>
      <c r="D1825" s="23" t="s">
        <v>1028</v>
      </c>
      <c r="E1825" s="23" t="s">
        <v>1029</v>
      </c>
      <c r="F1825">
        <v>1</v>
      </c>
      <c r="G1825" s="23" t="s">
        <v>183</v>
      </c>
      <c r="H1825">
        <v>0</v>
      </c>
      <c r="I1825">
        <v>40</v>
      </c>
      <c r="J1825" s="10">
        <v>20</v>
      </c>
      <c r="K1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825">
        <v>0</v>
      </c>
      <c r="M18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5">
        <v>54.17</v>
      </c>
      <c r="O1825" s="23" t="s">
        <v>454</v>
      </c>
      <c r="P1825">
        <v>54.17</v>
      </c>
      <c r="Q1825" s="23" t="s">
        <v>184</v>
      </c>
    </row>
    <row r="1826" spans="1:17" x14ac:dyDescent="0.25">
      <c r="A1826" s="23" t="s">
        <v>1149</v>
      </c>
      <c r="B1826" s="23" t="s">
        <v>1145</v>
      </c>
      <c r="C1826" s="23" t="s">
        <v>176</v>
      </c>
      <c r="D1826" s="23" t="s">
        <v>390</v>
      </c>
      <c r="E1826" s="23" t="s">
        <v>391</v>
      </c>
      <c r="F1826">
        <v>8</v>
      </c>
      <c r="G1826" s="23" t="s">
        <v>177</v>
      </c>
      <c r="H1826">
        <v>0</v>
      </c>
      <c r="I1826">
        <v>100</v>
      </c>
      <c r="J1826" s="10">
        <v>352</v>
      </c>
      <c r="K1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826">
        <v>0</v>
      </c>
      <c r="M18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6">
        <v>6.4</v>
      </c>
      <c r="O1826" s="23" t="s">
        <v>883</v>
      </c>
      <c r="P1826">
        <v>51.2</v>
      </c>
      <c r="Q1826" s="23" t="s">
        <v>179</v>
      </c>
    </row>
    <row r="1827" spans="1:17" x14ac:dyDescent="0.25">
      <c r="A1827" s="23" t="s">
        <v>1146</v>
      </c>
      <c r="B1827" s="23" t="s">
        <v>1145</v>
      </c>
      <c r="C1827" s="23" t="s">
        <v>176</v>
      </c>
      <c r="D1827" s="23" t="s">
        <v>390</v>
      </c>
      <c r="E1827" s="23" t="s">
        <v>391</v>
      </c>
      <c r="F1827">
        <v>4</v>
      </c>
      <c r="G1827" s="23" t="s">
        <v>177</v>
      </c>
      <c r="H1827">
        <v>0</v>
      </c>
      <c r="I1827">
        <v>100</v>
      </c>
      <c r="J1827" s="10">
        <v>352</v>
      </c>
      <c r="K1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827">
        <v>0</v>
      </c>
      <c r="M18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7">
        <v>6.4</v>
      </c>
      <c r="O1827" s="23" t="s">
        <v>883</v>
      </c>
      <c r="P1827">
        <v>25.6</v>
      </c>
      <c r="Q1827" s="23" t="s">
        <v>179</v>
      </c>
    </row>
    <row r="1828" spans="1:17" x14ac:dyDescent="0.25">
      <c r="A1828" s="23" t="s">
        <v>1142</v>
      </c>
      <c r="B1828" s="23" t="s">
        <v>1054</v>
      </c>
      <c r="C1828" s="23" t="s">
        <v>176</v>
      </c>
      <c r="D1828" s="23" t="s">
        <v>669</v>
      </c>
      <c r="E1828" s="23" t="s">
        <v>670</v>
      </c>
      <c r="F1828">
        <v>1</v>
      </c>
      <c r="G1828" s="23" t="s">
        <v>177</v>
      </c>
      <c r="H1828">
        <v>0</v>
      </c>
      <c r="I1828">
        <v>13</v>
      </c>
      <c r="J1828" s="10">
        <v>4</v>
      </c>
      <c r="K1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1828">
        <v>0</v>
      </c>
      <c r="M18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28">
        <v>1250</v>
      </c>
      <c r="O1828" s="23" t="s">
        <v>338</v>
      </c>
      <c r="P1828">
        <v>1250</v>
      </c>
      <c r="Q1828" s="23" t="s">
        <v>178</v>
      </c>
    </row>
    <row r="1829" spans="1:17" x14ac:dyDescent="0.25">
      <c r="A1829" s="23" t="s">
        <v>1143</v>
      </c>
      <c r="B1829" s="23" t="s">
        <v>1054</v>
      </c>
      <c r="C1829" s="23" t="s">
        <v>176</v>
      </c>
      <c r="D1829" s="23" t="s">
        <v>72</v>
      </c>
      <c r="E1829" s="23" t="s">
        <v>251</v>
      </c>
      <c r="F1829">
        <v>9.4500000000000011</v>
      </c>
      <c r="G1829" s="23" t="s">
        <v>177</v>
      </c>
      <c r="H1829">
        <v>0</v>
      </c>
      <c r="I1829">
        <v>96</v>
      </c>
      <c r="J1829" s="10">
        <v>195.44000000000005</v>
      </c>
      <c r="K1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829">
        <v>0</v>
      </c>
      <c r="M18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829">
        <v>128.93</v>
      </c>
      <c r="O1829" s="23" t="s">
        <v>252</v>
      </c>
      <c r="P1829">
        <v>1218.3885000000002</v>
      </c>
      <c r="Q1829" s="23" t="s">
        <v>181</v>
      </c>
    </row>
    <row r="1830" spans="1:17" x14ac:dyDescent="0.25">
      <c r="A1830" s="23" t="s">
        <v>1143</v>
      </c>
      <c r="B1830" s="23" t="s">
        <v>1054</v>
      </c>
      <c r="C1830" s="23" t="s">
        <v>176</v>
      </c>
      <c r="D1830" s="23" t="s">
        <v>71</v>
      </c>
      <c r="E1830" s="23" t="s">
        <v>289</v>
      </c>
      <c r="F1830">
        <v>5.8599999999999994</v>
      </c>
      <c r="G1830" s="23" t="s">
        <v>186</v>
      </c>
      <c r="H1830">
        <v>0</v>
      </c>
      <c r="I1830">
        <v>120</v>
      </c>
      <c r="J1830" s="10">
        <v>113.68999999999956</v>
      </c>
      <c r="K1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830">
        <v>120</v>
      </c>
      <c r="M18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0">
        <v>101.44</v>
      </c>
      <c r="O1830" s="23" t="s">
        <v>491</v>
      </c>
      <c r="P1830">
        <v>594.43839999999989</v>
      </c>
      <c r="Q1830" s="23" t="s">
        <v>184</v>
      </c>
    </row>
    <row r="1831" spans="1:17" x14ac:dyDescent="0.25">
      <c r="A1831" s="23" t="s">
        <v>1096</v>
      </c>
      <c r="B1831" s="23" t="s">
        <v>1053</v>
      </c>
      <c r="C1831" s="23" t="s">
        <v>176</v>
      </c>
      <c r="D1831" s="23" t="s">
        <v>72</v>
      </c>
      <c r="E1831" s="23" t="s">
        <v>251</v>
      </c>
      <c r="F1831">
        <v>9.51</v>
      </c>
      <c r="G1831" s="23" t="s">
        <v>177</v>
      </c>
      <c r="H1831">
        <v>0</v>
      </c>
      <c r="I1831">
        <v>96</v>
      </c>
      <c r="J1831" s="10">
        <v>195.44000000000005</v>
      </c>
      <c r="K1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831">
        <v>0</v>
      </c>
      <c r="M18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831">
        <v>128.93</v>
      </c>
      <c r="O1831" s="23" t="s">
        <v>252</v>
      </c>
      <c r="P1831">
        <v>1226.1242999999999</v>
      </c>
      <c r="Q1831" s="23" t="s">
        <v>181</v>
      </c>
    </row>
    <row r="1832" spans="1:17" x14ac:dyDescent="0.25">
      <c r="A1832" s="23" t="s">
        <v>1094</v>
      </c>
      <c r="B1832" s="23" t="s">
        <v>1095</v>
      </c>
      <c r="C1832" s="23" t="s">
        <v>176</v>
      </c>
      <c r="D1832" s="23" t="s">
        <v>1028</v>
      </c>
      <c r="E1832" s="23" t="s">
        <v>1029</v>
      </c>
      <c r="F1832">
        <v>0.125</v>
      </c>
      <c r="G1832" s="23" t="s">
        <v>183</v>
      </c>
      <c r="H1832">
        <v>0</v>
      </c>
      <c r="I1832">
        <v>40</v>
      </c>
      <c r="J1832" s="10">
        <v>20</v>
      </c>
      <c r="K1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-35.625</v>
      </c>
      <c r="L1832">
        <v>0</v>
      </c>
      <c r="M18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2">
        <v>54.17</v>
      </c>
      <c r="O1832" s="23" t="s">
        <v>454</v>
      </c>
      <c r="P1832">
        <v>6.7712500000000002</v>
      </c>
      <c r="Q1832" s="23" t="s">
        <v>184</v>
      </c>
    </row>
    <row r="1833" spans="1:17" x14ac:dyDescent="0.25">
      <c r="A1833" s="23" t="s">
        <v>1142</v>
      </c>
      <c r="B1833" s="23" t="s">
        <v>1054</v>
      </c>
      <c r="C1833" s="23" t="s">
        <v>176</v>
      </c>
      <c r="D1833" s="23" t="s">
        <v>390</v>
      </c>
      <c r="E1833" s="23" t="s">
        <v>391</v>
      </c>
      <c r="F1833">
        <v>4</v>
      </c>
      <c r="G1833" s="23" t="s">
        <v>177</v>
      </c>
      <c r="H1833">
        <v>0</v>
      </c>
      <c r="I1833">
        <v>100</v>
      </c>
      <c r="J1833" s="10">
        <v>352</v>
      </c>
      <c r="K1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833">
        <v>0</v>
      </c>
      <c r="M18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3">
        <v>6.4</v>
      </c>
      <c r="O1833" s="23" t="s">
        <v>883</v>
      </c>
      <c r="P1833">
        <v>25.6</v>
      </c>
      <c r="Q1833" s="23" t="s">
        <v>179</v>
      </c>
    </row>
    <row r="1834" spans="1:17" x14ac:dyDescent="0.25">
      <c r="A1834" s="23" t="s">
        <v>1094</v>
      </c>
      <c r="B1834" s="23" t="s">
        <v>1095</v>
      </c>
      <c r="C1834" s="23" t="s">
        <v>176</v>
      </c>
      <c r="D1834" s="23" t="s">
        <v>610</v>
      </c>
      <c r="E1834" s="23" t="s">
        <v>611</v>
      </c>
      <c r="F1834">
        <v>0.5</v>
      </c>
      <c r="G1834" s="23" t="s">
        <v>177</v>
      </c>
      <c r="H1834">
        <v>0</v>
      </c>
      <c r="I1834">
        <v>0</v>
      </c>
      <c r="J1834" s="10">
        <v>-7.1054273576010019E-15</v>
      </c>
      <c r="K1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834">
        <v>11</v>
      </c>
      <c r="M18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834">
        <v>1833.33</v>
      </c>
      <c r="O1834" s="23" t="s">
        <v>224</v>
      </c>
      <c r="P1834">
        <v>916.66499999999996</v>
      </c>
      <c r="Q1834" s="23" t="s">
        <v>182</v>
      </c>
    </row>
    <row r="1835" spans="1:17" x14ac:dyDescent="0.25">
      <c r="A1835" s="23" t="s">
        <v>1057</v>
      </c>
      <c r="B1835" s="23" t="s">
        <v>1056</v>
      </c>
      <c r="C1835" s="23" t="s">
        <v>176</v>
      </c>
      <c r="D1835" s="23" t="s">
        <v>461</v>
      </c>
      <c r="E1835" s="23" t="s">
        <v>462</v>
      </c>
      <c r="F1835">
        <v>1.5</v>
      </c>
      <c r="G1835" s="23" t="s">
        <v>177</v>
      </c>
      <c r="H1835">
        <v>0</v>
      </c>
      <c r="I1835">
        <v>72</v>
      </c>
      <c r="J1835" s="10">
        <v>2</v>
      </c>
      <c r="K1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835">
        <v>0</v>
      </c>
      <c r="M18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5">
        <v>5</v>
      </c>
      <c r="O1835" s="23" t="s">
        <v>242</v>
      </c>
      <c r="P1835">
        <v>7.5</v>
      </c>
      <c r="Q1835" s="23" t="s">
        <v>181</v>
      </c>
    </row>
    <row r="1836" spans="1:17" x14ac:dyDescent="0.25">
      <c r="A1836" s="23" t="s">
        <v>1143</v>
      </c>
      <c r="B1836" s="23" t="s">
        <v>1054</v>
      </c>
      <c r="C1836" s="23" t="s">
        <v>176</v>
      </c>
      <c r="D1836" s="23" t="s">
        <v>936</v>
      </c>
      <c r="E1836" s="23" t="s">
        <v>937</v>
      </c>
      <c r="F1836">
        <v>5</v>
      </c>
      <c r="G1836" s="23" t="s">
        <v>180</v>
      </c>
      <c r="H1836">
        <v>0</v>
      </c>
      <c r="I1836">
        <v>0</v>
      </c>
      <c r="J1836" s="10">
        <v>90</v>
      </c>
      <c r="K1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836">
        <v>0</v>
      </c>
      <c r="M18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80</v>
      </c>
      <c r="N1836">
        <v>8</v>
      </c>
      <c r="O1836" s="23" t="s">
        <v>315</v>
      </c>
      <c r="P1836">
        <v>40</v>
      </c>
      <c r="Q1836" s="23" t="s">
        <v>181</v>
      </c>
    </row>
    <row r="1837" spans="1:17" x14ac:dyDescent="0.25">
      <c r="A1837" s="23" t="s">
        <v>1142</v>
      </c>
      <c r="B1837" s="23" t="s">
        <v>1054</v>
      </c>
      <c r="C1837" s="23" t="s">
        <v>176</v>
      </c>
      <c r="D1837" s="23" t="s">
        <v>330</v>
      </c>
      <c r="E1837" s="23" t="s">
        <v>331</v>
      </c>
      <c r="F1837">
        <v>6</v>
      </c>
      <c r="G1837" s="23" t="s">
        <v>177</v>
      </c>
      <c r="H1837">
        <v>0</v>
      </c>
      <c r="I1837">
        <v>118</v>
      </c>
      <c r="J1837" s="10">
        <v>18</v>
      </c>
      <c r="K1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837">
        <v>0</v>
      </c>
      <c r="M18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7">
        <v>14.5</v>
      </c>
      <c r="O1837" s="23" t="s">
        <v>242</v>
      </c>
      <c r="P1837">
        <v>87</v>
      </c>
      <c r="Q1837" s="23" t="s">
        <v>181</v>
      </c>
    </row>
    <row r="1838" spans="1:17" x14ac:dyDescent="0.25">
      <c r="A1838" s="23" t="s">
        <v>1142</v>
      </c>
      <c r="B1838" s="23" t="s">
        <v>1054</v>
      </c>
      <c r="C1838" s="23" t="s">
        <v>176</v>
      </c>
      <c r="D1838" s="23" t="s">
        <v>537</v>
      </c>
      <c r="E1838" s="23" t="s">
        <v>538</v>
      </c>
      <c r="F1838">
        <v>45</v>
      </c>
      <c r="G1838" s="23" t="s">
        <v>177</v>
      </c>
      <c r="H1838">
        <v>0</v>
      </c>
      <c r="I1838">
        <v>2200</v>
      </c>
      <c r="J1838" s="10">
        <v>0</v>
      </c>
      <c r="K1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838">
        <v>0</v>
      </c>
      <c r="M18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8">
        <v>0.7</v>
      </c>
      <c r="O1838" s="23" t="s">
        <v>242</v>
      </c>
      <c r="P1838">
        <v>31.499999999999996</v>
      </c>
      <c r="Q1838" s="23" t="s">
        <v>181</v>
      </c>
    </row>
    <row r="1839" spans="1:17" x14ac:dyDescent="0.25">
      <c r="A1839" s="23" t="s">
        <v>1096</v>
      </c>
      <c r="B1839" s="23" t="s">
        <v>1053</v>
      </c>
      <c r="C1839" s="23" t="s">
        <v>176</v>
      </c>
      <c r="D1839" s="23" t="s">
        <v>537</v>
      </c>
      <c r="E1839" s="23" t="s">
        <v>538</v>
      </c>
      <c r="F1839">
        <v>7</v>
      </c>
      <c r="G1839" s="23" t="s">
        <v>177</v>
      </c>
      <c r="H1839">
        <v>0</v>
      </c>
      <c r="I1839">
        <v>2200</v>
      </c>
      <c r="J1839" s="10">
        <v>0</v>
      </c>
      <c r="K1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839">
        <v>0</v>
      </c>
      <c r="M18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39">
        <v>0.7</v>
      </c>
      <c r="O1839" s="23" t="s">
        <v>242</v>
      </c>
      <c r="P1839">
        <v>4.8999999999999995</v>
      </c>
      <c r="Q1839" s="23" t="s">
        <v>181</v>
      </c>
    </row>
    <row r="1840" spans="1:17" x14ac:dyDescent="0.25">
      <c r="A1840" s="23" t="s">
        <v>1142</v>
      </c>
      <c r="B1840" s="23" t="s">
        <v>1054</v>
      </c>
      <c r="C1840" s="23" t="s">
        <v>176</v>
      </c>
      <c r="D1840" s="23" t="s">
        <v>808</v>
      </c>
      <c r="E1840" s="23" t="s">
        <v>809</v>
      </c>
      <c r="F1840">
        <v>1</v>
      </c>
      <c r="G1840" s="23" t="s">
        <v>177</v>
      </c>
      <c r="H1840">
        <v>0</v>
      </c>
      <c r="I1840">
        <v>11</v>
      </c>
      <c r="J1840" s="10">
        <v>1</v>
      </c>
      <c r="K1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1840">
        <v>0</v>
      </c>
      <c r="M18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0">
        <v>583.33000000000004</v>
      </c>
      <c r="O1840" s="23" t="s">
        <v>629</v>
      </c>
      <c r="P1840">
        <v>583.33000000000004</v>
      </c>
      <c r="Q1840" s="23" t="s">
        <v>178</v>
      </c>
    </row>
    <row r="1841" spans="1:17" x14ac:dyDescent="0.25">
      <c r="A1841" s="23" t="s">
        <v>1142</v>
      </c>
      <c r="B1841" s="23" t="s">
        <v>1054</v>
      </c>
      <c r="C1841" s="23" t="s">
        <v>176</v>
      </c>
      <c r="D1841" s="23" t="s">
        <v>71</v>
      </c>
      <c r="E1841" s="23" t="s">
        <v>289</v>
      </c>
      <c r="F1841">
        <v>6.8</v>
      </c>
      <c r="G1841" s="23" t="s">
        <v>186</v>
      </c>
      <c r="H1841">
        <v>0</v>
      </c>
      <c r="I1841">
        <v>120</v>
      </c>
      <c r="J1841" s="10">
        <v>113.68999999999956</v>
      </c>
      <c r="K1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841">
        <v>120</v>
      </c>
      <c r="M18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1">
        <v>101.44</v>
      </c>
      <c r="O1841" s="23" t="s">
        <v>491</v>
      </c>
      <c r="P1841">
        <v>689.79199999999992</v>
      </c>
      <c r="Q1841" s="23" t="s">
        <v>184</v>
      </c>
    </row>
    <row r="1842" spans="1:17" x14ac:dyDescent="0.25">
      <c r="A1842" s="23" t="s">
        <v>1144</v>
      </c>
      <c r="B1842" s="23" t="s">
        <v>1145</v>
      </c>
      <c r="C1842" s="23" t="s">
        <v>176</v>
      </c>
      <c r="D1842" s="23" t="s">
        <v>38</v>
      </c>
      <c r="E1842" s="23" t="s">
        <v>39</v>
      </c>
      <c r="F1842">
        <v>2</v>
      </c>
      <c r="G1842" s="23" t="s">
        <v>177</v>
      </c>
      <c r="H1842">
        <v>0</v>
      </c>
      <c r="I1842">
        <v>306</v>
      </c>
      <c r="J1842" s="10">
        <v>11</v>
      </c>
      <c r="K1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842">
        <v>0</v>
      </c>
      <c r="M18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2">
        <v>210</v>
      </c>
      <c r="O1842" s="23" t="s">
        <v>221</v>
      </c>
      <c r="P1842">
        <v>420</v>
      </c>
      <c r="Q1842" s="23" t="s">
        <v>222</v>
      </c>
    </row>
    <row r="1843" spans="1:17" x14ac:dyDescent="0.25">
      <c r="A1843" s="23" t="s">
        <v>1146</v>
      </c>
      <c r="B1843" s="23" t="s">
        <v>1145</v>
      </c>
      <c r="C1843" s="23" t="s">
        <v>176</v>
      </c>
      <c r="D1843" s="23" t="s">
        <v>38</v>
      </c>
      <c r="E1843" s="23" t="s">
        <v>39</v>
      </c>
      <c r="F1843">
        <v>1</v>
      </c>
      <c r="G1843" s="23" t="s">
        <v>177</v>
      </c>
      <c r="H1843">
        <v>0</v>
      </c>
      <c r="I1843">
        <v>306</v>
      </c>
      <c r="J1843" s="10">
        <v>11</v>
      </c>
      <c r="K1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843">
        <v>0</v>
      </c>
      <c r="M18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3">
        <v>210</v>
      </c>
      <c r="O1843" s="23" t="s">
        <v>221</v>
      </c>
      <c r="P1843">
        <v>210</v>
      </c>
      <c r="Q1843" s="23" t="s">
        <v>222</v>
      </c>
    </row>
    <row r="1844" spans="1:17" x14ac:dyDescent="0.25">
      <c r="A1844" s="23" t="s">
        <v>1142</v>
      </c>
      <c r="B1844" s="23" t="s">
        <v>1054</v>
      </c>
      <c r="C1844" s="23" t="s">
        <v>176</v>
      </c>
      <c r="D1844" s="23" t="s">
        <v>87</v>
      </c>
      <c r="E1844" s="23" t="s">
        <v>88</v>
      </c>
      <c r="F1844">
        <v>2.02</v>
      </c>
      <c r="G1844" s="23" t="s">
        <v>177</v>
      </c>
      <c r="H1844">
        <v>0</v>
      </c>
      <c r="I1844">
        <v>48</v>
      </c>
      <c r="J1844" s="10">
        <v>7.1054273576010019E-15</v>
      </c>
      <c r="K1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844">
        <v>0</v>
      </c>
      <c r="M18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844">
        <v>100</v>
      </c>
      <c r="O1844" s="23" t="s">
        <v>242</v>
      </c>
      <c r="P1844">
        <v>202</v>
      </c>
      <c r="Q1844" s="23" t="s">
        <v>184</v>
      </c>
    </row>
    <row r="1845" spans="1:17" x14ac:dyDescent="0.25">
      <c r="A1845" s="23" t="s">
        <v>1094</v>
      </c>
      <c r="B1845" s="23" t="s">
        <v>1095</v>
      </c>
      <c r="C1845" s="23" t="s">
        <v>176</v>
      </c>
      <c r="D1845" s="23" t="s">
        <v>38</v>
      </c>
      <c r="E1845" s="23" t="s">
        <v>39</v>
      </c>
      <c r="F1845">
        <v>2</v>
      </c>
      <c r="G1845" s="23" t="s">
        <v>177</v>
      </c>
      <c r="H1845">
        <v>0</v>
      </c>
      <c r="I1845">
        <v>306</v>
      </c>
      <c r="J1845" s="10">
        <v>11</v>
      </c>
      <c r="K1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845">
        <v>0</v>
      </c>
      <c r="M18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5">
        <v>210</v>
      </c>
      <c r="O1845" s="23" t="s">
        <v>221</v>
      </c>
      <c r="P1845">
        <v>420</v>
      </c>
      <c r="Q1845" s="23" t="s">
        <v>222</v>
      </c>
    </row>
    <row r="1846" spans="1:17" x14ac:dyDescent="0.25">
      <c r="A1846" s="23" t="s">
        <v>1143</v>
      </c>
      <c r="B1846" s="23" t="s">
        <v>1054</v>
      </c>
      <c r="C1846" s="23" t="s">
        <v>176</v>
      </c>
      <c r="D1846" s="23" t="s">
        <v>38</v>
      </c>
      <c r="E1846" s="23" t="s">
        <v>39</v>
      </c>
      <c r="F1846">
        <v>2</v>
      </c>
      <c r="G1846" s="23" t="s">
        <v>177</v>
      </c>
      <c r="H1846">
        <v>0</v>
      </c>
      <c r="I1846">
        <v>306</v>
      </c>
      <c r="J1846" s="10">
        <v>11</v>
      </c>
      <c r="K1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846">
        <v>0</v>
      </c>
      <c r="M18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6">
        <v>210</v>
      </c>
      <c r="O1846" s="23" t="s">
        <v>221</v>
      </c>
      <c r="P1846">
        <v>420</v>
      </c>
      <c r="Q1846" s="23" t="s">
        <v>222</v>
      </c>
    </row>
    <row r="1847" spans="1:17" x14ac:dyDescent="0.25">
      <c r="A1847" s="23" t="s">
        <v>1150</v>
      </c>
      <c r="B1847" s="23" t="s">
        <v>1145</v>
      </c>
      <c r="C1847" s="23" t="s">
        <v>176</v>
      </c>
      <c r="D1847" s="23" t="s">
        <v>38</v>
      </c>
      <c r="E1847" s="23" t="s">
        <v>39</v>
      </c>
      <c r="F1847">
        <v>2</v>
      </c>
      <c r="G1847" s="23" t="s">
        <v>177</v>
      </c>
      <c r="H1847">
        <v>0</v>
      </c>
      <c r="I1847">
        <v>306</v>
      </c>
      <c r="J1847" s="10">
        <v>11</v>
      </c>
      <c r="K1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847">
        <v>0</v>
      </c>
      <c r="M18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7">
        <v>210</v>
      </c>
      <c r="O1847" s="23" t="s">
        <v>221</v>
      </c>
      <c r="P1847">
        <v>420</v>
      </c>
      <c r="Q1847" s="23" t="s">
        <v>222</v>
      </c>
    </row>
    <row r="1848" spans="1:17" x14ac:dyDescent="0.25">
      <c r="A1848" s="23" t="s">
        <v>1150</v>
      </c>
      <c r="B1848" s="23" t="s">
        <v>1145</v>
      </c>
      <c r="C1848" s="23" t="s">
        <v>176</v>
      </c>
      <c r="D1848" s="23" t="s">
        <v>427</v>
      </c>
      <c r="E1848" s="23" t="s">
        <v>428</v>
      </c>
      <c r="F1848">
        <v>1</v>
      </c>
      <c r="G1848" s="23" t="s">
        <v>177</v>
      </c>
      <c r="H1848">
        <v>0</v>
      </c>
      <c r="I1848">
        <v>4</v>
      </c>
      <c r="J1848" s="10">
        <v>8</v>
      </c>
      <c r="K1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848">
        <v>9</v>
      </c>
      <c r="M18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8">
        <v>266.39999999999998</v>
      </c>
      <c r="O1848" s="23" t="s">
        <v>228</v>
      </c>
      <c r="P1848">
        <v>266.39999999999998</v>
      </c>
      <c r="Q1848" s="23" t="s">
        <v>222</v>
      </c>
    </row>
    <row r="1849" spans="1:17" x14ac:dyDescent="0.25">
      <c r="A1849" s="23" t="s">
        <v>1097</v>
      </c>
      <c r="B1849" s="23" t="s">
        <v>1095</v>
      </c>
      <c r="C1849" s="23" t="s">
        <v>176</v>
      </c>
      <c r="D1849" s="23" t="s">
        <v>38</v>
      </c>
      <c r="E1849" s="23" t="s">
        <v>39</v>
      </c>
      <c r="F1849">
        <v>2</v>
      </c>
      <c r="G1849" s="23" t="s">
        <v>177</v>
      </c>
      <c r="H1849">
        <v>0</v>
      </c>
      <c r="I1849">
        <v>306</v>
      </c>
      <c r="J1849" s="10">
        <v>11</v>
      </c>
      <c r="K1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1849">
        <v>0</v>
      </c>
      <c r="M18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49">
        <v>210</v>
      </c>
      <c r="O1849" s="23" t="s">
        <v>221</v>
      </c>
      <c r="P1849">
        <v>420</v>
      </c>
      <c r="Q1849" s="23" t="s">
        <v>222</v>
      </c>
    </row>
    <row r="1850" spans="1:17" x14ac:dyDescent="0.25">
      <c r="A1850" s="23" t="s">
        <v>1094</v>
      </c>
      <c r="B1850" s="23" t="s">
        <v>1095</v>
      </c>
      <c r="C1850" s="23" t="s">
        <v>176</v>
      </c>
      <c r="D1850" s="23" t="s">
        <v>87</v>
      </c>
      <c r="E1850" s="23" t="s">
        <v>88</v>
      </c>
      <c r="F1850">
        <v>3</v>
      </c>
      <c r="G1850" s="23" t="s">
        <v>177</v>
      </c>
      <c r="H1850">
        <v>0</v>
      </c>
      <c r="I1850">
        <v>48</v>
      </c>
      <c r="J1850" s="10">
        <v>7.1054273576010019E-15</v>
      </c>
      <c r="K1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23.620000000000005</v>
      </c>
      <c r="L1850">
        <v>0</v>
      </c>
      <c r="M18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2362.0000000000005</v>
      </c>
      <c r="N1850">
        <v>100</v>
      </c>
      <c r="O1850" s="23" t="s">
        <v>242</v>
      </c>
      <c r="P1850">
        <v>300</v>
      </c>
      <c r="Q1850" s="23" t="s">
        <v>184</v>
      </c>
    </row>
    <row r="1851" spans="1:17" x14ac:dyDescent="0.25">
      <c r="A1851" s="23" t="s">
        <v>1100</v>
      </c>
      <c r="B1851" s="23" t="s">
        <v>1101</v>
      </c>
      <c r="C1851" s="23" t="s">
        <v>176</v>
      </c>
      <c r="D1851" s="23" t="s">
        <v>727</v>
      </c>
      <c r="E1851" s="23" t="s">
        <v>728</v>
      </c>
      <c r="F1851">
        <v>1</v>
      </c>
      <c r="G1851" s="23" t="s">
        <v>177</v>
      </c>
      <c r="H1851">
        <v>0</v>
      </c>
      <c r="I1851">
        <v>5</v>
      </c>
      <c r="J1851" s="10">
        <v>5</v>
      </c>
      <c r="K1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1851">
        <v>0</v>
      </c>
      <c r="M18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1851">
        <v>10899.55</v>
      </c>
      <c r="O1851" s="23" t="s">
        <v>635</v>
      </c>
      <c r="P1851">
        <v>10899.55</v>
      </c>
      <c r="Q1851" s="23" t="s">
        <v>179</v>
      </c>
    </row>
    <row r="1852" spans="1:17" x14ac:dyDescent="0.25">
      <c r="A1852" s="23" t="s">
        <v>1147</v>
      </c>
      <c r="B1852" s="23" t="s">
        <v>1145</v>
      </c>
      <c r="C1852" s="23" t="s">
        <v>176</v>
      </c>
      <c r="D1852" s="23" t="s">
        <v>79</v>
      </c>
      <c r="E1852" s="23" t="s">
        <v>80</v>
      </c>
      <c r="F1852">
        <v>3</v>
      </c>
      <c r="G1852" s="23" t="s">
        <v>177</v>
      </c>
      <c r="H1852">
        <v>0</v>
      </c>
      <c r="I1852">
        <v>81</v>
      </c>
      <c r="J1852" s="10">
        <v>5</v>
      </c>
      <c r="K1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852">
        <v>0</v>
      </c>
      <c r="M18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2">
        <v>188</v>
      </c>
      <c r="O1852" s="23" t="s">
        <v>242</v>
      </c>
      <c r="P1852">
        <v>564</v>
      </c>
      <c r="Q1852" s="23" t="s">
        <v>179</v>
      </c>
    </row>
    <row r="1853" spans="1:17" x14ac:dyDescent="0.25">
      <c r="A1853" s="23" t="s">
        <v>1058</v>
      </c>
      <c r="B1853" s="23" t="s">
        <v>1059</v>
      </c>
      <c r="C1853" s="23" t="s">
        <v>176</v>
      </c>
      <c r="D1853" s="23" t="s">
        <v>83</v>
      </c>
      <c r="E1853" s="23" t="s">
        <v>84</v>
      </c>
      <c r="F1853">
        <v>45</v>
      </c>
      <c r="G1853" s="23" t="s">
        <v>183</v>
      </c>
      <c r="H1853">
        <v>0</v>
      </c>
      <c r="I1853">
        <v>58.5</v>
      </c>
      <c r="J1853" s="10">
        <v>21.929999999999808</v>
      </c>
      <c r="K1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1853">
        <v>54.25</v>
      </c>
      <c r="M18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1853">
        <v>220.42</v>
      </c>
      <c r="O1853" s="23" t="s">
        <v>224</v>
      </c>
      <c r="P1853">
        <v>9918.9</v>
      </c>
      <c r="Q1853" s="23" t="s">
        <v>182</v>
      </c>
    </row>
    <row r="1854" spans="1:17" x14ac:dyDescent="0.25">
      <c r="A1854" s="23" t="s">
        <v>1150</v>
      </c>
      <c r="B1854" s="23" t="s">
        <v>1145</v>
      </c>
      <c r="C1854" s="23" t="s">
        <v>176</v>
      </c>
      <c r="D1854" s="23" t="s">
        <v>869</v>
      </c>
      <c r="E1854" s="23" t="s">
        <v>870</v>
      </c>
      <c r="F1854">
        <v>3</v>
      </c>
      <c r="G1854" s="23" t="s">
        <v>177</v>
      </c>
      <c r="H1854">
        <v>0</v>
      </c>
      <c r="I1854">
        <v>302</v>
      </c>
      <c r="J1854" s="10">
        <v>1</v>
      </c>
      <c r="K1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-293</v>
      </c>
      <c r="L1854">
        <v>0</v>
      </c>
      <c r="M18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4">
        <v>8</v>
      </c>
      <c r="O1854" s="23" t="s">
        <v>242</v>
      </c>
      <c r="P1854">
        <v>24</v>
      </c>
      <c r="Q1854" s="23" t="s">
        <v>179</v>
      </c>
    </row>
    <row r="1855" spans="1:17" x14ac:dyDescent="0.25">
      <c r="A1855" s="23" t="s">
        <v>1150</v>
      </c>
      <c r="B1855" s="23" t="s">
        <v>1145</v>
      </c>
      <c r="C1855" s="23" t="s">
        <v>176</v>
      </c>
      <c r="D1855" s="23" t="s">
        <v>77</v>
      </c>
      <c r="E1855" s="23" t="s">
        <v>78</v>
      </c>
      <c r="F1855">
        <v>4</v>
      </c>
      <c r="G1855" s="23" t="s">
        <v>177</v>
      </c>
      <c r="H1855">
        <v>0</v>
      </c>
      <c r="I1855">
        <v>85</v>
      </c>
      <c r="J1855" s="10">
        <v>31</v>
      </c>
      <c r="K1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855">
        <v>0</v>
      </c>
      <c r="M18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5">
        <v>120</v>
      </c>
      <c r="O1855" s="23" t="s">
        <v>1153</v>
      </c>
      <c r="P1855">
        <v>480</v>
      </c>
      <c r="Q1855" s="23" t="s">
        <v>179</v>
      </c>
    </row>
    <row r="1856" spans="1:17" x14ac:dyDescent="0.25">
      <c r="A1856" s="23" t="s">
        <v>1149</v>
      </c>
      <c r="B1856" s="23" t="s">
        <v>1145</v>
      </c>
      <c r="C1856" s="23" t="s">
        <v>176</v>
      </c>
      <c r="D1856" s="23" t="s">
        <v>79</v>
      </c>
      <c r="E1856" s="23" t="s">
        <v>80</v>
      </c>
      <c r="F1856">
        <v>3</v>
      </c>
      <c r="G1856" s="23" t="s">
        <v>177</v>
      </c>
      <c r="H1856">
        <v>0</v>
      </c>
      <c r="I1856">
        <v>81</v>
      </c>
      <c r="J1856" s="10">
        <v>5</v>
      </c>
      <c r="K1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1856">
        <v>0</v>
      </c>
      <c r="M18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6">
        <v>188</v>
      </c>
      <c r="O1856" s="23" t="s">
        <v>242</v>
      </c>
      <c r="P1856">
        <v>564</v>
      </c>
      <c r="Q1856" s="23" t="s">
        <v>179</v>
      </c>
    </row>
    <row r="1857" spans="1:17" x14ac:dyDescent="0.25">
      <c r="A1857" s="23" t="s">
        <v>1057</v>
      </c>
      <c r="B1857" s="23" t="s">
        <v>1056</v>
      </c>
      <c r="C1857" s="23" t="s">
        <v>176</v>
      </c>
      <c r="D1857" s="23" t="s">
        <v>366</v>
      </c>
      <c r="E1857" s="23" t="s">
        <v>367</v>
      </c>
      <c r="F1857">
        <v>8</v>
      </c>
      <c r="G1857" s="23" t="s">
        <v>177</v>
      </c>
      <c r="H1857">
        <v>0</v>
      </c>
      <c r="I1857">
        <v>3750</v>
      </c>
      <c r="J1857" s="10">
        <v>674</v>
      </c>
      <c r="K1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-3452</v>
      </c>
      <c r="L1857">
        <v>0</v>
      </c>
      <c r="M18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7">
        <v>0.2</v>
      </c>
      <c r="O1857" s="23" t="s">
        <v>242</v>
      </c>
      <c r="P1857">
        <v>1.6</v>
      </c>
      <c r="Q1857" s="23" t="s">
        <v>181</v>
      </c>
    </row>
    <row r="1858" spans="1:17" x14ac:dyDescent="0.25">
      <c r="A1858" s="23" t="s">
        <v>1100</v>
      </c>
      <c r="B1858" s="23" t="s">
        <v>1101</v>
      </c>
      <c r="C1858" s="23" t="s">
        <v>176</v>
      </c>
      <c r="D1858" s="23" t="s">
        <v>77</v>
      </c>
      <c r="E1858" s="23" t="s">
        <v>78</v>
      </c>
      <c r="F1858">
        <v>3</v>
      </c>
      <c r="G1858" s="23" t="s">
        <v>177</v>
      </c>
      <c r="H1858">
        <v>0</v>
      </c>
      <c r="I1858">
        <v>85</v>
      </c>
      <c r="J1858" s="10">
        <v>31</v>
      </c>
      <c r="K1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858">
        <v>0</v>
      </c>
      <c r="M18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58">
        <v>120</v>
      </c>
      <c r="O1858" s="23" t="s">
        <v>1153</v>
      </c>
      <c r="P1858">
        <v>360</v>
      </c>
      <c r="Q1858" s="23" t="s">
        <v>179</v>
      </c>
    </row>
    <row r="1859" spans="1:17" x14ac:dyDescent="0.25">
      <c r="A1859" s="23" t="s">
        <v>1099</v>
      </c>
      <c r="B1859" s="23" t="s">
        <v>1056</v>
      </c>
      <c r="C1859" s="23" t="s">
        <v>176</v>
      </c>
      <c r="D1859" s="23" t="s">
        <v>83</v>
      </c>
      <c r="E1859" s="23" t="s">
        <v>84</v>
      </c>
      <c r="F1859">
        <v>41.5</v>
      </c>
      <c r="G1859" s="23" t="s">
        <v>183</v>
      </c>
      <c r="H1859">
        <v>41.5</v>
      </c>
      <c r="I1859">
        <v>58.5</v>
      </c>
      <c r="J1859" s="10">
        <v>21.929999999999808</v>
      </c>
      <c r="K1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1859">
        <v>54.25</v>
      </c>
      <c r="M18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1859">
        <v>220.42</v>
      </c>
      <c r="O1859" s="23" t="s">
        <v>224</v>
      </c>
      <c r="P1859">
        <v>9147.43</v>
      </c>
      <c r="Q1859" s="23" t="s">
        <v>182</v>
      </c>
    </row>
    <row r="1860" spans="1:17" x14ac:dyDescent="0.25">
      <c r="A1860" s="23" t="s">
        <v>1099</v>
      </c>
      <c r="B1860" s="23" t="s">
        <v>1056</v>
      </c>
      <c r="C1860" s="23" t="s">
        <v>176</v>
      </c>
      <c r="D1860" s="23" t="s">
        <v>1023</v>
      </c>
      <c r="E1860" s="23" t="s">
        <v>1024</v>
      </c>
      <c r="F1860">
        <v>8</v>
      </c>
      <c r="G1860" s="23" t="s">
        <v>177</v>
      </c>
      <c r="H1860">
        <v>0</v>
      </c>
      <c r="I1860">
        <v>0</v>
      </c>
      <c r="J1860" s="10">
        <v>0</v>
      </c>
      <c r="K1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1860">
        <v>0</v>
      </c>
      <c r="M18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5.6</v>
      </c>
      <c r="N1860">
        <v>0.35</v>
      </c>
      <c r="O1860" s="23" t="s">
        <v>217</v>
      </c>
      <c r="P1860">
        <v>2.8</v>
      </c>
      <c r="Q1860" s="23" t="s">
        <v>181</v>
      </c>
    </row>
    <row r="1861" spans="1:17" x14ac:dyDescent="0.25">
      <c r="A1861" s="23" t="s">
        <v>1055</v>
      </c>
      <c r="B1861" s="23" t="s">
        <v>1056</v>
      </c>
      <c r="C1861" s="23" t="s">
        <v>176</v>
      </c>
      <c r="D1861" s="23" t="s">
        <v>23</v>
      </c>
      <c r="E1861" s="23" t="s">
        <v>305</v>
      </c>
      <c r="F1861">
        <v>1</v>
      </c>
      <c r="G1861" s="23" t="s">
        <v>177</v>
      </c>
      <c r="H1861">
        <v>0</v>
      </c>
      <c r="I1861">
        <v>0</v>
      </c>
      <c r="J1861" s="10">
        <v>7</v>
      </c>
      <c r="K1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861">
        <v>0</v>
      </c>
      <c r="M18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861">
        <v>40</v>
      </c>
      <c r="O1861" s="23" t="s">
        <v>636</v>
      </c>
      <c r="P1861">
        <v>40</v>
      </c>
      <c r="Q1861" s="23" t="s">
        <v>222</v>
      </c>
    </row>
    <row r="1862" spans="1:17" x14ac:dyDescent="0.25">
      <c r="A1862" s="23" t="s">
        <v>1099</v>
      </c>
      <c r="B1862" s="23" t="s">
        <v>1056</v>
      </c>
      <c r="C1862" s="23" t="s">
        <v>176</v>
      </c>
      <c r="D1862" s="23" t="s">
        <v>23</v>
      </c>
      <c r="E1862" s="23" t="s">
        <v>305</v>
      </c>
      <c r="F1862">
        <v>1</v>
      </c>
      <c r="G1862" s="23" t="s">
        <v>177</v>
      </c>
      <c r="H1862">
        <v>0</v>
      </c>
      <c r="I1862">
        <v>0</v>
      </c>
      <c r="J1862" s="10">
        <v>7</v>
      </c>
      <c r="K1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1862">
        <v>0</v>
      </c>
      <c r="M18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1862">
        <v>40</v>
      </c>
      <c r="O1862" s="23" t="s">
        <v>636</v>
      </c>
      <c r="P1862">
        <v>40</v>
      </c>
      <c r="Q1862" s="23" t="s">
        <v>222</v>
      </c>
    </row>
    <row r="1863" spans="1:17" x14ac:dyDescent="0.25">
      <c r="A1863" s="23" t="s">
        <v>1144</v>
      </c>
      <c r="B1863" s="23" t="s">
        <v>1145</v>
      </c>
      <c r="C1863" s="23" t="s">
        <v>176</v>
      </c>
      <c r="D1863" s="23" t="s">
        <v>869</v>
      </c>
      <c r="E1863" s="23" t="s">
        <v>870</v>
      </c>
      <c r="F1863">
        <v>3</v>
      </c>
      <c r="G1863" s="23" t="s">
        <v>177</v>
      </c>
      <c r="H1863">
        <v>0</v>
      </c>
      <c r="I1863">
        <v>302</v>
      </c>
      <c r="J1863" s="10">
        <v>1</v>
      </c>
      <c r="K1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-293</v>
      </c>
      <c r="L1863">
        <v>0</v>
      </c>
      <c r="M18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3">
        <v>8</v>
      </c>
      <c r="O1863" s="23" t="s">
        <v>242</v>
      </c>
      <c r="P1863">
        <v>24</v>
      </c>
      <c r="Q1863" s="23" t="s">
        <v>179</v>
      </c>
    </row>
    <row r="1864" spans="1:17" x14ac:dyDescent="0.25">
      <c r="A1864" s="23" t="s">
        <v>1146</v>
      </c>
      <c r="B1864" s="23" t="s">
        <v>1145</v>
      </c>
      <c r="C1864" s="23" t="s">
        <v>176</v>
      </c>
      <c r="D1864" s="23" t="s">
        <v>77</v>
      </c>
      <c r="E1864" s="23" t="s">
        <v>78</v>
      </c>
      <c r="F1864">
        <v>4</v>
      </c>
      <c r="G1864" s="23" t="s">
        <v>177</v>
      </c>
      <c r="H1864">
        <v>0</v>
      </c>
      <c r="I1864">
        <v>85</v>
      </c>
      <c r="J1864" s="10">
        <v>31</v>
      </c>
      <c r="K1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864">
        <v>0</v>
      </c>
      <c r="M18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4">
        <v>120</v>
      </c>
      <c r="O1864" s="23" t="s">
        <v>1153</v>
      </c>
      <c r="P1864">
        <v>480</v>
      </c>
      <c r="Q1864" s="23" t="s">
        <v>179</v>
      </c>
    </row>
    <row r="1865" spans="1:17" x14ac:dyDescent="0.25">
      <c r="A1865" s="23" t="s">
        <v>1144</v>
      </c>
      <c r="B1865" s="23" t="s">
        <v>1145</v>
      </c>
      <c r="C1865" s="23" t="s">
        <v>176</v>
      </c>
      <c r="D1865" s="23" t="s">
        <v>77</v>
      </c>
      <c r="E1865" s="23" t="s">
        <v>78</v>
      </c>
      <c r="F1865">
        <v>4</v>
      </c>
      <c r="G1865" s="23" t="s">
        <v>177</v>
      </c>
      <c r="H1865">
        <v>0</v>
      </c>
      <c r="I1865">
        <v>85</v>
      </c>
      <c r="J1865" s="10">
        <v>31</v>
      </c>
      <c r="K1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865">
        <v>0</v>
      </c>
      <c r="M18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5">
        <v>120</v>
      </c>
      <c r="O1865" s="23" t="s">
        <v>1153</v>
      </c>
      <c r="P1865">
        <v>480</v>
      </c>
      <c r="Q1865" s="23" t="s">
        <v>179</v>
      </c>
    </row>
    <row r="1866" spans="1:17" x14ac:dyDescent="0.25">
      <c r="A1866" s="23" t="s">
        <v>1057</v>
      </c>
      <c r="B1866" s="23" t="s">
        <v>1056</v>
      </c>
      <c r="C1866" s="23" t="s">
        <v>176</v>
      </c>
      <c r="D1866" s="23" t="s">
        <v>375</v>
      </c>
      <c r="E1866" s="23" t="s">
        <v>376</v>
      </c>
      <c r="F1866">
        <v>2</v>
      </c>
      <c r="G1866" s="23" t="s">
        <v>177</v>
      </c>
      <c r="H1866">
        <v>0</v>
      </c>
      <c r="I1866">
        <v>42</v>
      </c>
      <c r="J1866" s="10">
        <v>34</v>
      </c>
      <c r="K1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866">
        <v>0</v>
      </c>
      <c r="M18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6">
        <v>65</v>
      </c>
      <c r="O1866" s="23" t="s">
        <v>242</v>
      </c>
      <c r="P1866">
        <v>130</v>
      </c>
      <c r="Q1866" s="23" t="s">
        <v>181</v>
      </c>
    </row>
    <row r="1867" spans="1:17" x14ac:dyDescent="0.25">
      <c r="A1867" s="23" t="s">
        <v>1143</v>
      </c>
      <c r="B1867" s="23" t="s">
        <v>1054</v>
      </c>
      <c r="C1867" s="23" t="s">
        <v>176</v>
      </c>
      <c r="D1867" s="23" t="s">
        <v>375</v>
      </c>
      <c r="E1867" s="23" t="s">
        <v>376</v>
      </c>
      <c r="F1867">
        <v>2</v>
      </c>
      <c r="G1867" s="23" t="s">
        <v>177</v>
      </c>
      <c r="H1867">
        <v>0</v>
      </c>
      <c r="I1867">
        <v>42</v>
      </c>
      <c r="J1867" s="10">
        <v>34</v>
      </c>
      <c r="K1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867">
        <v>0</v>
      </c>
      <c r="M18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7">
        <v>65</v>
      </c>
      <c r="O1867" s="23" t="s">
        <v>242</v>
      </c>
      <c r="P1867">
        <v>130</v>
      </c>
      <c r="Q1867" s="23" t="s">
        <v>181</v>
      </c>
    </row>
    <row r="1868" spans="1:17" x14ac:dyDescent="0.25">
      <c r="A1868" s="23" t="s">
        <v>1142</v>
      </c>
      <c r="B1868" s="23" t="s">
        <v>1054</v>
      </c>
      <c r="C1868" s="23" t="s">
        <v>176</v>
      </c>
      <c r="D1868" s="23" t="s">
        <v>77</v>
      </c>
      <c r="E1868" s="23" t="s">
        <v>78</v>
      </c>
      <c r="F1868">
        <v>4</v>
      </c>
      <c r="G1868" s="23" t="s">
        <v>177</v>
      </c>
      <c r="H1868">
        <v>0</v>
      </c>
      <c r="I1868">
        <v>85</v>
      </c>
      <c r="J1868" s="10">
        <v>31</v>
      </c>
      <c r="K1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1868">
        <v>0</v>
      </c>
      <c r="M18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8">
        <v>120</v>
      </c>
      <c r="O1868" s="23" t="s">
        <v>1153</v>
      </c>
      <c r="P1868">
        <v>480</v>
      </c>
      <c r="Q1868" s="23" t="s">
        <v>179</v>
      </c>
    </row>
    <row r="1869" spans="1:17" x14ac:dyDescent="0.25">
      <c r="A1869" s="23" t="s">
        <v>1096</v>
      </c>
      <c r="B1869" s="23" t="s">
        <v>1053</v>
      </c>
      <c r="C1869" s="23" t="s">
        <v>176</v>
      </c>
      <c r="D1869" s="23" t="s">
        <v>71</v>
      </c>
      <c r="E1869" s="23" t="s">
        <v>289</v>
      </c>
      <c r="F1869">
        <v>6.28</v>
      </c>
      <c r="G1869" s="23" t="s">
        <v>186</v>
      </c>
      <c r="H1869">
        <v>6.28</v>
      </c>
      <c r="I1869">
        <v>120</v>
      </c>
      <c r="J1869" s="10">
        <v>113.68999999999956</v>
      </c>
      <c r="K1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869">
        <v>120</v>
      </c>
      <c r="M18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69">
        <v>101.44</v>
      </c>
      <c r="O1869" s="23" t="s">
        <v>491</v>
      </c>
      <c r="P1869">
        <v>637.04319999999996</v>
      </c>
      <c r="Q1869" s="23" t="s">
        <v>184</v>
      </c>
    </row>
    <row r="1870" spans="1:17" x14ac:dyDescent="0.25">
      <c r="A1870" s="23" t="s">
        <v>1142</v>
      </c>
      <c r="B1870" s="23" t="s">
        <v>1054</v>
      </c>
      <c r="C1870" s="23" t="s">
        <v>176</v>
      </c>
      <c r="D1870" s="23" t="s">
        <v>72</v>
      </c>
      <c r="E1870" s="23" t="s">
        <v>251</v>
      </c>
      <c r="F1870">
        <v>9.5</v>
      </c>
      <c r="G1870" s="23" t="s">
        <v>177</v>
      </c>
      <c r="H1870">
        <v>0</v>
      </c>
      <c r="I1870">
        <v>96</v>
      </c>
      <c r="J1870" s="10">
        <v>195.44000000000005</v>
      </c>
      <c r="K1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870">
        <v>0</v>
      </c>
      <c r="M18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870">
        <v>128.93</v>
      </c>
      <c r="O1870" s="23" t="s">
        <v>252</v>
      </c>
      <c r="P1870">
        <v>1224.835</v>
      </c>
      <c r="Q1870" s="23" t="s">
        <v>181</v>
      </c>
    </row>
    <row r="1871" spans="1:17" x14ac:dyDescent="0.25">
      <c r="A1871" s="23" t="s">
        <v>1142</v>
      </c>
      <c r="B1871" s="23" t="s">
        <v>1054</v>
      </c>
      <c r="C1871" s="23" t="s">
        <v>176</v>
      </c>
      <c r="D1871" s="23" t="s">
        <v>610</v>
      </c>
      <c r="E1871" s="23" t="s">
        <v>611</v>
      </c>
      <c r="F1871">
        <v>1.8</v>
      </c>
      <c r="G1871" s="23" t="s">
        <v>177</v>
      </c>
      <c r="H1871">
        <v>0</v>
      </c>
      <c r="I1871">
        <v>0</v>
      </c>
      <c r="J1871" s="10">
        <v>-7.1054273576010019E-15</v>
      </c>
      <c r="K1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871">
        <v>11</v>
      </c>
      <c r="M18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871">
        <v>1833.33</v>
      </c>
      <c r="O1871" s="23" t="s">
        <v>224</v>
      </c>
      <c r="P1871">
        <v>3299.9940000000001</v>
      </c>
      <c r="Q1871" s="23" t="s">
        <v>182</v>
      </c>
    </row>
    <row r="1872" spans="1:17" x14ac:dyDescent="0.25">
      <c r="A1872" s="23" t="s">
        <v>1096</v>
      </c>
      <c r="B1872" s="23" t="s">
        <v>1053</v>
      </c>
      <c r="C1872" s="23" t="s">
        <v>176</v>
      </c>
      <c r="D1872" s="23" t="s">
        <v>610</v>
      </c>
      <c r="E1872" s="23" t="s">
        <v>611</v>
      </c>
      <c r="F1872">
        <v>1</v>
      </c>
      <c r="G1872" s="23" t="s">
        <v>177</v>
      </c>
      <c r="H1872">
        <v>0</v>
      </c>
      <c r="I1872">
        <v>0</v>
      </c>
      <c r="J1872" s="10">
        <v>-7.1054273576010019E-15</v>
      </c>
      <c r="K1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872">
        <v>11</v>
      </c>
      <c r="M18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872">
        <v>1833.33</v>
      </c>
      <c r="O1872" s="23" t="s">
        <v>224</v>
      </c>
      <c r="P1872">
        <v>1833.33</v>
      </c>
      <c r="Q1872" s="23" t="s">
        <v>182</v>
      </c>
    </row>
    <row r="1873" spans="1:17" x14ac:dyDescent="0.25">
      <c r="A1873" s="23" t="s">
        <v>1094</v>
      </c>
      <c r="B1873" s="23" t="s">
        <v>1095</v>
      </c>
      <c r="C1873" s="23" t="s">
        <v>176</v>
      </c>
      <c r="D1873" s="23" t="s">
        <v>676</v>
      </c>
      <c r="E1873" s="23" t="s">
        <v>677</v>
      </c>
      <c r="F1873">
        <v>2</v>
      </c>
      <c r="G1873" s="23" t="s">
        <v>180</v>
      </c>
      <c r="H1873">
        <v>0</v>
      </c>
      <c r="I1873">
        <v>20</v>
      </c>
      <c r="J1873" s="10">
        <v>16</v>
      </c>
      <c r="K1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873">
        <v>0</v>
      </c>
      <c r="M18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3">
        <v>97.17</v>
      </c>
      <c r="O1873" s="23" t="s">
        <v>256</v>
      </c>
      <c r="P1873">
        <v>194.34</v>
      </c>
      <c r="Q1873" s="23" t="s">
        <v>181</v>
      </c>
    </row>
    <row r="1874" spans="1:17" x14ac:dyDescent="0.25">
      <c r="A1874" s="23" t="s">
        <v>1096</v>
      </c>
      <c r="B1874" s="23" t="s">
        <v>1053</v>
      </c>
      <c r="C1874" s="23" t="s">
        <v>176</v>
      </c>
      <c r="D1874" s="23" t="s">
        <v>676</v>
      </c>
      <c r="E1874" s="23" t="s">
        <v>677</v>
      </c>
      <c r="F1874">
        <v>2</v>
      </c>
      <c r="G1874" s="23" t="s">
        <v>180</v>
      </c>
      <c r="H1874">
        <v>0</v>
      </c>
      <c r="I1874">
        <v>20</v>
      </c>
      <c r="J1874" s="10">
        <v>16</v>
      </c>
      <c r="K1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874">
        <v>0</v>
      </c>
      <c r="M18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4">
        <v>97.17</v>
      </c>
      <c r="O1874" s="23" t="s">
        <v>256</v>
      </c>
      <c r="P1874">
        <v>194.34</v>
      </c>
      <c r="Q1874" s="23" t="s">
        <v>181</v>
      </c>
    </row>
    <row r="1875" spans="1:17" x14ac:dyDescent="0.25">
      <c r="A1875" s="23" t="s">
        <v>1057</v>
      </c>
      <c r="B1875" s="23" t="s">
        <v>1056</v>
      </c>
      <c r="C1875" s="23" t="s">
        <v>176</v>
      </c>
      <c r="D1875" s="23" t="s">
        <v>610</v>
      </c>
      <c r="E1875" s="23" t="s">
        <v>611</v>
      </c>
      <c r="F1875">
        <v>0.8</v>
      </c>
      <c r="G1875" s="23" t="s">
        <v>177</v>
      </c>
      <c r="H1875">
        <v>0</v>
      </c>
      <c r="I1875">
        <v>0</v>
      </c>
      <c r="J1875" s="10">
        <v>-7.1054273576010019E-15</v>
      </c>
      <c r="K1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875">
        <v>11</v>
      </c>
      <c r="M18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875">
        <v>1833.33</v>
      </c>
      <c r="O1875" s="23" t="s">
        <v>224</v>
      </c>
      <c r="P1875">
        <v>1466.664</v>
      </c>
      <c r="Q1875" s="23" t="s">
        <v>182</v>
      </c>
    </row>
    <row r="1876" spans="1:17" x14ac:dyDescent="0.25">
      <c r="A1876" s="23" t="s">
        <v>1057</v>
      </c>
      <c r="B1876" s="23" t="s">
        <v>1056</v>
      </c>
      <c r="C1876" s="23" t="s">
        <v>176</v>
      </c>
      <c r="D1876" s="23" t="s">
        <v>138</v>
      </c>
      <c r="E1876" s="23" t="s">
        <v>139</v>
      </c>
      <c r="F1876">
        <v>2</v>
      </c>
      <c r="G1876" s="23" t="s">
        <v>177</v>
      </c>
      <c r="H1876">
        <v>2</v>
      </c>
      <c r="I1876">
        <v>23</v>
      </c>
      <c r="J1876" s="10">
        <v>22</v>
      </c>
      <c r="K1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876">
        <v>10</v>
      </c>
      <c r="M18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6">
        <v>71.77</v>
      </c>
      <c r="O1876" s="23" t="s">
        <v>228</v>
      </c>
      <c r="P1876">
        <v>143.54</v>
      </c>
      <c r="Q1876" s="23" t="s">
        <v>222</v>
      </c>
    </row>
    <row r="1877" spans="1:17" x14ac:dyDescent="0.25">
      <c r="A1877" s="23" t="s">
        <v>1146</v>
      </c>
      <c r="B1877" s="23" t="s">
        <v>1145</v>
      </c>
      <c r="C1877" s="23" t="s">
        <v>176</v>
      </c>
      <c r="D1877" s="23" t="s">
        <v>138</v>
      </c>
      <c r="E1877" s="23" t="s">
        <v>139</v>
      </c>
      <c r="F1877">
        <v>2</v>
      </c>
      <c r="G1877" s="23" t="s">
        <v>177</v>
      </c>
      <c r="H1877">
        <v>2</v>
      </c>
      <c r="I1877">
        <v>23</v>
      </c>
      <c r="J1877" s="10">
        <v>22</v>
      </c>
      <c r="K1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877">
        <v>10</v>
      </c>
      <c r="M18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77">
        <v>71.77</v>
      </c>
      <c r="O1877" s="23" t="s">
        <v>228</v>
      </c>
      <c r="P1877">
        <v>143.54</v>
      </c>
      <c r="Q1877" s="23" t="s">
        <v>222</v>
      </c>
    </row>
    <row r="1878" spans="1:17" x14ac:dyDescent="0.25">
      <c r="A1878" s="23" t="s">
        <v>1149</v>
      </c>
      <c r="B1878" s="23" t="s">
        <v>1145</v>
      </c>
      <c r="C1878" s="23" t="s">
        <v>176</v>
      </c>
      <c r="D1878" s="23" t="s">
        <v>744</v>
      </c>
      <c r="E1878" s="23" t="s">
        <v>745</v>
      </c>
      <c r="F1878">
        <v>0.5</v>
      </c>
      <c r="G1878" s="23" t="s">
        <v>180</v>
      </c>
      <c r="H1878">
        <v>0</v>
      </c>
      <c r="I1878">
        <v>0</v>
      </c>
      <c r="J1878" s="10">
        <v>45.5</v>
      </c>
      <c r="K1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878">
        <v>0</v>
      </c>
      <c r="M18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878">
        <v>169.11</v>
      </c>
      <c r="O1878" s="23" t="s">
        <v>746</v>
      </c>
      <c r="P1878">
        <v>84.555000000000007</v>
      </c>
      <c r="Q1878" s="23" t="s">
        <v>185</v>
      </c>
    </row>
    <row r="1879" spans="1:17" x14ac:dyDescent="0.25">
      <c r="A1879" s="23" t="s">
        <v>1143</v>
      </c>
      <c r="B1879" s="23" t="s">
        <v>1054</v>
      </c>
      <c r="C1879" s="23" t="s">
        <v>176</v>
      </c>
      <c r="D1879" s="23" t="s">
        <v>122</v>
      </c>
      <c r="E1879" s="23" t="s">
        <v>123</v>
      </c>
      <c r="F1879">
        <v>29</v>
      </c>
      <c r="G1879" s="23" t="s">
        <v>180</v>
      </c>
      <c r="H1879">
        <v>0</v>
      </c>
      <c r="I1879">
        <v>150</v>
      </c>
      <c r="J1879" s="10">
        <v>50</v>
      </c>
      <c r="K1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879">
        <v>0</v>
      </c>
      <c r="M18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879">
        <v>320</v>
      </c>
      <c r="O1879" s="23" t="s">
        <v>1151</v>
      </c>
      <c r="P1879">
        <v>9280</v>
      </c>
      <c r="Q1879" s="23" t="s">
        <v>185</v>
      </c>
    </row>
    <row r="1880" spans="1:17" x14ac:dyDescent="0.25">
      <c r="A1880" s="23" t="s">
        <v>1142</v>
      </c>
      <c r="B1880" s="23" t="s">
        <v>1054</v>
      </c>
      <c r="C1880" s="23" t="s">
        <v>176</v>
      </c>
      <c r="D1880" s="23" t="s">
        <v>138</v>
      </c>
      <c r="E1880" s="23" t="s">
        <v>139</v>
      </c>
      <c r="F1880">
        <v>12</v>
      </c>
      <c r="G1880" s="23" t="s">
        <v>177</v>
      </c>
      <c r="H1880">
        <v>0</v>
      </c>
      <c r="I1880">
        <v>23</v>
      </c>
      <c r="J1880" s="10">
        <v>22</v>
      </c>
      <c r="K1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880">
        <v>10</v>
      </c>
      <c r="M18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0">
        <v>71.77</v>
      </c>
      <c r="O1880" s="23" t="s">
        <v>228</v>
      </c>
      <c r="P1880">
        <v>861.24</v>
      </c>
      <c r="Q1880" s="23" t="s">
        <v>222</v>
      </c>
    </row>
    <row r="1881" spans="1:17" x14ac:dyDescent="0.25">
      <c r="A1881" s="23" t="s">
        <v>1146</v>
      </c>
      <c r="B1881" s="23" t="s">
        <v>1145</v>
      </c>
      <c r="C1881" s="23" t="s">
        <v>176</v>
      </c>
      <c r="D1881" s="23" t="s">
        <v>744</v>
      </c>
      <c r="E1881" s="23" t="s">
        <v>745</v>
      </c>
      <c r="F1881">
        <v>0.5</v>
      </c>
      <c r="G1881" s="23" t="s">
        <v>180</v>
      </c>
      <c r="H1881">
        <v>0</v>
      </c>
      <c r="I1881">
        <v>0</v>
      </c>
      <c r="J1881" s="10">
        <v>45.5</v>
      </c>
      <c r="K1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881">
        <v>0</v>
      </c>
      <c r="M18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881">
        <v>169.11</v>
      </c>
      <c r="O1881" s="23" t="s">
        <v>746</v>
      </c>
      <c r="P1881">
        <v>84.555000000000007</v>
      </c>
      <c r="Q1881" s="23" t="s">
        <v>185</v>
      </c>
    </row>
    <row r="1882" spans="1:17" x14ac:dyDescent="0.25">
      <c r="A1882" s="23" t="s">
        <v>1143</v>
      </c>
      <c r="B1882" s="23" t="s">
        <v>1054</v>
      </c>
      <c r="C1882" s="23" t="s">
        <v>176</v>
      </c>
      <c r="D1882" s="23" t="s">
        <v>138</v>
      </c>
      <c r="E1882" s="23" t="s">
        <v>139</v>
      </c>
      <c r="F1882">
        <v>2</v>
      </c>
      <c r="G1882" s="23" t="s">
        <v>177</v>
      </c>
      <c r="H1882">
        <v>0</v>
      </c>
      <c r="I1882">
        <v>23</v>
      </c>
      <c r="J1882" s="10">
        <v>22</v>
      </c>
      <c r="K1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882">
        <v>10</v>
      </c>
      <c r="M18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2">
        <v>71.77</v>
      </c>
      <c r="O1882" s="23" t="s">
        <v>228</v>
      </c>
      <c r="P1882">
        <v>143.54</v>
      </c>
      <c r="Q1882" s="23" t="s">
        <v>222</v>
      </c>
    </row>
    <row r="1883" spans="1:17" x14ac:dyDescent="0.25">
      <c r="A1883" s="23" t="s">
        <v>1094</v>
      </c>
      <c r="B1883" s="23" t="s">
        <v>1095</v>
      </c>
      <c r="C1883" s="23" t="s">
        <v>176</v>
      </c>
      <c r="D1883" s="23" t="s">
        <v>744</v>
      </c>
      <c r="E1883" s="23" t="s">
        <v>745</v>
      </c>
      <c r="F1883">
        <v>2</v>
      </c>
      <c r="G1883" s="23" t="s">
        <v>180</v>
      </c>
      <c r="H1883">
        <v>0</v>
      </c>
      <c r="I1883">
        <v>0</v>
      </c>
      <c r="J1883" s="10">
        <v>45.5</v>
      </c>
      <c r="K1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883">
        <v>0</v>
      </c>
      <c r="M18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883">
        <v>169.11</v>
      </c>
      <c r="O1883" s="23" t="s">
        <v>746</v>
      </c>
      <c r="P1883">
        <v>338.22</v>
      </c>
      <c r="Q1883" s="23" t="s">
        <v>185</v>
      </c>
    </row>
    <row r="1884" spans="1:17" x14ac:dyDescent="0.25">
      <c r="A1884" s="23" t="s">
        <v>1096</v>
      </c>
      <c r="B1884" s="23" t="s">
        <v>1053</v>
      </c>
      <c r="C1884" s="23" t="s">
        <v>176</v>
      </c>
      <c r="D1884" s="23" t="s">
        <v>744</v>
      </c>
      <c r="E1884" s="23" t="s">
        <v>745</v>
      </c>
      <c r="F1884">
        <v>3</v>
      </c>
      <c r="G1884" s="23" t="s">
        <v>180</v>
      </c>
      <c r="H1884">
        <v>0</v>
      </c>
      <c r="I1884">
        <v>0</v>
      </c>
      <c r="J1884" s="10">
        <v>45.5</v>
      </c>
      <c r="K1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884">
        <v>0</v>
      </c>
      <c r="M18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884">
        <v>169.11</v>
      </c>
      <c r="O1884" s="23" t="s">
        <v>746</v>
      </c>
      <c r="P1884">
        <v>507.33000000000004</v>
      </c>
      <c r="Q1884" s="23" t="s">
        <v>185</v>
      </c>
    </row>
    <row r="1885" spans="1:17" x14ac:dyDescent="0.25">
      <c r="A1885" s="23" t="s">
        <v>1057</v>
      </c>
      <c r="B1885" s="23" t="s">
        <v>1056</v>
      </c>
      <c r="C1885" s="23" t="s">
        <v>176</v>
      </c>
      <c r="D1885" s="23" t="s">
        <v>533</v>
      </c>
      <c r="E1885" s="23" t="s">
        <v>534</v>
      </c>
      <c r="F1885">
        <v>10</v>
      </c>
      <c r="G1885" s="23" t="s">
        <v>180</v>
      </c>
      <c r="H1885">
        <v>0</v>
      </c>
      <c r="I1885">
        <v>0</v>
      </c>
      <c r="J1885" s="10">
        <v>0</v>
      </c>
      <c r="K1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1885">
        <v>400</v>
      </c>
      <c r="M18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5">
        <v>5</v>
      </c>
      <c r="O1885" s="23" t="s">
        <v>225</v>
      </c>
      <c r="P1885">
        <v>50</v>
      </c>
      <c r="Q1885" s="23" t="s">
        <v>181</v>
      </c>
    </row>
    <row r="1886" spans="1:17" x14ac:dyDescent="0.25">
      <c r="A1886" s="23" t="s">
        <v>1094</v>
      </c>
      <c r="B1886" s="23" t="s">
        <v>1095</v>
      </c>
      <c r="C1886" s="23" t="s">
        <v>176</v>
      </c>
      <c r="D1886" s="23" t="s">
        <v>533</v>
      </c>
      <c r="E1886" s="23" t="s">
        <v>534</v>
      </c>
      <c r="F1886">
        <v>10</v>
      </c>
      <c r="G1886" s="23" t="s">
        <v>180</v>
      </c>
      <c r="H1886">
        <v>0</v>
      </c>
      <c r="I1886">
        <v>0</v>
      </c>
      <c r="J1886" s="10">
        <v>0</v>
      </c>
      <c r="K1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1886">
        <v>400</v>
      </c>
      <c r="M18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6">
        <v>5</v>
      </c>
      <c r="O1886" s="23" t="s">
        <v>225</v>
      </c>
      <c r="P1886">
        <v>50</v>
      </c>
      <c r="Q1886" s="23" t="s">
        <v>181</v>
      </c>
    </row>
    <row r="1887" spans="1:17" x14ac:dyDescent="0.25">
      <c r="A1887" s="23" t="s">
        <v>1143</v>
      </c>
      <c r="B1887" s="23" t="s">
        <v>1054</v>
      </c>
      <c r="C1887" s="23" t="s">
        <v>176</v>
      </c>
      <c r="D1887" s="23" t="s">
        <v>533</v>
      </c>
      <c r="E1887" s="23" t="s">
        <v>534</v>
      </c>
      <c r="F1887">
        <v>10</v>
      </c>
      <c r="G1887" s="23" t="s">
        <v>180</v>
      </c>
      <c r="H1887">
        <v>0</v>
      </c>
      <c r="I1887">
        <v>0</v>
      </c>
      <c r="J1887" s="10">
        <v>0</v>
      </c>
      <c r="K1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1887">
        <v>400</v>
      </c>
      <c r="M18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7">
        <v>5</v>
      </c>
      <c r="O1887" s="23" t="s">
        <v>225</v>
      </c>
      <c r="P1887">
        <v>50</v>
      </c>
      <c r="Q1887" s="23" t="s">
        <v>181</v>
      </c>
    </row>
    <row r="1888" spans="1:17" x14ac:dyDescent="0.25">
      <c r="A1888" s="23" t="s">
        <v>1057</v>
      </c>
      <c r="B1888" s="23" t="s">
        <v>1056</v>
      </c>
      <c r="C1888" s="23" t="s">
        <v>176</v>
      </c>
      <c r="D1888" s="23" t="s">
        <v>992</v>
      </c>
      <c r="E1888" s="23" t="s">
        <v>993</v>
      </c>
      <c r="F1888">
        <v>35</v>
      </c>
      <c r="G1888" s="23" t="s">
        <v>177</v>
      </c>
      <c r="H1888">
        <v>0</v>
      </c>
      <c r="I1888">
        <v>1000</v>
      </c>
      <c r="J1888" s="10">
        <v>3505</v>
      </c>
      <c r="K1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-914</v>
      </c>
      <c r="L1888">
        <v>0</v>
      </c>
      <c r="M18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8">
        <v>0.63</v>
      </c>
      <c r="O1888" s="23" t="s">
        <v>883</v>
      </c>
      <c r="P1888">
        <v>22.05</v>
      </c>
      <c r="Q1888" s="23" t="s">
        <v>181</v>
      </c>
    </row>
    <row r="1889" spans="1:17" x14ac:dyDescent="0.25">
      <c r="A1889" s="23" t="s">
        <v>1057</v>
      </c>
      <c r="B1889" s="23" t="s">
        <v>1056</v>
      </c>
      <c r="C1889" s="23" t="s">
        <v>176</v>
      </c>
      <c r="D1889" s="23" t="s">
        <v>354</v>
      </c>
      <c r="E1889" s="23" t="s">
        <v>355</v>
      </c>
      <c r="F1889">
        <v>25</v>
      </c>
      <c r="G1889" s="23" t="s">
        <v>177</v>
      </c>
      <c r="H1889">
        <v>0</v>
      </c>
      <c r="I1889">
        <v>491</v>
      </c>
      <c r="J1889" s="10">
        <v>50</v>
      </c>
      <c r="K1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889">
        <v>0</v>
      </c>
      <c r="M18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89">
        <v>10.65</v>
      </c>
      <c r="O1889" s="23" t="s">
        <v>883</v>
      </c>
      <c r="P1889">
        <v>266.25</v>
      </c>
      <c r="Q1889" s="23" t="s">
        <v>181</v>
      </c>
    </row>
    <row r="1890" spans="1:17" x14ac:dyDescent="0.25">
      <c r="A1890" s="23" t="s">
        <v>1143</v>
      </c>
      <c r="B1890" s="23" t="s">
        <v>1054</v>
      </c>
      <c r="C1890" s="23" t="s">
        <v>176</v>
      </c>
      <c r="D1890" s="23" t="s">
        <v>354</v>
      </c>
      <c r="E1890" s="23" t="s">
        <v>355</v>
      </c>
      <c r="F1890">
        <v>32</v>
      </c>
      <c r="G1890" s="23" t="s">
        <v>177</v>
      </c>
      <c r="H1890">
        <v>0</v>
      </c>
      <c r="I1890">
        <v>491</v>
      </c>
      <c r="J1890" s="10">
        <v>50</v>
      </c>
      <c r="K1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890">
        <v>0</v>
      </c>
      <c r="M18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0">
        <v>10.65</v>
      </c>
      <c r="O1890" s="23" t="s">
        <v>883</v>
      </c>
      <c r="P1890">
        <v>340.8</v>
      </c>
      <c r="Q1890" s="23" t="s">
        <v>181</v>
      </c>
    </row>
    <row r="1891" spans="1:17" x14ac:dyDescent="0.25">
      <c r="A1891" s="23" t="s">
        <v>1094</v>
      </c>
      <c r="B1891" s="23" t="s">
        <v>1095</v>
      </c>
      <c r="C1891" s="23" t="s">
        <v>176</v>
      </c>
      <c r="D1891" s="23" t="s">
        <v>354</v>
      </c>
      <c r="E1891" s="23" t="s">
        <v>355</v>
      </c>
      <c r="F1891">
        <v>32</v>
      </c>
      <c r="G1891" s="23" t="s">
        <v>177</v>
      </c>
      <c r="H1891">
        <v>0</v>
      </c>
      <c r="I1891">
        <v>491</v>
      </c>
      <c r="J1891" s="10">
        <v>50</v>
      </c>
      <c r="K1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891">
        <v>0</v>
      </c>
      <c r="M18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1">
        <v>10.65</v>
      </c>
      <c r="O1891" s="23" t="s">
        <v>883</v>
      </c>
      <c r="P1891">
        <v>340.8</v>
      </c>
      <c r="Q1891" s="23" t="s">
        <v>181</v>
      </c>
    </row>
    <row r="1892" spans="1:17" x14ac:dyDescent="0.25">
      <c r="A1892" s="23" t="s">
        <v>1094</v>
      </c>
      <c r="B1892" s="23" t="s">
        <v>1095</v>
      </c>
      <c r="C1892" s="23" t="s">
        <v>176</v>
      </c>
      <c r="D1892" s="23" t="s">
        <v>122</v>
      </c>
      <c r="E1892" s="23" t="s">
        <v>123</v>
      </c>
      <c r="F1892">
        <v>27</v>
      </c>
      <c r="G1892" s="23" t="s">
        <v>180</v>
      </c>
      <c r="H1892">
        <v>0</v>
      </c>
      <c r="I1892">
        <v>150</v>
      </c>
      <c r="J1892" s="10">
        <v>50</v>
      </c>
      <c r="K1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892">
        <v>0</v>
      </c>
      <c r="M18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892">
        <v>320</v>
      </c>
      <c r="O1892" s="23" t="s">
        <v>1151</v>
      </c>
      <c r="P1892">
        <v>8640</v>
      </c>
      <c r="Q1892" s="23" t="s">
        <v>185</v>
      </c>
    </row>
    <row r="1893" spans="1:17" x14ac:dyDescent="0.25">
      <c r="A1893" s="23" t="s">
        <v>1094</v>
      </c>
      <c r="B1893" s="23" t="s">
        <v>1095</v>
      </c>
      <c r="C1893" s="23" t="s">
        <v>176</v>
      </c>
      <c r="D1893" s="23" t="s">
        <v>138</v>
      </c>
      <c r="E1893" s="23" t="s">
        <v>139</v>
      </c>
      <c r="F1893">
        <v>2</v>
      </c>
      <c r="G1893" s="23" t="s">
        <v>177</v>
      </c>
      <c r="H1893">
        <v>0</v>
      </c>
      <c r="I1893">
        <v>23</v>
      </c>
      <c r="J1893" s="10">
        <v>22</v>
      </c>
      <c r="K1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893">
        <v>10</v>
      </c>
      <c r="M18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3">
        <v>71.77</v>
      </c>
      <c r="O1893" s="23" t="s">
        <v>228</v>
      </c>
      <c r="P1893">
        <v>143.54</v>
      </c>
      <c r="Q1893" s="23" t="s">
        <v>222</v>
      </c>
    </row>
    <row r="1894" spans="1:17" x14ac:dyDescent="0.25">
      <c r="A1894" s="23" t="s">
        <v>1150</v>
      </c>
      <c r="B1894" s="23" t="s">
        <v>1145</v>
      </c>
      <c r="C1894" s="23" t="s">
        <v>176</v>
      </c>
      <c r="D1894" s="23" t="s">
        <v>744</v>
      </c>
      <c r="E1894" s="23" t="s">
        <v>745</v>
      </c>
      <c r="F1894">
        <v>0.5</v>
      </c>
      <c r="G1894" s="23" t="s">
        <v>180</v>
      </c>
      <c r="H1894">
        <v>0</v>
      </c>
      <c r="I1894">
        <v>0</v>
      </c>
      <c r="J1894" s="10">
        <v>45.5</v>
      </c>
      <c r="K1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894">
        <v>0</v>
      </c>
      <c r="M18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894">
        <v>169.11</v>
      </c>
      <c r="O1894" s="23" t="s">
        <v>746</v>
      </c>
      <c r="P1894">
        <v>84.555000000000007</v>
      </c>
      <c r="Q1894" s="23" t="s">
        <v>185</v>
      </c>
    </row>
    <row r="1895" spans="1:17" x14ac:dyDescent="0.25">
      <c r="A1895" s="23" t="s">
        <v>1142</v>
      </c>
      <c r="B1895" s="23" t="s">
        <v>1054</v>
      </c>
      <c r="C1895" s="23" t="s">
        <v>176</v>
      </c>
      <c r="D1895" s="23" t="s">
        <v>744</v>
      </c>
      <c r="E1895" s="23" t="s">
        <v>745</v>
      </c>
      <c r="F1895">
        <v>0.5</v>
      </c>
      <c r="G1895" s="23" t="s">
        <v>180</v>
      </c>
      <c r="H1895">
        <v>0</v>
      </c>
      <c r="I1895">
        <v>0</v>
      </c>
      <c r="J1895" s="10">
        <v>45.5</v>
      </c>
      <c r="K1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895">
        <v>0</v>
      </c>
      <c r="M18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895">
        <v>169.11</v>
      </c>
      <c r="O1895" s="23" t="s">
        <v>746</v>
      </c>
      <c r="P1895">
        <v>84.555000000000007</v>
      </c>
      <c r="Q1895" s="23" t="s">
        <v>185</v>
      </c>
    </row>
    <row r="1896" spans="1:17" x14ac:dyDescent="0.25">
      <c r="A1896" s="23" t="s">
        <v>1142</v>
      </c>
      <c r="B1896" s="23" t="s">
        <v>1054</v>
      </c>
      <c r="C1896" s="23" t="s">
        <v>176</v>
      </c>
      <c r="D1896" s="23" t="s">
        <v>533</v>
      </c>
      <c r="E1896" s="23" t="s">
        <v>534</v>
      </c>
      <c r="F1896">
        <v>10</v>
      </c>
      <c r="G1896" s="23" t="s">
        <v>180</v>
      </c>
      <c r="H1896">
        <v>0</v>
      </c>
      <c r="I1896">
        <v>0</v>
      </c>
      <c r="J1896" s="10">
        <v>0</v>
      </c>
      <c r="K1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1896">
        <v>400</v>
      </c>
      <c r="M18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6">
        <v>5</v>
      </c>
      <c r="O1896" s="23" t="s">
        <v>225</v>
      </c>
      <c r="P1896">
        <v>50</v>
      </c>
      <c r="Q1896" s="23" t="s">
        <v>181</v>
      </c>
    </row>
    <row r="1897" spans="1:17" x14ac:dyDescent="0.25">
      <c r="A1897" s="23" t="s">
        <v>1146</v>
      </c>
      <c r="B1897" s="23" t="s">
        <v>1145</v>
      </c>
      <c r="C1897" s="23" t="s">
        <v>176</v>
      </c>
      <c r="D1897" s="23" t="s">
        <v>447</v>
      </c>
      <c r="E1897" s="23" t="s">
        <v>448</v>
      </c>
      <c r="F1897">
        <v>1</v>
      </c>
      <c r="G1897" s="23" t="s">
        <v>177</v>
      </c>
      <c r="H1897">
        <v>0</v>
      </c>
      <c r="I1897">
        <v>15</v>
      </c>
      <c r="J1897" s="10">
        <v>11</v>
      </c>
      <c r="K1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897">
        <v>0</v>
      </c>
      <c r="M18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7">
        <v>237.5</v>
      </c>
      <c r="O1897" s="23" t="s">
        <v>629</v>
      </c>
      <c r="P1897">
        <v>237.5</v>
      </c>
      <c r="Q1897" s="23" t="s">
        <v>181</v>
      </c>
    </row>
    <row r="1898" spans="1:17" x14ac:dyDescent="0.25">
      <c r="A1898" s="23" t="s">
        <v>1098</v>
      </c>
      <c r="B1898" s="23" t="s">
        <v>1053</v>
      </c>
      <c r="C1898" s="23" t="s">
        <v>176</v>
      </c>
      <c r="D1898" s="23" t="s">
        <v>313</v>
      </c>
      <c r="E1898" s="23" t="s">
        <v>314</v>
      </c>
      <c r="F1898">
        <v>7</v>
      </c>
      <c r="G1898" s="23" t="s">
        <v>180</v>
      </c>
      <c r="H1898">
        <v>0</v>
      </c>
      <c r="I1898">
        <v>125</v>
      </c>
      <c r="J1898" s="10">
        <v>16.500000000000028</v>
      </c>
      <c r="K1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898">
        <v>0</v>
      </c>
      <c r="M18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898">
        <v>80.84</v>
      </c>
      <c r="O1898" s="23" t="s">
        <v>315</v>
      </c>
      <c r="P1898">
        <v>565.88</v>
      </c>
      <c r="Q1898" s="23" t="s">
        <v>179</v>
      </c>
    </row>
    <row r="1899" spans="1:17" x14ac:dyDescent="0.25">
      <c r="A1899" s="23" t="s">
        <v>1197</v>
      </c>
      <c r="B1899" s="23" t="s">
        <v>1198</v>
      </c>
      <c r="C1899" s="23" t="s">
        <v>176</v>
      </c>
      <c r="D1899" s="23" t="s">
        <v>308</v>
      </c>
      <c r="E1899" s="23" t="s">
        <v>309</v>
      </c>
      <c r="F1899">
        <v>1</v>
      </c>
      <c r="G1899" s="23" t="s">
        <v>177</v>
      </c>
      <c r="H1899">
        <v>0</v>
      </c>
      <c r="I1899">
        <v>13</v>
      </c>
      <c r="J1899" s="10">
        <v>1</v>
      </c>
      <c r="K1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899">
        <v>0</v>
      </c>
      <c r="M18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899">
        <v>65.42</v>
      </c>
      <c r="O1899" s="23" t="s">
        <v>629</v>
      </c>
      <c r="P1899">
        <v>65.42</v>
      </c>
      <c r="Q1899" s="23" t="s">
        <v>179</v>
      </c>
    </row>
    <row r="1900" spans="1:17" x14ac:dyDescent="0.25">
      <c r="A1900" s="23" t="s">
        <v>1097</v>
      </c>
      <c r="B1900" s="23" t="s">
        <v>1095</v>
      </c>
      <c r="C1900" s="23" t="s">
        <v>176</v>
      </c>
      <c r="D1900" s="23" t="s">
        <v>308</v>
      </c>
      <c r="E1900" s="23" t="s">
        <v>309</v>
      </c>
      <c r="F1900">
        <v>2</v>
      </c>
      <c r="G1900" s="23" t="s">
        <v>177</v>
      </c>
      <c r="H1900">
        <v>0</v>
      </c>
      <c r="I1900">
        <v>13</v>
      </c>
      <c r="J1900" s="10">
        <v>1</v>
      </c>
      <c r="K1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900">
        <v>0</v>
      </c>
      <c r="M19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900">
        <v>65.42</v>
      </c>
      <c r="O1900" s="23" t="s">
        <v>629</v>
      </c>
      <c r="P1900">
        <v>130.84</v>
      </c>
      <c r="Q1900" s="23" t="s">
        <v>179</v>
      </c>
    </row>
    <row r="1901" spans="1:17" x14ac:dyDescent="0.25">
      <c r="A1901" s="23" t="s">
        <v>1098</v>
      </c>
      <c r="B1901" s="23" t="s">
        <v>1053</v>
      </c>
      <c r="C1901" s="23" t="s">
        <v>176</v>
      </c>
      <c r="D1901" s="23" t="s">
        <v>308</v>
      </c>
      <c r="E1901" s="23" t="s">
        <v>309</v>
      </c>
      <c r="F1901">
        <v>5</v>
      </c>
      <c r="G1901" s="23" t="s">
        <v>177</v>
      </c>
      <c r="H1901">
        <v>0</v>
      </c>
      <c r="I1901">
        <v>13</v>
      </c>
      <c r="J1901" s="10">
        <v>1</v>
      </c>
      <c r="K1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1901">
        <v>0</v>
      </c>
      <c r="M19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1901">
        <v>65.42</v>
      </c>
      <c r="O1901" s="23" t="s">
        <v>629</v>
      </c>
      <c r="P1901">
        <v>327.10000000000002</v>
      </c>
      <c r="Q1901" s="23" t="s">
        <v>179</v>
      </c>
    </row>
    <row r="1902" spans="1:17" x14ac:dyDescent="0.25">
      <c r="A1902" s="23" t="s">
        <v>1197</v>
      </c>
      <c r="B1902" s="23" t="s">
        <v>1198</v>
      </c>
      <c r="C1902" s="23" t="s">
        <v>176</v>
      </c>
      <c r="D1902" s="23" t="s">
        <v>36</v>
      </c>
      <c r="E1902" s="23" t="s">
        <v>37</v>
      </c>
      <c r="F1902">
        <v>3</v>
      </c>
      <c r="G1902" s="23" t="s">
        <v>177</v>
      </c>
      <c r="H1902">
        <v>0</v>
      </c>
      <c r="I1902">
        <v>35</v>
      </c>
      <c r="J1902" s="10">
        <v>24</v>
      </c>
      <c r="K1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902">
        <v>0</v>
      </c>
      <c r="M19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902">
        <v>1750</v>
      </c>
      <c r="O1902" s="23" t="s">
        <v>1221</v>
      </c>
      <c r="P1902">
        <v>5250</v>
      </c>
      <c r="Q1902" s="23" t="s">
        <v>222</v>
      </c>
    </row>
    <row r="1903" spans="1:17" x14ac:dyDescent="0.25">
      <c r="A1903" s="23" t="s">
        <v>1097</v>
      </c>
      <c r="B1903" s="23" t="s">
        <v>1095</v>
      </c>
      <c r="C1903" s="23" t="s">
        <v>176</v>
      </c>
      <c r="D1903" s="23" t="s">
        <v>36</v>
      </c>
      <c r="E1903" s="23" t="s">
        <v>37</v>
      </c>
      <c r="F1903">
        <v>3</v>
      </c>
      <c r="G1903" s="23" t="s">
        <v>177</v>
      </c>
      <c r="H1903">
        <v>0</v>
      </c>
      <c r="I1903">
        <v>35</v>
      </c>
      <c r="J1903" s="10">
        <v>24</v>
      </c>
      <c r="K1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1903">
        <v>0</v>
      </c>
      <c r="M19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1903">
        <v>1750</v>
      </c>
      <c r="O1903" s="23" t="s">
        <v>1221</v>
      </c>
      <c r="P1903">
        <v>5250</v>
      </c>
      <c r="Q1903" s="23" t="s">
        <v>222</v>
      </c>
    </row>
    <row r="1904" spans="1:17" x14ac:dyDescent="0.25">
      <c r="A1904" s="23" t="s">
        <v>1062</v>
      </c>
      <c r="B1904" s="23" t="s">
        <v>1053</v>
      </c>
      <c r="C1904" s="23" t="s">
        <v>176</v>
      </c>
      <c r="D1904" s="23" t="s">
        <v>240</v>
      </c>
      <c r="E1904" s="23" t="s">
        <v>241</v>
      </c>
      <c r="F1904">
        <v>4.07</v>
      </c>
      <c r="G1904" s="23" t="s">
        <v>186</v>
      </c>
      <c r="H1904">
        <v>4.07</v>
      </c>
      <c r="I1904">
        <v>110</v>
      </c>
      <c r="J1904" s="10">
        <v>57.22</v>
      </c>
      <c r="K1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904">
        <v>0</v>
      </c>
      <c r="M19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4">
        <v>40</v>
      </c>
      <c r="O1904" s="23" t="s">
        <v>242</v>
      </c>
      <c r="P1904">
        <v>162.80000000000001</v>
      </c>
      <c r="Q1904" s="23" t="s">
        <v>181</v>
      </c>
    </row>
    <row r="1905" spans="1:17" x14ac:dyDescent="0.25">
      <c r="A1905" s="23" t="s">
        <v>1197</v>
      </c>
      <c r="B1905" s="23" t="s">
        <v>1198</v>
      </c>
      <c r="C1905" s="23" t="s">
        <v>176</v>
      </c>
      <c r="D1905" s="23" t="s">
        <v>240</v>
      </c>
      <c r="E1905" s="23" t="s">
        <v>241</v>
      </c>
      <c r="F1905">
        <v>2.8</v>
      </c>
      <c r="G1905" s="23" t="s">
        <v>186</v>
      </c>
      <c r="H1905">
        <v>0</v>
      </c>
      <c r="I1905">
        <v>110</v>
      </c>
      <c r="J1905" s="10">
        <v>57.22</v>
      </c>
      <c r="K1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905">
        <v>0</v>
      </c>
      <c r="M19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5">
        <v>40</v>
      </c>
      <c r="O1905" s="23" t="s">
        <v>242</v>
      </c>
      <c r="P1905">
        <v>112</v>
      </c>
      <c r="Q1905" s="23" t="s">
        <v>181</v>
      </c>
    </row>
    <row r="1906" spans="1:17" x14ac:dyDescent="0.25">
      <c r="A1906" s="23" t="s">
        <v>1097</v>
      </c>
      <c r="B1906" s="23" t="s">
        <v>1095</v>
      </c>
      <c r="C1906" s="23" t="s">
        <v>176</v>
      </c>
      <c r="D1906" s="23" t="s">
        <v>240</v>
      </c>
      <c r="E1906" s="23" t="s">
        <v>241</v>
      </c>
      <c r="F1906">
        <v>3.6100000000000003</v>
      </c>
      <c r="G1906" s="23" t="s">
        <v>186</v>
      </c>
      <c r="H1906">
        <v>0</v>
      </c>
      <c r="I1906">
        <v>110</v>
      </c>
      <c r="J1906" s="10">
        <v>57.22</v>
      </c>
      <c r="K1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1906">
        <v>0</v>
      </c>
      <c r="M19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6">
        <v>40</v>
      </c>
      <c r="O1906" s="23" t="s">
        <v>242</v>
      </c>
      <c r="P1906">
        <v>144.4</v>
      </c>
      <c r="Q1906" s="23" t="s">
        <v>181</v>
      </c>
    </row>
    <row r="1907" spans="1:17" x14ac:dyDescent="0.25">
      <c r="A1907" s="23" t="s">
        <v>1197</v>
      </c>
      <c r="B1907" s="23" t="s">
        <v>1198</v>
      </c>
      <c r="C1907" s="23" t="s">
        <v>176</v>
      </c>
      <c r="D1907" s="23" t="s">
        <v>961</v>
      </c>
      <c r="E1907" s="23" t="s">
        <v>962</v>
      </c>
      <c r="F1907">
        <v>1</v>
      </c>
      <c r="G1907" s="23" t="s">
        <v>177</v>
      </c>
      <c r="H1907">
        <v>0</v>
      </c>
      <c r="I1907">
        <v>4</v>
      </c>
      <c r="J1907" s="10">
        <v>2</v>
      </c>
      <c r="K1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1907">
        <v>0</v>
      </c>
      <c r="M19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7">
        <v>2249.17</v>
      </c>
      <c r="O1907" s="23" t="s">
        <v>1072</v>
      </c>
      <c r="P1907">
        <v>2249.17</v>
      </c>
      <c r="Q1907" s="23" t="s">
        <v>178</v>
      </c>
    </row>
    <row r="1908" spans="1:17" x14ac:dyDescent="0.25">
      <c r="A1908" s="23" t="s">
        <v>1149</v>
      </c>
      <c r="B1908" s="23" t="s">
        <v>1145</v>
      </c>
      <c r="C1908" s="23" t="s">
        <v>176</v>
      </c>
      <c r="D1908" s="23" t="s">
        <v>447</v>
      </c>
      <c r="E1908" s="23" t="s">
        <v>448</v>
      </c>
      <c r="F1908">
        <v>1</v>
      </c>
      <c r="G1908" s="23" t="s">
        <v>177</v>
      </c>
      <c r="H1908">
        <v>0</v>
      </c>
      <c r="I1908">
        <v>15</v>
      </c>
      <c r="J1908" s="10">
        <v>11</v>
      </c>
      <c r="K1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908">
        <v>0</v>
      </c>
      <c r="M19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8">
        <v>237.5</v>
      </c>
      <c r="O1908" s="23" t="s">
        <v>629</v>
      </c>
      <c r="P1908">
        <v>237.5</v>
      </c>
      <c r="Q1908" s="23" t="s">
        <v>181</v>
      </c>
    </row>
    <row r="1909" spans="1:17" x14ac:dyDescent="0.25">
      <c r="A1909" s="23" t="s">
        <v>1097</v>
      </c>
      <c r="B1909" s="23" t="s">
        <v>1095</v>
      </c>
      <c r="C1909" s="23" t="s">
        <v>176</v>
      </c>
      <c r="D1909" s="23" t="s">
        <v>313</v>
      </c>
      <c r="E1909" s="23" t="s">
        <v>314</v>
      </c>
      <c r="F1909">
        <v>5</v>
      </c>
      <c r="G1909" s="23" t="s">
        <v>180</v>
      </c>
      <c r="H1909">
        <v>0</v>
      </c>
      <c r="I1909">
        <v>125</v>
      </c>
      <c r="J1909" s="10">
        <v>16.500000000000028</v>
      </c>
      <c r="K1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09">
        <v>0</v>
      </c>
      <c r="M19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09">
        <v>80.84</v>
      </c>
      <c r="O1909" s="23" t="s">
        <v>315</v>
      </c>
      <c r="P1909">
        <v>404.20000000000005</v>
      </c>
      <c r="Q1909" s="23" t="s">
        <v>179</v>
      </c>
    </row>
    <row r="1910" spans="1:17" x14ac:dyDescent="0.25">
      <c r="A1910" s="23" t="s">
        <v>1100</v>
      </c>
      <c r="B1910" s="23" t="s">
        <v>1101</v>
      </c>
      <c r="C1910" s="23" t="s">
        <v>176</v>
      </c>
      <c r="D1910" s="23" t="s">
        <v>313</v>
      </c>
      <c r="E1910" s="23" t="s">
        <v>314</v>
      </c>
      <c r="F1910">
        <v>6</v>
      </c>
      <c r="G1910" s="23" t="s">
        <v>180</v>
      </c>
      <c r="H1910">
        <v>0</v>
      </c>
      <c r="I1910">
        <v>125</v>
      </c>
      <c r="J1910" s="10">
        <v>16.500000000000028</v>
      </c>
      <c r="K1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10">
        <v>0</v>
      </c>
      <c r="M19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0">
        <v>80.84</v>
      </c>
      <c r="O1910" s="23" t="s">
        <v>315</v>
      </c>
      <c r="P1910">
        <v>485.04</v>
      </c>
      <c r="Q1910" s="23" t="s">
        <v>179</v>
      </c>
    </row>
    <row r="1911" spans="1:17" x14ac:dyDescent="0.25">
      <c r="A1911" s="23" t="s">
        <v>1142</v>
      </c>
      <c r="B1911" s="23" t="s">
        <v>1054</v>
      </c>
      <c r="C1911" s="23" t="s">
        <v>176</v>
      </c>
      <c r="D1911" s="23" t="s">
        <v>69</v>
      </c>
      <c r="E1911" s="23" t="s">
        <v>70</v>
      </c>
      <c r="F1911">
        <v>8.5400000000000009</v>
      </c>
      <c r="G1911" s="23" t="s">
        <v>186</v>
      </c>
      <c r="H1911">
        <v>0</v>
      </c>
      <c r="I1911">
        <v>181</v>
      </c>
      <c r="J1911" s="10">
        <v>-3.1263880373444408E-13</v>
      </c>
      <c r="K1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1911">
        <v>46.1</v>
      </c>
      <c r="M19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1">
        <v>96.37</v>
      </c>
      <c r="O1911" s="23" t="s">
        <v>491</v>
      </c>
      <c r="P1911">
        <v>822.99980000000016</v>
      </c>
      <c r="Q1911" s="23" t="s">
        <v>184</v>
      </c>
    </row>
    <row r="1912" spans="1:17" x14ac:dyDescent="0.25">
      <c r="A1912" s="23" t="s">
        <v>1057</v>
      </c>
      <c r="B1912" s="23" t="s">
        <v>1056</v>
      </c>
      <c r="C1912" s="23" t="s">
        <v>176</v>
      </c>
      <c r="D1912" s="23" t="s">
        <v>469</v>
      </c>
      <c r="E1912" s="23" t="s">
        <v>580</v>
      </c>
      <c r="F1912">
        <v>2</v>
      </c>
      <c r="G1912" s="23" t="s">
        <v>186</v>
      </c>
      <c r="H1912">
        <v>0</v>
      </c>
      <c r="I1912">
        <v>30</v>
      </c>
      <c r="J1912" s="10">
        <v>21.5</v>
      </c>
      <c r="K1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912">
        <v>0</v>
      </c>
      <c r="M19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912">
        <v>118.14</v>
      </c>
      <c r="O1912" s="23" t="s">
        <v>394</v>
      </c>
      <c r="P1912">
        <v>236.28</v>
      </c>
      <c r="Q1912" s="23" t="s">
        <v>184</v>
      </c>
    </row>
    <row r="1913" spans="1:17" x14ac:dyDescent="0.25">
      <c r="A1913" s="23" t="s">
        <v>1096</v>
      </c>
      <c r="B1913" s="23" t="s">
        <v>1053</v>
      </c>
      <c r="C1913" s="23" t="s">
        <v>176</v>
      </c>
      <c r="D1913" s="23" t="s">
        <v>469</v>
      </c>
      <c r="E1913" s="23" t="s">
        <v>580</v>
      </c>
      <c r="F1913">
        <v>2</v>
      </c>
      <c r="G1913" s="23" t="s">
        <v>186</v>
      </c>
      <c r="H1913">
        <v>0</v>
      </c>
      <c r="I1913">
        <v>30</v>
      </c>
      <c r="J1913" s="10">
        <v>21.5</v>
      </c>
      <c r="K1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913">
        <v>0</v>
      </c>
      <c r="M19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913">
        <v>118.14</v>
      </c>
      <c r="O1913" s="23" t="s">
        <v>394</v>
      </c>
      <c r="P1913">
        <v>236.28</v>
      </c>
      <c r="Q1913" s="23" t="s">
        <v>184</v>
      </c>
    </row>
    <row r="1914" spans="1:17" x14ac:dyDescent="0.25">
      <c r="A1914" s="23" t="s">
        <v>1142</v>
      </c>
      <c r="B1914" s="23" t="s">
        <v>1054</v>
      </c>
      <c r="C1914" s="23" t="s">
        <v>176</v>
      </c>
      <c r="D1914" s="23" t="s">
        <v>75</v>
      </c>
      <c r="E1914" s="23" t="s">
        <v>76</v>
      </c>
      <c r="F1914">
        <v>3</v>
      </c>
      <c r="G1914" s="23" t="s">
        <v>177</v>
      </c>
      <c r="H1914">
        <v>0</v>
      </c>
      <c r="I1914">
        <v>24</v>
      </c>
      <c r="J1914" s="10">
        <v>30</v>
      </c>
      <c r="K1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14">
        <v>50</v>
      </c>
      <c r="M19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4">
        <v>37</v>
      </c>
      <c r="O1914" s="23" t="s">
        <v>822</v>
      </c>
      <c r="P1914">
        <v>111</v>
      </c>
      <c r="Q1914" s="23" t="s">
        <v>179</v>
      </c>
    </row>
    <row r="1915" spans="1:17" x14ac:dyDescent="0.25">
      <c r="A1915" s="23" t="s">
        <v>1096</v>
      </c>
      <c r="B1915" s="23" t="s">
        <v>1053</v>
      </c>
      <c r="C1915" s="23" t="s">
        <v>176</v>
      </c>
      <c r="D1915" s="23" t="s">
        <v>75</v>
      </c>
      <c r="E1915" s="23" t="s">
        <v>76</v>
      </c>
      <c r="F1915">
        <v>3</v>
      </c>
      <c r="G1915" s="23" t="s">
        <v>177</v>
      </c>
      <c r="H1915">
        <v>0</v>
      </c>
      <c r="I1915">
        <v>24</v>
      </c>
      <c r="J1915" s="10">
        <v>30</v>
      </c>
      <c r="K1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15">
        <v>50</v>
      </c>
      <c r="M19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15">
        <v>37</v>
      </c>
      <c r="O1915" s="23" t="s">
        <v>822</v>
      </c>
      <c r="P1915">
        <v>111</v>
      </c>
      <c r="Q1915" s="23" t="s">
        <v>179</v>
      </c>
    </row>
    <row r="1916" spans="1:17" x14ac:dyDescent="0.25">
      <c r="A1916" s="23" t="s">
        <v>1142</v>
      </c>
      <c r="B1916" s="23" t="s">
        <v>1054</v>
      </c>
      <c r="C1916" s="23" t="s">
        <v>176</v>
      </c>
      <c r="D1916" s="23" t="s">
        <v>381</v>
      </c>
      <c r="E1916" s="23" t="s">
        <v>382</v>
      </c>
      <c r="F1916">
        <v>1.1000000000000001</v>
      </c>
      <c r="G1916" s="23" t="s">
        <v>180</v>
      </c>
      <c r="H1916">
        <v>0</v>
      </c>
      <c r="I1916">
        <v>0</v>
      </c>
      <c r="J1916" s="10">
        <v>20.300000000000029</v>
      </c>
      <c r="K1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21.100000000000005</v>
      </c>
      <c r="L1916">
        <v>0</v>
      </c>
      <c r="M19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2426.5000000000005</v>
      </c>
      <c r="N1916">
        <v>115</v>
      </c>
      <c r="O1916" s="23" t="s">
        <v>822</v>
      </c>
      <c r="P1916">
        <v>126.50000000000001</v>
      </c>
      <c r="Q1916" s="23" t="s">
        <v>179</v>
      </c>
    </row>
    <row r="1917" spans="1:17" x14ac:dyDescent="0.25">
      <c r="A1917" s="23" t="s">
        <v>1142</v>
      </c>
      <c r="B1917" s="23" t="s">
        <v>1054</v>
      </c>
      <c r="C1917" s="23" t="s">
        <v>176</v>
      </c>
      <c r="D1917" s="23" t="s">
        <v>469</v>
      </c>
      <c r="E1917" s="23" t="s">
        <v>580</v>
      </c>
      <c r="F1917">
        <v>1.5</v>
      </c>
      <c r="G1917" s="23" t="s">
        <v>186</v>
      </c>
      <c r="H1917">
        <v>0</v>
      </c>
      <c r="I1917">
        <v>30</v>
      </c>
      <c r="J1917" s="10">
        <v>21.5</v>
      </c>
      <c r="K1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1917">
        <v>0</v>
      </c>
      <c r="M19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1917">
        <v>118.14</v>
      </c>
      <c r="O1917" s="23" t="s">
        <v>394</v>
      </c>
      <c r="P1917">
        <v>177.21</v>
      </c>
      <c r="Q1917" s="23" t="s">
        <v>184</v>
      </c>
    </row>
    <row r="1918" spans="1:17" x14ac:dyDescent="0.25">
      <c r="A1918" s="23" t="s">
        <v>1142</v>
      </c>
      <c r="B1918" s="23" t="s">
        <v>1054</v>
      </c>
      <c r="C1918" s="23" t="s">
        <v>176</v>
      </c>
      <c r="D1918" s="23" t="s">
        <v>81</v>
      </c>
      <c r="E1918" s="23" t="s">
        <v>82</v>
      </c>
      <c r="F1918">
        <v>6</v>
      </c>
      <c r="G1918" s="23" t="s">
        <v>177</v>
      </c>
      <c r="H1918">
        <v>0</v>
      </c>
      <c r="I1918">
        <v>0</v>
      </c>
      <c r="J1918" s="10">
        <v>0.49999999999995737</v>
      </c>
      <c r="K1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1918">
        <v>10</v>
      </c>
      <c r="M19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1918">
        <v>666.67</v>
      </c>
      <c r="O1918" s="23" t="s">
        <v>224</v>
      </c>
      <c r="P1918">
        <v>4000.0199999999995</v>
      </c>
      <c r="Q1918" s="23" t="s">
        <v>182</v>
      </c>
    </row>
    <row r="1919" spans="1:17" x14ac:dyDescent="0.25">
      <c r="A1919" s="23" t="s">
        <v>1142</v>
      </c>
      <c r="B1919" s="23" t="s">
        <v>1054</v>
      </c>
      <c r="C1919" s="23" t="s">
        <v>176</v>
      </c>
      <c r="D1919" s="23" t="s">
        <v>414</v>
      </c>
      <c r="E1919" s="23" t="s">
        <v>665</v>
      </c>
      <c r="F1919">
        <v>0.30000000000000004</v>
      </c>
      <c r="G1919" s="23" t="s">
        <v>180</v>
      </c>
      <c r="H1919">
        <v>0</v>
      </c>
      <c r="I1919">
        <v>0</v>
      </c>
      <c r="J1919" s="10">
        <v>93.8</v>
      </c>
      <c r="K1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1919">
        <v>0</v>
      </c>
      <c r="M19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1919">
        <v>6.77</v>
      </c>
      <c r="O1919" s="23" t="s">
        <v>636</v>
      </c>
      <c r="P1919">
        <v>2.0310000000000001</v>
      </c>
      <c r="Q1919" s="23" t="s">
        <v>222</v>
      </c>
    </row>
    <row r="1920" spans="1:17" x14ac:dyDescent="0.25">
      <c r="A1920" s="23" t="s">
        <v>1142</v>
      </c>
      <c r="B1920" s="23" t="s">
        <v>1054</v>
      </c>
      <c r="C1920" s="23" t="s">
        <v>176</v>
      </c>
      <c r="D1920" s="23" t="s">
        <v>239</v>
      </c>
      <c r="E1920" s="23" t="s">
        <v>307</v>
      </c>
      <c r="F1920">
        <v>2</v>
      </c>
      <c r="G1920" s="23" t="s">
        <v>177</v>
      </c>
      <c r="H1920">
        <v>0</v>
      </c>
      <c r="I1920">
        <v>40</v>
      </c>
      <c r="J1920" s="10">
        <v>18</v>
      </c>
      <c r="K1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1920">
        <v>0</v>
      </c>
      <c r="M19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0">
        <v>45.3</v>
      </c>
      <c r="O1920" s="23" t="s">
        <v>827</v>
      </c>
      <c r="P1920">
        <v>90.6</v>
      </c>
      <c r="Q1920" s="23" t="s">
        <v>222</v>
      </c>
    </row>
    <row r="1921" spans="1:17" x14ac:dyDescent="0.25">
      <c r="A1921" s="23" t="s">
        <v>1150</v>
      </c>
      <c r="B1921" s="23" t="s">
        <v>1145</v>
      </c>
      <c r="C1921" s="23" t="s">
        <v>176</v>
      </c>
      <c r="D1921" s="23" t="s">
        <v>75</v>
      </c>
      <c r="E1921" s="23" t="s">
        <v>76</v>
      </c>
      <c r="F1921">
        <v>3</v>
      </c>
      <c r="G1921" s="23" t="s">
        <v>177</v>
      </c>
      <c r="H1921">
        <v>0</v>
      </c>
      <c r="I1921">
        <v>24</v>
      </c>
      <c r="J1921" s="10">
        <v>30</v>
      </c>
      <c r="K1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1921">
        <v>50</v>
      </c>
      <c r="M19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1">
        <v>37</v>
      </c>
      <c r="O1921" s="23" t="s">
        <v>822</v>
      </c>
      <c r="P1921">
        <v>111</v>
      </c>
      <c r="Q1921" s="23" t="s">
        <v>179</v>
      </c>
    </row>
    <row r="1922" spans="1:17" x14ac:dyDescent="0.25">
      <c r="A1922" s="23" t="s">
        <v>1057</v>
      </c>
      <c r="B1922" s="23" t="s">
        <v>1056</v>
      </c>
      <c r="C1922" s="23" t="s">
        <v>176</v>
      </c>
      <c r="D1922" s="23" t="s">
        <v>68</v>
      </c>
      <c r="E1922" s="23" t="s">
        <v>586</v>
      </c>
      <c r="F1922">
        <v>0.5</v>
      </c>
      <c r="G1922" s="23" t="s">
        <v>177</v>
      </c>
      <c r="H1922">
        <v>0</v>
      </c>
      <c r="I1922">
        <v>13.5</v>
      </c>
      <c r="J1922" s="10">
        <v>8.5</v>
      </c>
      <c r="K1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1922">
        <v>0</v>
      </c>
      <c r="M19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2">
        <v>1600</v>
      </c>
      <c r="O1922" s="23" t="s">
        <v>1051</v>
      </c>
      <c r="P1922">
        <v>800</v>
      </c>
      <c r="Q1922" s="23" t="s">
        <v>178</v>
      </c>
    </row>
    <row r="1923" spans="1:17" x14ac:dyDescent="0.25">
      <c r="A1923" s="23" t="s">
        <v>1142</v>
      </c>
      <c r="B1923" s="23" t="s">
        <v>1054</v>
      </c>
      <c r="C1923" s="23" t="s">
        <v>176</v>
      </c>
      <c r="D1923" s="23" t="s">
        <v>354</v>
      </c>
      <c r="E1923" s="23" t="s">
        <v>355</v>
      </c>
      <c r="F1923">
        <v>8</v>
      </c>
      <c r="G1923" s="23" t="s">
        <v>177</v>
      </c>
      <c r="H1923">
        <v>0</v>
      </c>
      <c r="I1923">
        <v>491</v>
      </c>
      <c r="J1923" s="10">
        <v>50</v>
      </c>
      <c r="K1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923">
        <v>0</v>
      </c>
      <c r="M19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3">
        <v>10.65</v>
      </c>
      <c r="O1923" s="23" t="s">
        <v>883</v>
      </c>
      <c r="P1923">
        <v>85.2</v>
      </c>
      <c r="Q1923" s="23" t="s">
        <v>181</v>
      </c>
    </row>
    <row r="1924" spans="1:17" x14ac:dyDescent="0.25">
      <c r="A1924" s="23" t="s">
        <v>1149</v>
      </c>
      <c r="B1924" s="23" t="s">
        <v>1145</v>
      </c>
      <c r="C1924" s="23" t="s">
        <v>176</v>
      </c>
      <c r="D1924" s="23" t="s">
        <v>138</v>
      </c>
      <c r="E1924" s="23" t="s">
        <v>139</v>
      </c>
      <c r="F1924">
        <v>2</v>
      </c>
      <c r="G1924" s="23" t="s">
        <v>177</v>
      </c>
      <c r="H1924">
        <v>0</v>
      </c>
      <c r="I1924">
        <v>23</v>
      </c>
      <c r="J1924" s="10">
        <v>22</v>
      </c>
      <c r="K1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1924">
        <v>10</v>
      </c>
      <c r="M19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4">
        <v>71.77</v>
      </c>
      <c r="O1924" s="23" t="s">
        <v>228</v>
      </c>
      <c r="P1924">
        <v>143.54</v>
      </c>
      <c r="Q1924" s="23" t="s">
        <v>222</v>
      </c>
    </row>
    <row r="1925" spans="1:17" x14ac:dyDescent="0.25">
      <c r="A1925" s="23" t="s">
        <v>1144</v>
      </c>
      <c r="B1925" s="23" t="s">
        <v>1145</v>
      </c>
      <c r="C1925" s="23" t="s">
        <v>176</v>
      </c>
      <c r="D1925" s="23" t="s">
        <v>744</v>
      </c>
      <c r="E1925" s="23" t="s">
        <v>745</v>
      </c>
      <c r="F1925">
        <v>0.5</v>
      </c>
      <c r="G1925" s="23" t="s">
        <v>180</v>
      </c>
      <c r="H1925">
        <v>0</v>
      </c>
      <c r="I1925">
        <v>0</v>
      </c>
      <c r="J1925" s="10">
        <v>45.5</v>
      </c>
      <c r="K1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1925">
        <v>0</v>
      </c>
      <c r="M19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1925">
        <v>169.11</v>
      </c>
      <c r="O1925" s="23" t="s">
        <v>746</v>
      </c>
      <c r="P1925">
        <v>84.555000000000007</v>
      </c>
      <c r="Q1925" s="23" t="s">
        <v>185</v>
      </c>
    </row>
    <row r="1926" spans="1:17" x14ac:dyDescent="0.25">
      <c r="A1926" s="23" t="s">
        <v>1096</v>
      </c>
      <c r="B1926" s="23" t="s">
        <v>1053</v>
      </c>
      <c r="C1926" s="23" t="s">
        <v>176</v>
      </c>
      <c r="D1926" s="23" t="s">
        <v>354</v>
      </c>
      <c r="E1926" s="23" t="s">
        <v>355</v>
      </c>
      <c r="F1926">
        <v>15</v>
      </c>
      <c r="G1926" s="23" t="s">
        <v>177</v>
      </c>
      <c r="H1926">
        <v>0</v>
      </c>
      <c r="I1926">
        <v>491</v>
      </c>
      <c r="J1926" s="10">
        <v>50</v>
      </c>
      <c r="K1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1926">
        <v>0</v>
      </c>
      <c r="M19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26">
        <v>10.65</v>
      </c>
      <c r="O1926" s="23" t="s">
        <v>883</v>
      </c>
      <c r="P1926">
        <v>159.75</v>
      </c>
      <c r="Q1926" s="23" t="s">
        <v>181</v>
      </c>
    </row>
    <row r="1927" spans="1:17" x14ac:dyDescent="0.25">
      <c r="A1927" s="23" t="s">
        <v>1062</v>
      </c>
      <c r="B1927" s="23" t="s">
        <v>1053</v>
      </c>
      <c r="C1927" s="23" t="s">
        <v>176</v>
      </c>
      <c r="D1927" s="23" t="s">
        <v>122</v>
      </c>
      <c r="E1927" s="23" t="s">
        <v>123</v>
      </c>
      <c r="F1927">
        <v>32</v>
      </c>
      <c r="G1927" s="23" t="s">
        <v>180</v>
      </c>
      <c r="H1927">
        <v>0</v>
      </c>
      <c r="I1927">
        <v>150</v>
      </c>
      <c r="J1927" s="10">
        <v>50</v>
      </c>
      <c r="K1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927">
        <v>0</v>
      </c>
      <c r="M19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927">
        <v>320</v>
      </c>
      <c r="O1927" s="23" t="s">
        <v>1151</v>
      </c>
      <c r="P1927">
        <v>10240</v>
      </c>
      <c r="Q1927" s="23" t="s">
        <v>185</v>
      </c>
    </row>
    <row r="1928" spans="1:17" x14ac:dyDescent="0.25">
      <c r="A1928" s="23" t="s">
        <v>1098</v>
      </c>
      <c r="B1928" s="23" t="s">
        <v>1053</v>
      </c>
      <c r="C1928" s="23" t="s">
        <v>176</v>
      </c>
      <c r="D1928" s="23" t="s">
        <v>122</v>
      </c>
      <c r="E1928" s="23" t="s">
        <v>123</v>
      </c>
      <c r="F1928">
        <v>29</v>
      </c>
      <c r="G1928" s="23" t="s">
        <v>180</v>
      </c>
      <c r="H1928">
        <v>0</v>
      </c>
      <c r="I1928">
        <v>150</v>
      </c>
      <c r="J1928" s="10">
        <v>50</v>
      </c>
      <c r="K1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928">
        <v>0</v>
      </c>
      <c r="M19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928">
        <v>320</v>
      </c>
      <c r="O1928" s="23" t="s">
        <v>1151</v>
      </c>
      <c r="P1928">
        <v>9280</v>
      </c>
      <c r="Q1928" s="23" t="s">
        <v>185</v>
      </c>
    </row>
    <row r="1929" spans="1:17" x14ac:dyDescent="0.25">
      <c r="A1929" s="23" t="s">
        <v>1062</v>
      </c>
      <c r="B1929" s="23" t="s">
        <v>1053</v>
      </c>
      <c r="C1929" s="23" t="s">
        <v>176</v>
      </c>
      <c r="D1929" s="23" t="s">
        <v>1217</v>
      </c>
      <c r="E1929" s="23" t="s">
        <v>1218</v>
      </c>
      <c r="F1929">
        <v>1</v>
      </c>
      <c r="G1929" s="23" t="s">
        <v>177</v>
      </c>
      <c r="H1929">
        <v>0</v>
      </c>
      <c r="I1929">
        <v>0</v>
      </c>
      <c r="J1929" s="10">
        <v>0</v>
      </c>
      <c r="K1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1929">
        <v>0</v>
      </c>
      <c r="M19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8250</v>
      </c>
      <c r="N1929">
        <v>8250</v>
      </c>
      <c r="O1929" s="23" t="s">
        <v>830</v>
      </c>
      <c r="P1929">
        <v>8250</v>
      </c>
      <c r="Q1929" s="23" t="s">
        <v>222</v>
      </c>
    </row>
    <row r="1930" spans="1:17" x14ac:dyDescent="0.25">
      <c r="A1930" s="23" t="s">
        <v>1148</v>
      </c>
      <c r="B1930" s="23" t="s">
        <v>1054</v>
      </c>
      <c r="C1930" s="23" t="s">
        <v>176</v>
      </c>
      <c r="D1930" s="23" t="s">
        <v>122</v>
      </c>
      <c r="E1930" s="23" t="s">
        <v>123</v>
      </c>
      <c r="F1930">
        <v>27</v>
      </c>
      <c r="G1930" s="23" t="s">
        <v>180</v>
      </c>
      <c r="H1930">
        <v>0</v>
      </c>
      <c r="I1930">
        <v>150</v>
      </c>
      <c r="J1930" s="10">
        <v>50</v>
      </c>
      <c r="K1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1930">
        <v>0</v>
      </c>
      <c r="M19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1930">
        <v>320</v>
      </c>
      <c r="O1930" s="23" t="s">
        <v>1151</v>
      </c>
      <c r="P1930">
        <v>8640</v>
      </c>
      <c r="Q1930" s="23" t="s">
        <v>185</v>
      </c>
    </row>
    <row r="1931" spans="1:17" x14ac:dyDescent="0.25">
      <c r="A1931" s="23" t="s">
        <v>1143</v>
      </c>
      <c r="B1931" s="23" t="s">
        <v>1054</v>
      </c>
      <c r="C1931" s="23" t="s">
        <v>176</v>
      </c>
      <c r="D1931" s="23" t="s">
        <v>610</v>
      </c>
      <c r="E1931" s="23" t="s">
        <v>611</v>
      </c>
      <c r="F1931">
        <v>1.5</v>
      </c>
      <c r="G1931" s="23" t="s">
        <v>177</v>
      </c>
      <c r="H1931">
        <v>0</v>
      </c>
      <c r="I1931">
        <v>0</v>
      </c>
      <c r="J1931" s="10">
        <v>-7.1054273576010019E-15</v>
      </c>
      <c r="K1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931">
        <v>11</v>
      </c>
      <c r="M19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931">
        <v>1833.33</v>
      </c>
      <c r="O1931" s="23" t="s">
        <v>224</v>
      </c>
      <c r="P1931">
        <v>2749.9949999999999</v>
      </c>
      <c r="Q1931" s="23" t="s">
        <v>182</v>
      </c>
    </row>
    <row r="1932" spans="1:17" x14ac:dyDescent="0.25">
      <c r="A1932" s="23" t="s">
        <v>1096</v>
      </c>
      <c r="B1932" s="23" t="s">
        <v>1053</v>
      </c>
      <c r="C1932" s="23" t="s">
        <v>176</v>
      </c>
      <c r="D1932" s="23" t="s">
        <v>461</v>
      </c>
      <c r="E1932" s="23" t="s">
        <v>462</v>
      </c>
      <c r="F1932">
        <v>1.5</v>
      </c>
      <c r="G1932" s="23" t="s">
        <v>177</v>
      </c>
      <c r="H1932">
        <v>0</v>
      </c>
      <c r="I1932">
        <v>72</v>
      </c>
      <c r="J1932" s="10">
        <v>2</v>
      </c>
      <c r="K1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32">
        <v>0</v>
      </c>
      <c r="M19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2">
        <v>5</v>
      </c>
      <c r="O1932" s="23" t="s">
        <v>242</v>
      </c>
      <c r="P1932">
        <v>7.5</v>
      </c>
      <c r="Q1932" s="23" t="s">
        <v>181</v>
      </c>
    </row>
    <row r="1933" spans="1:17" x14ac:dyDescent="0.25">
      <c r="A1933" s="23" t="s">
        <v>1094</v>
      </c>
      <c r="B1933" s="23" t="s">
        <v>1095</v>
      </c>
      <c r="C1933" s="23" t="s">
        <v>176</v>
      </c>
      <c r="D1933" s="23" t="s">
        <v>461</v>
      </c>
      <c r="E1933" s="23" t="s">
        <v>462</v>
      </c>
      <c r="F1933">
        <v>1.5</v>
      </c>
      <c r="G1933" s="23" t="s">
        <v>177</v>
      </c>
      <c r="H1933">
        <v>0</v>
      </c>
      <c r="I1933">
        <v>72</v>
      </c>
      <c r="J1933" s="10">
        <v>2</v>
      </c>
      <c r="K1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33">
        <v>0</v>
      </c>
      <c r="M19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3">
        <v>5</v>
      </c>
      <c r="O1933" s="23" t="s">
        <v>242</v>
      </c>
      <c r="P1933">
        <v>7.5</v>
      </c>
      <c r="Q1933" s="23" t="s">
        <v>181</v>
      </c>
    </row>
    <row r="1934" spans="1:17" x14ac:dyDescent="0.25">
      <c r="A1934" s="23" t="s">
        <v>1096</v>
      </c>
      <c r="B1934" s="23" t="s">
        <v>1053</v>
      </c>
      <c r="C1934" s="23" t="s">
        <v>176</v>
      </c>
      <c r="D1934" s="23" t="s">
        <v>330</v>
      </c>
      <c r="E1934" s="23" t="s">
        <v>331</v>
      </c>
      <c r="F1934">
        <v>6</v>
      </c>
      <c r="G1934" s="23" t="s">
        <v>177</v>
      </c>
      <c r="H1934">
        <v>0</v>
      </c>
      <c r="I1934">
        <v>118</v>
      </c>
      <c r="J1934" s="10">
        <v>18</v>
      </c>
      <c r="K1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34">
        <v>0</v>
      </c>
      <c r="M19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4">
        <v>14.5</v>
      </c>
      <c r="O1934" s="23" t="s">
        <v>242</v>
      </c>
      <c r="P1934">
        <v>87</v>
      </c>
      <c r="Q1934" s="23" t="s">
        <v>181</v>
      </c>
    </row>
    <row r="1935" spans="1:17" x14ac:dyDescent="0.25">
      <c r="A1935" s="23" t="s">
        <v>1142</v>
      </c>
      <c r="B1935" s="23" t="s">
        <v>1054</v>
      </c>
      <c r="C1935" s="23" t="s">
        <v>176</v>
      </c>
      <c r="D1935" s="23" t="s">
        <v>519</v>
      </c>
      <c r="E1935" s="23" t="s">
        <v>520</v>
      </c>
      <c r="F1935">
        <v>3</v>
      </c>
      <c r="G1935" s="23" t="s">
        <v>177</v>
      </c>
      <c r="H1935">
        <v>0</v>
      </c>
      <c r="I1935">
        <v>111</v>
      </c>
      <c r="J1935" s="10">
        <v>1.1191048088221578E-13</v>
      </c>
      <c r="K1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35">
        <v>0</v>
      </c>
      <c r="M19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5">
        <v>36</v>
      </c>
      <c r="O1935" s="23" t="s">
        <v>242</v>
      </c>
      <c r="P1935">
        <v>108</v>
      </c>
      <c r="Q1935" s="23" t="s">
        <v>181</v>
      </c>
    </row>
    <row r="1936" spans="1:17" x14ac:dyDescent="0.25">
      <c r="A1936" s="23" t="s">
        <v>1096</v>
      </c>
      <c r="B1936" s="23" t="s">
        <v>1053</v>
      </c>
      <c r="C1936" s="23" t="s">
        <v>176</v>
      </c>
      <c r="D1936" s="23" t="s">
        <v>519</v>
      </c>
      <c r="E1936" s="23" t="s">
        <v>520</v>
      </c>
      <c r="F1936">
        <v>3.22</v>
      </c>
      <c r="G1936" s="23" t="s">
        <v>177</v>
      </c>
      <c r="H1936">
        <v>0</v>
      </c>
      <c r="I1936">
        <v>111</v>
      </c>
      <c r="J1936" s="10">
        <v>1.1191048088221578E-13</v>
      </c>
      <c r="K1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36">
        <v>0</v>
      </c>
      <c r="M19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6">
        <v>36</v>
      </c>
      <c r="O1936" s="23" t="s">
        <v>242</v>
      </c>
      <c r="P1936">
        <v>115.92</v>
      </c>
      <c r="Q1936" s="23" t="s">
        <v>181</v>
      </c>
    </row>
    <row r="1937" spans="1:17" x14ac:dyDescent="0.25">
      <c r="A1937" s="23" t="s">
        <v>1142</v>
      </c>
      <c r="B1937" s="23" t="s">
        <v>1054</v>
      </c>
      <c r="C1937" s="23" t="s">
        <v>176</v>
      </c>
      <c r="D1937" s="23" t="s">
        <v>521</v>
      </c>
      <c r="E1937" s="23" t="s">
        <v>522</v>
      </c>
      <c r="F1937">
        <v>3</v>
      </c>
      <c r="G1937" s="23" t="s">
        <v>177</v>
      </c>
      <c r="H1937">
        <v>0</v>
      </c>
      <c r="I1937">
        <v>200</v>
      </c>
      <c r="J1937" s="10">
        <v>70</v>
      </c>
      <c r="K1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1937">
        <v>0</v>
      </c>
      <c r="M19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7">
        <v>10</v>
      </c>
      <c r="O1937" s="23" t="s">
        <v>227</v>
      </c>
      <c r="P1937">
        <v>30</v>
      </c>
      <c r="Q1937" s="23" t="s">
        <v>181</v>
      </c>
    </row>
    <row r="1938" spans="1:17" x14ac:dyDescent="0.25">
      <c r="A1938" s="23" t="s">
        <v>1094</v>
      </c>
      <c r="B1938" s="23" t="s">
        <v>1095</v>
      </c>
      <c r="C1938" s="23" t="s">
        <v>176</v>
      </c>
      <c r="D1938" s="23" t="s">
        <v>525</v>
      </c>
      <c r="E1938" s="23" t="s">
        <v>526</v>
      </c>
      <c r="F1938">
        <v>7</v>
      </c>
      <c r="G1938" s="23" t="s">
        <v>177</v>
      </c>
      <c r="H1938">
        <v>0</v>
      </c>
      <c r="I1938">
        <v>400</v>
      </c>
      <c r="J1938" s="10">
        <v>225</v>
      </c>
      <c r="K1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38">
        <v>0</v>
      </c>
      <c r="M19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8">
        <v>12</v>
      </c>
      <c r="O1938" s="23" t="s">
        <v>227</v>
      </c>
      <c r="P1938">
        <v>84</v>
      </c>
      <c r="Q1938" s="23" t="s">
        <v>181</v>
      </c>
    </row>
    <row r="1939" spans="1:17" x14ac:dyDescent="0.25">
      <c r="A1939" s="23" t="s">
        <v>1057</v>
      </c>
      <c r="B1939" s="23" t="s">
        <v>1056</v>
      </c>
      <c r="C1939" s="23" t="s">
        <v>176</v>
      </c>
      <c r="D1939" s="23" t="s">
        <v>527</v>
      </c>
      <c r="E1939" s="23" t="s">
        <v>528</v>
      </c>
      <c r="F1939">
        <v>0.8</v>
      </c>
      <c r="G1939" s="23" t="s">
        <v>180</v>
      </c>
      <c r="H1939">
        <v>0</v>
      </c>
      <c r="I1939">
        <v>20</v>
      </c>
      <c r="J1939" s="10">
        <v>2.6645352591003757E-15</v>
      </c>
      <c r="K1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1939">
        <v>0</v>
      </c>
      <c r="M19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39">
        <v>38.33</v>
      </c>
      <c r="O1939" s="23" t="s">
        <v>256</v>
      </c>
      <c r="P1939">
        <v>30.664000000000001</v>
      </c>
      <c r="Q1939" s="23" t="s">
        <v>181</v>
      </c>
    </row>
    <row r="1940" spans="1:17" x14ac:dyDescent="0.25">
      <c r="A1940" s="23" t="s">
        <v>1094</v>
      </c>
      <c r="B1940" s="23" t="s">
        <v>1095</v>
      </c>
      <c r="C1940" s="23" t="s">
        <v>176</v>
      </c>
      <c r="D1940" s="23" t="s">
        <v>527</v>
      </c>
      <c r="E1940" s="23" t="s">
        <v>528</v>
      </c>
      <c r="F1940">
        <v>1</v>
      </c>
      <c r="G1940" s="23" t="s">
        <v>180</v>
      </c>
      <c r="H1940">
        <v>0</v>
      </c>
      <c r="I1940">
        <v>20</v>
      </c>
      <c r="J1940" s="10">
        <v>2.6645352591003757E-15</v>
      </c>
      <c r="K1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1940">
        <v>0</v>
      </c>
      <c r="M19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0">
        <v>38.33</v>
      </c>
      <c r="O1940" s="23" t="s">
        <v>256</v>
      </c>
      <c r="P1940">
        <v>38.33</v>
      </c>
      <c r="Q1940" s="23" t="s">
        <v>181</v>
      </c>
    </row>
    <row r="1941" spans="1:17" x14ac:dyDescent="0.25">
      <c r="A1941" s="23" t="s">
        <v>1143</v>
      </c>
      <c r="B1941" s="23" t="s">
        <v>1054</v>
      </c>
      <c r="C1941" s="23" t="s">
        <v>176</v>
      </c>
      <c r="D1941" s="23" t="s">
        <v>537</v>
      </c>
      <c r="E1941" s="23" t="s">
        <v>538</v>
      </c>
      <c r="F1941">
        <v>12</v>
      </c>
      <c r="G1941" s="23" t="s">
        <v>177</v>
      </c>
      <c r="H1941">
        <v>0</v>
      </c>
      <c r="I1941">
        <v>2200</v>
      </c>
      <c r="J1941" s="10">
        <v>0</v>
      </c>
      <c r="K1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941">
        <v>0</v>
      </c>
      <c r="M19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1">
        <v>0.7</v>
      </c>
      <c r="O1941" s="23" t="s">
        <v>242</v>
      </c>
      <c r="P1941">
        <v>8.3999999999999986</v>
      </c>
      <c r="Q1941" s="23" t="s">
        <v>181</v>
      </c>
    </row>
    <row r="1942" spans="1:17" x14ac:dyDescent="0.25">
      <c r="A1942" s="23" t="s">
        <v>1094</v>
      </c>
      <c r="B1942" s="23" t="s">
        <v>1095</v>
      </c>
      <c r="C1942" s="23" t="s">
        <v>176</v>
      </c>
      <c r="D1942" s="23" t="s">
        <v>537</v>
      </c>
      <c r="E1942" s="23" t="s">
        <v>538</v>
      </c>
      <c r="F1942">
        <v>7</v>
      </c>
      <c r="G1942" s="23" t="s">
        <v>177</v>
      </c>
      <c r="H1942">
        <v>0</v>
      </c>
      <c r="I1942">
        <v>2200</v>
      </c>
      <c r="J1942" s="10">
        <v>0</v>
      </c>
      <c r="K1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1942">
        <v>0</v>
      </c>
      <c r="M19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2">
        <v>0.7</v>
      </c>
      <c r="O1942" s="23" t="s">
        <v>242</v>
      </c>
      <c r="P1942">
        <v>4.8999999999999995</v>
      </c>
      <c r="Q1942" s="23" t="s">
        <v>181</v>
      </c>
    </row>
    <row r="1943" spans="1:17" x14ac:dyDescent="0.25">
      <c r="A1943" s="23" t="s">
        <v>1094</v>
      </c>
      <c r="B1943" s="23" t="s">
        <v>1095</v>
      </c>
      <c r="C1943" s="23" t="s">
        <v>176</v>
      </c>
      <c r="D1943" s="23" t="s">
        <v>71</v>
      </c>
      <c r="E1943" s="23" t="s">
        <v>289</v>
      </c>
      <c r="F1943">
        <v>5.49</v>
      </c>
      <c r="G1943" s="23" t="s">
        <v>186</v>
      </c>
      <c r="H1943">
        <v>0</v>
      </c>
      <c r="I1943">
        <v>120</v>
      </c>
      <c r="J1943" s="10">
        <v>113.68999999999956</v>
      </c>
      <c r="K1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1943">
        <v>120</v>
      </c>
      <c r="M19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3">
        <v>101.44</v>
      </c>
      <c r="O1943" s="23" t="s">
        <v>491</v>
      </c>
      <c r="P1943">
        <v>556.90560000000005</v>
      </c>
      <c r="Q1943" s="23" t="s">
        <v>184</v>
      </c>
    </row>
    <row r="1944" spans="1:17" x14ac:dyDescent="0.25">
      <c r="A1944" s="23" t="s">
        <v>1057</v>
      </c>
      <c r="B1944" s="23" t="s">
        <v>1056</v>
      </c>
      <c r="C1944" s="23" t="s">
        <v>176</v>
      </c>
      <c r="D1944" s="23" t="s">
        <v>72</v>
      </c>
      <c r="E1944" s="23" t="s">
        <v>251</v>
      </c>
      <c r="F1944">
        <v>7.4999999999999991</v>
      </c>
      <c r="G1944" s="23" t="s">
        <v>177</v>
      </c>
      <c r="H1944">
        <v>0</v>
      </c>
      <c r="I1944">
        <v>96</v>
      </c>
      <c r="J1944" s="10">
        <v>195.44000000000005</v>
      </c>
      <c r="K1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944">
        <v>0</v>
      </c>
      <c r="M19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944">
        <v>128.93</v>
      </c>
      <c r="O1944" s="23" t="s">
        <v>252</v>
      </c>
      <c r="P1944">
        <v>966.97499999999991</v>
      </c>
      <c r="Q1944" s="23" t="s">
        <v>181</v>
      </c>
    </row>
    <row r="1945" spans="1:17" x14ac:dyDescent="0.25">
      <c r="A1945" s="23" t="s">
        <v>1094</v>
      </c>
      <c r="B1945" s="23" t="s">
        <v>1095</v>
      </c>
      <c r="C1945" s="23" t="s">
        <v>176</v>
      </c>
      <c r="D1945" s="23" t="s">
        <v>72</v>
      </c>
      <c r="E1945" s="23" t="s">
        <v>251</v>
      </c>
      <c r="F1945">
        <v>11.2</v>
      </c>
      <c r="G1945" s="23" t="s">
        <v>177</v>
      </c>
      <c r="H1945">
        <v>0</v>
      </c>
      <c r="I1945">
        <v>96</v>
      </c>
      <c r="J1945" s="10">
        <v>195.44000000000005</v>
      </c>
      <c r="K1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1945">
        <v>0</v>
      </c>
      <c r="M19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1945">
        <v>128.93</v>
      </c>
      <c r="O1945" s="23" t="s">
        <v>252</v>
      </c>
      <c r="P1945">
        <v>1444.0160000000001</v>
      </c>
      <c r="Q1945" s="23" t="s">
        <v>181</v>
      </c>
    </row>
    <row r="1946" spans="1:17" x14ac:dyDescent="0.25">
      <c r="A1946" s="23" t="s">
        <v>1057</v>
      </c>
      <c r="B1946" s="23" t="s">
        <v>1056</v>
      </c>
      <c r="C1946" s="23" t="s">
        <v>176</v>
      </c>
      <c r="D1946" s="23" t="s">
        <v>390</v>
      </c>
      <c r="E1946" s="23" t="s">
        <v>391</v>
      </c>
      <c r="F1946">
        <v>8</v>
      </c>
      <c r="G1946" s="23" t="s">
        <v>177</v>
      </c>
      <c r="H1946">
        <v>0</v>
      </c>
      <c r="I1946">
        <v>100</v>
      </c>
      <c r="J1946" s="10">
        <v>352</v>
      </c>
      <c r="K1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1946">
        <v>0</v>
      </c>
      <c r="M19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6">
        <v>6.4</v>
      </c>
      <c r="O1946" s="23" t="s">
        <v>883</v>
      </c>
      <c r="P1946">
        <v>51.2</v>
      </c>
      <c r="Q1946" s="23" t="s">
        <v>179</v>
      </c>
    </row>
    <row r="1947" spans="1:17" x14ac:dyDescent="0.25">
      <c r="A1947" s="23" t="s">
        <v>1143</v>
      </c>
      <c r="B1947" s="23" t="s">
        <v>1054</v>
      </c>
      <c r="C1947" s="23" t="s">
        <v>176</v>
      </c>
      <c r="D1947" s="23" t="s">
        <v>676</v>
      </c>
      <c r="E1947" s="23" t="s">
        <v>677</v>
      </c>
      <c r="F1947">
        <v>2</v>
      </c>
      <c r="G1947" s="23" t="s">
        <v>180</v>
      </c>
      <c r="H1947">
        <v>0</v>
      </c>
      <c r="I1947">
        <v>20</v>
      </c>
      <c r="J1947" s="10">
        <v>16</v>
      </c>
      <c r="K1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1947">
        <v>0</v>
      </c>
      <c r="M19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7">
        <v>97.17</v>
      </c>
      <c r="O1947" s="23" t="s">
        <v>256</v>
      </c>
      <c r="P1947">
        <v>194.34</v>
      </c>
      <c r="Q1947" s="23" t="s">
        <v>181</v>
      </c>
    </row>
    <row r="1948" spans="1:17" x14ac:dyDescent="0.25">
      <c r="A1948" s="23" t="s">
        <v>1057</v>
      </c>
      <c r="B1948" s="23" t="s">
        <v>1056</v>
      </c>
      <c r="C1948" s="23" t="s">
        <v>176</v>
      </c>
      <c r="D1948" s="23" t="s">
        <v>330</v>
      </c>
      <c r="E1948" s="23" t="s">
        <v>331</v>
      </c>
      <c r="F1948">
        <v>6</v>
      </c>
      <c r="G1948" s="23" t="s">
        <v>177</v>
      </c>
      <c r="H1948">
        <v>0</v>
      </c>
      <c r="I1948">
        <v>118</v>
      </c>
      <c r="J1948" s="10">
        <v>18</v>
      </c>
      <c r="K1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48">
        <v>0</v>
      </c>
      <c r="M19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8">
        <v>14.5</v>
      </c>
      <c r="O1948" s="23" t="s">
        <v>242</v>
      </c>
      <c r="P1948">
        <v>87</v>
      </c>
      <c r="Q1948" s="23" t="s">
        <v>181</v>
      </c>
    </row>
    <row r="1949" spans="1:17" x14ac:dyDescent="0.25">
      <c r="A1949" s="23" t="s">
        <v>1094</v>
      </c>
      <c r="B1949" s="23" t="s">
        <v>1095</v>
      </c>
      <c r="C1949" s="23" t="s">
        <v>176</v>
      </c>
      <c r="D1949" s="23" t="s">
        <v>330</v>
      </c>
      <c r="E1949" s="23" t="s">
        <v>331</v>
      </c>
      <c r="F1949">
        <v>6</v>
      </c>
      <c r="G1949" s="23" t="s">
        <v>177</v>
      </c>
      <c r="H1949">
        <v>0</v>
      </c>
      <c r="I1949">
        <v>118</v>
      </c>
      <c r="J1949" s="10">
        <v>18</v>
      </c>
      <c r="K1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49">
        <v>0</v>
      </c>
      <c r="M19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49">
        <v>14.5</v>
      </c>
      <c r="O1949" s="23" t="s">
        <v>242</v>
      </c>
      <c r="P1949">
        <v>87</v>
      </c>
      <c r="Q1949" s="23" t="s">
        <v>181</v>
      </c>
    </row>
    <row r="1950" spans="1:17" x14ac:dyDescent="0.25">
      <c r="A1950" s="23" t="s">
        <v>1094</v>
      </c>
      <c r="B1950" s="23" t="s">
        <v>1095</v>
      </c>
      <c r="C1950" s="23" t="s">
        <v>176</v>
      </c>
      <c r="D1950" s="23" t="s">
        <v>519</v>
      </c>
      <c r="E1950" s="23" t="s">
        <v>520</v>
      </c>
      <c r="F1950">
        <v>3.17</v>
      </c>
      <c r="G1950" s="23" t="s">
        <v>177</v>
      </c>
      <c r="H1950">
        <v>0</v>
      </c>
      <c r="I1950">
        <v>111</v>
      </c>
      <c r="J1950" s="10">
        <v>1.1191048088221578E-13</v>
      </c>
      <c r="K1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50">
        <v>0</v>
      </c>
      <c r="M19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0">
        <v>36</v>
      </c>
      <c r="O1950" s="23" t="s">
        <v>242</v>
      </c>
      <c r="P1950">
        <v>114.12</v>
      </c>
      <c r="Q1950" s="23" t="s">
        <v>181</v>
      </c>
    </row>
    <row r="1951" spans="1:17" x14ac:dyDescent="0.25">
      <c r="A1951" s="23" t="s">
        <v>1057</v>
      </c>
      <c r="B1951" s="23" t="s">
        <v>1056</v>
      </c>
      <c r="C1951" s="23" t="s">
        <v>176</v>
      </c>
      <c r="D1951" s="23" t="s">
        <v>525</v>
      </c>
      <c r="E1951" s="23" t="s">
        <v>526</v>
      </c>
      <c r="F1951">
        <v>5</v>
      </c>
      <c r="G1951" s="23" t="s">
        <v>177</v>
      </c>
      <c r="H1951">
        <v>5</v>
      </c>
      <c r="I1951">
        <v>400</v>
      </c>
      <c r="J1951" s="10">
        <v>225</v>
      </c>
      <c r="K1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51">
        <v>0</v>
      </c>
      <c r="M19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1">
        <v>12</v>
      </c>
      <c r="O1951" s="23" t="s">
        <v>227</v>
      </c>
      <c r="P1951">
        <v>60</v>
      </c>
      <c r="Q1951" s="23" t="s">
        <v>181</v>
      </c>
    </row>
    <row r="1952" spans="1:17" x14ac:dyDescent="0.25">
      <c r="A1952" s="23" t="s">
        <v>1143</v>
      </c>
      <c r="B1952" s="23" t="s">
        <v>1054</v>
      </c>
      <c r="C1952" s="23" t="s">
        <v>176</v>
      </c>
      <c r="D1952" s="23" t="s">
        <v>525</v>
      </c>
      <c r="E1952" s="23" t="s">
        <v>526</v>
      </c>
      <c r="F1952">
        <v>8</v>
      </c>
      <c r="G1952" s="23" t="s">
        <v>177</v>
      </c>
      <c r="H1952">
        <v>0</v>
      </c>
      <c r="I1952">
        <v>400</v>
      </c>
      <c r="J1952" s="10">
        <v>225</v>
      </c>
      <c r="K1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52">
        <v>0</v>
      </c>
      <c r="M19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2">
        <v>12</v>
      </c>
      <c r="O1952" s="23" t="s">
        <v>227</v>
      </c>
      <c r="P1952">
        <v>96</v>
      </c>
      <c r="Q1952" s="23" t="s">
        <v>181</v>
      </c>
    </row>
    <row r="1953" spans="1:17" x14ac:dyDescent="0.25">
      <c r="A1953" s="23" t="s">
        <v>1143</v>
      </c>
      <c r="B1953" s="23" t="s">
        <v>1054</v>
      </c>
      <c r="C1953" s="23" t="s">
        <v>176</v>
      </c>
      <c r="D1953" s="23" t="s">
        <v>527</v>
      </c>
      <c r="E1953" s="23" t="s">
        <v>528</v>
      </c>
      <c r="F1953">
        <v>1</v>
      </c>
      <c r="G1953" s="23" t="s">
        <v>180</v>
      </c>
      <c r="H1953">
        <v>0</v>
      </c>
      <c r="I1953">
        <v>20</v>
      </c>
      <c r="J1953" s="10">
        <v>2.6645352591003757E-15</v>
      </c>
      <c r="K1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1953">
        <v>0</v>
      </c>
      <c r="M19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3">
        <v>38.33</v>
      </c>
      <c r="O1953" s="23" t="s">
        <v>256</v>
      </c>
      <c r="P1953">
        <v>38.33</v>
      </c>
      <c r="Q1953" s="23" t="s">
        <v>181</v>
      </c>
    </row>
    <row r="1954" spans="1:17" x14ac:dyDescent="0.25">
      <c r="A1954" s="23" t="s">
        <v>1150</v>
      </c>
      <c r="B1954" s="23" t="s">
        <v>1145</v>
      </c>
      <c r="C1954" s="23" t="s">
        <v>176</v>
      </c>
      <c r="D1954" s="23" t="s">
        <v>610</v>
      </c>
      <c r="E1954" s="23" t="s">
        <v>611</v>
      </c>
      <c r="F1954">
        <v>2.8</v>
      </c>
      <c r="G1954" s="23" t="s">
        <v>177</v>
      </c>
      <c r="H1954">
        <v>0</v>
      </c>
      <c r="I1954">
        <v>0</v>
      </c>
      <c r="J1954" s="10">
        <v>-7.1054273576010019E-15</v>
      </c>
      <c r="K1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954">
        <v>11</v>
      </c>
      <c r="M19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954">
        <v>1833.33</v>
      </c>
      <c r="O1954" s="23" t="s">
        <v>224</v>
      </c>
      <c r="P1954">
        <v>5133.3239999999996</v>
      </c>
      <c r="Q1954" s="23" t="s">
        <v>182</v>
      </c>
    </row>
    <row r="1955" spans="1:17" x14ac:dyDescent="0.25">
      <c r="A1955" s="23" t="s">
        <v>1150</v>
      </c>
      <c r="B1955" s="23" t="s">
        <v>1145</v>
      </c>
      <c r="C1955" s="23" t="s">
        <v>176</v>
      </c>
      <c r="D1955" s="23" t="s">
        <v>461</v>
      </c>
      <c r="E1955" s="23" t="s">
        <v>462</v>
      </c>
      <c r="F1955">
        <v>1.5</v>
      </c>
      <c r="G1955" s="23" t="s">
        <v>177</v>
      </c>
      <c r="H1955">
        <v>0</v>
      </c>
      <c r="I1955">
        <v>72</v>
      </c>
      <c r="J1955" s="10">
        <v>2</v>
      </c>
      <c r="K1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55">
        <v>0</v>
      </c>
      <c r="M19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5">
        <v>5</v>
      </c>
      <c r="O1955" s="23" t="s">
        <v>242</v>
      </c>
      <c r="P1955">
        <v>7.5</v>
      </c>
      <c r="Q1955" s="23" t="s">
        <v>181</v>
      </c>
    </row>
    <row r="1956" spans="1:17" x14ac:dyDescent="0.25">
      <c r="A1956" s="23" t="s">
        <v>1150</v>
      </c>
      <c r="B1956" s="23" t="s">
        <v>1145</v>
      </c>
      <c r="C1956" s="23" t="s">
        <v>176</v>
      </c>
      <c r="D1956" s="23" t="s">
        <v>525</v>
      </c>
      <c r="E1956" s="23" t="s">
        <v>526</v>
      </c>
      <c r="F1956">
        <v>7</v>
      </c>
      <c r="G1956" s="23" t="s">
        <v>177</v>
      </c>
      <c r="H1956">
        <v>0</v>
      </c>
      <c r="I1956">
        <v>400</v>
      </c>
      <c r="J1956" s="10">
        <v>225</v>
      </c>
      <c r="K1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56">
        <v>0</v>
      </c>
      <c r="M19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6">
        <v>12</v>
      </c>
      <c r="O1956" s="23" t="s">
        <v>227</v>
      </c>
      <c r="P1956">
        <v>84</v>
      </c>
      <c r="Q1956" s="23" t="s">
        <v>181</v>
      </c>
    </row>
    <row r="1957" spans="1:17" x14ac:dyDescent="0.25">
      <c r="A1957" s="23" t="s">
        <v>1143</v>
      </c>
      <c r="B1957" s="23" t="s">
        <v>1054</v>
      </c>
      <c r="C1957" s="23" t="s">
        <v>176</v>
      </c>
      <c r="D1957" s="23" t="s">
        <v>330</v>
      </c>
      <c r="E1957" s="23" t="s">
        <v>331</v>
      </c>
      <c r="F1957">
        <v>5</v>
      </c>
      <c r="G1957" s="23" t="s">
        <v>177</v>
      </c>
      <c r="H1957">
        <v>0</v>
      </c>
      <c r="I1957">
        <v>118</v>
      </c>
      <c r="J1957" s="10">
        <v>18</v>
      </c>
      <c r="K1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57">
        <v>0</v>
      </c>
      <c r="M19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7">
        <v>14.5</v>
      </c>
      <c r="O1957" s="23" t="s">
        <v>242</v>
      </c>
      <c r="P1957">
        <v>72.5</v>
      </c>
      <c r="Q1957" s="23" t="s">
        <v>181</v>
      </c>
    </row>
    <row r="1958" spans="1:17" x14ac:dyDescent="0.25">
      <c r="A1958" s="23" t="s">
        <v>1057</v>
      </c>
      <c r="B1958" s="23" t="s">
        <v>1056</v>
      </c>
      <c r="C1958" s="23" t="s">
        <v>176</v>
      </c>
      <c r="D1958" s="23" t="s">
        <v>519</v>
      </c>
      <c r="E1958" s="23" t="s">
        <v>520</v>
      </c>
      <c r="F1958">
        <v>3</v>
      </c>
      <c r="G1958" s="23" t="s">
        <v>177</v>
      </c>
      <c r="H1958">
        <v>0</v>
      </c>
      <c r="I1958">
        <v>111</v>
      </c>
      <c r="J1958" s="10">
        <v>1.1191048088221578E-13</v>
      </c>
      <c r="K1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58">
        <v>0</v>
      </c>
      <c r="M19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8">
        <v>36</v>
      </c>
      <c r="O1958" s="23" t="s">
        <v>242</v>
      </c>
      <c r="P1958">
        <v>108</v>
      </c>
      <c r="Q1958" s="23" t="s">
        <v>181</v>
      </c>
    </row>
    <row r="1959" spans="1:17" x14ac:dyDescent="0.25">
      <c r="A1959" s="23" t="s">
        <v>1143</v>
      </c>
      <c r="B1959" s="23" t="s">
        <v>1054</v>
      </c>
      <c r="C1959" s="23" t="s">
        <v>176</v>
      </c>
      <c r="D1959" s="23" t="s">
        <v>519</v>
      </c>
      <c r="E1959" s="23" t="s">
        <v>520</v>
      </c>
      <c r="F1959">
        <v>3.17</v>
      </c>
      <c r="G1959" s="23" t="s">
        <v>177</v>
      </c>
      <c r="H1959">
        <v>0</v>
      </c>
      <c r="I1959">
        <v>111</v>
      </c>
      <c r="J1959" s="10">
        <v>1.1191048088221578E-13</v>
      </c>
      <c r="K1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59">
        <v>0</v>
      </c>
      <c r="M19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59">
        <v>36</v>
      </c>
      <c r="O1959" s="23" t="s">
        <v>242</v>
      </c>
      <c r="P1959">
        <v>114.12</v>
      </c>
      <c r="Q1959" s="23" t="s">
        <v>181</v>
      </c>
    </row>
    <row r="1960" spans="1:17" x14ac:dyDescent="0.25">
      <c r="A1960" s="23" t="s">
        <v>1057</v>
      </c>
      <c r="B1960" s="23" t="s">
        <v>1056</v>
      </c>
      <c r="C1960" s="23" t="s">
        <v>176</v>
      </c>
      <c r="D1960" s="23" t="s">
        <v>521</v>
      </c>
      <c r="E1960" s="23" t="s">
        <v>522</v>
      </c>
      <c r="F1960">
        <v>2</v>
      </c>
      <c r="G1960" s="23" t="s">
        <v>177</v>
      </c>
      <c r="H1960">
        <v>0</v>
      </c>
      <c r="I1960">
        <v>200</v>
      </c>
      <c r="J1960" s="10">
        <v>70</v>
      </c>
      <c r="K1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1960">
        <v>0</v>
      </c>
      <c r="M19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0">
        <v>10</v>
      </c>
      <c r="O1960" s="23" t="s">
        <v>227</v>
      </c>
      <c r="P1960">
        <v>20</v>
      </c>
      <c r="Q1960" s="23" t="s">
        <v>181</v>
      </c>
    </row>
    <row r="1961" spans="1:17" x14ac:dyDescent="0.25">
      <c r="A1961" s="23" t="s">
        <v>1144</v>
      </c>
      <c r="B1961" s="23" t="s">
        <v>1145</v>
      </c>
      <c r="C1961" s="23" t="s">
        <v>176</v>
      </c>
      <c r="D1961" s="23" t="s">
        <v>461</v>
      </c>
      <c r="E1961" s="23" t="s">
        <v>462</v>
      </c>
      <c r="F1961">
        <v>1.5</v>
      </c>
      <c r="G1961" s="23" t="s">
        <v>177</v>
      </c>
      <c r="H1961">
        <v>0</v>
      </c>
      <c r="I1961">
        <v>72</v>
      </c>
      <c r="J1961" s="10">
        <v>2</v>
      </c>
      <c r="K1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61">
        <v>0</v>
      </c>
      <c r="M19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1">
        <v>5</v>
      </c>
      <c r="O1961" s="23" t="s">
        <v>242</v>
      </c>
      <c r="P1961">
        <v>7.5</v>
      </c>
      <c r="Q1961" s="23" t="s">
        <v>181</v>
      </c>
    </row>
    <row r="1962" spans="1:17" x14ac:dyDescent="0.25">
      <c r="A1962" s="23" t="s">
        <v>1150</v>
      </c>
      <c r="B1962" s="23" t="s">
        <v>1145</v>
      </c>
      <c r="C1962" s="23" t="s">
        <v>176</v>
      </c>
      <c r="D1962" s="23" t="s">
        <v>330</v>
      </c>
      <c r="E1962" s="23" t="s">
        <v>331</v>
      </c>
      <c r="F1962">
        <v>6</v>
      </c>
      <c r="G1962" s="23" t="s">
        <v>177</v>
      </c>
      <c r="H1962">
        <v>0</v>
      </c>
      <c r="I1962">
        <v>118</v>
      </c>
      <c r="J1962" s="10">
        <v>18</v>
      </c>
      <c r="K1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62">
        <v>0</v>
      </c>
      <c r="M19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2">
        <v>14.5</v>
      </c>
      <c r="O1962" s="23" t="s">
        <v>242</v>
      </c>
      <c r="P1962">
        <v>87</v>
      </c>
      <c r="Q1962" s="23" t="s">
        <v>181</v>
      </c>
    </row>
    <row r="1963" spans="1:17" x14ac:dyDescent="0.25">
      <c r="A1963" s="23" t="s">
        <v>1144</v>
      </c>
      <c r="B1963" s="23" t="s">
        <v>1145</v>
      </c>
      <c r="C1963" s="23" t="s">
        <v>176</v>
      </c>
      <c r="D1963" s="23" t="s">
        <v>519</v>
      </c>
      <c r="E1963" s="23" t="s">
        <v>520</v>
      </c>
      <c r="F1963">
        <v>3</v>
      </c>
      <c r="G1963" s="23" t="s">
        <v>177</v>
      </c>
      <c r="H1963">
        <v>0</v>
      </c>
      <c r="I1963">
        <v>111</v>
      </c>
      <c r="J1963" s="10">
        <v>1.1191048088221578E-13</v>
      </c>
      <c r="K1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63">
        <v>0</v>
      </c>
      <c r="M19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3">
        <v>36</v>
      </c>
      <c r="O1963" s="23" t="s">
        <v>242</v>
      </c>
      <c r="P1963">
        <v>108</v>
      </c>
      <c r="Q1963" s="23" t="s">
        <v>181</v>
      </c>
    </row>
    <row r="1964" spans="1:17" x14ac:dyDescent="0.25">
      <c r="A1964" s="23" t="s">
        <v>1146</v>
      </c>
      <c r="B1964" s="23" t="s">
        <v>1145</v>
      </c>
      <c r="C1964" s="23" t="s">
        <v>176</v>
      </c>
      <c r="D1964" s="23" t="s">
        <v>521</v>
      </c>
      <c r="E1964" s="23" t="s">
        <v>522</v>
      </c>
      <c r="F1964">
        <v>2</v>
      </c>
      <c r="G1964" s="23" t="s">
        <v>177</v>
      </c>
      <c r="H1964">
        <v>0</v>
      </c>
      <c r="I1964">
        <v>200</v>
      </c>
      <c r="J1964" s="10">
        <v>70</v>
      </c>
      <c r="K1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1964">
        <v>0</v>
      </c>
      <c r="M19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4">
        <v>10</v>
      </c>
      <c r="O1964" s="23" t="s">
        <v>227</v>
      </c>
      <c r="P1964">
        <v>20</v>
      </c>
      <c r="Q1964" s="23" t="s">
        <v>181</v>
      </c>
    </row>
    <row r="1965" spans="1:17" x14ac:dyDescent="0.25">
      <c r="A1965" s="23" t="s">
        <v>1144</v>
      </c>
      <c r="B1965" s="23" t="s">
        <v>1145</v>
      </c>
      <c r="C1965" s="23" t="s">
        <v>176</v>
      </c>
      <c r="D1965" s="23" t="s">
        <v>521</v>
      </c>
      <c r="E1965" s="23" t="s">
        <v>522</v>
      </c>
      <c r="F1965">
        <v>6</v>
      </c>
      <c r="G1965" s="23" t="s">
        <v>177</v>
      </c>
      <c r="H1965">
        <v>0</v>
      </c>
      <c r="I1965">
        <v>200</v>
      </c>
      <c r="J1965" s="10">
        <v>70</v>
      </c>
      <c r="K1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1965">
        <v>0</v>
      </c>
      <c r="M19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5">
        <v>10</v>
      </c>
      <c r="O1965" s="23" t="s">
        <v>227</v>
      </c>
      <c r="P1965">
        <v>60</v>
      </c>
      <c r="Q1965" s="23" t="s">
        <v>181</v>
      </c>
    </row>
    <row r="1966" spans="1:17" x14ac:dyDescent="0.25">
      <c r="A1966" s="23" t="s">
        <v>1142</v>
      </c>
      <c r="B1966" s="23" t="s">
        <v>1054</v>
      </c>
      <c r="C1966" s="23" t="s">
        <v>176</v>
      </c>
      <c r="D1966" s="23" t="s">
        <v>461</v>
      </c>
      <c r="E1966" s="23" t="s">
        <v>462</v>
      </c>
      <c r="F1966">
        <v>1.5</v>
      </c>
      <c r="G1966" s="23" t="s">
        <v>177</v>
      </c>
      <c r="H1966">
        <v>0</v>
      </c>
      <c r="I1966">
        <v>72</v>
      </c>
      <c r="J1966" s="10">
        <v>2</v>
      </c>
      <c r="K1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66">
        <v>0</v>
      </c>
      <c r="M19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6">
        <v>5</v>
      </c>
      <c r="O1966" s="23" t="s">
        <v>242</v>
      </c>
      <c r="P1966">
        <v>7.5</v>
      </c>
      <c r="Q1966" s="23" t="s">
        <v>181</v>
      </c>
    </row>
    <row r="1967" spans="1:17" x14ac:dyDescent="0.25">
      <c r="A1967" s="23" t="s">
        <v>1142</v>
      </c>
      <c r="B1967" s="23" t="s">
        <v>1054</v>
      </c>
      <c r="C1967" s="23" t="s">
        <v>176</v>
      </c>
      <c r="D1967" s="23" t="s">
        <v>525</v>
      </c>
      <c r="E1967" s="23" t="s">
        <v>526</v>
      </c>
      <c r="F1967">
        <v>7</v>
      </c>
      <c r="G1967" s="23" t="s">
        <v>177</v>
      </c>
      <c r="H1967">
        <v>0</v>
      </c>
      <c r="I1967">
        <v>400</v>
      </c>
      <c r="J1967" s="10">
        <v>225</v>
      </c>
      <c r="K1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67">
        <v>0</v>
      </c>
      <c r="M19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7">
        <v>12</v>
      </c>
      <c r="O1967" s="23" t="s">
        <v>227</v>
      </c>
      <c r="P1967">
        <v>84</v>
      </c>
      <c r="Q1967" s="23" t="s">
        <v>181</v>
      </c>
    </row>
    <row r="1968" spans="1:17" x14ac:dyDescent="0.25">
      <c r="A1968" s="23" t="s">
        <v>1149</v>
      </c>
      <c r="B1968" s="23" t="s">
        <v>1145</v>
      </c>
      <c r="C1968" s="23" t="s">
        <v>176</v>
      </c>
      <c r="D1968" s="23" t="s">
        <v>461</v>
      </c>
      <c r="E1968" s="23" t="s">
        <v>462</v>
      </c>
      <c r="F1968">
        <v>1.5</v>
      </c>
      <c r="G1968" s="23" t="s">
        <v>177</v>
      </c>
      <c r="H1968">
        <v>0</v>
      </c>
      <c r="I1968">
        <v>72</v>
      </c>
      <c r="J1968" s="10">
        <v>2</v>
      </c>
      <c r="K1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68">
        <v>0</v>
      </c>
      <c r="M19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8">
        <v>5</v>
      </c>
      <c r="O1968" s="23" t="s">
        <v>242</v>
      </c>
      <c r="P1968">
        <v>7.5</v>
      </c>
      <c r="Q1968" s="23" t="s">
        <v>181</v>
      </c>
    </row>
    <row r="1969" spans="1:17" x14ac:dyDescent="0.25">
      <c r="A1969" s="23" t="s">
        <v>1146</v>
      </c>
      <c r="B1969" s="23" t="s">
        <v>1145</v>
      </c>
      <c r="C1969" s="23" t="s">
        <v>176</v>
      </c>
      <c r="D1969" s="23" t="s">
        <v>461</v>
      </c>
      <c r="E1969" s="23" t="s">
        <v>462</v>
      </c>
      <c r="F1969">
        <v>1.5</v>
      </c>
      <c r="G1969" s="23" t="s">
        <v>177</v>
      </c>
      <c r="H1969">
        <v>0</v>
      </c>
      <c r="I1969">
        <v>72</v>
      </c>
      <c r="J1969" s="10">
        <v>2</v>
      </c>
      <c r="K1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1969">
        <v>0</v>
      </c>
      <c r="M19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69">
        <v>5</v>
      </c>
      <c r="O1969" s="23" t="s">
        <v>242</v>
      </c>
      <c r="P1969">
        <v>7.5</v>
      </c>
      <c r="Q1969" s="23" t="s">
        <v>181</v>
      </c>
    </row>
    <row r="1970" spans="1:17" x14ac:dyDescent="0.25">
      <c r="A1970" s="23" t="s">
        <v>1146</v>
      </c>
      <c r="B1970" s="23" t="s">
        <v>1145</v>
      </c>
      <c r="C1970" s="23" t="s">
        <v>176</v>
      </c>
      <c r="D1970" s="23" t="s">
        <v>330</v>
      </c>
      <c r="E1970" s="23" t="s">
        <v>331</v>
      </c>
      <c r="F1970">
        <v>6</v>
      </c>
      <c r="G1970" s="23" t="s">
        <v>177</v>
      </c>
      <c r="H1970">
        <v>0</v>
      </c>
      <c r="I1970">
        <v>118</v>
      </c>
      <c r="J1970" s="10">
        <v>18</v>
      </c>
      <c r="K1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70">
        <v>0</v>
      </c>
      <c r="M19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0">
        <v>14.5</v>
      </c>
      <c r="O1970" s="23" t="s">
        <v>242</v>
      </c>
      <c r="P1970">
        <v>87</v>
      </c>
      <c r="Q1970" s="23" t="s">
        <v>181</v>
      </c>
    </row>
    <row r="1971" spans="1:17" x14ac:dyDescent="0.25">
      <c r="A1971" s="23" t="s">
        <v>1144</v>
      </c>
      <c r="B1971" s="23" t="s">
        <v>1145</v>
      </c>
      <c r="C1971" s="23" t="s">
        <v>176</v>
      </c>
      <c r="D1971" s="23" t="s">
        <v>330</v>
      </c>
      <c r="E1971" s="23" t="s">
        <v>331</v>
      </c>
      <c r="F1971">
        <v>6</v>
      </c>
      <c r="G1971" s="23" t="s">
        <v>177</v>
      </c>
      <c r="H1971">
        <v>0</v>
      </c>
      <c r="I1971">
        <v>118</v>
      </c>
      <c r="J1971" s="10">
        <v>18</v>
      </c>
      <c r="K1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71">
        <v>0</v>
      </c>
      <c r="M19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1">
        <v>14.5</v>
      </c>
      <c r="O1971" s="23" t="s">
        <v>242</v>
      </c>
      <c r="P1971">
        <v>87</v>
      </c>
      <c r="Q1971" s="23" t="s">
        <v>181</v>
      </c>
    </row>
    <row r="1972" spans="1:17" x14ac:dyDescent="0.25">
      <c r="A1972" s="23" t="s">
        <v>1149</v>
      </c>
      <c r="B1972" s="23" t="s">
        <v>1145</v>
      </c>
      <c r="C1972" s="23" t="s">
        <v>176</v>
      </c>
      <c r="D1972" s="23" t="s">
        <v>519</v>
      </c>
      <c r="E1972" s="23" t="s">
        <v>520</v>
      </c>
      <c r="F1972">
        <v>3</v>
      </c>
      <c r="G1972" s="23" t="s">
        <v>177</v>
      </c>
      <c r="H1972">
        <v>0</v>
      </c>
      <c r="I1972">
        <v>111</v>
      </c>
      <c r="J1972" s="10">
        <v>1.1191048088221578E-13</v>
      </c>
      <c r="K1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72">
        <v>0</v>
      </c>
      <c r="M19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2">
        <v>36</v>
      </c>
      <c r="O1972" s="23" t="s">
        <v>242</v>
      </c>
      <c r="P1972">
        <v>108</v>
      </c>
      <c r="Q1972" s="23" t="s">
        <v>181</v>
      </c>
    </row>
    <row r="1973" spans="1:17" x14ac:dyDescent="0.25">
      <c r="A1973" s="23" t="s">
        <v>1149</v>
      </c>
      <c r="B1973" s="23" t="s">
        <v>1145</v>
      </c>
      <c r="C1973" s="23" t="s">
        <v>176</v>
      </c>
      <c r="D1973" s="23" t="s">
        <v>521</v>
      </c>
      <c r="E1973" s="23" t="s">
        <v>522</v>
      </c>
      <c r="F1973">
        <v>3</v>
      </c>
      <c r="G1973" s="23" t="s">
        <v>177</v>
      </c>
      <c r="H1973">
        <v>0</v>
      </c>
      <c r="I1973">
        <v>200</v>
      </c>
      <c r="J1973" s="10">
        <v>70</v>
      </c>
      <c r="K1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1973">
        <v>0</v>
      </c>
      <c r="M19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3">
        <v>10</v>
      </c>
      <c r="O1973" s="23" t="s">
        <v>227</v>
      </c>
      <c r="P1973">
        <v>30</v>
      </c>
      <c r="Q1973" s="23" t="s">
        <v>181</v>
      </c>
    </row>
    <row r="1974" spans="1:17" x14ac:dyDescent="0.25">
      <c r="A1974" s="23" t="s">
        <v>1146</v>
      </c>
      <c r="B1974" s="23" t="s">
        <v>1145</v>
      </c>
      <c r="C1974" s="23" t="s">
        <v>176</v>
      </c>
      <c r="D1974" s="23" t="s">
        <v>525</v>
      </c>
      <c r="E1974" s="23" t="s">
        <v>526</v>
      </c>
      <c r="F1974">
        <v>7</v>
      </c>
      <c r="G1974" s="23" t="s">
        <v>177</v>
      </c>
      <c r="H1974">
        <v>0</v>
      </c>
      <c r="I1974">
        <v>400</v>
      </c>
      <c r="J1974" s="10">
        <v>225</v>
      </c>
      <c r="K1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74">
        <v>0</v>
      </c>
      <c r="M19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4">
        <v>12</v>
      </c>
      <c r="O1974" s="23" t="s">
        <v>227</v>
      </c>
      <c r="P1974">
        <v>84</v>
      </c>
      <c r="Q1974" s="23" t="s">
        <v>181</v>
      </c>
    </row>
    <row r="1975" spans="1:17" x14ac:dyDescent="0.25">
      <c r="A1975" s="23" t="s">
        <v>1144</v>
      </c>
      <c r="B1975" s="23" t="s">
        <v>1145</v>
      </c>
      <c r="C1975" s="23" t="s">
        <v>176</v>
      </c>
      <c r="D1975" s="23" t="s">
        <v>525</v>
      </c>
      <c r="E1975" s="23" t="s">
        <v>526</v>
      </c>
      <c r="F1975">
        <v>7</v>
      </c>
      <c r="G1975" s="23" t="s">
        <v>177</v>
      </c>
      <c r="H1975">
        <v>0</v>
      </c>
      <c r="I1975">
        <v>400</v>
      </c>
      <c r="J1975" s="10">
        <v>225</v>
      </c>
      <c r="K1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75">
        <v>0</v>
      </c>
      <c r="M19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5">
        <v>12</v>
      </c>
      <c r="O1975" s="23" t="s">
        <v>227</v>
      </c>
      <c r="P1975">
        <v>84</v>
      </c>
      <c r="Q1975" s="23" t="s">
        <v>181</v>
      </c>
    </row>
    <row r="1976" spans="1:17" x14ac:dyDescent="0.25">
      <c r="A1976" s="23" t="s">
        <v>1100</v>
      </c>
      <c r="B1976" s="23" t="s">
        <v>1101</v>
      </c>
      <c r="C1976" s="23" t="s">
        <v>176</v>
      </c>
      <c r="D1976" s="23" t="s">
        <v>519</v>
      </c>
      <c r="E1976" s="23" t="s">
        <v>520</v>
      </c>
      <c r="F1976">
        <v>3.17</v>
      </c>
      <c r="G1976" s="23" t="s">
        <v>177</v>
      </c>
      <c r="H1976">
        <v>0</v>
      </c>
      <c r="I1976">
        <v>111</v>
      </c>
      <c r="J1976" s="10">
        <v>1.1191048088221578E-13</v>
      </c>
      <c r="K1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76">
        <v>0</v>
      </c>
      <c r="M19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6">
        <v>36</v>
      </c>
      <c r="O1976" s="23" t="s">
        <v>242</v>
      </c>
      <c r="P1976">
        <v>114.12</v>
      </c>
      <c r="Q1976" s="23" t="s">
        <v>181</v>
      </c>
    </row>
    <row r="1977" spans="1:17" x14ac:dyDescent="0.25">
      <c r="A1977" s="23" t="s">
        <v>1096</v>
      </c>
      <c r="B1977" s="23" t="s">
        <v>1053</v>
      </c>
      <c r="C1977" s="23" t="s">
        <v>176</v>
      </c>
      <c r="D1977" s="23" t="s">
        <v>527</v>
      </c>
      <c r="E1977" s="23" t="s">
        <v>528</v>
      </c>
      <c r="F1977">
        <v>1</v>
      </c>
      <c r="G1977" s="23" t="s">
        <v>180</v>
      </c>
      <c r="H1977">
        <v>0</v>
      </c>
      <c r="I1977">
        <v>20</v>
      </c>
      <c r="J1977" s="10">
        <v>2.6645352591003757E-15</v>
      </c>
      <c r="K1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1977">
        <v>0</v>
      </c>
      <c r="M19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7">
        <v>38.33</v>
      </c>
      <c r="O1977" s="23" t="s">
        <v>256</v>
      </c>
      <c r="P1977">
        <v>38.33</v>
      </c>
      <c r="Q1977" s="23" t="s">
        <v>181</v>
      </c>
    </row>
    <row r="1978" spans="1:17" x14ac:dyDescent="0.25">
      <c r="A1978" s="23" t="s">
        <v>1144</v>
      </c>
      <c r="B1978" s="23" t="s">
        <v>1145</v>
      </c>
      <c r="C1978" s="23" t="s">
        <v>176</v>
      </c>
      <c r="D1978" s="23" t="s">
        <v>610</v>
      </c>
      <c r="E1978" s="23" t="s">
        <v>611</v>
      </c>
      <c r="F1978">
        <v>2.8</v>
      </c>
      <c r="G1978" s="23" t="s">
        <v>177</v>
      </c>
      <c r="H1978">
        <v>0</v>
      </c>
      <c r="I1978">
        <v>0</v>
      </c>
      <c r="J1978" s="10">
        <v>-7.1054273576010019E-15</v>
      </c>
      <c r="K1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1978">
        <v>11</v>
      </c>
      <c r="M19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1978">
        <v>1833.33</v>
      </c>
      <c r="O1978" s="23" t="s">
        <v>224</v>
      </c>
      <c r="P1978">
        <v>5133.3239999999996</v>
      </c>
      <c r="Q1978" s="23" t="s">
        <v>182</v>
      </c>
    </row>
    <row r="1979" spans="1:17" x14ac:dyDescent="0.25">
      <c r="A1979" s="23" t="s">
        <v>1149</v>
      </c>
      <c r="B1979" s="23" t="s">
        <v>1145</v>
      </c>
      <c r="C1979" s="23" t="s">
        <v>176</v>
      </c>
      <c r="D1979" s="23" t="s">
        <v>330</v>
      </c>
      <c r="E1979" s="23" t="s">
        <v>331</v>
      </c>
      <c r="F1979">
        <v>6</v>
      </c>
      <c r="G1979" s="23" t="s">
        <v>177</v>
      </c>
      <c r="H1979">
        <v>0</v>
      </c>
      <c r="I1979">
        <v>118</v>
      </c>
      <c r="J1979" s="10">
        <v>18</v>
      </c>
      <c r="K1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79">
        <v>0</v>
      </c>
      <c r="M19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79">
        <v>14.5</v>
      </c>
      <c r="O1979" s="23" t="s">
        <v>242</v>
      </c>
      <c r="P1979">
        <v>87</v>
      </c>
      <c r="Q1979" s="23" t="s">
        <v>181</v>
      </c>
    </row>
    <row r="1980" spans="1:17" x14ac:dyDescent="0.25">
      <c r="A1980" s="23" t="s">
        <v>1150</v>
      </c>
      <c r="B1980" s="23" t="s">
        <v>1145</v>
      </c>
      <c r="C1980" s="23" t="s">
        <v>176</v>
      </c>
      <c r="D1980" s="23" t="s">
        <v>519</v>
      </c>
      <c r="E1980" s="23" t="s">
        <v>520</v>
      </c>
      <c r="F1980">
        <v>3</v>
      </c>
      <c r="G1980" s="23" t="s">
        <v>177</v>
      </c>
      <c r="H1980">
        <v>0</v>
      </c>
      <c r="I1980">
        <v>111</v>
      </c>
      <c r="J1980" s="10">
        <v>1.1191048088221578E-13</v>
      </c>
      <c r="K1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80">
        <v>0</v>
      </c>
      <c r="M19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0">
        <v>36</v>
      </c>
      <c r="O1980" s="23" t="s">
        <v>242</v>
      </c>
      <c r="P1980">
        <v>108</v>
      </c>
      <c r="Q1980" s="23" t="s">
        <v>181</v>
      </c>
    </row>
    <row r="1981" spans="1:17" x14ac:dyDescent="0.25">
      <c r="A1981" s="23" t="s">
        <v>1150</v>
      </c>
      <c r="B1981" s="23" t="s">
        <v>1145</v>
      </c>
      <c r="C1981" s="23" t="s">
        <v>176</v>
      </c>
      <c r="D1981" s="23" t="s">
        <v>521</v>
      </c>
      <c r="E1981" s="23" t="s">
        <v>522</v>
      </c>
      <c r="F1981">
        <v>6</v>
      </c>
      <c r="G1981" s="23" t="s">
        <v>177</v>
      </c>
      <c r="H1981">
        <v>0</v>
      </c>
      <c r="I1981">
        <v>200</v>
      </c>
      <c r="J1981" s="10">
        <v>70</v>
      </c>
      <c r="K1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1981">
        <v>0</v>
      </c>
      <c r="M19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1">
        <v>10</v>
      </c>
      <c r="O1981" s="23" t="s">
        <v>227</v>
      </c>
      <c r="P1981">
        <v>60</v>
      </c>
      <c r="Q1981" s="23" t="s">
        <v>181</v>
      </c>
    </row>
    <row r="1982" spans="1:17" x14ac:dyDescent="0.25">
      <c r="A1982" s="23" t="s">
        <v>1149</v>
      </c>
      <c r="B1982" s="23" t="s">
        <v>1145</v>
      </c>
      <c r="C1982" s="23" t="s">
        <v>176</v>
      </c>
      <c r="D1982" s="23" t="s">
        <v>525</v>
      </c>
      <c r="E1982" s="23" t="s">
        <v>526</v>
      </c>
      <c r="F1982">
        <v>7</v>
      </c>
      <c r="G1982" s="23" t="s">
        <v>177</v>
      </c>
      <c r="H1982">
        <v>0</v>
      </c>
      <c r="I1982">
        <v>400</v>
      </c>
      <c r="J1982" s="10">
        <v>225</v>
      </c>
      <c r="K1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1982">
        <v>0</v>
      </c>
      <c r="M19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2">
        <v>12</v>
      </c>
      <c r="O1982" s="23" t="s">
        <v>227</v>
      </c>
      <c r="P1982">
        <v>84</v>
      </c>
      <c r="Q1982" s="23" t="s">
        <v>181</v>
      </c>
    </row>
    <row r="1983" spans="1:17" x14ac:dyDescent="0.25">
      <c r="A1983" s="23" t="s">
        <v>1147</v>
      </c>
      <c r="B1983" s="23" t="s">
        <v>1145</v>
      </c>
      <c r="C1983" s="23" t="s">
        <v>176</v>
      </c>
      <c r="D1983" s="23" t="s">
        <v>330</v>
      </c>
      <c r="E1983" s="23" t="s">
        <v>331</v>
      </c>
      <c r="F1983">
        <v>6</v>
      </c>
      <c r="G1983" s="23" t="s">
        <v>177</v>
      </c>
      <c r="H1983">
        <v>0</v>
      </c>
      <c r="I1983">
        <v>118</v>
      </c>
      <c r="J1983" s="10">
        <v>18</v>
      </c>
      <c r="K1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83">
        <v>0</v>
      </c>
      <c r="M19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3">
        <v>14.5</v>
      </c>
      <c r="O1983" s="23" t="s">
        <v>242</v>
      </c>
      <c r="P1983">
        <v>87</v>
      </c>
      <c r="Q1983" s="23" t="s">
        <v>181</v>
      </c>
    </row>
    <row r="1984" spans="1:17" x14ac:dyDescent="0.25">
      <c r="A1984" s="23" t="s">
        <v>1148</v>
      </c>
      <c r="B1984" s="23" t="s">
        <v>1054</v>
      </c>
      <c r="C1984" s="23" t="s">
        <v>176</v>
      </c>
      <c r="D1984" s="23" t="s">
        <v>330</v>
      </c>
      <c r="E1984" s="23" t="s">
        <v>331</v>
      </c>
      <c r="F1984">
        <v>6</v>
      </c>
      <c r="G1984" s="23" t="s">
        <v>177</v>
      </c>
      <c r="H1984">
        <v>0</v>
      </c>
      <c r="I1984">
        <v>118</v>
      </c>
      <c r="J1984" s="10">
        <v>18</v>
      </c>
      <c r="K1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84">
        <v>0</v>
      </c>
      <c r="M19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4">
        <v>14.5</v>
      </c>
      <c r="O1984" s="23" t="s">
        <v>242</v>
      </c>
      <c r="P1984">
        <v>87</v>
      </c>
      <c r="Q1984" s="23" t="s">
        <v>181</v>
      </c>
    </row>
    <row r="1985" spans="1:17" x14ac:dyDescent="0.25">
      <c r="A1985" s="23" t="s">
        <v>1099</v>
      </c>
      <c r="B1985" s="23" t="s">
        <v>1056</v>
      </c>
      <c r="C1985" s="23" t="s">
        <v>176</v>
      </c>
      <c r="D1985" s="23" t="s">
        <v>330</v>
      </c>
      <c r="E1985" s="23" t="s">
        <v>331</v>
      </c>
      <c r="F1985">
        <v>6</v>
      </c>
      <c r="G1985" s="23" t="s">
        <v>177</v>
      </c>
      <c r="H1985">
        <v>0</v>
      </c>
      <c r="I1985">
        <v>118</v>
      </c>
      <c r="J1985" s="10">
        <v>18</v>
      </c>
      <c r="K1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1985">
        <v>0</v>
      </c>
      <c r="M19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5">
        <v>14.5</v>
      </c>
      <c r="O1985" s="23" t="s">
        <v>242</v>
      </c>
      <c r="P1985">
        <v>87</v>
      </c>
      <c r="Q1985" s="23" t="s">
        <v>181</v>
      </c>
    </row>
    <row r="1986" spans="1:17" x14ac:dyDescent="0.25">
      <c r="A1986" s="23" t="s">
        <v>1058</v>
      </c>
      <c r="B1986" s="23" t="s">
        <v>1059</v>
      </c>
      <c r="C1986" s="23" t="s">
        <v>176</v>
      </c>
      <c r="D1986" s="23" t="s">
        <v>519</v>
      </c>
      <c r="E1986" s="23" t="s">
        <v>520</v>
      </c>
      <c r="F1986">
        <v>3</v>
      </c>
      <c r="G1986" s="23" t="s">
        <v>177</v>
      </c>
      <c r="H1986">
        <v>0</v>
      </c>
      <c r="I1986">
        <v>111</v>
      </c>
      <c r="J1986" s="10">
        <v>1.1191048088221578E-13</v>
      </c>
      <c r="K1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1986">
        <v>0</v>
      </c>
      <c r="M19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6">
        <v>36</v>
      </c>
      <c r="O1986" s="23" t="s">
        <v>242</v>
      </c>
      <c r="P1986">
        <v>108</v>
      </c>
      <c r="Q1986" s="23" t="s">
        <v>181</v>
      </c>
    </row>
    <row r="1987" spans="1:17" x14ac:dyDescent="0.25">
      <c r="A1987" s="23" t="s">
        <v>1150</v>
      </c>
      <c r="B1987" s="23" t="s">
        <v>1145</v>
      </c>
      <c r="C1987" s="23" t="s">
        <v>176</v>
      </c>
      <c r="D1987" s="23" t="s">
        <v>747</v>
      </c>
      <c r="E1987" s="23" t="s">
        <v>748</v>
      </c>
      <c r="F1987">
        <v>2</v>
      </c>
      <c r="G1987" s="23" t="s">
        <v>177</v>
      </c>
      <c r="H1987">
        <v>0</v>
      </c>
      <c r="I1987">
        <v>3</v>
      </c>
      <c r="J1987" s="10">
        <v>0</v>
      </c>
      <c r="K1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1987">
        <v>0</v>
      </c>
      <c r="M19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1987">
        <v>54</v>
      </c>
      <c r="O1987" s="23" t="s">
        <v>227</v>
      </c>
      <c r="P1987">
        <v>108</v>
      </c>
      <c r="Q1987" s="23" t="s">
        <v>181</v>
      </c>
    </row>
    <row r="1988" spans="1:17" x14ac:dyDescent="0.25">
      <c r="A1988" s="23" t="s">
        <v>1150</v>
      </c>
      <c r="B1988" s="23" t="s">
        <v>1145</v>
      </c>
      <c r="C1988" s="23" t="s">
        <v>176</v>
      </c>
      <c r="D1988" s="23" t="s">
        <v>271</v>
      </c>
      <c r="E1988" s="23" t="s">
        <v>272</v>
      </c>
      <c r="F1988">
        <v>1</v>
      </c>
      <c r="G1988" s="23" t="s">
        <v>177</v>
      </c>
      <c r="H1988">
        <v>0</v>
      </c>
      <c r="I1988">
        <v>14</v>
      </c>
      <c r="J1988" s="10">
        <v>8</v>
      </c>
      <c r="K1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988">
        <v>0</v>
      </c>
      <c r="M19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8">
        <v>270</v>
      </c>
      <c r="O1988" s="23" t="s">
        <v>221</v>
      </c>
      <c r="P1988">
        <v>270</v>
      </c>
      <c r="Q1988" s="23" t="s">
        <v>222</v>
      </c>
    </row>
    <row r="1989" spans="1:17" x14ac:dyDescent="0.25">
      <c r="A1989" s="23" t="s">
        <v>1149</v>
      </c>
      <c r="B1989" s="23" t="s">
        <v>1145</v>
      </c>
      <c r="C1989" s="23" t="s">
        <v>176</v>
      </c>
      <c r="D1989" s="23" t="s">
        <v>93</v>
      </c>
      <c r="E1989" s="23" t="s">
        <v>94</v>
      </c>
      <c r="F1989">
        <v>4</v>
      </c>
      <c r="G1989" s="23" t="s">
        <v>177</v>
      </c>
      <c r="H1989">
        <v>0</v>
      </c>
      <c r="I1989">
        <v>105</v>
      </c>
      <c r="J1989" s="10">
        <v>56</v>
      </c>
      <c r="K1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1989">
        <v>0</v>
      </c>
      <c r="M19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89">
        <v>72.599999999999994</v>
      </c>
      <c r="O1989" s="23" t="s">
        <v>242</v>
      </c>
      <c r="P1989">
        <v>290.39999999999998</v>
      </c>
      <c r="Q1989" s="23" t="s">
        <v>179</v>
      </c>
    </row>
    <row r="1990" spans="1:17" x14ac:dyDescent="0.25">
      <c r="A1990" s="23" t="s">
        <v>1144</v>
      </c>
      <c r="B1990" s="23" t="s">
        <v>1145</v>
      </c>
      <c r="C1990" s="23" t="s">
        <v>176</v>
      </c>
      <c r="D1990" s="23" t="s">
        <v>847</v>
      </c>
      <c r="E1990" s="23" t="s">
        <v>848</v>
      </c>
      <c r="F1990">
        <v>2</v>
      </c>
      <c r="G1990" s="23" t="s">
        <v>183</v>
      </c>
      <c r="H1990">
        <v>0</v>
      </c>
      <c r="I1990">
        <v>0</v>
      </c>
      <c r="J1990" s="10">
        <v>-1.4210854715202004E-14</v>
      </c>
      <c r="K1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1990">
        <v>0</v>
      </c>
      <c r="M19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1990">
        <v>546.6</v>
      </c>
      <c r="O1990" s="23" t="s">
        <v>255</v>
      </c>
      <c r="P1990">
        <v>1093.2</v>
      </c>
      <c r="Q1990" s="23" t="s">
        <v>182</v>
      </c>
    </row>
    <row r="1991" spans="1:17" x14ac:dyDescent="0.25">
      <c r="A1991" s="23" t="s">
        <v>1146</v>
      </c>
      <c r="B1991" s="23" t="s">
        <v>1145</v>
      </c>
      <c r="C1991" s="23" t="s">
        <v>176</v>
      </c>
      <c r="D1991" s="23" t="s">
        <v>747</v>
      </c>
      <c r="E1991" s="23" t="s">
        <v>748</v>
      </c>
      <c r="F1991">
        <v>2</v>
      </c>
      <c r="G1991" s="23" t="s">
        <v>177</v>
      </c>
      <c r="H1991">
        <v>0</v>
      </c>
      <c r="I1991">
        <v>3</v>
      </c>
      <c r="J1991" s="10">
        <v>0</v>
      </c>
      <c r="K1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1991">
        <v>0</v>
      </c>
      <c r="M19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1991">
        <v>54</v>
      </c>
      <c r="O1991" s="23" t="s">
        <v>227</v>
      </c>
      <c r="P1991">
        <v>108</v>
      </c>
      <c r="Q1991" s="23" t="s">
        <v>181</v>
      </c>
    </row>
    <row r="1992" spans="1:17" x14ac:dyDescent="0.25">
      <c r="A1992" s="23" t="s">
        <v>1144</v>
      </c>
      <c r="B1992" s="23" t="s">
        <v>1145</v>
      </c>
      <c r="C1992" s="23" t="s">
        <v>176</v>
      </c>
      <c r="D1992" s="23" t="s">
        <v>747</v>
      </c>
      <c r="E1992" s="23" t="s">
        <v>748</v>
      </c>
      <c r="F1992">
        <v>2</v>
      </c>
      <c r="G1992" s="23" t="s">
        <v>177</v>
      </c>
      <c r="H1992">
        <v>0</v>
      </c>
      <c r="I1992">
        <v>3</v>
      </c>
      <c r="J1992" s="10">
        <v>0</v>
      </c>
      <c r="K1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1992">
        <v>0</v>
      </c>
      <c r="M19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1992">
        <v>54</v>
      </c>
      <c r="O1992" s="23" t="s">
        <v>227</v>
      </c>
      <c r="P1992">
        <v>108</v>
      </c>
      <c r="Q1992" s="23" t="s">
        <v>181</v>
      </c>
    </row>
    <row r="1993" spans="1:17" x14ac:dyDescent="0.25">
      <c r="A1993" s="23" t="s">
        <v>1144</v>
      </c>
      <c r="B1993" s="23" t="s">
        <v>1145</v>
      </c>
      <c r="C1993" s="23" t="s">
        <v>176</v>
      </c>
      <c r="D1993" s="23" t="s">
        <v>271</v>
      </c>
      <c r="E1993" s="23" t="s">
        <v>272</v>
      </c>
      <c r="F1993">
        <v>1</v>
      </c>
      <c r="G1993" s="23" t="s">
        <v>177</v>
      </c>
      <c r="H1993">
        <v>0</v>
      </c>
      <c r="I1993">
        <v>14</v>
      </c>
      <c r="J1993" s="10">
        <v>8</v>
      </c>
      <c r="K1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993">
        <v>0</v>
      </c>
      <c r="M19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3">
        <v>270</v>
      </c>
      <c r="O1993" s="23" t="s">
        <v>221</v>
      </c>
      <c r="P1993">
        <v>270</v>
      </c>
      <c r="Q1993" s="23" t="s">
        <v>222</v>
      </c>
    </row>
    <row r="1994" spans="1:17" x14ac:dyDescent="0.25">
      <c r="A1994" s="23" t="s">
        <v>1146</v>
      </c>
      <c r="B1994" s="23" t="s">
        <v>1145</v>
      </c>
      <c r="C1994" s="23" t="s">
        <v>176</v>
      </c>
      <c r="D1994" s="23" t="s">
        <v>271</v>
      </c>
      <c r="E1994" s="23" t="s">
        <v>272</v>
      </c>
      <c r="F1994">
        <v>1</v>
      </c>
      <c r="G1994" s="23" t="s">
        <v>177</v>
      </c>
      <c r="H1994">
        <v>0</v>
      </c>
      <c r="I1994">
        <v>14</v>
      </c>
      <c r="J1994" s="10">
        <v>8</v>
      </c>
      <c r="K1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994">
        <v>0</v>
      </c>
      <c r="M19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4">
        <v>270</v>
      </c>
      <c r="O1994" s="23" t="s">
        <v>221</v>
      </c>
      <c r="P1994">
        <v>270</v>
      </c>
      <c r="Q1994" s="23" t="s">
        <v>222</v>
      </c>
    </row>
    <row r="1995" spans="1:17" x14ac:dyDescent="0.25">
      <c r="A1995" s="23" t="s">
        <v>1146</v>
      </c>
      <c r="B1995" s="23" t="s">
        <v>1145</v>
      </c>
      <c r="C1995" s="23" t="s">
        <v>176</v>
      </c>
      <c r="D1995" s="23" t="s">
        <v>1158</v>
      </c>
      <c r="E1995" s="23" t="s">
        <v>1159</v>
      </c>
      <c r="F1995">
        <v>4</v>
      </c>
      <c r="G1995" s="23" t="s">
        <v>177</v>
      </c>
      <c r="H1995">
        <v>0</v>
      </c>
      <c r="I1995">
        <v>0</v>
      </c>
      <c r="J1995" s="10">
        <v>0</v>
      </c>
      <c r="K1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1995">
        <v>0</v>
      </c>
      <c r="M19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5">
        <v>0</v>
      </c>
      <c r="O1995" s="23"/>
      <c r="P1995">
        <v>0</v>
      </c>
      <c r="Q1995" s="23" t="s">
        <v>181</v>
      </c>
    </row>
    <row r="1996" spans="1:17" x14ac:dyDescent="0.25">
      <c r="A1996" s="23" t="s">
        <v>1144</v>
      </c>
      <c r="B1996" s="23" t="s">
        <v>1145</v>
      </c>
      <c r="C1996" s="23" t="s">
        <v>176</v>
      </c>
      <c r="D1996" s="23" t="s">
        <v>1158</v>
      </c>
      <c r="E1996" s="23" t="s">
        <v>1159</v>
      </c>
      <c r="F1996">
        <v>6</v>
      </c>
      <c r="G1996" s="23" t="s">
        <v>177</v>
      </c>
      <c r="H1996">
        <v>0</v>
      </c>
      <c r="I1996">
        <v>0</v>
      </c>
      <c r="J1996" s="10">
        <v>0</v>
      </c>
      <c r="K1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1996">
        <v>0</v>
      </c>
      <c r="M19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6">
        <v>0</v>
      </c>
      <c r="O1996" s="23"/>
      <c r="P1996">
        <v>0</v>
      </c>
      <c r="Q1996" s="23" t="s">
        <v>181</v>
      </c>
    </row>
    <row r="1997" spans="1:17" x14ac:dyDescent="0.25">
      <c r="A1997" s="23" t="s">
        <v>1149</v>
      </c>
      <c r="B1997" s="23" t="s">
        <v>1145</v>
      </c>
      <c r="C1997" s="23" t="s">
        <v>176</v>
      </c>
      <c r="D1997" s="23" t="s">
        <v>747</v>
      </c>
      <c r="E1997" s="23" t="s">
        <v>748</v>
      </c>
      <c r="F1997">
        <v>2</v>
      </c>
      <c r="G1997" s="23" t="s">
        <v>177</v>
      </c>
      <c r="H1997">
        <v>0</v>
      </c>
      <c r="I1997">
        <v>3</v>
      </c>
      <c r="J1997" s="10">
        <v>0</v>
      </c>
      <c r="K1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1997">
        <v>0</v>
      </c>
      <c r="M19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1997">
        <v>54</v>
      </c>
      <c r="O1997" s="23" t="s">
        <v>227</v>
      </c>
      <c r="P1997">
        <v>108</v>
      </c>
      <c r="Q1997" s="23" t="s">
        <v>181</v>
      </c>
    </row>
    <row r="1998" spans="1:17" x14ac:dyDescent="0.25">
      <c r="A1998" s="23" t="s">
        <v>1149</v>
      </c>
      <c r="B1998" s="23" t="s">
        <v>1145</v>
      </c>
      <c r="C1998" s="23" t="s">
        <v>176</v>
      </c>
      <c r="D1998" s="23" t="s">
        <v>271</v>
      </c>
      <c r="E1998" s="23" t="s">
        <v>272</v>
      </c>
      <c r="F1998">
        <v>1</v>
      </c>
      <c r="G1998" s="23" t="s">
        <v>177</v>
      </c>
      <c r="H1998">
        <v>0</v>
      </c>
      <c r="I1998">
        <v>14</v>
      </c>
      <c r="J1998" s="10">
        <v>8</v>
      </c>
      <c r="K1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1998">
        <v>0</v>
      </c>
      <c r="M19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8">
        <v>270</v>
      </c>
      <c r="O1998" s="23" t="s">
        <v>221</v>
      </c>
      <c r="P1998">
        <v>270</v>
      </c>
      <c r="Q1998" s="23" t="s">
        <v>222</v>
      </c>
    </row>
    <row r="1999" spans="1:17" x14ac:dyDescent="0.25">
      <c r="A1999" s="23" t="s">
        <v>1149</v>
      </c>
      <c r="B1999" s="23" t="s">
        <v>1145</v>
      </c>
      <c r="C1999" s="23" t="s">
        <v>176</v>
      </c>
      <c r="D1999" s="23" t="s">
        <v>1158</v>
      </c>
      <c r="E1999" s="23" t="s">
        <v>1159</v>
      </c>
      <c r="F1999">
        <v>10</v>
      </c>
      <c r="G1999" s="23" t="s">
        <v>177</v>
      </c>
      <c r="H1999">
        <v>0</v>
      </c>
      <c r="I1999">
        <v>0</v>
      </c>
      <c r="J1999" s="10">
        <v>0</v>
      </c>
      <c r="K1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1999">
        <v>0</v>
      </c>
      <c r="M19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1999">
        <v>0</v>
      </c>
      <c r="O1999" s="23"/>
      <c r="P1999">
        <v>0</v>
      </c>
      <c r="Q1999" s="23" t="s">
        <v>181</v>
      </c>
    </row>
    <row r="2000" spans="1:17" x14ac:dyDescent="0.25">
      <c r="A2000" s="23" t="s">
        <v>1144</v>
      </c>
      <c r="B2000" s="23" t="s">
        <v>1145</v>
      </c>
      <c r="C2000" s="23" t="s">
        <v>176</v>
      </c>
      <c r="D2000" s="23" t="s">
        <v>93</v>
      </c>
      <c r="E2000" s="23" t="s">
        <v>94</v>
      </c>
      <c r="F2000">
        <v>4</v>
      </c>
      <c r="G2000" s="23" t="s">
        <v>177</v>
      </c>
      <c r="H2000">
        <v>0</v>
      </c>
      <c r="I2000">
        <v>105</v>
      </c>
      <c r="J2000" s="10">
        <v>56</v>
      </c>
      <c r="K2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000">
        <v>0</v>
      </c>
      <c r="M20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0">
        <v>72.599999999999994</v>
      </c>
      <c r="O2000" s="23" t="s">
        <v>242</v>
      </c>
      <c r="P2000">
        <v>290.39999999999998</v>
      </c>
      <c r="Q2000" s="23" t="s">
        <v>179</v>
      </c>
    </row>
    <row r="2001" spans="1:17" x14ac:dyDescent="0.25">
      <c r="A2001" s="23" t="s">
        <v>1149</v>
      </c>
      <c r="B2001" s="23" t="s">
        <v>1145</v>
      </c>
      <c r="C2001" s="23" t="s">
        <v>176</v>
      </c>
      <c r="D2001" s="23" t="s">
        <v>847</v>
      </c>
      <c r="E2001" s="23" t="s">
        <v>848</v>
      </c>
      <c r="F2001">
        <v>2</v>
      </c>
      <c r="G2001" s="23" t="s">
        <v>183</v>
      </c>
      <c r="H2001">
        <v>0</v>
      </c>
      <c r="I2001">
        <v>0</v>
      </c>
      <c r="J2001" s="10">
        <v>-1.4210854715202004E-14</v>
      </c>
      <c r="K2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001">
        <v>0</v>
      </c>
      <c r="M20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001">
        <v>546.6</v>
      </c>
      <c r="O2001" s="23" t="s">
        <v>255</v>
      </c>
      <c r="P2001">
        <v>1093.2</v>
      </c>
      <c r="Q2001" s="23" t="s">
        <v>182</v>
      </c>
    </row>
    <row r="2002" spans="1:17" x14ac:dyDescent="0.25">
      <c r="A2002" s="23" t="s">
        <v>1146</v>
      </c>
      <c r="B2002" s="23" t="s">
        <v>1145</v>
      </c>
      <c r="C2002" s="23" t="s">
        <v>176</v>
      </c>
      <c r="D2002" s="23" t="s">
        <v>847</v>
      </c>
      <c r="E2002" s="23" t="s">
        <v>848</v>
      </c>
      <c r="F2002">
        <v>2</v>
      </c>
      <c r="G2002" s="23" t="s">
        <v>183</v>
      </c>
      <c r="H2002">
        <v>0</v>
      </c>
      <c r="I2002">
        <v>0</v>
      </c>
      <c r="J2002" s="10">
        <v>-1.4210854715202004E-14</v>
      </c>
      <c r="K2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002">
        <v>0</v>
      </c>
      <c r="M20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002">
        <v>546.6</v>
      </c>
      <c r="O2002" s="23" t="s">
        <v>255</v>
      </c>
      <c r="P2002">
        <v>1093.2</v>
      </c>
      <c r="Q2002" s="23" t="s">
        <v>182</v>
      </c>
    </row>
    <row r="2003" spans="1:17" x14ac:dyDescent="0.25">
      <c r="A2003" s="23" t="s">
        <v>1100</v>
      </c>
      <c r="B2003" s="23" t="s">
        <v>1101</v>
      </c>
      <c r="C2003" s="23" t="s">
        <v>176</v>
      </c>
      <c r="D2003" s="23" t="s">
        <v>725</v>
      </c>
      <c r="E2003" s="23" t="s">
        <v>726</v>
      </c>
      <c r="F2003">
        <v>1</v>
      </c>
      <c r="G2003" s="23" t="s">
        <v>177</v>
      </c>
      <c r="H2003">
        <v>0</v>
      </c>
      <c r="I2003">
        <v>56</v>
      </c>
      <c r="J2003" s="10">
        <v>4</v>
      </c>
      <c r="K2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2003">
        <v>0</v>
      </c>
      <c r="M20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3">
        <v>16.5</v>
      </c>
      <c r="O2003" s="23" t="s">
        <v>242</v>
      </c>
      <c r="P2003">
        <v>16.5</v>
      </c>
      <c r="Q2003" s="23" t="s">
        <v>179</v>
      </c>
    </row>
    <row r="2004" spans="1:17" x14ac:dyDescent="0.25">
      <c r="A2004" s="23" t="s">
        <v>1197</v>
      </c>
      <c r="B2004" s="23" t="s">
        <v>1198</v>
      </c>
      <c r="C2004" s="23" t="s">
        <v>176</v>
      </c>
      <c r="D2004" s="23" t="s">
        <v>747</v>
      </c>
      <c r="E2004" s="23" t="s">
        <v>748</v>
      </c>
      <c r="F2004">
        <v>2</v>
      </c>
      <c r="G2004" s="23" t="s">
        <v>177</v>
      </c>
      <c r="H2004">
        <v>0</v>
      </c>
      <c r="I2004">
        <v>3</v>
      </c>
      <c r="J2004" s="10">
        <v>0</v>
      </c>
      <c r="K2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2004">
        <v>0</v>
      </c>
      <c r="M20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2004">
        <v>54</v>
      </c>
      <c r="O2004" s="23" t="s">
        <v>227</v>
      </c>
      <c r="P2004">
        <v>108</v>
      </c>
      <c r="Q2004" s="23" t="s">
        <v>181</v>
      </c>
    </row>
    <row r="2005" spans="1:17" x14ac:dyDescent="0.25">
      <c r="A2005" s="23" t="s">
        <v>1197</v>
      </c>
      <c r="B2005" s="23" t="s">
        <v>1198</v>
      </c>
      <c r="C2005" s="23" t="s">
        <v>176</v>
      </c>
      <c r="D2005" s="23" t="s">
        <v>271</v>
      </c>
      <c r="E2005" s="23" t="s">
        <v>272</v>
      </c>
      <c r="F2005">
        <v>1</v>
      </c>
      <c r="G2005" s="23" t="s">
        <v>177</v>
      </c>
      <c r="H2005">
        <v>0</v>
      </c>
      <c r="I2005">
        <v>14</v>
      </c>
      <c r="J2005" s="10">
        <v>8</v>
      </c>
      <c r="K2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005">
        <v>0</v>
      </c>
      <c r="M20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5">
        <v>270</v>
      </c>
      <c r="O2005" s="23" t="s">
        <v>221</v>
      </c>
      <c r="P2005">
        <v>270</v>
      </c>
      <c r="Q2005" s="23" t="s">
        <v>222</v>
      </c>
    </row>
    <row r="2006" spans="1:17" x14ac:dyDescent="0.25">
      <c r="A2006" s="23" t="s">
        <v>1097</v>
      </c>
      <c r="B2006" s="23" t="s">
        <v>1095</v>
      </c>
      <c r="C2006" s="23" t="s">
        <v>176</v>
      </c>
      <c r="D2006" s="23" t="s">
        <v>91</v>
      </c>
      <c r="E2006" s="23" t="s">
        <v>92</v>
      </c>
      <c r="F2006">
        <v>1</v>
      </c>
      <c r="G2006" s="23" t="s">
        <v>177</v>
      </c>
      <c r="H2006">
        <v>0</v>
      </c>
      <c r="I2006">
        <v>6</v>
      </c>
      <c r="J2006" s="10">
        <v>10</v>
      </c>
      <c r="K2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06">
        <v>0</v>
      </c>
      <c r="M20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006">
        <v>1776.43</v>
      </c>
      <c r="O2006" s="23" t="s">
        <v>635</v>
      </c>
      <c r="P2006">
        <v>1776.43</v>
      </c>
      <c r="Q2006" s="23" t="s">
        <v>179</v>
      </c>
    </row>
    <row r="2007" spans="1:17" x14ac:dyDescent="0.25">
      <c r="A2007" s="23" t="s">
        <v>1094</v>
      </c>
      <c r="B2007" s="23" t="s">
        <v>1095</v>
      </c>
      <c r="C2007" s="23" t="s">
        <v>176</v>
      </c>
      <c r="D2007" s="23" t="s">
        <v>322</v>
      </c>
      <c r="E2007" s="23" t="s">
        <v>323</v>
      </c>
      <c r="F2007">
        <v>6.35</v>
      </c>
      <c r="G2007" s="23" t="s">
        <v>177</v>
      </c>
      <c r="H2007">
        <v>0</v>
      </c>
      <c r="I2007">
        <v>84</v>
      </c>
      <c r="J2007" s="10">
        <v>195.90000000000006</v>
      </c>
      <c r="K2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007">
        <v>0</v>
      </c>
      <c r="M20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7">
        <v>29</v>
      </c>
      <c r="O2007" s="23" t="s">
        <v>242</v>
      </c>
      <c r="P2007">
        <v>184.14999999999998</v>
      </c>
      <c r="Q2007" s="23" t="s">
        <v>181</v>
      </c>
    </row>
    <row r="2008" spans="1:17" x14ac:dyDescent="0.25">
      <c r="A2008" s="23" t="s">
        <v>1150</v>
      </c>
      <c r="B2008" s="23" t="s">
        <v>1145</v>
      </c>
      <c r="C2008" s="23" t="s">
        <v>176</v>
      </c>
      <c r="D2008" s="23" t="s">
        <v>941</v>
      </c>
      <c r="E2008" s="23" t="s">
        <v>942</v>
      </c>
      <c r="F2008">
        <v>1</v>
      </c>
      <c r="G2008" s="23" t="s">
        <v>177</v>
      </c>
      <c r="H2008">
        <v>0</v>
      </c>
      <c r="I2008">
        <v>2</v>
      </c>
      <c r="J2008" s="10">
        <v>1</v>
      </c>
      <c r="K2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008">
        <v>0</v>
      </c>
      <c r="M20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2008">
        <v>9940.35</v>
      </c>
      <c r="O2008" s="23" t="s">
        <v>1052</v>
      </c>
      <c r="P2008">
        <v>9940.35</v>
      </c>
      <c r="Q2008" s="23" t="s">
        <v>222</v>
      </c>
    </row>
    <row r="2009" spans="1:17" x14ac:dyDescent="0.25">
      <c r="A2009" s="23" t="s">
        <v>1149</v>
      </c>
      <c r="B2009" s="23" t="s">
        <v>1145</v>
      </c>
      <c r="C2009" s="23" t="s">
        <v>176</v>
      </c>
      <c r="D2009" s="23" t="s">
        <v>322</v>
      </c>
      <c r="E2009" s="23" t="s">
        <v>323</v>
      </c>
      <c r="F2009">
        <v>6</v>
      </c>
      <c r="G2009" s="23" t="s">
        <v>177</v>
      </c>
      <c r="H2009">
        <v>0</v>
      </c>
      <c r="I2009">
        <v>84</v>
      </c>
      <c r="J2009" s="10">
        <v>195.90000000000006</v>
      </c>
      <c r="K2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009">
        <v>0</v>
      </c>
      <c r="M20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09">
        <v>29</v>
      </c>
      <c r="O2009" s="23" t="s">
        <v>242</v>
      </c>
      <c r="P2009">
        <v>174</v>
      </c>
      <c r="Q2009" s="23" t="s">
        <v>181</v>
      </c>
    </row>
    <row r="2010" spans="1:17" x14ac:dyDescent="0.25">
      <c r="A2010" s="23" t="s">
        <v>1197</v>
      </c>
      <c r="B2010" s="23" t="s">
        <v>1198</v>
      </c>
      <c r="C2010" s="23" t="s">
        <v>176</v>
      </c>
      <c r="D2010" s="23" t="s">
        <v>322</v>
      </c>
      <c r="E2010" s="23" t="s">
        <v>323</v>
      </c>
      <c r="F2010">
        <v>6</v>
      </c>
      <c r="G2010" s="23" t="s">
        <v>177</v>
      </c>
      <c r="H2010">
        <v>0</v>
      </c>
      <c r="I2010">
        <v>84</v>
      </c>
      <c r="J2010" s="10">
        <v>195.90000000000006</v>
      </c>
      <c r="K2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010">
        <v>0</v>
      </c>
      <c r="M20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0">
        <v>29</v>
      </c>
      <c r="O2010" s="23" t="s">
        <v>242</v>
      </c>
      <c r="P2010">
        <v>174</v>
      </c>
      <c r="Q2010" s="23" t="s">
        <v>181</v>
      </c>
    </row>
    <row r="2011" spans="1:17" x14ac:dyDescent="0.25">
      <c r="A2011" s="23" t="s">
        <v>1098</v>
      </c>
      <c r="B2011" s="23" t="s">
        <v>1053</v>
      </c>
      <c r="C2011" s="23" t="s">
        <v>176</v>
      </c>
      <c r="D2011" s="23" t="s">
        <v>245</v>
      </c>
      <c r="E2011" s="23" t="s">
        <v>246</v>
      </c>
      <c r="F2011">
        <v>2</v>
      </c>
      <c r="G2011" s="23" t="s">
        <v>177</v>
      </c>
      <c r="H2011">
        <v>0</v>
      </c>
      <c r="I2011">
        <v>20</v>
      </c>
      <c r="J2011" s="10">
        <v>7</v>
      </c>
      <c r="K2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011">
        <v>0</v>
      </c>
      <c r="M20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1">
        <v>60</v>
      </c>
      <c r="O2011" s="23" t="s">
        <v>629</v>
      </c>
      <c r="P2011">
        <v>120</v>
      </c>
      <c r="Q2011" s="23" t="s">
        <v>181</v>
      </c>
    </row>
    <row r="2012" spans="1:17" x14ac:dyDescent="0.25">
      <c r="A2012" s="23" t="s">
        <v>1197</v>
      </c>
      <c r="B2012" s="23" t="s">
        <v>1198</v>
      </c>
      <c r="C2012" s="23" t="s">
        <v>176</v>
      </c>
      <c r="D2012" s="23" t="s">
        <v>91</v>
      </c>
      <c r="E2012" s="23" t="s">
        <v>92</v>
      </c>
      <c r="F2012">
        <v>1</v>
      </c>
      <c r="G2012" s="23" t="s">
        <v>177</v>
      </c>
      <c r="H2012">
        <v>0</v>
      </c>
      <c r="I2012">
        <v>6</v>
      </c>
      <c r="J2012" s="10">
        <v>10</v>
      </c>
      <c r="K2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12">
        <v>0</v>
      </c>
      <c r="M20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012">
        <v>1776.43</v>
      </c>
      <c r="O2012" s="23" t="s">
        <v>635</v>
      </c>
      <c r="P2012">
        <v>1776.43</v>
      </c>
      <c r="Q2012" s="23" t="s">
        <v>179</v>
      </c>
    </row>
    <row r="2013" spans="1:17" x14ac:dyDescent="0.25">
      <c r="A2013" s="23" t="s">
        <v>1098</v>
      </c>
      <c r="B2013" s="23" t="s">
        <v>1053</v>
      </c>
      <c r="C2013" s="23" t="s">
        <v>176</v>
      </c>
      <c r="D2013" s="23" t="s">
        <v>91</v>
      </c>
      <c r="E2013" s="23" t="s">
        <v>92</v>
      </c>
      <c r="F2013">
        <v>1</v>
      </c>
      <c r="G2013" s="23" t="s">
        <v>177</v>
      </c>
      <c r="H2013">
        <v>0</v>
      </c>
      <c r="I2013">
        <v>6</v>
      </c>
      <c r="J2013" s="10">
        <v>10</v>
      </c>
      <c r="K2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013">
        <v>0</v>
      </c>
      <c r="M20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013">
        <v>1776.43</v>
      </c>
      <c r="O2013" s="23" t="s">
        <v>635</v>
      </c>
      <c r="P2013">
        <v>1776.43</v>
      </c>
      <c r="Q2013" s="23" t="s">
        <v>179</v>
      </c>
    </row>
    <row r="2014" spans="1:17" x14ac:dyDescent="0.25">
      <c r="A2014" s="23" t="s">
        <v>1197</v>
      </c>
      <c r="B2014" s="23" t="s">
        <v>1198</v>
      </c>
      <c r="C2014" s="23" t="s">
        <v>176</v>
      </c>
      <c r="D2014" s="23" t="s">
        <v>941</v>
      </c>
      <c r="E2014" s="23" t="s">
        <v>942</v>
      </c>
      <c r="F2014">
        <v>1</v>
      </c>
      <c r="G2014" s="23" t="s">
        <v>177</v>
      </c>
      <c r="H2014">
        <v>0</v>
      </c>
      <c r="I2014">
        <v>2</v>
      </c>
      <c r="J2014" s="10">
        <v>1</v>
      </c>
      <c r="K2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014">
        <v>0</v>
      </c>
      <c r="M20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2014">
        <v>9940.35</v>
      </c>
      <c r="O2014" s="23" t="s">
        <v>1052</v>
      </c>
      <c r="P2014">
        <v>9940.35</v>
      </c>
      <c r="Q2014" s="23" t="s">
        <v>222</v>
      </c>
    </row>
    <row r="2015" spans="1:17" x14ac:dyDescent="0.25">
      <c r="A2015" s="23" t="s">
        <v>1097</v>
      </c>
      <c r="B2015" s="23" t="s">
        <v>1095</v>
      </c>
      <c r="C2015" s="23" t="s">
        <v>176</v>
      </c>
      <c r="D2015" s="23" t="s">
        <v>322</v>
      </c>
      <c r="E2015" s="23" t="s">
        <v>323</v>
      </c>
      <c r="F2015">
        <v>6.35</v>
      </c>
      <c r="G2015" s="23" t="s">
        <v>177</v>
      </c>
      <c r="H2015">
        <v>0</v>
      </c>
      <c r="I2015">
        <v>84</v>
      </c>
      <c r="J2015" s="10">
        <v>195.90000000000006</v>
      </c>
      <c r="K2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015">
        <v>0</v>
      </c>
      <c r="M20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5">
        <v>29</v>
      </c>
      <c r="O2015" s="23" t="s">
        <v>242</v>
      </c>
      <c r="P2015">
        <v>184.14999999999998</v>
      </c>
      <c r="Q2015" s="23" t="s">
        <v>181</v>
      </c>
    </row>
    <row r="2016" spans="1:17" x14ac:dyDescent="0.25">
      <c r="A2016" s="23" t="s">
        <v>1057</v>
      </c>
      <c r="B2016" s="23" t="s">
        <v>1056</v>
      </c>
      <c r="C2016" s="23" t="s">
        <v>176</v>
      </c>
      <c r="D2016" s="23" t="s">
        <v>777</v>
      </c>
      <c r="E2016" s="23" t="s">
        <v>778</v>
      </c>
      <c r="F2016">
        <v>1</v>
      </c>
      <c r="G2016" s="23" t="s">
        <v>177</v>
      </c>
      <c r="H2016">
        <v>1</v>
      </c>
      <c r="I2016">
        <v>7</v>
      </c>
      <c r="J2016" s="10">
        <v>6</v>
      </c>
      <c r="K2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16">
        <v>0</v>
      </c>
      <c r="M20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2016">
        <v>2457.65</v>
      </c>
      <c r="O2016" s="23" t="s">
        <v>635</v>
      </c>
      <c r="P2016">
        <v>2457.65</v>
      </c>
      <c r="Q2016" s="23" t="s">
        <v>178</v>
      </c>
    </row>
    <row r="2017" spans="1:17" x14ac:dyDescent="0.25">
      <c r="A2017" s="23" t="s">
        <v>1142</v>
      </c>
      <c r="B2017" s="23" t="s">
        <v>1054</v>
      </c>
      <c r="C2017" s="23" t="s">
        <v>176</v>
      </c>
      <c r="D2017" s="23" t="s">
        <v>364</v>
      </c>
      <c r="E2017" s="23" t="s">
        <v>365</v>
      </c>
      <c r="F2017">
        <v>7.5</v>
      </c>
      <c r="G2017" s="23" t="s">
        <v>180</v>
      </c>
      <c r="H2017">
        <v>0</v>
      </c>
      <c r="I2017">
        <v>200</v>
      </c>
      <c r="J2017" s="10">
        <v>59.899999999999928</v>
      </c>
      <c r="K2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017">
        <v>0</v>
      </c>
      <c r="M20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7">
        <v>22.5</v>
      </c>
      <c r="O2017" s="23" t="s">
        <v>315</v>
      </c>
      <c r="P2017">
        <v>168.75</v>
      </c>
      <c r="Q2017" s="23" t="s">
        <v>179</v>
      </c>
    </row>
    <row r="2018" spans="1:17" x14ac:dyDescent="0.25">
      <c r="A2018" s="23" t="s">
        <v>1142</v>
      </c>
      <c r="B2018" s="23" t="s">
        <v>1054</v>
      </c>
      <c r="C2018" s="23" t="s">
        <v>176</v>
      </c>
      <c r="D2018" s="23" t="s">
        <v>156</v>
      </c>
      <c r="E2018" s="23" t="s">
        <v>157</v>
      </c>
      <c r="F2018">
        <v>0.01</v>
      </c>
      <c r="G2018" s="23" t="s">
        <v>180</v>
      </c>
      <c r="H2018">
        <v>0</v>
      </c>
      <c r="I2018">
        <v>200</v>
      </c>
      <c r="J2018" s="10">
        <v>75.000000000000014</v>
      </c>
      <c r="K2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2018">
        <v>0</v>
      </c>
      <c r="M20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8">
        <v>7.4</v>
      </c>
      <c r="O2018" s="23" t="s">
        <v>636</v>
      </c>
      <c r="P2018">
        <v>7.400000000000001E-2</v>
      </c>
      <c r="Q2018" s="23" t="s">
        <v>222</v>
      </c>
    </row>
    <row r="2019" spans="1:17" x14ac:dyDescent="0.25">
      <c r="A2019" s="23" t="s">
        <v>1096</v>
      </c>
      <c r="B2019" s="23" t="s">
        <v>1053</v>
      </c>
      <c r="C2019" s="23" t="s">
        <v>176</v>
      </c>
      <c r="D2019" s="23" t="s">
        <v>405</v>
      </c>
      <c r="E2019" s="23" t="s">
        <v>406</v>
      </c>
      <c r="F2019">
        <v>5</v>
      </c>
      <c r="G2019" s="23" t="s">
        <v>177</v>
      </c>
      <c r="H2019">
        <v>0</v>
      </c>
      <c r="I2019">
        <v>234</v>
      </c>
      <c r="J2019" s="10">
        <v>30</v>
      </c>
      <c r="K2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019">
        <v>0</v>
      </c>
      <c r="M20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19">
        <v>15.21</v>
      </c>
      <c r="O2019" s="23" t="s">
        <v>827</v>
      </c>
      <c r="P2019">
        <v>76.050000000000011</v>
      </c>
      <c r="Q2019" s="23" t="s">
        <v>222</v>
      </c>
    </row>
    <row r="2020" spans="1:17" x14ac:dyDescent="0.25">
      <c r="A2020" s="23" t="s">
        <v>1094</v>
      </c>
      <c r="B2020" s="23" t="s">
        <v>1095</v>
      </c>
      <c r="C2020" s="23" t="s">
        <v>176</v>
      </c>
      <c r="D2020" s="23" t="s">
        <v>515</v>
      </c>
      <c r="E2020" s="23" t="s">
        <v>516</v>
      </c>
      <c r="F2020">
        <v>0.7</v>
      </c>
      <c r="G2020" s="23" t="s">
        <v>177</v>
      </c>
      <c r="H2020">
        <v>0</v>
      </c>
      <c r="I2020">
        <v>0</v>
      </c>
      <c r="J2020" s="10">
        <v>-2.6645352591003757E-15</v>
      </c>
      <c r="K2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020">
        <v>0</v>
      </c>
      <c r="M20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020">
        <v>70</v>
      </c>
      <c r="O2020" s="23" t="s">
        <v>242</v>
      </c>
      <c r="P2020">
        <v>49</v>
      </c>
      <c r="Q2020" s="23" t="s">
        <v>181</v>
      </c>
    </row>
    <row r="2021" spans="1:17" x14ac:dyDescent="0.25">
      <c r="A2021" s="23" t="s">
        <v>1096</v>
      </c>
      <c r="B2021" s="23" t="s">
        <v>1053</v>
      </c>
      <c r="C2021" s="23" t="s">
        <v>176</v>
      </c>
      <c r="D2021" s="23" t="s">
        <v>515</v>
      </c>
      <c r="E2021" s="23" t="s">
        <v>516</v>
      </c>
      <c r="F2021">
        <v>0.8</v>
      </c>
      <c r="G2021" s="23" t="s">
        <v>177</v>
      </c>
      <c r="H2021">
        <v>0</v>
      </c>
      <c r="I2021">
        <v>0</v>
      </c>
      <c r="J2021" s="10">
        <v>-2.6645352591003757E-15</v>
      </c>
      <c r="K2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021">
        <v>0</v>
      </c>
      <c r="M20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021">
        <v>70</v>
      </c>
      <c r="O2021" s="23" t="s">
        <v>242</v>
      </c>
      <c r="P2021">
        <v>56</v>
      </c>
      <c r="Q2021" s="23" t="s">
        <v>181</v>
      </c>
    </row>
    <row r="2022" spans="1:17" x14ac:dyDescent="0.25">
      <c r="A2022" s="23" t="s">
        <v>1094</v>
      </c>
      <c r="B2022" s="23" t="s">
        <v>1095</v>
      </c>
      <c r="C2022" s="23" t="s">
        <v>176</v>
      </c>
      <c r="D2022" s="23" t="s">
        <v>851</v>
      </c>
      <c r="E2022" s="23" t="s">
        <v>852</v>
      </c>
      <c r="F2022">
        <v>1</v>
      </c>
      <c r="G2022" s="23" t="s">
        <v>177</v>
      </c>
      <c r="H2022">
        <v>0</v>
      </c>
      <c r="I2022">
        <v>10</v>
      </c>
      <c r="J2022" s="10">
        <v>3</v>
      </c>
      <c r="K2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22">
        <v>0</v>
      </c>
      <c r="M20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2">
        <v>45</v>
      </c>
      <c r="O2022" s="23" t="s">
        <v>242</v>
      </c>
      <c r="P2022">
        <v>45</v>
      </c>
      <c r="Q2022" s="23" t="s">
        <v>181</v>
      </c>
    </row>
    <row r="2023" spans="1:17" x14ac:dyDescent="0.25">
      <c r="A2023" s="23" t="s">
        <v>1143</v>
      </c>
      <c r="B2023" s="23" t="s">
        <v>1054</v>
      </c>
      <c r="C2023" s="23" t="s">
        <v>176</v>
      </c>
      <c r="D2023" s="23" t="s">
        <v>851</v>
      </c>
      <c r="E2023" s="23" t="s">
        <v>852</v>
      </c>
      <c r="F2023">
        <v>1</v>
      </c>
      <c r="G2023" s="23" t="s">
        <v>177</v>
      </c>
      <c r="H2023">
        <v>0</v>
      </c>
      <c r="I2023">
        <v>10</v>
      </c>
      <c r="J2023" s="10">
        <v>3</v>
      </c>
      <c r="K2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23">
        <v>0</v>
      </c>
      <c r="M20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3">
        <v>45</v>
      </c>
      <c r="O2023" s="23" t="s">
        <v>242</v>
      </c>
      <c r="P2023">
        <v>45</v>
      </c>
      <c r="Q2023" s="23" t="s">
        <v>181</v>
      </c>
    </row>
    <row r="2024" spans="1:17" x14ac:dyDescent="0.25">
      <c r="A2024" s="23" t="s">
        <v>1143</v>
      </c>
      <c r="B2024" s="23" t="s">
        <v>1054</v>
      </c>
      <c r="C2024" s="23" t="s">
        <v>176</v>
      </c>
      <c r="D2024" s="23" t="s">
        <v>777</v>
      </c>
      <c r="E2024" s="23" t="s">
        <v>778</v>
      </c>
      <c r="F2024">
        <v>1</v>
      </c>
      <c r="G2024" s="23" t="s">
        <v>177</v>
      </c>
      <c r="H2024">
        <v>0</v>
      </c>
      <c r="I2024">
        <v>7</v>
      </c>
      <c r="J2024" s="10">
        <v>6</v>
      </c>
      <c r="K2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24">
        <v>0</v>
      </c>
      <c r="M20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2024">
        <v>2457.65</v>
      </c>
      <c r="O2024" s="23" t="s">
        <v>635</v>
      </c>
      <c r="P2024">
        <v>2457.65</v>
      </c>
      <c r="Q2024" s="23" t="s">
        <v>178</v>
      </c>
    </row>
    <row r="2025" spans="1:17" x14ac:dyDescent="0.25">
      <c r="A2025" s="23" t="s">
        <v>1094</v>
      </c>
      <c r="B2025" s="23" t="s">
        <v>1095</v>
      </c>
      <c r="C2025" s="23" t="s">
        <v>176</v>
      </c>
      <c r="D2025" s="23" t="s">
        <v>364</v>
      </c>
      <c r="E2025" s="23" t="s">
        <v>365</v>
      </c>
      <c r="F2025">
        <v>5.5</v>
      </c>
      <c r="G2025" s="23" t="s">
        <v>180</v>
      </c>
      <c r="H2025">
        <v>0</v>
      </c>
      <c r="I2025">
        <v>200</v>
      </c>
      <c r="J2025" s="10">
        <v>59.899999999999928</v>
      </c>
      <c r="K2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025">
        <v>0</v>
      </c>
      <c r="M20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5">
        <v>22.5</v>
      </c>
      <c r="O2025" s="23" t="s">
        <v>315</v>
      </c>
      <c r="P2025">
        <v>123.75</v>
      </c>
      <c r="Q2025" s="23" t="s">
        <v>179</v>
      </c>
    </row>
    <row r="2026" spans="1:17" x14ac:dyDescent="0.25">
      <c r="A2026" s="23" t="s">
        <v>1057</v>
      </c>
      <c r="B2026" s="23" t="s">
        <v>1056</v>
      </c>
      <c r="C2026" s="23" t="s">
        <v>176</v>
      </c>
      <c r="D2026" s="23" t="s">
        <v>364</v>
      </c>
      <c r="E2026" s="23" t="s">
        <v>365</v>
      </c>
      <c r="F2026">
        <v>7.5</v>
      </c>
      <c r="G2026" s="23" t="s">
        <v>180</v>
      </c>
      <c r="H2026">
        <v>0</v>
      </c>
      <c r="I2026">
        <v>200</v>
      </c>
      <c r="J2026" s="10">
        <v>59.899999999999928</v>
      </c>
      <c r="K2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026">
        <v>0</v>
      </c>
      <c r="M20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6">
        <v>22.5</v>
      </c>
      <c r="O2026" s="23" t="s">
        <v>315</v>
      </c>
      <c r="P2026">
        <v>168.75</v>
      </c>
      <c r="Q2026" s="23" t="s">
        <v>179</v>
      </c>
    </row>
    <row r="2027" spans="1:17" x14ac:dyDescent="0.25">
      <c r="A2027" s="23" t="s">
        <v>1143</v>
      </c>
      <c r="B2027" s="23" t="s">
        <v>1054</v>
      </c>
      <c r="C2027" s="23" t="s">
        <v>176</v>
      </c>
      <c r="D2027" s="23" t="s">
        <v>405</v>
      </c>
      <c r="E2027" s="23" t="s">
        <v>406</v>
      </c>
      <c r="F2027">
        <v>5</v>
      </c>
      <c r="G2027" s="23" t="s">
        <v>177</v>
      </c>
      <c r="H2027">
        <v>0</v>
      </c>
      <c r="I2027">
        <v>234</v>
      </c>
      <c r="J2027" s="10">
        <v>30</v>
      </c>
      <c r="K2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027">
        <v>0</v>
      </c>
      <c r="M20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27">
        <v>15.21</v>
      </c>
      <c r="O2027" s="23" t="s">
        <v>827</v>
      </c>
      <c r="P2027">
        <v>76.050000000000011</v>
      </c>
      <c r="Q2027" s="23" t="s">
        <v>222</v>
      </c>
    </row>
    <row r="2028" spans="1:17" x14ac:dyDescent="0.25">
      <c r="A2028" s="23" t="s">
        <v>1057</v>
      </c>
      <c r="B2028" s="23" t="s">
        <v>1056</v>
      </c>
      <c r="C2028" s="23" t="s">
        <v>176</v>
      </c>
      <c r="D2028" s="23" t="s">
        <v>515</v>
      </c>
      <c r="E2028" s="23" t="s">
        <v>516</v>
      </c>
      <c r="F2028">
        <v>0.6</v>
      </c>
      <c r="G2028" s="23" t="s">
        <v>177</v>
      </c>
      <c r="H2028">
        <v>0</v>
      </c>
      <c r="I2028">
        <v>0</v>
      </c>
      <c r="J2028" s="10">
        <v>-2.6645352591003757E-15</v>
      </c>
      <c r="K2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028">
        <v>0</v>
      </c>
      <c r="M20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028">
        <v>70</v>
      </c>
      <c r="O2028" s="23" t="s">
        <v>242</v>
      </c>
      <c r="P2028">
        <v>42</v>
      </c>
      <c r="Q2028" s="23" t="s">
        <v>181</v>
      </c>
    </row>
    <row r="2029" spans="1:17" x14ac:dyDescent="0.25">
      <c r="A2029" s="23" t="s">
        <v>1143</v>
      </c>
      <c r="B2029" s="23" t="s">
        <v>1054</v>
      </c>
      <c r="C2029" s="23" t="s">
        <v>176</v>
      </c>
      <c r="D2029" s="23" t="s">
        <v>515</v>
      </c>
      <c r="E2029" s="23" t="s">
        <v>516</v>
      </c>
      <c r="F2029">
        <v>0.75</v>
      </c>
      <c r="G2029" s="23" t="s">
        <v>177</v>
      </c>
      <c r="H2029">
        <v>0</v>
      </c>
      <c r="I2029">
        <v>0</v>
      </c>
      <c r="J2029" s="10">
        <v>-2.6645352591003757E-15</v>
      </c>
      <c r="K2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029">
        <v>0</v>
      </c>
      <c r="M20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029">
        <v>70</v>
      </c>
      <c r="O2029" s="23" t="s">
        <v>242</v>
      </c>
      <c r="P2029">
        <v>52.5</v>
      </c>
      <c r="Q2029" s="23" t="s">
        <v>181</v>
      </c>
    </row>
    <row r="2030" spans="1:17" x14ac:dyDescent="0.25">
      <c r="A2030" s="23" t="s">
        <v>1142</v>
      </c>
      <c r="B2030" s="23" t="s">
        <v>1054</v>
      </c>
      <c r="C2030" s="23" t="s">
        <v>176</v>
      </c>
      <c r="D2030" s="23" t="s">
        <v>208</v>
      </c>
      <c r="E2030" s="23" t="s">
        <v>283</v>
      </c>
      <c r="F2030">
        <v>2.5</v>
      </c>
      <c r="G2030" s="23" t="s">
        <v>177</v>
      </c>
      <c r="H2030">
        <v>0</v>
      </c>
      <c r="I2030">
        <v>62</v>
      </c>
      <c r="J2030" s="10">
        <v>0.26999999999997826</v>
      </c>
      <c r="K2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030">
        <v>0</v>
      </c>
      <c r="M20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0">
        <v>28</v>
      </c>
      <c r="O2030" s="23" t="s">
        <v>242</v>
      </c>
      <c r="P2030">
        <v>70</v>
      </c>
      <c r="Q2030" s="23" t="s">
        <v>181</v>
      </c>
    </row>
    <row r="2031" spans="1:17" x14ac:dyDescent="0.25">
      <c r="A2031" s="23" t="s">
        <v>1149</v>
      </c>
      <c r="B2031" s="23" t="s">
        <v>1145</v>
      </c>
      <c r="C2031" s="23" t="s">
        <v>176</v>
      </c>
      <c r="D2031" s="23" t="s">
        <v>156</v>
      </c>
      <c r="E2031" s="23" t="s">
        <v>157</v>
      </c>
      <c r="F2031">
        <v>0.01</v>
      </c>
      <c r="G2031" s="23" t="s">
        <v>180</v>
      </c>
      <c r="H2031">
        <v>0</v>
      </c>
      <c r="I2031">
        <v>200</v>
      </c>
      <c r="J2031" s="10">
        <v>75.000000000000014</v>
      </c>
      <c r="K2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-198.95</v>
      </c>
      <c r="L2031">
        <v>0</v>
      </c>
      <c r="M20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1">
        <v>7.4</v>
      </c>
      <c r="O2031" s="23" t="s">
        <v>636</v>
      </c>
      <c r="P2031">
        <v>7.400000000000001E-2</v>
      </c>
      <c r="Q2031" s="23" t="s">
        <v>222</v>
      </c>
    </row>
    <row r="2032" spans="1:17" x14ac:dyDescent="0.25">
      <c r="A2032" s="23" t="s">
        <v>1096</v>
      </c>
      <c r="B2032" s="23" t="s">
        <v>1053</v>
      </c>
      <c r="C2032" s="23" t="s">
        <v>176</v>
      </c>
      <c r="D2032" s="23" t="s">
        <v>851</v>
      </c>
      <c r="E2032" s="23" t="s">
        <v>852</v>
      </c>
      <c r="F2032">
        <v>1</v>
      </c>
      <c r="G2032" s="23" t="s">
        <v>177</v>
      </c>
      <c r="H2032">
        <v>0</v>
      </c>
      <c r="I2032">
        <v>10</v>
      </c>
      <c r="J2032" s="10">
        <v>3</v>
      </c>
      <c r="K2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032">
        <v>0</v>
      </c>
      <c r="M20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2">
        <v>45</v>
      </c>
      <c r="O2032" s="23" t="s">
        <v>242</v>
      </c>
      <c r="P2032">
        <v>45</v>
      </c>
      <c r="Q2032" s="23" t="s">
        <v>181</v>
      </c>
    </row>
    <row r="2033" spans="1:17" x14ac:dyDescent="0.25">
      <c r="A2033" s="23" t="s">
        <v>1142</v>
      </c>
      <c r="B2033" s="23" t="s">
        <v>1054</v>
      </c>
      <c r="C2033" s="23" t="s">
        <v>176</v>
      </c>
      <c r="D2033" s="23" t="s">
        <v>777</v>
      </c>
      <c r="E2033" s="23" t="s">
        <v>778</v>
      </c>
      <c r="F2033">
        <v>1</v>
      </c>
      <c r="G2033" s="23" t="s">
        <v>177</v>
      </c>
      <c r="H2033">
        <v>0</v>
      </c>
      <c r="I2033">
        <v>7</v>
      </c>
      <c r="J2033" s="10">
        <v>6</v>
      </c>
      <c r="K2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33">
        <v>0</v>
      </c>
      <c r="M20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2033">
        <v>2457.65</v>
      </c>
      <c r="O2033" s="23" t="s">
        <v>635</v>
      </c>
      <c r="P2033">
        <v>2457.65</v>
      </c>
      <c r="Q2033" s="23" t="s">
        <v>178</v>
      </c>
    </row>
    <row r="2034" spans="1:17" x14ac:dyDescent="0.25">
      <c r="A2034" s="23" t="s">
        <v>1142</v>
      </c>
      <c r="B2034" s="23" t="s">
        <v>1054</v>
      </c>
      <c r="C2034" s="23" t="s">
        <v>176</v>
      </c>
      <c r="D2034" s="23" t="s">
        <v>83</v>
      </c>
      <c r="E2034" s="23" t="s">
        <v>84</v>
      </c>
      <c r="F2034">
        <v>45</v>
      </c>
      <c r="G2034" s="23" t="s">
        <v>183</v>
      </c>
      <c r="H2034">
        <v>0</v>
      </c>
      <c r="I2034">
        <v>58.5</v>
      </c>
      <c r="J2034" s="10">
        <v>21.929999999999808</v>
      </c>
      <c r="K2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034">
        <v>54.25</v>
      </c>
      <c r="M20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034">
        <v>220.42</v>
      </c>
      <c r="O2034" s="23" t="s">
        <v>224</v>
      </c>
      <c r="P2034">
        <v>9918.9</v>
      </c>
      <c r="Q2034" s="23" t="s">
        <v>182</v>
      </c>
    </row>
    <row r="2035" spans="1:17" x14ac:dyDescent="0.25">
      <c r="A2035" s="23" t="s">
        <v>1142</v>
      </c>
      <c r="B2035" s="23" t="s">
        <v>1054</v>
      </c>
      <c r="C2035" s="23" t="s">
        <v>176</v>
      </c>
      <c r="D2035" s="23" t="s">
        <v>23</v>
      </c>
      <c r="E2035" s="23" t="s">
        <v>305</v>
      </c>
      <c r="F2035">
        <v>1</v>
      </c>
      <c r="G2035" s="23" t="s">
        <v>177</v>
      </c>
      <c r="H2035">
        <v>0</v>
      </c>
      <c r="I2035">
        <v>0</v>
      </c>
      <c r="J2035" s="10">
        <v>7</v>
      </c>
      <c r="K2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035">
        <v>0</v>
      </c>
      <c r="M20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035">
        <v>40</v>
      </c>
      <c r="O2035" s="23" t="s">
        <v>636</v>
      </c>
      <c r="P2035">
        <v>40</v>
      </c>
      <c r="Q2035" s="23" t="s">
        <v>222</v>
      </c>
    </row>
    <row r="2036" spans="1:17" x14ac:dyDescent="0.25">
      <c r="A2036" s="23" t="s">
        <v>1146</v>
      </c>
      <c r="B2036" s="23" t="s">
        <v>1145</v>
      </c>
      <c r="C2036" s="23" t="s">
        <v>176</v>
      </c>
      <c r="D2036" s="23" t="s">
        <v>727</v>
      </c>
      <c r="E2036" s="23" t="s">
        <v>728</v>
      </c>
      <c r="F2036">
        <v>1</v>
      </c>
      <c r="G2036" s="23" t="s">
        <v>177</v>
      </c>
      <c r="H2036">
        <v>0</v>
      </c>
      <c r="I2036">
        <v>5</v>
      </c>
      <c r="J2036" s="10">
        <v>5</v>
      </c>
      <c r="K2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36">
        <v>0</v>
      </c>
      <c r="M20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036">
        <v>10899.55</v>
      </c>
      <c r="O2036" s="23" t="s">
        <v>635</v>
      </c>
      <c r="P2036">
        <v>10899.55</v>
      </c>
      <c r="Q2036" s="23" t="s">
        <v>179</v>
      </c>
    </row>
    <row r="2037" spans="1:17" x14ac:dyDescent="0.25">
      <c r="A2037" s="23" t="s">
        <v>1144</v>
      </c>
      <c r="B2037" s="23" t="s">
        <v>1145</v>
      </c>
      <c r="C2037" s="23" t="s">
        <v>176</v>
      </c>
      <c r="D2037" s="23" t="s">
        <v>727</v>
      </c>
      <c r="E2037" s="23" t="s">
        <v>728</v>
      </c>
      <c r="F2037">
        <v>1</v>
      </c>
      <c r="G2037" s="23" t="s">
        <v>177</v>
      </c>
      <c r="H2037">
        <v>0</v>
      </c>
      <c r="I2037">
        <v>5</v>
      </c>
      <c r="J2037" s="10">
        <v>5</v>
      </c>
      <c r="K2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37">
        <v>0</v>
      </c>
      <c r="M20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037">
        <v>10899.55</v>
      </c>
      <c r="O2037" s="23" t="s">
        <v>635</v>
      </c>
      <c r="P2037">
        <v>10899.55</v>
      </c>
      <c r="Q2037" s="23" t="s">
        <v>179</v>
      </c>
    </row>
    <row r="2038" spans="1:17" x14ac:dyDescent="0.25">
      <c r="A2038" s="23" t="s">
        <v>1150</v>
      </c>
      <c r="B2038" s="23" t="s">
        <v>1145</v>
      </c>
      <c r="C2038" s="23" t="s">
        <v>176</v>
      </c>
      <c r="D2038" s="23" t="s">
        <v>79</v>
      </c>
      <c r="E2038" s="23" t="s">
        <v>80</v>
      </c>
      <c r="F2038">
        <v>3</v>
      </c>
      <c r="G2038" s="23" t="s">
        <v>177</v>
      </c>
      <c r="H2038">
        <v>0</v>
      </c>
      <c r="I2038">
        <v>81</v>
      </c>
      <c r="J2038" s="10">
        <v>5</v>
      </c>
      <c r="K2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38">
        <v>0</v>
      </c>
      <c r="M20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8">
        <v>188</v>
      </c>
      <c r="O2038" s="23" t="s">
        <v>242</v>
      </c>
      <c r="P2038">
        <v>564</v>
      </c>
      <c r="Q2038" s="23" t="s">
        <v>179</v>
      </c>
    </row>
    <row r="2039" spans="1:17" x14ac:dyDescent="0.25">
      <c r="A2039" s="23" t="s">
        <v>1094</v>
      </c>
      <c r="B2039" s="23" t="s">
        <v>1095</v>
      </c>
      <c r="C2039" s="23" t="s">
        <v>176</v>
      </c>
      <c r="D2039" s="23" t="s">
        <v>375</v>
      </c>
      <c r="E2039" s="23" t="s">
        <v>376</v>
      </c>
      <c r="F2039">
        <v>2</v>
      </c>
      <c r="G2039" s="23" t="s">
        <v>177</v>
      </c>
      <c r="H2039">
        <v>0</v>
      </c>
      <c r="I2039">
        <v>42</v>
      </c>
      <c r="J2039" s="10">
        <v>34</v>
      </c>
      <c r="K2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039">
        <v>0</v>
      </c>
      <c r="M20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39">
        <v>65</v>
      </c>
      <c r="O2039" s="23" t="s">
        <v>242</v>
      </c>
      <c r="P2039">
        <v>130</v>
      </c>
      <c r="Q2039" s="23" t="s">
        <v>181</v>
      </c>
    </row>
    <row r="2040" spans="1:17" x14ac:dyDescent="0.25">
      <c r="A2040" s="23" t="s">
        <v>1142</v>
      </c>
      <c r="B2040" s="23" t="s">
        <v>1054</v>
      </c>
      <c r="C2040" s="23" t="s">
        <v>176</v>
      </c>
      <c r="D2040" s="23" t="s">
        <v>727</v>
      </c>
      <c r="E2040" s="23" t="s">
        <v>728</v>
      </c>
      <c r="F2040">
        <v>1</v>
      </c>
      <c r="G2040" s="23" t="s">
        <v>177</v>
      </c>
      <c r="H2040">
        <v>0</v>
      </c>
      <c r="I2040">
        <v>5</v>
      </c>
      <c r="J2040" s="10">
        <v>5</v>
      </c>
      <c r="K2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40">
        <v>0</v>
      </c>
      <c r="M20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040">
        <v>10899.55</v>
      </c>
      <c r="O2040" s="23" t="s">
        <v>635</v>
      </c>
      <c r="P2040">
        <v>10899.55</v>
      </c>
      <c r="Q2040" s="23" t="s">
        <v>179</v>
      </c>
    </row>
    <row r="2041" spans="1:17" x14ac:dyDescent="0.25">
      <c r="A2041" s="23" t="s">
        <v>1057</v>
      </c>
      <c r="B2041" s="23" t="s">
        <v>1056</v>
      </c>
      <c r="C2041" s="23" t="s">
        <v>176</v>
      </c>
      <c r="D2041" s="23" t="s">
        <v>79</v>
      </c>
      <c r="E2041" s="23" t="s">
        <v>80</v>
      </c>
      <c r="F2041">
        <v>3</v>
      </c>
      <c r="G2041" s="23" t="s">
        <v>177</v>
      </c>
      <c r="H2041">
        <v>0</v>
      </c>
      <c r="I2041">
        <v>81</v>
      </c>
      <c r="J2041" s="10">
        <v>5</v>
      </c>
      <c r="K2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41">
        <v>0</v>
      </c>
      <c r="M20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1">
        <v>188</v>
      </c>
      <c r="O2041" s="23" t="s">
        <v>242</v>
      </c>
      <c r="P2041">
        <v>564</v>
      </c>
      <c r="Q2041" s="23" t="s">
        <v>179</v>
      </c>
    </row>
    <row r="2042" spans="1:17" x14ac:dyDescent="0.25">
      <c r="A2042" s="23" t="s">
        <v>1094</v>
      </c>
      <c r="B2042" s="23" t="s">
        <v>1095</v>
      </c>
      <c r="C2042" s="23" t="s">
        <v>176</v>
      </c>
      <c r="D2042" s="23" t="s">
        <v>79</v>
      </c>
      <c r="E2042" s="23" t="s">
        <v>80</v>
      </c>
      <c r="F2042">
        <v>3</v>
      </c>
      <c r="G2042" s="23" t="s">
        <v>177</v>
      </c>
      <c r="H2042">
        <v>0</v>
      </c>
      <c r="I2042">
        <v>81</v>
      </c>
      <c r="J2042" s="10">
        <v>5</v>
      </c>
      <c r="K2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42">
        <v>0</v>
      </c>
      <c r="M20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2">
        <v>188</v>
      </c>
      <c r="O2042" s="23" t="s">
        <v>242</v>
      </c>
      <c r="P2042">
        <v>564</v>
      </c>
      <c r="Q2042" s="23" t="s">
        <v>179</v>
      </c>
    </row>
    <row r="2043" spans="1:17" x14ac:dyDescent="0.25">
      <c r="A2043" s="23" t="s">
        <v>1057</v>
      </c>
      <c r="B2043" s="23" t="s">
        <v>1056</v>
      </c>
      <c r="C2043" s="23" t="s">
        <v>176</v>
      </c>
      <c r="D2043" s="23" t="s">
        <v>77</v>
      </c>
      <c r="E2043" s="23" t="s">
        <v>78</v>
      </c>
      <c r="F2043">
        <v>4</v>
      </c>
      <c r="G2043" s="23" t="s">
        <v>177</v>
      </c>
      <c r="H2043">
        <v>0</v>
      </c>
      <c r="I2043">
        <v>85</v>
      </c>
      <c r="J2043" s="10">
        <v>31</v>
      </c>
      <c r="K2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043">
        <v>0</v>
      </c>
      <c r="M20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3">
        <v>120</v>
      </c>
      <c r="O2043" s="23" t="s">
        <v>1153</v>
      </c>
      <c r="P2043">
        <v>480</v>
      </c>
      <c r="Q2043" s="23" t="s">
        <v>179</v>
      </c>
    </row>
    <row r="2044" spans="1:17" x14ac:dyDescent="0.25">
      <c r="A2044" s="23" t="s">
        <v>1143</v>
      </c>
      <c r="B2044" s="23" t="s">
        <v>1054</v>
      </c>
      <c r="C2044" s="23" t="s">
        <v>176</v>
      </c>
      <c r="D2044" s="23" t="s">
        <v>77</v>
      </c>
      <c r="E2044" s="23" t="s">
        <v>78</v>
      </c>
      <c r="F2044">
        <v>3</v>
      </c>
      <c r="G2044" s="23" t="s">
        <v>177</v>
      </c>
      <c r="H2044">
        <v>0</v>
      </c>
      <c r="I2044">
        <v>85</v>
      </c>
      <c r="J2044" s="10">
        <v>31</v>
      </c>
      <c r="K2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044">
        <v>0</v>
      </c>
      <c r="M20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4">
        <v>120</v>
      </c>
      <c r="O2044" s="23" t="s">
        <v>1153</v>
      </c>
      <c r="P2044">
        <v>360</v>
      </c>
      <c r="Q2044" s="23" t="s">
        <v>179</v>
      </c>
    </row>
    <row r="2045" spans="1:17" x14ac:dyDescent="0.25">
      <c r="A2045" s="23" t="s">
        <v>1143</v>
      </c>
      <c r="B2045" s="23" t="s">
        <v>1054</v>
      </c>
      <c r="C2045" s="23" t="s">
        <v>176</v>
      </c>
      <c r="D2045" s="23" t="s">
        <v>79</v>
      </c>
      <c r="E2045" s="23" t="s">
        <v>80</v>
      </c>
      <c r="F2045">
        <v>3</v>
      </c>
      <c r="G2045" s="23" t="s">
        <v>177</v>
      </c>
      <c r="H2045">
        <v>0</v>
      </c>
      <c r="I2045">
        <v>81</v>
      </c>
      <c r="J2045" s="10">
        <v>5</v>
      </c>
      <c r="K2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45">
        <v>0</v>
      </c>
      <c r="M20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5">
        <v>188</v>
      </c>
      <c r="O2045" s="23" t="s">
        <v>242</v>
      </c>
      <c r="P2045">
        <v>564</v>
      </c>
      <c r="Q2045" s="23" t="s">
        <v>179</v>
      </c>
    </row>
    <row r="2046" spans="1:17" x14ac:dyDescent="0.25">
      <c r="A2046" s="23" t="s">
        <v>1057</v>
      </c>
      <c r="B2046" s="23" t="s">
        <v>1056</v>
      </c>
      <c r="C2046" s="23" t="s">
        <v>176</v>
      </c>
      <c r="D2046" s="23" t="s">
        <v>1023</v>
      </c>
      <c r="E2046" s="23" t="s">
        <v>1024</v>
      </c>
      <c r="F2046">
        <v>8</v>
      </c>
      <c r="G2046" s="23" t="s">
        <v>177</v>
      </c>
      <c r="H2046">
        <v>0</v>
      </c>
      <c r="I2046">
        <v>0</v>
      </c>
      <c r="J2046" s="10">
        <v>0</v>
      </c>
      <c r="K2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046">
        <v>0</v>
      </c>
      <c r="M20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5.6</v>
      </c>
      <c r="N2046">
        <v>0.35</v>
      </c>
      <c r="O2046" s="23" t="s">
        <v>217</v>
      </c>
      <c r="P2046">
        <v>2.8</v>
      </c>
      <c r="Q2046" s="23" t="s">
        <v>181</v>
      </c>
    </row>
    <row r="2047" spans="1:17" x14ac:dyDescent="0.25">
      <c r="A2047" s="23" t="s">
        <v>1143</v>
      </c>
      <c r="B2047" s="23" t="s">
        <v>1054</v>
      </c>
      <c r="C2047" s="23" t="s">
        <v>176</v>
      </c>
      <c r="D2047" s="23" t="s">
        <v>23</v>
      </c>
      <c r="E2047" s="23" t="s">
        <v>305</v>
      </c>
      <c r="F2047">
        <v>1</v>
      </c>
      <c r="G2047" s="23" t="s">
        <v>177</v>
      </c>
      <c r="H2047">
        <v>0</v>
      </c>
      <c r="I2047">
        <v>0</v>
      </c>
      <c r="J2047" s="10">
        <v>7</v>
      </c>
      <c r="K2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047">
        <v>0</v>
      </c>
      <c r="M20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047">
        <v>40</v>
      </c>
      <c r="O2047" s="23" t="s">
        <v>636</v>
      </c>
      <c r="P2047">
        <v>40</v>
      </c>
      <c r="Q2047" s="23" t="s">
        <v>222</v>
      </c>
    </row>
    <row r="2048" spans="1:17" x14ac:dyDescent="0.25">
      <c r="A2048" s="23" t="s">
        <v>1150</v>
      </c>
      <c r="B2048" s="23" t="s">
        <v>1145</v>
      </c>
      <c r="C2048" s="23" t="s">
        <v>176</v>
      </c>
      <c r="D2048" s="23" t="s">
        <v>727</v>
      </c>
      <c r="E2048" s="23" t="s">
        <v>728</v>
      </c>
      <c r="F2048">
        <v>1</v>
      </c>
      <c r="G2048" s="23" t="s">
        <v>177</v>
      </c>
      <c r="H2048">
        <v>0</v>
      </c>
      <c r="I2048">
        <v>5</v>
      </c>
      <c r="J2048" s="10">
        <v>5</v>
      </c>
      <c r="K2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48">
        <v>0</v>
      </c>
      <c r="M20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048">
        <v>10899.55</v>
      </c>
      <c r="O2048" s="23" t="s">
        <v>635</v>
      </c>
      <c r="P2048">
        <v>10899.55</v>
      </c>
      <c r="Q2048" s="23" t="s">
        <v>179</v>
      </c>
    </row>
    <row r="2049" spans="1:17" x14ac:dyDescent="0.25">
      <c r="A2049" s="23" t="s">
        <v>1149</v>
      </c>
      <c r="B2049" s="23" t="s">
        <v>1145</v>
      </c>
      <c r="C2049" s="23" t="s">
        <v>176</v>
      </c>
      <c r="D2049" s="23" t="s">
        <v>77</v>
      </c>
      <c r="E2049" s="23" t="s">
        <v>78</v>
      </c>
      <c r="F2049">
        <v>4</v>
      </c>
      <c r="G2049" s="23" t="s">
        <v>177</v>
      </c>
      <c r="H2049">
        <v>0</v>
      </c>
      <c r="I2049">
        <v>85</v>
      </c>
      <c r="J2049" s="10">
        <v>31</v>
      </c>
      <c r="K2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049">
        <v>0</v>
      </c>
      <c r="M20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49">
        <v>120</v>
      </c>
      <c r="O2049" s="23" t="s">
        <v>1153</v>
      </c>
      <c r="P2049">
        <v>480</v>
      </c>
      <c r="Q2049" s="23" t="s">
        <v>179</v>
      </c>
    </row>
    <row r="2050" spans="1:17" x14ac:dyDescent="0.25">
      <c r="A2050" s="23" t="s">
        <v>1146</v>
      </c>
      <c r="B2050" s="23" t="s">
        <v>1145</v>
      </c>
      <c r="C2050" s="23" t="s">
        <v>176</v>
      </c>
      <c r="D2050" s="23" t="s">
        <v>79</v>
      </c>
      <c r="E2050" s="23" t="s">
        <v>80</v>
      </c>
      <c r="F2050">
        <v>3</v>
      </c>
      <c r="G2050" s="23" t="s">
        <v>177</v>
      </c>
      <c r="H2050">
        <v>0</v>
      </c>
      <c r="I2050">
        <v>81</v>
      </c>
      <c r="J2050" s="10">
        <v>5</v>
      </c>
      <c r="K2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50">
        <v>0</v>
      </c>
      <c r="M20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0">
        <v>188</v>
      </c>
      <c r="O2050" s="23" t="s">
        <v>242</v>
      </c>
      <c r="P2050">
        <v>564</v>
      </c>
      <c r="Q2050" s="23" t="s">
        <v>179</v>
      </c>
    </row>
    <row r="2051" spans="1:17" x14ac:dyDescent="0.25">
      <c r="A2051" s="23" t="s">
        <v>1142</v>
      </c>
      <c r="B2051" s="23" t="s">
        <v>1054</v>
      </c>
      <c r="C2051" s="23" t="s">
        <v>176</v>
      </c>
      <c r="D2051" s="23" t="s">
        <v>375</v>
      </c>
      <c r="E2051" s="23" t="s">
        <v>376</v>
      </c>
      <c r="F2051">
        <v>2</v>
      </c>
      <c r="G2051" s="23" t="s">
        <v>177</v>
      </c>
      <c r="H2051">
        <v>0</v>
      </c>
      <c r="I2051">
        <v>42</v>
      </c>
      <c r="J2051" s="10">
        <v>34</v>
      </c>
      <c r="K2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051">
        <v>0</v>
      </c>
      <c r="M20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1">
        <v>65</v>
      </c>
      <c r="O2051" s="23" t="s">
        <v>242</v>
      </c>
      <c r="P2051">
        <v>130</v>
      </c>
      <c r="Q2051" s="23" t="s">
        <v>181</v>
      </c>
    </row>
    <row r="2052" spans="1:17" x14ac:dyDescent="0.25">
      <c r="A2052" s="23" t="s">
        <v>1096</v>
      </c>
      <c r="B2052" s="23" t="s">
        <v>1053</v>
      </c>
      <c r="C2052" s="23" t="s">
        <v>176</v>
      </c>
      <c r="D2052" s="23" t="s">
        <v>375</v>
      </c>
      <c r="E2052" s="23" t="s">
        <v>376</v>
      </c>
      <c r="F2052">
        <v>2</v>
      </c>
      <c r="G2052" s="23" t="s">
        <v>177</v>
      </c>
      <c r="H2052">
        <v>0</v>
      </c>
      <c r="I2052">
        <v>42</v>
      </c>
      <c r="J2052" s="10">
        <v>34</v>
      </c>
      <c r="K2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052">
        <v>0</v>
      </c>
      <c r="M20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2">
        <v>65</v>
      </c>
      <c r="O2052" s="23" t="s">
        <v>242</v>
      </c>
      <c r="P2052">
        <v>130</v>
      </c>
      <c r="Q2052" s="23" t="s">
        <v>181</v>
      </c>
    </row>
    <row r="2053" spans="1:17" x14ac:dyDescent="0.25">
      <c r="A2053" s="23" t="s">
        <v>1143</v>
      </c>
      <c r="B2053" s="23" t="s">
        <v>1054</v>
      </c>
      <c r="C2053" s="23" t="s">
        <v>176</v>
      </c>
      <c r="D2053" s="23" t="s">
        <v>727</v>
      </c>
      <c r="E2053" s="23" t="s">
        <v>728</v>
      </c>
      <c r="F2053">
        <v>1</v>
      </c>
      <c r="G2053" s="23" t="s">
        <v>177</v>
      </c>
      <c r="H2053">
        <v>0</v>
      </c>
      <c r="I2053">
        <v>5</v>
      </c>
      <c r="J2053" s="10">
        <v>5</v>
      </c>
      <c r="K2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53">
        <v>0</v>
      </c>
      <c r="M20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2053">
        <v>10899.55</v>
      </c>
      <c r="O2053" s="23" t="s">
        <v>635</v>
      </c>
      <c r="P2053">
        <v>10899.55</v>
      </c>
      <c r="Q2053" s="23" t="s">
        <v>179</v>
      </c>
    </row>
    <row r="2054" spans="1:17" x14ac:dyDescent="0.25">
      <c r="A2054" s="23" t="s">
        <v>1096</v>
      </c>
      <c r="B2054" s="23" t="s">
        <v>1053</v>
      </c>
      <c r="C2054" s="23" t="s">
        <v>176</v>
      </c>
      <c r="D2054" s="23" t="s">
        <v>77</v>
      </c>
      <c r="E2054" s="23" t="s">
        <v>78</v>
      </c>
      <c r="F2054">
        <v>3</v>
      </c>
      <c r="G2054" s="23" t="s">
        <v>177</v>
      </c>
      <c r="H2054">
        <v>0</v>
      </c>
      <c r="I2054">
        <v>85</v>
      </c>
      <c r="J2054" s="10">
        <v>31</v>
      </c>
      <c r="K2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054">
        <v>0</v>
      </c>
      <c r="M20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4">
        <v>120</v>
      </c>
      <c r="O2054" s="23" t="s">
        <v>1153</v>
      </c>
      <c r="P2054">
        <v>360</v>
      </c>
      <c r="Q2054" s="23" t="s">
        <v>179</v>
      </c>
    </row>
    <row r="2055" spans="1:17" x14ac:dyDescent="0.25">
      <c r="A2055" s="23" t="s">
        <v>1142</v>
      </c>
      <c r="B2055" s="23" t="s">
        <v>1054</v>
      </c>
      <c r="C2055" s="23" t="s">
        <v>176</v>
      </c>
      <c r="D2055" s="23" t="s">
        <v>79</v>
      </c>
      <c r="E2055" s="23" t="s">
        <v>80</v>
      </c>
      <c r="F2055">
        <v>3</v>
      </c>
      <c r="G2055" s="23" t="s">
        <v>177</v>
      </c>
      <c r="H2055">
        <v>0</v>
      </c>
      <c r="I2055">
        <v>81</v>
      </c>
      <c r="J2055" s="10">
        <v>5</v>
      </c>
      <c r="K2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55">
        <v>0</v>
      </c>
      <c r="M20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5">
        <v>188</v>
      </c>
      <c r="O2055" s="23" t="s">
        <v>242</v>
      </c>
      <c r="P2055">
        <v>564</v>
      </c>
      <c r="Q2055" s="23" t="s">
        <v>179</v>
      </c>
    </row>
    <row r="2056" spans="1:17" x14ac:dyDescent="0.25">
      <c r="A2056" s="23" t="s">
        <v>1096</v>
      </c>
      <c r="B2056" s="23" t="s">
        <v>1053</v>
      </c>
      <c r="C2056" s="23" t="s">
        <v>176</v>
      </c>
      <c r="D2056" s="23" t="s">
        <v>79</v>
      </c>
      <c r="E2056" s="23" t="s">
        <v>80</v>
      </c>
      <c r="F2056">
        <v>3</v>
      </c>
      <c r="G2056" s="23" t="s">
        <v>177</v>
      </c>
      <c r="H2056">
        <v>0</v>
      </c>
      <c r="I2056">
        <v>81</v>
      </c>
      <c r="J2056" s="10">
        <v>5</v>
      </c>
      <c r="K2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056">
        <v>0</v>
      </c>
      <c r="M20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6">
        <v>188</v>
      </c>
      <c r="O2056" s="23" t="s">
        <v>242</v>
      </c>
      <c r="P2056">
        <v>564</v>
      </c>
      <c r="Q2056" s="23" t="s">
        <v>179</v>
      </c>
    </row>
    <row r="2057" spans="1:17" x14ac:dyDescent="0.25">
      <c r="A2057" s="23" t="s">
        <v>1057</v>
      </c>
      <c r="B2057" s="23" t="s">
        <v>1056</v>
      </c>
      <c r="C2057" s="23" t="s">
        <v>176</v>
      </c>
      <c r="D2057" s="23" t="s">
        <v>23</v>
      </c>
      <c r="E2057" s="23" t="s">
        <v>305</v>
      </c>
      <c r="F2057">
        <v>1</v>
      </c>
      <c r="G2057" s="23" t="s">
        <v>177</v>
      </c>
      <c r="H2057">
        <v>0</v>
      </c>
      <c r="I2057">
        <v>0</v>
      </c>
      <c r="J2057" s="10">
        <v>7</v>
      </c>
      <c r="K2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057">
        <v>0</v>
      </c>
      <c r="M20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057">
        <v>40</v>
      </c>
      <c r="O2057" s="23" t="s">
        <v>636</v>
      </c>
      <c r="P2057">
        <v>40</v>
      </c>
      <c r="Q2057" s="23" t="s">
        <v>222</v>
      </c>
    </row>
    <row r="2058" spans="1:17" x14ac:dyDescent="0.25">
      <c r="A2058" s="23" t="s">
        <v>1096</v>
      </c>
      <c r="B2058" s="23" t="s">
        <v>1053</v>
      </c>
      <c r="C2058" s="23" t="s">
        <v>176</v>
      </c>
      <c r="D2058" s="23" t="s">
        <v>979</v>
      </c>
      <c r="E2058" s="23" t="s">
        <v>980</v>
      </c>
      <c r="F2058">
        <v>0.16</v>
      </c>
      <c r="G2058" s="23" t="s">
        <v>177</v>
      </c>
      <c r="H2058">
        <v>0</v>
      </c>
      <c r="I2058">
        <v>80</v>
      </c>
      <c r="J2058" s="10">
        <v>56.839999999999975</v>
      </c>
      <c r="K2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-79.680000000000007</v>
      </c>
      <c r="L2058">
        <v>0</v>
      </c>
      <c r="M20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58">
        <v>9.5</v>
      </c>
      <c r="O2058" s="23" t="s">
        <v>221</v>
      </c>
      <c r="P2058">
        <v>1.52</v>
      </c>
      <c r="Q2058" s="23" t="s">
        <v>181</v>
      </c>
    </row>
    <row r="2059" spans="1:17" x14ac:dyDescent="0.25">
      <c r="A2059" s="23" t="s">
        <v>1146</v>
      </c>
      <c r="B2059" s="23" t="s">
        <v>1145</v>
      </c>
      <c r="C2059" s="23" t="s">
        <v>176</v>
      </c>
      <c r="D2059" s="23" t="s">
        <v>83</v>
      </c>
      <c r="E2059" s="23" t="s">
        <v>84</v>
      </c>
      <c r="F2059">
        <v>60</v>
      </c>
      <c r="G2059" s="23" t="s">
        <v>183</v>
      </c>
      <c r="H2059">
        <v>0</v>
      </c>
      <c r="I2059">
        <v>58.5</v>
      </c>
      <c r="J2059" s="10">
        <v>21.929999999999808</v>
      </c>
      <c r="K2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059">
        <v>54.25</v>
      </c>
      <c r="M20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059">
        <v>220.42</v>
      </c>
      <c r="O2059" s="23" t="s">
        <v>224</v>
      </c>
      <c r="P2059">
        <v>13225.199999999999</v>
      </c>
      <c r="Q2059" s="23" t="s">
        <v>182</v>
      </c>
    </row>
    <row r="2060" spans="1:17" x14ac:dyDescent="0.25">
      <c r="A2060" s="23" t="s">
        <v>1144</v>
      </c>
      <c r="B2060" s="23" t="s">
        <v>1145</v>
      </c>
      <c r="C2060" s="23" t="s">
        <v>176</v>
      </c>
      <c r="D2060" s="23" t="s">
        <v>83</v>
      </c>
      <c r="E2060" s="23" t="s">
        <v>84</v>
      </c>
      <c r="F2060">
        <v>60</v>
      </c>
      <c r="G2060" s="23" t="s">
        <v>183</v>
      </c>
      <c r="H2060">
        <v>0</v>
      </c>
      <c r="I2060">
        <v>58.5</v>
      </c>
      <c r="J2060" s="10">
        <v>21.929999999999808</v>
      </c>
      <c r="K2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060">
        <v>54.25</v>
      </c>
      <c r="M20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060">
        <v>220.42</v>
      </c>
      <c r="O2060" s="23" t="s">
        <v>224</v>
      </c>
      <c r="P2060">
        <v>13225.199999999999</v>
      </c>
      <c r="Q2060" s="23" t="s">
        <v>182</v>
      </c>
    </row>
    <row r="2061" spans="1:17" x14ac:dyDescent="0.25">
      <c r="A2061" s="23" t="s">
        <v>1094</v>
      </c>
      <c r="B2061" s="23" t="s">
        <v>1095</v>
      </c>
      <c r="C2061" s="23" t="s">
        <v>176</v>
      </c>
      <c r="D2061" s="23" t="s">
        <v>68</v>
      </c>
      <c r="E2061" s="23" t="s">
        <v>586</v>
      </c>
      <c r="F2061">
        <v>0.05</v>
      </c>
      <c r="G2061" s="23" t="s">
        <v>177</v>
      </c>
      <c r="H2061">
        <v>0</v>
      </c>
      <c r="I2061">
        <v>13.5</v>
      </c>
      <c r="J2061" s="10">
        <v>8.5</v>
      </c>
      <c r="K2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-5.35</v>
      </c>
      <c r="L2061">
        <v>0</v>
      </c>
      <c r="M20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1">
        <v>1600</v>
      </c>
      <c r="O2061" s="23" t="s">
        <v>1051</v>
      </c>
      <c r="P2061">
        <v>80</v>
      </c>
      <c r="Q2061" s="23" t="s">
        <v>178</v>
      </c>
    </row>
    <row r="2062" spans="1:17" x14ac:dyDescent="0.25">
      <c r="A2062" s="23" t="s">
        <v>1142</v>
      </c>
      <c r="B2062" s="23" t="s">
        <v>1054</v>
      </c>
      <c r="C2062" s="23" t="s">
        <v>176</v>
      </c>
      <c r="D2062" s="23" t="s">
        <v>287</v>
      </c>
      <c r="E2062" s="23" t="s">
        <v>288</v>
      </c>
      <c r="F2062">
        <v>0.35</v>
      </c>
      <c r="G2062" s="23" t="s">
        <v>186</v>
      </c>
      <c r="H2062">
        <v>0</v>
      </c>
      <c r="I2062">
        <v>10</v>
      </c>
      <c r="J2062" s="10">
        <v>14.129999999999992</v>
      </c>
      <c r="K2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2062">
        <v>10</v>
      </c>
      <c r="M20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2">
        <v>393.83</v>
      </c>
      <c r="O2062" s="23" t="s">
        <v>491</v>
      </c>
      <c r="P2062">
        <v>137.84049999999999</v>
      </c>
      <c r="Q2062" s="23" t="s">
        <v>184</v>
      </c>
    </row>
    <row r="2063" spans="1:17" x14ac:dyDescent="0.25">
      <c r="A2063" s="23" t="s">
        <v>1057</v>
      </c>
      <c r="B2063" s="23" t="s">
        <v>1056</v>
      </c>
      <c r="C2063" s="23" t="s">
        <v>176</v>
      </c>
      <c r="D2063" s="23" t="s">
        <v>69</v>
      </c>
      <c r="E2063" s="23" t="s">
        <v>70</v>
      </c>
      <c r="F2063">
        <v>6.54</v>
      </c>
      <c r="G2063" s="23" t="s">
        <v>186</v>
      </c>
      <c r="H2063">
        <v>0</v>
      </c>
      <c r="I2063">
        <v>181</v>
      </c>
      <c r="J2063" s="10">
        <v>-3.1263880373444408E-13</v>
      </c>
      <c r="K2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2063">
        <v>46.1</v>
      </c>
      <c r="M20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3">
        <v>96.37</v>
      </c>
      <c r="O2063" s="23" t="s">
        <v>491</v>
      </c>
      <c r="P2063">
        <v>630.25980000000004</v>
      </c>
      <c r="Q2063" s="23" t="s">
        <v>184</v>
      </c>
    </row>
    <row r="2064" spans="1:17" x14ac:dyDescent="0.25">
      <c r="A2064" s="23" t="s">
        <v>1094</v>
      </c>
      <c r="B2064" s="23" t="s">
        <v>1095</v>
      </c>
      <c r="C2064" s="23" t="s">
        <v>176</v>
      </c>
      <c r="D2064" s="23" t="s">
        <v>69</v>
      </c>
      <c r="E2064" s="23" t="s">
        <v>70</v>
      </c>
      <c r="F2064">
        <v>9.7099999999999991</v>
      </c>
      <c r="G2064" s="23" t="s">
        <v>186</v>
      </c>
      <c r="H2064">
        <v>0</v>
      </c>
      <c r="I2064">
        <v>181</v>
      </c>
      <c r="J2064" s="10">
        <v>-3.1263880373444408E-13</v>
      </c>
      <c r="K2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2064">
        <v>46.1</v>
      </c>
      <c r="M20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4">
        <v>96.37</v>
      </c>
      <c r="O2064" s="23" t="s">
        <v>491</v>
      </c>
      <c r="P2064">
        <v>935.7527</v>
      </c>
      <c r="Q2064" s="23" t="s">
        <v>184</v>
      </c>
    </row>
    <row r="2065" spans="1:17" x14ac:dyDescent="0.25">
      <c r="A2065" s="23" t="s">
        <v>1094</v>
      </c>
      <c r="B2065" s="23" t="s">
        <v>1095</v>
      </c>
      <c r="C2065" s="23" t="s">
        <v>176</v>
      </c>
      <c r="D2065" s="23" t="s">
        <v>73</v>
      </c>
      <c r="E2065" s="23" t="s">
        <v>74</v>
      </c>
      <c r="F2065">
        <v>1</v>
      </c>
      <c r="G2065" s="23" t="s">
        <v>177</v>
      </c>
      <c r="H2065">
        <v>0</v>
      </c>
      <c r="I2065">
        <v>3</v>
      </c>
      <c r="J2065" s="10">
        <v>7</v>
      </c>
      <c r="K2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065">
        <v>0</v>
      </c>
      <c r="M20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2065">
        <v>8822.93</v>
      </c>
      <c r="O2065" s="23" t="s">
        <v>635</v>
      </c>
      <c r="P2065">
        <v>8822.93</v>
      </c>
      <c r="Q2065" s="23" t="s">
        <v>179</v>
      </c>
    </row>
    <row r="2066" spans="1:17" x14ac:dyDescent="0.25">
      <c r="A2066" s="23" t="s">
        <v>1094</v>
      </c>
      <c r="B2066" s="23" t="s">
        <v>1095</v>
      </c>
      <c r="C2066" s="23" t="s">
        <v>176</v>
      </c>
      <c r="D2066" s="23" t="s">
        <v>469</v>
      </c>
      <c r="E2066" s="23" t="s">
        <v>580</v>
      </c>
      <c r="F2066">
        <v>2</v>
      </c>
      <c r="G2066" s="23" t="s">
        <v>186</v>
      </c>
      <c r="H2066">
        <v>0</v>
      </c>
      <c r="I2066">
        <v>30</v>
      </c>
      <c r="J2066" s="10">
        <v>21.5</v>
      </c>
      <c r="K2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2066">
        <v>0</v>
      </c>
      <c r="M20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708.84</v>
      </c>
      <c r="N2066">
        <v>118.14</v>
      </c>
      <c r="O2066" s="23" t="s">
        <v>394</v>
      </c>
      <c r="P2066">
        <v>236.28</v>
      </c>
      <c r="Q2066" s="23" t="s">
        <v>184</v>
      </c>
    </row>
    <row r="2067" spans="1:17" x14ac:dyDescent="0.25">
      <c r="A2067" s="23" t="s">
        <v>1057</v>
      </c>
      <c r="B2067" s="23" t="s">
        <v>1056</v>
      </c>
      <c r="C2067" s="23" t="s">
        <v>176</v>
      </c>
      <c r="D2067" s="23" t="s">
        <v>75</v>
      </c>
      <c r="E2067" s="23" t="s">
        <v>76</v>
      </c>
      <c r="F2067">
        <v>3</v>
      </c>
      <c r="G2067" s="23" t="s">
        <v>177</v>
      </c>
      <c r="H2067">
        <v>0</v>
      </c>
      <c r="I2067">
        <v>24</v>
      </c>
      <c r="J2067" s="10">
        <v>30</v>
      </c>
      <c r="K2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067">
        <v>50</v>
      </c>
      <c r="M20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7">
        <v>37</v>
      </c>
      <c r="O2067" s="23" t="s">
        <v>822</v>
      </c>
      <c r="P2067">
        <v>111</v>
      </c>
      <c r="Q2067" s="23" t="s">
        <v>179</v>
      </c>
    </row>
    <row r="2068" spans="1:17" x14ac:dyDescent="0.25">
      <c r="A2068" s="23" t="s">
        <v>1094</v>
      </c>
      <c r="B2068" s="23" t="s">
        <v>1095</v>
      </c>
      <c r="C2068" s="23" t="s">
        <v>176</v>
      </c>
      <c r="D2068" s="23" t="s">
        <v>75</v>
      </c>
      <c r="E2068" s="23" t="s">
        <v>76</v>
      </c>
      <c r="F2068">
        <v>2</v>
      </c>
      <c r="G2068" s="23" t="s">
        <v>177</v>
      </c>
      <c r="H2068">
        <v>0</v>
      </c>
      <c r="I2068">
        <v>24</v>
      </c>
      <c r="J2068" s="10">
        <v>30</v>
      </c>
      <c r="K2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2068">
        <v>50</v>
      </c>
      <c r="M20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68">
        <v>37</v>
      </c>
      <c r="O2068" s="23" t="s">
        <v>822</v>
      </c>
      <c r="P2068">
        <v>74</v>
      </c>
      <c r="Q2068" s="23" t="s">
        <v>179</v>
      </c>
    </row>
    <row r="2069" spans="1:17" x14ac:dyDescent="0.25">
      <c r="A2069" s="23" t="s">
        <v>1096</v>
      </c>
      <c r="B2069" s="23" t="s">
        <v>1053</v>
      </c>
      <c r="C2069" s="23" t="s">
        <v>176</v>
      </c>
      <c r="D2069" s="23" t="s">
        <v>81</v>
      </c>
      <c r="E2069" s="23" t="s">
        <v>82</v>
      </c>
      <c r="F2069">
        <v>9.5</v>
      </c>
      <c r="G2069" s="23" t="s">
        <v>177</v>
      </c>
      <c r="H2069">
        <v>9.5</v>
      </c>
      <c r="I2069">
        <v>0</v>
      </c>
      <c r="J2069" s="10">
        <v>0.49999999999995737</v>
      </c>
      <c r="K2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069">
        <v>10</v>
      </c>
      <c r="M20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069">
        <v>666.67</v>
      </c>
      <c r="O2069" s="23" t="s">
        <v>224</v>
      </c>
      <c r="P2069">
        <v>6333.3649999999998</v>
      </c>
      <c r="Q2069" s="23" t="s">
        <v>182</v>
      </c>
    </row>
    <row r="2070" spans="1:17" x14ac:dyDescent="0.25">
      <c r="A2070" s="23" t="s">
        <v>1094</v>
      </c>
      <c r="B2070" s="23" t="s">
        <v>1095</v>
      </c>
      <c r="C2070" s="23" t="s">
        <v>176</v>
      </c>
      <c r="D2070" s="23" t="s">
        <v>414</v>
      </c>
      <c r="E2070" s="23" t="s">
        <v>665</v>
      </c>
      <c r="F2070">
        <v>0.2</v>
      </c>
      <c r="G2070" s="23" t="s">
        <v>180</v>
      </c>
      <c r="H2070">
        <v>0</v>
      </c>
      <c r="I2070">
        <v>0</v>
      </c>
      <c r="J2070" s="10">
        <v>93.8</v>
      </c>
      <c r="K2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070">
        <v>0</v>
      </c>
      <c r="M20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070">
        <v>6.77</v>
      </c>
      <c r="O2070" s="23" t="s">
        <v>636</v>
      </c>
      <c r="P2070">
        <v>1.3540000000000001</v>
      </c>
      <c r="Q2070" s="23" t="s">
        <v>222</v>
      </c>
    </row>
    <row r="2071" spans="1:17" x14ac:dyDescent="0.25">
      <c r="A2071" s="23" t="s">
        <v>1094</v>
      </c>
      <c r="B2071" s="23" t="s">
        <v>1095</v>
      </c>
      <c r="C2071" s="23" t="s">
        <v>176</v>
      </c>
      <c r="D2071" s="23" t="s">
        <v>239</v>
      </c>
      <c r="E2071" s="23" t="s">
        <v>307</v>
      </c>
      <c r="F2071">
        <v>2</v>
      </c>
      <c r="G2071" s="23" t="s">
        <v>177</v>
      </c>
      <c r="H2071">
        <v>0</v>
      </c>
      <c r="I2071">
        <v>40</v>
      </c>
      <c r="J2071" s="10">
        <v>18</v>
      </c>
      <c r="K2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071">
        <v>0</v>
      </c>
      <c r="M20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1">
        <v>45.3</v>
      </c>
      <c r="O2071" s="23" t="s">
        <v>827</v>
      </c>
      <c r="P2071">
        <v>90.6</v>
      </c>
      <c r="Q2071" s="23" t="s">
        <v>222</v>
      </c>
    </row>
    <row r="2072" spans="1:17" x14ac:dyDescent="0.25">
      <c r="A2072" s="23" t="s">
        <v>1149</v>
      </c>
      <c r="B2072" s="23" t="s">
        <v>1145</v>
      </c>
      <c r="C2072" s="23" t="s">
        <v>176</v>
      </c>
      <c r="D2072" s="23" t="s">
        <v>81</v>
      </c>
      <c r="E2072" s="23" t="s">
        <v>82</v>
      </c>
      <c r="F2072">
        <v>6</v>
      </c>
      <c r="G2072" s="23" t="s">
        <v>177</v>
      </c>
      <c r="H2072">
        <v>0</v>
      </c>
      <c r="I2072">
        <v>0</v>
      </c>
      <c r="J2072" s="10">
        <v>0.49999999999995737</v>
      </c>
      <c r="K2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072">
        <v>10</v>
      </c>
      <c r="M20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072">
        <v>666.67</v>
      </c>
      <c r="O2072" s="23" t="s">
        <v>224</v>
      </c>
      <c r="P2072">
        <v>4000.0199999999995</v>
      </c>
      <c r="Q2072" s="23" t="s">
        <v>182</v>
      </c>
    </row>
    <row r="2073" spans="1:17" x14ac:dyDescent="0.25">
      <c r="A2073" s="23" t="s">
        <v>1144</v>
      </c>
      <c r="B2073" s="23" t="s">
        <v>1145</v>
      </c>
      <c r="C2073" s="23" t="s">
        <v>176</v>
      </c>
      <c r="D2073" s="23" t="s">
        <v>414</v>
      </c>
      <c r="E2073" s="23" t="s">
        <v>665</v>
      </c>
      <c r="F2073">
        <v>0.30000000000000004</v>
      </c>
      <c r="G2073" s="23" t="s">
        <v>180</v>
      </c>
      <c r="H2073">
        <v>0</v>
      </c>
      <c r="I2073">
        <v>0</v>
      </c>
      <c r="J2073" s="10">
        <v>93.8</v>
      </c>
      <c r="K2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073">
        <v>0</v>
      </c>
      <c r="M20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073">
        <v>6.77</v>
      </c>
      <c r="O2073" s="23" t="s">
        <v>636</v>
      </c>
      <c r="P2073">
        <v>2.0310000000000001</v>
      </c>
      <c r="Q2073" s="23" t="s">
        <v>222</v>
      </c>
    </row>
    <row r="2074" spans="1:17" x14ac:dyDescent="0.25">
      <c r="A2074" s="23" t="s">
        <v>1144</v>
      </c>
      <c r="B2074" s="23" t="s">
        <v>1145</v>
      </c>
      <c r="C2074" s="23" t="s">
        <v>176</v>
      </c>
      <c r="D2074" s="23" t="s">
        <v>239</v>
      </c>
      <c r="E2074" s="23" t="s">
        <v>307</v>
      </c>
      <c r="F2074">
        <v>2</v>
      </c>
      <c r="G2074" s="23" t="s">
        <v>177</v>
      </c>
      <c r="H2074">
        <v>0</v>
      </c>
      <c r="I2074">
        <v>40</v>
      </c>
      <c r="J2074" s="10">
        <v>18</v>
      </c>
      <c r="K2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074">
        <v>0</v>
      </c>
      <c r="M20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74">
        <v>45.3</v>
      </c>
      <c r="O2074" s="23" t="s">
        <v>827</v>
      </c>
      <c r="P2074">
        <v>90.6</v>
      </c>
      <c r="Q2074" s="23" t="s">
        <v>222</v>
      </c>
    </row>
    <row r="2075" spans="1:17" x14ac:dyDescent="0.25">
      <c r="A2075" s="23" t="s">
        <v>1144</v>
      </c>
      <c r="B2075" s="23" t="s">
        <v>1145</v>
      </c>
      <c r="C2075" s="23" t="s">
        <v>176</v>
      </c>
      <c r="D2075" s="23" t="s">
        <v>81</v>
      </c>
      <c r="E2075" s="23" t="s">
        <v>82</v>
      </c>
      <c r="F2075">
        <v>6</v>
      </c>
      <c r="G2075" s="23" t="s">
        <v>177</v>
      </c>
      <c r="H2075">
        <v>0</v>
      </c>
      <c r="I2075">
        <v>0</v>
      </c>
      <c r="J2075" s="10">
        <v>0.49999999999995737</v>
      </c>
      <c r="K2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075">
        <v>10</v>
      </c>
      <c r="M20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075">
        <v>666.67</v>
      </c>
      <c r="O2075" s="23" t="s">
        <v>224</v>
      </c>
      <c r="P2075">
        <v>4000.0199999999995</v>
      </c>
      <c r="Q2075" s="23" t="s">
        <v>182</v>
      </c>
    </row>
    <row r="2076" spans="1:17" x14ac:dyDescent="0.25">
      <c r="A2076" s="23" t="s">
        <v>1058</v>
      </c>
      <c r="B2076" s="23" t="s">
        <v>1059</v>
      </c>
      <c r="C2076" s="23" t="s">
        <v>176</v>
      </c>
      <c r="D2076" s="23" t="s">
        <v>308</v>
      </c>
      <c r="E2076" s="23" t="s">
        <v>309</v>
      </c>
      <c r="F2076">
        <v>3</v>
      </c>
      <c r="G2076" s="23" t="s">
        <v>177</v>
      </c>
      <c r="H2076">
        <v>0</v>
      </c>
      <c r="I2076">
        <v>13</v>
      </c>
      <c r="J2076" s="10">
        <v>1</v>
      </c>
      <c r="K2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076">
        <v>0</v>
      </c>
      <c r="M20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076">
        <v>65.42</v>
      </c>
      <c r="O2076" s="23" t="s">
        <v>629</v>
      </c>
      <c r="P2076">
        <v>196.26</v>
      </c>
      <c r="Q2076" s="23" t="s">
        <v>179</v>
      </c>
    </row>
    <row r="2077" spans="1:17" x14ac:dyDescent="0.25">
      <c r="A2077" s="23" t="s">
        <v>1055</v>
      </c>
      <c r="B2077" s="23" t="s">
        <v>1056</v>
      </c>
      <c r="C2077" s="23" t="s">
        <v>176</v>
      </c>
      <c r="D2077" s="23" t="s">
        <v>308</v>
      </c>
      <c r="E2077" s="23" t="s">
        <v>309</v>
      </c>
      <c r="F2077">
        <v>2</v>
      </c>
      <c r="G2077" s="23" t="s">
        <v>177</v>
      </c>
      <c r="H2077">
        <v>0</v>
      </c>
      <c r="I2077">
        <v>13</v>
      </c>
      <c r="J2077" s="10">
        <v>1</v>
      </c>
      <c r="K2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077">
        <v>0</v>
      </c>
      <c r="M20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077">
        <v>65.42</v>
      </c>
      <c r="O2077" s="23" t="s">
        <v>629</v>
      </c>
      <c r="P2077">
        <v>130.84</v>
      </c>
      <c r="Q2077" s="23" t="s">
        <v>179</v>
      </c>
    </row>
    <row r="2078" spans="1:17" x14ac:dyDescent="0.25">
      <c r="A2078" s="23" t="s">
        <v>1099</v>
      </c>
      <c r="B2078" s="23" t="s">
        <v>1056</v>
      </c>
      <c r="C2078" s="23" t="s">
        <v>176</v>
      </c>
      <c r="D2078" s="23" t="s">
        <v>308</v>
      </c>
      <c r="E2078" s="23" t="s">
        <v>309</v>
      </c>
      <c r="F2078">
        <v>2</v>
      </c>
      <c r="G2078" s="23" t="s">
        <v>177</v>
      </c>
      <c r="H2078">
        <v>0</v>
      </c>
      <c r="I2078">
        <v>13</v>
      </c>
      <c r="J2078" s="10">
        <v>1</v>
      </c>
      <c r="K2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078">
        <v>0</v>
      </c>
      <c r="M20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078">
        <v>65.42</v>
      </c>
      <c r="O2078" s="23" t="s">
        <v>629</v>
      </c>
      <c r="P2078">
        <v>130.84</v>
      </c>
      <c r="Q2078" s="23" t="s">
        <v>179</v>
      </c>
    </row>
    <row r="2079" spans="1:17" x14ac:dyDescent="0.25">
      <c r="A2079" s="23" t="s">
        <v>1100</v>
      </c>
      <c r="B2079" s="23" t="s">
        <v>1101</v>
      </c>
      <c r="C2079" s="23" t="s">
        <v>176</v>
      </c>
      <c r="D2079" s="23" t="s">
        <v>36</v>
      </c>
      <c r="E2079" s="23" t="s">
        <v>37</v>
      </c>
      <c r="F2079">
        <v>3</v>
      </c>
      <c r="G2079" s="23" t="s">
        <v>177</v>
      </c>
      <c r="H2079">
        <v>0</v>
      </c>
      <c r="I2079">
        <v>35</v>
      </c>
      <c r="J2079" s="10">
        <v>24</v>
      </c>
      <c r="K2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079">
        <v>0</v>
      </c>
      <c r="M20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079">
        <v>1750</v>
      </c>
      <c r="O2079" s="23" t="s">
        <v>1221</v>
      </c>
      <c r="P2079">
        <v>5250</v>
      </c>
      <c r="Q2079" s="23" t="s">
        <v>222</v>
      </c>
    </row>
    <row r="2080" spans="1:17" x14ac:dyDescent="0.25">
      <c r="A2080" s="23" t="s">
        <v>1055</v>
      </c>
      <c r="B2080" s="23" t="s">
        <v>1056</v>
      </c>
      <c r="C2080" s="23" t="s">
        <v>176</v>
      </c>
      <c r="D2080" s="23" t="s">
        <v>934</v>
      </c>
      <c r="E2080" s="23" t="s">
        <v>935</v>
      </c>
      <c r="F2080">
        <v>2</v>
      </c>
      <c r="G2080" s="23" t="s">
        <v>177</v>
      </c>
      <c r="H2080">
        <v>2</v>
      </c>
      <c r="I2080">
        <v>33</v>
      </c>
      <c r="J2080" s="10">
        <v>16</v>
      </c>
      <c r="K2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080">
        <v>0</v>
      </c>
      <c r="M20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0">
        <v>930</v>
      </c>
      <c r="O2080" s="23" t="s">
        <v>221</v>
      </c>
      <c r="P2080">
        <v>1860</v>
      </c>
      <c r="Q2080" s="23" t="s">
        <v>222</v>
      </c>
    </row>
    <row r="2081" spans="1:17" x14ac:dyDescent="0.25">
      <c r="A2081" s="23" t="s">
        <v>1100</v>
      </c>
      <c r="B2081" s="23" t="s">
        <v>1101</v>
      </c>
      <c r="C2081" s="23" t="s">
        <v>176</v>
      </c>
      <c r="D2081" s="23" t="s">
        <v>797</v>
      </c>
      <c r="E2081" s="23" t="s">
        <v>798</v>
      </c>
      <c r="F2081">
        <v>30</v>
      </c>
      <c r="G2081" s="23" t="s">
        <v>177</v>
      </c>
      <c r="H2081">
        <v>0</v>
      </c>
      <c r="I2081">
        <v>200</v>
      </c>
      <c r="J2081" s="10">
        <v>61</v>
      </c>
      <c r="K2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-140</v>
      </c>
      <c r="L2081">
        <v>0</v>
      </c>
      <c r="M20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1">
        <v>12</v>
      </c>
      <c r="O2081" s="23" t="s">
        <v>227</v>
      </c>
      <c r="P2081">
        <v>360</v>
      </c>
      <c r="Q2081" s="23" t="s">
        <v>181</v>
      </c>
    </row>
    <row r="2082" spans="1:17" x14ac:dyDescent="0.25">
      <c r="A2082" s="23" t="s">
        <v>1148</v>
      </c>
      <c r="B2082" s="23" t="s">
        <v>1054</v>
      </c>
      <c r="C2082" s="23" t="s">
        <v>176</v>
      </c>
      <c r="D2082" s="23" t="s">
        <v>36</v>
      </c>
      <c r="E2082" s="23" t="s">
        <v>37</v>
      </c>
      <c r="F2082">
        <v>3</v>
      </c>
      <c r="G2082" s="23" t="s">
        <v>177</v>
      </c>
      <c r="H2082">
        <v>0</v>
      </c>
      <c r="I2082">
        <v>35</v>
      </c>
      <c r="J2082" s="10">
        <v>24</v>
      </c>
      <c r="K2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082">
        <v>0</v>
      </c>
      <c r="M20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082">
        <v>1750</v>
      </c>
      <c r="O2082" s="23" t="s">
        <v>1221</v>
      </c>
      <c r="P2082">
        <v>5250</v>
      </c>
      <c r="Q2082" s="23" t="s">
        <v>222</v>
      </c>
    </row>
    <row r="2083" spans="1:17" x14ac:dyDescent="0.25">
      <c r="A2083" s="23" t="s">
        <v>1148</v>
      </c>
      <c r="B2083" s="23" t="s">
        <v>1054</v>
      </c>
      <c r="C2083" s="23" t="s">
        <v>176</v>
      </c>
      <c r="D2083" s="23" t="s">
        <v>240</v>
      </c>
      <c r="E2083" s="23" t="s">
        <v>241</v>
      </c>
      <c r="F2083">
        <v>3.6100000000000003</v>
      </c>
      <c r="G2083" s="23" t="s">
        <v>186</v>
      </c>
      <c r="H2083">
        <v>0</v>
      </c>
      <c r="I2083">
        <v>110</v>
      </c>
      <c r="J2083" s="10">
        <v>57.22</v>
      </c>
      <c r="K2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083">
        <v>0</v>
      </c>
      <c r="M20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3">
        <v>40</v>
      </c>
      <c r="O2083" s="23" t="s">
        <v>242</v>
      </c>
      <c r="P2083">
        <v>144.4</v>
      </c>
      <c r="Q2083" s="23" t="s">
        <v>181</v>
      </c>
    </row>
    <row r="2084" spans="1:17" x14ac:dyDescent="0.25">
      <c r="A2084" s="23" t="s">
        <v>1148</v>
      </c>
      <c r="B2084" s="23" t="s">
        <v>1054</v>
      </c>
      <c r="C2084" s="23" t="s">
        <v>176</v>
      </c>
      <c r="D2084" s="23" t="s">
        <v>679</v>
      </c>
      <c r="E2084" s="23" t="s">
        <v>680</v>
      </c>
      <c r="F2084">
        <v>15</v>
      </c>
      <c r="G2084" s="23" t="s">
        <v>177</v>
      </c>
      <c r="H2084">
        <v>0</v>
      </c>
      <c r="I2084">
        <v>350</v>
      </c>
      <c r="J2084" s="10">
        <v>210</v>
      </c>
      <c r="K2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084">
        <v>0</v>
      </c>
      <c r="M20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4">
        <v>4</v>
      </c>
      <c r="O2084" s="23" t="s">
        <v>227</v>
      </c>
      <c r="P2084">
        <v>60</v>
      </c>
      <c r="Q2084" s="23" t="s">
        <v>181</v>
      </c>
    </row>
    <row r="2085" spans="1:17" x14ac:dyDescent="0.25">
      <c r="A2085" s="23" t="s">
        <v>1147</v>
      </c>
      <c r="B2085" s="23" t="s">
        <v>1145</v>
      </c>
      <c r="C2085" s="23" t="s">
        <v>176</v>
      </c>
      <c r="D2085" s="23" t="s">
        <v>211</v>
      </c>
      <c r="E2085" s="23" t="s">
        <v>212</v>
      </c>
      <c r="F2085">
        <v>1</v>
      </c>
      <c r="G2085" s="23" t="s">
        <v>177</v>
      </c>
      <c r="H2085">
        <v>0</v>
      </c>
      <c r="I2085">
        <v>23</v>
      </c>
      <c r="J2085" s="10">
        <v>8</v>
      </c>
      <c r="K2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085">
        <v>40</v>
      </c>
      <c r="M20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5">
        <v>312</v>
      </c>
      <c r="O2085" s="23" t="s">
        <v>218</v>
      </c>
      <c r="P2085">
        <v>312</v>
      </c>
      <c r="Q2085" s="23" t="s">
        <v>178</v>
      </c>
    </row>
    <row r="2086" spans="1:17" x14ac:dyDescent="0.25">
      <c r="A2086" s="23" t="s">
        <v>1148</v>
      </c>
      <c r="B2086" s="23" t="s">
        <v>1054</v>
      </c>
      <c r="C2086" s="23" t="s">
        <v>176</v>
      </c>
      <c r="D2086" s="23" t="s">
        <v>211</v>
      </c>
      <c r="E2086" s="23" t="s">
        <v>212</v>
      </c>
      <c r="F2086">
        <v>1</v>
      </c>
      <c r="G2086" s="23" t="s">
        <v>177</v>
      </c>
      <c r="H2086">
        <v>0</v>
      </c>
      <c r="I2086">
        <v>23</v>
      </c>
      <c r="J2086" s="10">
        <v>8</v>
      </c>
      <c r="K2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086">
        <v>40</v>
      </c>
      <c r="M20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6">
        <v>312</v>
      </c>
      <c r="O2086" s="23" t="s">
        <v>218</v>
      </c>
      <c r="P2086">
        <v>312</v>
      </c>
      <c r="Q2086" s="23" t="s">
        <v>178</v>
      </c>
    </row>
    <row r="2087" spans="1:17" x14ac:dyDescent="0.25">
      <c r="A2087" s="23" t="s">
        <v>1197</v>
      </c>
      <c r="B2087" s="23" t="s">
        <v>1198</v>
      </c>
      <c r="C2087" s="23" t="s">
        <v>176</v>
      </c>
      <c r="D2087" s="23" t="s">
        <v>447</v>
      </c>
      <c r="E2087" s="23" t="s">
        <v>448</v>
      </c>
      <c r="F2087">
        <v>1</v>
      </c>
      <c r="G2087" s="23" t="s">
        <v>177</v>
      </c>
      <c r="H2087">
        <v>0</v>
      </c>
      <c r="I2087">
        <v>15</v>
      </c>
      <c r="J2087" s="10">
        <v>11</v>
      </c>
      <c r="K2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087">
        <v>0</v>
      </c>
      <c r="M20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7">
        <v>237.5</v>
      </c>
      <c r="O2087" s="23" t="s">
        <v>629</v>
      </c>
      <c r="P2087">
        <v>237.5</v>
      </c>
      <c r="Q2087" s="23" t="s">
        <v>181</v>
      </c>
    </row>
    <row r="2088" spans="1:17" x14ac:dyDescent="0.25">
      <c r="A2088" s="23" t="s">
        <v>1096</v>
      </c>
      <c r="B2088" s="23" t="s">
        <v>1053</v>
      </c>
      <c r="C2088" s="23" t="s">
        <v>176</v>
      </c>
      <c r="D2088" s="23" t="s">
        <v>777</v>
      </c>
      <c r="E2088" s="23" t="s">
        <v>778</v>
      </c>
      <c r="F2088">
        <v>1</v>
      </c>
      <c r="G2088" s="23" t="s">
        <v>177</v>
      </c>
      <c r="H2088">
        <v>1</v>
      </c>
      <c r="I2088">
        <v>7</v>
      </c>
      <c r="J2088" s="10">
        <v>6</v>
      </c>
      <c r="K2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2088">
        <v>0</v>
      </c>
      <c r="M20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2088">
        <v>2457.65</v>
      </c>
      <c r="O2088" s="23" t="s">
        <v>635</v>
      </c>
      <c r="P2088">
        <v>2457.65</v>
      </c>
      <c r="Q2088" s="23" t="s">
        <v>178</v>
      </c>
    </row>
    <row r="2089" spans="1:17" x14ac:dyDescent="0.25">
      <c r="A2089" s="23" t="s">
        <v>1096</v>
      </c>
      <c r="B2089" s="23" t="s">
        <v>1053</v>
      </c>
      <c r="C2089" s="23" t="s">
        <v>176</v>
      </c>
      <c r="D2089" s="23" t="s">
        <v>364</v>
      </c>
      <c r="E2089" s="23" t="s">
        <v>365</v>
      </c>
      <c r="F2089">
        <v>10</v>
      </c>
      <c r="G2089" s="23" t="s">
        <v>180</v>
      </c>
      <c r="H2089">
        <v>0</v>
      </c>
      <c r="I2089">
        <v>200</v>
      </c>
      <c r="J2089" s="10">
        <v>59.899999999999928</v>
      </c>
      <c r="K2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089">
        <v>0</v>
      </c>
      <c r="M20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89">
        <v>22.5</v>
      </c>
      <c r="O2089" s="23" t="s">
        <v>315</v>
      </c>
      <c r="P2089">
        <v>225</v>
      </c>
      <c r="Q2089" s="23" t="s">
        <v>179</v>
      </c>
    </row>
    <row r="2090" spans="1:17" x14ac:dyDescent="0.25">
      <c r="A2090" s="23" t="s">
        <v>1142</v>
      </c>
      <c r="B2090" s="23" t="s">
        <v>1054</v>
      </c>
      <c r="C2090" s="23" t="s">
        <v>176</v>
      </c>
      <c r="D2090" s="23" t="s">
        <v>405</v>
      </c>
      <c r="E2090" s="23" t="s">
        <v>406</v>
      </c>
      <c r="F2090">
        <v>5</v>
      </c>
      <c r="G2090" s="23" t="s">
        <v>177</v>
      </c>
      <c r="H2090">
        <v>0</v>
      </c>
      <c r="I2090">
        <v>234</v>
      </c>
      <c r="J2090" s="10">
        <v>30</v>
      </c>
      <c r="K2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090">
        <v>0</v>
      </c>
      <c r="M20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0">
        <v>15.21</v>
      </c>
      <c r="O2090" s="23" t="s">
        <v>827</v>
      </c>
      <c r="P2090">
        <v>76.050000000000011</v>
      </c>
      <c r="Q2090" s="23" t="s">
        <v>222</v>
      </c>
    </row>
    <row r="2091" spans="1:17" x14ac:dyDescent="0.25">
      <c r="A2091" s="23" t="s">
        <v>1142</v>
      </c>
      <c r="B2091" s="23" t="s">
        <v>1054</v>
      </c>
      <c r="C2091" s="23" t="s">
        <v>176</v>
      </c>
      <c r="D2091" s="23" t="s">
        <v>284</v>
      </c>
      <c r="E2091" s="23" t="s">
        <v>285</v>
      </c>
      <c r="F2091">
        <v>1</v>
      </c>
      <c r="G2091" s="23" t="s">
        <v>177</v>
      </c>
      <c r="H2091">
        <v>0</v>
      </c>
      <c r="I2091">
        <v>104</v>
      </c>
      <c r="J2091" s="10">
        <v>4.4408920985006262E-15</v>
      </c>
      <c r="K2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091">
        <v>0</v>
      </c>
      <c r="M20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1">
        <v>22</v>
      </c>
      <c r="O2091" s="23" t="s">
        <v>242</v>
      </c>
      <c r="P2091">
        <v>22</v>
      </c>
      <c r="Q2091" s="23" t="s">
        <v>181</v>
      </c>
    </row>
    <row r="2092" spans="1:17" x14ac:dyDescent="0.25">
      <c r="A2092" s="23" t="s">
        <v>1146</v>
      </c>
      <c r="B2092" s="23" t="s">
        <v>1145</v>
      </c>
      <c r="C2092" s="23" t="s">
        <v>176</v>
      </c>
      <c r="D2092" s="23" t="s">
        <v>405</v>
      </c>
      <c r="E2092" s="23" t="s">
        <v>406</v>
      </c>
      <c r="F2092">
        <v>5</v>
      </c>
      <c r="G2092" s="23" t="s">
        <v>177</v>
      </c>
      <c r="H2092">
        <v>0</v>
      </c>
      <c r="I2092">
        <v>234</v>
      </c>
      <c r="J2092" s="10">
        <v>30</v>
      </c>
      <c r="K2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092">
        <v>0</v>
      </c>
      <c r="M20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2">
        <v>15.21</v>
      </c>
      <c r="O2092" s="23" t="s">
        <v>827</v>
      </c>
      <c r="P2092">
        <v>76.050000000000011</v>
      </c>
      <c r="Q2092" s="23" t="s">
        <v>222</v>
      </c>
    </row>
    <row r="2093" spans="1:17" x14ac:dyDescent="0.25">
      <c r="A2093" s="23" t="s">
        <v>1144</v>
      </c>
      <c r="B2093" s="23" t="s">
        <v>1145</v>
      </c>
      <c r="C2093" s="23" t="s">
        <v>176</v>
      </c>
      <c r="D2093" s="23" t="s">
        <v>405</v>
      </c>
      <c r="E2093" s="23" t="s">
        <v>406</v>
      </c>
      <c r="F2093">
        <v>5</v>
      </c>
      <c r="G2093" s="23" t="s">
        <v>177</v>
      </c>
      <c r="H2093">
        <v>0</v>
      </c>
      <c r="I2093">
        <v>234</v>
      </c>
      <c r="J2093" s="10">
        <v>30</v>
      </c>
      <c r="K2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093">
        <v>0</v>
      </c>
      <c r="M20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3">
        <v>15.21</v>
      </c>
      <c r="O2093" s="23" t="s">
        <v>827</v>
      </c>
      <c r="P2093">
        <v>76.050000000000011</v>
      </c>
      <c r="Q2093" s="23" t="s">
        <v>222</v>
      </c>
    </row>
    <row r="2094" spans="1:17" x14ac:dyDescent="0.25">
      <c r="A2094" s="23" t="s">
        <v>1149</v>
      </c>
      <c r="B2094" s="23" t="s">
        <v>1145</v>
      </c>
      <c r="C2094" s="23" t="s">
        <v>176</v>
      </c>
      <c r="D2094" s="23" t="s">
        <v>284</v>
      </c>
      <c r="E2094" s="23" t="s">
        <v>285</v>
      </c>
      <c r="F2094">
        <v>1</v>
      </c>
      <c r="G2094" s="23" t="s">
        <v>177</v>
      </c>
      <c r="H2094">
        <v>0</v>
      </c>
      <c r="I2094">
        <v>104</v>
      </c>
      <c r="J2094" s="10">
        <v>4.4408920985006262E-15</v>
      </c>
      <c r="K2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094">
        <v>0</v>
      </c>
      <c r="M20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4">
        <v>22</v>
      </c>
      <c r="O2094" s="23" t="s">
        <v>242</v>
      </c>
      <c r="P2094">
        <v>22</v>
      </c>
      <c r="Q2094" s="23" t="s">
        <v>181</v>
      </c>
    </row>
    <row r="2095" spans="1:17" x14ac:dyDescent="0.25">
      <c r="A2095" s="23" t="s">
        <v>1094</v>
      </c>
      <c r="B2095" s="23" t="s">
        <v>1095</v>
      </c>
      <c r="C2095" s="23" t="s">
        <v>176</v>
      </c>
      <c r="D2095" s="23" t="s">
        <v>208</v>
      </c>
      <c r="E2095" s="23" t="s">
        <v>283</v>
      </c>
      <c r="F2095">
        <v>3.3900000000000006</v>
      </c>
      <c r="G2095" s="23" t="s">
        <v>177</v>
      </c>
      <c r="H2095">
        <v>0</v>
      </c>
      <c r="I2095">
        <v>62</v>
      </c>
      <c r="J2095" s="10">
        <v>0.26999999999997826</v>
      </c>
      <c r="K2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095">
        <v>0</v>
      </c>
      <c r="M20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5">
        <v>28</v>
      </c>
      <c r="O2095" s="23" t="s">
        <v>242</v>
      </c>
      <c r="P2095">
        <v>94.920000000000016</v>
      </c>
      <c r="Q2095" s="23" t="s">
        <v>181</v>
      </c>
    </row>
    <row r="2096" spans="1:17" x14ac:dyDescent="0.25">
      <c r="A2096" s="23" t="s">
        <v>1096</v>
      </c>
      <c r="B2096" s="23" t="s">
        <v>1053</v>
      </c>
      <c r="C2096" s="23" t="s">
        <v>176</v>
      </c>
      <c r="D2096" s="23" t="s">
        <v>208</v>
      </c>
      <c r="E2096" s="23" t="s">
        <v>283</v>
      </c>
      <c r="F2096">
        <v>4.04</v>
      </c>
      <c r="G2096" s="23" t="s">
        <v>177</v>
      </c>
      <c r="H2096">
        <v>0</v>
      </c>
      <c r="I2096">
        <v>62</v>
      </c>
      <c r="J2096" s="10">
        <v>0.26999999999997826</v>
      </c>
      <c r="K2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096">
        <v>0</v>
      </c>
      <c r="M20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6">
        <v>28</v>
      </c>
      <c r="O2096" s="23" t="s">
        <v>242</v>
      </c>
      <c r="P2096">
        <v>113.12</v>
      </c>
      <c r="Q2096" s="23" t="s">
        <v>181</v>
      </c>
    </row>
    <row r="2097" spans="1:17" x14ac:dyDescent="0.25">
      <c r="A2097" s="23" t="s">
        <v>1149</v>
      </c>
      <c r="B2097" s="23" t="s">
        <v>1145</v>
      </c>
      <c r="C2097" s="23" t="s">
        <v>176</v>
      </c>
      <c r="D2097" s="23" t="s">
        <v>405</v>
      </c>
      <c r="E2097" s="23" t="s">
        <v>406</v>
      </c>
      <c r="F2097">
        <v>5</v>
      </c>
      <c r="G2097" s="23" t="s">
        <v>177</v>
      </c>
      <c r="H2097">
        <v>0</v>
      </c>
      <c r="I2097">
        <v>234</v>
      </c>
      <c r="J2097" s="10">
        <v>30</v>
      </c>
      <c r="K2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097">
        <v>0</v>
      </c>
      <c r="M20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7">
        <v>15.21</v>
      </c>
      <c r="O2097" s="23" t="s">
        <v>827</v>
      </c>
      <c r="P2097">
        <v>76.050000000000011</v>
      </c>
      <c r="Q2097" s="23" t="s">
        <v>222</v>
      </c>
    </row>
    <row r="2098" spans="1:17" x14ac:dyDescent="0.25">
      <c r="A2098" s="23" t="s">
        <v>1144</v>
      </c>
      <c r="B2098" s="23" t="s">
        <v>1145</v>
      </c>
      <c r="C2098" s="23" t="s">
        <v>176</v>
      </c>
      <c r="D2098" s="23" t="s">
        <v>208</v>
      </c>
      <c r="E2098" s="23" t="s">
        <v>283</v>
      </c>
      <c r="F2098">
        <v>2.5</v>
      </c>
      <c r="G2098" s="23" t="s">
        <v>177</v>
      </c>
      <c r="H2098">
        <v>0</v>
      </c>
      <c r="I2098">
        <v>62</v>
      </c>
      <c r="J2098" s="10">
        <v>0.26999999999997826</v>
      </c>
      <c r="K2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098">
        <v>0</v>
      </c>
      <c r="M20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8">
        <v>28</v>
      </c>
      <c r="O2098" s="23" t="s">
        <v>242</v>
      </c>
      <c r="P2098">
        <v>70</v>
      </c>
      <c r="Q2098" s="23" t="s">
        <v>181</v>
      </c>
    </row>
    <row r="2099" spans="1:17" x14ac:dyDescent="0.25">
      <c r="A2099" s="23" t="s">
        <v>1146</v>
      </c>
      <c r="B2099" s="23" t="s">
        <v>1145</v>
      </c>
      <c r="C2099" s="23" t="s">
        <v>176</v>
      </c>
      <c r="D2099" s="23" t="s">
        <v>208</v>
      </c>
      <c r="E2099" s="23" t="s">
        <v>283</v>
      </c>
      <c r="F2099">
        <v>2.5</v>
      </c>
      <c r="G2099" s="23" t="s">
        <v>177</v>
      </c>
      <c r="H2099">
        <v>0</v>
      </c>
      <c r="I2099">
        <v>62</v>
      </c>
      <c r="J2099" s="10">
        <v>0.26999999999997826</v>
      </c>
      <c r="K2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099">
        <v>0</v>
      </c>
      <c r="M20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099">
        <v>28</v>
      </c>
      <c r="O2099" s="23" t="s">
        <v>242</v>
      </c>
      <c r="P2099">
        <v>70</v>
      </c>
      <c r="Q2099" s="23" t="s">
        <v>181</v>
      </c>
    </row>
    <row r="2100" spans="1:17" x14ac:dyDescent="0.25">
      <c r="A2100" s="23" t="s">
        <v>1147</v>
      </c>
      <c r="B2100" s="23" t="s">
        <v>1145</v>
      </c>
      <c r="C2100" s="23" t="s">
        <v>176</v>
      </c>
      <c r="D2100" s="23" t="s">
        <v>405</v>
      </c>
      <c r="E2100" s="23" t="s">
        <v>406</v>
      </c>
      <c r="F2100">
        <v>5</v>
      </c>
      <c r="G2100" s="23" t="s">
        <v>177</v>
      </c>
      <c r="H2100">
        <v>0</v>
      </c>
      <c r="I2100">
        <v>234</v>
      </c>
      <c r="J2100" s="10">
        <v>30</v>
      </c>
      <c r="K2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100">
        <v>0</v>
      </c>
      <c r="M21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0">
        <v>15.21</v>
      </c>
      <c r="O2100" s="23" t="s">
        <v>827</v>
      </c>
      <c r="P2100">
        <v>76.050000000000011</v>
      </c>
      <c r="Q2100" s="23" t="s">
        <v>222</v>
      </c>
    </row>
    <row r="2101" spans="1:17" x14ac:dyDescent="0.25">
      <c r="A2101" s="23" t="s">
        <v>1148</v>
      </c>
      <c r="B2101" s="23" t="s">
        <v>1054</v>
      </c>
      <c r="C2101" s="23" t="s">
        <v>176</v>
      </c>
      <c r="D2101" s="23" t="s">
        <v>405</v>
      </c>
      <c r="E2101" s="23" t="s">
        <v>406</v>
      </c>
      <c r="F2101">
        <v>5</v>
      </c>
      <c r="G2101" s="23" t="s">
        <v>177</v>
      </c>
      <c r="H2101">
        <v>0</v>
      </c>
      <c r="I2101">
        <v>234</v>
      </c>
      <c r="J2101" s="10">
        <v>30</v>
      </c>
      <c r="K2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101">
        <v>0</v>
      </c>
      <c r="M21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1">
        <v>15.21</v>
      </c>
      <c r="O2101" s="23" t="s">
        <v>827</v>
      </c>
      <c r="P2101">
        <v>76.050000000000011</v>
      </c>
      <c r="Q2101" s="23" t="s">
        <v>222</v>
      </c>
    </row>
    <row r="2102" spans="1:17" x14ac:dyDescent="0.25">
      <c r="A2102" s="23" t="s">
        <v>1148</v>
      </c>
      <c r="B2102" s="23" t="s">
        <v>1054</v>
      </c>
      <c r="C2102" s="23" t="s">
        <v>176</v>
      </c>
      <c r="D2102" s="23" t="s">
        <v>515</v>
      </c>
      <c r="E2102" s="23" t="s">
        <v>516</v>
      </c>
      <c r="F2102">
        <v>0.7</v>
      </c>
      <c r="G2102" s="23" t="s">
        <v>177</v>
      </c>
      <c r="H2102">
        <v>0</v>
      </c>
      <c r="I2102">
        <v>0</v>
      </c>
      <c r="J2102" s="10">
        <v>-2.6645352591003757E-15</v>
      </c>
      <c r="K2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102">
        <v>0</v>
      </c>
      <c r="M21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102">
        <v>70</v>
      </c>
      <c r="O2102" s="23" t="s">
        <v>242</v>
      </c>
      <c r="P2102">
        <v>49</v>
      </c>
      <c r="Q2102" s="23" t="s">
        <v>181</v>
      </c>
    </row>
    <row r="2103" spans="1:17" x14ac:dyDescent="0.25">
      <c r="A2103" s="23" t="s">
        <v>1094</v>
      </c>
      <c r="B2103" s="23" t="s">
        <v>1095</v>
      </c>
      <c r="C2103" s="23" t="s">
        <v>176</v>
      </c>
      <c r="D2103" s="23" t="s">
        <v>405</v>
      </c>
      <c r="E2103" s="23" t="s">
        <v>406</v>
      </c>
      <c r="F2103">
        <v>5</v>
      </c>
      <c r="G2103" s="23" t="s">
        <v>177</v>
      </c>
      <c r="H2103">
        <v>0</v>
      </c>
      <c r="I2103">
        <v>234</v>
      </c>
      <c r="J2103" s="10">
        <v>30</v>
      </c>
      <c r="K2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103">
        <v>0</v>
      </c>
      <c r="M21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3">
        <v>15.21</v>
      </c>
      <c r="O2103" s="23" t="s">
        <v>827</v>
      </c>
      <c r="P2103">
        <v>76.050000000000011</v>
      </c>
      <c r="Q2103" s="23" t="s">
        <v>222</v>
      </c>
    </row>
    <row r="2104" spans="1:17" x14ac:dyDescent="0.25">
      <c r="A2104" s="23" t="s">
        <v>1143</v>
      </c>
      <c r="B2104" s="23" t="s">
        <v>1054</v>
      </c>
      <c r="C2104" s="23" t="s">
        <v>176</v>
      </c>
      <c r="D2104" s="23" t="s">
        <v>208</v>
      </c>
      <c r="E2104" s="23" t="s">
        <v>283</v>
      </c>
      <c r="F2104">
        <v>3.65</v>
      </c>
      <c r="G2104" s="23" t="s">
        <v>177</v>
      </c>
      <c r="H2104">
        <v>0</v>
      </c>
      <c r="I2104">
        <v>62</v>
      </c>
      <c r="J2104" s="10">
        <v>0.26999999999997826</v>
      </c>
      <c r="K2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04">
        <v>0</v>
      </c>
      <c r="M21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4">
        <v>28</v>
      </c>
      <c r="O2104" s="23" t="s">
        <v>242</v>
      </c>
      <c r="P2104">
        <v>102.2</v>
      </c>
      <c r="Q2104" s="23" t="s">
        <v>181</v>
      </c>
    </row>
    <row r="2105" spans="1:17" x14ac:dyDescent="0.25">
      <c r="A2105" s="23" t="s">
        <v>1094</v>
      </c>
      <c r="B2105" s="23" t="s">
        <v>1095</v>
      </c>
      <c r="C2105" s="23" t="s">
        <v>176</v>
      </c>
      <c r="D2105" s="23" t="s">
        <v>284</v>
      </c>
      <c r="E2105" s="23" t="s">
        <v>285</v>
      </c>
      <c r="F2105">
        <v>1.35</v>
      </c>
      <c r="G2105" s="23" t="s">
        <v>177</v>
      </c>
      <c r="H2105">
        <v>0</v>
      </c>
      <c r="I2105">
        <v>104</v>
      </c>
      <c r="J2105" s="10">
        <v>4.4408920985006262E-15</v>
      </c>
      <c r="K2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05">
        <v>0</v>
      </c>
      <c r="M21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5">
        <v>22</v>
      </c>
      <c r="O2105" s="23" t="s">
        <v>242</v>
      </c>
      <c r="P2105">
        <v>29.700000000000003</v>
      </c>
      <c r="Q2105" s="23" t="s">
        <v>181</v>
      </c>
    </row>
    <row r="2106" spans="1:17" x14ac:dyDescent="0.25">
      <c r="A2106" s="23" t="s">
        <v>1150</v>
      </c>
      <c r="B2106" s="23" t="s">
        <v>1145</v>
      </c>
      <c r="C2106" s="23" t="s">
        <v>176</v>
      </c>
      <c r="D2106" s="23" t="s">
        <v>405</v>
      </c>
      <c r="E2106" s="23" t="s">
        <v>406</v>
      </c>
      <c r="F2106">
        <v>5</v>
      </c>
      <c r="G2106" s="23" t="s">
        <v>177</v>
      </c>
      <c r="H2106">
        <v>0</v>
      </c>
      <c r="I2106">
        <v>234</v>
      </c>
      <c r="J2106" s="10">
        <v>30</v>
      </c>
      <c r="K2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106">
        <v>0</v>
      </c>
      <c r="M21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6">
        <v>15.21</v>
      </c>
      <c r="O2106" s="23" t="s">
        <v>827</v>
      </c>
      <c r="P2106">
        <v>76.050000000000011</v>
      </c>
      <c r="Q2106" s="23" t="s">
        <v>222</v>
      </c>
    </row>
    <row r="2107" spans="1:17" x14ac:dyDescent="0.25">
      <c r="A2107" s="23" t="s">
        <v>1149</v>
      </c>
      <c r="B2107" s="23" t="s">
        <v>1145</v>
      </c>
      <c r="C2107" s="23" t="s">
        <v>176</v>
      </c>
      <c r="D2107" s="23" t="s">
        <v>208</v>
      </c>
      <c r="E2107" s="23" t="s">
        <v>283</v>
      </c>
      <c r="F2107">
        <v>2.5</v>
      </c>
      <c r="G2107" s="23" t="s">
        <v>177</v>
      </c>
      <c r="H2107">
        <v>0</v>
      </c>
      <c r="I2107">
        <v>62</v>
      </c>
      <c r="J2107" s="10">
        <v>0.26999999999997826</v>
      </c>
      <c r="K2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07">
        <v>0</v>
      </c>
      <c r="M21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7">
        <v>28</v>
      </c>
      <c r="O2107" s="23" t="s">
        <v>242</v>
      </c>
      <c r="P2107">
        <v>70</v>
      </c>
      <c r="Q2107" s="23" t="s">
        <v>181</v>
      </c>
    </row>
    <row r="2108" spans="1:17" x14ac:dyDescent="0.25">
      <c r="A2108" s="23" t="s">
        <v>1150</v>
      </c>
      <c r="B2108" s="23" t="s">
        <v>1145</v>
      </c>
      <c r="C2108" s="23" t="s">
        <v>176</v>
      </c>
      <c r="D2108" s="23" t="s">
        <v>284</v>
      </c>
      <c r="E2108" s="23" t="s">
        <v>285</v>
      </c>
      <c r="F2108">
        <v>1</v>
      </c>
      <c r="G2108" s="23" t="s">
        <v>177</v>
      </c>
      <c r="H2108">
        <v>0</v>
      </c>
      <c r="I2108">
        <v>104</v>
      </c>
      <c r="J2108" s="10">
        <v>4.4408920985006262E-15</v>
      </c>
      <c r="K2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08">
        <v>0</v>
      </c>
      <c r="M21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08">
        <v>22</v>
      </c>
      <c r="O2108" s="23" t="s">
        <v>242</v>
      </c>
      <c r="P2108">
        <v>22</v>
      </c>
      <c r="Q2108" s="23" t="s">
        <v>181</v>
      </c>
    </row>
    <row r="2109" spans="1:17" x14ac:dyDescent="0.25">
      <c r="A2109" s="23" t="s">
        <v>1058</v>
      </c>
      <c r="B2109" s="23" t="s">
        <v>1059</v>
      </c>
      <c r="C2109" s="23" t="s">
        <v>176</v>
      </c>
      <c r="D2109" s="23" t="s">
        <v>515</v>
      </c>
      <c r="E2109" s="23" t="s">
        <v>516</v>
      </c>
      <c r="F2109">
        <v>0.6</v>
      </c>
      <c r="G2109" s="23" t="s">
        <v>177</v>
      </c>
      <c r="H2109">
        <v>0</v>
      </c>
      <c r="I2109">
        <v>0</v>
      </c>
      <c r="J2109" s="10">
        <v>-2.6645352591003757E-15</v>
      </c>
      <c r="K2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109">
        <v>0</v>
      </c>
      <c r="M21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109">
        <v>70</v>
      </c>
      <c r="O2109" s="23" t="s">
        <v>242</v>
      </c>
      <c r="P2109">
        <v>42</v>
      </c>
      <c r="Q2109" s="23" t="s">
        <v>181</v>
      </c>
    </row>
    <row r="2110" spans="1:17" x14ac:dyDescent="0.25">
      <c r="A2110" s="23" t="s">
        <v>1058</v>
      </c>
      <c r="B2110" s="23" t="s">
        <v>1059</v>
      </c>
      <c r="C2110" s="23" t="s">
        <v>176</v>
      </c>
      <c r="D2110" s="23" t="s">
        <v>284</v>
      </c>
      <c r="E2110" s="23" t="s">
        <v>285</v>
      </c>
      <c r="F2110">
        <v>1</v>
      </c>
      <c r="G2110" s="23" t="s">
        <v>177</v>
      </c>
      <c r="H2110">
        <v>0</v>
      </c>
      <c r="I2110">
        <v>104</v>
      </c>
      <c r="J2110" s="10">
        <v>4.4408920985006262E-15</v>
      </c>
      <c r="K2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10">
        <v>0</v>
      </c>
      <c r="M21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0">
        <v>22</v>
      </c>
      <c r="O2110" s="23" t="s">
        <v>242</v>
      </c>
      <c r="P2110">
        <v>22</v>
      </c>
      <c r="Q2110" s="23" t="s">
        <v>181</v>
      </c>
    </row>
    <row r="2111" spans="1:17" x14ac:dyDescent="0.25">
      <c r="A2111" s="23" t="s">
        <v>1057</v>
      </c>
      <c r="B2111" s="23" t="s">
        <v>1056</v>
      </c>
      <c r="C2111" s="23" t="s">
        <v>176</v>
      </c>
      <c r="D2111" s="23" t="s">
        <v>284</v>
      </c>
      <c r="E2111" s="23" t="s">
        <v>285</v>
      </c>
      <c r="F2111">
        <v>1</v>
      </c>
      <c r="G2111" s="23" t="s">
        <v>177</v>
      </c>
      <c r="H2111">
        <v>0</v>
      </c>
      <c r="I2111">
        <v>104</v>
      </c>
      <c r="J2111" s="10">
        <v>4.4408920985006262E-15</v>
      </c>
      <c r="K2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11">
        <v>0</v>
      </c>
      <c r="M21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1">
        <v>22</v>
      </c>
      <c r="O2111" s="23" t="s">
        <v>242</v>
      </c>
      <c r="P2111">
        <v>22</v>
      </c>
      <c r="Q2111" s="23" t="s">
        <v>181</v>
      </c>
    </row>
    <row r="2112" spans="1:17" x14ac:dyDescent="0.25">
      <c r="A2112" s="23" t="s">
        <v>1143</v>
      </c>
      <c r="B2112" s="23" t="s">
        <v>1054</v>
      </c>
      <c r="C2112" s="23" t="s">
        <v>176</v>
      </c>
      <c r="D2112" s="23" t="s">
        <v>284</v>
      </c>
      <c r="E2112" s="23" t="s">
        <v>285</v>
      </c>
      <c r="F2112">
        <v>1.46</v>
      </c>
      <c r="G2112" s="23" t="s">
        <v>177</v>
      </c>
      <c r="H2112">
        <v>0</v>
      </c>
      <c r="I2112">
        <v>104</v>
      </c>
      <c r="J2112" s="10">
        <v>4.4408920985006262E-15</v>
      </c>
      <c r="K2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12">
        <v>0</v>
      </c>
      <c r="M21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2">
        <v>22</v>
      </c>
      <c r="O2112" s="23" t="s">
        <v>242</v>
      </c>
      <c r="P2112">
        <v>32.119999999999997</v>
      </c>
      <c r="Q2112" s="23" t="s">
        <v>181</v>
      </c>
    </row>
    <row r="2113" spans="1:17" x14ac:dyDescent="0.25">
      <c r="A2113" s="23" t="s">
        <v>1150</v>
      </c>
      <c r="B2113" s="23" t="s">
        <v>1145</v>
      </c>
      <c r="C2113" s="23" t="s">
        <v>176</v>
      </c>
      <c r="D2113" s="23" t="s">
        <v>208</v>
      </c>
      <c r="E2113" s="23" t="s">
        <v>283</v>
      </c>
      <c r="F2113">
        <v>2.5</v>
      </c>
      <c r="G2113" s="23" t="s">
        <v>177</v>
      </c>
      <c r="H2113">
        <v>0</v>
      </c>
      <c r="I2113">
        <v>62</v>
      </c>
      <c r="J2113" s="10">
        <v>0.26999999999997826</v>
      </c>
      <c r="K2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13">
        <v>0</v>
      </c>
      <c r="M21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3">
        <v>28</v>
      </c>
      <c r="O2113" s="23" t="s">
        <v>242</v>
      </c>
      <c r="P2113">
        <v>70</v>
      </c>
      <c r="Q2113" s="23" t="s">
        <v>181</v>
      </c>
    </row>
    <row r="2114" spans="1:17" x14ac:dyDescent="0.25">
      <c r="A2114" s="23" t="s">
        <v>1146</v>
      </c>
      <c r="B2114" s="23" t="s">
        <v>1145</v>
      </c>
      <c r="C2114" s="23" t="s">
        <v>176</v>
      </c>
      <c r="D2114" s="23" t="s">
        <v>284</v>
      </c>
      <c r="E2114" s="23" t="s">
        <v>285</v>
      </c>
      <c r="F2114">
        <v>1</v>
      </c>
      <c r="G2114" s="23" t="s">
        <v>177</v>
      </c>
      <c r="H2114">
        <v>0</v>
      </c>
      <c r="I2114">
        <v>104</v>
      </c>
      <c r="J2114" s="10">
        <v>4.4408920985006262E-15</v>
      </c>
      <c r="K2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14">
        <v>0</v>
      </c>
      <c r="M21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4">
        <v>22</v>
      </c>
      <c r="O2114" s="23" t="s">
        <v>242</v>
      </c>
      <c r="P2114">
        <v>22</v>
      </c>
      <c r="Q2114" s="23" t="s">
        <v>181</v>
      </c>
    </row>
    <row r="2115" spans="1:17" x14ac:dyDescent="0.25">
      <c r="A2115" s="23" t="s">
        <v>1058</v>
      </c>
      <c r="B2115" s="23" t="s">
        <v>1059</v>
      </c>
      <c r="C2115" s="23" t="s">
        <v>176</v>
      </c>
      <c r="D2115" s="23" t="s">
        <v>208</v>
      </c>
      <c r="E2115" s="23" t="s">
        <v>283</v>
      </c>
      <c r="F2115">
        <v>2.5</v>
      </c>
      <c r="G2115" s="23" t="s">
        <v>177</v>
      </c>
      <c r="H2115">
        <v>2.5</v>
      </c>
      <c r="I2115">
        <v>62</v>
      </c>
      <c r="J2115" s="10">
        <v>0.26999999999997826</v>
      </c>
      <c r="K2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15">
        <v>0</v>
      </c>
      <c r="M21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5">
        <v>28</v>
      </c>
      <c r="O2115" s="23" t="s">
        <v>242</v>
      </c>
      <c r="P2115">
        <v>70</v>
      </c>
      <c r="Q2115" s="23" t="s">
        <v>181</v>
      </c>
    </row>
    <row r="2116" spans="1:17" x14ac:dyDescent="0.25">
      <c r="A2116" s="23" t="s">
        <v>1097</v>
      </c>
      <c r="B2116" s="23" t="s">
        <v>1095</v>
      </c>
      <c r="C2116" s="23" t="s">
        <v>176</v>
      </c>
      <c r="D2116" s="23" t="s">
        <v>447</v>
      </c>
      <c r="E2116" s="23" t="s">
        <v>448</v>
      </c>
      <c r="F2116">
        <v>1</v>
      </c>
      <c r="G2116" s="23" t="s">
        <v>177</v>
      </c>
      <c r="H2116">
        <v>0</v>
      </c>
      <c r="I2116">
        <v>15</v>
      </c>
      <c r="J2116" s="10">
        <v>11</v>
      </c>
      <c r="K2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116">
        <v>0</v>
      </c>
      <c r="M21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16">
        <v>237.5</v>
      </c>
      <c r="O2116" s="23" t="s">
        <v>629</v>
      </c>
      <c r="P2116">
        <v>237.5</v>
      </c>
      <c r="Q2116" s="23" t="s">
        <v>181</v>
      </c>
    </row>
    <row r="2117" spans="1:17" x14ac:dyDescent="0.25">
      <c r="A2117" s="23" t="s">
        <v>1147</v>
      </c>
      <c r="B2117" s="23" t="s">
        <v>1145</v>
      </c>
      <c r="C2117" s="23" t="s">
        <v>176</v>
      </c>
      <c r="D2117" s="23" t="s">
        <v>308</v>
      </c>
      <c r="E2117" s="23" t="s">
        <v>309</v>
      </c>
      <c r="F2117">
        <v>1</v>
      </c>
      <c r="G2117" s="23" t="s">
        <v>177</v>
      </c>
      <c r="H2117">
        <v>0</v>
      </c>
      <c r="I2117">
        <v>13</v>
      </c>
      <c r="J2117" s="10">
        <v>1</v>
      </c>
      <c r="K2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117">
        <v>0</v>
      </c>
      <c r="M21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117">
        <v>65.42</v>
      </c>
      <c r="O2117" s="23" t="s">
        <v>629</v>
      </c>
      <c r="P2117">
        <v>65.42</v>
      </c>
      <c r="Q2117" s="23" t="s">
        <v>179</v>
      </c>
    </row>
    <row r="2118" spans="1:17" x14ac:dyDescent="0.25">
      <c r="A2118" s="23" t="s">
        <v>1148</v>
      </c>
      <c r="B2118" s="23" t="s">
        <v>1054</v>
      </c>
      <c r="C2118" s="23" t="s">
        <v>176</v>
      </c>
      <c r="D2118" s="23" t="s">
        <v>308</v>
      </c>
      <c r="E2118" s="23" t="s">
        <v>309</v>
      </c>
      <c r="F2118">
        <v>2</v>
      </c>
      <c r="G2118" s="23" t="s">
        <v>177</v>
      </c>
      <c r="H2118">
        <v>0</v>
      </c>
      <c r="I2118">
        <v>13</v>
      </c>
      <c r="J2118" s="10">
        <v>1</v>
      </c>
      <c r="K2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118">
        <v>0</v>
      </c>
      <c r="M21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118">
        <v>65.42</v>
      </c>
      <c r="O2118" s="23" t="s">
        <v>629</v>
      </c>
      <c r="P2118">
        <v>130.84</v>
      </c>
      <c r="Q2118" s="23" t="s">
        <v>179</v>
      </c>
    </row>
    <row r="2119" spans="1:17" x14ac:dyDescent="0.25">
      <c r="A2119" s="23" t="s">
        <v>1147</v>
      </c>
      <c r="B2119" s="23" t="s">
        <v>1145</v>
      </c>
      <c r="C2119" s="23" t="s">
        <v>176</v>
      </c>
      <c r="D2119" s="23" t="s">
        <v>36</v>
      </c>
      <c r="E2119" s="23" t="s">
        <v>37</v>
      </c>
      <c r="F2119">
        <v>3</v>
      </c>
      <c r="G2119" s="23" t="s">
        <v>177</v>
      </c>
      <c r="H2119">
        <v>0</v>
      </c>
      <c r="I2119">
        <v>35</v>
      </c>
      <c r="J2119" s="10">
        <v>24</v>
      </c>
      <c r="K2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119">
        <v>0</v>
      </c>
      <c r="M21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2119">
        <v>1750</v>
      </c>
      <c r="O2119" s="23" t="s">
        <v>1221</v>
      </c>
      <c r="P2119">
        <v>5250</v>
      </c>
      <c r="Q2119" s="23" t="s">
        <v>222</v>
      </c>
    </row>
    <row r="2120" spans="1:17" x14ac:dyDescent="0.25">
      <c r="A2120" s="23" t="s">
        <v>1147</v>
      </c>
      <c r="B2120" s="23" t="s">
        <v>1145</v>
      </c>
      <c r="C2120" s="23" t="s">
        <v>176</v>
      </c>
      <c r="D2120" s="23" t="s">
        <v>240</v>
      </c>
      <c r="E2120" s="23" t="s">
        <v>241</v>
      </c>
      <c r="F2120">
        <v>2.8</v>
      </c>
      <c r="G2120" s="23" t="s">
        <v>186</v>
      </c>
      <c r="H2120">
        <v>0</v>
      </c>
      <c r="I2120">
        <v>110</v>
      </c>
      <c r="J2120" s="10">
        <v>57.22</v>
      </c>
      <c r="K2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120">
        <v>0</v>
      </c>
      <c r="M21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0">
        <v>40</v>
      </c>
      <c r="O2120" s="23" t="s">
        <v>242</v>
      </c>
      <c r="P2120">
        <v>112</v>
      </c>
      <c r="Q2120" s="23" t="s">
        <v>181</v>
      </c>
    </row>
    <row r="2121" spans="1:17" x14ac:dyDescent="0.25">
      <c r="A2121" s="23" t="s">
        <v>1099</v>
      </c>
      <c r="B2121" s="23" t="s">
        <v>1056</v>
      </c>
      <c r="C2121" s="23" t="s">
        <v>176</v>
      </c>
      <c r="D2121" s="23" t="s">
        <v>240</v>
      </c>
      <c r="E2121" s="23" t="s">
        <v>241</v>
      </c>
      <c r="F2121">
        <v>5</v>
      </c>
      <c r="G2121" s="23" t="s">
        <v>186</v>
      </c>
      <c r="H2121">
        <v>5</v>
      </c>
      <c r="I2121">
        <v>110</v>
      </c>
      <c r="J2121" s="10">
        <v>57.22</v>
      </c>
      <c r="K2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121">
        <v>0</v>
      </c>
      <c r="M21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1">
        <v>40</v>
      </c>
      <c r="O2121" s="23" t="s">
        <v>242</v>
      </c>
      <c r="P2121">
        <v>200</v>
      </c>
      <c r="Q2121" s="23" t="s">
        <v>181</v>
      </c>
    </row>
    <row r="2122" spans="1:17" x14ac:dyDescent="0.25">
      <c r="A2122" s="23" t="s">
        <v>1148</v>
      </c>
      <c r="B2122" s="23" t="s">
        <v>1054</v>
      </c>
      <c r="C2122" s="23" t="s">
        <v>176</v>
      </c>
      <c r="D2122" s="23" t="s">
        <v>447</v>
      </c>
      <c r="E2122" s="23" t="s">
        <v>448</v>
      </c>
      <c r="F2122">
        <v>1</v>
      </c>
      <c r="G2122" s="23" t="s">
        <v>177</v>
      </c>
      <c r="H2122">
        <v>0</v>
      </c>
      <c r="I2122">
        <v>15</v>
      </c>
      <c r="J2122" s="10">
        <v>11</v>
      </c>
      <c r="K2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122">
        <v>0</v>
      </c>
      <c r="M21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2">
        <v>237.5</v>
      </c>
      <c r="O2122" s="23" t="s">
        <v>629</v>
      </c>
      <c r="P2122">
        <v>237.5</v>
      </c>
      <c r="Q2122" s="23" t="s">
        <v>181</v>
      </c>
    </row>
    <row r="2123" spans="1:17" x14ac:dyDescent="0.25">
      <c r="A2123" s="23" t="s">
        <v>1055</v>
      </c>
      <c r="B2123" s="23" t="s">
        <v>1056</v>
      </c>
      <c r="C2123" s="23" t="s">
        <v>176</v>
      </c>
      <c r="D2123" s="23" t="s">
        <v>932</v>
      </c>
      <c r="E2123" s="23" t="s">
        <v>933</v>
      </c>
      <c r="F2123">
        <v>40</v>
      </c>
      <c r="G2123" s="23" t="s">
        <v>183</v>
      </c>
      <c r="H2123">
        <v>0</v>
      </c>
      <c r="I2123">
        <v>0</v>
      </c>
      <c r="J2123" s="10">
        <v>68.954999999999984</v>
      </c>
      <c r="K2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123">
        <v>0</v>
      </c>
      <c r="M21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8381.6</v>
      </c>
      <c r="N2123">
        <v>209.54</v>
      </c>
      <c r="O2123" s="23" t="s">
        <v>224</v>
      </c>
      <c r="P2123">
        <v>8381.6</v>
      </c>
      <c r="Q2123" s="23" t="s">
        <v>182</v>
      </c>
    </row>
    <row r="2124" spans="1:17" x14ac:dyDescent="0.25">
      <c r="A2124" s="23" t="s">
        <v>1147</v>
      </c>
      <c r="B2124" s="23" t="s">
        <v>1145</v>
      </c>
      <c r="C2124" s="23" t="s">
        <v>176</v>
      </c>
      <c r="D2124" s="23" t="s">
        <v>219</v>
      </c>
      <c r="E2124" s="23" t="s">
        <v>220</v>
      </c>
      <c r="F2124">
        <v>2</v>
      </c>
      <c r="G2124" s="23" t="s">
        <v>177</v>
      </c>
      <c r="H2124">
        <v>0</v>
      </c>
      <c r="I2124">
        <v>288</v>
      </c>
      <c r="J2124" s="10">
        <v>94</v>
      </c>
      <c r="K2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124">
        <v>0</v>
      </c>
      <c r="M21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4">
        <v>4</v>
      </c>
      <c r="O2124" s="23" t="s">
        <v>221</v>
      </c>
      <c r="P2124">
        <v>8</v>
      </c>
      <c r="Q2124" s="23" t="s">
        <v>222</v>
      </c>
    </row>
    <row r="2125" spans="1:17" x14ac:dyDescent="0.25">
      <c r="A2125" s="23" t="s">
        <v>1148</v>
      </c>
      <c r="B2125" s="23" t="s">
        <v>1054</v>
      </c>
      <c r="C2125" s="23" t="s">
        <v>176</v>
      </c>
      <c r="D2125" s="23" t="s">
        <v>219</v>
      </c>
      <c r="E2125" s="23" t="s">
        <v>220</v>
      </c>
      <c r="F2125">
        <v>2</v>
      </c>
      <c r="G2125" s="23" t="s">
        <v>177</v>
      </c>
      <c r="H2125">
        <v>0</v>
      </c>
      <c r="I2125">
        <v>288</v>
      </c>
      <c r="J2125" s="10">
        <v>94</v>
      </c>
      <c r="K2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125">
        <v>0</v>
      </c>
      <c r="M21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5">
        <v>4</v>
      </c>
      <c r="O2125" s="23" t="s">
        <v>221</v>
      </c>
      <c r="P2125">
        <v>8</v>
      </c>
      <c r="Q2125" s="23" t="s">
        <v>222</v>
      </c>
    </row>
    <row r="2126" spans="1:17" x14ac:dyDescent="0.25">
      <c r="A2126" s="23" t="s">
        <v>1098</v>
      </c>
      <c r="B2126" s="23" t="s">
        <v>1053</v>
      </c>
      <c r="C2126" s="23" t="s">
        <v>176</v>
      </c>
      <c r="D2126" s="23" t="s">
        <v>797</v>
      </c>
      <c r="E2126" s="23" t="s">
        <v>798</v>
      </c>
      <c r="F2126">
        <v>30</v>
      </c>
      <c r="G2126" s="23" t="s">
        <v>177</v>
      </c>
      <c r="H2126">
        <v>0</v>
      </c>
      <c r="I2126">
        <v>200</v>
      </c>
      <c r="J2126" s="10">
        <v>61</v>
      </c>
      <c r="K2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-140</v>
      </c>
      <c r="L2126">
        <v>0</v>
      </c>
      <c r="M21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6">
        <v>12</v>
      </c>
      <c r="O2126" s="23" t="s">
        <v>227</v>
      </c>
      <c r="P2126">
        <v>360</v>
      </c>
      <c r="Q2126" s="23" t="s">
        <v>181</v>
      </c>
    </row>
    <row r="2127" spans="1:17" x14ac:dyDescent="0.25">
      <c r="A2127" s="23" t="s">
        <v>1100</v>
      </c>
      <c r="B2127" s="23" t="s">
        <v>1101</v>
      </c>
      <c r="C2127" s="23" t="s">
        <v>176</v>
      </c>
      <c r="D2127" s="23" t="s">
        <v>308</v>
      </c>
      <c r="E2127" s="23" t="s">
        <v>309</v>
      </c>
      <c r="F2127">
        <v>1</v>
      </c>
      <c r="G2127" s="23" t="s">
        <v>177</v>
      </c>
      <c r="H2127">
        <v>0</v>
      </c>
      <c r="I2127">
        <v>13</v>
      </c>
      <c r="J2127" s="10">
        <v>1</v>
      </c>
      <c r="K2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127">
        <v>0</v>
      </c>
      <c r="M21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2127">
        <v>65.42</v>
      </c>
      <c r="O2127" s="23" t="s">
        <v>629</v>
      </c>
      <c r="P2127">
        <v>65.42</v>
      </c>
      <c r="Q2127" s="23" t="s">
        <v>179</v>
      </c>
    </row>
    <row r="2128" spans="1:17" x14ac:dyDescent="0.25">
      <c r="A2128" s="23" t="s">
        <v>1180</v>
      </c>
      <c r="B2128" s="23" t="s">
        <v>1181</v>
      </c>
      <c r="C2128" s="23" t="s">
        <v>176</v>
      </c>
      <c r="D2128" s="23" t="s">
        <v>934</v>
      </c>
      <c r="E2128" s="23" t="s">
        <v>935</v>
      </c>
      <c r="F2128">
        <v>2</v>
      </c>
      <c r="G2128" s="23" t="s">
        <v>177</v>
      </c>
      <c r="H2128">
        <v>0</v>
      </c>
      <c r="I2128">
        <v>33</v>
      </c>
      <c r="J2128" s="10">
        <v>16</v>
      </c>
      <c r="K2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128">
        <v>0</v>
      </c>
      <c r="M21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8">
        <v>930</v>
      </c>
      <c r="O2128" s="23" t="s">
        <v>221</v>
      </c>
      <c r="P2128">
        <v>1860</v>
      </c>
      <c r="Q2128" s="23" t="s">
        <v>222</v>
      </c>
    </row>
    <row r="2129" spans="1:17" x14ac:dyDescent="0.25">
      <c r="A2129" s="23" t="s">
        <v>1058</v>
      </c>
      <c r="B2129" s="23" t="s">
        <v>1059</v>
      </c>
      <c r="C2129" s="23" t="s">
        <v>176</v>
      </c>
      <c r="D2129" s="23" t="s">
        <v>240</v>
      </c>
      <c r="E2129" s="23" t="s">
        <v>241</v>
      </c>
      <c r="F2129">
        <v>3</v>
      </c>
      <c r="G2129" s="23" t="s">
        <v>186</v>
      </c>
      <c r="H2129">
        <v>3</v>
      </c>
      <c r="I2129">
        <v>110</v>
      </c>
      <c r="J2129" s="10">
        <v>57.22</v>
      </c>
      <c r="K2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2129">
        <v>0</v>
      </c>
      <c r="M21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29">
        <v>40</v>
      </c>
      <c r="O2129" s="23" t="s">
        <v>242</v>
      </c>
      <c r="P2129">
        <v>120</v>
      </c>
      <c r="Q2129" s="23" t="s">
        <v>181</v>
      </c>
    </row>
    <row r="2130" spans="1:17" x14ac:dyDescent="0.25">
      <c r="A2130" s="23" t="s">
        <v>1058</v>
      </c>
      <c r="B2130" s="23" t="s">
        <v>1059</v>
      </c>
      <c r="C2130" s="23" t="s">
        <v>176</v>
      </c>
      <c r="D2130" s="23" t="s">
        <v>961</v>
      </c>
      <c r="E2130" s="23" t="s">
        <v>962</v>
      </c>
      <c r="F2130">
        <v>1</v>
      </c>
      <c r="G2130" s="23" t="s">
        <v>177</v>
      </c>
      <c r="H2130">
        <v>0</v>
      </c>
      <c r="I2130">
        <v>4</v>
      </c>
      <c r="J2130" s="10">
        <v>2</v>
      </c>
      <c r="K2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130">
        <v>0</v>
      </c>
      <c r="M21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0">
        <v>2249.17</v>
      </c>
      <c r="O2130" s="23" t="s">
        <v>1072</v>
      </c>
      <c r="P2130">
        <v>2249.17</v>
      </c>
      <c r="Q2130" s="23" t="s">
        <v>178</v>
      </c>
    </row>
    <row r="2131" spans="1:17" x14ac:dyDescent="0.25">
      <c r="A2131" s="23" t="s">
        <v>1149</v>
      </c>
      <c r="B2131" s="23" t="s">
        <v>1145</v>
      </c>
      <c r="C2131" s="23" t="s">
        <v>176</v>
      </c>
      <c r="D2131" s="23" t="s">
        <v>414</v>
      </c>
      <c r="E2131" s="23" t="s">
        <v>665</v>
      </c>
      <c r="F2131">
        <v>0.30000000000000004</v>
      </c>
      <c r="G2131" s="23" t="s">
        <v>180</v>
      </c>
      <c r="H2131">
        <v>0</v>
      </c>
      <c r="I2131">
        <v>0</v>
      </c>
      <c r="J2131" s="10">
        <v>93.8</v>
      </c>
      <c r="K2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31">
        <v>0</v>
      </c>
      <c r="M21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31">
        <v>6.77</v>
      </c>
      <c r="O2131" s="23" t="s">
        <v>636</v>
      </c>
      <c r="P2131">
        <v>2.0310000000000001</v>
      </c>
      <c r="Q2131" s="23" t="s">
        <v>222</v>
      </c>
    </row>
    <row r="2132" spans="1:17" x14ac:dyDescent="0.25">
      <c r="A2132" s="23" t="s">
        <v>1146</v>
      </c>
      <c r="B2132" s="23" t="s">
        <v>1145</v>
      </c>
      <c r="C2132" s="23" t="s">
        <v>176</v>
      </c>
      <c r="D2132" s="23" t="s">
        <v>414</v>
      </c>
      <c r="E2132" s="23" t="s">
        <v>665</v>
      </c>
      <c r="F2132">
        <v>0.30000000000000004</v>
      </c>
      <c r="G2132" s="23" t="s">
        <v>180</v>
      </c>
      <c r="H2132">
        <v>0</v>
      </c>
      <c r="I2132">
        <v>0</v>
      </c>
      <c r="J2132" s="10">
        <v>93.8</v>
      </c>
      <c r="K2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32">
        <v>0</v>
      </c>
      <c r="M21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32">
        <v>6.77</v>
      </c>
      <c r="O2132" s="23" t="s">
        <v>636</v>
      </c>
      <c r="P2132">
        <v>2.0310000000000001</v>
      </c>
      <c r="Q2132" s="23" t="s">
        <v>222</v>
      </c>
    </row>
    <row r="2133" spans="1:17" x14ac:dyDescent="0.25">
      <c r="A2133" s="23" t="s">
        <v>1149</v>
      </c>
      <c r="B2133" s="23" t="s">
        <v>1145</v>
      </c>
      <c r="C2133" s="23" t="s">
        <v>176</v>
      </c>
      <c r="D2133" s="23" t="s">
        <v>239</v>
      </c>
      <c r="E2133" s="23" t="s">
        <v>307</v>
      </c>
      <c r="F2133">
        <v>2</v>
      </c>
      <c r="G2133" s="23" t="s">
        <v>177</v>
      </c>
      <c r="H2133">
        <v>0</v>
      </c>
      <c r="I2133">
        <v>40</v>
      </c>
      <c r="J2133" s="10">
        <v>18</v>
      </c>
      <c r="K2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133">
        <v>0</v>
      </c>
      <c r="M21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3">
        <v>45.3</v>
      </c>
      <c r="O2133" s="23" t="s">
        <v>827</v>
      </c>
      <c r="P2133">
        <v>90.6</v>
      </c>
      <c r="Q2133" s="23" t="s">
        <v>222</v>
      </c>
    </row>
    <row r="2134" spans="1:17" x14ac:dyDescent="0.25">
      <c r="A2134" s="23" t="s">
        <v>1146</v>
      </c>
      <c r="B2134" s="23" t="s">
        <v>1145</v>
      </c>
      <c r="C2134" s="23" t="s">
        <v>176</v>
      </c>
      <c r="D2134" s="23" t="s">
        <v>239</v>
      </c>
      <c r="E2134" s="23" t="s">
        <v>307</v>
      </c>
      <c r="F2134">
        <v>2</v>
      </c>
      <c r="G2134" s="23" t="s">
        <v>177</v>
      </c>
      <c r="H2134">
        <v>0</v>
      </c>
      <c r="I2134">
        <v>40</v>
      </c>
      <c r="J2134" s="10">
        <v>18</v>
      </c>
      <c r="K2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134">
        <v>0</v>
      </c>
      <c r="M21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4">
        <v>45.3</v>
      </c>
      <c r="O2134" s="23" t="s">
        <v>827</v>
      </c>
      <c r="P2134">
        <v>90.6</v>
      </c>
      <c r="Q2134" s="23" t="s">
        <v>222</v>
      </c>
    </row>
    <row r="2135" spans="1:17" x14ac:dyDescent="0.25">
      <c r="A2135" s="23" t="s">
        <v>1147</v>
      </c>
      <c r="B2135" s="23" t="s">
        <v>1145</v>
      </c>
      <c r="C2135" s="23" t="s">
        <v>176</v>
      </c>
      <c r="D2135" s="23" t="s">
        <v>414</v>
      </c>
      <c r="E2135" s="23" t="s">
        <v>665</v>
      </c>
      <c r="F2135">
        <v>0.30000000000000004</v>
      </c>
      <c r="G2135" s="23" t="s">
        <v>180</v>
      </c>
      <c r="H2135">
        <v>0</v>
      </c>
      <c r="I2135">
        <v>0</v>
      </c>
      <c r="J2135" s="10">
        <v>93.8</v>
      </c>
      <c r="K2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35">
        <v>0</v>
      </c>
      <c r="M21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35">
        <v>6.77</v>
      </c>
      <c r="O2135" s="23" t="s">
        <v>636</v>
      </c>
      <c r="P2135">
        <v>2.0310000000000001</v>
      </c>
      <c r="Q2135" s="23" t="s">
        <v>222</v>
      </c>
    </row>
    <row r="2136" spans="1:17" x14ac:dyDescent="0.25">
      <c r="A2136" s="23" t="s">
        <v>1055</v>
      </c>
      <c r="B2136" s="23" t="s">
        <v>1056</v>
      </c>
      <c r="C2136" s="23" t="s">
        <v>176</v>
      </c>
      <c r="D2136" s="23" t="s">
        <v>414</v>
      </c>
      <c r="E2136" s="23" t="s">
        <v>665</v>
      </c>
      <c r="F2136">
        <v>0.30000000000000004</v>
      </c>
      <c r="G2136" s="23" t="s">
        <v>180</v>
      </c>
      <c r="H2136">
        <v>0</v>
      </c>
      <c r="I2136">
        <v>0</v>
      </c>
      <c r="J2136" s="10">
        <v>93.8</v>
      </c>
      <c r="K2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36">
        <v>0</v>
      </c>
      <c r="M21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36">
        <v>6.77</v>
      </c>
      <c r="O2136" s="23" t="s">
        <v>636</v>
      </c>
      <c r="P2136">
        <v>2.0310000000000001</v>
      </c>
      <c r="Q2136" s="23" t="s">
        <v>222</v>
      </c>
    </row>
    <row r="2137" spans="1:17" x14ac:dyDescent="0.25">
      <c r="A2137" s="23" t="s">
        <v>1099</v>
      </c>
      <c r="B2137" s="23" t="s">
        <v>1056</v>
      </c>
      <c r="C2137" s="23" t="s">
        <v>176</v>
      </c>
      <c r="D2137" s="23" t="s">
        <v>414</v>
      </c>
      <c r="E2137" s="23" t="s">
        <v>665</v>
      </c>
      <c r="F2137">
        <v>0.30000000000000004</v>
      </c>
      <c r="G2137" s="23" t="s">
        <v>180</v>
      </c>
      <c r="H2137">
        <v>0</v>
      </c>
      <c r="I2137">
        <v>0</v>
      </c>
      <c r="J2137" s="10">
        <v>93.8</v>
      </c>
      <c r="K2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37">
        <v>0</v>
      </c>
      <c r="M21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37">
        <v>6.77</v>
      </c>
      <c r="O2137" s="23" t="s">
        <v>636</v>
      </c>
      <c r="P2137">
        <v>2.0310000000000001</v>
      </c>
      <c r="Q2137" s="23" t="s">
        <v>222</v>
      </c>
    </row>
    <row r="2138" spans="1:17" x14ac:dyDescent="0.25">
      <c r="A2138" s="23" t="s">
        <v>1147</v>
      </c>
      <c r="B2138" s="23" t="s">
        <v>1145</v>
      </c>
      <c r="C2138" s="23" t="s">
        <v>176</v>
      </c>
      <c r="D2138" s="23" t="s">
        <v>239</v>
      </c>
      <c r="E2138" s="23" t="s">
        <v>307</v>
      </c>
      <c r="F2138">
        <v>2</v>
      </c>
      <c r="G2138" s="23" t="s">
        <v>177</v>
      </c>
      <c r="H2138">
        <v>0</v>
      </c>
      <c r="I2138">
        <v>40</v>
      </c>
      <c r="J2138" s="10">
        <v>18</v>
      </c>
      <c r="K2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138">
        <v>0</v>
      </c>
      <c r="M21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8">
        <v>45.3</v>
      </c>
      <c r="O2138" s="23" t="s">
        <v>827</v>
      </c>
      <c r="P2138">
        <v>90.6</v>
      </c>
      <c r="Q2138" s="23" t="s">
        <v>222</v>
      </c>
    </row>
    <row r="2139" spans="1:17" x14ac:dyDescent="0.25">
      <c r="A2139" s="23" t="s">
        <v>1099</v>
      </c>
      <c r="B2139" s="23" t="s">
        <v>1056</v>
      </c>
      <c r="C2139" s="23" t="s">
        <v>176</v>
      </c>
      <c r="D2139" s="23" t="s">
        <v>239</v>
      </c>
      <c r="E2139" s="23" t="s">
        <v>307</v>
      </c>
      <c r="F2139">
        <v>2</v>
      </c>
      <c r="G2139" s="23" t="s">
        <v>177</v>
      </c>
      <c r="H2139">
        <v>2</v>
      </c>
      <c r="I2139">
        <v>40</v>
      </c>
      <c r="J2139" s="10">
        <v>18</v>
      </c>
      <c r="K2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139">
        <v>0</v>
      </c>
      <c r="M21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39">
        <v>45.3</v>
      </c>
      <c r="O2139" s="23" t="s">
        <v>827</v>
      </c>
      <c r="P2139">
        <v>90.6</v>
      </c>
      <c r="Q2139" s="23" t="s">
        <v>222</v>
      </c>
    </row>
    <row r="2140" spans="1:17" x14ac:dyDescent="0.25">
      <c r="A2140" s="23" t="s">
        <v>1094</v>
      </c>
      <c r="B2140" s="23" t="s">
        <v>1095</v>
      </c>
      <c r="C2140" s="23" t="s">
        <v>176</v>
      </c>
      <c r="D2140" s="23" t="s">
        <v>81</v>
      </c>
      <c r="E2140" s="23" t="s">
        <v>82</v>
      </c>
      <c r="F2140">
        <v>0.5</v>
      </c>
      <c r="G2140" s="23" t="s">
        <v>177</v>
      </c>
      <c r="H2140">
        <v>0</v>
      </c>
      <c r="I2140">
        <v>0</v>
      </c>
      <c r="J2140" s="10">
        <v>0.49999999999995737</v>
      </c>
      <c r="K2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140">
        <v>10</v>
      </c>
      <c r="M21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140">
        <v>666.67</v>
      </c>
      <c r="O2140" s="23" t="s">
        <v>224</v>
      </c>
      <c r="P2140">
        <v>333.33499999999998</v>
      </c>
      <c r="Q2140" s="23" t="s">
        <v>182</v>
      </c>
    </row>
    <row r="2141" spans="1:17" x14ac:dyDescent="0.25">
      <c r="A2141" s="23" t="s">
        <v>1057</v>
      </c>
      <c r="B2141" s="23" t="s">
        <v>1056</v>
      </c>
      <c r="C2141" s="23" t="s">
        <v>176</v>
      </c>
      <c r="D2141" s="23" t="s">
        <v>414</v>
      </c>
      <c r="E2141" s="23" t="s">
        <v>665</v>
      </c>
      <c r="F2141">
        <v>0.30000000000000004</v>
      </c>
      <c r="G2141" s="23" t="s">
        <v>180</v>
      </c>
      <c r="H2141">
        <v>0</v>
      </c>
      <c r="I2141">
        <v>0</v>
      </c>
      <c r="J2141" s="10">
        <v>93.8</v>
      </c>
      <c r="K2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41">
        <v>0</v>
      </c>
      <c r="M21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41">
        <v>6.77</v>
      </c>
      <c r="O2141" s="23" t="s">
        <v>636</v>
      </c>
      <c r="P2141">
        <v>2.0310000000000001</v>
      </c>
      <c r="Q2141" s="23" t="s">
        <v>222</v>
      </c>
    </row>
    <row r="2142" spans="1:17" x14ac:dyDescent="0.25">
      <c r="A2142" s="23" t="s">
        <v>1143</v>
      </c>
      <c r="B2142" s="23" t="s">
        <v>1054</v>
      </c>
      <c r="C2142" s="23" t="s">
        <v>176</v>
      </c>
      <c r="D2142" s="23" t="s">
        <v>414</v>
      </c>
      <c r="E2142" s="23" t="s">
        <v>665</v>
      </c>
      <c r="F2142">
        <v>0.2</v>
      </c>
      <c r="G2142" s="23" t="s">
        <v>180</v>
      </c>
      <c r="H2142">
        <v>0</v>
      </c>
      <c r="I2142">
        <v>0</v>
      </c>
      <c r="J2142" s="10">
        <v>93.8</v>
      </c>
      <c r="K2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142">
        <v>0</v>
      </c>
      <c r="M21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142">
        <v>6.77</v>
      </c>
      <c r="O2142" s="23" t="s">
        <v>636</v>
      </c>
      <c r="P2142">
        <v>1.3540000000000001</v>
      </c>
      <c r="Q2142" s="23" t="s">
        <v>222</v>
      </c>
    </row>
    <row r="2143" spans="1:17" x14ac:dyDescent="0.25">
      <c r="A2143" s="23" t="s">
        <v>1097</v>
      </c>
      <c r="B2143" s="23" t="s">
        <v>1095</v>
      </c>
      <c r="C2143" s="23" t="s">
        <v>176</v>
      </c>
      <c r="D2143" s="23" t="s">
        <v>271</v>
      </c>
      <c r="E2143" s="23" t="s">
        <v>272</v>
      </c>
      <c r="F2143">
        <v>1</v>
      </c>
      <c r="G2143" s="23" t="s">
        <v>177</v>
      </c>
      <c r="H2143">
        <v>0</v>
      </c>
      <c r="I2143">
        <v>14</v>
      </c>
      <c r="J2143" s="10">
        <v>8</v>
      </c>
      <c r="K2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143">
        <v>0</v>
      </c>
      <c r="M21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3">
        <v>270</v>
      </c>
      <c r="O2143" s="23" t="s">
        <v>221</v>
      </c>
      <c r="P2143">
        <v>270</v>
      </c>
      <c r="Q2143" s="23" t="s">
        <v>222</v>
      </c>
    </row>
    <row r="2144" spans="1:17" x14ac:dyDescent="0.25">
      <c r="A2144" s="23" t="s">
        <v>1197</v>
      </c>
      <c r="B2144" s="23" t="s">
        <v>1198</v>
      </c>
      <c r="C2144" s="23" t="s">
        <v>176</v>
      </c>
      <c r="D2144" s="23" t="s">
        <v>1158</v>
      </c>
      <c r="E2144" s="23" t="s">
        <v>1159</v>
      </c>
      <c r="F2144">
        <v>6</v>
      </c>
      <c r="G2144" s="23" t="s">
        <v>177</v>
      </c>
      <c r="H2144">
        <v>0</v>
      </c>
      <c r="I2144">
        <v>0</v>
      </c>
      <c r="J2144" s="10">
        <v>0</v>
      </c>
      <c r="K2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2144">
        <v>0</v>
      </c>
      <c r="M21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4">
        <v>0</v>
      </c>
      <c r="O2144" s="23"/>
      <c r="P2144">
        <v>0</v>
      </c>
      <c r="Q2144" s="23" t="s">
        <v>181</v>
      </c>
    </row>
    <row r="2145" spans="1:17" x14ac:dyDescent="0.25">
      <c r="A2145" s="23" t="s">
        <v>1147</v>
      </c>
      <c r="B2145" s="23" t="s">
        <v>1145</v>
      </c>
      <c r="C2145" s="23" t="s">
        <v>176</v>
      </c>
      <c r="D2145" s="23" t="s">
        <v>747</v>
      </c>
      <c r="E2145" s="23" t="s">
        <v>748</v>
      </c>
      <c r="F2145">
        <v>2</v>
      </c>
      <c r="G2145" s="23" t="s">
        <v>177</v>
      </c>
      <c r="H2145">
        <v>0</v>
      </c>
      <c r="I2145">
        <v>3</v>
      </c>
      <c r="J2145" s="10">
        <v>0</v>
      </c>
      <c r="K2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2145">
        <v>0</v>
      </c>
      <c r="M21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2145">
        <v>54</v>
      </c>
      <c r="O2145" s="23" t="s">
        <v>227</v>
      </c>
      <c r="P2145">
        <v>108</v>
      </c>
      <c r="Q2145" s="23" t="s">
        <v>181</v>
      </c>
    </row>
    <row r="2146" spans="1:17" x14ac:dyDescent="0.25">
      <c r="A2146" s="23" t="s">
        <v>1147</v>
      </c>
      <c r="B2146" s="23" t="s">
        <v>1145</v>
      </c>
      <c r="C2146" s="23" t="s">
        <v>176</v>
      </c>
      <c r="D2146" s="23" t="s">
        <v>271</v>
      </c>
      <c r="E2146" s="23" t="s">
        <v>272</v>
      </c>
      <c r="F2146">
        <v>1</v>
      </c>
      <c r="G2146" s="23" t="s">
        <v>177</v>
      </c>
      <c r="H2146">
        <v>0</v>
      </c>
      <c r="I2146">
        <v>14</v>
      </c>
      <c r="J2146" s="10">
        <v>8</v>
      </c>
      <c r="K2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146">
        <v>0</v>
      </c>
      <c r="M21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6">
        <v>270</v>
      </c>
      <c r="O2146" s="23" t="s">
        <v>221</v>
      </c>
      <c r="P2146">
        <v>270</v>
      </c>
      <c r="Q2146" s="23" t="s">
        <v>222</v>
      </c>
    </row>
    <row r="2147" spans="1:17" x14ac:dyDescent="0.25">
      <c r="A2147" s="23" t="s">
        <v>1147</v>
      </c>
      <c r="B2147" s="23" t="s">
        <v>1145</v>
      </c>
      <c r="C2147" s="23" t="s">
        <v>176</v>
      </c>
      <c r="D2147" s="23" t="s">
        <v>1158</v>
      </c>
      <c r="E2147" s="23" t="s">
        <v>1159</v>
      </c>
      <c r="F2147">
        <v>10</v>
      </c>
      <c r="G2147" s="23" t="s">
        <v>177</v>
      </c>
      <c r="H2147">
        <v>0</v>
      </c>
      <c r="I2147">
        <v>0</v>
      </c>
      <c r="J2147" s="10">
        <v>0</v>
      </c>
      <c r="K2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2147">
        <v>0</v>
      </c>
      <c r="M21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7">
        <v>0</v>
      </c>
      <c r="O2147" s="23"/>
      <c r="P2147">
        <v>0</v>
      </c>
      <c r="Q2147" s="23" t="s">
        <v>181</v>
      </c>
    </row>
    <row r="2148" spans="1:17" x14ac:dyDescent="0.25">
      <c r="A2148" s="23" t="s">
        <v>1058</v>
      </c>
      <c r="B2148" s="23" t="s">
        <v>1059</v>
      </c>
      <c r="C2148" s="23" t="s">
        <v>176</v>
      </c>
      <c r="D2148" s="23" t="s">
        <v>93</v>
      </c>
      <c r="E2148" s="23" t="s">
        <v>94</v>
      </c>
      <c r="F2148">
        <v>4</v>
      </c>
      <c r="G2148" s="23" t="s">
        <v>177</v>
      </c>
      <c r="H2148">
        <v>0</v>
      </c>
      <c r="I2148">
        <v>105</v>
      </c>
      <c r="J2148" s="10">
        <v>56</v>
      </c>
      <c r="K2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148">
        <v>0</v>
      </c>
      <c r="M21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8">
        <v>72.599999999999994</v>
      </c>
      <c r="O2148" s="23" t="s">
        <v>242</v>
      </c>
      <c r="P2148">
        <v>290.39999999999998</v>
      </c>
      <c r="Q2148" s="23" t="s">
        <v>179</v>
      </c>
    </row>
    <row r="2149" spans="1:17" x14ac:dyDescent="0.25">
      <c r="A2149" s="23" t="s">
        <v>1055</v>
      </c>
      <c r="B2149" s="23" t="s">
        <v>1056</v>
      </c>
      <c r="C2149" s="23" t="s">
        <v>176</v>
      </c>
      <c r="D2149" s="23" t="s">
        <v>93</v>
      </c>
      <c r="E2149" s="23" t="s">
        <v>94</v>
      </c>
      <c r="F2149">
        <v>6</v>
      </c>
      <c r="G2149" s="23" t="s">
        <v>177</v>
      </c>
      <c r="H2149">
        <v>0</v>
      </c>
      <c r="I2149">
        <v>105</v>
      </c>
      <c r="J2149" s="10">
        <v>56</v>
      </c>
      <c r="K2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149">
        <v>0</v>
      </c>
      <c r="M21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49">
        <v>72.599999999999994</v>
      </c>
      <c r="O2149" s="23" t="s">
        <v>242</v>
      </c>
      <c r="P2149">
        <v>435.59999999999997</v>
      </c>
      <c r="Q2149" s="23" t="s">
        <v>179</v>
      </c>
    </row>
    <row r="2150" spans="1:17" x14ac:dyDescent="0.25">
      <c r="A2150" s="23" t="s">
        <v>1099</v>
      </c>
      <c r="B2150" s="23" t="s">
        <v>1056</v>
      </c>
      <c r="C2150" s="23" t="s">
        <v>176</v>
      </c>
      <c r="D2150" s="23" t="s">
        <v>93</v>
      </c>
      <c r="E2150" s="23" t="s">
        <v>94</v>
      </c>
      <c r="F2150">
        <v>6</v>
      </c>
      <c r="G2150" s="23" t="s">
        <v>177</v>
      </c>
      <c r="H2150">
        <v>0</v>
      </c>
      <c r="I2150">
        <v>105</v>
      </c>
      <c r="J2150" s="10">
        <v>56</v>
      </c>
      <c r="K2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150">
        <v>0</v>
      </c>
      <c r="M21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0">
        <v>72.599999999999994</v>
      </c>
      <c r="O2150" s="23" t="s">
        <v>242</v>
      </c>
      <c r="P2150">
        <v>435.59999999999997</v>
      </c>
      <c r="Q2150" s="23" t="s">
        <v>179</v>
      </c>
    </row>
    <row r="2151" spans="1:17" x14ac:dyDescent="0.25">
      <c r="A2151" s="23" t="s">
        <v>1058</v>
      </c>
      <c r="B2151" s="23" t="s">
        <v>1059</v>
      </c>
      <c r="C2151" s="23" t="s">
        <v>176</v>
      </c>
      <c r="D2151" s="23" t="s">
        <v>847</v>
      </c>
      <c r="E2151" s="23" t="s">
        <v>848</v>
      </c>
      <c r="F2151">
        <v>2</v>
      </c>
      <c r="G2151" s="23" t="s">
        <v>183</v>
      </c>
      <c r="H2151">
        <v>0</v>
      </c>
      <c r="I2151">
        <v>0</v>
      </c>
      <c r="J2151" s="10">
        <v>-1.4210854715202004E-14</v>
      </c>
      <c r="K2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151">
        <v>0</v>
      </c>
      <c r="M21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151">
        <v>546.6</v>
      </c>
      <c r="O2151" s="23" t="s">
        <v>255</v>
      </c>
      <c r="P2151">
        <v>1093.2</v>
      </c>
      <c r="Q2151" s="23" t="s">
        <v>182</v>
      </c>
    </row>
    <row r="2152" spans="1:17" x14ac:dyDescent="0.25">
      <c r="A2152" s="23" t="s">
        <v>1147</v>
      </c>
      <c r="B2152" s="23" t="s">
        <v>1145</v>
      </c>
      <c r="C2152" s="23" t="s">
        <v>176</v>
      </c>
      <c r="D2152" s="23" t="s">
        <v>847</v>
      </c>
      <c r="E2152" s="23" t="s">
        <v>848</v>
      </c>
      <c r="F2152">
        <v>2</v>
      </c>
      <c r="G2152" s="23" t="s">
        <v>183</v>
      </c>
      <c r="H2152">
        <v>0</v>
      </c>
      <c r="I2152">
        <v>0</v>
      </c>
      <c r="J2152" s="10">
        <v>-1.4210854715202004E-14</v>
      </c>
      <c r="K2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152">
        <v>0</v>
      </c>
      <c r="M21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152">
        <v>546.6</v>
      </c>
      <c r="O2152" s="23" t="s">
        <v>255</v>
      </c>
      <c r="P2152">
        <v>1093.2</v>
      </c>
      <c r="Q2152" s="23" t="s">
        <v>182</v>
      </c>
    </row>
    <row r="2153" spans="1:17" x14ac:dyDescent="0.25">
      <c r="A2153" s="23" t="s">
        <v>1148</v>
      </c>
      <c r="B2153" s="23" t="s">
        <v>1054</v>
      </c>
      <c r="C2153" s="23" t="s">
        <v>176</v>
      </c>
      <c r="D2153" s="23" t="s">
        <v>525</v>
      </c>
      <c r="E2153" s="23" t="s">
        <v>526</v>
      </c>
      <c r="F2153">
        <v>7</v>
      </c>
      <c r="G2153" s="23" t="s">
        <v>177</v>
      </c>
      <c r="H2153">
        <v>0</v>
      </c>
      <c r="I2153">
        <v>400</v>
      </c>
      <c r="J2153" s="10">
        <v>225</v>
      </c>
      <c r="K2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153">
        <v>0</v>
      </c>
      <c r="M21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3">
        <v>12</v>
      </c>
      <c r="O2153" s="23" t="s">
        <v>227</v>
      </c>
      <c r="P2153">
        <v>84</v>
      </c>
      <c r="Q2153" s="23" t="s">
        <v>181</v>
      </c>
    </row>
    <row r="2154" spans="1:17" x14ac:dyDescent="0.25">
      <c r="A2154" s="23" t="s">
        <v>1147</v>
      </c>
      <c r="B2154" s="23" t="s">
        <v>1145</v>
      </c>
      <c r="C2154" s="23" t="s">
        <v>176</v>
      </c>
      <c r="D2154" s="23" t="s">
        <v>525</v>
      </c>
      <c r="E2154" s="23" t="s">
        <v>526</v>
      </c>
      <c r="F2154">
        <v>7</v>
      </c>
      <c r="G2154" s="23" t="s">
        <v>177</v>
      </c>
      <c r="H2154">
        <v>0</v>
      </c>
      <c r="I2154">
        <v>400</v>
      </c>
      <c r="J2154" s="10">
        <v>225</v>
      </c>
      <c r="K2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154">
        <v>0</v>
      </c>
      <c r="M21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4">
        <v>12</v>
      </c>
      <c r="O2154" s="23" t="s">
        <v>227</v>
      </c>
      <c r="P2154">
        <v>84</v>
      </c>
      <c r="Q2154" s="23" t="s">
        <v>181</v>
      </c>
    </row>
    <row r="2155" spans="1:17" x14ac:dyDescent="0.25">
      <c r="A2155" s="23" t="s">
        <v>1055</v>
      </c>
      <c r="B2155" s="23" t="s">
        <v>1056</v>
      </c>
      <c r="C2155" s="23" t="s">
        <v>176</v>
      </c>
      <c r="D2155" s="23" t="s">
        <v>527</v>
      </c>
      <c r="E2155" s="23" t="s">
        <v>528</v>
      </c>
      <c r="F2155">
        <v>0.8</v>
      </c>
      <c r="G2155" s="23" t="s">
        <v>180</v>
      </c>
      <c r="H2155">
        <v>0</v>
      </c>
      <c r="I2155">
        <v>20</v>
      </c>
      <c r="J2155" s="10">
        <v>2.6645352591003757E-15</v>
      </c>
      <c r="K2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2155">
        <v>0</v>
      </c>
      <c r="M21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5">
        <v>38.33</v>
      </c>
      <c r="O2155" s="23" t="s">
        <v>256</v>
      </c>
      <c r="P2155">
        <v>30.664000000000001</v>
      </c>
      <c r="Q2155" s="23" t="s">
        <v>181</v>
      </c>
    </row>
    <row r="2156" spans="1:17" x14ac:dyDescent="0.25">
      <c r="A2156" s="23" t="s">
        <v>1148</v>
      </c>
      <c r="B2156" s="23" t="s">
        <v>1054</v>
      </c>
      <c r="C2156" s="23" t="s">
        <v>176</v>
      </c>
      <c r="D2156" s="23" t="s">
        <v>527</v>
      </c>
      <c r="E2156" s="23" t="s">
        <v>528</v>
      </c>
      <c r="F2156">
        <v>1</v>
      </c>
      <c r="G2156" s="23" t="s">
        <v>180</v>
      </c>
      <c r="H2156">
        <v>0</v>
      </c>
      <c r="I2156">
        <v>20</v>
      </c>
      <c r="J2156" s="10">
        <v>2.6645352591003757E-15</v>
      </c>
      <c r="K2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2156">
        <v>0</v>
      </c>
      <c r="M21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6">
        <v>38.33</v>
      </c>
      <c r="O2156" s="23" t="s">
        <v>256</v>
      </c>
      <c r="P2156">
        <v>38.33</v>
      </c>
      <c r="Q2156" s="23" t="s">
        <v>181</v>
      </c>
    </row>
    <row r="2157" spans="1:17" x14ac:dyDescent="0.25">
      <c r="A2157" s="23" t="s">
        <v>1058</v>
      </c>
      <c r="B2157" s="23" t="s">
        <v>1059</v>
      </c>
      <c r="C2157" s="23" t="s">
        <v>176</v>
      </c>
      <c r="D2157" s="23" t="s">
        <v>330</v>
      </c>
      <c r="E2157" s="23" t="s">
        <v>331</v>
      </c>
      <c r="F2157">
        <v>6</v>
      </c>
      <c r="G2157" s="23" t="s">
        <v>177</v>
      </c>
      <c r="H2157">
        <v>0</v>
      </c>
      <c r="I2157">
        <v>118</v>
      </c>
      <c r="J2157" s="10">
        <v>18</v>
      </c>
      <c r="K2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157">
        <v>0</v>
      </c>
      <c r="M21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7">
        <v>14.5</v>
      </c>
      <c r="O2157" s="23" t="s">
        <v>242</v>
      </c>
      <c r="P2157">
        <v>87</v>
      </c>
      <c r="Q2157" s="23" t="s">
        <v>181</v>
      </c>
    </row>
    <row r="2158" spans="1:17" x14ac:dyDescent="0.25">
      <c r="A2158" s="23" t="s">
        <v>1099</v>
      </c>
      <c r="B2158" s="23" t="s">
        <v>1056</v>
      </c>
      <c r="C2158" s="23" t="s">
        <v>176</v>
      </c>
      <c r="D2158" s="23" t="s">
        <v>519</v>
      </c>
      <c r="E2158" s="23" t="s">
        <v>520</v>
      </c>
      <c r="F2158">
        <v>3</v>
      </c>
      <c r="G2158" s="23" t="s">
        <v>177</v>
      </c>
      <c r="H2158">
        <v>0</v>
      </c>
      <c r="I2158">
        <v>111</v>
      </c>
      <c r="J2158" s="10">
        <v>1.1191048088221578E-13</v>
      </c>
      <c r="K2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158">
        <v>0</v>
      </c>
      <c r="M21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8">
        <v>36</v>
      </c>
      <c r="O2158" s="23" t="s">
        <v>242</v>
      </c>
      <c r="P2158">
        <v>108</v>
      </c>
      <c r="Q2158" s="23" t="s">
        <v>181</v>
      </c>
    </row>
    <row r="2159" spans="1:17" x14ac:dyDescent="0.25">
      <c r="A2159" s="23" t="s">
        <v>1099</v>
      </c>
      <c r="B2159" s="23" t="s">
        <v>1056</v>
      </c>
      <c r="C2159" s="23" t="s">
        <v>176</v>
      </c>
      <c r="D2159" s="23" t="s">
        <v>521</v>
      </c>
      <c r="E2159" s="23" t="s">
        <v>522</v>
      </c>
      <c r="F2159">
        <v>2</v>
      </c>
      <c r="G2159" s="23" t="s">
        <v>177</v>
      </c>
      <c r="H2159">
        <v>0</v>
      </c>
      <c r="I2159">
        <v>200</v>
      </c>
      <c r="J2159" s="10">
        <v>70</v>
      </c>
      <c r="K2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2159">
        <v>0</v>
      </c>
      <c r="M21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59">
        <v>10</v>
      </c>
      <c r="O2159" s="23" t="s">
        <v>227</v>
      </c>
      <c r="P2159">
        <v>20</v>
      </c>
      <c r="Q2159" s="23" t="s">
        <v>181</v>
      </c>
    </row>
    <row r="2160" spans="1:17" x14ac:dyDescent="0.25">
      <c r="A2160" s="23" t="s">
        <v>1055</v>
      </c>
      <c r="B2160" s="23" t="s">
        <v>1056</v>
      </c>
      <c r="C2160" s="23" t="s">
        <v>176</v>
      </c>
      <c r="D2160" s="23" t="s">
        <v>521</v>
      </c>
      <c r="E2160" s="23" t="s">
        <v>522</v>
      </c>
      <c r="F2160">
        <v>2</v>
      </c>
      <c r="G2160" s="23" t="s">
        <v>177</v>
      </c>
      <c r="H2160">
        <v>0</v>
      </c>
      <c r="I2160">
        <v>200</v>
      </c>
      <c r="J2160" s="10">
        <v>70</v>
      </c>
      <c r="K2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2160">
        <v>0</v>
      </c>
      <c r="M21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0">
        <v>10</v>
      </c>
      <c r="O2160" s="23" t="s">
        <v>227</v>
      </c>
      <c r="P2160">
        <v>20</v>
      </c>
      <c r="Q2160" s="23" t="s">
        <v>181</v>
      </c>
    </row>
    <row r="2161" spans="1:17" x14ac:dyDescent="0.25">
      <c r="A2161" s="23" t="s">
        <v>1100</v>
      </c>
      <c r="B2161" s="23" t="s">
        <v>1101</v>
      </c>
      <c r="C2161" s="23" t="s">
        <v>176</v>
      </c>
      <c r="D2161" s="23" t="s">
        <v>525</v>
      </c>
      <c r="E2161" s="23" t="s">
        <v>526</v>
      </c>
      <c r="F2161">
        <v>15</v>
      </c>
      <c r="G2161" s="23" t="s">
        <v>177</v>
      </c>
      <c r="H2161">
        <v>0</v>
      </c>
      <c r="I2161">
        <v>400</v>
      </c>
      <c r="J2161" s="10">
        <v>225</v>
      </c>
      <c r="K2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161">
        <v>0</v>
      </c>
      <c r="M21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1">
        <v>12</v>
      </c>
      <c r="O2161" s="23" t="s">
        <v>227</v>
      </c>
      <c r="P2161">
        <v>180</v>
      </c>
      <c r="Q2161" s="23" t="s">
        <v>181</v>
      </c>
    </row>
    <row r="2162" spans="1:17" x14ac:dyDescent="0.25">
      <c r="A2162" s="23" t="s">
        <v>1100</v>
      </c>
      <c r="B2162" s="23" t="s">
        <v>1101</v>
      </c>
      <c r="C2162" s="23" t="s">
        <v>176</v>
      </c>
      <c r="D2162" s="23" t="s">
        <v>527</v>
      </c>
      <c r="E2162" s="23" t="s">
        <v>528</v>
      </c>
      <c r="F2162">
        <v>1</v>
      </c>
      <c r="G2162" s="23" t="s">
        <v>180</v>
      </c>
      <c r="H2162">
        <v>0</v>
      </c>
      <c r="I2162">
        <v>20</v>
      </c>
      <c r="J2162" s="10">
        <v>2.6645352591003757E-15</v>
      </c>
      <c r="K2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2162">
        <v>0</v>
      </c>
      <c r="M21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2">
        <v>38.33</v>
      </c>
      <c r="O2162" s="23" t="s">
        <v>256</v>
      </c>
      <c r="P2162">
        <v>38.33</v>
      </c>
      <c r="Q2162" s="23" t="s">
        <v>181</v>
      </c>
    </row>
    <row r="2163" spans="1:17" x14ac:dyDescent="0.25">
      <c r="A2163" s="23" t="s">
        <v>1058</v>
      </c>
      <c r="B2163" s="23" t="s">
        <v>1059</v>
      </c>
      <c r="C2163" s="23" t="s">
        <v>176</v>
      </c>
      <c r="D2163" s="23" t="s">
        <v>563</v>
      </c>
      <c r="E2163" s="23" t="s">
        <v>564</v>
      </c>
      <c r="F2163">
        <v>11</v>
      </c>
      <c r="G2163" s="23" t="s">
        <v>177</v>
      </c>
      <c r="H2163">
        <v>0</v>
      </c>
      <c r="I2163">
        <v>3000</v>
      </c>
      <c r="J2163" s="10">
        <v>0</v>
      </c>
      <c r="K2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163">
        <v>0</v>
      </c>
      <c r="M21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3">
        <v>0.7</v>
      </c>
      <c r="O2163" s="23" t="s">
        <v>242</v>
      </c>
      <c r="P2163">
        <v>7.6999999999999993</v>
      </c>
      <c r="Q2163" s="23" t="s">
        <v>181</v>
      </c>
    </row>
    <row r="2164" spans="1:17" x14ac:dyDescent="0.25">
      <c r="A2164" s="23" t="s">
        <v>1100</v>
      </c>
      <c r="B2164" s="23" t="s">
        <v>1101</v>
      </c>
      <c r="C2164" s="23" t="s">
        <v>176</v>
      </c>
      <c r="D2164" s="23" t="s">
        <v>563</v>
      </c>
      <c r="E2164" s="23" t="s">
        <v>564</v>
      </c>
      <c r="F2164">
        <v>7</v>
      </c>
      <c r="G2164" s="23" t="s">
        <v>177</v>
      </c>
      <c r="H2164">
        <v>0</v>
      </c>
      <c r="I2164">
        <v>3000</v>
      </c>
      <c r="J2164" s="10">
        <v>0</v>
      </c>
      <c r="K2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164">
        <v>0</v>
      </c>
      <c r="M21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4">
        <v>0.7</v>
      </c>
      <c r="O2164" s="23" t="s">
        <v>242</v>
      </c>
      <c r="P2164">
        <v>4.8999999999999995</v>
      </c>
      <c r="Q2164" s="23" t="s">
        <v>181</v>
      </c>
    </row>
    <row r="2165" spans="1:17" x14ac:dyDescent="0.25">
      <c r="A2165" s="23" t="s">
        <v>1100</v>
      </c>
      <c r="B2165" s="23" t="s">
        <v>1101</v>
      </c>
      <c r="C2165" s="23" t="s">
        <v>176</v>
      </c>
      <c r="D2165" s="23" t="s">
        <v>403</v>
      </c>
      <c r="E2165" s="23" t="s">
        <v>404</v>
      </c>
      <c r="F2165">
        <v>2</v>
      </c>
      <c r="G2165" s="23" t="s">
        <v>177</v>
      </c>
      <c r="H2165">
        <v>0</v>
      </c>
      <c r="I2165">
        <v>28</v>
      </c>
      <c r="J2165" s="10">
        <v>12</v>
      </c>
      <c r="K2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165">
        <v>0</v>
      </c>
      <c r="M21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5">
        <v>15</v>
      </c>
      <c r="O2165" s="23" t="s">
        <v>221</v>
      </c>
      <c r="P2165">
        <v>30</v>
      </c>
      <c r="Q2165" s="23" t="s">
        <v>222</v>
      </c>
    </row>
    <row r="2166" spans="1:17" x14ac:dyDescent="0.25">
      <c r="A2166" s="23" t="s">
        <v>1055</v>
      </c>
      <c r="B2166" s="23" t="s">
        <v>1056</v>
      </c>
      <c r="C2166" s="23" t="s">
        <v>176</v>
      </c>
      <c r="D2166" s="23" t="s">
        <v>330</v>
      </c>
      <c r="E2166" s="23" t="s">
        <v>331</v>
      </c>
      <c r="F2166">
        <v>6</v>
      </c>
      <c r="G2166" s="23" t="s">
        <v>177</v>
      </c>
      <c r="H2166">
        <v>0</v>
      </c>
      <c r="I2166">
        <v>118</v>
      </c>
      <c r="J2166" s="10">
        <v>18</v>
      </c>
      <c r="K2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166">
        <v>0</v>
      </c>
      <c r="M21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6">
        <v>14.5</v>
      </c>
      <c r="O2166" s="23" t="s">
        <v>242</v>
      </c>
      <c r="P2166">
        <v>87</v>
      </c>
      <c r="Q2166" s="23" t="s">
        <v>181</v>
      </c>
    </row>
    <row r="2167" spans="1:17" x14ac:dyDescent="0.25">
      <c r="A2167" s="23" t="s">
        <v>1147</v>
      </c>
      <c r="B2167" s="23" t="s">
        <v>1145</v>
      </c>
      <c r="C2167" s="23" t="s">
        <v>176</v>
      </c>
      <c r="D2167" s="23" t="s">
        <v>519</v>
      </c>
      <c r="E2167" s="23" t="s">
        <v>520</v>
      </c>
      <c r="F2167">
        <v>3</v>
      </c>
      <c r="G2167" s="23" t="s">
        <v>177</v>
      </c>
      <c r="H2167">
        <v>0</v>
      </c>
      <c r="I2167">
        <v>111</v>
      </c>
      <c r="J2167" s="10">
        <v>1.1191048088221578E-13</v>
      </c>
      <c r="K2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167">
        <v>0</v>
      </c>
      <c r="M21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7">
        <v>36</v>
      </c>
      <c r="O2167" s="23" t="s">
        <v>242</v>
      </c>
      <c r="P2167">
        <v>108</v>
      </c>
      <c r="Q2167" s="23" t="s">
        <v>181</v>
      </c>
    </row>
    <row r="2168" spans="1:17" x14ac:dyDescent="0.25">
      <c r="A2168" s="23" t="s">
        <v>1148</v>
      </c>
      <c r="B2168" s="23" t="s">
        <v>1054</v>
      </c>
      <c r="C2168" s="23" t="s">
        <v>176</v>
      </c>
      <c r="D2168" s="23" t="s">
        <v>519</v>
      </c>
      <c r="E2168" s="23" t="s">
        <v>520</v>
      </c>
      <c r="F2168">
        <v>3.17</v>
      </c>
      <c r="G2168" s="23" t="s">
        <v>177</v>
      </c>
      <c r="H2168">
        <v>0</v>
      </c>
      <c r="I2168">
        <v>111</v>
      </c>
      <c r="J2168" s="10">
        <v>1.1191048088221578E-13</v>
      </c>
      <c r="K2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168">
        <v>0</v>
      </c>
      <c r="M21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8">
        <v>36</v>
      </c>
      <c r="O2168" s="23" t="s">
        <v>242</v>
      </c>
      <c r="P2168">
        <v>114.12</v>
      </c>
      <c r="Q2168" s="23" t="s">
        <v>181</v>
      </c>
    </row>
    <row r="2169" spans="1:17" x14ac:dyDescent="0.25">
      <c r="A2169" s="23" t="s">
        <v>1147</v>
      </c>
      <c r="B2169" s="23" t="s">
        <v>1145</v>
      </c>
      <c r="C2169" s="23" t="s">
        <v>176</v>
      </c>
      <c r="D2169" s="23" t="s">
        <v>521</v>
      </c>
      <c r="E2169" s="23" t="s">
        <v>522</v>
      </c>
      <c r="F2169">
        <v>3</v>
      </c>
      <c r="G2169" s="23" t="s">
        <v>177</v>
      </c>
      <c r="H2169">
        <v>0</v>
      </c>
      <c r="I2169">
        <v>200</v>
      </c>
      <c r="J2169" s="10">
        <v>70</v>
      </c>
      <c r="K2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2169">
        <v>0</v>
      </c>
      <c r="M21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69">
        <v>10</v>
      </c>
      <c r="O2169" s="23" t="s">
        <v>227</v>
      </c>
      <c r="P2169">
        <v>30</v>
      </c>
      <c r="Q2169" s="23" t="s">
        <v>181</v>
      </c>
    </row>
    <row r="2170" spans="1:17" x14ac:dyDescent="0.25">
      <c r="A2170" s="23" t="s">
        <v>1055</v>
      </c>
      <c r="B2170" s="23" t="s">
        <v>1056</v>
      </c>
      <c r="C2170" s="23" t="s">
        <v>176</v>
      </c>
      <c r="D2170" s="23" t="s">
        <v>525</v>
      </c>
      <c r="E2170" s="23" t="s">
        <v>526</v>
      </c>
      <c r="F2170">
        <v>5</v>
      </c>
      <c r="G2170" s="23" t="s">
        <v>177</v>
      </c>
      <c r="H2170">
        <v>5</v>
      </c>
      <c r="I2170">
        <v>400</v>
      </c>
      <c r="J2170" s="10">
        <v>225</v>
      </c>
      <c r="K2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170">
        <v>0</v>
      </c>
      <c r="M21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0">
        <v>12</v>
      </c>
      <c r="O2170" s="23" t="s">
        <v>227</v>
      </c>
      <c r="P2170">
        <v>60</v>
      </c>
      <c r="Q2170" s="23" t="s">
        <v>181</v>
      </c>
    </row>
    <row r="2171" spans="1:17" x14ac:dyDescent="0.25">
      <c r="A2171" s="23" t="s">
        <v>1100</v>
      </c>
      <c r="B2171" s="23" t="s">
        <v>1101</v>
      </c>
      <c r="C2171" s="23" t="s">
        <v>176</v>
      </c>
      <c r="D2171" s="23" t="s">
        <v>208</v>
      </c>
      <c r="E2171" s="23" t="s">
        <v>283</v>
      </c>
      <c r="F2171">
        <v>3.92</v>
      </c>
      <c r="G2171" s="23" t="s">
        <v>177</v>
      </c>
      <c r="H2171">
        <v>0</v>
      </c>
      <c r="I2171">
        <v>62</v>
      </c>
      <c r="J2171" s="10">
        <v>0.26999999999997826</v>
      </c>
      <c r="K2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71">
        <v>0</v>
      </c>
      <c r="M21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1">
        <v>28</v>
      </c>
      <c r="O2171" s="23" t="s">
        <v>242</v>
      </c>
      <c r="P2171">
        <v>109.75999999999999</v>
      </c>
      <c r="Q2171" s="23" t="s">
        <v>181</v>
      </c>
    </row>
    <row r="2172" spans="1:17" x14ac:dyDescent="0.25">
      <c r="A2172" s="23" t="s">
        <v>1055</v>
      </c>
      <c r="B2172" s="23" t="s">
        <v>1056</v>
      </c>
      <c r="C2172" s="23" t="s">
        <v>176</v>
      </c>
      <c r="D2172" s="23" t="s">
        <v>284</v>
      </c>
      <c r="E2172" s="23" t="s">
        <v>285</v>
      </c>
      <c r="F2172">
        <v>1</v>
      </c>
      <c r="G2172" s="23" t="s">
        <v>177</v>
      </c>
      <c r="H2172">
        <v>0</v>
      </c>
      <c r="I2172">
        <v>104</v>
      </c>
      <c r="J2172" s="10">
        <v>4.4408920985006262E-15</v>
      </c>
      <c r="K2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72">
        <v>0</v>
      </c>
      <c r="M21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2">
        <v>22</v>
      </c>
      <c r="O2172" s="23" t="s">
        <v>242</v>
      </c>
      <c r="P2172">
        <v>22</v>
      </c>
      <c r="Q2172" s="23" t="s">
        <v>181</v>
      </c>
    </row>
    <row r="2173" spans="1:17" x14ac:dyDescent="0.25">
      <c r="A2173" s="23" t="s">
        <v>1148</v>
      </c>
      <c r="B2173" s="23" t="s">
        <v>1054</v>
      </c>
      <c r="C2173" s="23" t="s">
        <v>176</v>
      </c>
      <c r="D2173" s="23" t="s">
        <v>208</v>
      </c>
      <c r="E2173" s="23" t="s">
        <v>283</v>
      </c>
      <c r="F2173">
        <v>3.3900000000000006</v>
      </c>
      <c r="G2173" s="23" t="s">
        <v>177</v>
      </c>
      <c r="H2173">
        <v>0</v>
      </c>
      <c r="I2173">
        <v>62</v>
      </c>
      <c r="J2173" s="10">
        <v>0.26999999999997826</v>
      </c>
      <c r="K2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73">
        <v>0</v>
      </c>
      <c r="M21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3">
        <v>28</v>
      </c>
      <c r="O2173" s="23" t="s">
        <v>242</v>
      </c>
      <c r="P2173">
        <v>94.920000000000016</v>
      </c>
      <c r="Q2173" s="23" t="s">
        <v>181</v>
      </c>
    </row>
    <row r="2174" spans="1:17" x14ac:dyDescent="0.25">
      <c r="A2174" s="23" t="s">
        <v>1055</v>
      </c>
      <c r="B2174" s="23" t="s">
        <v>1056</v>
      </c>
      <c r="C2174" s="23" t="s">
        <v>176</v>
      </c>
      <c r="D2174" s="23" t="s">
        <v>208</v>
      </c>
      <c r="E2174" s="23" t="s">
        <v>283</v>
      </c>
      <c r="F2174">
        <v>2.5</v>
      </c>
      <c r="G2174" s="23" t="s">
        <v>177</v>
      </c>
      <c r="H2174">
        <v>2.5</v>
      </c>
      <c r="I2174">
        <v>62</v>
      </c>
      <c r="J2174" s="10">
        <v>0.26999999999997826</v>
      </c>
      <c r="K2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174">
        <v>0</v>
      </c>
      <c r="M21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4">
        <v>28</v>
      </c>
      <c r="O2174" s="23" t="s">
        <v>242</v>
      </c>
      <c r="P2174">
        <v>70</v>
      </c>
      <c r="Q2174" s="23" t="s">
        <v>181</v>
      </c>
    </row>
    <row r="2175" spans="1:17" x14ac:dyDescent="0.25">
      <c r="A2175" s="23" t="s">
        <v>1148</v>
      </c>
      <c r="B2175" s="23" t="s">
        <v>1054</v>
      </c>
      <c r="C2175" s="23" t="s">
        <v>176</v>
      </c>
      <c r="D2175" s="23" t="s">
        <v>284</v>
      </c>
      <c r="E2175" s="23" t="s">
        <v>285</v>
      </c>
      <c r="F2175">
        <v>1.35</v>
      </c>
      <c r="G2175" s="23" t="s">
        <v>177</v>
      </c>
      <c r="H2175">
        <v>0</v>
      </c>
      <c r="I2175">
        <v>104</v>
      </c>
      <c r="J2175" s="10">
        <v>4.4408920985006262E-15</v>
      </c>
      <c r="K2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175">
        <v>0</v>
      </c>
      <c r="M21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5">
        <v>22</v>
      </c>
      <c r="O2175" s="23" t="s">
        <v>242</v>
      </c>
      <c r="P2175">
        <v>29.700000000000003</v>
      </c>
      <c r="Q2175" s="23" t="s">
        <v>181</v>
      </c>
    </row>
    <row r="2176" spans="1:17" x14ac:dyDescent="0.25">
      <c r="A2176" s="23" t="s">
        <v>1098</v>
      </c>
      <c r="B2176" s="23" t="s">
        <v>1053</v>
      </c>
      <c r="C2176" s="23" t="s">
        <v>176</v>
      </c>
      <c r="D2176" s="23" t="s">
        <v>405</v>
      </c>
      <c r="E2176" s="23" t="s">
        <v>406</v>
      </c>
      <c r="F2176">
        <v>5</v>
      </c>
      <c r="G2176" s="23" t="s">
        <v>177</v>
      </c>
      <c r="H2176">
        <v>0</v>
      </c>
      <c r="I2176">
        <v>234</v>
      </c>
      <c r="J2176" s="10">
        <v>30</v>
      </c>
      <c r="K2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176">
        <v>0</v>
      </c>
      <c r="M21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6">
        <v>15.21</v>
      </c>
      <c r="O2176" s="23" t="s">
        <v>827</v>
      </c>
      <c r="P2176">
        <v>76.050000000000011</v>
      </c>
      <c r="Q2176" s="23" t="s">
        <v>222</v>
      </c>
    </row>
    <row r="2177" spans="1:17" x14ac:dyDescent="0.25">
      <c r="A2177" s="23" t="s">
        <v>1197</v>
      </c>
      <c r="B2177" s="23" t="s">
        <v>1198</v>
      </c>
      <c r="C2177" s="23" t="s">
        <v>176</v>
      </c>
      <c r="D2177" s="23" t="s">
        <v>405</v>
      </c>
      <c r="E2177" s="23" t="s">
        <v>406</v>
      </c>
      <c r="F2177">
        <v>5</v>
      </c>
      <c r="G2177" s="23" t="s">
        <v>177</v>
      </c>
      <c r="H2177">
        <v>0</v>
      </c>
      <c r="I2177">
        <v>234</v>
      </c>
      <c r="J2177" s="10">
        <v>30</v>
      </c>
      <c r="K2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177">
        <v>0</v>
      </c>
      <c r="M21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7">
        <v>15.21</v>
      </c>
      <c r="O2177" s="23" t="s">
        <v>827</v>
      </c>
      <c r="P2177">
        <v>76.050000000000011</v>
      </c>
      <c r="Q2177" s="23" t="s">
        <v>222</v>
      </c>
    </row>
    <row r="2178" spans="1:17" x14ac:dyDescent="0.25">
      <c r="A2178" s="23" t="s">
        <v>1147</v>
      </c>
      <c r="B2178" s="23" t="s">
        <v>1145</v>
      </c>
      <c r="C2178" s="23" t="s">
        <v>176</v>
      </c>
      <c r="D2178" s="23" t="s">
        <v>24</v>
      </c>
      <c r="E2178" s="23" t="s">
        <v>25</v>
      </c>
      <c r="F2178">
        <v>1</v>
      </c>
      <c r="G2178" s="23" t="s">
        <v>177</v>
      </c>
      <c r="H2178">
        <v>0</v>
      </c>
      <c r="I2178">
        <v>30</v>
      </c>
      <c r="J2178" s="10">
        <v>20</v>
      </c>
      <c r="K2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178">
        <v>0</v>
      </c>
      <c r="M21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8">
        <v>62.5</v>
      </c>
      <c r="O2178" s="23" t="s">
        <v>629</v>
      </c>
      <c r="P2178">
        <v>62.5</v>
      </c>
      <c r="Q2178" s="23" t="s">
        <v>181</v>
      </c>
    </row>
    <row r="2179" spans="1:17" x14ac:dyDescent="0.25">
      <c r="A2179" s="23" t="s">
        <v>1148</v>
      </c>
      <c r="B2179" s="23" t="s">
        <v>1054</v>
      </c>
      <c r="C2179" s="23" t="s">
        <v>176</v>
      </c>
      <c r="D2179" s="23" t="s">
        <v>24</v>
      </c>
      <c r="E2179" s="23" t="s">
        <v>25</v>
      </c>
      <c r="F2179">
        <v>1</v>
      </c>
      <c r="G2179" s="23" t="s">
        <v>177</v>
      </c>
      <c r="H2179">
        <v>0</v>
      </c>
      <c r="I2179">
        <v>30</v>
      </c>
      <c r="J2179" s="10">
        <v>20</v>
      </c>
      <c r="K2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179">
        <v>0</v>
      </c>
      <c r="M21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79">
        <v>62.5</v>
      </c>
      <c r="O2179" s="23" t="s">
        <v>629</v>
      </c>
      <c r="P2179">
        <v>62.5</v>
      </c>
      <c r="Q2179" s="23" t="s">
        <v>181</v>
      </c>
    </row>
    <row r="2180" spans="1:17" x14ac:dyDescent="0.25">
      <c r="A2180" s="23" t="s">
        <v>1148</v>
      </c>
      <c r="B2180" s="23" t="s">
        <v>1054</v>
      </c>
      <c r="C2180" s="23" t="s">
        <v>176</v>
      </c>
      <c r="D2180" s="23" t="s">
        <v>270</v>
      </c>
      <c r="E2180" s="23" t="s">
        <v>589</v>
      </c>
      <c r="F2180">
        <v>1</v>
      </c>
      <c r="G2180" s="23" t="s">
        <v>177</v>
      </c>
      <c r="H2180">
        <v>0</v>
      </c>
      <c r="I2180">
        <v>1</v>
      </c>
      <c r="J2180" s="10">
        <v>11</v>
      </c>
      <c r="K2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180">
        <v>0</v>
      </c>
      <c r="M21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180">
        <v>13310.52</v>
      </c>
      <c r="O2180" s="23" t="s">
        <v>590</v>
      </c>
      <c r="P2180">
        <v>13310.52</v>
      </c>
      <c r="Q2180" s="23" t="s">
        <v>178</v>
      </c>
    </row>
    <row r="2181" spans="1:17" x14ac:dyDescent="0.25">
      <c r="A2181" s="23" t="s">
        <v>1147</v>
      </c>
      <c r="B2181" s="23" t="s">
        <v>1145</v>
      </c>
      <c r="C2181" s="23" t="s">
        <v>176</v>
      </c>
      <c r="D2181" s="23" t="s">
        <v>270</v>
      </c>
      <c r="E2181" s="23" t="s">
        <v>589</v>
      </c>
      <c r="F2181">
        <v>1</v>
      </c>
      <c r="G2181" s="23" t="s">
        <v>177</v>
      </c>
      <c r="H2181">
        <v>0</v>
      </c>
      <c r="I2181">
        <v>1</v>
      </c>
      <c r="J2181" s="10">
        <v>11</v>
      </c>
      <c r="K2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181">
        <v>0</v>
      </c>
      <c r="M21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181">
        <v>13310.52</v>
      </c>
      <c r="O2181" s="23" t="s">
        <v>590</v>
      </c>
      <c r="P2181">
        <v>13310.52</v>
      </c>
      <c r="Q2181" s="23" t="s">
        <v>178</v>
      </c>
    </row>
    <row r="2182" spans="1:17" x14ac:dyDescent="0.25">
      <c r="A2182" s="23" t="s">
        <v>1142</v>
      </c>
      <c r="B2182" s="23" t="s">
        <v>1054</v>
      </c>
      <c r="C2182" s="23" t="s">
        <v>176</v>
      </c>
      <c r="D2182" s="23" t="s">
        <v>334</v>
      </c>
      <c r="E2182" s="23" t="s">
        <v>335</v>
      </c>
      <c r="F2182">
        <v>1</v>
      </c>
      <c r="G2182" s="23" t="s">
        <v>177</v>
      </c>
      <c r="H2182">
        <v>0</v>
      </c>
      <c r="I2182">
        <v>25</v>
      </c>
      <c r="J2182" s="10">
        <v>18</v>
      </c>
      <c r="K2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182">
        <v>0</v>
      </c>
      <c r="M21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2">
        <v>225</v>
      </c>
      <c r="O2182" s="23" t="s">
        <v>227</v>
      </c>
      <c r="P2182">
        <v>225</v>
      </c>
      <c r="Q2182" s="23" t="s">
        <v>181</v>
      </c>
    </row>
    <row r="2183" spans="1:17" x14ac:dyDescent="0.25">
      <c r="A2183" s="23" t="s">
        <v>1142</v>
      </c>
      <c r="B2183" s="23" t="s">
        <v>1054</v>
      </c>
      <c r="C2183" s="23" t="s">
        <v>176</v>
      </c>
      <c r="D2183" s="23" t="s">
        <v>97</v>
      </c>
      <c r="E2183" s="23" t="s">
        <v>98</v>
      </c>
      <c r="F2183">
        <v>1</v>
      </c>
      <c r="G2183" s="23" t="s">
        <v>177</v>
      </c>
      <c r="H2183">
        <v>0</v>
      </c>
      <c r="I2183">
        <v>0</v>
      </c>
      <c r="J2183" s="10">
        <v>5</v>
      </c>
      <c r="K2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183">
        <v>7</v>
      </c>
      <c r="M21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3">
        <v>1491.67</v>
      </c>
      <c r="O2183" s="23" t="s">
        <v>633</v>
      </c>
      <c r="P2183">
        <v>1491.67</v>
      </c>
      <c r="Q2183" s="23" t="s">
        <v>178</v>
      </c>
    </row>
    <row r="2184" spans="1:17" x14ac:dyDescent="0.25">
      <c r="A2184" s="23" t="s">
        <v>1062</v>
      </c>
      <c r="B2184" s="23" t="s">
        <v>1053</v>
      </c>
      <c r="C2184" s="23" t="s">
        <v>176</v>
      </c>
      <c r="D2184" s="23" t="s">
        <v>853</v>
      </c>
      <c r="E2184" s="23" t="s">
        <v>854</v>
      </c>
      <c r="F2184">
        <v>8</v>
      </c>
      <c r="G2184" s="23" t="s">
        <v>177</v>
      </c>
      <c r="H2184">
        <v>0</v>
      </c>
      <c r="I2184">
        <v>250</v>
      </c>
      <c r="J2184" s="10">
        <v>835</v>
      </c>
      <c r="K2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2184">
        <v>0</v>
      </c>
      <c r="M21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4">
        <v>1.58</v>
      </c>
      <c r="O2184" s="23" t="s">
        <v>883</v>
      </c>
      <c r="P2184">
        <v>12.64</v>
      </c>
      <c r="Q2184" s="23" t="s">
        <v>181</v>
      </c>
    </row>
    <row r="2185" spans="1:17" x14ac:dyDescent="0.25">
      <c r="A2185" s="23" t="s">
        <v>1150</v>
      </c>
      <c r="B2185" s="23" t="s">
        <v>1145</v>
      </c>
      <c r="C2185" s="23" t="s">
        <v>176</v>
      </c>
      <c r="D2185" s="23" t="s">
        <v>539</v>
      </c>
      <c r="E2185" s="23" t="s">
        <v>540</v>
      </c>
      <c r="F2185">
        <v>2</v>
      </c>
      <c r="G2185" s="23" t="s">
        <v>177</v>
      </c>
      <c r="H2185">
        <v>0</v>
      </c>
      <c r="I2185">
        <v>250</v>
      </c>
      <c r="J2185" s="10">
        <v>3</v>
      </c>
      <c r="K2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2185">
        <v>0</v>
      </c>
      <c r="M21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5">
        <v>2</v>
      </c>
      <c r="O2185" s="23"/>
      <c r="P2185">
        <v>4</v>
      </c>
      <c r="Q2185" s="23" t="s">
        <v>181</v>
      </c>
    </row>
    <row r="2186" spans="1:17" x14ac:dyDescent="0.25">
      <c r="A2186" s="23" t="s">
        <v>1057</v>
      </c>
      <c r="B2186" s="23" t="s">
        <v>1056</v>
      </c>
      <c r="C2186" s="23" t="s">
        <v>176</v>
      </c>
      <c r="D2186" s="23" t="s">
        <v>334</v>
      </c>
      <c r="E2186" s="23" t="s">
        <v>335</v>
      </c>
      <c r="F2186">
        <v>1</v>
      </c>
      <c r="G2186" s="23" t="s">
        <v>177</v>
      </c>
      <c r="H2186">
        <v>0</v>
      </c>
      <c r="I2186">
        <v>25</v>
      </c>
      <c r="J2186" s="10">
        <v>18</v>
      </c>
      <c r="K2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186">
        <v>0</v>
      </c>
      <c r="M21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6">
        <v>225</v>
      </c>
      <c r="O2186" s="23" t="s">
        <v>227</v>
      </c>
      <c r="P2186">
        <v>225</v>
      </c>
      <c r="Q2186" s="23" t="s">
        <v>181</v>
      </c>
    </row>
    <row r="2187" spans="1:17" x14ac:dyDescent="0.25">
      <c r="A2187" s="23" t="s">
        <v>1143</v>
      </c>
      <c r="B2187" s="23" t="s">
        <v>1054</v>
      </c>
      <c r="C2187" s="23" t="s">
        <v>176</v>
      </c>
      <c r="D2187" s="23" t="s">
        <v>334</v>
      </c>
      <c r="E2187" s="23" t="s">
        <v>335</v>
      </c>
      <c r="F2187">
        <v>1</v>
      </c>
      <c r="G2187" s="23" t="s">
        <v>177</v>
      </c>
      <c r="H2187">
        <v>0</v>
      </c>
      <c r="I2187">
        <v>25</v>
      </c>
      <c r="J2187" s="10">
        <v>18</v>
      </c>
      <c r="K2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187">
        <v>0</v>
      </c>
      <c r="M21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7">
        <v>225</v>
      </c>
      <c r="O2187" s="23" t="s">
        <v>227</v>
      </c>
      <c r="P2187">
        <v>225</v>
      </c>
      <c r="Q2187" s="23" t="s">
        <v>181</v>
      </c>
    </row>
    <row r="2188" spans="1:17" x14ac:dyDescent="0.25">
      <c r="A2188" s="23" t="s">
        <v>1057</v>
      </c>
      <c r="B2188" s="23" t="s">
        <v>1056</v>
      </c>
      <c r="C2188" s="23" t="s">
        <v>176</v>
      </c>
      <c r="D2188" s="23" t="s">
        <v>888</v>
      </c>
      <c r="E2188" s="23" t="s">
        <v>889</v>
      </c>
      <c r="F2188">
        <v>25</v>
      </c>
      <c r="G2188" s="23" t="s">
        <v>177</v>
      </c>
      <c r="H2188">
        <v>0</v>
      </c>
      <c r="I2188">
        <v>5200</v>
      </c>
      <c r="J2188" s="10">
        <v>0</v>
      </c>
      <c r="K2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-5125</v>
      </c>
      <c r="L2188">
        <v>0</v>
      </c>
      <c r="M21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88">
        <v>0.08</v>
      </c>
      <c r="O2188" s="23"/>
      <c r="P2188">
        <v>2</v>
      </c>
      <c r="Q2188" s="23" t="s">
        <v>181</v>
      </c>
    </row>
    <row r="2189" spans="1:17" x14ac:dyDescent="0.25">
      <c r="A2189" s="23" t="s">
        <v>1097</v>
      </c>
      <c r="B2189" s="23" t="s">
        <v>1095</v>
      </c>
      <c r="C2189" s="23" t="s">
        <v>176</v>
      </c>
      <c r="D2189" s="23" t="s">
        <v>487</v>
      </c>
      <c r="E2189" s="23" t="s">
        <v>488</v>
      </c>
      <c r="F2189">
        <v>2</v>
      </c>
      <c r="G2189" s="23" t="s">
        <v>177</v>
      </c>
      <c r="H2189">
        <v>0</v>
      </c>
      <c r="I2189">
        <v>20</v>
      </c>
      <c r="J2189" s="10">
        <v>34</v>
      </c>
      <c r="K2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189">
        <v>0</v>
      </c>
      <c r="M21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189">
        <v>82</v>
      </c>
      <c r="O2189" s="23" t="s">
        <v>1088</v>
      </c>
      <c r="P2189">
        <v>164</v>
      </c>
      <c r="Q2189" s="23" t="s">
        <v>484</v>
      </c>
    </row>
    <row r="2190" spans="1:17" x14ac:dyDescent="0.25">
      <c r="A2190" s="23" t="s">
        <v>1197</v>
      </c>
      <c r="B2190" s="23" t="s">
        <v>1198</v>
      </c>
      <c r="C2190" s="23" t="s">
        <v>176</v>
      </c>
      <c r="D2190" s="23" t="s">
        <v>487</v>
      </c>
      <c r="E2190" s="23" t="s">
        <v>488</v>
      </c>
      <c r="F2190">
        <v>2</v>
      </c>
      <c r="G2190" s="23" t="s">
        <v>177</v>
      </c>
      <c r="H2190">
        <v>0</v>
      </c>
      <c r="I2190">
        <v>20</v>
      </c>
      <c r="J2190" s="10">
        <v>34</v>
      </c>
      <c r="K2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190">
        <v>0</v>
      </c>
      <c r="M21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190">
        <v>82</v>
      </c>
      <c r="O2190" s="23" t="s">
        <v>1088</v>
      </c>
      <c r="P2190">
        <v>164</v>
      </c>
      <c r="Q2190" s="23" t="s">
        <v>484</v>
      </c>
    </row>
    <row r="2191" spans="1:17" x14ac:dyDescent="0.25">
      <c r="A2191" s="23" t="s">
        <v>1098</v>
      </c>
      <c r="B2191" s="23" t="s">
        <v>1053</v>
      </c>
      <c r="C2191" s="23" t="s">
        <v>176</v>
      </c>
      <c r="D2191" s="23" t="s">
        <v>487</v>
      </c>
      <c r="E2191" s="23" t="s">
        <v>488</v>
      </c>
      <c r="F2191">
        <v>2</v>
      </c>
      <c r="G2191" s="23" t="s">
        <v>177</v>
      </c>
      <c r="H2191">
        <v>0</v>
      </c>
      <c r="I2191">
        <v>20</v>
      </c>
      <c r="J2191" s="10">
        <v>34</v>
      </c>
      <c r="K2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191">
        <v>0</v>
      </c>
      <c r="M21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191">
        <v>82</v>
      </c>
      <c r="O2191" s="23" t="s">
        <v>1088</v>
      </c>
      <c r="P2191">
        <v>164</v>
      </c>
      <c r="Q2191" s="23" t="s">
        <v>484</v>
      </c>
    </row>
    <row r="2192" spans="1:17" x14ac:dyDescent="0.25">
      <c r="A2192" s="23" t="s">
        <v>1097</v>
      </c>
      <c r="B2192" s="23" t="s">
        <v>1095</v>
      </c>
      <c r="C2192" s="23" t="s">
        <v>198</v>
      </c>
      <c r="D2192" s="23" t="s">
        <v>499</v>
      </c>
      <c r="E2192" s="23" t="s">
        <v>500</v>
      </c>
      <c r="F2192">
        <v>1</v>
      </c>
      <c r="G2192" s="23" t="s">
        <v>177</v>
      </c>
      <c r="H2192">
        <v>0</v>
      </c>
      <c r="I2192">
        <v>11</v>
      </c>
      <c r="J2192" s="10">
        <v>8</v>
      </c>
      <c r="K2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192">
        <v>0</v>
      </c>
      <c r="M21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192" s="23" t="s">
        <v>714</v>
      </c>
      <c r="Q2192" s="23" t="s">
        <v>761</v>
      </c>
    </row>
    <row r="2193" spans="1:17" x14ac:dyDescent="0.25">
      <c r="A2193" s="23" t="s">
        <v>1197</v>
      </c>
      <c r="B2193" s="23" t="s">
        <v>1198</v>
      </c>
      <c r="C2193" s="23" t="s">
        <v>198</v>
      </c>
      <c r="D2193" s="23" t="s">
        <v>499</v>
      </c>
      <c r="E2193" s="23" t="s">
        <v>500</v>
      </c>
      <c r="F2193">
        <v>1</v>
      </c>
      <c r="G2193" s="23" t="s">
        <v>177</v>
      </c>
      <c r="H2193">
        <v>0</v>
      </c>
      <c r="I2193">
        <v>11</v>
      </c>
      <c r="J2193" s="10">
        <v>8</v>
      </c>
      <c r="K2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193">
        <v>0</v>
      </c>
      <c r="M21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193" s="23" t="s">
        <v>714</v>
      </c>
      <c r="Q2193" s="23" t="s">
        <v>761</v>
      </c>
    </row>
    <row r="2194" spans="1:17" x14ac:dyDescent="0.25">
      <c r="A2194" s="23" t="s">
        <v>1097</v>
      </c>
      <c r="B2194" s="23" t="s">
        <v>1095</v>
      </c>
      <c r="C2194" s="23" t="s">
        <v>176</v>
      </c>
      <c r="D2194" s="23" t="s">
        <v>539</v>
      </c>
      <c r="E2194" s="23" t="s">
        <v>540</v>
      </c>
      <c r="F2194">
        <v>8</v>
      </c>
      <c r="G2194" s="23" t="s">
        <v>177</v>
      </c>
      <c r="H2194">
        <v>0</v>
      </c>
      <c r="I2194">
        <v>250</v>
      </c>
      <c r="J2194" s="10">
        <v>3</v>
      </c>
      <c r="K2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2194">
        <v>0</v>
      </c>
      <c r="M21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4">
        <v>2</v>
      </c>
      <c r="O2194" s="23"/>
      <c r="P2194">
        <v>16</v>
      </c>
      <c r="Q2194" s="23" t="s">
        <v>181</v>
      </c>
    </row>
    <row r="2195" spans="1:17" x14ac:dyDescent="0.25">
      <c r="A2195" s="23" t="s">
        <v>1197</v>
      </c>
      <c r="B2195" s="23" t="s">
        <v>1198</v>
      </c>
      <c r="C2195" s="23" t="s">
        <v>176</v>
      </c>
      <c r="D2195" s="23" t="s">
        <v>539</v>
      </c>
      <c r="E2195" s="23" t="s">
        <v>540</v>
      </c>
      <c r="F2195">
        <v>2</v>
      </c>
      <c r="G2195" s="23" t="s">
        <v>177</v>
      </c>
      <c r="H2195">
        <v>0</v>
      </c>
      <c r="I2195">
        <v>250</v>
      </c>
      <c r="J2195" s="10">
        <v>3</v>
      </c>
      <c r="K2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2195">
        <v>0</v>
      </c>
      <c r="M21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5">
        <v>2</v>
      </c>
      <c r="O2195" s="23"/>
      <c r="P2195">
        <v>4</v>
      </c>
      <c r="Q2195" s="23" t="s">
        <v>181</v>
      </c>
    </row>
    <row r="2196" spans="1:17" x14ac:dyDescent="0.25">
      <c r="A2196" s="23" t="s">
        <v>1097</v>
      </c>
      <c r="B2196" s="23" t="s">
        <v>1095</v>
      </c>
      <c r="C2196" s="23" t="s">
        <v>176</v>
      </c>
      <c r="D2196" s="23" t="s">
        <v>853</v>
      </c>
      <c r="E2196" s="23" t="s">
        <v>854</v>
      </c>
      <c r="F2196">
        <v>16</v>
      </c>
      <c r="G2196" s="23" t="s">
        <v>177</v>
      </c>
      <c r="H2196">
        <v>0</v>
      </c>
      <c r="I2196">
        <v>250</v>
      </c>
      <c r="J2196" s="10">
        <v>835</v>
      </c>
      <c r="K2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-134</v>
      </c>
      <c r="L2196">
        <v>0</v>
      </c>
      <c r="M21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6">
        <v>1.58</v>
      </c>
      <c r="O2196" s="23" t="s">
        <v>883</v>
      </c>
      <c r="P2196">
        <v>25.28</v>
      </c>
      <c r="Q2196" s="23" t="s">
        <v>181</v>
      </c>
    </row>
    <row r="2197" spans="1:17" x14ac:dyDescent="0.25">
      <c r="A2197" s="23" t="s">
        <v>1098</v>
      </c>
      <c r="B2197" s="23" t="s">
        <v>1053</v>
      </c>
      <c r="C2197" s="23" t="s">
        <v>198</v>
      </c>
      <c r="D2197" s="23" t="s">
        <v>499</v>
      </c>
      <c r="E2197" s="23" t="s">
        <v>500</v>
      </c>
      <c r="F2197">
        <v>1</v>
      </c>
      <c r="G2197" s="23" t="s">
        <v>177</v>
      </c>
      <c r="H2197">
        <v>0</v>
      </c>
      <c r="I2197">
        <v>11</v>
      </c>
      <c r="J2197" s="10">
        <v>8</v>
      </c>
      <c r="K2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197">
        <v>0</v>
      </c>
      <c r="M21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197" s="23" t="s">
        <v>714</v>
      </c>
      <c r="Q2197" s="23" t="s">
        <v>761</v>
      </c>
    </row>
    <row r="2198" spans="1:17" x14ac:dyDescent="0.25">
      <c r="A2198" s="23" t="s">
        <v>1098</v>
      </c>
      <c r="B2198" s="23" t="s">
        <v>1053</v>
      </c>
      <c r="C2198" s="23" t="s">
        <v>176</v>
      </c>
      <c r="D2198" s="23" t="s">
        <v>539</v>
      </c>
      <c r="E2198" s="23" t="s">
        <v>540</v>
      </c>
      <c r="F2198">
        <v>8</v>
      </c>
      <c r="G2198" s="23" t="s">
        <v>177</v>
      </c>
      <c r="H2198">
        <v>0</v>
      </c>
      <c r="I2198">
        <v>250</v>
      </c>
      <c r="J2198" s="10">
        <v>3</v>
      </c>
      <c r="K2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2198">
        <v>0</v>
      </c>
      <c r="M21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8">
        <v>2</v>
      </c>
      <c r="O2198" s="23"/>
      <c r="P2198">
        <v>16</v>
      </c>
      <c r="Q2198" s="23" t="s">
        <v>181</v>
      </c>
    </row>
    <row r="2199" spans="1:17" x14ac:dyDescent="0.25">
      <c r="A2199" s="23" t="s">
        <v>1197</v>
      </c>
      <c r="B2199" s="23" t="s">
        <v>1198</v>
      </c>
      <c r="C2199" s="23" t="s">
        <v>176</v>
      </c>
      <c r="D2199" s="23" t="s">
        <v>334</v>
      </c>
      <c r="E2199" s="23" t="s">
        <v>335</v>
      </c>
      <c r="F2199">
        <v>1</v>
      </c>
      <c r="G2199" s="23" t="s">
        <v>177</v>
      </c>
      <c r="H2199">
        <v>0</v>
      </c>
      <c r="I2199">
        <v>25</v>
      </c>
      <c r="J2199" s="10">
        <v>18</v>
      </c>
      <c r="K2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199">
        <v>0</v>
      </c>
      <c r="M21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199">
        <v>225</v>
      </c>
      <c r="O2199" s="23" t="s">
        <v>227</v>
      </c>
      <c r="P2199">
        <v>225</v>
      </c>
      <c r="Q2199" s="23" t="s">
        <v>181</v>
      </c>
    </row>
    <row r="2200" spans="1:17" x14ac:dyDescent="0.25">
      <c r="A2200" s="23" t="s">
        <v>1100</v>
      </c>
      <c r="B2200" s="23" t="s">
        <v>1101</v>
      </c>
      <c r="C2200" s="23" t="s">
        <v>176</v>
      </c>
      <c r="D2200" s="23" t="s">
        <v>23</v>
      </c>
      <c r="E2200" s="23" t="s">
        <v>305</v>
      </c>
      <c r="F2200">
        <v>1</v>
      </c>
      <c r="G2200" s="23" t="s">
        <v>177</v>
      </c>
      <c r="H2200">
        <v>0</v>
      </c>
      <c r="I2200">
        <v>0</v>
      </c>
      <c r="J2200" s="10">
        <v>7</v>
      </c>
      <c r="K2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0">
        <v>0</v>
      </c>
      <c r="M22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0">
        <v>40</v>
      </c>
      <c r="O2200" s="23" t="s">
        <v>636</v>
      </c>
      <c r="P2200">
        <v>40</v>
      </c>
      <c r="Q2200" s="23" t="s">
        <v>222</v>
      </c>
    </row>
    <row r="2201" spans="1:17" x14ac:dyDescent="0.25">
      <c r="A2201" s="23" t="s">
        <v>1150</v>
      </c>
      <c r="B2201" s="23" t="s">
        <v>1145</v>
      </c>
      <c r="C2201" s="23" t="s">
        <v>176</v>
      </c>
      <c r="D2201" s="23" t="s">
        <v>83</v>
      </c>
      <c r="E2201" s="23" t="s">
        <v>84</v>
      </c>
      <c r="F2201">
        <v>60</v>
      </c>
      <c r="G2201" s="23" t="s">
        <v>183</v>
      </c>
      <c r="H2201">
        <v>0</v>
      </c>
      <c r="I2201">
        <v>58.5</v>
      </c>
      <c r="J2201" s="10">
        <v>21.929999999999808</v>
      </c>
      <c r="K2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201">
        <v>54.25</v>
      </c>
      <c r="M22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201">
        <v>220.42</v>
      </c>
      <c r="O2201" s="23" t="s">
        <v>224</v>
      </c>
      <c r="P2201">
        <v>13225.199999999999</v>
      </c>
      <c r="Q2201" s="23" t="s">
        <v>182</v>
      </c>
    </row>
    <row r="2202" spans="1:17" x14ac:dyDescent="0.25">
      <c r="A2202" s="23" t="s">
        <v>1150</v>
      </c>
      <c r="B2202" s="23" t="s">
        <v>1145</v>
      </c>
      <c r="C2202" s="23" t="s">
        <v>176</v>
      </c>
      <c r="D2202" s="23" t="s">
        <v>23</v>
      </c>
      <c r="E2202" s="23" t="s">
        <v>305</v>
      </c>
      <c r="F2202">
        <v>1</v>
      </c>
      <c r="G2202" s="23" t="s">
        <v>177</v>
      </c>
      <c r="H2202">
        <v>0</v>
      </c>
      <c r="I2202">
        <v>0</v>
      </c>
      <c r="J2202" s="10">
        <v>7</v>
      </c>
      <c r="K2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2">
        <v>0</v>
      </c>
      <c r="M22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2">
        <v>40</v>
      </c>
      <c r="O2202" s="23" t="s">
        <v>636</v>
      </c>
      <c r="P2202">
        <v>40</v>
      </c>
      <c r="Q2202" s="23" t="s">
        <v>222</v>
      </c>
    </row>
    <row r="2203" spans="1:17" x14ac:dyDescent="0.25">
      <c r="A2203" s="23" t="s">
        <v>1057</v>
      </c>
      <c r="B2203" s="23" t="s">
        <v>1056</v>
      </c>
      <c r="C2203" s="23" t="s">
        <v>176</v>
      </c>
      <c r="D2203" s="23" t="s">
        <v>83</v>
      </c>
      <c r="E2203" s="23" t="s">
        <v>84</v>
      </c>
      <c r="F2203">
        <v>41.5</v>
      </c>
      <c r="G2203" s="23" t="s">
        <v>183</v>
      </c>
      <c r="H2203">
        <v>0</v>
      </c>
      <c r="I2203">
        <v>58.5</v>
      </c>
      <c r="J2203" s="10">
        <v>21.929999999999808</v>
      </c>
      <c r="K2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203">
        <v>54.25</v>
      </c>
      <c r="M22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203">
        <v>220.42</v>
      </c>
      <c r="O2203" s="23" t="s">
        <v>224</v>
      </c>
      <c r="P2203">
        <v>9147.43</v>
      </c>
      <c r="Q2203" s="23" t="s">
        <v>182</v>
      </c>
    </row>
    <row r="2204" spans="1:17" x14ac:dyDescent="0.25">
      <c r="A2204" s="23" t="s">
        <v>1094</v>
      </c>
      <c r="B2204" s="23" t="s">
        <v>1095</v>
      </c>
      <c r="C2204" s="23" t="s">
        <v>176</v>
      </c>
      <c r="D2204" s="23" t="s">
        <v>23</v>
      </c>
      <c r="E2204" s="23" t="s">
        <v>305</v>
      </c>
      <c r="F2204">
        <v>1</v>
      </c>
      <c r="G2204" s="23" t="s">
        <v>177</v>
      </c>
      <c r="H2204">
        <v>0</v>
      </c>
      <c r="I2204">
        <v>0</v>
      </c>
      <c r="J2204" s="10">
        <v>7</v>
      </c>
      <c r="K2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4">
        <v>0</v>
      </c>
      <c r="M22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4">
        <v>40</v>
      </c>
      <c r="O2204" s="23" t="s">
        <v>636</v>
      </c>
      <c r="P2204">
        <v>40</v>
      </c>
      <c r="Q2204" s="23" t="s">
        <v>222</v>
      </c>
    </row>
    <row r="2205" spans="1:17" x14ac:dyDescent="0.25">
      <c r="A2205" s="23" t="s">
        <v>1144</v>
      </c>
      <c r="B2205" s="23" t="s">
        <v>1145</v>
      </c>
      <c r="C2205" s="23" t="s">
        <v>176</v>
      </c>
      <c r="D2205" s="23" t="s">
        <v>23</v>
      </c>
      <c r="E2205" s="23" t="s">
        <v>305</v>
      </c>
      <c r="F2205">
        <v>1</v>
      </c>
      <c r="G2205" s="23" t="s">
        <v>177</v>
      </c>
      <c r="H2205">
        <v>0</v>
      </c>
      <c r="I2205">
        <v>0</v>
      </c>
      <c r="J2205" s="10">
        <v>7</v>
      </c>
      <c r="K2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5">
        <v>0</v>
      </c>
      <c r="M22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5">
        <v>40</v>
      </c>
      <c r="O2205" s="23" t="s">
        <v>636</v>
      </c>
      <c r="P2205">
        <v>40</v>
      </c>
      <c r="Q2205" s="23" t="s">
        <v>222</v>
      </c>
    </row>
    <row r="2206" spans="1:17" x14ac:dyDescent="0.25">
      <c r="A2206" s="23" t="s">
        <v>1147</v>
      </c>
      <c r="B2206" s="23" t="s">
        <v>1145</v>
      </c>
      <c r="C2206" s="23" t="s">
        <v>176</v>
      </c>
      <c r="D2206" s="23" t="s">
        <v>23</v>
      </c>
      <c r="E2206" s="23" t="s">
        <v>305</v>
      </c>
      <c r="F2206">
        <v>1</v>
      </c>
      <c r="G2206" s="23" t="s">
        <v>177</v>
      </c>
      <c r="H2206">
        <v>0</v>
      </c>
      <c r="I2206">
        <v>0</v>
      </c>
      <c r="J2206" s="10">
        <v>7</v>
      </c>
      <c r="K2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6">
        <v>0</v>
      </c>
      <c r="M22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6">
        <v>40</v>
      </c>
      <c r="O2206" s="23" t="s">
        <v>636</v>
      </c>
      <c r="P2206">
        <v>40</v>
      </c>
      <c r="Q2206" s="23" t="s">
        <v>222</v>
      </c>
    </row>
    <row r="2207" spans="1:17" x14ac:dyDescent="0.25">
      <c r="A2207" s="23" t="s">
        <v>1149</v>
      </c>
      <c r="B2207" s="23" t="s">
        <v>1145</v>
      </c>
      <c r="C2207" s="23" t="s">
        <v>176</v>
      </c>
      <c r="D2207" s="23" t="s">
        <v>83</v>
      </c>
      <c r="E2207" s="23" t="s">
        <v>84</v>
      </c>
      <c r="F2207">
        <v>60</v>
      </c>
      <c r="G2207" s="23" t="s">
        <v>183</v>
      </c>
      <c r="H2207">
        <v>0</v>
      </c>
      <c r="I2207">
        <v>58.5</v>
      </c>
      <c r="J2207" s="10">
        <v>21.929999999999808</v>
      </c>
      <c r="K2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320.25</v>
      </c>
      <c r="L2207">
        <v>54.25</v>
      </c>
      <c r="M22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70589.50499999999</v>
      </c>
      <c r="N2207">
        <v>220.42</v>
      </c>
      <c r="O2207" s="23" t="s">
        <v>224</v>
      </c>
      <c r="P2207">
        <v>13225.199999999999</v>
      </c>
      <c r="Q2207" s="23" t="s">
        <v>182</v>
      </c>
    </row>
    <row r="2208" spans="1:17" x14ac:dyDescent="0.25">
      <c r="A2208" s="23" t="s">
        <v>1149</v>
      </c>
      <c r="B2208" s="23" t="s">
        <v>1145</v>
      </c>
      <c r="C2208" s="23" t="s">
        <v>176</v>
      </c>
      <c r="D2208" s="23" t="s">
        <v>23</v>
      </c>
      <c r="E2208" s="23" t="s">
        <v>305</v>
      </c>
      <c r="F2208">
        <v>1</v>
      </c>
      <c r="G2208" s="23" t="s">
        <v>177</v>
      </c>
      <c r="H2208">
        <v>0</v>
      </c>
      <c r="I2208">
        <v>0</v>
      </c>
      <c r="J2208" s="10">
        <v>7</v>
      </c>
      <c r="K2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8">
        <v>0</v>
      </c>
      <c r="M22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8">
        <v>40</v>
      </c>
      <c r="O2208" s="23" t="s">
        <v>636</v>
      </c>
      <c r="P2208">
        <v>40</v>
      </c>
      <c r="Q2208" s="23" t="s">
        <v>222</v>
      </c>
    </row>
    <row r="2209" spans="1:17" x14ac:dyDescent="0.25">
      <c r="A2209" s="23" t="s">
        <v>1146</v>
      </c>
      <c r="B2209" s="23" t="s">
        <v>1145</v>
      </c>
      <c r="C2209" s="23" t="s">
        <v>176</v>
      </c>
      <c r="D2209" s="23" t="s">
        <v>23</v>
      </c>
      <c r="E2209" s="23" t="s">
        <v>305</v>
      </c>
      <c r="F2209">
        <v>1</v>
      </c>
      <c r="G2209" s="23" t="s">
        <v>177</v>
      </c>
      <c r="H2209">
        <v>0</v>
      </c>
      <c r="I2209">
        <v>0</v>
      </c>
      <c r="J2209" s="10">
        <v>7</v>
      </c>
      <c r="K2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209">
        <v>0</v>
      </c>
      <c r="M22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209">
        <v>40</v>
      </c>
      <c r="O2209" s="23" t="s">
        <v>636</v>
      </c>
      <c r="P2209">
        <v>40</v>
      </c>
      <c r="Q2209" s="23" t="s">
        <v>222</v>
      </c>
    </row>
    <row r="2210" spans="1:17" x14ac:dyDescent="0.25">
      <c r="A2210" s="23" t="s">
        <v>1146</v>
      </c>
      <c r="B2210" s="23" t="s">
        <v>1145</v>
      </c>
      <c r="C2210" s="23" t="s">
        <v>176</v>
      </c>
      <c r="D2210" s="23" t="s">
        <v>234</v>
      </c>
      <c r="E2210" s="23" t="s">
        <v>235</v>
      </c>
      <c r="F2210">
        <v>2</v>
      </c>
      <c r="G2210" s="23" t="s">
        <v>177</v>
      </c>
      <c r="H2210">
        <v>0</v>
      </c>
      <c r="I2210">
        <v>222</v>
      </c>
      <c r="J2210" s="10">
        <v>90</v>
      </c>
      <c r="K2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10">
        <v>0</v>
      </c>
      <c r="M22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0">
        <v>4</v>
      </c>
      <c r="O2210" s="23" t="s">
        <v>221</v>
      </c>
      <c r="P2210">
        <v>8</v>
      </c>
      <c r="Q2210" s="23" t="s">
        <v>222</v>
      </c>
    </row>
    <row r="2211" spans="1:17" x14ac:dyDescent="0.25">
      <c r="A2211" s="23" t="s">
        <v>1146</v>
      </c>
      <c r="B2211" s="23" t="s">
        <v>1145</v>
      </c>
      <c r="C2211" s="23" t="s">
        <v>176</v>
      </c>
      <c r="D2211" s="23" t="s">
        <v>388</v>
      </c>
      <c r="E2211" s="23" t="s">
        <v>389</v>
      </c>
      <c r="F2211">
        <v>7</v>
      </c>
      <c r="G2211" s="23" t="s">
        <v>177</v>
      </c>
      <c r="H2211">
        <v>0</v>
      </c>
      <c r="I2211">
        <v>1100</v>
      </c>
      <c r="J2211" s="10">
        <v>780</v>
      </c>
      <c r="K2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11">
        <v>0</v>
      </c>
      <c r="M22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1">
        <v>0.32</v>
      </c>
      <c r="O2211" s="23" t="s">
        <v>242</v>
      </c>
      <c r="P2211">
        <v>2.2400000000000002</v>
      </c>
      <c r="Q2211" s="23" t="s">
        <v>181</v>
      </c>
    </row>
    <row r="2212" spans="1:17" x14ac:dyDescent="0.25">
      <c r="A2212" s="23" t="s">
        <v>1096</v>
      </c>
      <c r="B2212" s="23" t="s">
        <v>1053</v>
      </c>
      <c r="C2212" s="23" t="s">
        <v>176</v>
      </c>
      <c r="D2212" s="23" t="s">
        <v>666</v>
      </c>
      <c r="E2212" s="23" t="s">
        <v>667</v>
      </c>
      <c r="F2212">
        <v>1</v>
      </c>
      <c r="G2212" s="23" t="s">
        <v>177</v>
      </c>
      <c r="H2212">
        <v>0</v>
      </c>
      <c r="I2212">
        <v>0</v>
      </c>
      <c r="J2212" s="10">
        <v>4</v>
      </c>
      <c r="K2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12">
        <v>20</v>
      </c>
      <c r="M22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2">
        <v>28000</v>
      </c>
      <c r="O2212" s="23" t="s">
        <v>830</v>
      </c>
      <c r="P2212">
        <v>28000</v>
      </c>
      <c r="Q2212" s="23" t="s">
        <v>222</v>
      </c>
    </row>
    <row r="2213" spans="1:17" x14ac:dyDescent="0.25">
      <c r="A2213" s="23" t="s">
        <v>1057</v>
      </c>
      <c r="B2213" s="23" t="s">
        <v>1056</v>
      </c>
      <c r="C2213" s="23" t="s">
        <v>176</v>
      </c>
      <c r="D2213" s="23" t="s">
        <v>234</v>
      </c>
      <c r="E2213" s="23" t="s">
        <v>235</v>
      </c>
      <c r="F2213">
        <v>2</v>
      </c>
      <c r="G2213" s="23" t="s">
        <v>177</v>
      </c>
      <c r="H2213">
        <v>0</v>
      </c>
      <c r="I2213">
        <v>222</v>
      </c>
      <c r="J2213" s="10">
        <v>90</v>
      </c>
      <c r="K2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13">
        <v>0</v>
      </c>
      <c r="M22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3">
        <v>4</v>
      </c>
      <c r="O2213" s="23" t="s">
        <v>221</v>
      </c>
      <c r="P2213">
        <v>8</v>
      </c>
      <c r="Q2213" s="23" t="s">
        <v>222</v>
      </c>
    </row>
    <row r="2214" spans="1:17" x14ac:dyDescent="0.25">
      <c r="A2214" s="23" t="s">
        <v>1094</v>
      </c>
      <c r="B2214" s="23" t="s">
        <v>1095</v>
      </c>
      <c r="C2214" s="23" t="s">
        <v>176</v>
      </c>
      <c r="D2214" s="23" t="s">
        <v>234</v>
      </c>
      <c r="E2214" s="23" t="s">
        <v>235</v>
      </c>
      <c r="F2214">
        <v>2</v>
      </c>
      <c r="G2214" s="23" t="s">
        <v>177</v>
      </c>
      <c r="H2214">
        <v>0</v>
      </c>
      <c r="I2214">
        <v>222</v>
      </c>
      <c r="J2214" s="10">
        <v>90</v>
      </c>
      <c r="K2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14">
        <v>0</v>
      </c>
      <c r="M22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4">
        <v>4</v>
      </c>
      <c r="O2214" s="23" t="s">
        <v>221</v>
      </c>
      <c r="P2214">
        <v>8</v>
      </c>
      <c r="Q2214" s="23" t="s">
        <v>222</v>
      </c>
    </row>
    <row r="2215" spans="1:17" x14ac:dyDescent="0.25">
      <c r="A2215" s="23" t="s">
        <v>1057</v>
      </c>
      <c r="B2215" s="23" t="s">
        <v>1056</v>
      </c>
      <c r="C2215" s="23" t="s">
        <v>176</v>
      </c>
      <c r="D2215" s="23" t="s">
        <v>388</v>
      </c>
      <c r="E2215" s="23" t="s">
        <v>389</v>
      </c>
      <c r="F2215">
        <v>7</v>
      </c>
      <c r="G2215" s="23" t="s">
        <v>177</v>
      </c>
      <c r="H2215">
        <v>0</v>
      </c>
      <c r="I2215">
        <v>1100</v>
      </c>
      <c r="J2215" s="10">
        <v>780</v>
      </c>
      <c r="K2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15">
        <v>0</v>
      </c>
      <c r="M22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5">
        <v>0.32</v>
      </c>
      <c r="O2215" s="23" t="s">
        <v>242</v>
      </c>
      <c r="P2215">
        <v>2.2400000000000002</v>
      </c>
      <c r="Q2215" s="23" t="s">
        <v>181</v>
      </c>
    </row>
    <row r="2216" spans="1:17" x14ac:dyDescent="0.25">
      <c r="A2216" s="23" t="s">
        <v>1143</v>
      </c>
      <c r="B2216" s="23" t="s">
        <v>1054</v>
      </c>
      <c r="C2216" s="23" t="s">
        <v>176</v>
      </c>
      <c r="D2216" s="23" t="s">
        <v>388</v>
      </c>
      <c r="E2216" s="23" t="s">
        <v>389</v>
      </c>
      <c r="F2216">
        <v>26</v>
      </c>
      <c r="G2216" s="23" t="s">
        <v>177</v>
      </c>
      <c r="H2216">
        <v>0</v>
      </c>
      <c r="I2216">
        <v>1100</v>
      </c>
      <c r="J2216" s="10">
        <v>780</v>
      </c>
      <c r="K2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16">
        <v>0</v>
      </c>
      <c r="M22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6">
        <v>0.32</v>
      </c>
      <c r="O2216" s="23" t="s">
        <v>242</v>
      </c>
      <c r="P2216">
        <v>8.32</v>
      </c>
      <c r="Q2216" s="23" t="s">
        <v>181</v>
      </c>
    </row>
    <row r="2217" spans="1:17" x14ac:dyDescent="0.25">
      <c r="A2217" s="23" t="s">
        <v>1097</v>
      </c>
      <c r="B2217" s="23" t="s">
        <v>1095</v>
      </c>
      <c r="C2217" s="23" t="s">
        <v>176</v>
      </c>
      <c r="D2217" s="23" t="s">
        <v>541</v>
      </c>
      <c r="E2217" s="23" t="s">
        <v>542</v>
      </c>
      <c r="F2217">
        <v>4</v>
      </c>
      <c r="G2217" s="23" t="s">
        <v>177</v>
      </c>
      <c r="H2217">
        <v>0</v>
      </c>
      <c r="I2217">
        <v>1000</v>
      </c>
      <c r="J2217" s="10">
        <v>0</v>
      </c>
      <c r="K2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2217">
        <v>0</v>
      </c>
      <c r="M22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7">
        <v>1.2</v>
      </c>
      <c r="O2217" s="23" t="s">
        <v>242</v>
      </c>
      <c r="P2217">
        <v>4.8</v>
      </c>
      <c r="Q2217" s="23" t="s">
        <v>181</v>
      </c>
    </row>
    <row r="2218" spans="1:17" x14ac:dyDescent="0.25">
      <c r="A2218" s="23" t="s">
        <v>1062</v>
      </c>
      <c r="B2218" s="23" t="s">
        <v>1053</v>
      </c>
      <c r="C2218" s="23" t="s">
        <v>176</v>
      </c>
      <c r="D2218" s="23" t="s">
        <v>541</v>
      </c>
      <c r="E2218" s="23" t="s">
        <v>542</v>
      </c>
      <c r="F2218">
        <v>4</v>
      </c>
      <c r="G2218" s="23" t="s">
        <v>177</v>
      </c>
      <c r="H2218">
        <v>0</v>
      </c>
      <c r="I2218">
        <v>1000</v>
      </c>
      <c r="J2218" s="10">
        <v>0</v>
      </c>
      <c r="K2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2218">
        <v>0</v>
      </c>
      <c r="M22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18">
        <v>1.2</v>
      </c>
      <c r="O2218" s="23" t="s">
        <v>242</v>
      </c>
      <c r="P2218">
        <v>4.8</v>
      </c>
      <c r="Q2218" s="23" t="s">
        <v>181</v>
      </c>
    </row>
    <row r="2219" spans="1:17" x14ac:dyDescent="0.25">
      <c r="A2219" s="23" t="s">
        <v>1097</v>
      </c>
      <c r="B2219" s="23" t="s">
        <v>1095</v>
      </c>
      <c r="C2219" s="23" t="s">
        <v>176</v>
      </c>
      <c r="D2219" s="23" t="s">
        <v>258</v>
      </c>
      <c r="E2219" s="23" t="s">
        <v>259</v>
      </c>
      <c r="F2219">
        <v>3.2</v>
      </c>
      <c r="G2219" s="23" t="s">
        <v>177</v>
      </c>
      <c r="H2219">
        <v>0</v>
      </c>
      <c r="I2219">
        <v>14</v>
      </c>
      <c r="J2219" s="10">
        <v>6.7999999999999901</v>
      </c>
      <c r="K2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2219">
        <v>12</v>
      </c>
      <c r="M22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2219">
        <v>328.85</v>
      </c>
      <c r="O2219" s="23" t="s">
        <v>260</v>
      </c>
      <c r="P2219">
        <v>1052.3200000000002</v>
      </c>
      <c r="Q2219" s="23" t="s">
        <v>184</v>
      </c>
    </row>
    <row r="2220" spans="1:17" x14ac:dyDescent="0.25">
      <c r="A2220" s="23" t="s">
        <v>1062</v>
      </c>
      <c r="B2220" s="23" t="s">
        <v>1053</v>
      </c>
      <c r="C2220" s="23" t="s">
        <v>176</v>
      </c>
      <c r="D2220" s="23" t="s">
        <v>421</v>
      </c>
      <c r="E2220" s="23" t="s">
        <v>422</v>
      </c>
      <c r="F2220">
        <v>1</v>
      </c>
      <c r="G2220" s="23" t="s">
        <v>180</v>
      </c>
      <c r="H2220">
        <v>0</v>
      </c>
      <c r="I2220">
        <v>0</v>
      </c>
      <c r="J2220" s="10">
        <v>3.0000000000000142</v>
      </c>
      <c r="K2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220">
        <v>0</v>
      </c>
      <c r="M22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2220">
        <v>490.85</v>
      </c>
      <c r="O2220" s="23" t="s">
        <v>423</v>
      </c>
      <c r="P2220">
        <v>490.85</v>
      </c>
      <c r="Q2220" s="23" t="s">
        <v>185</v>
      </c>
    </row>
    <row r="2221" spans="1:17" x14ac:dyDescent="0.25">
      <c r="A2221" s="23" t="s">
        <v>1097</v>
      </c>
      <c r="B2221" s="23" t="s">
        <v>1095</v>
      </c>
      <c r="C2221" s="23" t="s">
        <v>176</v>
      </c>
      <c r="D2221" s="23" t="s">
        <v>421</v>
      </c>
      <c r="E2221" s="23" t="s">
        <v>422</v>
      </c>
      <c r="F2221">
        <v>1</v>
      </c>
      <c r="G2221" s="23" t="s">
        <v>180</v>
      </c>
      <c r="H2221">
        <v>0</v>
      </c>
      <c r="I2221">
        <v>0</v>
      </c>
      <c r="J2221" s="10">
        <v>3.0000000000000142</v>
      </c>
      <c r="K2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221">
        <v>0</v>
      </c>
      <c r="M22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2221">
        <v>490.85</v>
      </c>
      <c r="O2221" s="23" t="s">
        <v>423</v>
      </c>
      <c r="P2221">
        <v>490.85</v>
      </c>
      <c r="Q2221" s="23" t="s">
        <v>185</v>
      </c>
    </row>
    <row r="2222" spans="1:17" x14ac:dyDescent="0.25">
      <c r="A2222" s="23" t="s">
        <v>1197</v>
      </c>
      <c r="B2222" s="23" t="s">
        <v>1198</v>
      </c>
      <c r="C2222" s="23" t="s">
        <v>176</v>
      </c>
      <c r="D2222" s="23" t="s">
        <v>666</v>
      </c>
      <c r="E2222" s="23" t="s">
        <v>667</v>
      </c>
      <c r="F2222">
        <v>1</v>
      </c>
      <c r="G2222" s="23" t="s">
        <v>177</v>
      </c>
      <c r="H2222">
        <v>0</v>
      </c>
      <c r="I2222">
        <v>0</v>
      </c>
      <c r="J2222" s="10">
        <v>4</v>
      </c>
      <c r="K2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22">
        <v>20</v>
      </c>
      <c r="M22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2">
        <v>28000</v>
      </c>
      <c r="O2222" s="23" t="s">
        <v>830</v>
      </c>
      <c r="P2222">
        <v>28000</v>
      </c>
      <c r="Q2222" s="23" t="s">
        <v>222</v>
      </c>
    </row>
    <row r="2223" spans="1:17" x14ac:dyDescent="0.25">
      <c r="A2223" s="23" t="s">
        <v>1149</v>
      </c>
      <c r="B2223" s="23" t="s">
        <v>1145</v>
      </c>
      <c r="C2223" s="23" t="s">
        <v>176</v>
      </c>
      <c r="D2223" s="23" t="s">
        <v>258</v>
      </c>
      <c r="E2223" s="23" t="s">
        <v>259</v>
      </c>
      <c r="F2223">
        <v>1.5</v>
      </c>
      <c r="G2223" s="23" t="s">
        <v>177</v>
      </c>
      <c r="H2223">
        <v>0</v>
      </c>
      <c r="I2223">
        <v>14</v>
      </c>
      <c r="J2223" s="10">
        <v>6.7999999999999901</v>
      </c>
      <c r="K2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2223">
        <v>12</v>
      </c>
      <c r="M22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2223">
        <v>328.85</v>
      </c>
      <c r="O2223" s="23" t="s">
        <v>260</v>
      </c>
      <c r="P2223">
        <v>493.27500000000003</v>
      </c>
      <c r="Q2223" s="23" t="s">
        <v>184</v>
      </c>
    </row>
    <row r="2224" spans="1:17" x14ac:dyDescent="0.25">
      <c r="A2224" s="23" t="s">
        <v>1146</v>
      </c>
      <c r="B2224" s="23" t="s">
        <v>1145</v>
      </c>
      <c r="C2224" s="23" t="s">
        <v>176</v>
      </c>
      <c r="D2224" s="23" t="s">
        <v>666</v>
      </c>
      <c r="E2224" s="23" t="s">
        <v>667</v>
      </c>
      <c r="F2224">
        <v>1</v>
      </c>
      <c r="G2224" s="23" t="s">
        <v>177</v>
      </c>
      <c r="H2224">
        <v>0</v>
      </c>
      <c r="I2224">
        <v>0</v>
      </c>
      <c r="J2224" s="10">
        <v>4</v>
      </c>
      <c r="K2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24">
        <v>20</v>
      </c>
      <c r="M22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4">
        <v>28000</v>
      </c>
      <c r="O2224" s="23" t="s">
        <v>830</v>
      </c>
      <c r="P2224">
        <v>28000</v>
      </c>
      <c r="Q2224" s="23" t="s">
        <v>222</v>
      </c>
    </row>
    <row r="2225" spans="1:17" x14ac:dyDescent="0.25">
      <c r="A2225" s="23" t="s">
        <v>1144</v>
      </c>
      <c r="B2225" s="23" t="s">
        <v>1145</v>
      </c>
      <c r="C2225" s="23" t="s">
        <v>176</v>
      </c>
      <c r="D2225" s="23" t="s">
        <v>666</v>
      </c>
      <c r="E2225" s="23" t="s">
        <v>667</v>
      </c>
      <c r="F2225">
        <v>1</v>
      </c>
      <c r="G2225" s="23" t="s">
        <v>177</v>
      </c>
      <c r="H2225">
        <v>0</v>
      </c>
      <c r="I2225">
        <v>0</v>
      </c>
      <c r="J2225" s="10">
        <v>4</v>
      </c>
      <c r="K2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25">
        <v>20</v>
      </c>
      <c r="M22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5">
        <v>28000</v>
      </c>
      <c r="O2225" s="23" t="s">
        <v>830</v>
      </c>
      <c r="P2225">
        <v>28000</v>
      </c>
      <c r="Q2225" s="23" t="s">
        <v>222</v>
      </c>
    </row>
    <row r="2226" spans="1:17" x14ac:dyDescent="0.25">
      <c r="A2226" s="23" t="s">
        <v>1094</v>
      </c>
      <c r="B2226" s="23" t="s">
        <v>1095</v>
      </c>
      <c r="C2226" s="23" t="s">
        <v>176</v>
      </c>
      <c r="D2226" s="23" t="s">
        <v>388</v>
      </c>
      <c r="E2226" s="23" t="s">
        <v>389</v>
      </c>
      <c r="F2226">
        <v>32</v>
      </c>
      <c r="G2226" s="23" t="s">
        <v>177</v>
      </c>
      <c r="H2226">
        <v>0</v>
      </c>
      <c r="I2226">
        <v>1100</v>
      </c>
      <c r="J2226" s="10">
        <v>780</v>
      </c>
      <c r="K2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26">
        <v>0</v>
      </c>
      <c r="M22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6">
        <v>0.32</v>
      </c>
      <c r="O2226" s="23" t="s">
        <v>242</v>
      </c>
      <c r="P2226">
        <v>10.24</v>
      </c>
      <c r="Q2226" s="23" t="s">
        <v>181</v>
      </c>
    </row>
    <row r="2227" spans="1:17" x14ac:dyDescent="0.25">
      <c r="A2227" s="23" t="s">
        <v>1062</v>
      </c>
      <c r="B2227" s="23" t="s">
        <v>1053</v>
      </c>
      <c r="C2227" s="23" t="s">
        <v>176</v>
      </c>
      <c r="D2227" s="23" t="s">
        <v>234</v>
      </c>
      <c r="E2227" s="23" t="s">
        <v>235</v>
      </c>
      <c r="F2227">
        <v>2</v>
      </c>
      <c r="G2227" s="23" t="s">
        <v>177</v>
      </c>
      <c r="H2227">
        <v>0</v>
      </c>
      <c r="I2227">
        <v>222</v>
      </c>
      <c r="J2227" s="10">
        <v>90</v>
      </c>
      <c r="K2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27">
        <v>0</v>
      </c>
      <c r="M22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7">
        <v>4</v>
      </c>
      <c r="O2227" s="23" t="s">
        <v>221</v>
      </c>
      <c r="P2227">
        <v>8</v>
      </c>
      <c r="Q2227" s="23" t="s">
        <v>222</v>
      </c>
    </row>
    <row r="2228" spans="1:17" x14ac:dyDescent="0.25">
      <c r="A2228" s="23" t="s">
        <v>1197</v>
      </c>
      <c r="B2228" s="23" t="s">
        <v>1198</v>
      </c>
      <c r="C2228" s="23" t="s">
        <v>176</v>
      </c>
      <c r="D2228" s="23" t="s">
        <v>234</v>
      </c>
      <c r="E2228" s="23" t="s">
        <v>235</v>
      </c>
      <c r="F2228">
        <v>2</v>
      </c>
      <c r="G2228" s="23" t="s">
        <v>177</v>
      </c>
      <c r="H2228">
        <v>0</v>
      </c>
      <c r="I2228">
        <v>222</v>
      </c>
      <c r="J2228" s="10">
        <v>90</v>
      </c>
      <c r="K2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28">
        <v>0</v>
      </c>
      <c r="M22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8">
        <v>4</v>
      </c>
      <c r="O2228" s="23" t="s">
        <v>221</v>
      </c>
      <c r="P2228">
        <v>8</v>
      </c>
      <c r="Q2228" s="23" t="s">
        <v>222</v>
      </c>
    </row>
    <row r="2229" spans="1:17" x14ac:dyDescent="0.25">
      <c r="A2229" s="23" t="s">
        <v>1098</v>
      </c>
      <c r="B2229" s="23" t="s">
        <v>1053</v>
      </c>
      <c r="C2229" s="23" t="s">
        <v>176</v>
      </c>
      <c r="D2229" s="23" t="s">
        <v>234</v>
      </c>
      <c r="E2229" s="23" t="s">
        <v>235</v>
      </c>
      <c r="F2229">
        <v>2</v>
      </c>
      <c r="G2229" s="23" t="s">
        <v>177</v>
      </c>
      <c r="H2229">
        <v>0</v>
      </c>
      <c r="I2229">
        <v>222</v>
      </c>
      <c r="J2229" s="10">
        <v>90</v>
      </c>
      <c r="K2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29">
        <v>0</v>
      </c>
      <c r="M22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29">
        <v>4</v>
      </c>
      <c r="O2229" s="23" t="s">
        <v>221</v>
      </c>
      <c r="P2229">
        <v>8</v>
      </c>
      <c r="Q2229" s="23" t="s">
        <v>222</v>
      </c>
    </row>
    <row r="2230" spans="1:17" x14ac:dyDescent="0.25">
      <c r="A2230" s="23" t="s">
        <v>1142</v>
      </c>
      <c r="B2230" s="23" t="s">
        <v>1054</v>
      </c>
      <c r="C2230" s="23" t="s">
        <v>176</v>
      </c>
      <c r="D2230" s="23" t="s">
        <v>99</v>
      </c>
      <c r="E2230" s="23" t="s">
        <v>250</v>
      </c>
      <c r="F2230">
        <v>7</v>
      </c>
      <c r="G2230" s="23" t="s">
        <v>177</v>
      </c>
      <c r="H2230">
        <v>0</v>
      </c>
      <c r="I2230">
        <v>230</v>
      </c>
      <c r="J2230" s="10">
        <v>72</v>
      </c>
      <c r="K2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230">
        <v>0</v>
      </c>
      <c r="M22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0">
        <v>225</v>
      </c>
      <c r="O2230" s="23" t="s">
        <v>826</v>
      </c>
      <c r="P2230">
        <v>1575</v>
      </c>
      <c r="Q2230" s="23" t="s">
        <v>178</v>
      </c>
    </row>
    <row r="2231" spans="1:17" x14ac:dyDescent="0.25">
      <c r="A2231" s="23" t="s">
        <v>1098</v>
      </c>
      <c r="B2231" s="23" t="s">
        <v>1053</v>
      </c>
      <c r="C2231" s="23" t="s">
        <v>176</v>
      </c>
      <c r="D2231" s="23" t="s">
        <v>541</v>
      </c>
      <c r="E2231" s="23" t="s">
        <v>542</v>
      </c>
      <c r="F2231">
        <v>4</v>
      </c>
      <c r="G2231" s="23" t="s">
        <v>177</v>
      </c>
      <c r="H2231">
        <v>0</v>
      </c>
      <c r="I2231">
        <v>1000</v>
      </c>
      <c r="J2231" s="10">
        <v>0</v>
      </c>
      <c r="K2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-964</v>
      </c>
      <c r="L2231">
        <v>0</v>
      </c>
      <c r="M22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1">
        <v>1.2</v>
      </c>
      <c r="O2231" s="23" t="s">
        <v>242</v>
      </c>
      <c r="P2231">
        <v>4.8</v>
      </c>
      <c r="Q2231" s="23" t="s">
        <v>181</v>
      </c>
    </row>
    <row r="2232" spans="1:17" x14ac:dyDescent="0.25">
      <c r="A2232" s="23" t="s">
        <v>1098</v>
      </c>
      <c r="B2232" s="23" t="s">
        <v>1053</v>
      </c>
      <c r="C2232" s="23" t="s">
        <v>176</v>
      </c>
      <c r="D2232" s="23" t="s">
        <v>421</v>
      </c>
      <c r="E2232" s="23" t="s">
        <v>422</v>
      </c>
      <c r="F2232">
        <v>1</v>
      </c>
      <c r="G2232" s="23" t="s">
        <v>180</v>
      </c>
      <c r="H2232">
        <v>0</v>
      </c>
      <c r="I2232">
        <v>0</v>
      </c>
      <c r="J2232" s="10">
        <v>3.0000000000000142</v>
      </c>
      <c r="K2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232">
        <v>0</v>
      </c>
      <c r="M22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2232">
        <v>490.85</v>
      </c>
      <c r="O2232" s="23" t="s">
        <v>423</v>
      </c>
      <c r="P2232">
        <v>490.85</v>
      </c>
      <c r="Q2232" s="23" t="s">
        <v>185</v>
      </c>
    </row>
    <row r="2233" spans="1:17" x14ac:dyDescent="0.25">
      <c r="A2233" s="23" t="s">
        <v>1197</v>
      </c>
      <c r="B2233" s="23" t="s">
        <v>1198</v>
      </c>
      <c r="C2233" s="23" t="s">
        <v>176</v>
      </c>
      <c r="D2233" s="23" t="s">
        <v>421</v>
      </c>
      <c r="E2233" s="23" t="s">
        <v>422</v>
      </c>
      <c r="F2233">
        <v>3</v>
      </c>
      <c r="G2233" s="23" t="s">
        <v>180</v>
      </c>
      <c r="H2233">
        <v>0</v>
      </c>
      <c r="I2233">
        <v>0</v>
      </c>
      <c r="J2233" s="10">
        <v>3.0000000000000142</v>
      </c>
      <c r="K2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233">
        <v>0</v>
      </c>
      <c r="M22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2233">
        <v>490.85</v>
      </c>
      <c r="O2233" s="23" t="s">
        <v>423</v>
      </c>
      <c r="P2233">
        <v>1472.5500000000002</v>
      </c>
      <c r="Q2233" s="23" t="s">
        <v>185</v>
      </c>
    </row>
    <row r="2234" spans="1:17" x14ac:dyDescent="0.25">
      <c r="A2234" s="23" t="s">
        <v>1100</v>
      </c>
      <c r="B2234" s="23" t="s">
        <v>1101</v>
      </c>
      <c r="C2234" s="23" t="s">
        <v>176</v>
      </c>
      <c r="D2234" s="23" t="s">
        <v>666</v>
      </c>
      <c r="E2234" s="23" t="s">
        <v>667</v>
      </c>
      <c r="F2234">
        <v>2</v>
      </c>
      <c r="G2234" s="23" t="s">
        <v>177</v>
      </c>
      <c r="H2234">
        <v>0</v>
      </c>
      <c r="I2234">
        <v>0</v>
      </c>
      <c r="J2234" s="10">
        <v>4</v>
      </c>
      <c r="K2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34">
        <v>20</v>
      </c>
      <c r="M22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4">
        <v>28000</v>
      </c>
      <c r="O2234" s="23" t="s">
        <v>830</v>
      </c>
      <c r="P2234">
        <v>56000</v>
      </c>
      <c r="Q2234" s="23" t="s">
        <v>222</v>
      </c>
    </row>
    <row r="2235" spans="1:17" x14ac:dyDescent="0.25">
      <c r="A2235" s="23" t="s">
        <v>1058</v>
      </c>
      <c r="B2235" s="23" t="s">
        <v>1059</v>
      </c>
      <c r="C2235" s="23" t="s">
        <v>176</v>
      </c>
      <c r="D2235" s="23" t="s">
        <v>234</v>
      </c>
      <c r="E2235" s="23" t="s">
        <v>235</v>
      </c>
      <c r="F2235">
        <v>2</v>
      </c>
      <c r="G2235" s="23" t="s">
        <v>177</v>
      </c>
      <c r="H2235">
        <v>0</v>
      </c>
      <c r="I2235">
        <v>222</v>
      </c>
      <c r="J2235" s="10">
        <v>90</v>
      </c>
      <c r="K2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35">
        <v>0</v>
      </c>
      <c r="M22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5">
        <v>4</v>
      </c>
      <c r="O2235" s="23" t="s">
        <v>221</v>
      </c>
      <c r="P2235">
        <v>8</v>
      </c>
      <c r="Q2235" s="23" t="s">
        <v>222</v>
      </c>
    </row>
    <row r="2236" spans="1:17" x14ac:dyDescent="0.25">
      <c r="A2236" s="23" t="s">
        <v>1058</v>
      </c>
      <c r="B2236" s="23" t="s">
        <v>1059</v>
      </c>
      <c r="C2236" s="23" t="s">
        <v>176</v>
      </c>
      <c r="D2236" s="23" t="s">
        <v>388</v>
      </c>
      <c r="E2236" s="23" t="s">
        <v>389</v>
      </c>
      <c r="F2236">
        <v>7</v>
      </c>
      <c r="G2236" s="23" t="s">
        <v>177</v>
      </c>
      <c r="H2236">
        <v>0</v>
      </c>
      <c r="I2236">
        <v>1100</v>
      </c>
      <c r="J2236" s="10">
        <v>780</v>
      </c>
      <c r="K2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36">
        <v>0</v>
      </c>
      <c r="M22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6">
        <v>0.32</v>
      </c>
      <c r="O2236" s="23" t="s">
        <v>242</v>
      </c>
      <c r="P2236">
        <v>2.2400000000000002</v>
      </c>
      <c r="Q2236" s="23" t="s">
        <v>181</v>
      </c>
    </row>
    <row r="2237" spans="1:17" x14ac:dyDescent="0.25">
      <c r="A2237" s="23" t="s">
        <v>1150</v>
      </c>
      <c r="B2237" s="23" t="s">
        <v>1145</v>
      </c>
      <c r="C2237" s="23" t="s">
        <v>176</v>
      </c>
      <c r="D2237" s="23" t="s">
        <v>666</v>
      </c>
      <c r="E2237" s="23" t="s">
        <v>667</v>
      </c>
      <c r="F2237">
        <v>1</v>
      </c>
      <c r="G2237" s="23" t="s">
        <v>177</v>
      </c>
      <c r="H2237">
        <v>0</v>
      </c>
      <c r="I2237">
        <v>0</v>
      </c>
      <c r="J2237" s="10">
        <v>4</v>
      </c>
      <c r="K2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37">
        <v>20</v>
      </c>
      <c r="M22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7">
        <v>28000</v>
      </c>
      <c r="O2237" s="23" t="s">
        <v>830</v>
      </c>
      <c r="P2237">
        <v>28000</v>
      </c>
      <c r="Q2237" s="23" t="s">
        <v>222</v>
      </c>
    </row>
    <row r="2238" spans="1:17" x14ac:dyDescent="0.25">
      <c r="A2238" s="23" t="s">
        <v>1149</v>
      </c>
      <c r="B2238" s="23" t="s">
        <v>1145</v>
      </c>
      <c r="C2238" s="23" t="s">
        <v>176</v>
      </c>
      <c r="D2238" s="23" t="s">
        <v>234</v>
      </c>
      <c r="E2238" s="23" t="s">
        <v>235</v>
      </c>
      <c r="F2238">
        <v>2</v>
      </c>
      <c r="G2238" s="23" t="s">
        <v>177</v>
      </c>
      <c r="H2238">
        <v>0</v>
      </c>
      <c r="I2238">
        <v>222</v>
      </c>
      <c r="J2238" s="10">
        <v>90</v>
      </c>
      <c r="K2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38">
        <v>0</v>
      </c>
      <c r="M22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8">
        <v>4</v>
      </c>
      <c r="O2238" s="23" t="s">
        <v>221</v>
      </c>
      <c r="P2238">
        <v>8</v>
      </c>
      <c r="Q2238" s="23" t="s">
        <v>222</v>
      </c>
    </row>
    <row r="2239" spans="1:17" x14ac:dyDescent="0.25">
      <c r="A2239" s="23" t="s">
        <v>1149</v>
      </c>
      <c r="B2239" s="23" t="s">
        <v>1145</v>
      </c>
      <c r="C2239" s="23" t="s">
        <v>176</v>
      </c>
      <c r="D2239" s="23" t="s">
        <v>388</v>
      </c>
      <c r="E2239" s="23" t="s">
        <v>389</v>
      </c>
      <c r="F2239">
        <v>7</v>
      </c>
      <c r="G2239" s="23" t="s">
        <v>177</v>
      </c>
      <c r="H2239">
        <v>0</v>
      </c>
      <c r="I2239">
        <v>1100</v>
      </c>
      <c r="J2239" s="10">
        <v>780</v>
      </c>
      <c r="K2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39">
        <v>0</v>
      </c>
      <c r="M22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39">
        <v>0.32</v>
      </c>
      <c r="O2239" s="23" t="s">
        <v>242</v>
      </c>
      <c r="P2239">
        <v>2.2400000000000002</v>
      </c>
      <c r="Q2239" s="23" t="s">
        <v>181</v>
      </c>
    </row>
    <row r="2240" spans="1:17" x14ac:dyDescent="0.25">
      <c r="A2240" s="23" t="s">
        <v>1057</v>
      </c>
      <c r="B2240" s="23" t="s">
        <v>1056</v>
      </c>
      <c r="C2240" s="23" t="s">
        <v>176</v>
      </c>
      <c r="D2240" s="23" t="s">
        <v>666</v>
      </c>
      <c r="E2240" s="23" t="s">
        <v>667</v>
      </c>
      <c r="F2240">
        <v>2</v>
      </c>
      <c r="G2240" s="23" t="s">
        <v>177</v>
      </c>
      <c r="H2240">
        <v>0</v>
      </c>
      <c r="I2240">
        <v>0</v>
      </c>
      <c r="J2240" s="10">
        <v>4</v>
      </c>
      <c r="K2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40">
        <v>20</v>
      </c>
      <c r="M22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0">
        <v>28000</v>
      </c>
      <c r="O2240" s="23" t="s">
        <v>830</v>
      </c>
      <c r="P2240">
        <v>56000</v>
      </c>
      <c r="Q2240" s="23" t="s">
        <v>222</v>
      </c>
    </row>
    <row r="2241" spans="1:17" x14ac:dyDescent="0.25">
      <c r="A2241" s="23" t="s">
        <v>1143</v>
      </c>
      <c r="B2241" s="23" t="s">
        <v>1054</v>
      </c>
      <c r="C2241" s="23" t="s">
        <v>176</v>
      </c>
      <c r="D2241" s="23" t="s">
        <v>666</v>
      </c>
      <c r="E2241" s="23" t="s">
        <v>667</v>
      </c>
      <c r="F2241">
        <v>2</v>
      </c>
      <c r="G2241" s="23" t="s">
        <v>177</v>
      </c>
      <c r="H2241">
        <v>0</v>
      </c>
      <c r="I2241">
        <v>0</v>
      </c>
      <c r="J2241" s="10">
        <v>4</v>
      </c>
      <c r="K2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41">
        <v>20</v>
      </c>
      <c r="M22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1">
        <v>28000</v>
      </c>
      <c r="O2241" s="23" t="s">
        <v>830</v>
      </c>
      <c r="P2241">
        <v>56000</v>
      </c>
      <c r="Q2241" s="23" t="s">
        <v>222</v>
      </c>
    </row>
    <row r="2242" spans="1:17" x14ac:dyDescent="0.25">
      <c r="A2242" s="23" t="s">
        <v>1096</v>
      </c>
      <c r="B2242" s="23" t="s">
        <v>1053</v>
      </c>
      <c r="C2242" s="23" t="s">
        <v>176</v>
      </c>
      <c r="D2242" s="23" t="s">
        <v>234</v>
      </c>
      <c r="E2242" s="23" t="s">
        <v>235</v>
      </c>
      <c r="F2242">
        <v>2</v>
      </c>
      <c r="G2242" s="23" t="s">
        <v>177</v>
      </c>
      <c r="H2242">
        <v>0</v>
      </c>
      <c r="I2242">
        <v>222</v>
      </c>
      <c r="J2242" s="10">
        <v>90</v>
      </c>
      <c r="K2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42">
        <v>0</v>
      </c>
      <c r="M22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2">
        <v>4</v>
      </c>
      <c r="O2242" s="23" t="s">
        <v>221</v>
      </c>
      <c r="P2242">
        <v>8</v>
      </c>
      <c r="Q2242" s="23" t="s">
        <v>222</v>
      </c>
    </row>
    <row r="2243" spans="1:17" x14ac:dyDescent="0.25">
      <c r="A2243" s="23" t="s">
        <v>1143</v>
      </c>
      <c r="B2243" s="23" t="s">
        <v>1054</v>
      </c>
      <c r="C2243" s="23" t="s">
        <v>176</v>
      </c>
      <c r="D2243" s="23" t="s">
        <v>234</v>
      </c>
      <c r="E2243" s="23" t="s">
        <v>235</v>
      </c>
      <c r="F2243">
        <v>2</v>
      </c>
      <c r="G2243" s="23" t="s">
        <v>177</v>
      </c>
      <c r="H2243">
        <v>0</v>
      </c>
      <c r="I2243">
        <v>222</v>
      </c>
      <c r="J2243" s="10">
        <v>90</v>
      </c>
      <c r="K2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43">
        <v>0</v>
      </c>
      <c r="M22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3">
        <v>4</v>
      </c>
      <c r="O2243" s="23" t="s">
        <v>221</v>
      </c>
      <c r="P2243">
        <v>8</v>
      </c>
      <c r="Q2243" s="23" t="s">
        <v>222</v>
      </c>
    </row>
    <row r="2244" spans="1:17" x14ac:dyDescent="0.25">
      <c r="A2244" s="23" t="s">
        <v>1197</v>
      </c>
      <c r="B2244" s="23" t="s">
        <v>1198</v>
      </c>
      <c r="C2244" s="23" t="s">
        <v>176</v>
      </c>
      <c r="D2244" s="23" t="s">
        <v>258</v>
      </c>
      <c r="E2244" s="23" t="s">
        <v>259</v>
      </c>
      <c r="F2244">
        <v>2.7</v>
      </c>
      <c r="G2244" s="23" t="s">
        <v>177</v>
      </c>
      <c r="H2244">
        <v>0</v>
      </c>
      <c r="I2244">
        <v>14</v>
      </c>
      <c r="J2244" s="10">
        <v>6.7999999999999901</v>
      </c>
      <c r="K2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2244">
        <v>12</v>
      </c>
      <c r="M22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2244">
        <v>328.85</v>
      </c>
      <c r="O2244" s="23" t="s">
        <v>260</v>
      </c>
      <c r="P2244">
        <v>887.8950000000001</v>
      </c>
      <c r="Q2244" s="23" t="s">
        <v>184</v>
      </c>
    </row>
    <row r="2245" spans="1:17" x14ac:dyDescent="0.25">
      <c r="A2245" s="23" t="s">
        <v>1098</v>
      </c>
      <c r="B2245" s="23" t="s">
        <v>1053</v>
      </c>
      <c r="C2245" s="23" t="s">
        <v>176</v>
      </c>
      <c r="D2245" s="23" t="s">
        <v>258</v>
      </c>
      <c r="E2245" s="23" t="s">
        <v>259</v>
      </c>
      <c r="F2245">
        <v>1.5</v>
      </c>
      <c r="G2245" s="23" t="s">
        <v>177</v>
      </c>
      <c r="H2245">
        <v>0</v>
      </c>
      <c r="I2245">
        <v>14</v>
      </c>
      <c r="J2245" s="10">
        <v>6.7999999999999901</v>
      </c>
      <c r="K2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2245">
        <v>12</v>
      </c>
      <c r="M22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2245">
        <v>328.85</v>
      </c>
      <c r="O2245" s="23" t="s">
        <v>260</v>
      </c>
      <c r="P2245">
        <v>493.27500000000003</v>
      </c>
      <c r="Q2245" s="23" t="s">
        <v>184</v>
      </c>
    </row>
    <row r="2246" spans="1:17" x14ac:dyDescent="0.25">
      <c r="A2246" s="23" t="s">
        <v>1148</v>
      </c>
      <c r="B2246" s="23" t="s">
        <v>1054</v>
      </c>
      <c r="C2246" s="23" t="s">
        <v>176</v>
      </c>
      <c r="D2246" s="23" t="s">
        <v>421</v>
      </c>
      <c r="E2246" s="23" t="s">
        <v>422</v>
      </c>
      <c r="F2246">
        <v>1</v>
      </c>
      <c r="G2246" s="23" t="s">
        <v>180</v>
      </c>
      <c r="H2246">
        <v>0</v>
      </c>
      <c r="I2246">
        <v>0</v>
      </c>
      <c r="J2246" s="10">
        <v>3.0000000000000142</v>
      </c>
      <c r="K2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246">
        <v>0</v>
      </c>
      <c r="M22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2246">
        <v>490.85</v>
      </c>
      <c r="O2246" s="23" t="s">
        <v>423</v>
      </c>
      <c r="P2246">
        <v>490.85</v>
      </c>
      <c r="Q2246" s="23" t="s">
        <v>185</v>
      </c>
    </row>
    <row r="2247" spans="1:17" x14ac:dyDescent="0.25">
      <c r="A2247" s="23" t="s">
        <v>1099</v>
      </c>
      <c r="B2247" s="23" t="s">
        <v>1056</v>
      </c>
      <c r="C2247" s="23" t="s">
        <v>176</v>
      </c>
      <c r="D2247" s="23" t="s">
        <v>666</v>
      </c>
      <c r="E2247" s="23" t="s">
        <v>667</v>
      </c>
      <c r="F2247">
        <v>2</v>
      </c>
      <c r="G2247" s="23" t="s">
        <v>177</v>
      </c>
      <c r="H2247">
        <v>2</v>
      </c>
      <c r="I2247">
        <v>0</v>
      </c>
      <c r="J2247" s="10">
        <v>4</v>
      </c>
      <c r="K2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47">
        <v>20</v>
      </c>
      <c r="M22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7">
        <v>28000</v>
      </c>
      <c r="O2247" s="23" t="s">
        <v>830</v>
      </c>
      <c r="P2247">
        <v>56000</v>
      </c>
      <c r="Q2247" s="23" t="s">
        <v>222</v>
      </c>
    </row>
    <row r="2248" spans="1:17" x14ac:dyDescent="0.25">
      <c r="A2248" s="23" t="s">
        <v>1055</v>
      </c>
      <c r="B2248" s="23" t="s">
        <v>1056</v>
      </c>
      <c r="C2248" s="23" t="s">
        <v>176</v>
      </c>
      <c r="D2248" s="23" t="s">
        <v>666</v>
      </c>
      <c r="E2248" s="23" t="s">
        <v>667</v>
      </c>
      <c r="F2248">
        <v>2</v>
      </c>
      <c r="G2248" s="23" t="s">
        <v>177</v>
      </c>
      <c r="H2248">
        <v>0</v>
      </c>
      <c r="I2248">
        <v>0</v>
      </c>
      <c r="J2248" s="10">
        <v>4</v>
      </c>
      <c r="K2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48">
        <v>20</v>
      </c>
      <c r="M22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8">
        <v>28000</v>
      </c>
      <c r="O2248" s="23" t="s">
        <v>830</v>
      </c>
      <c r="P2248">
        <v>56000</v>
      </c>
      <c r="Q2248" s="23" t="s">
        <v>222</v>
      </c>
    </row>
    <row r="2249" spans="1:17" x14ac:dyDescent="0.25">
      <c r="A2249" s="23" t="s">
        <v>1100</v>
      </c>
      <c r="B2249" s="23" t="s">
        <v>1101</v>
      </c>
      <c r="C2249" s="23" t="s">
        <v>176</v>
      </c>
      <c r="D2249" s="23" t="s">
        <v>234</v>
      </c>
      <c r="E2249" s="23" t="s">
        <v>235</v>
      </c>
      <c r="F2249">
        <v>2</v>
      </c>
      <c r="G2249" s="23" t="s">
        <v>177</v>
      </c>
      <c r="H2249">
        <v>0</v>
      </c>
      <c r="I2249">
        <v>222</v>
      </c>
      <c r="J2249" s="10">
        <v>90</v>
      </c>
      <c r="K2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49">
        <v>0</v>
      </c>
      <c r="M22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49">
        <v>4</v>
      </c>
      <c r="O2249" s="23" t="s">
        <v>221</v>
      </c>
      <c r="P2249">
        <v>8</v>
      </c>
      <c r="Q2249" s="23" t="s">
        <v>222</v>
      </c>
    </row>
    <row r="2250" spans="1:17" x14ac:dyDescent="0.25">
      <c r="A2250" s="23" t="s">
        <v>1100</v>
      </c>
      <c r="B2250" s="23" t="s">
        <v>1101</v>
      </c>
      <c r="C2250" s="23" t="s">
        <v>176</v>
      </c>
      <c r="D2250" s="23" t="s">
        <v>421</v>
      </c>
      <c r="E2250" s="23" t="s">
        <v>422</v>
      </c>
      <c r="F2250">
        <v>1</v>
      </c>
      <c r="G2250" s="23" t="s">
        <v>180</v>
      </c>
      <c r="H2250">
        <v>0</v>
      </c>
      <c r="I2250">
        <v>0</v>
      </c>
      <c r="J2250" s="10">
        <v>3.0000000000000142</v>
      </c>
      <c r="K2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250">
        <v>0</v>
      </c>
      <c r="M22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5399.35</v>
      </c>
      <c r="N2250">
        <v>490.85</v>
      </c>
      <c r="O2250" s="23" t="s">
        <v>423</v>
      </c>
      <c r="P2250">
        <v>490.85</v>
      </c>
      <c r="Q2250" s="23" t="s">
        <v>185</v>
      </c>
    </row>
    <row r="2251" spans="1:17" x14ac:dyDescent="0.25">
      <c r="A2251" s="23" t="s">
        <v>1180</v>
      </c>
      <c r="B2251" s="23" t="s">
        <v>1181</v>
      </c>
      <c r="C2251" s="23" t="s">
        <v>176</v>
      </c>
      <c r="D2251" s="23" t="s">
        <v>666</v>
      </c>
      <c r="E2251" s="23" t="s">
        <v>667</v>
      </c>
      <c r="F2251">
        <v>1</v>
      </c>
      <c r="G2251" s="23" t="s">
        <v>177</v>
      </c>
      <c r="H2251">
        <v>0</v>
      </c>
      <c r="I2251">
        <v>0</v>
      </c>
      <c r="J2251" s="10">
        <v>4</v>
      </c>
      <c r="K2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51">
        <v>20</v>
      </c>
      <c r="M22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1">
        <v>28000</v>
      </c>
      <c r="O2251" s="23" t="s">
        <v>830</v>
      </c>
      <c r="P2251">
        <v>28000</v>
      </c>
      <c r="Q2251" s="23" t="s">
        <v>222</v>
      </c>
    </row>
    <row r="2252" spans="1:17" x14ac:dyDescent="0.25">
      <c r="A2252" s="23" t="s">
        <v>1147</v>
      </c>
      <c r="B2252" s="23" t="s">
        <v>1145</v>
      </c>
      <c r="C2252" s="23" t="s">
        <v>176</v>
      </c>
      <c r="D2252" s="23" t="s">
        <v>234</v>
      </c>
      <c r="E2252" s="23" t="s">
        <v>235</v>
      </c>
      <c r="F2252">
        <v>2</v>
      </c>
      <c r="G2252" s="23" t="s">
        <v>177</v>
      </c>
      <c r="H2252">
        <v>0</v>
      </c>
      <c r="I2252">
        <v>222</v>
      </c>
      <c r="J2252" s="10">
        <v>90</v>
      </c>
      <c r="K2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52">
        <v>0</v>
      </c>
      <c r="M22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2">
        <v>4</v>
      </c>
      <c r="O2252" s="23" t="s">
        <v>221</v>
      </c>
      <c r="P2252">
        <v>8</v>
      </c>
      <c r="Q2252" s="23" t="s">
        <v>222</v>
      </c>
    </row>
    <row r="2253" spans="1:17" x14ac:dyDescent="0.25">
      <c r="A2253" s="23" t="s">
        <v>1147</v>
      </c>
      <c r="B2253" s="23" t="s">
        <v>1145</v>
      </c>
      <c r="C2253" s="23" t="s">
        <v>176</v>
      </c>
      <c r="D2253" s="23" t="s">
        <v>388</v>
      </c>
      <c r="E2253" s="23" t="s">
        <v>389</v>
      </c>
      <c r="F2253">
        <v>7</v>
      </c>
      <c r="G2253" s="23" t="s">
        <v>177</v>
      </c>
      <c r="H2253">
        <v>0</v>
      </c>
      <c r="I2253">
        <v>1100</v>
      </c>
      <c r="J2253" s="10">
        <v>780</v>
      </c>
      <c r="K2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53">
        <v>0</v>
      </c>
      <c r="M22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3">
        <v>0.32</v>
      </c>
      <c r="O2253" s="23" t="s">
        <v>242</v>
      </c>
      <c r="P2253">
        <v>2.2400000000000002</v>
      </c>
      <c r="Q2253" s="23" t="s">
        <v>181</v>
      </c>
    </row>
    <row r="2254" spans="1:17" x14ac:dyDescent="0.25">
      <c r="A2254" s="23" t="s">
        <v>1148</v>
      </c>
      <c r="B2254" s="23" t="s">
        <v>1054</v>
      </c>
      <c r="C2254" s="23" t="s">
        <v>176</v>
      </c>
      <c r="D2254" s="23" t="s">
        <v>388</v>
      </c>
      <c r="E2254" s="23" t="s">
        <v>389</v>
      </c>
      <c r="F2254">
        <v>32</v>
      </c>
      <c r="G2254" s="23" t="s">
        <v>177</v>
      </c>
      <c r="H2254">
        <v>0</v>
      </c>
      <c r="I2254">
        <v>1100</v>
      </c>
      <c r="J2254" s="10">
        <v>780</v>
      </c>
      <c r="K2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254">
        <v>0</v>
      </c>
      <c r="M22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4">
        <v>0.32</v>
      </c>
      <c r="O2254" s="23" t="s">
        <v>242</v>
      </c>
      <c r="P2254">
        <v>10.24</v>
      </c>
      <c r="Q2254" s="23" t="s">
        <v>181</v>
      </c>
    </row>
    <row r="2255" spans="1:17" x14ac:dyDescent="0.25">
      <c r="A2255" s="23" t="s">
        <v>1100</v>
      </c>
      <c r="B2255" s="23" t="s">
        <v>1101</v>
      </c>
      <c r="C2255" s="23" t="s">
        <v>176</v>
      </c>
      <c r="D2255" s="23" t="s">
        <v>414</v>
      </c>
      <c r="E2255" s="23" t="s">
        <v>665</v>
      </c>
      <c r="F2255">
        <v>0.30000000000000004</v>
      </c>
      <c r="G2255" s="23" t="s">
        <v>180</v>
      </c>
      <c r="H2255">
        <v>0</v>
      </c>
      <c r="I2255">
        <v>0</v>
      </c>
      <c r="J2255" s="10">
        <v>93.8</v>
      </c>
      <c r="K2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55">
        <v>0</v>
      </c>
      <c r="M22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55">
        <v>6.77</v>
      </c>
      <c r="O2255" s="23" t="s">
        <v>636</v>
      </c>
      <c r="P2255">
        <v>2.0310000000000001</v>
      </c>
      <c r="Q2255" s="23" t="s">
        <v>222</v>
      </c>
    </row>
    <row r="2256" spans="1:17" x14ac:dyDescent="0.25">
      <c r="A2256" s="23" t="s">
        <v>1100</v>
      </c>
      <c r="B2256" s="23" t="s">
        <v>1101</v>
      </c>
      <c r="C2256" s="23" t="s">
        <v>176</v>
      </c>
      <c r="D2256" s="23" t="s">
        <v>239</v>
      </c>
      <c r="E2256" s="23" t="s">
        <v>307</v>
      </c>
      <c r="F2256">
        <v>2</v>
      </c>
      <c r="G2256" s="23" t="s">
        <v>177</v>
      </c>
      <c r="H2256">
        <v>0</v>
      </c>
      <c r="I2256">
        <v>40</v>
      </c>
      <c r="J2256" s="10">
        <v>18</v>
      </c>
      <c r="K2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56">
        <v>0</v>
      </c>
      <c r="M22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6">
        <v>45.3</v>
      </c>
      <c r="O2256" s="23" t="s">
        <v>827</v>
      </c>
      <c r="P2256">
        <v>90.6</v>
      </c>
      <c r="Q2256" s="23" t="s">
        <v>222</v>
      </c>
    </row>
    <row r="2257" spans="1:17" x14ac:dyDescent="0.25">
      <c r="A2257" s="23" t="s">
        <v>1150</v>
      </c>
      <c r="B2257" s="23" t="s">
        <v>1145</v>
      </c>
      <c r="C2257" s="23" t="s">
        <v>176</v>
      </c>
      <c r="D2257" s="23" t="s">
        <v>81</v>
      </c>
      <c r="E2257" s="23" t="s">
        <v>82</v>
      </c>
      <c r="F2257">
        <v>6</v>
      </c>
      <c r="G2257" s="23" t="s">
        <v>177</v>
      </c>
      <c r="H2257">
        <v>0</v>
      </c>
      <c r="I2257">
        <v>0</v>
      </c>
      <c r="J2257" s="10">
        <v>0.49999999999995737</v>
      </c>
      <c r="K2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257">
        <v>10</v>
      </c>
      <c r="M22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257">
        <v>666.67</v>
      </c>
      <c r="O2257" s="23" t="s">
        <v>224</v>
      </c>
      <c r="P2257">
        <v>4000.0199999999995</v>
      </c>
      <c r="Q2257" s="23" t="s">
        <v>182</v>
      </c>
    </row>
    <row r="2258" spans="1:17" x14ac:dyDescent="0.25">
      <c r="A2258" s="23" t="s">
        <v>1150</v>
      </c>
      <c r="B2258" s="23" t="s">
        <v>1145</v>
      </c>
      <c r="C2258" s="23" t="s">
        <v>176</v>
      </c>
      <c r="D2258" s="23" t="s">
        <v>414</v>
      </c>
      <c r="E2258" s="23" t="s">
        <v>665</v>
      </c>
      <c r="F2258">
        <v>0.30000000000000004</v>
      </c>
      <c r="G2258" s="23" t="s">
        <v>180</v>
      </c>
      <c r="H2258">
        <v>0</v>
      </c>
      <c r="I2258">
        <v>0</v>
      </c>
      <c r="J2258" s="10">
        <v>93.8</v>
      </c>
      <c r="K2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58">
        <v>0</v>
      </c>
      <c r="M22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58">
        <v>6.77</v>
      </c>
      <c r="O2258" s="23" t="s">
        <v>636</v>
      </c>
      <c r="P2258">
        <v>2.0310000000000001</v>
      </c>
      <c r="Q2258" s="23" t="s">
        <v>222</v>
      </c>
    </row>
    <row r="2259" spans="1:17" x14ac:dyDescent="0.25">
      <c r="A2259" s="23" t="s">
        <v>1150</v>
      </c>
      <c r="B2259" s="23" t="s">
        <v>1145</v>
      </c>
      <c r="C2259" s="23" t="s">
        <v>176</v>
      </c>
      <c r="D2259" s="23" t="s">
        <v>239</v>
      </c>
      <c r="E2259" s="23" t="s">
        <v>307</v>
      </c>
      <c r="F2259">
        <v>2</v>
      </c>
      <c r="G2259" s="23" t="s">
        <v>177</v>
      </c>
      <c r="H2259">
        <v>0</v>
      </c>
      <c r="I2259">
        <v>40</v>
      </c>
      <c r="J2259" s="10">
        <v>18</v>
      </c>
      <c r="K2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59">
        <v>0</v>
      </c>
      <c r="M22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59">
        <v>45.3</v>
      </c>
      <c r="O2259" s="23" t="s">
        <v>827</v>
      </c>
      <c r="P2259">
        <v>90.6</v>
      </c>
      <c r="Q2259" s="23" t="s">
        <v>222</v>
      </c>
    </row>
    <row r="2260" spans="1:17" x14ac:dyDescent="0.25">
      <c r="A2260" s="23" t="s">
        <v>1058</v>
      </c>
      <c r="B2260" s="23" t="s">
        <v>1059</v>
      </c>
      <c r="C2260" s="23" t="s">
        <v>176</v>
      </c>
      <c r="D2260" s="23" t="s">
        <v>414</v>
      </c>
      <c r="E2260" s="23" t="s">
        <v>665</v>
      </c>
      <c r="F2260">
        <v>0.30000000000000004</v>
      </c>
      <c r="G2260" s="23" t="s">
        <v>180</v>
      </c>
      <c r="H2260">
        <v>0</v>
      </c>
      <c r="I2260">
        <v>0</v>
      </c>
      <c r="J2260" s="10">
        <v>93.8</v>
      </c>
      <c r="K2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60">
        <v>0</v>
      </c>
      <c r="M22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60">
        <v>6.77</v>
      </c>
      <c r="O2260" s="23" t="s">
        <v>636</v>
      </c>
      <c r="P2260">
        <v>2.0310000000000001</v>
      </c>
      <c r="Q2260" s="23" t="s">
        <v>222</v>
      </c>
    </row>
    <row r="2261" spans="1:17" x14ac:dyDescent="0.25">
      <c r="A2261" s="23" t="s">
        <v>1062</v>
      </c>
      <c r="B2261" s="23" t="s">
        <v>1053</v>
      </c>
      <c r="C2261" s="23" t="s">
        <v>176</v>
      </c>
      <c r="D2261" s="23" t="s">
        <v>414</v>
      </c>
      <c r="E2261" s="23" t="s">
        <v>665</v>
      </c>
      <c r="F2261">
        <v>0.2</v>
      </c>
      <c r="G2261" s="23" t="s">
        <v>180</v>
      </c>
      <c r="H2261">
        <v>0</v>
      </c>
      <c r="I2261">
        <v>0</v>
      </c>
      <c r="J2261" s="10">
        <v>93.8</v>
      </c>
      <c r="K2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61">
        <v>0</v>
      </c>
      <c r="M22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61">
        <v>6.77</v>
      </c>
      <c r="O2261" s="23" t="s">
        <v>636</v>
      </c>
      <c r="P2261">
        <v>1.3540000000000001</v>
      </c>
      <c r="Q2261" s="23" t="s">
        <v>222</v>
      </c>
    </row>
    <row r="2262" spans="1:17" x14ac:dyDescent="0.25">
      <c r="A2262" s="23" t="s">
        <v>1097</v>
      </c>
      <c r="B2262" s="23" t="s">
        <v>1095</v>
      </c>
      <c r="C2262" s="23" t="s">
        <v>176</v>
      </c>
      <c r="D2262" s="23" t="s">
        <v>414</v>
      </c>
      <c r="E2262" s="23" t="s">
        <v>665</v>
      </c>
      <c r="F2262">
        <v>0.2</v>
      </c>
      <c r="G2262" s="23" t="s">
        <v>180</v>
      </c>
      <c r="H2262">
        <v>0</v>
      </c>
      <c r="I2262">
        <v>0</v>
      </c>
      <c r="J2262" s="10">
        <v>93.8</v>
      </c>
      <c r="K2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62">
        <v>0</v>
      </c>
      <c r="M22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62">
        <v>6.77</v>
      </c>
      <c r="O2262" s="23" t="s">
        <v>636</v>
      </c>
      <c r="P2262">
        <v>1.3540000000000001</v>
      </c>
      <c r="Q2262" s="23" t="s">
        <v>222</v>
      </c>
    </row>
    <row r="2263" spans="1:17" x14ac:dyDescent="0.25">
      <c r="A2263" s="23" t="s">
        <v>1197</v>
      </c>
      <c r="B2263" s="23" t="s">
        <v>1198</v>
      </c>
      <c r="C2263" s="23" t="s">
        <v>176</v>
      </c>
      <c r="D2263" s="23" t="s">
        <v>414</v>
      </c>
      <c r="E2263" s="23" t="s">
        <v>665</v>
      </c>
      <c r="F2263">
        <v>0.30000000000000004</v>
      </c>
      <c r="G2263" s="23" t="s">
        <v>180</v>
      </c>
      <c r="H2263">
        <v>0</v>
      </c>
      <c r="I2263">
        <v>0</v>
      </c>
      <c r="J2263" s="10">
        <v>93.8</v>
      </c>
      <c r="K2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63">
        <v>0</v>
      </c>
      <c r="M22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63">
        <v>6.77</v>
      </c>
      <c r="O2263" s="23" t="s">
        <v>636</v>
      </c>
      <c r="P2263">
        <v>2.0310000000000001</v>
      </c>
      <c r="Q2263" s="23" t="s">
        <v>222</v>
      </c>
    </row>
    <row r="2264" spans="1:17" x14ac:dyDescent="0.25">
      <c r="A2264" s="23" t="s">
        <v>1097</v>
      </c>
      <c r="B2264" s="23" t="s">
        <v>1095</v>
      </c>
      <c r="C2264" s="23" t="s">
        <v>176</v>
      </c>
      <c r="D2264" s="23" t="s">
        <v>239</v>
      </c>
      <c r="E2264" s="23" t="s">
        <v>307</v>
      </c>
      <c r="F2264">
        <v>2</v>
      </c>
      <c r="G2264" s="23" t="s">
        <v>177</v>
      </c>
      <c r="H2264">
        <v>0</v>
      </c>
      <c r="I2264">
        <v>40</v>
      </c>
      <c r="J2264" s="10">
        <v>18</v>
      </c>
      <c r="K2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64">
        <v>0</v>
      </c>
      <c r="M22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4">
        <v>45.3</v>
      </c>
      <c r="O2264" s="23" t="s">
        <v>827</v>
      </c>
      <c r="P2264">
        <v>90.6</v>
      </c>
      <c r="Q2264" s="23" t="s">
        <v>222</v>
      </c>
    </row>
    <row r="2265" spans="1:17" x14ac:dyDescent="0.25">
      <c r="A2265" s="23" t="s">
        <v>1197</v>
      </c>
      <c r="B2265" s="23" t="s">
        <v>1198</v>
      </c>
      <c r="C2265" s="23" t="s">
        <v>176</v>
      </c>
      <c r="D2265" s="23" t="s">
        <v>239</v>
      </c>
      <c r="E2265" s="23" t="s">
        <v>307</v>
      </c>
      <c r="F2265">
        <v>2</v>
      </c>
      <c r="G2265" s="23" t="s">
        <v>177</v>
      </c>
      <c r="H2265">
        <v>0</v>
      </c>
      <c r="I2265">
        <v>40</v>
      </c>
      <c r="J2265" s="10">
        <v>18</v>
      </c>
      <c r="K2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65">
        <v>0</v>
      </c>
      <c r="M22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5">
        <v>45.3</v>
      </c>
      <c r="O2265" s="23" t="s">
        <v>827</v>
      </c>
      <c r="P2265">
        <v>90.6</v>
      </c>
      <c r="Q2265" s="23" t="s">
        <v>222</v>
      </c>
    </row>
    <row r="2266" spans="1:17" x14ac:dyDescent="0.25">
      <c r="A2266" s="23" t="s">
        <v>1055</v>
      </c>
      <c r="B2266" s="23" t="s">
        <v>1056</v>
      </c>
      <c r="C2266" s="23" t="s">
        <v>176</v>
      </c>
      <c r="D2266" s="23" t="s">
        <v>959</v>
      </c>
      <c r="E2266" s="23" t="s">
        <v>960</v>
      </c>
      <c r="F2266">
        <v>8</v>
      </c>
      <c r="G2266" s="23" t="s">
        <v>177</v>
      </c>
      <c r="H2266">
        <v>0</v>
      </c>
      <c r="I2266">
        <v>92</v>
      </c>
      <c r="J2266" s="10">
        <v>0</v>
      </c>
      <c r="K2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-68</v>
      </c>
      <c r="L2266">
        <v>0</v>
      </c>
      <c r="M22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6">
        <v>33</v>
      </c>
      <c r="O2266" s="23" t="s">
        <v>227</v>
      </c>
      <c r="P2266">
        <v>264</v>
      </c>
      <c r="Q2266" s="23" t="s">
        <v>181</v>
      </c>
    </row>
    <row r="2267" spans="1:17" x14ac:dyDescent="0.25">
      <c r="A2267" s="23" t="s">
        <v>1099</v>
      </c>
      <c r="B2267" s="23" t="s">
        <v>1056</v>
      </c>
      <c r="C2267" s="23" t="s">
        <v>176</v>
      </c>
      <c r="D2267" s="23" t="s">
        <v>959</v>
      </c>
      <c r="E2267" s="23" t="s">
        <v>960</v>
      </c>
      <c r="F2267">
        <v>8</v>
      </c>
      <c r="G2267" s="23" t="s">
        <v>177</v>
      </c>
      <c r="H2267">
        <v>0</v>
      </c>
      <c r="I2267">
        <v>92</v>
      </c>
      <c r="J2267" s="10">
        <v>0</v>
      </c>
      <c r="K2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-68</v>
      </c>
      <c r="L2267">
        <v>0</v>
      </c>
      <c r="M22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7">
        <v>33</v>
      </c>
      <c r="O2267" s="23" t="s">
        <v>227</v>
      </c>
      <c r="P2267">
        <v>264</v>
      </c>
      <c r="Q2267" s="23" t="s">
        <v>181</v>
      </c>
    </row>
    <row r="2268" spans="1:17" x14ac:dyDescent="0.25">
      <c r="A2268" s="23" t="s">
        <v>1148</v>
      </c>
      <c r="B2268" s="23" t="s">
        <v>1054</v>
      </c>
      <c r="C2268" s="23" t="s">
        <v>176</v>
      </c>
      <c r="D2268" s="23" t="s">
        <v>414</v>
      </c>
      <c r="E2268" s="23" t="s">
        <v>665</v>
      </c>
      <c r="F2268">
        <v>0.2</v>
      </c>
      <c r="G2268" s="23" t="s">
        <v>180</v>
      </c>
      <c r="H2268">
        <v>0</v>
      </c>
      <c r="I2268">
        <v>0</v>
      </c>
      <c r="J2268" s="10">
        <v>93.8</v>
      </c>
      <c r="K2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68">
        <v>0</v>
      </c>
      <c r="M22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68">
        <v>6.77</v>
      </c>
      <c r="O2268" s="23" t="s">
        <v>636</v>
      </c>
      <c r="P2268">
        <v>1.3540000000000001</v>
      </c>
      <c r="Q2268" s="23" t="s">
        <v>222</v>
      </c>
    </row>
    <row r="2269" spans="1:17" x14ac:dyDescent="0.25">
      <c r="A2269" s="23" t="s">
        <v>1148</v>
      </c>
      <c r="B2269" s="23" t="s">
        <v>1054</v>
      </c>
      <c r="C2269" s="23" t="s">
        <v>176</v>
      </c>
      <c r="D2269" s="23" t="s">
        <v>239</v>
      </c>
      <c r="E2269" s="23" t="s">
        <v>307</v>
      </c>
      <c r="F2269">
        <v>2</v>
      </c>
      <c r="G2269" s="23" t="s">
        <v>177</v>
      </c>
      <c r="H2269">
        <v>0</v>
      </c>
      <c r="I2269">
        <v>40</v>
      </c>
      <c r="J2269" s="10">
        <v>18</v>
      </c>
      <c r="K2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69">
        <v>0</v>
      </c>
      <c r="M22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69">
        <v>45.3</v>
      </c>
      <c r="O2269" s="23" t="s">
        <v>827</v>
      </c>
      <c r="P2269">
        <v>90.6</v>
      </c>
      <c r="Q2269" s="23" t="s">
        <v>222</v>
      </c>
    </row>
    <row r="2270" spans="1:17" x14ac:dyDescent="0.25">
      <c r="A2270" s="23" t="s">
        <v>1098</v>
      </c>
      <c r="B2270" s="23" t="s">
        <v>1053</v>
      </c>
      <c r="C2270" s="23" t="s">
        <v>176</v>
      </c>
      <c r="D2270" s="23" t="s">
        <v>414</v>
      </c>
      <c r="E2270" s="23" t="s">
        <v>665</v>
      </c>
      <c r="F2270">
        <v>0.30000000000000004</v>
      </c>
      <c r="G2270" s="23" t="s">
        <v>180</v>
      </c>
      <c r="H2270">
        <v>0</v>
      </c>
      <c r="I2270">
        <v>0</v>
      </c>
      <c r="J2270" s="10">
        <v>93.8</v>
      </c>
      <c r="K2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5.0999999999999996</v>
      </c>
      <c r="L2270">
        <v>0</v>
      </c>
      <c r="M22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34.526999999999994</v>
      </c>
      <c r="N2270">
        <v>6.77</v>
      </c>
      <c r="O2270" s="23" t="s">
        <v>636</v>
      </c>
      <c r="P2270">
        <v>2.0310000000000001</v>
      </c>
      <c r="Q2270" s="23" t="s">
        <v>222</v>
      </c>
    </row>
    <row r="2271" spans="1:17" x14ac:dyDescent="0.25">
      <c r="A2271" s="23" t="s">
        <v>1098</v>
      </c>
      <c r="B2271" s="23" t="s">
        <v>1053</v>
      </c>
      <c r="C2271" s="23" t="s">
        <v>176</v>
      </c>
      <c r="D2271" s="23" t="s">
        <v>572</v>
      </c>
      <c r="E2271" s="23" t="s">
        <v>573</v>
      </c>
      <c r="F2271">
        <v>2.4</v>
      </c>
      <c r="G2271" s="23" t="s">
        <v>180</v>
      </c>
      <c r="H2271">
        <v>0</v>
      </c>
      <c r="I2271">
        <v>50</v>
      </c>
      <c r="J2271" s="10">
        <v>-1.4210854715202004E-14</v>
      </c>
      <c r="K2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2271">
        <v>0</v>
      </c>
      <c r="M22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1">
        <v>11</v>
      </c>
      <c r="O2271" s="23" t="s">
        <v>227</v>
      </c>
      <c r="P2271">
        <v>26.4</v>
      </c>
      <c r="Q2271" s="23" t="s">
        <v>181</v>
      </c>
    </row>
    <row r="2272" spans="1:17" x14ac:dyDescent="0.25">
      <c r="A2272" s="23" t="s">
        <v>1197</v>
      </c>
      <c r="B2272" s="23" t="s">
        <v>1198</v>
      </c>
      <c r="C2272" s="23" t="s">
        <v>176</v>
      </c>
      <c r="D2272" s="23" t="s">
        <v>572</v>
      </c>
      <c r="E2272" s="23" t="s">
        <v>573</v>
      </c>
      <c r="F2272">
        <v>2.7</v>
      </c>
      <c r="G2272" s="23" t="s">
        <v>180</v>
      </c>
      <c r="H2272">
        <v>0</v>
      </c>
      <c r="I2272">
        <v>50</v>
      </c>
      <c r="J2272" s="10">
        <v>-1.4210854715202004E-14</v>
      </c>
      <c r="K2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-15.200000000000003</v>
      </c>
      <c r="L2272">
        <v>0</v>
      </c>
      <c r="M22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2">
        <v>11</v>
      </c>
      <c r="O2272" s="23" t="s">
        <v>227</v>
      </c>
      <c r="P2272">
        <v>29.700000000000003</v>
      </c>
      <c r="Q2272" s="23" t="s">
        <v>181</v>
      </c>
    </row>
    <row r="2273" spans="1:17" x14ac:dyDescent="0.25">
      <c r="A2273" s="23" t="s">
        <v>1097</v>
      </c>
      <c r="B2273" s="23" t="s">
        <v>1095</v>
      </c>
      <c r="C2273" s="23" t="s">
        <v>176</v>
      </c>
      <c r="D2273" s="23" t="s">
        <v>257</v>
      </c>
      <c r="E2273" s="23" t="s">
        <v>310</v>
      </c>
      <c r="F2273">
        <v>2</v>
      </c>
      <c r="G2273" s="23" t="s">
        <v>177</v>
      </c>
      <c r="H2273">
        <v>0</v>
      </c>
      <c r="I2273">
        <v>40</v>
      </c>
      <c r="J2273" s="10">
        <v>18</v>
      </c>
      <c r="K2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73">
        <v>0</v>
      </c>
      <c r="M22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3">
        <v>55</v>
      </c>
      <c r="O2273" s="23" t="s">
        <v>827</v>
      </c>
      <c r="P2273">
        <v>110</v>
      </c>
      <c r="Q2273" s="23" t="s">
        <v>222</v>
      </c>
    </row>
    <row r="2274" spans="1:17" x14ac:dyDescent="0.25">
      <c r="A2274" s="23" t="s">
        <v>1197</v>
      </c>
      <c r="B2274" s="23" t="s">
        <v>1198</v>
      </c>
      <c r="C2274" s="23" t="s">
        <v>176</v>
      </c>
      <c r="D2274" s="23" t="s">
        <v>257</v>
      </c>
      <c r="E2274" s="23" t="s">
        <v>310</v>
      </c>
      <c r="F2274">
        <v>2</v>
      </c>
      <c r="G2274" s="23" t="s">
        <v>177</v>
      </c>
      <c r="H2274">
        <v>0</v>
      </c>
      <c r="I2274">
        <v>40</v>
      </c>
      <c r="J2274" s="10">
        <v>18</v>
      </c>
      <c r="K2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274">
        <v>0</v>
      </c>
      <c r="M22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4">
        <v>55</v>
      </c>
      <c r="O2274" s="23" t="s">
        <v>827</v>
      </c>
      <c r="P2274">
        <v>110</v>
      </c>
      <c r="Q2274" s="23" t="s">
        <v>222</v>
      </c>
    </row>
    <row r="2275" spans="1:17" x14ac:dyDescent="0.25">
      <c r="A2275" s="23" t="s">
        <v>1097</v>
      </c>
      <c r="B2275" s="23" t="s">
        <v>1095</v>
      </c>
      <c r="C2275" s="23" t="s">
        <v>176</v>
      </c>
      <c r="D2275" s="23" t="s">
        <v>383</v>
      </c>
      <c r="E2275" s="23" t="s">
        <v>384</v>
      </c>
      <c r="F2275">
        <v>1</v>
      </c>
      <c r="G2275" s="23" t="s">
        <v>177</v>
      </c>
      <c r="H2275">
        <v>0</v>
      </c>
      <c r="I2275">
        <v>52</v>
      </c>
      <c r="J2275" s="10">
        <v>2</v>
      </c>
      <c r="K2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275">
        <v>0</v>
      </c>
      <c r="M22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5">
        <v>34</v>
      </c>
      <c r="O2275" s="23" t="s">
        <v>242</v>
      </c>
      <c r="P2275">
        <v>34</v>
      </c>
      <c r="Q2275" s="23" t="s">
        <v>179</v>
      </c>
    </row>
    <row r="2276" spans="1:17" x14ac:dyDescent="0.25">
      <c r="A2276" s="23" t="s">
        <v>1062</v>
      </c>
      <c r="B2276" s="23" t="s">
        <v>1053</v>
      </c>
      <c r="C2276" s="23" t="s">
        <v>176</v>
      </c>
      <c r="D2276" s="23" t="s">
        <v>383</v>
      </c>
      <c r="E2276" s="23" t="s">
        <v>384</v>
      </c>
      <c r="F2276">
        <v>1</v>
      </c>
      <c r="G2276" s="23" t="s">
        <v>177</v>
      </c>
      <c r="H2276">
        <v>0</v>
      </c>
      <c r="I2276">
        <v>52</v>
      </c>
      <c r="J2276" s="10">
        <v>2</v>
      </c>
      <c r="K2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276">
        <v>0</v>
      </c>
      <c r="M22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76">
        <v>34</v>
      </c>
      <c r="O2276" s="23" t="s">
        <v>242</v>
      </c>
      <c r="P2276">
        <v>34</v>
      </c>
      <c r="Q2276" s="23" t="s">
        <v>179</v>
      </c>
    </row>
    <row r="2277" spans="1:17" x14ac:dyDescent="0.25">
      <c r="A2277" s="23" t="s">
        <v>1097</v>
      </c>
      <c r="B2277" s="23" t="s">
        <v>1095</v>
      </c>
      <c r="C2277" s="23" t="s">
        <v>176</v>
      </c>
      <c r="D2277" s="23" t="s">
        <v>927</v>
      </c>
      <c r="E2277" s="23" t="s">
        <v>928</v>
      </c>
      <c r="F2277">
        <v>1</v>
      </c>
      <c r="G2277" s="23" t="s">
        <v>177</v>
      </c>
      <c r="H2277">
        <v>0</v>
      </c>
      <c r="I2277">
        <v>0</v>
      </c>
      <c r="J2277" s="10">
        <v>246</v>
      </c>
      <c r="K2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277">
        <v>0</v>
      </c>
      <c r="M22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2277">
        <v>5.42</v>
      </c>
      <c r="O2277" s="23" t="s">
        <v>629</v>
      </c>
      <c r="P2277">
        <v>5.42</v>
      </c>
      <c r="Q2277" s="23" t="s">
        <v>181</v>
      </c>
    </row>
    <row r="2278" spans="1:17" x14ac:dyDescent="0.25">
      <c r="A2278" s="23" t="s">
        <v>1062</v>
      </c>
      <c r="B2278" s="23" t="s">
        <v>1053</v>
      </c>
      <c r="C2278" s="23" t="s">
        <v>176</v>
      </c>
      <c r="D2278" s="23" t="s">
        <v>927</v>
      </c>
      <c r="E2278" s="23" t="s">
        <v>928</v>
      </c>
      <c r="F2278">
        <v>1</v>
      </c>
      <c r="G2278" s="23" t="s">
        <v>177</v>
      </c>
      <c r="H2278">
        <v>0</v>
      </c>
      <c r="I2278">
        <v>0</v>
      </c>
      <c r="J2278" s="10">
        <v>246</v>
      </c>
      <c r="K2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278">
        <v>0</v>
      </c>
      <c r="M22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2278">
        <v>5.42</v>
      </c>
      <c r="O2278" s="23" t="s">
        <v>629</v>
      </c>
      <c r="P2278">
        <v>5.42</v>
      </c>
      <c r="Q2278" s="23" t="s">
        <v>181</v>
      </c>
    </row>
    <row r="2279" spans="1:17" x14ac:dyDescent="0.25">
      <c r="A2279" s="23" t="s">
        <v>1100</v>
      </c>
      <c r="B2279" s="23" t="s">
        <v>1101</v>
      </c>
      <c r="C2279" s="23" t="s">
        <v>176</v>
      </c>
      <c r="D2279" s="23" t="s">
        <v>927</v>
      </c>
      <c r="E2279" s="23" t="s">
        <v>928</v>
      </c>
      <c r="F2279">
        <v>1</v>
      </c>
      <c r="G2279" s="23" t="s">
        <v>177</v>
      </c>
      <c r="H2279">
        <v>0</v>
      </c>
      <c r="I2279">
        <v>0</v>
      </c>
      <c r="J2279" s="10">
        <v>246</v>
      </c>
      <c r="K2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279">
        <v>0</v>
      </c>
      <c r="M22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2279">
        <v>5.42</v>
      </c>
      <c r="O2279" s="23" t="s">
        <v>629</v>
      </c>
      <c r="P2279">
        <v>5.42</v>
      </c>
      <c r="Q2279" s="23" t="s">
        <v>181</v>
      </c>
    </row>
    <row r="2280" spans="1:17" x14ac:dyDescent="0.25">
      <c r="A2280" s="23" t="s">
        <v>1055</v>
      </c>
      <c r="B2280" s="23" t="s">
        <v>1056</v>
      </c>
      <c r="C2280" s="23" t="s">
        <v>176</v>
      </c>
      <c r="D2280" s="23" t="s">
        <v>209</v>
      </c>
      <c r="E2280" s="23" t="s">
        <v>286</v>
      </c>
      <c r="F2280">
        <v>17</v>
      </c>
      <c r="G2280" s="23" t="s">
        <v>177</v>
      </c>
      <c r="H2280">
        <v>0</v>
      </c>
      <c r="I2280">
        <v>2600</v>
      </c>
      <c r="J2280" s="10">
        <v>292</v>
      </c>
      <c r="K2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280">
        <v>0</v>
      </c>
      <c r="M22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0">
        <v>0.4</v>
      </c>
      <c r="O2280" s="23" t="s">
        <v>242</v>
      </c>
      <c r="P2280">
        <v>6.8000000000000007</v>
      </c>
      <c r="Q2280" s="23" t="s">
        <v>181</v>
      </c>
    </row>
    <row r="2281" spans="1:17" x14ac:dyDescent="0.25">
      <c r="A2281" s="23" t="s">
        <v>1099</v>
      </c>
      <c r="B2281" s="23" t="s">
        <v>1056</v>
      </c>
      <c r="C2281" s="23" t="s">
        <v>176</v>
      </c>
      <c r="D2281" s="23" t="s">
        <v>209</v>
      </c>
      <c r="E2281" s="23" t="s">
        <v>286</v>
      </c>
      <c r="F2281">
        <v>12</v>
      </c>
      <c r="G2281" s="23" t="s">
        <v>177</v>
      </c>
      <c r="H2281">
        <v>0</v>
      </c>
      <c r="I2281">
        <v>2600</v>
      </c>
      <c r="J2281" s="10">
        <v>292</v>
      </c>
      <c r="K2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281">
        <v>0</v>
      </c>
      <c r="M22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1">
        <v>0.4</v>
      </c>
      <c r="O2281" s="23" t="s">
        <v>242</v>
      </c>
      <c r="P2281">
        <v>4.8000000000000007</v>
      </c>
      <c r="Q2281" s="23" t="s">
        <v>181</v>
      </c>
    </row>
    <row r="2282" spans="1:17" x14ac:dyDescent="0.25">
      <c r="A2282" s="23" t="s">
        <v>1147</v>
      </c>
      <c r="B2282" s="23" t="s">
        <v>1145</v>
      </c>
      <c r="C2282" s="23" t="s">
        <v>176</v>
      </c>
      <c r="D2282" s="23" t="s">
        <v>99</v>
      </c>
      <c r="E2282" s="23" t="s">
        <v>250</v>
      </c>
      <c r="F2282">
        <v>7</v>
      </c>
      <c r="G2282" s="23" t="s">
        <v>177</v>
      </c>
      <c r="H2282">
        <v>0</v>
      </c>
      <c r="I2282">
        <v>230</v>
      </c>
      <c r="J2282" s="10">
        <v>72</v>
      </c>
      <c r="K2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282">
        <v>0</v>
      </c>
      <c r="M22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2">
        <v>225</v>
      </c>
      <c r="O2282" s="23" t="s">
        <v>826</v>
      </c>
      <c r="P2282">
        <v>1575</v>
      </c>
      <c r="Q2282" s="23" t="s">
        <v>178</v>
      </c>
    </row>
    <row r="2283" spans="1:17" x14ac:dyDescent="0.25">
      <c r="A2283" s="23" t="s">
        <v>1180</v>
      </c>
      <c r="B2283" s="23" t="s">
        <v>1181</v>
      </c>
      <c r="C2283" s="23" t="s">
        <v>176</v>
      </c>
      <c r="D2283" s="23" t="s">
        <v>1201</v>
      </c>
      <c r="E2283" s="23" t="s">
        <v>1202</v>
      </c>
      <c r="F2283">
        <v>23.209999999999997</v>
      </c>
      <c r="G2283" s="23" t="s">
        <v>186</v>
      </c>
      <c r="H2283">
        <v>0</v>
      </c>
      <c r="I2283">
        <v>0</v>
      </c>
      <c r="J2283" s="10">
        <v>7.1054273576010019E-15</v>
      </c>
      <c r="K2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23.209999999999997</v>
      </c>
      <c r="L2283">
        <v>0</v>
      </c>
      <c r="M22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2800.9827999999998</v>
      </c>
      <c r="N2283">
        <v>120.68</v>
      </c>
      <c r="O2283" s="23" t="s">
        <v>491</v>
      </c>
      <c r="P2283">
        <v>2800.9827999999998</v>
      </c>
      <c r="Q2283" s="23" t="s">
        <v>184</v>
      </c>
    </row>
    <row r="2284" spans="1:17" x14ac:dyDescent="0.25">
      <c r="A2284" s="23" t="s">
        <v>1148</v>
      </c>
      <c r="B2284" s="23" t="s">
        <v>1054</v>
      </c>
      <c r="C2284" s="23" t="s">
        <v>176</v>
      </c>
      <c r="D2284" s="23" t="s">
        <v>104</v>
      </c>
      <c r="E2284" s="23" t="s">
        <v>290</v>
      </c>
      <c r="F2284">
        <v>6.3</v>
      </c>
      <c r="G2284" s="23" t="s">
        <v>177</v>
      </c>
      <c r="H2284">
        <v>0</v>
      </c>
      <c r="I2284">
        <v>87</v>
      </c>
      <c r="J2284" s="10">
        <v>50.899999999999949</v>
      </c>
      <c r="K2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284">
        <v>0</v>
      </c>
      <c r="M22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4">
        <v>122.09</v>
      </c>
      <c r="O2284" s="23" t="s">
        <v>252</v>
      </c>
      <c r="P2284">
        <v>769.16700000000003</v>
      </c>
      <c r="Q2284" s="23" t="s">
        <v>181</v>
      </c>
    </row>
    <row r="2285" spans="1:17" x14ac:dyDescent="0.25">
      <c r="A2285" s="23" t="s">
        <v>1058</v>
      </c>
      <c r="B2285" s="23" t="s">
        <v>1059</v>
      </c>
      <c r="C2285" s="23" t="s">
        <v>176</v>
      </c>
      <c r="D2285" s="23" t="s">
        <v>104</v>
      </c>
      <c r="E2285" s="23" t="s">
        <v>290</v>
      </c>
      <c r="F2285">
        <v>0.5</v>
      </c>
      <c r="G2285" s="23" t="s">
        <v>177</v>
      </c>
      <c r="H2285">
        <v>0</v>
      </c>
      <c r="I2285">
        <v>87</v>
      </c>
      <c r="J2285" s="10">
        <v>50.899999999999949</v>
      </c>
      <c r="K2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285">
        <v>0</v>
      </c>
      <c r="M22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5">
        <v>122.09</v>
      </c>
      <c r="O2285" s="23" t="s">
        <v>252</v>
      </c>
      <c r="P2285">
        <v>61.045000000000002</v>
      </c>
      <c r="Q2285" s="23" t="s">
        <v>181</v>
      </c>
    </row>
    <row r="2286" spans="1:17" x14ac:dyDescent="0.25">
      <c r="A2286" s="23" t="s">
        <v>1055</v>
      </c>
      <c r="B2286" s="23" t="s">
        <v>1056</v>
      </c>
      <c r="C2286" s="23" t="s">
        <v>176</v>
      </c>
      <c r="D2286" s="23" t="s">
        <v>142</v>
      </c>
      <c r="E2286" s="23" t="s">
        <v>143</v>
      </c>
      <c r="F2286">
        <v>16</v>
      </c>
      <c r="G2286" s="23" t="s">
        <v>177</v>
      </c>
      <c r="H2286">
        <v>0</v>
      </c>
      <c r="I2286">
        <v>150</v>
      </c>
      <c r="J2286" s="10">
        <v>0</v>
      </c>
      <c r="K2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286">
        <v>0</v>
      </c>
      <c r="M22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286">
        <v>27.75</v>
      </c>
      <c r="O2286" s="23" t="s">
        <v>743</v>
      </c>
      <c r="P2286">
        <v>444</v>
      </c>
      <c r="Q2286" s="23" t="s">
        <v>185</v>
      </c>
    </row>
    <row r="2287" spans="1:17" x14ac:dyDescent="0.25">
      <c r="A2287" s="23" t="s">
        <v>1100</v>
      </c>
      <c r="B2287" s="23" t="s">
        <v>1101</v>
      </c>
      <c r="C2287" s="23" t="s">
        <v>176</v>
      </c>
      <c r="D2287" s="23" t="s">
        <v>142</v>
      </c>
      <c r="E2287" s="23" t="s">
        <v>143</v>
      </c>
      <c r="F2287">
        <v>21</v>
      </c>
      <c r="G2287" s="23" t="s">
        <v>177</v>
      </c>
      <c r="H2287">
        <v>0</v>
      </c>
      <c r="I2287">
        <v>150</v>
      </c>
      <c r="J2287" s="10">
        <v>0</v>
      </c>
      <c r="K2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287">
        <v>0</v>
      </c>
      <c r="M22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287">
        <v>27.75</v>
      </c>
      <c r="O2287" s="23" t="s">
        <v>743</v>
      </c>
      <c r="P2287">
        <v>582.75</v>
      </c>
      <c r="Q2287" s="23" t="s">
        <v>185</v>
      </c>
    </row>
    <row r="2288" spans="1:17" x14ac:dyDescent="0.25">
      <c r="A2288" s="23" t="s">
        <v>1098</v>
      </c>
      <c r="B2288" s="23" t="s">
        <v>1053</v>
      </c>
      <c r="C2288" s="23" t="s">
        <v>176</v>
      </c>
      <c r="D2288" s="23" t="s">
        <v>666</v>
      </c>
      <c r="E2288" s="23" t="s">
        <v>667</v>
      </c>
      <c r="F2288">
        <v>1</v>
      </c>
      <c r="G2288" s="23" t="s">
        <v>177</v>
      </c>
      <c r="H2288">
        <v>0</v>
      </c>
      <c r="I2288">
        <v>0</v>
      </c>
      <c r="J2288" s="10">
        <v>4</v>
      </c>
      <c r="K2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88">
        <v>20</v>
      </c>
      <c r="M22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8">
        <v>28000</v>
      </c>
      <c r="O2288" s="23" t="s">
        <v>830</v>
      </c>
      <c r="P2288">
        <v>28000</v>
      </c>
      <c r="Q2288" s="23" t="s">
        <v>222</v>
      </c>
    </row>
    <row r="2289" spans="1:17" x14ac:dyDescent="0.25">
      <c r="A2289" s="23" t="s">
        <v>1062</v>
      </c>
      <c r="B2289" s="23" t="s">
        <v>1053</v>
      </c>
      <c r="C2289" s="23" t="s">
        <v>176</v>
      </c>
      <c r="D2289" s="23" t="s">
        <v>666</v>
      </c>
      <c r="E2289" s="23" t="s">
        <v>667</v>
      </c>
      <c r="F2289">
        <v>1</v>
      </c>
      <c r="G2289" s="23" t="s">
        <v>177</v>
      </c>
      <c r="H2289">
        <v>0</v>
      </c>
      <c r="I2289">
        <v>0</v>
      </c>
      <c r="J2289" s="10">
        <v>4</v>
      </c>
      <c r="K2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89">
        <v>20</v>
      </c>
      <c r="M22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89">
        <v>28000</v>
      </c>
      <c r="O2289" s="23" t="s">
        <v>830</v>
      </c>
      <c r="P2289">
        <v>28000</v>
      </c>
      <c r="Q2289" s="23" t="s">
        <v>222</v>
      </c>
    </row>
    <row r="2290" spans="1:17" x14ac:dyDescent="0.25">
      <c r="A2290" s="23" t="s">
        <v>1097</v>
      </c>
      <c r="B2290" s="23" t="s">
        <v>1095</v>
      </c>
      <c r="C2290" s="23" t="s">
        <v>176</v>
      </c>
      <c r="D2290" s="23" t="s">
        <v>234</v>
      </c>
      <c r="E2290" s="23" t="s">
        <v>235</v>
      </c>
      <c r="F2290">
        <v>2</v>
      </c>
      <c r="G2290" s="23" t="s">
        <v>177</v>
      </c>
      <c r="H2290">
        <v>0</v>
      </c>
      <c r="I2290">
        <v>222</v>
      </c>
      <c r="J2290" s="10">
        <v>90</v>
      </c>
      <c r="K2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90">
        <v>0</v>
      </c>
      <c r="M22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0">
        <v>4</v>
      </c>
      <c r="O2290" s="23" t="s">
        <v>221</v>
      </c>
      <c r="P2290">
        <v>8</v>
      </c>
      <c r="Q2290" s="23" t="s">
        <v>222</v>
      </c>
    </row>
    <row r="2291" spans="1:17" x14ac:dyDescent="0.25">
      <c r="A2291" s="23" t="s">
        <v>1148</v>
      </c>
      <c r="B2291" s="23" t="s">
        <v>1054</v>
      </c>
      <c r="C2291" s="23" t="s">
        <v>176</v>
      </c>
      <c r="D2291" s="23" t="s">
        <v>666</v>
      </c>
      <c r="E2291" s="23" t="s">
        <v>667</v>
      </c>
      <c r="F2291">
        <v>1</v>
      </c>
      <c r="G2291" s="23" t="s">
        <v>177</v>
      </c>
      <c r="H2291">
        <v>0</v>
      </c>
      <c r="I2291">
        <v>0</v>
      </c>
      <c r="J2291" s="10">
        <v>4</v>
      </c>
      <c r="K2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91">
        <v>20</v>
      </c>
      <c r="M22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1">
        <v>28000</v>
      </c>
      <c r="O2291" s="23" t="s">
        <v>830</v>
      </c>
      <c r="P2291">
        <v>28000</v>
      </c>
      <c r="Q2291" s="23" t="s">
        <v>222</v>
      </c>
    </row>
    <row r="2292" spans="1:17" x14ac:dyDescent="0.25">
      <c r="A2292" s="23" t="s">
        <v>1147</v>
      </c>
      <c r="B2292" s="23" t="s">
        <v>1145</v>
      </c>
      <c r="C2292" s="23" t="s">
        <v>176</v>
      </c>
      <c r="D2292" s="23" t="s">
        <v>666</v>
      </c>
      <c r="E2292" s="23" t="s">
        <v>667</v>
      </c>
      <c r="F2292">
        <v>1</v>
      </c>
      <c r="G2292" s="23" t="s">
        <v>177</v>
      </c>
      <c r="H2292">
        <v>0</v>
      </c>
      <c r="I2292">
        <v>0</v>
      </c>
      <c r="J2292" s="10">
        <v>4</v>
      </c>
      <c r="K2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292">
        <v>20</v>
      </c>
      <c r="M22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2">
        <v>28000</v>
      </c>
      <c r="O2292" s="23" t="s">
        <v>830</v>
      </c>
      <c r="P2292">
        <v>28000</v>
      </c>
      <c r="Q2292" s="23" t="s">
        <v>222</v>
      </c>
    </row>
    <row r="2293" spans="1:17" x14ac:dyDescent="0.25">
      <c r="A2293" s="23" t="s">
        <v>1148</v>
      </c>
      <c r="B2293" s="23" t="s">
        <v>1054</v>
      </c>
      <c r="C2293" s="23" t="s">
        <v>176</v>
      </c>
      <c r="D2293" s="23" t="s">
        <v>234</v>
      </c>
      <c r="E2293" s="23" t="s">
        <v>235</v>
      </c>
      <c r="F2293">
        <v>2</v>
      </c>
      <c r="G2293" s="23" t="s">
        <v>177</v>
      </c>
      <c r="H2293">
        <v>0</v>
      </c>
      <c r="I2293">
        <v>222</v>
      </c>
      <c r="J2293" s="10">
        <v>90</v>
      </c>
      <c r="K2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93">
        <v>0</v>
      </c>
      <c r="M22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3">
        <v>4</v>
      </c>
      <c r="O2293" s="23" t="s">
        <v>221</v>
      </c>
      <c r="P2293">
        <v>8</v>
      </c>
      <c r="Q2293" s="23" t="s">
        <v>222</v>
      </c>
    </row>
    <row r="2294" spans="1:17" x14ac:dyDescent="0.25">
      <c r="A2294" s="23" t="s">
        <v>1055</v>
      </c>
      <c r="B2294" s="23" t="s">
        <v>1056</v>
      </c>
      <c r="C2294" s="23" t="s">
        <v>176</v>
      </c>
      <c r="D2294" s="23" t="s">
        <v>234</v>
      </c>
      <c r="E2294" s="23" t="s">
        <v>235</v>
      </c>
      <c r="F2294">
        <v>2</v>
      </c>
      <c r="G2294" s="23" t="s">
        <v>177</v>
      </c>
      <c r="H2294">
        <v>0</v>
      </c>
      <c r="I2294">
        <v>222</v>
      </c>
      <c r="J2294" s="10">
        <v>90</v>
      </c>
      <c r="K2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294">
        <v>0</v>
      </c>
      <c r="M22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4">
        <v>4</v>
      </c>
      <c r="O2294" s="23" t="s">
        <v>221</v>
      </c>
      <c r="P2294">
        <v>8</v>
      </c>
      <c r="Q2294" s="23" t="s">
        <v>222</v>
      </c>
    </row>
    <row r="2295" spans="1:17" x14ac:dyDescent="0.25">
      <c r="A2295" s="23" t="s">
        <v>1197</v>
      </c>
      <c r="B2295" s="23" t="s">
        <v>1198</v>
      </c>
      <c r="C2295" s="23" t="s">
        <v>176</v>
      </c>
      <c r="D2295" s="23" t="s">
        <v>79</v>
      </c>
      <c r="E2295" s="23" t="s">
        <v>80</v>
      </c>
      <c r="F2295">
        <v>3</v>
      </c>
      <c r="G2295" s="23" t="s">
        <v>177</v>
      </c>
      <c r="H2295">
        <v>0</v>
      </c>
      <c r="I2295">
        <v>81</v>
      </c>
      <c r="J2295" s="10">
        <v>5</v>
      </c>
      <c r="K2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295">
        <v>0</v>
      </c>
      <c r="M22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5">
        <v>188</v>
      </c>
      <c r="O2295" s="23" t="s">
        <v>242</v>
      </c>
      <c r="P2295">
        <v>564</v>
      </c>
      <c r="Q2295" s="23" t="s">
        <v>179</v>
      </c>
    </row>
    <row r="2296" spans="1:17" x14ac:dyDescent="0.25">
      <c r="A2296" s="23" t="s">
        <v>1098</v>
      </c>
      <c r="B2296" s="23" t="s">
        <v>1053</v>
      </c>
      <c r="C2296" s="23" t="s">
        <v>176</v>
      </c>
      <c r="D2296" s="23" t="s">
        <v>79</v>
      </c>
      <c r="E2296" s="23" t="s">
        <v>80</v>
      </c>
      <c r="F2296">
        <v>4</v>
      </c>
      <c r="G2296" s="23" t="s">
        <v>177</v>
      </c>
      <c r="H2296">
        <v>0</v>
      </c>
      <c r="I2296">
        <v>81</v>
      </c>
      <c r="J2296" s="10">
        <v>5</v>
      </c>
      <c r="K2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296">
        <v>0</v>
      </c>
      <c r="M22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6">
        <v>188</v>
      </c>
      <c r="O2296" s="23" t="s">
        <v>242</v>
      </c>
      <c r="P2296">
        <v>752</v>
      </c>
      <c r="Q2296" s="23" t="s">
        <v>179</v>
      </c>
    </row>
    <row r="2297" spans="1:17" x14ac:dyDescent="0.25">
      <c r="A2297" s="23" t="s">
        <v>1058</v>
      </c>
      <c r="B2297" s="23" t="s">
        <v>1059</v>
      </c>
      <c r="C2297" s="23" t="s">
        <v>176</v>
      </c>
      <c r="D2297" s="23" t="s">
        <v>470</v>
      </c>
      <c r="E2297" s="23" t="s">
        <v>471</v>
      </c>
      <c r="F2297">
        <v>1</v>
      </c>
      <c r="G2297" s="23" t="s">
        <v>177</v>
      </c>
      <c r="H2297">
        <v>0</v>
      </c>
      <c r="I2297">
        <v>39</v>
      </c>
      <c r="J2297" s="10">
        <v>2</v>
      </c>
      <c r="K2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297">
        <v>0</v>
      </c>
      <c r="M22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7">
        <v>65</v>
      </c>
      <c r="O2297" s="23" t="s">
        <v>822</v>
      </c>
      <c r="P2297">
        <v>65</v>
      </c>
      <c r="Q2297" s="23" t="s">
        <v>179</v>
      </c>
    </row>
    <row r="2298" spans="1:17" x14ac:dyDescent="0.25">
      <c r="A2298" s="23" t="s">
        <v>1062</v>
      </c>
      <c r="B2298" s="23" t="s">
        <v>1053</v>
      </c>
      <c r="C2298" s="23" t="s">
        <v>176</v>
      </c>
      <c r="D2298" s="23" t="s">
        <v>77</v>
      </c>
      <c r="E2298" s="23" t="s">
        <v>78</v>
      </c>
      <c r="F2298">
        <v>3</v>
      </c>
      <c r="G2298" s="23" t="s">
        <v>177</v>
      </c>
      <c r="H2298">
        <v>0</v>
      </c>
      <c r="I2298">
        <v>85</v>
      </c>
      <c r="J2298" s="10">
        <v>31</v>
      </c>
      <c r="K2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298">
        <v>0</v>
      </c>
      <c r="M22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8">
        <v>120</v>
      </c>
      <c r="O2298" s="23" t="s">
        <v>1153</v>
      </c>
      <c r="P2298">
        <v>360</v>
      </c>
      <c r="Q2298" s="23" t="s">
        <v>179</v>
      </c>
    </row>
    <row r="2299" spans="1:17" x14ac:dyDescent="0.25">
      <c r="A2299" s="23" t="s">
        <v>1097</v>
      </c>
      <c r="B2299" s="23" t="s">
        <v>1095</v>
      </c>
      <c r="C2299" s="23" t="s">
        <v>176</v>
      </c>
      <c r="D2299" s="23" t="s">
        <v>79</v>
      </c>
      <c r="E2299" s="23" t="s">
        <v>80</v>
      </c>
      <c r="F2299">
        <v>3</v>
      </c>
      <c r="G2299" s="23" t="s">
        <v>177</v>
      </c>
      <c r="H2299">
        <v>0</v>
      </c>
      <c r="I2299">
        <v>81</v>
      </c>
      <c r="J2299" s="10">
        <v>5</v>
      </c>
      <c r="K2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299">
        <v>0</v>
      </c>
      <c r="M22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299">
        <v>188</v>
      </c>
      <c r="O2299" s="23" t="s">
        <v>242</v>
      </c>
      <c r="P2299">
        <v>564</v>
      </c>
      <c r="Q2299" s="23" t="s">
        <v>179</v>
      </c>
    </row>
    <row r="2300" spans="1:17" x14ac:dyDescent="0.25">
      <c r="A2300" s="23" t="s">
        <v>1062</v>
      </c>
      <c r="B2300" s="23" t="s">
        <v>1053</v>
      </c>
      <c r="C2300" s="23" t="s">
        <v>176</v>
      </c>
      <c r="D2300" s="23" t="s">
        <v>79</v>
      </c>
      <c r="E2300" s="23" t="s">
        <v>80</v>
      </c>
      <c r="F2300">
        <v>3</v>
      </c>
      <c r="G2300" s="23" t="s">
        <v>177</v>
      </c>
      <c r="H2300">
        <v>0</v>
      </c>
      <c r="I2300">
        <v>81</v>
      </c>
      <c r="J2300" s="10">
        <v>5</v>
      </c>
      <c r="K2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2300">
        <v>0</v>
      </c>
      <c r="M23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0">
        <v>188</v>
      </c>
      <c r="O2300" s="23" t="s">
        <v>242</v>
      </c>
      <c r="P2300">
        <v>564</v>
      </c>
      <c r="Q2300" s="23" t="s">
        <v>179</v>
      </c>
    </row>
    <row r="2301" spans="1:17" x14ac:dyDescent="0.25">
      <c r="A2301" s="23" t="s">
        <v>1097</v>
      </c>
      <c r="B2301" s="23" t="s">
        <v>1095</v>
      </c>
      <c r="C2301" s="23" t="s">
        <v>176</v>
      </c>
      <c r="D2301" s="23" t="s">
        <v>23</v>
      </c>
      <c r="E2301" s="23" t="s">
        <v>305</v>
      </c>
      <c r="F2301">
        <v>1</v>
      </c>
      <c r="G2301" s="23" t="s">
        <v>177</v>
      </c>
      <c r="H2301">
        <v>0</v>
      </c>
      <c r="I2301">
        <v>0</v>
      </c>
      <c r="J2301" s="10">
        <v>7</v>
      </c>
      <c r="K2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301">
        <v>0</v>
      </c>
      <c r="M23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301">
        <v>40</v>
      </c>
      <c r="O2301" s="23" t="s">
        <v>636</v>
      </c>
      <c r="P2301">
        <v>40</v>
      </c>
      <c r="Q2301" s="23" t="s">
        <v>222</v>
      </c>
    </row>
    <row r="2302" spans="1:17" x14ac:dyDescent="0.25">
      <c r="A2302" s="23" t="s">
        <v>1062</v>
      </c>
      <c r="B2302" s="23" t="s">
        <v>1053</v>
      </c>
      <c r="C2302" s="23" t="s">
        <v>176</v>
      </c>
      <c r="D2302" s="23" t="s">
        <v>23</v>
      </c>
      <c r="E2302" s="23" t="s">
        <v>305</v>
      </c>
      <c r="F2302">
        <v>1</v>
      </c>
      <c r="G2302" s="23" t="s">
        <v>177</v>
      </c>
      <c r="H2302">
        <v>0</v>
      </c>
      <c r="I2302">
        <v>0</v>
      </c>
      <c r="J2302" s="10">
        <v>7</v>
      </c>
      <c r="K2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302">
        <v>0</v>
      </c>
      <c r="M23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302">
        <v>40</v>
      </c>
      <c r="O2302" s="23" t="s">
        <v>636</v>
      </c>
      <c r="P2302">
        <v>40</v>
      </c>
      <c r="Q2302" s="23" t="s">
        <v>222</v>
      </c>
    </row>
    <row r="2303" spans="1:17" x14ac:dyDescent="0.25">
      <c r="A2303" s="23" t="s">
        <v>1197</v>
      </c>
      <c r="B2303" s="23" t="s">
        <v>1198</v>
      </c>
      <c r="C2303" s="23" t="s">
        <v>176</v>
      </c>
      <c r="D2303" s="23" t="s">
        <v>23</v>
      </c>
      <c r="E2303" s="23" t="s">
        <v>305</v>
      </c>
      <c r="F2303">
        <v>1</v>
      </c>
      <c r="G2303" s="23" t="s">
        <v>177</v>
      </c>
      <c r="H2303">
        <v>0</v>
      </c>
      <c r="I2303">
        <v>0</v>
      </c>
      <c r="J2303" s="10">
        <v>7</v>
      </c>
      <c r="K2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303">
        <v>0</v>
      </c>
      <c r="M23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303">
        <v>40</v>
      </c>
      <c r="O2303" s="23" t="s">
        <v>636</v>
      </c>
      <c r="P2303">
        <v>40</v>
      </c>
      <c r="Q2303" s="23" t="s">
        <v>222</v>
      </c>
    </row>
    <row r="2304" spans="1:17" x14ac:dyDescent="0.25">
      <c r="A2304" s="23" t="s">
        <v>1062</v>
      </c>
      <c r="B2304" s="23" t="s">
        <v>1053</v>
      </c>
      <c r="C2304" s="23" t="s">
        <v>176</v>
      </c>
      <c r="D2304" s="23" t="s">
        <v>979</v>
      </c>
      <c r="E2304" s="23" t="s">
        <v>980</v>
      </c>
      <c r="F2304">
        <v>0.16</v>
      </c>
      <c r="G2304" s="23" t="s">
        <v>177</v>
      </c>
      <c r="H2304">
        <v>0</v>
      </c>
      <c r="I2304">
        <v>80</v>
      </c>
      <c r="J2304" s="10">
        <v>56.839999999999975</v>
      </c>
      <c r="K2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-79.680000000000007</v>
      </c>
      <c r="L2304">
        <v>0</v>
      </c>
      <c r="M23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4">
        <v>9.5</v>
      </c>
      <c r="O2304" s="23" t="s">
        <v>221</v>
      </c>
      <c r="P2304">
        <v>1.52</v>
      </c>
      <c r="Q2304" s="23" t="s">
        <v>181</v>
      </c>
    </row>
    <row r="2305" spans="1:17" x14ac:dyDescent="0.25">
      <c r="A2305" s="23" t="s">
        <v>1147</v>
      </c>
      <c r="B2305" s="23" t="s">
        <v>1145</v>
      </c>
      <c r="C2305" s="23" t="s">
        <v>176</v>
      </c>
      <c r="D2305" s="23" t="s">
        <v>26</v>
      </c>
      <c r="E2305" s="23" t="s">
        <v>27</v>
      </c>
      <c r="F2305">
        <v>1</v>
      </c>
      <c r="G2305" s="23" t="s">
        <v>177</v>
      </c>
      <c r="H2305">
        <v>0</v>
      </c>
      <c r="I2305">
        <v>24</v>
      </c>
      <c r="J2305" s="10">
        <v>4</v>
      </c>
      <c r="K2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305">
        <v>0</v>
      </c>
      <c r="M23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5">
        <v>625</v>
      </c>
      <c r="O2305" s="23" t="s">
        <v>227</v>
      </c>
      <c r="P2305">
        <v>625</v>
      </c>
      <c r="Q2305" s="23" t="s">
        <v>181</v>
      </c>
    </row>
    <row r="2306" spans="1:17" x14ac:dyDescent="0.25">
      <c r="A2306" s="23" t="s">
        <v>1148</v>
      </c>
      <c r="B2306" s="23" t="s">
        <v>1054</v>
      </c>
      <c r="C2306" s="23" t="s">
        <v>176</v>
      </c>
      <c r="D2306" s="23" t="s">
        <v>470</v>
      </c>
      <c r="E2306" s="23" t="s">
        <v>471</v>
      </c>
      <c r="F2306">
        <v>1</v>
      </c>
      <c r="G2306" s="23" t="s">
        <v>177</v>
      </c>
      <c r="H2306">
        <v>0</v>
      </c>
      <c r="I2306">
        <v>39</v>
      </c>
      <c r="J2306" s="10">
        <v>2</v>
      </c>
      <c r="K2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306">
        <v>0</v>
      </c>
      <c r="M23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6">
        <v>65</v>
      </c>
      <c r="O2306" s="23" t="s">
        <v>822</v>
      </c>
      <c r="P2306">
        <v>65</v>
      </c>
      <c r="Q2306" s="23" t="s">
        <v>179</v>
      </c>
    </row>
    <row r="2307" spans="1:17" x14ac:dyDescent="0.25">
      <c r="A2307" s="23" t="s">
        <v>1147</v>
      </c>
      <c r="B2307" s="23" t="s">
        <v>1145</v>
      </c>
      <c r="C2307" s="23" t="s">
        <v>176</v>
      </c>
      <c r="D2307" s="23" t="s">
        <v>470</v>
      </c>
      <c r="E2307" s="23" t="s">
        <v>471</v>
      </c>
      <c r="F2307">
        <v>1</v>
      </c>
      <c r="G2307" s="23" t="s">
        <v>177</v>
      </c>
      <c r="H2307">
        <v>0</v>
      </c>
      <c r="I2307">
        <v>39</v>
      </c>
      <c r="J2307" s="10">
        <v>2</v>
      </c>
      <c r="K2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307">
        <v>0</v>
      </c>
      <c r="M23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7">
        <v>65</v>
      </c>
      <c r="O2307" s="23" t="s">
        <v>822</v>
      </c>
      <c r="P2307">
        <v>65</v>
      </c>
      <c r="Q2307" s="23" t="s">
        <v>179</v>
      </c>
    </row>
    <row r="2308" spans="1:17" x14ac:dyDescent="0.25">
      <c r="A2308" s="23" t="s">
        <v>1055</v>
      </c>
      <c r="B2308" s="23" t="s">
        <v>1056</v>
      </c>
      <c r="C2308" s="23" t="s">
        <v>176</v>
      </c>
      <c r="D2308" s="23" t="s">
        <v>470</v>
      </c>
      <c r="E2308" s="23" t="s">
        <v>471</v>
      </c>
      <c r="F2308">
        <v>1</v>
      </c>
      <c r="G2308" s="23" t="s">
        <v>177</v>
      </c>
      <c r="H2308">
        <v>0</v>
      </c>
      <c r="I2308">
        <v>39</v>
      </c>
      <c r="J2308" s="10">
        <v>2</v>
      </c>
      <c r="K2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308">
        <v>0</v>
      </c>
      <c r="M23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8">
        <v>65</v>
      </c>
      <c r="O2308" s="23" t="s">
        <v>822</v>
      </c>
      <c r="P2308">
        <v>65</v>
      </c>
      <c r="Q2308" s="23" t="s">
        <v>179</v>
      </c>
    </row>
    <row r="2309" spans="1:17" x14ac:dyDescent="0.25">
      <c r="A2309" s="23" t="s">
        <v>1055</v>
      </c>
      <c r="B2309" s="23" t="s">
        <v>1056</v>
      </c>
      <c r="C2309" s="23" t="s">
        <v>176</v>
      </c>
      <c r="D2309" s="23" t="s">
        <v>334</v>
      </c>
      <c r="E2309" s="23" t="s">
        <v>335</v>
      </c>
      <c r="F2309">
        <v>1</v>
      </c>
      <c r="G2309" s="23" t="s">
        <v>177</v>
      </c>
      <c r="H2309">
        <v>0</v>
      </c>
      <c r="I2309">
        <v>25</v>
      </c>
      <c r="J2309" s="10">
        <v>18</v>
      </c>
      <c r="K2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09">
        <v>0</v>
      </c>
      <c r="M23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09">
        <v>225</v>
      </c>
      <c r="O2309" s="23" t="s">
        <v>227</v>
      </c>
      <c r="P2309">
        <v>225</v>
      </c>
      <c r="Q2309" s="23" t="s">
        <v>181</v>
      </c>
    </row>
    <row r="2310" spans="1:17" x14ac:dyDescent="0.25">
      <c r="A2310" s="23" t="s">
        <v>1148</v>
      </c>
      <c r="B2310" s="23" t="s">
        <v>1054</v>
      </c>
      <c r="C2310" s="23" t="s">
        <v>176</v>
      </c>
      <c r="D2310" s="23" t="s">
        <v>334</v>
      </c>
      <c r="E2310" s="23" t="s">
        <v>335</v>
      </c>
      <c r="F2310">
        <v>1</v>
      </c>
      <c r="G2310" s="23" t="s">
        <v>177</v>
      </c>
      <c r="H2310">
        <v>0</v>
      </c>
      <c r="I2310">
        <v>25</v>
      </c>
      <c r="J2310" s="10">
        <v>18</v>
      </c>
      <c r="K2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10">
        <v>0</v>
      </c>
      <c r="M23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0">
        <v>225</v>
      </c>
      <c r="O2310" s="23" t="s">
        <v>227</v>
      </c>
      <c r="P2310">
        <v>225</v>
      </c>
      <c r="Q2310" s="23" t="s">
        <v>181</v>
      </c>
    </row>
    <row r="2311" spans="1:17" x14ac:dyDescent="0.25">
      <c r="A2311" s="23" t="s">
        <v>1099</v>
      </c>
      <c r="B2311" s="23" t="s">
        <v>1056</v>
      </c>
      <c r="C2311" s="23" t="s">
        <v>176</v>
      </c>
      <c r="D2311" s="23" t="s">
        <v>334</v>
      </c>
      <c r="E2311" s="23" t="s">
        <v>335</v>
      </c>
      <c r="F2311">
        <v>1</v>
      </c>
      <c r="G2311" s="23" t="s">
        <v>177</v>
      </c>
      <c r="H2311">
        <v>0</v>
      </c>
      <c r="I2311">
        <v>25</v>
      </c>
      <c r="J2311" s="10">
        <v>18</v>
      </c>
      <c r="K2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11">
        <v>0</v>
      </c>
      <c r="M23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1">
        <v>225</v>
      </c>
      <c r="O2311" s="23" t="s">
        <v>227</v>
      </c>
      <c r="P2311">
        <v>225</v>
      </c>
      <c r="Q2311" s="23" t="s">
        <v>181</v>
      </c>
    </row>
    <row r="2312" spans="1:17" x14ac:dyDescent="0.25">
      <c r="A2312" s="23" t="s">
        <v>1096</v>
      </c>
      <c r="B2312" s="23" t="s">
        <v>1053</v>
      </c>
      <c r="C2312" s="23" t="s">
        <v>176</v>
      </c>
      <c r="D2312" s="23" t="s">
        <v>3</v>
      </c>
      <c r="E2312" s="23" t="s">
        <v>4</v>
      </c>
      <c r="F2312">
        <v>32</v>
      </c>
      <c r="G2312" s="23" t="s">
        <v>180</v>
      </c>
      <c r="H2312">
        <v>0</v>
      </c>
      <c r="I2312">
        <v>150</v>
      </c>
      <c r="J2312" s="10">
        <v>0</v>
      </c>
      <c r="K2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</v>
      </c>
      <c r="L2312">
        <v>0</v>
      </c>
      <c r="M23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2">
        <v>320</v>
      </c>
      <c r="O2312" s="23" t="s">
        <v>1151</v>
      </c>
      <c r="P2312">
        <v>10240</v>
      </c>
      <c r="Q2312" s="23" t="s">
        <v>185</v>
      </c>
    </row>
    <row r="2313" spans="1:17" x14ac:dyDescent="0.25">
      <c r="A2313" s="23" t="s">
        <v>1062</v>
      </c>
      <c r="B2313" s="23" t="s">
        <v>1053</v>
      </c>
      <c r="C2313" s="23" t="s">
        <v>176</v>
      </c>
      <c r="D2313" s="23" t="s">
        <v>487</v>
      </c>
      <c r="E2313" s="23" t="s">
        <v>488</v>
      </c>
      <c r="F2313">
        <v>2</v>
      </c>
      <c r="G2313" s="23" t="s">
        <v>177</v>
      </c>
      <c r="H2313">
        <v>0</v>
      </c>
      <c r="I2313">
        <v>20</v>
      </c>
      <c r="J2313" s="10">
        <v>34</v>
      </c>
      <c r="K2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18</v>
      </c>
      <c r="L2313">
        <v>0</v>
      </c>
      <c r="M23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1476</v>
      </c>
      <c r="N2313">
        <v>82</v>
      </c>
      <c r="O2313" s="23" t="s">
        <v>1088</v>
      </c>
      <c r="P2313">
        <v>164</v>
      </c>
      <c r="Q2313" s="23" t="s">
        <v>484</v>
      </c>
    </row>
    <row r="2314" spans="1:17" x14ac:dyDescent="0.25">
      <c r="A2314" s="23" t="s">
        <v>1062</v>
      </c>
      <c r="B2314" s="23" t="s">
        <v>1053</v>
      </c>
      <c r="C2314" s="23" t="s">
        <v>198</v>
      </c>
      <c r="D2314" s="23" t="s">
        <v>499</v>
      </c>
      <c r="E2314" s="23" t="s">
        <v>500</v>
      </c>
      <c r="F2314">
        <v>1</v>
      </c>
      <c r="G2314" s="23" t="s">
        <v>177</v>
      </c>
      <c r="H2314">
        <v>1</v>
      </c>
      <c r="I2314">
        <v>11</v>
      </c>
      <c r="J2314" s="10">
        <v>8</v>
      </c>
      <c r="K2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314">
        <v>0</v>
      </c>
      <c r="M23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2314" s="23" t="s">
        <v>714</v>
      </c>
      <c r="Q2314" s="23" t="s">
        <v>761</v>
      </c>
    </row>
    <row r="2315" spans="1:17" x14ac:dyDescent="0.25">
      <c r="A2315" s="23" t="s">
        <v>1062</v>
      </c>
      <c r="B2315" s="23" t="s">
        <v>1053</v>
      </c>
      <c r="C2315" s="23" t="s">
        <v>176</v>
      </c>
      <c r="D2315" s="23" t="s">
        <v>539</v>
      </c>
      <c r="E2315" s="23" t="s">
        <v>540</v>
      </c>
      <c r="F2315">
        <v>8</v>
      </c>
      <c r="G2315" s="23" t="s">
        <v>177</v>
      </c>
      <c r="H2315">
        <v>0</v>
      </c>
      <c r="I2315">
        <v>250</v>
      </c>
      <c r="J2315" s="10">
        <v>3</v>
      </c>
      <c r="K2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-166</v>
      </c>
      <c r="L2315">
        <v>0</v>
      </c>
      <c r="M23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5">
        <v>2</v>
      </c>
      <c r="O2315" s="23"/>
      <c r="P2315">
        <v>16</v>
      </c>
      <c r="Q2315" s="23" t="s">
        <v>181</v>
      </c>
    </row>
    <row r="2316" spans="1:17" x14ac:dyDescent="0.25">
      <c r="A2316" s="23" t="s">
        <v>1062</v>
      </c>
      <c r="B2316" s="23" t="s">
        <v>1053</v>
      </c>
      <c r="C2316" s="23" t="s">
        <v>176</v>
      </c>
      <c r="D2316" s="23" t="s">
        <v>334</v>
      </c>
      <c r="E2316" s="23" t="s">
        <v>335</v>
      </c>
      <c r="F2316">
        <v>1</v>
      </c>
      <c r="G2316" s="23" t="s">
        <v>177</v>
      </c>
      <c r="H2316">
        <v>0</v>
      </c>
      <c r="I2316">
        <v>25</v>
      </c>
      <c r="J2316" s="10">
        <v>18</v>
      </c>
      <c r="K2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16">
        <v>0</v>
      </c>
      <c r="M23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6">
        <v>225</v>
      </c>
      <c r="O2316" s="23" t="s">
        <v>227</v>
      </c>
      <c r="P2316">
        <v>225</v>
      </c>
      <c r="Q2316" s="23" t="s">
        <v>181</v>
      </c>
    </row>
    <row r="2317" spans="1:17" x14ac:dyDescent="0.25">
      <c r="A2317" s="23" t="s">
        <v>1098</v>
      </c>
      <c r="B2317" s="23" t="s">
        <v>1053</v>
      </c>
      <c r="C2317" s="23" t="s">
        <v>176</v>
      </c>
      <c r="D2317" s="23" t="s">
        <v>334</v>
      </c>
      <c r="E2317" s="23" t="s">
        <v>335</v>
      </c>
      <c r="F2317">
        <v>1</v>
      </c>
      <c r="G2317" s="23" t="s">
        <v>177</v>
      </c>
      <c r="H2317">
        <v>0</v>
      </c>
      <c r="I2317">
        <v>25</v>
      </c>
      <c r="J2317" s="10">
        <v>18</v>
      </c>
      <c r="K2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17">
        <v>0</v>
      </c>
      <c r="M23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7">
        <v>225</v>
      </c>
      <c r="O2317" s="23" t="s">
        <v>227</v>
      </c>
      <c r="P2317">
        <v>225</v>
      </c>
      <c r="Q2317" s="23" t="s">
        <v>181</v>
      </c>
    </row>
    <row r="2318" spans="1:17" x14ac:dyDescent="0.25">
      <c r="A2318" s="23" t="s">
        <v>1147</v>
      </c>
      <c r="B2318" s="23" t="s">
        <v>1145</v>
      </c>
      <c r="C2318" s="23" t="s">
        <v>176</v>
      </c>
      <c r="D2318" s="23" t="s">
        <v>334</v>
      </c>
      <c r="E2318" s="23" t="s">
        <v>335</v>
      </c>
      <c r="F2318">
        <v>1</v>
      </c>
      <c r="G2318" s="23" t="s">
        <v>177</v>
      </c>
      <c r="H2318">
        <v>0</v>
      </c>
      <c r="I2318">
        <v>25</v>
      </c>
      <c r="J2318" s="10">
        <v>18</v>
      </c>
      <c r="K2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18">
        <v>0</v>
      </c>
      <c r="M23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8">
        <v>225</v>
      </c>
      <c r="O2318" s="23" t="s">
        <v>227</v>
      </c>
      <c r="P2318">
        <v>225</v>
      </c>
      <c r="Q2318" s="23" t="s">
        <v>181</v>
      </c>
    </row>
    <row r="2319" spans="1:17" x14ac:dyDescent="0.25">
      <c r="A2319" s="23" t="s">
        <v>1099</v>
      </c>
      <c r="B2319" s="23" t="s">
        <v>1056</v>
      </c>
      <c r="C2319" s="23" t="s">
        <v>176</v>
      </c>
      <c r="D2319" s="23" t="s">
        <v>3</v>
      </c>
      <c r="E2319" s="23" t="s">
        <v>4</v>
      </c>
      <c r="F2319">
        <v>21</v>
      </c>
      <c r="G2319" s="23" t="s">
        <v>180</v>
      </c>
      <c r="H2319">
        <v>0</v>
      </c>
      <c r="I2319">
        <v>150</v>
      </c>
      <c r="J2319" s="10">
        <v>0</v>
      </c>
      <c r="K2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</v>
      </c>
      <c r="L2319">
        <v>0</v>
      </c>
      <c r="M23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19">
        <v>320</v>
      </c>
      <c r="O2319" s="23" t="s">
        <v>1151</v>
      </c>
      <c r="P2319">
        <v>6720</v>
      </c>
      <c r="Q2319" s="23" t="s">
        <v>185</v>
      </c>
    </row>
    <row r="2320" spans="1:17" x14ac:dyDescent="0.25">
      <c r="A2320" s="23" t="s">
        <v>1100</v>
      </c>
      <c r="B2320" s="23" t="s">
        <v>1101</v>
      </c>
      <c r="C2320" s="23" t="s">
        <v>176</v>
      </c>
      <c r="D2320" s="23" t="s">
        <v>334</v>
      </c>
      <c r="E2320" s="23" t="s">
        <v>335</v>
      </c>
      <c r="F2320">
        <v>1</v>
      </c>
      <c r="G2320" s="23" t="s">
        <v>177</v>
      </c>
      <c r="H2320">
        <v>0</v>
      </c>
      <c r="I2320">
        <v>25</v>
      </c>
      <c r="J2320" s="10">
        <v>18</v>
      </c>
      <c r="K2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320">
        <v>0</v>
      </c>
      <c r="M23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0">
        <v>225</v>
      </c>
      <c r="O2320" s="23" t="s">
        <v>227</v>
      </c>
      <c r="P2320">
        <v>225</v>
      </c>
      <c r="Q2320" s="23" t="s">
        <v>181</v>
      </c>
    </row>
    <row r="2321" spans="1:17" x14ac:dyDescent="0.25">
      <c r="A2321" s="23" t="s">
        <v>1147</v>
      </c>
      <c r="B2321" s="23" t="s">
        <v>1145</v>
      </c>
      <c r="C2321" s="23" t="s">
        <v>176</v>
      </c>
      <c r="D2321" s="23" t="s">
        <v>208</v>
      </c>
      <c r="E2321" s="23" t="s">
        <v>283</v>
      </c>
      <c r="F2321">
        <v>2.5</v>
      </c>
      <c r="G2321" s="23" t="s">
        <v>177</v>
      </c>
      <c r="H2321">
        <v>0</v>
      </c>
      <c r="I2321">
        <v>62</v>
      </c>
      <c r="J2321" s="10">
        <v>0.26999999999997826</v>
      </c>
      <c r="K2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321">
        <v>0</v>
      </c>
      <c r="M23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1">
        <v>28</v>
      </c>
      <c r="O2321" s="23" t="s">
        <v>242</v>
      </c>
      <c r="P2321">
        <v>70</v>
      </c>
      <c r="Q2321" s="23" t="s">
        <v>181</v>
      </c>
    </row>
    <row r="2322" spans="1:17" x14ac:dyDescent="0.25">
      <c r="A2322" s="23" t="s">
        <v>1062</v>
      </c>
      <c r="B2322" s="23" t="s">
        <v>1053</v>
      </c>
      <c r="C2322" s="23" t="s">
        <v>176</v>
      </c>
      <c r="D2322" s="23" t="s">
        <v>515</v>
      </c>
      <c r="E2322" s="23" t="s">
        <v>516</v>
      </c>
      <c r="F2322">
        <v>0.8</v>
      </c>
      <c r="G2322" s="23" t="s">
        <v>177</v>
      </c>
      <c r="H2322">
        <v>0</v>
      </c>
      <c r="I2322">
        <v>0</v>
      </c>
      <c r="J2322" s="10">
        <v>-2.6645352591003757E-15</v>
      </c>
      <c r="K2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322">
        <v>0</v>
      </c>
      <c r="M23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322">
        <v>70</v>
      </c>
      <c r="O2322" s="23" t="s">
        <v>242</v>
      </c>
      <c r="P2322">
        <v>56</v>
      </c>
      <c r="Q2322" s="23" t="s">
        <v>181</v>
      </c>
    </row>
    <row r="2323" spans="1:17" x14ac:dyDescent="0.25">
      <c r="A2323" s="23" t="s">
        <v>1062</v>
      </c>
      <c r="B2323" s="23" t="s">
        <v>1053</v>
      </c>
      <c r="C2323" s="23" t="s">
        <v>176</v>
      </c>
      <c r="D2323" s="23" t="s">
        <v>208</v>
      </c>
      <c r="E2323" s="23" t="s">
        <v>283</v>
      </c>
      <c r="F2323">
        <v>4.04</v>
      </c>
      <c r="G2323" s="23" t="s">
        <v>177</v>
      </c>
      <c r="H2323">
        <v>0</v>
      </c>
      <c r="I2323">
        <v>62</v>
      </c>
      <c r="J2323" s="10">
        <v>0.26999999999997826</v>
      </c>
      <c r="K2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323">
        <v>0</v>
      </c>
      <c r="M23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3">
        <v>28</v>
      </c>
      <c r="O2323" s="23" t="s">
        <v>242</v>
      </c>
      <c r="P2323">
        <v>113.12</v>
      </c>
      <c r="Q2323" s="23" t="s">
        <v>181</v>
      </c>
    </row>
    <row r="2324" spans="1:17" x14ac:dyDescent="0.25">
      <c r="A2324" s="23" t="s">
        <v>1197</v>
      </c>
      <c r="B2324" s="23" t="s">
        <v>1198</v>
      </c>
      <c r="C2324" s="23" t="s">
        <v>176</v>
      </c>
      <c r="D2324" s="23" t="s">
        <v>208</v>
      </c>
      <c r="E2324" s="23" t="s">
        <v>283</v>
      </c>
      <c r="F2324">
        <v>2.5</v>
      </c>
      <c r="G2324" s="23" t="s">
        <v>177</v>
      </c>
      <c r="H2324">
        <v>0</v>
      </c>
      <c r="I2324">
        <v>62</v>
      </c>
      <c r="J2324" s="10">
        <v>0.26999999999997826</v>
      </c>
      <c r="K2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324">
        <v>0</v>
      </c>
      <c r="M23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4">
        <v>28</v>
      </c>
      <c r="O2324" s="23" t="s">
        <v>242</v>
      </c>
      <c r="P2324">
        <v>70</v>
      </c>
      <c r="Q2324" s="23" t="s">
        <v>181</v>
      </c>
    </row>
    <row r="2325" spans="1:17" x14ac:dyDescent="0.25">
      <c r="A2325" s="23" t="s">
        <v>1098</v>
      </c>
      <c r="B2325" s="23" t="s">
        <v>1053</v>
      </c>
      <c r="C2325" s="23" t="s">
        <v>176</v>
      </c>
      <c r="D2325" s="23" t="s">
        <v>208</v>
      </c>
      <c r="E2325" s="23" t="s">
        <v>283</v>
      </c>
      <c r="F2325">
        <v>3.65</v>
      </c>
      <c r="G2325" s="23" t="s">
        <v>177</v>
      </c>
      <c r="H2325">
        <v>0</v>
      </c>
      <c r="I2325">
        <v>62</v>
      </c>
      <c r="J2325" s="10">
        <v>0.26999999999997826</v>
      </c>
      <c r="K2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325">
        <v>0</v>
      </c>
      <c r="M23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5">
        <v>28</v>
      </c>
      <c r="O2325" s="23" t="s">
        <v>242</v>
      </c>
      <c r="P2325">
        <v>102.2</v>
      </c>
      <c r="Q2325" s="23" t="s">
        <v>181</v>
      </c>
    </row>
    <row r="2326" spans="1:17" x14ac:dyDescent="0.25">
      <c r="A2326" s="23" t="s">
        <v>1180</v>
      </c>
      <c r="B2326" s="23" t="s">
        <v>1181</v>
      </c>
      <c r="C2326" s="23" t="s">
        <v>176</v>
      </c>
      <c r="D2326" s="23" t="s">
        <v>270</v>
      </c>
      <c r="E2326" s="23" t="s">
        <v>589</v>
      </c>
      <c r="F2326">
        <v>1</v>
      </c>
      <c r="G2326" s="23" t="s">
        <v>177</v>
      </c>
      <c r="H2326">
        <v>0</v>
      </c>
      <c r="I2326">
        <v>1</v>
      </c>
      <c r="J2326" s="10">
        <v>11</v>
      </c>
      <c r="K2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326">
        <v>0</v>
      </c>
      <c r="M23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326">
        <v>13310.52</v>
      </c>
      <c r="O2326" s="23" t="s">
        <v>590</v>
      </c>
      <c r="P2326">
        <v>13310.52</v>
      </c>
      <c r="Q2326" s="23" t="s">
        <v>178</v>
      </c>
    </row>
    <row r="2327" spans="1:17" x14ac:dyDescent="0.25">
      <c r="A2327" s="23" t="s">
        <v>1100</v>
      </c>
      <c r="B2327" s="23" t="s">
        <v>1101</v>
      </c>
      <c r="C2327" s="23" t="s">
        <v>176</v>
      </c>
      <c r="D2327" s="23" t="s">
        <v>284</v>
      </c>
      <c r="E2327" s="23" t="s">
        <v>285</v>
      </c>
      <c r="F2327">
        <v>1.46</v>
      </c>
      <c r="G2327" s="23" t="s">
        <v>177</v>
      </c>
      <c r="H2327">
        <v>0</v>
      </c>
      <c r="I2327">
        <v>104</v>
      </c>
      <c r="J2327" s="10">
        <v>4.4408920985006262E-15</v>
      </c>
      <c r="K2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327">
        <v>0</v>
      </c>
      <c r="M23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7">
        <v>22</v>
      </c>
      <c r="O2327" s="23" t="s">
        <v>242</v>
      </c>
      <c r="P2327">
        <v>32.119999999999997</v>
      </c>
      <c r="Q2327" s="23" t="s">
        <v>181</v>
      </c>
    </row>
    <row r="2328" spans="1:17" x14ac:dyDescent="0.25">
      <c r="A2328" s="23" t="s">
        <v>1058</v>
      </c>
      <c r="B2328" s="23" t="s">
        <v>1059</v>
      </c>
      <c r="C2328" s="23" t="s">
        <v>176</v>
      </c>
      <c r="D2328" s="23" t="s">
        <v>24</v>
      </c>
      <c r="E2328" s="23" t="s">
        <v>25</v>
      </c>
      <c r="F2328">
        <v>2</v>
      </c>
      <c r="G2328" s="23" t="s">
        <v>177</v>
      </c>
      <c r="H2328">
        <v>0</v>
      </c>
      <c r="I2328">
        <v>30</v>
      </c>
      <c r="J2328" s="10">
        <v>20</v>
      </c>
      <c r="K2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328">
        <v>0</v>
      </c>
      <c r="M23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8">
        <v>62.5</v>
      </c>
      <c r="O2328" s="23" t="s">
        <v>629</v>
      </c>
      <c r="P2328">
        <v>125</v>
      </c>
      <c r="Q2328" s="23" t="s">
        <v>181</v>
      </c>
    </row>
    <row r="2329" spans="1:17" x14ac:dyDescent="0.25">
      <c r="A2329" s="23" t="s">
        <v>1055</v>
      </c>
      <c r="B2329" s="23" t="s">
        <v>1056</v>
      </c>
      <c r="C2329" s="23" t="s">
        <v>176</v>
      </c>
      <c r="D2329" s="23" t="s">
        <v>24</v>
      </c>
      <c r="E2329" s="23" t="s">
        <v>25</v>
      </c>
      <c r="F2329">
        <v>1</v>
      </c>
      <c r="G2329" s="23" t="s">
        <v>177</v>
      </c>
      <c r="H2329">
        <v>0</v>
      </c>
      <c r="I2329">
        <v>30</v>
      </c>
      <c r="J2329" s="10">
        <v>20</v>
      </c>
      <c r="K2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329">
        <v>0</v>
      </c>
      <c r="M23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29">
        <v>62.5</v>
      </c>
      <c r="O2329" s="23" t="s">
        <v>629</v>
      </c>
      <c r="P2329">
        <v>62.5</v>
      </c>
      <c r="Q2329" s="23" t="s">
        <v>181</v>
      </c>
    </row>
    <row r="2330" spans="1:17" x14ac:dyDescent="0.25">
      <c r="A2330" s="23" t="s">
        <v>1100</v>
      </c>
      <c r="B2330" s="23" t="s">
        <v>1101</v>
      </c>
      <c r="C2330" s="23" t="s">
        <v>176</v>
      </c>
      <c r="D2330" s="23" t="s">
        <v>24</v>
      </c>
      <c r="E2330" s="23" t="s">
        <v>25</v>
      </c>
      <c r="F2330">
        <v>1</v>
      </c>
      <c r="G2330" s="23" t="s">
        <v>177</v>
      </c>
      <c r="H2330">
        <v>0</v>
      </c>
      <c r="I2330">
        <v>30</v>
      </c>
      <c r="J2330" s="10">
        <v>20</v>
      </c>
      <c r="K2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330">
        <v>0</v>
      </c>
      <c r="M23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0">
        <v>62.5</v>
      </c>
      <c r="O2330" s="23" t="s">
        <v>629</v>
      </c>
      <c r="P2330">
        <v>62.5</v>
      </c>
      <c r="Q2330" s="23" t="s">
        <v>181</v>
      </c>
    </row>
    <row r="2331" spans="1:17" x14ac:dyDescent="0.25">
      <c r="A2331" s="23" t="s">
        <v>1058</v>
      </c>
      <c r="B2331" s="23" t="s">
        <v>1059</v>
      </c>
      <c r="C2331" s="23" t="s">
        <v>176</v>
      </c>
      <c r="D2331" s="23" t="s">
        <v>295</v>
      </c>
      <c r="E2331" s="23" t="s">
        <v>324</v>
      </c>
      <c r="F2331">
        <v>7.0000000000000007E-2</v>
      </c>
      <c r="G2331" s="23" t="s">
        <v>186</v>
      </c>
      <c r="H2331">
        <v>0</v>
      </c>
      <c r="I2331">
        <v>2.5</v>
      </c>
      <c r="J2331" s="10">
        <v>0</v>
      </c>
      <c r="K2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331">
        <v>0</v>
      </c>
      <c r="M23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1">
        <v>2400</v>
      </c>
      <c r="O2331" s="23" t="s">
        <v>221</v>
      </c>
      <c r="P2331">
        <v>168.00000000000003</v>
      </c>
      <c r="Q2331" s="23" t="s">
        <v>181</v>
      </c>
    </row>
    <row r="2332" spans="1:17" x14ac:dyDescent="0.25">
      <c r="A2332" s="23" t="s">
        <v>1100</v>
      </c>
      <c r="B2332" s="23" t="s">
        <v>1101</v>
      </c>
      <c r="C2332" s="23" t="s">
        <v>176</v>
      </c>
      <c r="D2332" s="23" t="s">
        <v>295</v>
      </c>
      <c r="E2332" s="23" t="s">
        <v>324</v>
      </c>
      <c r="F2332">
        <v>0.09</v>
      </c>
      <c r="G2332" s="23" t="s">
        <v>186</v>
      </c>
      <c r="H2332">
        <v>0</v>
      </c>
      <c r="I2332">
        <v>2.5</v>
      </c>
      <c r="J2332" s="10">
        <v>0</v>
      </c>
      <c r="K2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332">
        <v>0</v>
      </c>
      <c r="M23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2">
        <v>2400</v>
      </c>
      <c r="O2332" s="23" t="s">
        <v>221</v>
      </c>
      <c r="P2332">
        <v>216</v>
      </c>
      <c r="Q2332" s="23" t="s">
        <v>181</v>
      </c>
    </row>
    <row r="2333" spans="1:17" x14ac:dyDescent="0.25">
      <c r="A2333" s="23" t="s">
        <v>1147</v>
      </c>
      <c r="B2333" s="23" t="s">
        <v>1145</v>
      </c>
      <c r="C2333" s="23" t="s">
        <v>176</v>
      </c>
      <c r="D2333" s="23" t="s">
        <v>284</v>
      </c>
      <c r="E2333" s="23" t="s">
        <v>285</v>
      </c>
      <c r="F2333">
        <v>1</v>
      </c>
      <c r="G2333" s="23" t="s">
        <v>177</v>
      </c>
      <c r="H2333">
        <v>0</v>
      </c>
      <c r="I2333">
        <v>104</v>
      </c>
      <c r="J2333" s="10">
        <v>4.4408920985006262E-15</v>
      </c>
      <c r="K2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333">
        <v>0</v>
      </c>
      <c r="M23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3">
        <v>22</v>
      </c>
      <c r="O2333" s="23" t="s">
        <v>242</v>
      </c>
      <c r="P2333">
        <v>22</v>
      </c>
      <c r="Q2333" s="23" t="s">
        <v>181</v>
      </c>
    </row>
    <row r="2334" spans="1:17" x14ac:dyDescent="0.25">
      <c r="A2334" s="23" t="s">
        <v>1099</v>
      </c>
      <c r="B2334" s="23" t="s">
        <v>1056</v>
      </c>
      <c r="C2334" s="23" t="s">
        <v>176</v>
      </c>
      <c r="D2334" s="23" t="s">
        <v>284</v>
      </c>
      <c r="E2334" s="23" t="s">
        <v>285</v>
      </c>
      <c r="F2334">
        <v>1</v>
      </c>
      <c r="G2334" s="23" t="s">
        <v>177</v>
      </c>
      <c r="H2334">
        <v>0</v>
      </c>
      <c r="I2334">
        <v>104</v>
      </c>
      <c r="J2334" s="10">
        <v>4.4408920985006262E-15</v>
      </c>
      <c r="K2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334">
        <v>0</v>
      </c>
      <c r="M23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4">
        <v>22</v>
      </c>
      <c r="O2334" s="23" t="s">
        <v>242</v>
      </c>
      <c r="P2334">
        <v>22</v>
      </c>
      <c r="Q2334" s="23" t="s">
        <v>181</v>
      </c>
    </row>
    <row r="2335" spans="1:17" x14ac:dyDescent="0.25">
      <c r="A2335" s="23" t="s">
        <v>1097</v>
      </c>
      <c r="B2335" s="23" t="s">
        <v>1095</v>
      </c>
      <c r="C2335" s="23" t="s">
        <v>176</v>
      </c>
      <c r="D2335" s="23" t="s">
        <v>405</v>
      </c>
      <c r="E2335" s="23" t="s">
        <v>406</v>
      </c>
      <c r="F2335">
        <v>5</v>
      </c>
      <c r="G2335" s="23" t="s">
        <v>177</v>
      </c>
      <c r="H2335">
        <v>0</v>
      </c>
      <c r="I2335">
        <v>234</v>
      </c>
      <c r="J2335" s="10">
        <v>30</v>
      </c>
      <c r="K2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2335">
        <v>0</v>
      </c>
      <c r="M23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5">
        <v>15.21</v>
      </c>
      <c r="O2335" s="23" t="s">
        <v>827</v>
      </c>
      <c r="P2335">
        <v>76.050000000000011</v>
      </c>
      <c r="Q2335" s="23" t="s">
        <v>222</v>
      </c>
    </row>
    <row r="2336" spans="1:17" x14ac:dyDescent="0.25">
      <c r="A2336" s="23" t="s">
        <v>1098</v>
      </c>
      <c r="B2336" s="23" t="s">
        <v>1053</v>
      </c>
      <c r="C2336" s="23" t="s">
        <v>176</v>
      </c>
      <c r="D2336" s="23" t="s">
        <v>515</v>
      </c>
      <c r="E2336" s="23" t="s">
        <v>516</v>
      </c>
      <c r="F2336">
        <v>0.75</v>
      </c>
      <c r="G2336" s="23" t="s">
        <v>177</v>
      </c>
      <c r="H2336">
        <v>0</v>
      </c>
      <c r="I2336">
        <v>0</v>
      </c>
      <c r="J2336" s="10">
        <v>-2.6645352591003757E-15</v>
      </c>
      <c r="K2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336">
        <v>0</v>
      </c>
      <c r="M23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336">
        <v>70</v>
      </c>
      <c r="O2336" s="23" t="s">
        <v>242</v>
      </c>
      <c r="P2336">
        <v>52.5</v>
      </c>
      <c r="Q2336" s="23" t="s">
        <v>181</v>
      </c>
    </row>
    <row r="2337" spans="1:17" x14ac:dyDescent="0.25">
      <c r="A2337" s="23" t="s">
        <v>1150</v>
      </c>
      <c r="B2337" s="23" t="s">
        <v>1145</v>
      </c>
      <c r="C2337" s="23" t="s">
        <v>176</v>
      </c>
      <c r="D2337" s="23" t="s">
        <v>383</v>
      </c>
      <c r="E2337" s="23" t="s">
        <v>384</v>
      </c>
      <c r="F2337">
        <v>1</v>
      </c>
      <c r="G2337" s="23" t="s">
        <v>177</v>
      </c>
      <c r="H2337">
        <v>0</v>
      </c>
      <c r="I2337">
        <v>52</v>
      </c>
      <c r="J2337" s="10">
        <v>2</v>
      </c>
      <c r="K2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337">
        <v>0</v>
      </c>
      <c r="M23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7">
        <v>34</v>
      </c>
      <c r="O2337" s="23" t="s">
        <v>242</v>
      </c>
      <c r="P2337">
        <v>34</v>
      </c>
      <c r="Q2337" s="23" t="s">
        <v>179</v>
      </c>
    </row>
    <row r="2338" spans="1:17" x14ac:dyDescent="0.25">
      <c r="A2338" s="23" t="s">
        <v>1098</v>
      </c>
      <c r="B2338" s="23" t="s">
        <v>1053</v>
      </c>
      <c r="C2338" s="23" t="s">
        <v>176</v>
      </c>
      <c r="D2338" s="23" t="s">
        <v>257</v>
      </c>
      <c r="E2338" s="23" t="s">
        <v>310</v>
      </c>
      <c r="F2338">
        <v>2</v>
      </c>
      <c r="G2338" s="23" t="s">
        <v>177</v>
      </c>
      <c r="H2338">
        <v>0</v>
      </c>
      <c r="I2338">
        <v>40</v>
      </c>
      <c r="J2338" s="10">
        <v>18</v>
      </c>
      <c r="K2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338">
        <v>0</v>
      </c>
      <c r="M23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38">
        <v>55</v>
      </c>
      <c r="O2338" s="23" t="s">
        <v>827</v>
      </c>
      <c r="P2338">
        <v>110</v>
      </c>
      <c r="Q2338" s="23" t="s">
        <v>222</v>
      </c>
    </row>
    <row r="2339" spans="1:17" x14ac:dyDescent="0.25">
      <c r="A2339" s="23" t="s">
        <v>1055</v>
      </c>
      <c r="B2339" s="23" t="s">
        <v>1056</v>
      </c>
      <c r="C2339" s="23" t="s">
        <v>176</v>
      </c>
      <c r="D2339" s="23" t="s">
        <v>927</v>
      </c>
      <c r="E2339" s="23" t="s">
        <v>928</v>
      </c>
      <c r="F2339">
        <v>1</v>
      </c>
      <c r="G2339" s="23" t="s">
        <v>177</v>
      </c>
      <c r="H2339">
        <v>0</v>
      </c>
      <c r="I2339">
        <v>0</v>
      </c>
      <c r="J2339" s="10">
        <v>246</v>
      </c>
      <c r="K2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339">
        <v>0</v>
      </c>
      <c r="M23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2339">
        <v>5.42</v>
      </c>
      <c r="O2339" s="23" t="s">
        <v>629</v>
      </c>
      <c r="P2339">
        <v>5.42</v>
      </c>
      <c r="Q2339" s="23" t="s">
        <v>181</v>
      </c>
    </row>
    <row r="2340" spans="1:17" x14ac:dyDescent="0.25">
      <c r="A2340" s="23" t="s">
        <v>1148</v>
      </c>
      <c r="B2340" s="23" t="s">
        <v>1054</v>
      </c>
      <c r="C2340" s="23" t="s">
        <v>176</v>
      </c>
      <c r="D2340" s="23" t="s">
        <v>927</v>
      </c>
      <c r="E2340" s="23" t="s">
        <v>928</v>
      </c>
      <c r="F2340">
        <v>1</v>
      </c>
      <c r="G2340" s="23" t="s">
        <v>177</v>
      </c>
      <c r="H2340">
        <v>0</v>
      </c>
      <c r="I2340">
        <v>0</v>
      </c>
      <c r="J2340" s="10">
        <v>246</v>
      </c>
      <c r="K2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340">
        <v>0</v>
      </c>
      <c r="M23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37.94</v>
      </c>
      <c r="N2340">
        <v>5.42</v>
      </c>
      <c r="O2340" s="23" t="s">
        <v>629</v>
      </c>
      <c r="P2340">
        <v>5.42</v>
      </c>
      <c r="Q2340" s="23" t="s">
        <v>181</v>
      </c>
    </row>
    <row r="2341" spans="1:17" x14ac:dyDescent="0.25">
      <c r="A2341" s="23" t="s">
        <v>1100</v>
      </c>
      <c r="B2341" s="23" t="s">
        <v>1101</v>
      </c>
      <c r="C2341" s="23" t="s">
        <v>176</v>
      </c>
      <c r="D2341" s="23" t="s">
        <v>209</v>
      </c>
      <c r="E2341" s="23" t="s">
        <v>286</v>
      </c>
      <c r="F2341">
        <v>31</v>
      </c>
      <c r="G2341" s="23" t="s">
        <v>177</v>
      </c>
      <c r="H2341">
        <v>0</v>
      </c>
      <c r="I2341">
        <v>2600</v>
      </c>
      <c r="J2341" s="10">
        <v>292</v>
      </c>
      <c r="K2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341">
        <v>0</v>
      </c>
      <c r="M23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1">
        <v>0.4</v>
      </c>
      <c r="O2341" s="23" t="s">
        <v>242</v>
      </c>
      <c r="P2341">
        <v>12.4</v>
      </c>
      <c r="Q2341" s="23" t="s">
        <v>181</v>
      </c>
    </row>
    <row r="2342" spans="1:17" x14ac:dyDescent="0.25">
      <c r="A2342" s="23" t="s">
        <v>1100</v>
      </c>
      <c r="B2342" s="23" t="s">
        <v>1101</v>
      </c>
      <c r="C2342" s="23" t="s">
        <v>176</v>
      </c>
      <c r="D2342" s="23" t="s">
        <v>95</v>
      </c>
      <c r="E2342" s="23" t="s">
        <v>96</v>
      </c>
      <c r="F2342">
        <v>1</v>
      </c>
      <c r="G2342" s="23" t="s">
        <v>177</v>
      </c>
      <c r="H2342">
        <v>0</v>
      </c>
      <c r="I2342">
        <v>13</v>
      </c>
      <c r="J2342" s="10">
        <v>6</v>
      </c>
      <c r="K2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342">
        <v>0</v>
      </c>
      <c r="M23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2">
        <v>1145.83</v>
      </c>
      <c r="O2342" s="23" t="s">
        <v>249</v>
      </c>
      <c r="P2342">
        <v>1145.83</v>
      </c>
      <c r="Q2342" s="23" t="s">
        <v>178</v>
      </c>
    </row>
    <row r="2343" spans="1:17" x14ac:dyDescent="0.25">
      <c r="A2343" s="23" t="s">
        <v>1100</v>
      </c>
      <c r="B2343" s="23" t="s">
        <v>1101</v>
      </c>
      <c r="C2343" s="23" t="s">
        <v>176</v>
      </c>
      <c r="D2343" s="23" t="s">
        <v>362</v>
      </c>
      <c r="E2343" s="23" t="s">
        <v>363</v>
      </c>
      <c r="F2343">
        <v>10</v>
      </c>
      <c r="G2343" s="23" t="s">
        <v>180</v>
      </c>
      <c r="H2343">
        <v>0</v>
      </c>
      <c r="I2343">
        <v>200</v>
      </c>
      <c r="J2343" s="10">
        <v>39.999999999999659</v>
      </c>
      <c r="K2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343">
        <v>0</v>
      </c>
      <c r="M23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3">
        <v>22.5</v>
      </c>
      <c r="O2343" s="23" t="s">
        <v>315</v>
      </c>
      <c r="P2343">
        <v>225</v>
      </c>
      <c r="Q2343" s="23" t="s">
        <v>179</v>
      </c>
    </row>
    <row r="2344" spans="1:17" x14ac:dyDescent="0.25">
      <c r="A2344" s="23" t="s">
        <v>1055</v>
      </c>
      <c r="B2344" s="23" t="s">
        <v>1056</v>
      </c>
      <c r="C2344" s="23" t="s">
        <v>176</v>
      </c>
      <c r="D2344" s="23" t="s">
        <v>144</v>
      </c>
      <c r="E2344" s="23" t="s">
        <v>145</v>
      </c>
      <c r="F2344">
        <v>4</v>
      </c>
      <c r="G2344" s="23" t="s">
        <v>177</v>
      </c>
      <c r="H2344">
        <v>0</v>
      </c>
      <c r="I2344">
        <v>0</v>
      </c>
      <c r="J2344" s="10">
        <v>64</v>
      </c>
      <c r="K2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344">
        <v>0</v>
      </c>
      <c r="M23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2344">
        <v>6.87</v>
      </c>
      <c r="O2344" s="23" t="s">
        <v>827</v>
      </c>
      <c r="P2344">
        <v>27.48</v>
      </c>
      <c r="Q2344" s="23" t="s">
        <v>222</v>
      </c>
    </row>
    <row r="2345" spans="1:17" x14ac:dyDescent="0.25">
      <c r="A2345" s="23" t="s">
        <v>1100</v>
      </c>
      <c r="B2345" s="23" t="s">
        <v>1101</v>
      </c>
      <c r="C2345" s="23" t="s">
        <v>176</v>
      </c>
      <c r="D2345" s="23" t="s">
        <v>144</v>
      </c>
      <c r="E2345" s="23" t="s">
        <v>145</v>
      </c>
      <c r="F2345">
        <v>4</v>
      </c>
      <c r="G2345" s="23" t="s">
        <v>177</v>
      </c>
      <c r="H2345">
        <v>0</v>
      </c>
      <c r="I2345">
        <v>0</v>
      </c>
      <c r="J2345" s="10">
        <v>64</v>
      </c>
      <c r="K2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345">
        <v>0</v>
      </c>
      <c r="M23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2345">
        <v>6.87</v>
      </c>
      <c r="O2345" s="23" t="s">
        <v>827</v>
      </c>
      <c r="P2345">
        <v>27.48</v>
      </c>
      <c r="Q2345" s="23" t="s">
        <v>222</v>
      </c>
    </row>
    <row r="2346" spans="1:17" x14ac:dyDescent="0.25">
      <c r="A2346" s="23" t="s">
        <v>1100</v>
      </c>
      <c r="B2346" s="23" t="s">
        <v>1101</v>
      </c>
      <c r="C2346" s="23" t="s">
        <v>176</v>
      </c>
      <c r="D2346" s="23" t="s">
        <v>467</v>
      </c>
      <c r="E2346" s="23" t="s">
        <v>468</v>
      </c>
      <c r="F2346">
        <v>95</v>
      </c>
      <c r="G2346" s="23" t="s">
        <v>177</v>
      </c>
      <c r="H2346">
        <v>0</v>
      </c>
      <c r="I2346">
        <v>7500</v>
      </c>
      <c r="J2346" s="10">
        <v>0</v>
      </c>
      <c r="K2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346">
        <v>0</v>
      </c>
      <c r="M23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6">
        <v>0.8</v>
      </c>
      <c r="O2346" s="23" t="s">
        <v>827</v>
      </c>
      <c r="P2346">
        <v>76</v>
      </c>
      <c r="Q2346" s="23" t="s">
        <v>181</v>
      </c>
    </row>
    <row r="2347" spans="1:17" x14ac:dyDescent="0.25">
      <c r="A2347" s="23" t="s">
        <v>1058</v>
      </c>
      <c r="B2347" s="23" t="s">
        <v>1059</v>
      </c>
      <c r="C2347" s="23" t="s">
        <v>176</v>
      </c>
      <c r="D2347" s="23" t="s">
        <v>209</v>
      </c>
      <c r="E2347" s="23" t="s">
        <v>286</v>
      </c>
      <c r="F2347">
        <v>6</v>
      </c>
      <c r="G2347" s="23" t="s">
        <v>177</v>
      </c>
      <c r="H2347">
        <v>0</v>
      </c>
      <c r="I2347">
        <v>2600</v>
      </c>
      <c r="J2347" s="10">
        <v>292</v>
      </c>
      <c r="K2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347">
        <v>0</v>
      </c>
      <c r="M23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7">
        <v>0.4</v>
      </c>
      <c r="O2347" s="23" t="s">
        <v>242</v>
      </c>
      <c r="P2347">
        <v>2.4000000000000004</v>
      </c>
      <c r="Q2347" s="23" t="s">
        <v>181</v>
      </c>
    </row>
    <row r="2348" spans="1:17" x14ac:dyDescent="0.25">
      <c r="A2348" s="23" t="s">
        <v>1100</v>
      </c>
      <c r="B2348" s="23" t="s">
        <v>1101</v>
      </c>
      <c r="C2348" s="23" t="s">
        <v>176</v>
      </c>
      <c r="D2348" s="23" t="s">
        <v>749</v>
      </c>
      <c r="E2348" s="23" t="s">
        <v>750</v>
      </c>
      <c r="F2348">
        <v>4</v>
      </c>
      <c r="G2348" s="23" t="s">
        <v>177</v>
      </c>
      <c r="H2348">
        <v>0</v>
      </c>
      <c r="I2348">
        <v>250</v>
      </c>
      <c r="J2348" s="10">
        <v>0</v>
      </c>
      <c r="K2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2348">
        <v>0</v>
      </c>
      <c r="M23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8">
        <v>5.74</v>
      </c>
      <c r="O2348" s="23" t="s">
        <v>883</v>
      </c>
      <c r="P2348">
        <v>22.96</v>
      </c>
      <c r="Q2348" s="23" t="s">
        <v>181</v>
      </c>
    </row>
    <row r="2349" spans="1:17" x14ac:dyDescent="0.25">
      <c r="A2349" s="23" t="s">
        <v>1058</v>
      </c>
      <c r="B2349" s="23" t="s">
        <v>1059</v>
      </c>
      <c r="C2349" s="23" t="s">
        <v>176</v>
      </c>
      <c r="D2349" s="23" t="s">
        <v>1045</v>
      </c>
      <c r="E2349" s="23" t="s">
        <v>1046</v>
      </c>
      <c r="F2349">
        <v>2</v>
      </c>
      <c r="G2349" s="23" t="s">
        <v>177</v>
      </c>
      <c r="H2349">
        <v>0</v>
      </c>
      <c r="I2349">
        <v>233</v>
      </c>
      <c r="J2349" s="10">
        <v>0</v>
      </c>
      <c r="K2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2349">
        <v>0</v>
      </c>
      <c r="M23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49">
        <v>7</v>
      </c>
      <c r="O2349" s="23" t="s">
        <v>227</v>
      </c>
      <c r="P2349">
        <v>14</v>
      </c>
      <c r="Q2349" s="23" t="s">
        <v>181</v>
      </c>
    </row>
    <row r="2350" spans="1:17" x14ac:dyDescent="0.25">
      <c r="A2350" s="23" t="s">
        <v>1058</v>
      </c>
      <c r="B2350" s="23" t="s">
        <v>1059</v>
      </c>
      <c r="C2350" s="23" t="s">
        <v>176</v>
      </c>
      <c r="D2350" s="23" t="s">
        <v>812</v>
      </c>
      <c r="E2350" s="23" t="s">
        <v>813</v>
      </c>
      <c r="F2350">
        <v>4</v>
      </c>
      <c r="G2350" s="23" t="s">
        <v>177</v>
      </c>
      <c r="H2350">
        <v>0</v>
      </c>
      <c r="I2350">
        <v>100</v>
      </c>
      <c r="J2350" s="10">
        <v>138</v>
      </c>
      <c r="K2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2350">
        <v>0</v>
      </c>
      <c r="M23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0">
        <v>8</v>
      </c>
      <c r="O2350" s="23" t="s">
        <v>883</v>
      </c>
      <c r="P2350">
        <v>32</v>
      </c>
      <c r="Q2350" s="23" t="s">
        <v>179</v>
      </c>
    </row>
    <row r="2351" spans="1:17" x14ac:dyDescent="0.25">
      <c r="A2351" s="23" t="s">
        <v>1058</v>
      </c>
      <c r="B2351" s="23" t="s">
        <v>1059</v>
      </c>
      <c r="C2351" s="23" t="s">
        <v>176</v>
      </c>
      <c r="D2351" s="23" t="s">
        <v>362</v>
      </c>
      <c r="E2351" s="23" t="s">
        <v>363</v>
      </c>
      <c r="F2351">
        <v>7.5</v>
      </c>
      <c r="G2351" s="23" t="s">
        <v>180</v>
      </c>
      <c r="H2351">
        <v>0</v>
      </c>
      <c r="I2351">
        <v>200</v>
      </c>
      <c r="J2351" s="10">
        <v>39.999999999999659</v>
      </c>
      <c r="K2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351">
        <v>0</v>
      </c>
      <c r="M23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1">
        <v>22.5</v>
      </c>
      <c r="O2351" s="23" t="s">
        <v>315</v>
      </c>
      <c r="P2351">
        <v>168.75</v>
      </c>
      <c r="Q2351" s="23" t="s">
        <v>179</v>
      </c>
    </row>
    <row r="2352" spans="1:17" x14ac:dyDescent="0.25">
      <c r="A2352" s="23" t="s">
        <v>1058</v>
      </c>
      <c r="B2352" s="23" t="s">
        <v>1059</v>
      </c>
      <c r="C2352" s="23" t="s">
        <v>176</v>
      </c>
      <c r="D2352" s="23" t="s">
        <v>144</v>
      </c>
      <c r="E2352" s="23" t="s">
        <v>145</v>
      </c>
      <c r="F2352">
        <v>2</v>
      </c>
      <c r="G2352" s="23" t="s">
        <v>177</v>
      </c>
      <c r="H2352">
        <v>0</v>
      </c>
      <c r="I2352">
        <v>0</v>
      </c>
      <c r="J2352" s="10">
        <v>64</v>
      </c>
      <c r="K2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352">
        <v>0</v>
      </c>
      <c r="M23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2352">
        <v>6.87</v>
      </c>
      <c r="O2352" s="23" t="s">
        <v>827</v>
      </c>
      <c r="P2352">
        <v>13.74</v>
      </c>
      <c r="Q2352" s="23" t="s">
        <v>222</v>
      </c>
    </row>
    <row r="2353" spans="1:17" x14ac:dyDescent="0.25">
      <c r="A2353" s="23" t="s">
        <v>1058</v>
      </c>
      <c r="B2353" s="23" t="s">
        <v>1059</v>
      </c>
      <c r="C2353" s="23" t="s">
        <v>176</v>
      </c>
      <c r="D2353" s="23" t="s">
        <v>467</v>
      </c>
      <c r="E2353" s="23" t="s">
        <v>468</v>
      </c>
      <c r="F2353">
        <v>110</v>
      </c>
      <c r="G2353" s="23" t="s">
        <v>177</v>
      </c>
      <c r="H2353">
        <v>0</v>
      </c>
      <c r="I2353">
        <v>7500</v>
      </c>
      <c r="J2353" s="10">
        <v>0</v>
      </c>
      <c r="K2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353">
        <v>0</v>
      </c>
      <c r="M23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3">
        <v>0.8</v>
      </c>
      <c r="O2353" s="23" t="s">
        <v>827</v>
      </c>
      <c r="P2353">
        <v>88</v>
      </c>
      <c r="Q2353" s="23" t="s">
        <v>181</v>
      </c>
    </row>
    <row r="2354" spans="1:17" x14ac:dyDescent="0.25">
      <c r="A2354" s="23" t="s">
        <v>1098</v>
      </c>
      <c r="B2354" s="23" t="s">
        <v>1053</v>
      </c>
      <c r="C2354" s="23" t="s">
        <v>176</v>
      </c>
      <c r="D2354" s="23" t="s">
        <v>239</v>
      </c>
      <c r="E2354" s="23" t="s">
        <v>307</v>
      </c>
      <c r="F2354">
        <v>2</v>
      </c>
      <c r="G2354" s="23" t="s">
        <v>177</v>
      </c>
      <c r="H2354">
        <v>0</v>
      </c>
      <c r="I2354">
        <v>40</v>
      </c>
      <c r="J2354" s="10">
        <v>18</v>
      </c>
      <c r="K2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2354">
        <v>0</v>
      </c>
      <c r="M23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4">
        <v>45.3</v>
      </c>
      <c r="O2354" s="23" t="s">
        <v>827</v>
      </c>
      <c r="P2354">
        <v>90.6</v>
      </c>
      <c r="Q2354" s="23" t="s">
        <v>222</v>
      </c>
    </row>
    <row r="2355" spans="1:17" x14ac:dyDescent="0.25">
      <c r="A2355" s="23" t="s">
        <v>1098</v>
      </c>
      <c r="B2355" s="23" t="s">
        <v>1053</v>
      </c>
      <c r="C2355" s="23" t="s">
        <v>176</v>
      </c>
      <c r="D2355" s="23" t="s">
        <v>923</v>
      </c>
      <c r="E2355" s="23" t="s">
        <v>924</v>
      </c>
      <c r="F2355">
        <v>4</v>
      </c>
      <c r="G2355" s="23" t="s">
        <v>177</v>
      </c>
      <c r="H2355">
        <v>0</v>
      </c>
      <c r="I2355">
        <v>0</v>
      </c>
      <c r="J2355" s="10">
        <v>0</v>
      </c>
      <c r="K2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2355">
        <v>0</v>
      </c>
      <c r="M23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</v>
      </c>
      <c r="N2355">
        <v>10</v>
      </c>
      <c r="O2355" s="23" t="s">
        <v>636</v>
      </c>
      <c r="P2355">
        <v>40</v>
      </c>
      <c r="Q2355" s="23" t="s">
        <v>222</v>
      </c>
    </row>
    <row r="2356" spans="1:17" x14ac:dyDescent="0.25">
      <c r="A2356" s="23" t="s">
        <v>1097</v>
      </c>
      <c r="B2356" s="23" t="s">
        <v>1095</v>
      </c>
      <c r="C2356" s="23" t="s">
        <v>176</v>
      </c>
      <c r="D2356" s="23" t="s">
        <v>81</v>
      </c>
      <c r="E2356" s="23" t="s">
        <v>82</v>
      </c>
      <c r="F2356">
        <v>0.5</v>
      </c>
      <c r="G2356" s="23" t="s">
        <v>177</v>
      </c>
      <c r="H2356">
        <v>0</v>
      </c>
      <c r="I2356">
        <v>0</v>
      </c>
      <c r="J2356" s="10">
        <v>0.49999999999995737</v>
      </c>
      <c r="K2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356">
        <v>10</v>
      </c>
      <c r="M23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356">
        <v>666.67</v>
      </c>
      <c r="O2356" s="23" t="s">
        <v>224</v>
      </c>
      <c r="P2356">
        <v>333.33499999999998</v>
      </c>
      <c r="Q2356" s="23" t="s">
        <v>182</v>
      </c>
    </row>
    <row r="2357" spans="1:17" x14ac:dyDescent="0.25">
      <c r="A2357" s="23" t="s">
        <v>1197</v>
      </c>
      <c r="B2357" s="23" t="s">
        <v>1198</v>
      </c>
      <c r="C2357" s="23" t="s">
        <v>176</v>
      </c>
      <c r="D2357" s="23" t="s">
        <v>81</v>
      </c>
      <c r="E2357" s="23" t="s">
        <v>82</v>
      </c>
      <c r="F2357">
        <v>6</v>
      </c>
      <c r="G2357" s="23" t="s">
        <v>177</v>
      </c>
      <c r="H2357">
        <v>0</v>
      </c>
      <c r="I2357">
        <v>0</v>
      </c>
      <c r="J2357" s="10">
        <v>0.49999999999995737</v>
      </c>
      <c r="K2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357">
        <v>10</v>
      </c>
      <c r="M23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357">
        <v>666.67</v>
      </c>
      <c r="O2357" s="23" t="s">
        <v>224</v>
      </c>
      <c r="P2357">
        <v>4000.0199999999995</v>
      </c>
      <c r="Q2357" s="23" t="s">
        <v>182</v>
      </c>
    </row>
    <row r="2358" spans="1:17" x14ac:dyDescent="0.25">
      <c r="A2358" s="23" t="s">
        <v>1098</v>
      </c>
      <c r="B2358" s="23" t="s">
        <v>1053</v>
      </c>
      <c r="C2358" s="23" t="s">
        <v>176</v>
      </c>
      <c r="D2358" s="23" t="s">
        <v>81</v>
      </c>
      <c r="E2358" s="23" t="s">
        <v>82</v>
      </c>
      <c r="F2358">
        <v>13.5</v>
      </c>
      <c r="G2358" s="23" t="s">
        <v>177</v>
      </c>
      <c r="H2358">
        <v>0</v>
      </c>
      <c r="I2358">
        <v>0</v>
      </c>
      <c r="J2358" s="10">
        <v>0.49999999999995737</v>
      </c>
      <c r="K2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2358">
        <v>10</v>
      </c>
      <c r="M23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2358">
        <v>666.67</v>
      </c>
      <c r="O2358" s="23" t="s">
        <v>224</v>
      </c>
      <c r="P2358">
        <v>9000.0450000000001</v>
      </c>
      <c r="Q2358" s="23" t="s">
        <v>182</v>
      </c>
    </row>
    <row r="2359" spans="1:17" x14ac:dyDescent="0.25">
      <c r="A2359" s="23" t="s">
        <v>1100</v>
      </c>
      <c r="B2359" s="23" t="s">
        <v>1101</v>
      </c>
      <c r="C2359" s="23" t="s">
        <v>176</v>
      </c>
      <c r="D2359" s="23" t="s">
        <v>449</v>
      </c>
      <c r="E2359" s="23" t="s">
        <v>450</v>
      </c>
      <c r="F2359">
        <v>2</v>
      </c>
      <c r="G2359" s="23" t="s">
        <v>177</v>
      </c>
      <c r="H2359">
        <v>0</v>
      </c>
      <c r="I2359">
        <v>15</v>
      </c>
      <c r="J2359" s="10">
        <v>14</v>
      </c>
      <c r="K2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359">
        <v>15</v>
      </c>
      <c r="M23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59">
        <v>65.709999999999994</v>
      </c>
      <c r="O2359" s="23" t="s">
        <v>228</v>
      </c>
      <c r="P2359">
        <v>131.41999999999999</v>
      </c>
      <c r="Q2359" s="23" t="s">
        <v>222</v>
      </c>
    </row>
    <row r="2360" spans="1:17" x14ac:dyDescent="0.25">
      <c r="A2360" s="23" t="s">
        <v>1058</v>
      </c>
      <c r="B2360" s="23" t="s">
        <v>1059</v>
      </c>
      <c r="C2360" s="23" t="s">
        <v>176</v>
      </c>
      <c r="D2360" s="23" t="s">
        <v>970</v>
      </c>
      <c r="E2360" s="23" t="s">
        <v>971</v>
      </c>
      <c r="F2360">
        <v>0.36</v>
      </c>
      <c r="G2360" s="23" t="s">
        <v>183</v>
      </c>
      <c r="H2360">
        <v>0</v>
      </c>
      <c r="I2360">
        <v>0</v>
      </c>
      <c r="J2360" s="10">
        <v>30.760000000000009</v>
      </c>
      <c r="K2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2360">
        <v>0</v>
      </c>
      <c r="M23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2360">
        <v>1748.21</v>
      </c>
      <c r="O2360" s="23" t="s">
        <v>224</v>
      </c>
      <c r="P2360">
        <v>629.35559999999998</v>
      </c>
      <c r="Q2360" s="23" t="s">
        <v>182</v>
      </c>
    </row>
    <row r="2361" spans="1:17" x14ac:dyDescent="0.25">
      <c r="A2361" s="23" t="s">
        <v>1148</v>
      </c>
      <c r="B2361" s="23" t="s">
        <v>1054</v>
      </c>
      <c r="C2361" s="23" t="s">
        <v>176</v>
      </c>
      <c r="D2361" s="23" t="s">
        <v>970</v>
      </c>
      <c r="E2361" s="23" t="s">
        <v>971</v>
      </c>
      <c r="F2361">
        <v>0.6</v>
      </c>
      <c r="G2361" s="23" t="s">
        <v>183</v>
      </c>
      <c r="H2361">
        <v>0</v>
      </c>
      <c r="I2361">
        <v>0</v>
      </c>
      <c r="J2361" s="10">
        <v>30.760000000000009</v>
      </c>
      <c r="K2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2361">
        <v>0</v>
      </c>
      <c r="M23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2361">
        <v>1748.21</v>
      </c>
      <c r="O2361" s="23" t="s">
        <v>224</v>
      </c>
      <c r="P2361">
        <v>1048.9259999999999</v>
      </c>
      <c r="Q2361" s="23" t="s">
        <v>182</v>
      </c>
    </row>
    <row r="2362" spans="1:17" x14ac:dyDescent="0.25">
      <c r="A2362" s="23" t="s">
        <v>1100</v>
      </c>
      <c r="B2362" s="23" t="s">
        <v>1101</v>
      </c>
      <c r="C2362" s="23" t="s">
        <v>176</v>
      </c>
      <c r="D2362" s="23" t="s">
        <v>739</v>
      </c>
      <c r="E2362" s="23" t="s">
        <v>740</v>
      </c>
      <c r="F2362">
        <v>1</v>
      </c>
      <c r="G2362" s="23" t="s">
        <v>177</v>
      </c>
      <c r="H2362">
        <v>0</v>
      </c>
      <c r="I2362">
        <v>12</v>
      </c>
      <c r="J2362" s="10">
        <v>14</v>
      </c>
      <c r="K2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362">
        <v>0</v>
      </c>
      <c r="M23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362">
        <v>116.67</v>
      </c>
      <c r="O2362" s="23" t="s">
        <v>668</v>
      </c>
      <c r="P2362">
        <v>116.67</v>
      </c>
      <c r="Q2362" s="23" t="s">
        <v>178</v>
      </c>
    </row>
    <row r="2363" spans="1:17" x14ac:dyDescent="0.25">
      <c r="A2363" s="23" t="s">
        <v>1058</v>
      </c>
      <c r="B2363" s="23" t="s">
        <v>1059</v>
      </c>
      <c r="C2363" s="23" t="s">
        <v>176</v>
      </c>
      <c r="D2363" s="23" t="s">
        <v>481</v>
      </c>
      <c r="E2363" s="23" t="s">
        <v>482</v>
      </c>
      <c r="F2363">
        <v>16</v>
      </c>
      <c r="G2363" s="23" t="s">
        <v>177</v>
      </c>
      <c r="H2363">
        <v>0</v>
      </c>
      <c r="I2363">
        <v>442</v>
      </c>
      <c r="J2363" s="10">
        <v>0</v>
      </c>
      <c r="K2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363">
        <v>0</v>
      </c>
      <c r="M23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3">
        <v>9.35</v>
      </c>
      <c r="O2363" s="23" t="s">
        <v>883</v>
      </c>
      <c r="P2363">
        <v>149.6</v>
      </c>
      <c r="Q2363" s="23" t="s">
        <v>181</v>
      </c>
    </row>
    <row r="2364" spans="1:17" x14ac:dyDescent="0.25">
      <c r="A2364" s="23" t="s">
        <v>1099</v>
      </c>
      <c r="B2364" s="23" t="s">
        <v>1056</v>
      </c>
      <c r="C2364" s="23" t="s">
        <v>176</v>
      </c>
      <c r="D2364" s="23" t="s">
        <v>525</v>
      </c>
      <c r="E2364" s="23" t="s">
        <v>526</v>
      </c>
      <c r="F2364">
        <v>5</v>
      </c>
      <c r="G2364" s="23" t="s">
        <v>177</v>
      </c>
      <c r="H2364">
        <v>5</v>
      </c>
      <c r="I2364">
        <v>400</v>
      </c>
      <c r="J2364" s="10">
        <v>225</v>
      </c>
      <c r="K2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364">
        <v>0</v>
      </c>
      <c r="M23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4">
        <v>12</v>
      </c>
      <c r="O2364" s="23" t="s">
        <v>227</v>
      </c>
      <c r="P2364">
        <v>60</v>
      </c>
      <c r="Q2364" s="23" t="s">
        <v>181</v>
      </c>
    </row>
    <row r="2365" spans="1:17" x14ac:dyDescent="0.25">
      <c r="A2365" s="23" t="s">
        <v>1097</v>
      </c>
      <c r="B2365" s="23" t="s">
        <v>1095</v>
      </c>
      <c r="C2365" s="23" t="s">
        <v>176</v>
      </c>
      <c r="D2365" s="23" t="s">
        <v>610</v>
      </c>
      <c r="E2365" s="23" t="s">
        <v>611</v>
      </c>
      <c r="F2365">
        <v>0.5</v>
      </c>
      <c r="G2365" s="23" t="s">
        <v>177</v>
      </c>
      <c r="H2365">
        <v>0</v>
      </c>
      <c r="I2365">
        <v>0</v>
      </c>
      <c r="J2365" s="10">
        <v>-7.1054273576010019E-15</v>
      </c>
      <c r="K2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2365">
        <v>11</v>
      </c>
      <c r="M23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2365">
        <v>1833.33</v>
      </c>
      <c r="O2365" s="23" t="s">
        <v>224</v>
      </c>
      <c r="P2365">
        <v>916.66499999999996</v>
      </c>
      <c r="Q2365" s="23" t="s">
        <v>182</v>
      </c>
    </row>
    <row r="2366" spans="1:17" x14ac:dyDescent="0.25">
      <c r="A2366" s="23" t="s">
        <v>1197</v>
      </c>
      <c r="B2366" s="23" t="s">
        <v>1198</v>
      </c>
      <c r="C2366" s="23" t="s">
        <v>176</v>
      </c>
      <c r="D2366" s="23" t="s">
        <v>610</v>
      </c>
      <c r="E2366" s="23" t="s">
        <v>611</v>
      </c>
      <c r="F2366">
        <v>1.8</v>
      </c>
      <c r="G2366" s="23" t="s">
        <v>177</v>
      </c>
      <c r="H2366">
        <v>0</v>
      </c>
      <c r="I2366">
        <v>0</v>
      </c>
      <c r="J2366" s="10">
        <v>-7.1054273576010019E-15</v>
      </c>
      <c r="K2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2366">
        <v>11</v>
      </c>
      <c r="M23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2366">
        <v>1833.33</v>
      </c>
      <c r="O2366" s="23" t="s">
        <v>224</v>
      </c>
      <c r="P2366">
        <v>3299.9940000000001</v>
      </c>
      <c r="Q2366" s="23" t="s">
        <v>182</v>
      </c>
    </row>
    <row r="2367" spans="1:17" x14ac:dyDescent="0.25">
      <c r="A2367" s="23" t="s">
        <v>1098</v>
      </c>
      <c r="B2367" s="23" t="s">
        <v>1053</v>
      </c>
      <c r="C2367" s="23" t="s">
        <v>176</v>
      </c>
      <c r="D2367" s="23" t="s">
        <v>610</v>
      </c>
      <c r="E2367" s="23" t="s">
        <v>611</v>
      </c>
      <c r="F2367">
        <v>0.8</v>
      </c>
      <c r="G2367" s="23" t="s">
        <v>177</v>
      </c>
      <c r="H2367">
        <v>0</v>
      </c>
      <c r="I2367">
        <v>0</v>
      </c>
      <c r="J2367" s="10">
        <v>-7.1054273576010019E-15</v>
      </c>
      <c r="K2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2367">
        <v>11</v>
      </c>
      <c r="M23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2367">
        <v>1833.33</v>
      </c>
      <c r="O2367" s="23" t="s">
        <v>224</v>
      </c>
      <c r="P2367">
        <v>1466.664</v>
      </c>
      <c r="Q2367" s="23" t="s">
        <v>182</v>
      </c>
    </row>
    <row r="2368" spans="1:17" x14ac:dyDescent="0.25">
      <c r="A2368" s="23" t="s">
        <v>1097</v>
      </c>
      <c r="B2368" s="23" t="s">
        <v>1095</v>
      </c>
      <c r="C2368" s="23" t="s">
        <v>176</v>
      </c>
      <c r="D2368" s="23" t="s">
        <v>461</v>
      </c>
      <c r="E2368" s="23" t="s">
        <v>462</v>
      </c>
      <c r="F2368">
        <v>1.5</v>
      </c>
      <c r="G2368" s="23" t="s">
        <v>177</v>
      </c>
      <c r="H2368">
        <v>0</v>
      </c>
      <c r="I2368">
        <v>72</v>
      </c>
      <c r="J2368" s="10">
        <v>2</v>
      </c>
      <c r="K2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2368">
        <v>0</v>
      </c>
      <c r="M23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8">
        <v>5</v>
      </c>
      <c r="O2368" s="23" t="s">
        <v>242</v>
      </c>
      <c r="P2368">
        <v>7.5</v>
      </c>
      <c r="Q2368" s="23" t="s">
        <v>181</v>
      </c>
    </row>
    <row r="2369" spans="1:17" x14ac:dyDescent="0.25">
      <c r="A2369" s="23" t="s">
        <v>1197</v>
      </c>
      <c r="B2369" s="23" t="s">
        <v>1198</v>
      </c>
      <c r="C2369" s="23" t="s">
        <v>176</v>
      </c>
      <c r="D2369" s="23" t="s">
        <v>461</v>
      </c>
      <c r="E2369" s="23" t="s">
        <v>462</v>
      </c>
      <c r="F2369">
        <v>1.5</v>
      </c>
      <c r="G2369" s="23" t="s">
        <v>177</v>
      </c>
      <c r="H2369">
        <v>0</v>
      </c>
      <c r="I2369">
        <v>72</v>
      </c>
      <c r="J2369" s="10">
        <v>2</v>
      </c>
      <c r="K2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2369">
        <v>0</v>
      </c>
      <c r="M23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69">
        <v>5</v>
      </c>
      <c r="O2369" s="23" t="s">
        <v>242</v>
      </c>
      <c r="P2369">
        <v>7.5</v>
      </c>
      <c r="Q2369" s="23" t="s">
        <v>181</v>
      </c>
    </row>
    <row r="2370" spans="1:17" x14ac:dyDescent="0.25">
      <c r="A2370" s="23" t="s">
        <v>1097</v>
      </c>
      <c r="B2370" s="23" t="s">
        <v>1095</v>
      </c>
      <c r="C2370" s="23" t="s">
        <v>176</v>
      </c>
      <c r="D2370" s="23" t="s">
        <v>330</v>
      </c>
      <c r="E2370" s="23" t="s">
        <v>331</v>
      </c>
      <c r="F2370">
        <v>6</v>
      </c>
      <c r="G2370" s="23" t="s">
        <v>177</v>
      </c>
      <c r="H2370">
        <v>0</v>
      </c>
      <c r="I2370">
        <v>118</v>
      </c>
      <c r="J2370" s="10">
        <v>18</v>
      </c>
      <c r="K2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70">
        <v>0</v>
      </c>
      <c r="M23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0">
        <v>14.5</v>
      </c>
      <c r="O2370" s="23" t="s">
        <v>242</v>
      </c>
      <c r="P2370">
        <v>87</v>
      </c>
      <c r="Q2370" s="23" t="s">
        <v>181</v>
      </c>
    </row>
    <row r="2371" spans="1:17" x14ac:dyDescent="0.25">
      <c r="A2371" s="23" t="s">
        <v>1097</v>
      </c>
      <c r="B2371" s="23" t="s">
        <v>1095</v>
      </c>
      <c r="C2371" s="23" t="s">
        <v>176</v>
      </c>
      <c r="D2371" s="23" t="s">
        <v>519</v>
      </c>
      <c r="E2371" s="23" t="s">
        <v>520</v>
      </c>
      <c r="F2371">
        <v>3.17</v>
      </c>
      <c r="G2371" s="23" t="s">
        <v>177</v>
      </c>
      <c r="H2371">
        <v>0</v>
      </c>
      <c r="I2371">
        <v>111</v>
      </c>
      <c r="J2371" s="10">
        <v>1.1191048088221578E-13</v>
      </c>
      <c r="K2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71">
        <v>0</v>
      </c>
      <c r="M23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1">
        <v>36</v>
      </c>
      <c r="O2371" s="23" t="s">
        <v>242</v>
      </c>
      <c r="P2371">
        <v>114.12</v>
      </c>
      <c r="Q2371" s="23" t="s">
        <v>181</v>
      </c>
    </row>
    <row r="2372" spans="1:17" x14ac:dyDescent="0.25">
      <c r="A2372" s="23" t="s">
        <v>1197</v>
      </c>
      <c r="B2372" s="23" t="s">
        <v>1198</v>
      </c>
      <c r="C2372" s="23" t="s">
        <v>176</v>
      </c>
      <c r="D2372" s="23" t="s">
        <v>519</v>
      </c>
      <c r="E2372" s="23" t="s">
        <v>520</v>
      </c>
      <c r="F2372">
        <v>3</v>
      </c>
      <c r="G2372" s="23" t="s">
        <v>177</v>
      </c>
      <c r="H2372">
        <v>0</v>
      </c>
      <c r="I2372">
        <v>111</v>
      </c>
      <c r="J2372" s="10">
        <v>1.1191048088221578E-13</v>
      </c>
      <c r="K2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72">
        <v>0</v>
      </c>
      <c r="M23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2">
        <v>36</v>
      </c>
      <c r="O2372" s="23" t="s">
        <v>242</v>
      </c>
      <c r="P2372">
        <v>108</v>
      </c>
      <c r="Q2372" s="23" t="s">
        <v>181</v>
      </c>
    </row>
    <row r="2373" spans="1:17" x14ac:dyDescent="0.25">
      <c r="A2373" s="23" t="s">
        <v>1098</v>
      </c>
      <c r="B2373" s="23" t="s">
        <v>1053</v>
      </c>
      <c r="C2373" s="23" t="s">
        <v>176</v>
      </c>
      <c r="D2373" s="23" t="s">
        <v>519</v>
      </c>
      <c r="E2373" s="23" t="s">
        <v>520</v>
      </c>
      <c r="F2373">
        <v>3.17</v>
      </c>
      <c r="G2373" s="23" t="s">
        <v>177</v>
      </c>
      <c r="H2373">
        <v>0</v>
      </c>
      <c r="I2373">
        <v>111</v>
      </c>
      <c r="J2373" s="10">
        <v>1.1191048088221578E-13</v>
      </c>
      <c r="K2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73">
        <v>0</v>
      </c>
      <c r="M23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3">
        <v>36</v>
      </c>
      <c r="O2373" s="23" t="s">
        <v>242</v>
      </c>
      <c r="P2373">
        <v>114.12</v>
      </c>
      <c r="Q2373" s="23" t="s">
        <v>181</v>
      </c>
    </row>
    <row r="2374" spans="1:17" x14ac:dyDescent="0.25">
      <c r="A2374" s="23" t="s">
        <v>1197</v>
      </c>
      <c r="B2374" s="23" t="s">
        <v>1198</v>
      </c>
      <c r="C2374" s="23" t="s">
        <v>176</v>
      </c>
      <c r="D2374" s="23" t="s">
        <v>521</v>
      </c>
      <c r="E2374" s="23" t="s">
        <v>522</v>
      </c>
      <c r="F2374">
        <v>6</v>
      </c>
      <c r="G2374" s="23" t="s">
        <v>177</v>
      </c>
      <c r="H2374">
        <v>0</v>
      </c>
      <c r="I2374">
        <v>200</v>
      </c>
      <c r="J2374" s="10">
        <v>70</v>
      </c>
      <c r="K2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2374">
        <v>0</v>
      </c>
      <c r="M23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4">
        <v>10</v>
      </c>
      <c r="O2374" s="23" t="s">
        <v>227</v>
      </c>
      <c r="P2374">
        <v>60</v>
      </c>
      <c r="Q2374" s="23" t="s">
        <v>181</v>
      </c>
    </row>
    <row r="2375" spans="1:17" x14ac:dyDescent="0.25">
      <c r="A2375" s="23" t="s">
        <v>1100</v>
      </c>
      <c r="B2375" s="23" t="s">
        <v>1101</v>
      </c>
      <c r="C2375" s="23" t="s">
        <v>176</v>
      </c>
      <c r="D2375" s="23" t="s">
        <v>674</v>
      </c>
      <c r="E2375" s="23" t="s">
        <v>675</v>
      </c>
      <c r="F2375">
        <v>9</v>
      </c>
      <c r="G2375" s="23" t="s">
        <v>177</v>
      </c>
      <c r="H2375">
        <v>0</v>
      </c>
      <c r="I2375">
        <v>150</v>
      </c>
      <c r="J2375" s="10">
        <v>78</v>
      </c>
      <c r="K2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375">
        <v>0</v>
      </c>
      <c r="M23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5">
        <v>20.83</v>
      </c>
      <c r="O2375" s="23" t="s">
        <v>227</v>
      </c>
      <c r="P2375">
        <v>187.46999999999997</v>
      </c>
      <c r="Q2375" s="23" t="s">
        <v>181</v>
      </c>
    </row>
    <row r="2376" spans="1:17" x14ac:dyDescent="0.25">
      <c r="A2376" s="23" t="s">
        <v>1058</v>
      </c>
      <c r="B2376" s="23" t="s">
        <v>1059</v>
      </c>
      <c r="C2376" s="23" t="s">
        <v>176</v>
      </c>
      <c r="D2376" s="23" t="s">
        <v>816</v>
      </c>
      <c r="E2376" s="23" t="s">
        <v>817</v>
      </c>
      <c r="F2376">
        <v>1</v>
      </c>
      <c r="G2376" s="23" t="s">
        <v>177</v>
      </c>
      <c r="H2376">
        <v>1</v>
      </c>
      <c r="I2376">
        <v>1</v>
      </c>
      <c r="J2376" s="10">
        <v>5</v>
      </c>
      <c r="K2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376">
        <v>0</v>
      </c>
      <c r="M23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6">
        <v>250</v>
      </c>
      <c r="O2376" s="23" t="s">
        <v>697</v>
      </c>
      <c r="P2376">
        <v>250</v>
      </c>
      <c r="Q2376" s="23" t="s">
        <v>179</v>
      </c>
    </row>
    <row r="2377" spans="1:17" x14ac:dyDescent="0.25">
      <c r="A2377" s="23" t="s">
        <v>1197</v>
      </c>
      <c r="B2377" s="23" t="s">
        <v>1198</v>
      </c>
      <c r="C2377" s="23" t="s">
        <v>176</v>
      </c>
      <c r="D2377" s="23" t="s">
        <v>330</v>
      </c>
      <c r="E2377" s="23" t="s">
        <v>331</v>
      </c>
      <c r="F2377">
        <v>6</v>
      </c>
      <c r="G2377" s="23" t="s">
        <v>177</v>
      </c>
      <c r="H2377">
        <v>0</v>
      </c>
      <c r="I2377">
        <v>118</v>
      </c>
      <c r="J2377" s="10">
        <v>18</v>
      </c>
      <c r="K2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77">
        <v>0</v>
      </c>
      <c r="M23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7">
        <v>14.5</v>
      </c>
      <c r="O2377" s="23" t="s">
        <v>242</v>
      </c>
      <c r="P2377">
        <v>87</v>
      </c>
      <c r="Q2377" s="23" t="s">
        <v>181</v>
      </c>
    </row>
    <row r="2378" spans="1:17" x14ac:dyDescent="0.25">
      <c r="A2378" s="23" t="s">
        <v>1098</v>
      </c>
      <c r="B2378" s="23" t="s">
        <v>1053</v>
      </c>
      <c r="C2378" s="23" t="s">
        <v>176</v>
      </c>
      <c r="D2378" s="23" t="s">
        <v>330</v>
      </c>
      <c r="E2378" s="23" t="s">
        <v>331</v>
      </c>
      <c r="F2378">
        <v>6</v>
      </c>
      <c r="G2378" s="23" t="s">
        <v>177</v>
      </c>
      <c r="H2378">
        <v>0</v>
      </c>
      <c r="I2378">
        <v>118</v>
      </c>
      <c r="J2378" s="10">
        <v>18</v>
      </c>
      <c r="K2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78">
        <v>0</v>
      </c>
      <c r="M23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8">
        <v>14.5</v>
      </c>
      <c r="O2378" s="23" t="s">
        <v>242</v>
      </c>
      <c r="P2378">
        <v>87</v>
      </c>
      <c r="Q2378" s="23" t="s">
        <v>181</v>
      </c>
    </row>
    <row r="2379" spans="1:17" x14ac:dyDescent="0.25">
      <c r="A2379" s="23" t="s">
        <v>1197</v>
      </c>
      <c r="B2379" s="23" t="s">
        <v>1198</v>
      </c>
      <c r="C2379" s="23" t="s">
        <v>176</v>
      </c>
      <c r="D2379" s="23" t="s">
        <v>525</v>
      </c>
      <c r="E2379" s="23" t="s">
        <v>526</v>
      </c>
      <c r="F2379">
        <v>7</v>
      </c>
      <c r="G2379" s="23" t="s">
        <v>177</v>
      </c>
      <c r="H2379">
        <v>0</v>
      </c>
      <c r="I2379">
        <v>400</v>
      </c>
      <c r="J2379" s="10">
        <v>225</v>
      </c>
      <c r="K2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379">
        <v>0</v>
      </c>
      <c r="M23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79">
        <v>12</v>
      </c>
      <c r="O2379" s="23" t="s">
        <v>227</v>
      </c>
      <c r="P2379">
        <v>84</v>
      </c>
      <c r="Q2379" s="23" t="s">
        <v>181</v>
      </c>
    </row>
    <row r="2380" spans="1:17" x14ac:dyDescent="0.25">
      <c r="A2380" s="23" t="s">
        <v>1148</v>
      </c>
      <c r="B2380" s="23" t="s">
        <v>1054</v>
      </c>
      <c r="C2380" s="23" t="s">
        <v>176</v>
      </c>
      <c r="D2380" s="23" t="s">
        <v>674</v>
      </c>
      <c r="E2380" s="23" t="s">
        <v>675</v>
      </c>
      <c r="F2380">
        <v>7</v>
      </c>
      <c r="G2380" s="23" t="s">
        <v>177</v>
      </c>
      <c r="H2380">
        <v>0</v>
      </c>
      <c r="I2380">
        <v>150</v>
      </c>
      <c r="J2380" s="10">
        <v>78</v>
      </c>
      <c r="K2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380">
        <v>0</v>
      </c>
      <c r="M23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0">
        <v>20.83</v>
      </c>
      <c r="O2380" s="23" t="s">
        <v>227</v>
      </c>
      <c r="P2380">
        <v>145.81</v>
      </c>
      <c r="Q2380" s="23" t="s">
        <v>181</v>
      </c>
    </row>
    <row r="2381" spans="1:17" x14ac:dyDescent="0.25">
      <c r="A2381" s="23" t="s">
        <v>1148</v>
      </c>
      <c r="B2381" s="23" t="s">
        <v>1054</v>
      </c>
      <c r="C2381" s="23" t="s">
        <v>176</v>
      </c>
      <c r="D2381" s="23" t="s">
        <v>563</v>
      </c>
      <c r="E2381" s="23" t="s">
        <v>564</v>
      </c>
      <c r="F2381">
        <v>7</v>
      </c>
      <c r="G2381" s="23" t="s">
        <v>177</v>
      </c>
      <c r="H2381">
        <v>0</v>
      </c>
      <c r="I2381">
        <v>3000</v>
      </c>
      <c r="J2381" s="10">
        <v>0</v>
      </c>
      <c r="K2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381">
        <v>0</v>
      </c>
      <c r="M23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1">
        <v>0.7</v>
      </c>
      <c r="O2381" s="23" t="s">
        <v>242</v>
      </c>
      <c r="P2381">
        <v>4.8999999999999995</v>
      </c>
      <c r="Q2381" s="23" t="s">
        <v>181</v>
      </c>
    </row>
    <row r="2382" spans="1:17" x14ac:dyDescent="0.25">
      <c r="A2382" s="23" t="s">
        <v>1055</v>
      </c>
      <c r="B2382" s="23" t="s">
        <v>1056</v>
      </c>
      <c r="C2382" s="23" t="s">
        <v>176</v>
      </c>
      <c r="D2382" s="23" t="s">
        <v>563</v>
      </c>
      <c r="E2382" s="23" t="s">
        <v>564</v>
      </c>
      <c r="F2382">
        <v>11</v>
      </c>
      <c r="G2382" s="23" t="s">
        <v>177</v>
      </c>
      <c r="H2382">
        <v>0</v>
      </c>
      <c r="I2382">
        <v>3000</v>
      </c>
      <c r="J2382" s="10">
        <v>0</v>
      </c>
      <c r="K2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382">
        <v>0</v>
      </c>
      <c r="M23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2">
        <v>0.7</v>
      </c>
      <c r="O2382" s="23" t="s">
        <v>242</v>
      </c>
      <c r="P2382">
        <v>7.6999999999999993</v>
      </c>
      <c r="Q2382" s="23" t="s">
        <v>181</v>
      </c>
    </row>
    <row r="2383" spans="1:17" x14ac:dyDescent="0.25">
      <c r="A2383" s="23" t="s">
        <v>1099</v>
      </c>
      <c r="B2383" s="23" t="s">
        <v>1056</v>
      </c>
      <c r="C2383" s="23" t="s">
        <v>176</v>
      </c>
      <c r="D2383" s="23" t="s">
        <v>563</v>
      </c>
      <c r="E2383" s="23" t="s">
        <v>564</v>
      </c>
      <c r="F2383">
        <v>11</v>
      </c>
      <c r="G2383" s="23" t="s">
        <v>177</v>
      </c>
      <c r="H2383">
        <v>0</v>
      </c>
      <c r="I2383">
        <v>3000</v>
      </c>
      <c r="J2383" s="10">
        <v>0</v>
      </c>
      <c r="K2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383">
        <v>0</v>
      </c>
      <c r="M23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3">
        <v>0.7</v>
      </c>
      <c r="O2383" s="23" t="s">
        <v>242</v>
      </c>
      <c r="P2383">
        <v>7.6999999999999993</v>
      </c>
      <c r="Q2383" s="23" t="s">
        <v>181</v>
      </c>
    </row>
    <row r="2384" spans="1:17" x14ac:dyDescent="0.25">
      <c r="A2384" s="23" t="s">
        <v>1147</v>
      </c>
      <c r="B2384" s="23" t="s">
        <v>1145</v>
      </c>
      <c r="C2384" s="23" t="s">
        <v>176</v>
      </c>
      <c r="D2384" s="23" t="s">
        <v>403</v>
      </c>
      <c r="E2384" s="23" t="s">
        <v>404</v>
      </c>
      <c r="F2384">
        <v>1</v>
      </c>
      <c r="G2384" s="23" t="s">
        <v>177</v>
      </c>
      <c r="H2384">
        <v>0</v>
      </c>
      <c r="I2384">
        <v>28</v>
      </c>
      <c r="J2384" s="10">
        <v>12</v>
      </c>
      <c r="K2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384">
        <v>0</v>
      </c>
      <c r="M23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4">
        <v>15</v>
      </c>
      <c r="O2384" s="23" t="s">
        <v>221</v>
      </c>
      <c r="P2384">
        <v>15</v>
      </c>
      <c r="Q2384" s="23" t="s">
        <v>222</v>
      </c>
    </row>
    <row r="2385" spans="1:17" x14ac:dyDescent="0.25">
      <c r="A2385" s="23" t="s">
        <v>1062</v>
      </c>
      <c r="B2385" s="23" t="s">
        <v>1053</v>
      </c>
      <c r="C2385" s="23" t="s">
        <v>176</v>
      </c>
      <c r="D2385" s="23" t="s">
        <v>610</v>
      </c>
      <c r="E2385" s="23" t="s">
        <v>611</v>
      </c>
      <c r="F2385">
        <v>1</v>
      </c>
      <c r="G2385" s="23" t="s">
        <v>177</v>
      </c>
      <c r="H2385">
        <v>0</v>
      </c>
      <c r="I2385">
        <v>0</v>
      </c>
      <c r="J2385" s="10">
        <v>-7.1054273576010019E-15</v>
      </c>
      <c r="K2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2385">
        <v>11</v>
      </c>
      <c r="M23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2385">
        <v>1833.33</v>
      </c>
      <c r="O2385" s="23" t="s">
        <v>224</v>
      </c>
      <c r="P2385">
        <v>1833.33</v>
      </c>
      <c r="Q2385" s="23" t="s">
        <v>182</v>
      </c>
    </row>
    <row r="2386" spans="1:17" x14ac:dyDescent="0.25">
      <c r="A2386" s="23" t="s">
        <v>1062</v>
      </c>
      <c r="B2386" s="23" t="s">
        <v>1053</v>
      </c>
      <c r="C2386" s="23" t="s">
        <v>176</v>
      </c>
      <c r="D2386" s="23" t="s">
        <v>461</v>
      </c>
      <c r="E2386" s="23" t="s">
        <v>462</v>
      </c>
      <c r="F2386">
        <v>1.5</v>
      </c>
      <c r="G2386" s="23" t="s">
        <v>177</v>
      </c>
      <c r="H2386">
        <v>0</v>
      </c>
      <c r="I2386">
        <v>72</v>
      </c>
      <c r="J2386" s="10">
        <v>2</v>
      </c>
      <c r="K2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2386">
        <v>0</v>
      </c>
      <c r="M23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6">
        <v>5</v>
      </c>
      <c r="O2386" s="23" t="s">
        <v>242</v>
      </c>
      <c r="P2386">
        <v>7.5</v>
      </c>
      <c r="Q2386" s="23" t="s">
        <v>181</v>
      </c>
    </row>
    <row r="2387" spans="1:17" x14ac:dyDescent="0.25">
      <c r="A2387" s="23" t="s">
        <v>1098</v>
      </c>
      <c r="B2387" s="23" t="s">
        <v>1053</v>
      </c>
      <c r="C2387" s="23" t="s">
        <v>176</v>
      </c>
      <c r="D2387" s="23" t="s">
        <v>461</v>
      </c>
      <c r="E2387" s="23" t="s">
        <v>462</v>
      </c>
      <c r="F2387">
        <v>1.5</v>
      </c>
      <c r="G2387" s="23" t="s">
        <v>177</v>
      </c>
      <c r="H2387">
        <v>0</v>
      </c>
      <c r="I2387">
        <v>72</v>
      </c>
      <c r="J2387" s="10">
        <v>2</v>
      </c>
      <c r="K2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2387">
        <v>0</v>
      </c>
      <c r="M23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7">
        <v>5</v>
      </c>
      <c r="O2387" s="23" t="s">
        <v>242</v>
      </c>
      <c r="P2387">
        <v>7.5</v>
      </c>
      <c r="Q2387" s="23" t="s">
        <v>181</v>
      </c>
    </row>
    <row r="2388" spans="1:17" x14ac:dyDescent="0.25">
      <c r="A2388" s="23" t="s">
        <v>1062</v>
      </c>
      <c r="B2388" s="23" t="s">
        <v>1053</v>
      </c>
      <c r="C2388" s="23" t="s">
        <v>176</v>
      </c>
      <c r="D2388" s="23" t="s">
        <v>330</v>
      </c>
      <c r="E2388" s="23" t="s">
        <v>331</v>
      </c>
      <c r="F2388">
        <v>6</v>
      </c>
      <c r="G2388" s="23" t="s">
        <v>177</v>
      </c>
      <c r="H2388">
        <v>0</v>
      </c>
      <c r="I2388">
        <v>118</v>
      </c>
      <c r="J2388" s="10">
        <v>18</v>
      </c>
      <c r="K2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388">
        <v>0</v>
      </c>
      <c r="M23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8">
        <v>14.5</v>
      </c>
      <c r="O2388" s="23" t="s">
        <v>242</v>
      </c>
      <c r="P2388">
        <v>87</v>
      </c>
      <c r="Q2388" s="23" t="s">
        <v>181</v>
      </c>
    </row>
    <row r="2389" spans="1:17" x14ac:dyDescent="0.25">
      <c r="A2389" s="23" t="s">
        <v>1062</v>
      </c>
      <c r="B2389" s="23" t="s">
        <v>1053</v>
      </c>
      <c r="C2389" s="23" t="s">
        <v>176</v>
      </c>
      <c r="D2389" s="23" t="s">
        <v>519</v>
      </c>
      <c r="E2389" s="23" t="s">
        <v>520</v>
      </c>
      <c r="F2389">
        <v>3.2199999999999998</v>
      </c>
      <c r="G2389" s="23" t="s">
        <v>177</v>
      </c>
      <c r="H2389">
        <v>0</v>
      </c>
      <c r="I2389">
        <v>111</v>
      </c>
      <c r="J2389" s="10">
        <v>1.1191048088221578E-13</v>
      </c>
      <c r="K2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2389">
        <v>0</v>
      </c>
      <c r="M23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89">
        <v>36</v>
      </c>
      <c r="O2389" s="23" t="s">
        <v>242</v>
      </c>
      <c r="P2389">
        <v>115.91999999999999</v>
      </c>
      <c r="Q2389" s="23" t="s">
        <v>181</v>
      </c>
    </row>
    <row r="2390" spans="1:17" x14ac:dyDescent="0.25">
      <c r="A2390" s="23" t="s">
        <v>1147</v>
      </c>
      <c r="B2390" s="23" t="s">
        <v>1145</v>
      </c>
      <c r="C2390" s="23" t="s">
        <v>176</v>
      </c>
      <c r="D2390" s="23" t="s">
        <v>674</v>
      </c>
      <c r="E2390" s="23" t="s">
        <v>675</v>
      </c>
      <c r="F2390">
        <v>6</v>
      </c>
      <c r="G2390" s="23" t="s">
        <v>177</v>
      </c>
      <c r="H2390">
        <v>0</v>
      </c>
      <c r="I2390">
        <v>150</v>
      </c>
      <c r="J2390" s="10">
        <v>78</v>
      </c>
      <c r="K2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390">
        <v>0</v>
      </c>
      <c r="M23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0">
        <v>20.83</v>
      </c>
      <c r="O2390" s="23" t="s">
        <v>227</v>
      </c>
      <c r="P2390">
        <v>124.97999999999999</v>
      </c>
      <c r="Q2390" s="23" t="s">
        <v>181</v>
      </c>
    </row>
    <row r="2391" spans="1:17" x14ac:dyDescent="0.25">
      <c r="A2391" s="23" t="s">
        <v>1147</v>
      </c>
      <c r="B2391" s="23" t="s">
        <v>1145</v>
      </c>
      <c r="C2391" s="23" t="s">
        <v>176</v>
      </c>
      <c r="D2391" s="23" t="s">
        <v>563</v>
      </c>
      <c r="E2391" s="23" t="s">
        <v>564</v>
      </c>
      <c r="F2391">
        <v>7</v>
      </c>
      <c r="G2391" s="23" t="s">
        <v>177</v>
      </c>
      <c r="H2391">
        <v>0</v>
      </c>
      <c r="I2391">
        <v>3000</v>
      </c>
      <c r="J2391" s="10">
        <v>0</v>
      </c>
      <c r="K2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391">
        <v>0</v>
      </c>
      <c r="M23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1">
        <v>0.7</v>
      </c>
      <c r="O2391" s="23" t="s">
        <v>242</v>
      </c>
      <c r="P2391">
        <v>4.8999999999999995</v>
      </c>
      <c r="Q2391" s="23" t="s">
        <v>181</v>
      </c>
    </row>
    <row r="2392" spans="1:17" x14ac:dyDescent="0.25">
      <c r="A2392" s="23" t="s">
        <v>1058</v>
      </c>
      <c r="B2392" s="23" t="s">
        <v>1059</v>
      </c>
      <c r="C2392" s="23" t="s">
        <v>176</v>
      </c>
      <c r="D2392" s="23" t="s">
        <v>403</v>
      </c>
      <c r="E2392" s="23" t="s">
        <v>404</v>
      </c>
      <c r="F2392">
        <v>1</v>
      </c>
      <c r="G2392" s="23" t="s">
        <v>177</v>
      </c>
      <c r="H2392">
        <v>1</v>
      </c>
      <c r="I2392">
        <v>28</v>
      </c>
      <c r="J2392" s="10">
        <v>12</v>
      </c>
      <c r="K2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392">
        <v>0</v>
      </c>
      <c r="M23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2">
        <v>15</v>
      </c>
      <c r="O2392" s="23" t="s">
        <v>221</v>
      </c>
      <c r="P2392">
        <v>15</v>
      </c>
      <c r="Q2392" s="23" t="s">
        <v>222</v>
      </c>
    </row>
    <row r="2393" spans="1:17" x14ac:dyDescent="0.25">
      <c r="A2393" s="23" t="s">
        <v>1058</v>
      </c>
      <c r="B2393" s="23" t="s">
        <v>1059</v>
      </c>
      <c r="C2393" s="23" t="s">
        <v>176</v>
      </c>
      <c r="D2393" s="23" t="s">
        <v>612</v>
      </c>
      <c r="E2393" s="23" t="s">
        <v>613</v>
      </c>
      <c r="F2393">
        <v>15</v>
      </c>
      <c r="G2393" s="23" t="s">
        <v>183</v>
      </c>
      <c r="H2393">
        <v>0</v>
      </c>
      <c r="I2393">
        <v>136.5</v>
      </c>
      <c r="J2393" s="10">
        <v>5.5</v>
      </c>
      <c r="K2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393">
        <v>110.5</v>
      </c>
      <c r="M23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393">
        <v>200.15</v>
      </c>
      <c r="O2393" s="23" t="s">
        <v>224</v>
      </c>
      <c r="P2393">
        <v>3002.25</v>
      </c>
      <c r="Q2393" s="23" t="s">
        <v>182</v>
      </c>
    </row>
    <row r="2394" spans="1:17" x14ac:dyDescent="0.25">
      <c r="A2394" s="23" t="s">
        <v>1055</v>
      </c>
      <c r="B2394" s="23" t="s">
        <v>1056</v>
      </c>
      <c r="C2394" s="23" t="s">
        <v>176</v>
      </c>
      <c r="D2394" s="23" t="s">
        <v>612</v>
      </c>
      <c r="E2394" s="23" t="s">
        <v>613</v>
      </c>
      <c r="F2394">
        <v>6</v>
      </c>
      <c r="G2394" s="23" t="s">
        <v>183</v>
      </c>
      <c r="H2394">
        <v>0</v>
      </c>
      <c r="I2394">
        <v>136.5</v>
      </c>
      <c r="J2394" s="10">
        <v>5.5</v>
      </c>
      <c r="K2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394">
        <v>110.5</v>
      </c>
      <c r="M23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394">
        <v>200.15</v>
      </c>
      <c r="O2394" s="23" t="s">
        <v>224</v>
      </c>
      <c r="P2394">
        <v>1200.9000000000001</v>
      </c>
      <c r="Q2394" s="23" t="s">
        <v>182</v>
      </c>
    </row>
    <row r="2395" spans="1:17" x14ac:dyDescent="0.25">
      <c r="A2395" s="23" t="s">
        <v>1055</v>
      </c>
      <c r="B2395" s="23" t="s">
        <v>1056</v>
      </c>
      <c r="C2395" s="23" t="s">
        <v>176</v>
      </c>
      <c r="D2395" s="23" t="s">
        <v>1089</v>
      </c>
      <c r="E2395" s="23" t="s">
        <v>1090</v>
      </c>
      <c r="F2395">
        <v>1</v>
      </c>
      <c r="G2395" s="23" t="s">
        <v>177</v>
      </c>
      <c r="H2395">
        <v>1</v>
      </c>
      <c r="I2395">
        <v>2</v>
      </c>
      <c r="J2395" s="10">
        <v>4</v>
      </c>
      <c r="K2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395">
        <v>0</v>
      </c>
      <c r="M23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5">
        <v>3500</v>
      </c>
      <c r="O2395" s="23" t="s">
        <v>1091</v>
      </c>
      <c r="P2395">
        <v>3500</v>
      </c>
      <c r="Q2395" s="23" t="s">
        <v>222</v>
      </c>
    </row>
    <row r="2396" spans="1:17" x14ac:dyDescent="0.25">
      <c r="A2396" s="23" t="s">
        <v>1099</v>
      </c>
      <c r="B2396" s="23" t="s">
        <v>1056</v>
      </c>
      <c r="C2396" s="23" t="s">
        <v>176</v>
      </c>
      <c r="D2396" s="23" t="s">
        <v>1089</v>
      </c>
      <c r="E2396" s="23" t="s">
        <v>1090</v>
      </c>
      <c r="F2396">
        <v>1</v>
      </c>
      <c r="G2396" s="23" t="s">
        <v>177</v>
      </c>
      <c r="H2396">
        <v>1</v>
      </c>
      <c r="I2396">
        <v>2</v>
      </c>
      <c r="J2396" s="10">
        <v>4</v>
      </c>
      <c r="K2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396">
        <v>0</v>
      </c>
      <c r="M23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6">
        <v>3500</v>
      </c>
      <c r="O2396" s="23" t="s">
        <v>1091</v>
      </c>
      <c r="P2396">
        <v>3500</v>
      </c>
      <c r="Q2396" s="23" t="s">
        <v>222</v>
      </c>
    </row>
    <row r="2397" spans="1:17" x14ac:dyDescent="0.25">
      <c r="A2397" s="23" t="s">
        <v>1148</v>
      </c>
      <c r="B2397" s="23" t="s">
        <v>1054</v>
      </c>
      <c r="C2397" s="23" t="s">
        <v>176</v>
      </c>
      <c r="D2397" s="23" t="s">
        <v>612</v>
      </c>
      <c r="E2397" s="23" t="s">
        <v>613</v>
      </c>
      <c r="F2397">
        <v>50</v>
      </c>
      <c r="G2397" s="23" t="s">
        <v>183</v>
      </c>
      <c r="H2397">
        <v>0</v>
      </c>
      <c r="I2397">
        <v>136.5</v>
      </c>
      <c r="J2397" s="10">
        <v>5.5</v>
      </c>
      <c r="K2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397">
        <v>110.5</v>
      </c>
      <c r="M23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397">
        <v>200.15</v>
      </c>
      <c r="O2397" s="23" t="s">
        <v>224</v>
      </c>
      <c r="P2397">
        <v>10007.5</v>
      </c>
      <c r="Q2397" s="23" t="s">
        <v>182</v>
      </c>
    </row>
    <row r="2398" spans="1:17" x14ac:dyDescent="0.25">
      <c r="A2398" s="23" t="s">
        <v>1147</v>
      </c>
      <c r="B2398" s="23" t="s">
        <v>1145</v>
      </c>
      <c r="C2398" s="23" t="s">
        <v>176</v>
      </c>
      <c r="D2398" s="23" t="s">
        <v>612</v>
      </c>
      <c r="E2398" s="23" t="s">
        <v>613</v>
      </c>
      <c r="F2398">
        <v>15</v>
      </c>
      <c r="G2398" s="23" t="s">
        <v>183</v>
      </c>
      <c r="H2398">
        <v>0</v>
      </c>
      <c r="I2398">
        <v>136.5</v>
      </c>
      <c r="J2398" s="10">
        <v>5.5</v>
      </c>
      <c r="K2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398">
        <v>110.5</v>
      </c>
      <c r="M23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398">
        <v>200.15</v>
      </c>
      <c r="O2398" s="23" t="s">
        <v>224</v>
      </c>
      <c r="P2398">
        <v>3002.25</v>
      </c>
      <c r="Q2398" s="23" t="s">
        <v>182</v>
      </c>
    </row>
    <row r="2399" spans="1:17" x14ac:dyDescent="0.25">
      <c r="A2399" s="23" t="s">
        <v>1100</v>
      </c>
      <c r="B2399" s="23" t="s">
        <v>1101</v>
      </c>
      <c r="C2399" s="23" t="s">
        <v>176</v>
      </c>
      <c r="D2399" s="23" t="s">
        <v>1089</v>
      </c>
      <c r="E2399" s="23" t="s">
        <v>1090</v>
      </c>
      <c r="F2399">
        <v>1</v>
      </c>
      <c r="G2399" s="23" t="s">
        <v>177</v>
      </c>
      <c r="H2399">
        <v>0</v>
      </c>
      <c r="I2399">
        <v>2</v>
      </c>
      <c r="J2399" s="10">
        <v>4</v>
      </c>
      <c r="K2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399">
        <v>0</v>
      </c>
      <c r="M23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399">
        <v>3500</v>
      </c>
      <c r="O2399" s="23" t="s">
        <v>1091</v>
      </c>
      <c r="P2399">
        <v>3500</v>
      </c>
      <c r="Q2399" s="23" t="s">
        <v>222</v>
      </c>
    </row>
    <row r="2400" spans="1:17" x14ac:dyDescent="0.25">
      <c r="A2400" s="23" t="s">
        <v>1150</v>
      </c>
      <c r="B2400" s="23" t="s">
        <v>1145</v>
      </c>
      <c r="C2400" s="23" t="s">
        <v>176</v>
      </c>
      <c r="D2400" s="23" t="s">
        <v>674</v>
      </c>
      <c r="E2400" s="23" t="s">
        <v>675</v>
      </c>
      <c r="F2400">
        <v>6</v>
      </c>
      <c r="G2400" s="23" t="s">
        <v>177</v>
      </c>
      <c r="H2400">
        <v>0</v>
      </c>
      <c r="I2400">
        <v>150</v>
      </c>
      <c r="J2400" s="10">
        <v>78</v>
      </c>
      <c r="K2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400">
        <v>0</v>
      </c>
      <c r="M24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0">
        <v>20.83</v>
      </c>
      <c r="O2400" s="23" t="s">
        <v>227</v>
      </c>
      <c r="P2400">
        <v>124.97999999999999</v>
      </c>
      <c r="Q2400" s="23" t="s">
        <v>181</v>
      </c>
    </row>
    <row r="2401" spans="1:17" x14ac:dyDescent="0.25">
      <c r="A2401" s="23" t="s">
        <v>1150</v>
      </c>
      <c r="B2401" s="23" t="s">
        <v>1145</v>
      </c>
      <c r="C2401" s="23" t="s">
        <v>176</v>
      </c>
      <c r="D2401" s="23" t="s">
        <v>563</v>
      </c>
      <c r="E2401" s="23" t="s">
        <v>564</v>
      </c>
      <c r="F2401">
        <v>7</v>
      </c>
      <c r="G2401" s="23" t="s">
        <v>177</v>
      </c>
      <c r="H2401">
        <v>0</v>
      </c>
      <c r="I2401">
        <v>3000</v>
      </c>
      <c r="J2401" s="10">
        <v>0</v>
      </c>
      <c r="K2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401">
        <v>0</v>
      </c>
      <c r="M24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1">
        <v>0.7</v>
      </c>
      <c r="O2401" s="23" t="s">
        <v>242</v>
      </c>
      <c r="P2401">
        <v>4.8999999999999995</v>
      </c>
      <c r="Q2401" s="23" t="s">
        <v>181</v>
      </c>
    </row>
    <row r="2402" spans="1:17" x14ac:dyDescent="0.25">
      <c r="A2402" s="23" t="s">
        <v>1147</v>
      </c>
      <c r="B2402" s="23" t="s">
        <v>1145</v>
      </c>
      <c r="C2402" s="23" t="s">
        <v>176</v>
      </c>
      <c r="D2402" s="23" t="s">
        <v>744</v>
      </c>
      <c r="E2402" s="23" t="s">
        <v>745</v>
      </c>
      <c r="F2402">
        <v>0.5</v>
      </c>
      <c r="G2402" s="23" t="s">
        <v>180</v>
      </c>
      <c r="H2402">
        <v>0</v>
      </c>
      <c r="I2402">
        <v>0</v>
      </c>
      <c r="J2402" s="10">
        <v>45.5</v>
      </c>
      <c r="K2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2402">
        <v>0</v>
      </c>
      <c r="M24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2402">
        <v>169.11</v>
      </c>
      <c r="O2402" s="23" t="s">
        <v>746</v>
      </c>
      <c r="P2402">
        <v>84.555000000000007</v>
      </c>
      <c r="Q2402" s="23" t="s">
        <v>185</v>
      </c>
    </row>
    <row r="2403" spans="1:17" x14ac:dyDescent="0.25">
      <c r="A2403" s="23" t="s">
        <v>1055</v>
      </c>
      <c r="B2403" s="23" t="s">
        <v>1056</v>
      </c>
      <c r="C2403" s="23" t="s">
        <v>176</v>
      </c>
      <c r="D2403" s="23" t="s">
        <v>533</v>
      </c>
      <c r="E2403" s="23" t="s">
        <v>534</v>
      </c>
      <c r="F2403">
        <v>10</v>
      </c>
      <c r="G2403" s="23" t="s">
        <v>180</v>
      </c>
      <c r="H2403">
        <v>0</v>
      </c>
      <c r="I2403">
        <v>0</v>
      </c>
      <c r="J2403" s="10">
        <v>0</v>
      </c>
      <c r="K2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2403">
        <v>400</v>
      </c>
      <c r="M24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3">
        <v>5</v>
      </c>
      <c r="O2403" s="23" t="s">
        <v>225</v>
      </c>
      <c r="P2403">
        <v>50</v>
      </c>
      <c r="Q2403" s="23" t="s">
        <v>181</v>
      </c>
    </row>
    <row r="2404" spans="1:17" x14ac:dyDescent="0.25">
      <c r="A2404" s="23" t="s">
        <v>1097</v>
      </c>
      <c r="B2404" s="23" t="s">
        <v>1095</v>
      </c>
      <c r="C2404" s="23" t="s">
        <v>176</v>
      </c>
      <c r="D2404" s="23" t="s">
        <v>122</v>
      </c>
      <c r="E2404" s="23" t="s">
        <v>123</v>
      </c>
      <c r="F2404">
        <v>27</v>
      </c>
      <c r="G2404" s="23" t="s">
        <v>180</v>
      </c>
      <c r="H2404">
        <v>0</v>
      </c>
      <c r="I2404">
        <v>150</v>
      </c>
      <c r="J2404" s="10">
        <v>50</v>
      </c>
      <c r="K2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2404">
        <v>0</v>
      </c>
      <c r="M24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2404">
        <v>320</v>
      </c>
      <c r="O2404" s="23" t="s">
        <v>1151</v>
      </c>
      <c r="P2404">
        <v>8640</v>
      </c>
      <c r="Q2404" s="23" t="s">
        <v>185</v>
      </c>
    </row>
    <row r="2405" spans="1:17" x14ac:dyDescent="0.25">
      <c r="A2405" s="23" t="s">
        <v>1097</v>
      </c>
      <c r="B2405" s="23" t="s">
        <v>1095</v>
      </c>
      <c r="C2405" s="23" t="s">
        <v>176</v>
      </c>
      <c r="D2405" s="23" t="s">
        <v>138</v>
      </c>
      <c r="E2405" s="23" t="s">
        <v>139</v>
      </c>
      <c r="F2405">
        <v>2</v>
      </c>
      <c r="G2405" s="23" t="s">
        <v>177</v>
      </c>
      <c r="H2405">
        <v>0</v>
      </c>
      <c r="I2405">
        <v>23</v>
      </c>
      <c r="J2405" s="10">
        <v>22</v>
      </c>
      <c r="K2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2405">
        <v>10</v>
      </c>
      <c r="M24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5">
        <v>71.77</v>
      </c>
      <c r="O2405" s="23" t="s">
        <v>228</v>
      </c>
      <c r="P2405">
        <v>143.54</v>
      </c>
      <c r="Q2405" s="23" t="s">
        <v>222</v>
      </c>
    </row>
    <row r="2406" spans="1:17" x14ac:dyDescent="0.25">
      <c r="A2406" s="23" t="s">
        <v>1055</v>
      </c>
      <c r="B2406" s="23" t="s">
        <v>1056</v>
      </c>
      <c r="C2406" s="23" t="s">
        <v>176</v>
      </c>
      <c r="D2406" s="23" t="s">
        <v>122</v>
      </c>
      <c r="E2406" s="23" t="s">
        <v>123</v>
      </c>
      <c r="F2406">
        <v>21</v>
      </c>
      <c r="G2406" s="23" t="s">
        <v>180</v>
      </c>
      <c r="H2406">
        <v>0</v>
      </c>
      <c r="I2406">
        <v>150</v>
      </c>
      <c r="J2406" s="10">
        <v>50</v>
      </c>
      <c r="K2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2406">
        <v>0</v>
      </c>
      <c r="M24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2406">
        <v>320</v>
      </c>
      <c r="O2406" s="23" t="s">
        <v>1151</v>
      </c>
      <c r="P2406">
        <v>6720</v>
      </c>
      <c r="Q2406" s="23" t="s">
        <v>185</v>
      </c>
    </row>
    <row r="2407" spans="1:17" x14ac:dyDescent="0.25">
      <c r="A2407" s="23" t="s">
        <v>1147</v>
      </c>
      <c r="B2407" s="23" t="s">
        <v>1145</v>
      </c>
      <c r="C2407" s="23" t="s">
        <v>176</v>
      </c>
      <c r="D2407" s="23" t="s">
        <v>138</v>
      </c>
      <c r="E2407" s="23" t="s">
        <v>139</v>
      </c>
      <c r="F2407">
        <v>2</v>
      </c>
      <c r="G2407" s="23" t="s">
        <v>177</v>
      </c>
      <c r="H2407">
        <v>0</v>
      </c>
      <c r="I2407">
        <v>23</v>
      </c>
      <c r="J2407" s="10">
        <v>22</v>
      </c>
      <c r="K2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2407">
        <v>10</v>
      </c>
      <c r="M24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7">
        <v>71.77</v>
      </c>
      <c r="O2407" s="23" t="s">
        <v>228</v>
      </c>
      <c r="P2407">
        <v>143.54</v>
      </c>
      <c r="Q2407" s="23" t="s">
        <v>222</v>
      </c>
    </row>
    <row r="2408" spans="1:17" x14ac:dyDescent="0.25">
      <c r="A2408" s="23" t="s">
        <v>1148</v>
      </c>
      <c r="B2408" s="23" t="s">
        <v>1054</v>
      </c>
      <c r="C2408" s="23" t="s">
        <v>176</v>
      </c>
      <c r="D2408" s="23" t="s">
        <v>138</v>
      </c>
      <c r="E2408" s="23" t="s">
        <v>139</v>
      </c>
      <c r="F2408">
        <v>2</v>
      </c>
      <c r="G2408" s="23" t="s">
        <v>177</v>
      </c>
      <c r="H2408">
        <v>0</v>
      </c>
      <c r="I2408">
        <v>23</v>
      </c>
      <c r="J2408" s="10">
        <v>22</v>
      </c>
      <c r="K2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2408">
        <v>10</v>
      </c>
      <c r="M24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08">
        <v>71.77</v>
      </c>
      <c r="O2408" s="23" t="s">
        <v>228</v>
      </c>
      <c r="P2408">
        <v>143.54</v>
      </c>
      <c r="Q2408" s="23" t="s">
        <v>222</v>
      </c>
    </row>
    <row r="2409" spans="1:17" x14ac:dyDescent="0.25">
      <c r="A2409" s="23" t="s">
        <v>1100</v>
      </c>
      <c r="B2409" s="23" t="s">
        <v>1101</v>
      </c>
      <c r="C2409" s="23" t="s">
        <v>176</v>
      </c>
      <c r="D2409" s="23" t="s">
        <v>122</v>
      </c>
      <c r="E2409" s="23" t="s">
        <v>123</v>
      </c>
      <c r="F2409">
        <v>29</v>
      </c>
      <c r="G2409" s="23" t="s">
        <v>180</v>
      </c>
      <c r="H2409">
        <v>0</v>
      </c>
      <c r="I2409">
        <v>150</v>
      </c>
      <c r="J2409" s="10">
        <v>50</v>
      </c>
      <c r="K2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71</v>
      </c>
      <c r="L2409">
        <v>0</v>
      </c>
      <c r="M24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22720</v>
      </c>
      <c r="N2409">
        <v>320</v>
      </c>
      <c r="O2409" s="23" t="s">
        <v>1151</v>
      </c>
      <c r="P2409">
        <v>9280</v>
      </c>
      <c r="Q2409" s="23" t="s">
        <v>185</v>
      </c>
    </row>
    <row r="2410" spans="1:17" x14ac:dyDescent="0.25">
      <c r="A2410" s="23" t="s">
        <v>1100</v>
      </c>
      <c r="B2410" s="23" t="s">
        <v>1101</v>
      </c>
      <c r="C2410" s="23" t="s">
        <v>176</v>
      </c>
      <c r="D2410" s="23" t="s">
        <v>533</v>
      </c>
      <c r="E2410" s="23" t="s">
        <v>534</v>
      </c>
      <c r="F2410">
        <v>10</v>
      </c>
      <c r="G2410" s="23" t="s">
        <v>180</v>
      </c>
      <c r="H2410">
        <v>0</v>
      </c>
      <c r="I2410">
        <v>0</v>
      </c>
      <c r="J2410" s="10">
        <v>0</v>
      </c>
      <c r="K2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2410">
        <v>400</v>
      </c>
      <c r="M24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0">
        <v>5</v>
      </c>
      <c r="O2410" s="23" t="s">
        <v>225</v>
      </c>
      <c r="P2410">
        <v>50</v>
      </c>
      <c r="Q2410" s="23" t="s">
        <v>181</v>
      </c>
    </row>
    <row r="2411" spans="1:17" x14ac:dyDescent="0.25">
      <c r="A2411" s="23" t="s">
        <v>1100</v>
      </c>
      <c r="B2411" s="23" t="s">
        <v>1101</v>
      </c>
      <c r="C2411" s="23" t="s">
        <v>176</v>
      </c>
      <c r="D2411" s="23" t="s">
        <v>354</v>
      </c>
      <c r="E2411" s="23" t="s">
        <v>355</v>
      </c>
      <c r="F2411">
        <v>23</v>
      </c>
      <c r="G2411" s="23" t="s">
        <v>177</v>
      </c>
      <c r="H2411">
        <v>0</v>
      </c>
      <c r="I2411">
        <v>491</v>
      </c>
      <c r="J2411" s="10">
        <v>50</v>
      </c>
      <c r="K2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411">
        <v>0</v>
      </c>
      <c r="M24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1">
        <v>10.65</v>
      </c>
      <c r="O2411" s="23" t="s">
        <v>883</v>
      </c>
      <c r="P2411">
        <v>244.95000000000002</v>
      </c>
      <c r="Q2411" s="23" t="s">
        <v>181</v>
      </c>
    </row>
    <row r="2412" spans="1:17" x14ac:dyDescent="0.25">
      <c r="A2412" s="23" t="s">
        <v>1058</v>
      </c>
      <c r="B2412" s="23" t="s">
        <v>1059</v>
      </c>
      <c r="C2412" s="23" t="s">
        <v>176</v>
      </c>
      <c r="D2412" s="23" t="s">
        <v>744</v>
      </c>
      <c r="E2412" s="23" t="s">
        <v>745</v>
      </c>
      <c r="F2412">
        <v>0.5</v>
      </c>
      <c r="G2412" s="23" t="s">
        <v>180</v>
      </c>
      <c r="H2412">
        <v>0</v>
      </c>
      <c r="I2412">
        <v>0</v>
      </c>
      <c r="J2412" s="10">
        <v>45.5</v>
      </c>
      <c r="K2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8.5</v>
      </c>
      <c r="L2412">
        <v>0</v>
      </c>
      <c r="M24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1437.4350000000002</v>
      </c>
      <c r="N2412">
        <v>169.11</v>
      </c>
      <c r="O2412" s="23" t="s">
        <v>746</v>
      </c>
      <c r="P2412">
        <v>84.555000000000007</v>
      </c>
      <c r="Q2412" s="23" t="s">
        <v>185</v>
      </c>
    </row>
    <row r="2413" spans="1:17" x14ac:dyDescent="0.25">
      <c r="A2413" s="23" t="s">
        <v>1058</v>
      </c>
      <c r="B2413" s="23" t="s">
        <v>1059</v>
      </c>
      <c r="C2413" s="23" t="s">
        <v>176</v>
      </c>
      <c r="D2413" s="23" t="s">
        <v>354</v>
      </c>
      <c r="E2413" s="23" t="s">
        <v>355</v>
      </c>
      <c r="F2413">
        <v>8</v>
      </c>
      <c r="G2413" s="23" t="s">
        <v>177</v>
      </c>
      <c r="H2413">
        <v>0</v>
      </c>
      <c r="I2413">
        <v>491</v>
      </c>
      <c r="J2413" s="10">
        <v>50</v>
      </c>
      <c r="K2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413">
        <v>0</v>
      </c>
      <c r="M24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3">
        <v>10.65</v>
      </c>
      <c r="O2413" s="23" t="s">
        <v>883</v>
      </c>
      <c r="P2413">
        <v>85.2</v>
      </c>
      <c r="Q2413" s="23" t="s">
        <v>181</v>
      </c>
    </row>
    <row r="2414" spans="1:17" x14ac:dyDescent="0.25">
      <c r="A2414" s="23" t="s">
        <v>1058</v>
      </c>
      <c r="B2414" s="23" t="s">
        <v>1059</v>
      </c>
      <c r="C2414" s="23" t="s">
        <v>176</v>
      </c>
      <c r="D2414" s="23" t="s">
        <v>146</v>
      </c>
      <c r="E2414" s="23" t="s">
        <v>147</v>
      </c>
      <c r="F2414">
        <v>3</v>
      </c>
      <c r="G2414" s="23" t="s">
        <v>177</v>
      </c>
      <c r="H2414">
        <v>0</v>
      </c>
      <c r="I2414">
        <v>0</v>
      </c>
      <c r="J2414" s="10">
        <v>-8.4376949871511897E-15</v>
      </c>
      <c r="K2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2414">
        <v>4</v>
      </c>
      <c r="M24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2414">
        <v>1041.6600000000001</v>
      </c>
      <c r="O2414" s="23" t="s">
        <v>224</v>
      </c>
      <c r="P2414">
        <v>3124.9800000000005</v>
      </c>
      <c r="Q2414" s="23" t="s">
        <v>182</v>
      </c>
    </row>
    <row r="2415" spans="1:17" x14ac:dyDescent="0.25">
      <c r="A2415" s="23" t="s">
        <v>1055</v>
      </c>
      <c r="B2415" s="23" t="s">
        <v>1056</v>
      </c>
      <c r="C2415" s="23" t="s">
        <v>176</v>
      </c>
      <c r="D2415" s="23" t="s">
        <v>140</v>
      </c>
      <c r="E2415" s="23" t="s">
        <v>141</v>
      </c>
      <c r="F2415">
        <v>0.5</v>
      </c>
      <c r="G2415" s="23" t="s">
        <v>177</v>
      </c>
      <c r="H2415">
        <v>0</v>
      </c>
      <c r="I2415">
        <v>0</v>
      </c>
      <c r="J2415" s="10">
        <v>6.1000000000000014</v>
      </c>
      <c r="K2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415">
        <v>5</v>
      </c>
      <c r="M24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415">
        <v>688.2</v>
      </c>
      <c r="O2415" s="23" t="s">
        <v>673</v>
      </c>
      <c r="P2415">
        <v>344.1</v>
      </c>
      <c r="Q2415" s="23" t="s">
        <v>185</v>
      </c>
    </row>
    <row r="2416" spans="1:17" x14ac:dyDescent="0.25">
      <c r="A2416" s="23" t="s">
        <v>1099</v>
      </c>
      <c r="B2416" s="23" t="s">
        <v>1056</v>
      </c>
      <c r="C2416" s="23" t="s">
        <v>176</v>
      </c>
      <c r="D2416" s="23" t="s">
        <v>140</v>
      </c>
      <c r="E2416" s="23" t="s">
        <v>141</v>
      </c>
      <c r="F2416">
        <v>0.8</v>
      </c>
      <c r="G2416" s="23" t="s">
        <v>177</v>
      </c>
      <c r="H2416">
        <v>0</v>
      </c>
      <c r="I2416">
        <v>0</v>
      </c>
      <c r="J2416" s="10">
        <v>6.1000000000000014</v>
      </c>
      <c r="K2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416">
        <v>5</v>
      </c>
      <c r="M24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416">
        <v>688.2</v>
      </c>
      <c r="O2416" s="23" t="s">
        <v>673</v>
      </c>
      <c r="P2416">
        <v>550.56000000000006</v>
      </c>
      <c r="Q2416" s="23" t="s">
        <v>185</v>
      </c>
    </row>
    <row r="2417" spans="1:17" x14ac:dyDescent="0.25">
      <c r="A2417" s="23" t="s">
        <v>1099</v>
      </c>
      <c r="B2417" s="23" t="s">
        <v>1056</v>
      </c>
      <c r="C2417" s="23" t="s">
        <v>176</v>
      </c>
      <c r="D2417" s="23" t="s">
        <v>533</v>
      </c>
      <c r="E2417" s="23" t="s">
        <v>534</v>
      </c>
      <c r="F2417">
        <v>10</v>
      </c>
      <c r="G2417" s="23" t="s">
        <v>180</v>
      </c>
      <c r="H2417">
        <v>0</v>
      </c>
      <c r="I2417">
        <v>0</v>
      </c>
      <c r="J2417" s="10">
        <v>0</v>
      </c>
      <c r="K2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2417">
        <v>400</v>
      </c>
      <c r="M24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7">
        <v>5</v>
      </c>
      <c r="O2417" s="23" t="s">
        <v>225</v>
      </c>
      <c r="P2417">
        <v>50</v>
      </c>
      <c r="Q2417" s="23" t="s">
        <v>181</v>
      </c>
    </row>
    <row r="2418" spans="1:17" x14ac:dyDescent="0.25">
      <c r="A2418" s="23" t="s">
        <v>1148</v>
      </c>
      <c r="B2418" s="23" t="s">
        <v>1054</v>
      </c>
      <c r="C2418" s="23" t="s">
        <v>176</v>
      </c>
      <c r="D2418" s="23" t="s">
        <v>533</v>
      </c>
      <c r="E2418" s="23" t="s">
        <v>534</v>
      </c>
      <c r="F2418">
        <v>10</v>
      </c>
      <c r="G2418" s="23" t="s">
        <v>180</v>
      </c>
      <c r="H2418">
        <v>0</v>
      </c>
      <c r="I2418">
        <v>0</v>
      </c>
      <c r="J2418" s="10">
        <v>0</v>
      </c>
      <c r="K2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2418">
        <v>400</v>
      </c>
      <c r="M24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18">
        <v>5</v>
      </c>
      <c r="O2418" s="23" t="s">
        <v>225</v>
      </c>
      <c r="P2418">
        <v>50</v>
      </c>
      <c r="Q2418" s="23" t="s">
        <v>181</v>
      </c>
    </row>
    <row r="2419" spans="1:17" x14ac:dyDescent="0.25">
      <c r="A2419" s="23" t="s">
        <v>1097</v>
      </c>
      <c r="B2419" s="23" t="s">
        <v>1095</v>
      </c>
      <c r="C2419" s="23" t="s">
        <v>176</v>
      </c>
      <c r="D2419" s="23" t="s">
        <v>515</v>
      </c>
      <c r="E2419" s="23" t="s">
        <v>516</v>
      </c>
      <c r="F2419">
        <v>0.7</v>
      </c>
      <c r="G2419" s="23" t="s">
        <v>177</v>
      </c>
      <c r="H2419">
        <v>0</v>
      </c>
      <c r="I2419">
        <v>0</v>
      </c>
      <c r="J2419" s="10">
        <v>-2.6645352591003757E-15</v>
      </c>
      <c r="K2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2419">
        <v>0</v>
      </c>
      <c r="M24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2419">
        <v>70</v>
      </c>
      <c r="O2419" s="23" t="s">
        <v>242</v>
      </c>
      <c r="P2419">
        <v>49</v>
      </c>
      <c r="Q2419" s="23" t="s">
        <v>181</v>
      </c>
    </row>
    <row r="2420" spans="1:17" x14ac:dyDescent="0.25">
      <c r="A2420" s="23" t="s">
        <v>1097</v>
      </c>
      <c r="B2420" s="23" t="s">
        <v>1095</v>
      </c>
      <c r="C2420" s="23" t="s">
        <v>176</v>
      </c>
      <c r="D2420" s="23" t="s">
        <v>208</v>
      </c>
      <c r="E2420" s="23" t="s">
        <v>283</v>
      </c>
      <c r="F2420">
        <v>3.3900000000000006</v>
      </c>
      <c r="G2420" s="23" t="s">
        <v>177</v>
      </c>
      <c r="H2420">
        <v>0</v>
      </c>
      <c r="I2420">
        <v>62</v>
      </c>
      <c r="J2420" s="10">
        <v>0.26999999999997826</v>
      </c>
      <c r="K2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2420">
        <v>0</v>
      </c>
      <c r="M24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0">
        <v>28</v>
      </c>
      <c r="O2420" s="23" t="s">
        <v>242</v>
      </c>
      <c r="P2420">
        <v>94.920000000000016</v>
      </c>
      <c r="Q2420" s="23" t="s">
        <v>181</v>
      </c>
    </row>
    <row r="2421" spans="1:17" x14ac:dyDescent="0.25">
      <c r="A2421" s="23" t="s">
        <v>1099</v>
      </c>
      <c r="B2421" s="23" t="s">
        <v>1056</v>
      </c>
      <c r="C2421" s="23" t="s">
        <v>176</v>
      </c>
      <c r="D2421" s="23" t="s">
        <v>24</v>
      </c>
      <c r="E2421" s="23" t="s">
        <v>25</v>
      </c>
      <c r="F2421">
        <v>1</v>
      </c>
      <c r="G2421" s="23" t="s">
        <v>177</v>
      </c>
      <c r="H2421">
        <v>0</v>
      </c>
      <c r="I2421">
        <v>30</v>
      </c>
      <c r="J2421" s="10">
        <v>20</v>
      </c>
      <c r="K2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421">
        <v>0</v>
      </c>
      <c r="M24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1">
        <v>62.5</v>
      </c>
      <c r="O2421" s="23" t="s">
        <v>629</v>
      </c>
      <c r="P2421">
        <v>62.5</v>
      </c>
      <c r="Q2421" s="23" t="s">
        <v>181</v>
      </c>
    </row>
    <row r="2422" spans="1:17" x14ac:dyDescent="0.25">
      <c r="A2422" s="23" t="s">
        <v>1055</v>
      </c>
      <c r="B2422" s="23" t="s">
        <v>1056</v>
      </c>
      <c r="C2422" s="23" t="s">
        <v>176</v>
      </c>
      <c r="D2422" s="23" t="s">
        <v>270</v>
      </c>
      <c r="E2422" s="23" t="s">
        <v>589</v>
      </c>
      <c r="F2422">
        <v>1</v>
      </c>
      <c r="G2422" s="23" t="s">
        <v>177</v>
      </c>
      <c r="H2422">
        <v>0</v>
      </c>
      <c r="I2422">
        <v>1</v>
      </c>
      <c r="J2422" s="10">
        <v>11</v>
      </c>
      <c r="K2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422">
        <v>0</v>
      </c>
      <c r="M24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422">
        <v>13310.52</v>
      </c>
      <c r="O2422" s="23" t="s">
        <v>590</v>
      </c>
      <c r="P2422">
        <v>13310.52</v>
      </c>
      <c r="Q2422" s="23" t="s">
        <v>178</v>
      </c>
    </row>
    <row r="2423" spans="1:17" x14ac:dyDescent="0.25">
      <c r="A2423" s="23" t="s">
        <v>1100</v>
      </c>
      <c r="B2423" s="23" t="s">
        <v>1101</v>
      </c>
      <c r="C2423" s="23" t="s">
        <v>176</v>
      </c>
      <c r="D2423" s="23" t="s">
        <v>270</v>
      </c>
      <c r="E2423" s="23" t="s">
        <v>589</v>
      </c>
      <c r="F2423">
        <v>1</v>
      </c>
      <c r="G2423" s="23" t="s">
        <v>177</v>
      </c>
      <c r="H2423">
        <v>0</v>
      </c>
      <c r="I2423">
        <v>1</v>
      </c>
      <c r="J2423" s="10">
        <v>11</v>
      </c>
      <c r="K2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423">
        <v>0</v>
      </c>
      <c r="M24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423">
        <v>13310.52</v>
      </c>
      <c r="O2423" s="23" t="s">
        <v>590</v>
      </c>
      <c r="P2423">
        <v>13310.52</v>
      </c>
      <c r="Q2423" s="23" t="s">
        <v>178</v>
      </c>
    </row>
    <row r="2424" spans="1:17" x14ac:dyDescent="0.25">
      <c r="A2424" s="23" t="s">
        <v>1147</v>
      </c>
      <c r="B2424" s="23" t="s">
        <v>1145</v>
      </c>
      <c r="C2424" s="23" t="s">
        <v>176</v>
      </c>
      <c r="D2424" s="23" t="s">
        <v>295</v>
      </c>
      <c r="E2424" s="23" t="s">
        <v>324</v>
      </c>
      <c r="F2424">
        <v>7.0000000000000007E-2</v>
      </c>
      <c r="G2424" s="23" t="s">
        <v>186</v>
      </c>
      <c r="H2424">
        <v>0</v>
      </c>
      <c r="I2424">
        <v>2.5</v>
      </c>
      <c r="J2424" s="10">
        <v>0</v>
      </c>
      <c r="K2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424">
        <v>0</v>
      </c>
      <c r="M24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4">
        <v>2400</v>
      </c>
      <c r="O2424" s="23" t="s">
        <v>221</v>
      </c>
      <c r="P2424">
        <v>168.00000000000003</v>
      </c>
      <c r="Q2424" s="23" t="s">
        <v>181</v>
      </c>
    </row>
    <row r="2425" spans="1:17" x14ac:dyDescent="0.25">
      <c r="A2425" s="23" t="s">
        <v>1147</v>
      </c>
      <c r="B2425" s="23" t="s">
        <v>1145</v>
      </c>
      <c r="C2425" s="23" t="s">
        <v>176</v>
      </c>
      <c r="D2425" s="23" t="s">
        <v>1075</v>
      </c>
      <c r="E2425" s="23" t="s">
        <v>1076</v>
      </c>
      <c r="F2425">
        <v>1</v>
      </c>
      <c r="G2425" s="23" t="s">
        <v>177</v>
      </c>
      <c r="H2425">
        <v>0</v>
      </c>
      <c r="I2425">
        <v>0</v>
      </c>
      <c r="J2425" s="10">
        <v>0</v>
      </c>
      <c r="K2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2425">
        <v>0</v>
      </c>
      <c r="M24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5">
        <v>0</v>
      </c>
      <c r="O2425" s="23"/>
      <c r="P2425">
        <v>0</v>
      </c>
      <c r="Q2425" s="23" t="s">
        <v>178</v>
      </c>
    </row>
    <row r="2426" spans="1:17" x14ac:dyDescent="0.25">
      <c r="A2426" s="23" t="s">
        <v>1144</v>
      </c>
      <c r="B2426" s="23" t="s">
        <v>1145</v>
      </c>
      <c r="C2426" s="23" t="s">
        <v>176</v>
      </c>
      <c r="D2426" s="23" t="s">
        <v>24</v>
      </c>
      <c r="E2426" s="23" t="s">
        <v>25</v>
      </c>
      <c r="F2426">
        <v>2</v>
      </c>
      <c r="G2426" s="23" t="s">
        <v>177</v>
      </c>
      <c r="H2426">
        <v>0</v>
      </c>
      <c r="I2426">
        <v>30</v>
      </c>
      <c r="J2426" s="10">
        <v>20</v>
      </c>
      <c r="K2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426">
        <v>0</v>
      </c>
      <c r="M24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6">
        <v>62.5</v>
      </c>
      <c r="O2426" s="23" t="s">
        <v>629</v>
      </c>
      <c r="P2426">
        <v>125</v>
      </c>
      <c r="Q2426" s="23" t="s">
        <v>181</v>
      </c>
    </row>
    <row r="2427" spans="1:17" x14ac:dyDescent="0.25">
      <c r="A2427" s="23" t="s">
        <v>1146</v>
      </c>
      <c r="B2427" s="23" t="s">
        <v>1145</v>
      </c>
      <c r="C2427" s="23" t="s">
        <v>176</v>
      </c>
      <c r="D2427" s="23" t="s">
        <v>24</v>
      </c>
      <c r="E2427" s="23" t="s">
        <v>25</v>
      </c>
      <c r="F2427">
        <v>1</v>
      </c>
      <c r="G2427" s="23" t="s">
        <v>177</v>
      </c>
      <c r="H2427">
        <v>0</v>
      </c>
      <c r="I2427">
        <v>30</v>
      </c>
      <c r="J2427" s="10">
        <v>20</v>
      </c>
      <c r="K2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427">
        <v>0</v>
      </c>
      <c r="M24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7">
        <v>62.5</v>
      </c>
      <c r="O2427" s="23" t="s">
        <v>629</v>
      </c>
      <c r="P2427">
        <v>62.5</v>
      </c>
      <c r="Q2427" s="23" t="s">
        <v>181</v>
      </c>
    </row>
    <row r="2428" spans="1:17" x14ac:dyDescent="0.25">
      <c r="A2428" s="23" t="s">
        <v>1148</v>
      </c>
      <c r="B2428" s="23" t="s">
        <v>1054</v>
      </c>
      <c r="C2428" s="23" t="s">
        <v>176</v>
      </c>
      <c r="D2428" s="23" t="s">
        <v>295</v>
      </c>
      <c r="E2428" s="23" t="s">
        <v>324</v>
      </c>
      <c r="F2428">
        <v>0.09</v>
      </c>
      <c r="G2428" s="23" t="s">
        <v>186</v>
      </c>
      <c r="H2428">
        <v>0</v>
      </c>
      <c r="I2428">
        <v>2.5</v>
      </c>
      <c r="J2428" s="10">
        <v>0</v>
      </c>
      <c r="K2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428">
        <v>0</v>
      </c>
      <c r="M24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8">
        <v>2400</v>
      </c>
      <c r="O2428" s="23" t="s">
        <v>221</v>
      </c>
      <c r="P2428">
        <v>216</v>
      </c>
      <c r="Q2428" s="23" t="s">
        <v>181</v>
      </c>
    </row>
    <row r="2429" spans="1:17" x14ac:dyDescent="0.25">
      <c r="A2429" s="23" t="s">
        <v>1055</v>
      </c>
      <c r="B2429" s="23" t="s">
        <v>1056</v>
      </c>
      <c r="C2429" s="23" t="s">
        <v>176</v>
      </c>
      <c r="D2429" s="23" t="s">
        <v>295</v>
      </c>
      <c r="E2429" s="23" t="s">
        <v>324</v>
      </c>
      <c r="F2429">
        <v>0.06</v>
      </c>
      <c r="G2429" s="23" t="s">
        <v>186</v>
      </c>
      <c r="H2429">
        <v>0</v>
      </c>
      <c r="I2429">
        <v>2.5</v>
      </c>
      <c r="J2429" s="10">
        <v>0</v>
      </c>
      <c r="K2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429">
        <v>0</v>
      </c>
      <c r="M24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29">
        <v>2400</v>
      </c>
      <c r="O2429" s="23" t="s">
        <v>221</v>
      </c>
      <c r="P2429">
        <v>144</v>
      </c>
      <c r="Q2429" s="23" t="s">
        <v>181</v>
      </c>
    </row>
    <row r="2430" spans="1:17" x14ac:dyDescent="0.25">
      <c r="A2430" s="23" t="s">
        <v>1099</v>
      </c>
      <c r="B2430" s="23" t="s">
        <v>1056</v>
      </c>
      <c r="C2430" s="23" t="s">
        <v>176</v>
      </c>
      <c r="D2430" s="23" t="s">
        <v>295</v>
      </c>
      <c r="E2430" s="23" t="s">
        <v>324</v>
      </c>
      <c r="F2430">
        <v>0.06</v>
      </c>
      <c r="G2430" s="23" t="s">
        <v>186</v>
      </c>
      <c r="H2430">
        <v>0</v>
      </c>
      <c r="I2430">
        <v>2.5</v>
      </c>
      <c r="J2430" s="10">
        <v>0</v>
      </c>
      <c r="K2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430">
        <v>0</v>
      </c>
      <c r="M24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0">
        <v>2400</v>
      </c>
      <c r="O2430" s="23" t="s">
        <v>221</v>
      </c>
      <c r="P2430">
        <v>144</v>
      </c>
      <c r="Q2430" s="23" t="s">
        <v>181</v>
      </c>
    </row>
    <row r="2431" spans="1:17" x14ac:dyDescent="0.25">
      <c r="A2431" s="23" t="s">
        <v>1098</v>
      </c>
      <c r="B2431" s="23" t="s">
        <v>1053</v>
      </c>
      <c r="C2431" s="23" t="s">
        <v>176</v>
      </c>
      <c r="D2431" s="23" t="s">
        <v>230</v>
      </c>
      <c r="E2431" s="23" t="s">
        <v>231</v>
      </c>
      <c r="F2431">
        <v>2</v>
      </c>
      <c r="G2431" s="23" t="s">
        <v>177</v>
      </c>
      <c r="H2431">
        <v>0</v>
      </c>
      <c r="I2431">
        <v>238</v>
      </c>
      <c r="J2431" s="10">
        <v>90</v>
      </c>
      <c r="K2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431">
        <v>0</v>
      </c>
      <c r="M24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1">
        <v>4</v>
      </c>
      <c r="O2431" s="23" t="s">
        <v>221</v>
      </c>
      <c r="P2431">
        <v>8</v>
      </c>
      <c r="Q2431" s="23" t="s">
        <v>222</v>
      </c>
    </row>
    <row r="2432" spans="1:17" x14ac:dyDescent="0.25">
      <c r="A2432" s="23" t="s">
        <v>1097</v>
      </c>
      <c r="B2432" s="23" t="s">
        <v>1095</v>
      </c>
      <c r="C2432" s="23" t="s">
        <v>176</v>
      </c>
      <c r="D2432" s="23" t="s">
        <v>54</v>
      </c>
      <c r="E2432" s="23" t="s">
        <v>55</v>
      </c>
      <c r="F2432">
        <v>1</v>
      </c>
      <c r="G2432" s="23" t="s">
        <v>177</v>
      </c>
      <c r="H2432">
        <v>0</v>
      </c>
      <c r="I2432">
        <v>10</v>
      </c>
      <c r="J2432" s="10">
        <v>12</v>
      </c>
      <c r="K2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32">
        <v>4</v>
      </c>
      <c r="M24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2">
        <v>1600</v>
      </c>
      <c r="O2432" s="23" t="s">
        <v>218</v>
      </c>
      <c r="P2432">
        <v>1600</v>
      </c>
      <c r="Q2432" s="23" t="s">
        <v>222</v>
      </c>
    </row>
    <row r="2433" spans="1:17" x14ac:dyDescent="0.25">
      <c r="A2433" s="23" t="s">
        <v>1197</v>
      </c>
      <c r="B2433" s="23" t="s">
        <v>1198</v>
      </c>
      <c r="C2433" s="23" t="s">
        <v>176</v>
      </c>
      <c r="D2433" s="23" t="s">
        <v>54</v>
      </c>
      <c r="E2433" s="23" t="s">
        <v>55</v>
      </c>
      <c r="F2433">
        <v>1</v>
      </c>
      <c r="G2433" s="23" t="s">
        <v>177</v>
      </c>
      <c r="H2433">
        <v>0</v>
      </c>
      <c r="I2433">
        <v>10</v>
      </c>
      <c r="J2433" s="10">
        <v>12</v>
      </c>
      <c r="K2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33">
        <v>4</v>
      </c>
      <c r="M24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3">
        <v>1600</v>
      </c>
      <c r="O2433" s="23" t="s">
        <v>218</v>
      </c>
      <c r="P2433">
        <v>1600</v>
      </c>
      <c r="Q2433" s="23" t="s">
        <v>222</v>
      </c>
    </row>
    <row r="2434" spans="1:17" x14ac:dyDescent="0.25">
      <c r="A2434" s="23" t="s">
        <v>1097</v>
      </c>
      <c r="B2434" s="23" t="s">
        <v>1095</v>
      </c>
      <c r="C2434" s="23" t="s">
        <v>176</v>
      </c>
      <c r="D2434" s="23" t="s">
        <v>58</v>
      </c>
      <c r="E2434" s="23" t="s">
        <v>59</v>
      </c>
      <c r="F2434">
        <v>1</v>
      </c>
      <c r="G2434" s="23" t="s">
        <v>177</v>
      </c>
      <c r="H2434">
        <v>0</v>
      </c>
      <c r="I2434">
        <v>18</v>
      </c>
      <c r="J2434" s="10">
        <v>10</v>
      </c>
      <c r="K2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434">
        <v>0</v>
      </c>
      <c r="M24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4">
        <v>1094.4000000000001</v>
      </c>
      <c r="O2434" s="23" t="s">
        <v>827</v>
      </c>
      <c r="P2434">
        <v>1094.4000000000001</v>
      </c>
      <c r="Q2434" s="23" t="s">
        <v>222</v>
      </c>
    </row>
    <row r="2435" spans="1:17" x14ac:dyDescent="0.25">
      <c r="A2435" s="23" t="s">
        <v>1097</v>
      </c>
      <c r="B2435" s="23" t="s">
        <v>1095</v>
      </c>
      <c r="C2435" s="23" t="s">
        <v>176</v>
      </c>
      <c r="D2435" s="23" t="s">
        <v>377</v>
      </c>
      <c r="E2435" s="23" t="s">
        <v>378</v>
      </c>
      <c r="F2435">
        <v>3</v>
      </c>
      <c r="G2435" s="23" t="s">
        <v>177</v>
      </c>
      <c r="H2435">
        <v>0</v>
      </c>
      <c r="I2435">
        <v>38</v>
      </c>
      <c r="J2435" s="10">
        <v>25</v>
      </c>
      <c r="K2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35">
        <v>20</v>
      </c>
      <c r="M24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5">
        <v>245</v>
      </c>
      <c r="O2435" s="23" t="s">
        <v>822</v>
      </c>
      <c r="P2435">
        <v>735</v>
      </c>
      <c r="Q2435" s="23" t="s">
        <v>179</v>
      </c>
    </row>
    <row r="2436" spans="1:17" x14ac:dyDescent="0.25">
      <c r="A2436" s="23" t="s">
        <v>1097</v>
      </c>
      <c r="B2436" s="23" t="s">
        <v>1095</v>
      </c>
      <c r="C2436" s="23" t="s">
        <v>176</v>
      </c>
      <c r="D2436" s="23" t="s">
        <v>243</v>
      </c>
      <c r="E2436" s="23" t="s">
        <v>244</v>
      </c>
      <c r="F2436">
        <v>1.35</v>
      </c>
      <c r="G2436" s="23" t="s">
        <v>177</v>
      </c>
      <c r="H2436">
        <v>0</v>
      </c>
      <c r="I2436">
        <v>49</v>
      </c>
      <c r="J2436" s="10">
        <v>1.599999999999973</v>
      </c>
      <c r="K2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2436">
        <v>0</v>
      </c>
      <c r="M24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6">
        <v>60</v>
      </c>
      <c r="O2436" s="23" t="s">
        <v>491</v>
      </c>
      <c r="P2436">
        <v>81</v>
      </c>
      <c r="Q2436" s="23" t="s">
        <v>181</v>
      </c>
    </row>
    <row r="2437" spans="1:17" x14ac:dyDescent="0.25">
      <c r="A2437" s="23" t="s">
        <v>1058</v>
      </c>
      <c r="B2437" s="23" t="s">
        <v>1059</v>
      </c>
      <c r="C2437" s="23" t="s">
        <v>176</v>
      </c>
      <c r="D2437" s="23" t="s">
        <v>0</v>
      </c>
      <c r="E2437" s="23" t="s">
        <v>1</v>
      </c>
      <c r="F2437">
        <v>3</v>
      </c>
      <c r="G2437" s="23" t="s">
        <v>177</v>
      </c>
      <c r="H2437">
        <v>3</v>
      </c>
      <c r="I2437">
        <v>69</v>
      </c>
      <c r="J2437" s="10">
        <v>22</v>
      </c>
      <c r="K2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437">
        <v>0</v>
      </c>
      <c r="M24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7">
        <v>640</v>
      </c>
      <c r="O2437" s="23" t="s">
        <v>221</v>
      </c>
      <c r="P2437">
        <v>1920</v>
      </c>
      <c r="Q2437" s="23" t="s">
        <v>222</v>
      </c>
    </row>
    <row r="2438" spans="1:17" x14ac:dyDescent="0.25">
      <c r="A2438" s="23" t="s">
        <v>1055</v>
      </c>
      <c r="B2438" s="23" t="s">
        <v>1056</v>
      </c>
      <c r="C2438" s="23" t="s">
        <v>176</v>
      </c>
      <c r="D2438" s="23" t="s">
        <v>0</v>
      </c>
      <c r="E2438" s="23" t="s">
        <v>1</v>
      </c>
      <c r="F2438">
        <v>2</v>
      </c>
      <c r="G2438" s="23" t="s">
        <v>177</v>
      </c>
      <c r="H2438">
        <v>2</v>
      </c>
      <c r="I2438">
        <v>69</v>
      </c>
      <c r="J2438" s="10">
        <v>22</v>
      </c>
      <c r="K2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2438">
        <v>0</v>
      </c>
      <c r="M24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8">
        <v>640</v>
      </c>
      <c r="O2438" s="23" t="s">
        <v>221</v>
      </c>
      <c r="P2438">
        <v>1280</v>
      </c>
      <c r="Q2438" s="23" t="s">
        <v>222</v>
      </c>
    </row>
    <row r="2439" spans="1:17" x14ac:dyDescent="0.25">
      <c r="A2439" s="23" t="s">
        <v>1147</v>
      </c>
      <c r="B2439" s="23" t="s">
        <v>1145</v>
      </c>
      <c r="C2439" s="23" t="s">
        <v>176</v>
      </c>
      <c r="D2439" s="23" t="s">
        <v>230</v>
      </c>
      <c r="E2439" s="23" t="s">
        <v>231</v>
      </c>
      <c r="F2439">
        <v>2</v>
      </c>
      <c r="G2439" s="23" t="s">
        <v>177</v>
      </c>
      <c r="H2439">
        <v>0</v>
      </c>
      <c r="I2439">
        <v>238</v>
      </c>
      <c r="J2439" s="10">
        <v>90</v>
      </c>
      <c r="K2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439">
        <v>0</v>
      </c>
      <c r="M24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39">
        <v>4</v>
      </c>
      <c r="O2439" s="23" t="s">
        <v>221</v>
      </c>
      <c r="P2439">
        <v>8</v>
      </c>
      <c r="Q2439" s="23" t="s">
        <v>222</v>
      </c>
    </row>
    <row r="2440" spans="1:17" x14ac:dyDescent="0.25">
      <c r="A2440" s="23" t="s">
        <v>1147</v>
      </c>
      <c r="B2440" s="23" t="s">
        <v>1145</v>
      </c>
      <c r="C2440" s="23" t="s">
        <v>176</v>
      </c>
      <c r="D2440" s="23" t="s">
        <v>54</v>
      </c>
      <c r="E2440" s="23" t="s">
        <v>55</v>
      </c>
      <c r="F2440">
        <v>1</v>
      </c>
      <c r="G2440" s="23" t="s">
        <v>177</v>
      </c>
      <c r="H2440">
        <v>0</v>
      </c>
      <c r="I2440">
        <v>10</v>
      </c>
      <c r="J2440" s="10">
        <v>12</v>
      </c>
      <c r="K2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40">
        <v>4</v>
      </c>
      <c r="M24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0">
        <v>1600</v>
      </c>
      <c r="O2440" s="23" t="s">
        <v>218</v>
      </c>
      <c r="P2440">
        <v>1600</v>
      </c>
      <c r="Q2440" s="23" t="s">
        <v>222</v>
      </c>
    </row>
    <row r="2441" spans="1:17" x14ac:dyDescent="0.25">
      <c r="A2441" s="23" t="s">
        <v>1058</v>
      </c>
      <c r="B2441" s="23" t="s">
        <v>1059</v>
      </c>
      <c r="C2441" s="23" t="s">
        <v>176</v>
      </c>
      <c r="D2441" s="23" t="s">
        <v>58</v>
      </c>
      <c r="E2441" s="23" t="s">
        <v>59</v>
      </c>
      <c r="F2441">
        <v>1</v>
      </c>
      <c r="G2441" s="23" t="s">
        <v>177</v>
      </c>
      <c r="H2441">
        <v>1</v>
      </c>
      <c r="I2441">
        <v>18</v>
      </c>
      <c r="J2441" s="10">
        <v>10</v>
      </c>
      <c r="K2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441">
        <v>0</v>
      </c>
      <c r="M24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1">
        <v>1094.4000000000001</v>
      </c>
      <c r="O2441" s="23" t="s">
        <v>827</v>
      </c>
      <c r="P2441">
        <v>1094.4000000000001</v>
      </c>
      <c r="Q2441" s="23" t="s">
        <v>222</v>
      </c>
    </row>
    <row r="2442" spans="1:17" x14ac:dyDescent="0.25">
      <c r="A2442" s="23" t="s">
        <v>1148</v>
      </c>
      <c r="B2442" s="23" t="s">
        <v>1054</v>
      </c>
      <c r="C2442" s="23" t="s">
        <v>176</v>
      </c>
      <c r="D2442" s="23" t="s">
        <v>58</v>
      </c>
      <c r="E2442" s="23" t="s">
        <v>59</v>
      </c>
      <c r="F2442">
        <v>1</v>
      </c>
      <c r="G2442" s="23" t="s">
        <v>177</v>
      </c>
      <c r="H2442">
        <v>0</v>
      </c>
      <c r="I2442">
        <v>18</v>
      </c>
      <c r="J2442" s="10">
        <v>10</v>
      </c>
      <c r="K2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442">
        <v>0</v>
      </c>
      <c r="M24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2">
        <v>1094.4000000000001</v>
      </c>
      <c r="O2442" s="23" t="s">
        <v>827</v>
      </c>
      <c r="P2442">
        <v>1094.4000000000001</v>
      </c>
      <c r="Q2442" s="23" t="s">
        <v>222</v>
      </c>
    </row>
    <row r="2443" spans="1:17" x14ac:dyDescent="0.25">
      <c r="A2443" s="23" t="s">
        <v>1099</v>
      </c>
      <c r="B2443" s="23" t="s">
        <v>1056</v>
      </c>
      <c r="C2443" s="23" t="s">
        <v>176</v>
      </c>
      <c r="D2443" s="23" t="s">
        <v>58</v>
      </c>
      <c r="E2443" s="23" t="s">
        <v>59</v>
      </c>
      <c r="F2443">
        <v>1</v>
      </c>
      <c r="G2443" s="23" t="s">
        <v>177</v>
      </c>
      <c r="H2443">
        <v>1</v>
      </c>
      <c r="I2443">
        <v>18</v>
      </c>
      <c r="J2443" s="10">
        <v>10</v>
      </c>
      <c r="K2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443">
        <v>0</v>
      </c>
      <c r="M24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3">
        <v>1094.4000000000001</v>
      </c>
      <c r="O2443" s="23" t="s">
        <v>827</v>
      </c>
      <c r="P2443">
        <v>1094.4000000000001</v>
      </c>
      <c r="Q2443" s="23" t="s">
        <v>222</v>
      </c>
    </row>
    <row r="2444" spans="1:17" x14ac:dyDescent="0.25">
      <c r="A2444" s="23" t="s">
        <v>1058</v>
      </c>
      <c r="B2444" s="23" t="s">
        <v>1059</v>
      </c>
      <c r="C2444" s="23" t="s">
        <v>176</v>
      </c>
      <c r="D2444" s="23" t="s">
        <v>377</v>
      </c>
      <c r="E2444" s="23" t="s">
        <v>378</v>
      </c>
      <c r="F2444">
        <v>3</v>
      </c>
      <c r="G2444" s="23" t="s">
        <v>177</v>
      </c>
      <c r="H2444">
        <v>0</v>
      </c>
      <c r="I2444">
        <v>38</v>
      </c>
      <c r="J2444" s="10">
        <v>25</v>
      </c>
      <c r="K2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44">
        <v>20</v>
      </c>
      <c r="M24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4">
        <v>245</v>
      </c>
      <c r="O2444" s="23" t="s">
        <v>822</v>
      </c>
      <c r="P2444">
        <v>735</v>
      </c>
      <c r="Q2444" s="23" t="s">
        <v>179</v>
      </c>
    </row>
    <row r="2445" spans="1:17" x14ac:dyDescent="0.25">
      <c r="A2445" s="23" t="s">
        <v>1055</v>
      </c>
      <c r="B2445" s="23" t="s">
        <v>1056</v>
      </c>
      <c r="C2445" s="23" t="s">
        <v>176</v>
      </c>
      <c r="D2445" s="23" t="s">
        <v>377</v>
      </c>
      <c r="E2445" s="23" t="s">
        <v>378</v>
      </c>
      <c r="F2445">
        <v>3</v>
      </c>
      <c r="G2445" s="23" t="s">
        <v>177</v>
      </c>
      <c r="H2445">
        <v>0</v>
      </c>
      <c r="I2445">
        <v>38</v>
      </c>
      <c r="J2445" s="10">
        <v>25</v>
      </c>
      <c r="K2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45">
        <v>20</v>
      </c>
      <c r="M24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5">
        <v>245</v>
      </c>
      <c r="O2445" s="23" t="s">
        <v>822</v>
      </c>
      <c r="P2445">
        <v>735</v>
      </c>
      <c r="Q2445" s="23" t="s">
        <v>179</v>
      </c>
    </row>
    <row r="2446" spans="1:17" x14ac:dyDescent="0.25">
      <c r="A2446" s="23" t="s">
        <v>1099</v>
      </c>
      <c r="B2446" s="23" t="s">
        <v>1056</v>
      </c>
      <c r="C2446" s="23" t="s">
        <v>176</v>
      </c>
      <c r="D2446" s="23" t="s">
        <v>377</v>
      </c>
      <c r="E2446" s="23" t="s">
        <v>378</v>
      </c>
      <c r="F2446">
        <v>2</v>
      </c>
      <c r="G2446" s="23" t="s">
        <v>177</v>
      </c>
      <c r="H2446">
        <v>0</v>
      </c>
      <c r="I2446">
        <v>38</v>
      </c>
      <c r="J2446" s="10">
        <v>25</v>
      </c>
      <c r="K2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46">
        <v>20</v>
      </c>
      <c r="M24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6">
        <v>245</v>
      </c>
      <c r="O2446" s="23" t="s">
        <v>822</v>
      </c>
      <c r="P2446">
        <v>490</v>
      </c>
      <c r="Q2446" s="23" t="s">
        <v>179</v>
      </c>
    </row>
    <row r="2447" spans="1:17" x14ac:dyDescent="0.25">
      <c r="A2447" s="23" t="s">
        <v>1099</v>
      </c>
      <c r="B2447" s="23" t="s">
        <v>1056</v>
      </c>
      <c r="C2447" s="23" t="s">
        <v>176</v>
      </c>
      <c r="D2447" s="23" t="s">
        <v>617</v>
      </c>
      <c r="E2447" s="23" t="s">
        <v>618</v>
      </c>
      <c r="F2447">
        <v>1</v>
      </c>
      <c r="G2447" s="23" t="s">
        <v>177</v>
      </c>
      <c r="H2447">
        <v>0</v>
      </c>
      <c r="I2447">
        <v>114</v>
      </c>
      <c r="J2447" s="10">
        <v>0</v>
      </c>
      <c r="K2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2447">
        <v>0</v>
      </c>
      <c r="M24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7">
        <v>10</v>
      </c>
      <c r="O2447" s="23"/>
      <c r="P2447">
        <v>10</v>
      </c>
      <c r="Q2447" s="23" t="s">
        <v>179</v>
      </c>
    </row>
    <row r="2448" spans="1:17" x14ac:dyDescent="0.25">
      <c r="A2448" s="23" t="s">
        <v>1148</v>
      </c>
      <c r="B2448" s="23" t="s">
        <v>1054</v>
      </c>
      <c r="C2448" s="23" t="s">
        <v>176</v>
      </c>
      <c r="D2448" s="23" t="s">
        <v>268</v>
      </c>
      <c r="E2448" s="23" t="s">
        <v>269</v>
      </c>
      <c r="F2448">
        <v>2</v>
      </c>
      <c r="G2448" s="23" t="s">
        <v>177</v>
      </c>
      <c r="H2448">
        <v>0</v>
      </c>
      <c r="I2448">
        <v>30</v>
      </c>
      <c r="J2448" s="10">
        <v>0</v>
      </c>
      <c r="K2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448">
        <v>0</v>
      </c>
      <c r="M24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48">
        <v>60</v>
      </c>
      <c r="O2448" s="23" t="s">
        <v>227</v>
      </c>
      <c r="P2448">
        <v>120</v>
      </c>
      <c r="Q2448" s="23" t="s">
        <v>181</v>
      </c>
    </row>
    <row r="2449" spans="1:17" x14ac:dyDescent="0.25">
      <c r="A2449" s="23" t="s">
        <v>1147</v>
      </c>
      <c r="B2449" s="23" t="s">
        <v>1145</v>
      </c>
      <c r="C2449" s="23" t="s">
        <v>176</v>
      </c>
      <c r="D2449" s="23" t="s">
        <v>769</v>
      </c>
      <c r="E2449" s="23" t="s">
        <v>770</v>
      </c>
      <c r="F2449">
        <v>6</v>
      </c>
      <c r="G2449" s="23" t="s">
        <v>177</v>
      </c>
      <c r="H2449">
        <v>0</v>
      </c>
      <c r="I2449">
        <v>0</v>
      </c>
      <c r="J2449" s="10">
        <v>0</v>
      </c>
      <c r="K2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449">
        <v>0</v>
      </c>
      <c r="M24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2449">
        <v>1.25</v>
      </c>
      <c r="O2449" s="23" t="s">
        <v>221</v>
      </c>
      <c r="P2449">
        <v>7.5</v>
      </c>
      <c r="Q2449" s="23" t="s">
        <v>222</v>
      </c>
    </row>
    <row r="2450" spans="1:17" x14ac:dyDescent="0.25">
      <c r="A2450" s="23" t="s">
        <v>1058</v>
      </c>
      <c r="B2450" s="23" t="s">
        <v>1059</v>
      </c>
      <c r="C2450" s="23" t="s">
        <v>176</v>
      </c>
      <c r="D2450" s="23" t="s">
        <v>279</v>
      </c>
      <c r="E2450" s="23" t="s">
        <v>317</v>
      </c>
      <c r="F2450">
        <v>1</v>
      </c>
      <c r="G2450" s="23" t="s">
        <v>177</v>
      </c>
      <c r="H2450">
        <v>1</v>
      </c>
      <c r="I2450">
        <v>27</v>
      </c>
      <c r="J2450" s="10">
        <v>4</v>
      </c>
      <c r="K2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450">
        <v>0</v>
      </c>
      <c r="M24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0">
        <v>287.01</v>
      </c>
      <c r="O2450" s="23" t="s">
        <v>637</v>
      </c>
      <c r="P2450">
        <v>287.01</v>
      </c>
      <c r="Q2450" s="23" t="s">
        <v>179</v>
      </c>
    </row>
    <row r="2451" spans="1:17" x14ac:dyDescent="0.25">
      <c r="A2451" s="23" t="s">
        <v>1055</v>
      </c>
      <c r="B2451" s="23" t="s">
        <v>1056</v>
      </c>
      <c r="C2451" s="23" t="s">
        <v>176</v>
      </c>
      <c r="D2451" s="23" t="s">
        <v>279</v>
      </c>
      <c r="E2451" s="23" t="s">
        <v>317</v>
      </c>
      <c r="F2451">
        <v>1</v>
      </c>
      <c r="G2451" s="23" t="s">
        <v>177</v>
      </c>
      <c r="H2451">
        <v>0</v>
      </c>
      <c r="I2451">
        <v>27</v>
      </c>
      <c r="J2451" s="10">
        <v>4</v>
      </c>
      <c r="K2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451">
        <v>0</v>
      </c>
      <c r="M24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1">
        <v>287.01</v>
      </c>
      <c r="O2451" s="23" t="s">
        <v>637</v>
      </c>
      <c r="P2451">
        <v>287.01</v>
      </c>
      <c r="Q2451" s="23" t="s">
        <v>179</v>
      </c>
    </row>
    <row r="2452" spans="1:17" x14ac:dyDescent="0.25">
      <c r="A2452" s="23" t="s">
        <v>1099</v>
      </c>
      <c r="B2452" s="23" t="s">
        <v>1056</v>
      </c>
      <c r="C2452" s="23" t="s">
        <v>176</v>
      </c>
      <c r="D2452" s="23" t="s">
        <v>279</v>
      </c>
      <c r="E2452" s="23" t="s">
        <v>317</v>
      </c>
      <c r="F2452">
        <v>1</v>
      </c>
      <c r="G2452" s="23" t="s">
        <v>177</v>
      </c>
      <c r="H2452">
        <v>1</v>
      </c>
      <c r="I2452">
        <v>27</v>
      </c>
      <c r="J2452" s="10">
        <v>4</v>
      </c>
      <c r="K2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452">
        <v>0</v>
      </c>
      <c r="M24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2">
        <v>287.01</v>
      </c>
      <c r="O2452" s="23" t="s">
        <v>637</v>
      </c>
      <c r="P2452">
        <v>287.01</v>
      </c>
      <c r="Q2452" s="23" t="s">
        <v>179</v>
      </c>
    </row>
    <row r="2453" spans="1:17" x14ac:dyDescent="0.25">
      <c r="A2453" s="23" t="s">
        <v>1055</v>
      </c>
      <c r="B2453" s="23" t="s">
        <v>1056</v>
      </c>
      <c r="C2453" s="23" t="s">
        <v>176</v>
      </c>
      <c r="D2453" s="23" t="s">
        <v>280</v>
      </c>
      <c r="E2453" s="23" t="s">
        <v>318</v>
      </c>
      <c r="F2453">
        <v>1</v>
      </c>
      <c r="G2453" s="23" t="s">
        <v>177</v>
      </c>
      <c r="H2453">
        <v>0</v>
      </c>
      <c r="I2453">
        <v>27</v>
      </c>
      <c r="J2453" s="10">
        <v>4</v>
      </c>
      <c r="K2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453">
        <v>0</v>
      </c>
      <c r="M24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3">
        <v>287.01</v>
      </c>
      <c r="O2453" s="23" t="s">
        <v>637</v>
      </c>
      <c r="P2453">
        <v>287.01</v>
      </c>
      <c r="Q2453" s="23" t="s">
        <v>179</v>
      </c>
    </row>
    <row r="2454" spans="1:17" x14ac:dyDescent="0.25">
      <c r="A2454" s="23" t="s">
        <v>1058</v>
      </c>
      <c r="B2454" s="23" t="s">
        <v>1059</v>
      </c>
      <c r="C2454" s="23" t="s">
        <v>176</v>
      </c>
      <c r="D2454" s="23" t="s">
        <v>230</v>
      </c>
      <c r="E2454" s="23" t="s">
        <v>231</v>
      </c>
      <c r="F2454">
        <v>2</v>
      </c>
      <c r="G2454" s="23" t="s">
        <v>177</v>
      </c>
      <c r="H2454">
        <v>0</v>
      </c>
      <c r="I2454">
        <v>238</v>
      </c>
      <c r="J2454" s="10">
        <v>90</v>
      </c>
      <c r="K2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-200</v>
      </c>
      <c r="L2454">
        <v>0</v>
      </c>
      <c r="M24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4">
        <v>4</v>
      </c>
      <c r="O2454" s="23" t="s">
        <v>221</v>
      </c>
      <c r="P2454">
        <v>8</v>
      </c>
      <c r="Q2454" s="23" t="s">
        <v>222</v>
      </c>
    </row>
    <row r="2455" spans="1:17" x14ac:dyDescent="0.25">
      <c r="A2455" s="23" t="s">
        <v>1148</v>
      </c>
      <c r="B2455" s="23" t="s">
        <v>1054</v>
      </c>
      <c r="C2455" s="23" t="s">
        <v>176</v>
      </c>
      <c r="D2455" s="23" t="s">
        <v>54</v>
      </c>
      <c r="E2455" s="23" t="s">
        <v>55</v>
      </c>
      <c r="F2455">
        <v>1</v>
      </c>
      <c r="G2455" s="23" t="s">
        <v>177</v>
      </c>
      <c r="H2455">
        <v>0</v>
      </c>
      <c r="I2455">
        <v>10</v>
      </c>
      <c r="J2455" s="10">
        <v>12</v>
      </c>
      <c r="K2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455">
        <v>4</v>
      </c>
      <c r="M24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5">
        <v>1600</v>
      </c>
      <c r="O2455" s="23" t="s">
        <v>218</v>
      </c>
      <c r="P2455">
        <v>1600</v>
      </c>
      <c r="Q2455" s="23" t="s">
        <v>222</v>
      </c>
    </row>
    <row r="2456" spans="1:17" x14ac:dyDescent="0.25">
      <c r="A2456" s="23" t="s">
        <v>1147</v>
      </c>
      <c r="B2456" s="23" t="s">
        <v>1145</v>
      </c>
      <c r="C2456" s="23" t="s">
        <v>176</v>
      </c>
      <c r="D2456" s="23" t="s">
        <v>58</v>
      </c>
      <c r="E2456" s="23" t="s">
        <v>59</v>
      </c>
      <c r="F2456">
        <v>1</v>
      </c>
      <c r="G2456" s="23" t="s">
        <v>177</v>
      </c>
      <c r="H2456">
        <v>0</v>
      </c>
      <c r="I2456">
        <v>18</v>
      </c>
      <c r="J2456" s="10">
        <v>10</v>
      </c>
      <c r="K2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456">
        <v>0</v>
      </c>
      <c r="M24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6">
        <v>1094.4000000000001</v>
      </c>
      <c r="O2456" s="23" t="s">
        <v>827</v>
      </c>
      <c r="P2456">
        <v>1094.4000000000001</v>
      </c>
      <c r="Q2456" s="23" t="s">
        <v>222</v>
      </c>
    </row>
    <row r="2457" spans="1:17" x14ac:dyDescent="0.25">
      <c r="A2457" s="23" t="s">
        <v>1147</v>
      </c>
      <c r="B2457" s="23" t="s">
        <v>1145</v>
      </c>
      <c r="C2457" s="23" t="s">
        <v>176</v>
      </c>
      <c r="D2457" s="23" t="s">
        <v>377</v>
      </c>
      <c r="E2457" s="23" t="s">
        <v>378</v>
      </c>
      <c r="F2457">
        <v>3</v>
      </c>
      <c r="G2457" s="23" t="s">
        <v>177</v>
      </c>
      <c r="H2457">
        <v>0</v>
      </c>
      <c r="I2457">
        <v>38</v>
      </c>
      <c r="J2457" s="10">
        <v>25</v>
      </c>
      <c r="K2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57">
        <v>20</v>
      </c>
      <c r="M24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7">
        <v>245</v>
      </c>
      <c r="O2457" s="23" t="s">
        <v>822</v>
      </c>
      <c r="P2457">
        <v>735</v>
      </c>
      <c r="Q2457" s="23" t="s">
        <v>179</v>
      </c>
    </row>
    <row r="2458" spans="1:17" x14ac:dyDescent="0.25">
      <c r="A2458" s="23" t="s">
        <v>1148</v>
      </c>
      <c r="B2458" s="23" t="s">
        <v>1054</v>
      </c>
      <c r="C2458" s="23" t="s">
        <v>176</v>
      </c>
      <c r="D2458" s="23" t="s">
        <v>377</v>
      </c>
      <c r="E2458" s="23" t="s">
        <v>378</v>
      </c>
      <c r="F2458">
        <v>3</v>
      </c>
      <c r="G2458" s="23" t="s">
        <v>177</v>
      </c>
      <c r="H2458">
        <v>0</v>
      </c>
      <c r="I2458">
        <v>38</v>
      </c>
      <c r="J2458" s="10">
        <v>25</v>
      </c>
      <c r="K2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458">
        <v>20</v>
      </c>
      <c r="M24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8">
        <v>245</v>
      </c>
      <c r="O2458" s="23" t="s">
        <v>822</v>
      </c>
      <c r="P2458">
        <v>735</v>
      </c>
      <c r="Q2458" s="23" t="s">
        <v>179</v>
      </c>
    </row>
    <row r="2459" spans="1:17" x14ac:dyDescent="0.25">
      <c r="A2459" s="23" t="s">
        <v>1097</v>
      </c>
      <c r="B2459" s="23" t="s">
        <v>1095</v>
      </c>
      <c r="C2459" s="23" t="s">
        <v>176</v>
      </c>
      <c r="D2459" s="23" t="s">
        <v>245</v>
      </c>
      <c r="E2459" s="23" t="s">
        <v>246</v>
      </c>
      <c r="F2459">
        <v>2</v>
      </c>
      <c r="G2459" s="23" t="s">
        <v>177</v>
      </c>
      <c r="H2459">
        <v>0</v>
      </c>
      <c r="I2459">
        <v>20</v>
      </c>
      <c r="J2459" s="10">
        <v>7</v>
      </c>
      <c r="K2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459">
        <v>0</v>
      </c>
      <c r="M24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59">
        <v>60</v>
      </c>
      <c r="O2459" s="23" t="s">
        <v>629</v>
      </c>
      <c r="P2459">
        <v>120</v>
      </c>
      <c r="Q2459" s="23" t="s">
        <v>181</v>
      </c>
    </row>
    <row r="2460" spans="1:17" x14ac:dyDescent="0.25">
      <c r="A2460" s="23" t="s">
        <v>1147</v>
      </c>
      <c r="B2460" s="23" t="s">
        <v>1145</v>
      </c>
      <c r="C2460" s="23" t="s">
        <v>176</v>
      </c>
      <c r="D2460" s="23" t="s">
        <v>91</v>
      </c>
      <c r="E2460" s="23" t="s">
        <v>92</v>
      </c>
      <c r="F2460">
        <v>1</v>
      </c>
      <c r="G2460" s="23" t="s">
        <v>177</v>
      </c>
      <c r="H2460">
        <v>0</v>
      </c>
      <c r="I2460">
        <v>6</v>
      </c>
      <c r="J2460" s="10">
        <v>10</v>
      </c>
      <c r="K2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460">
        <v>0</v>
      </c>
      <c r="M24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460">
        <v>1776.43</v>
      </c>
      <c r="O2460" s="23" t="s">
        <v>635</v>
      </c>
      <c r="P2460">
        <v>1776.43</v>
      </c>
      <c r="Q2460" s="23" t="s">
        <v>179</v>
      </c>
    </row>
    <row r="2461" spans="1:17" x14ac:dyDescent="0.25">
      <c r="A2461" s="23" t="s">
        <v>1148</v>
      </c>
      <c r="B2461" s="23" t="s">
        <v>1054</v>
      </c>
      <c r="C2461" s="23" t="s">
        <v>176</v>
      </c>
      <c r="D2461" s="23" t="s">
        <v>91</v>
      </c>
      <c r="E2461" s="23" t="s">
        <v>92</v>
      </c>
      <c r="F2461">
        <v>1</v>
      </c>
      <c r="G2461" s="23" t="s">
        <v>177</v>
      </c>
      <c r="H2461">
        <v>0</v>
      </c>
      <c r="I2461">
        <v>6</v>
      </c>
      <c r="J2461" s="10">
        <v>10</v>
      </c>
      <c r="K2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461">
        <v>0</v>
      </c>
      <c r="M24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461">
        <v>1776.43</v>
      </c>
      <c r="O2461" s="23" t="s">
        <v>635</v>
      </c>
      <c r="P2461">
        <v>1776.43</v>
      </c>
      <c r="Q2461" s="23" t="s">
        <v>179</v>
      </c>
    </row>
    <row r="2462" spans="1:17" x14ac:dyDescent="0.25">
      <c r="A2462" s="23" t="s">
        <v>1058</v>
      </c>
      <c r="B2462" s="23" t="s">
        <v>1059</v>
      </c>
      <c r="C2462" s="23" t="s">
        <v>176</v>
      </c>
      <c r="D2462" s="23" t="s">
        <v>322</v>
      </c>
      <c r="E2462" s="23" t="s">
        <v>323</v>
      </c>
      <c r="F2462">
        <v>4</v>
      </c>
      <c r="G2462" s="23" t="s">
        <v>177</v>
      </c>
      <c r="H2462">
        <v>4</v>
      </c>
      <c r="I2462">
        <v>84</v>
      </c>
      <c r="J2462" s="10">
        <v>195.90000000000006</v>
      </c>
      <c r="K2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462">
        <v>0</v>
      </c>
      <c r="M24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2">
        <v>29</v>
      </c>
      <c r="O2462" s="23" t="s">
        <v>242</v>
      </c>
      <c r="P2462">
        <v>116</v>
      </c>
      <c r="Q2462" s="23" t="s">
        <v>181</v>
      </c>
    </row>
    <row r="2463" spans="1:17" x14ac:dyDescent="0.25">
      <c r="A2463" s="23" t="s">
        <v>1099</v>
      </c>
      <c r="B2463" s="23" t="s">
        <v>1056</v>
      </c>
      <c r="C2463" s="23" t="s">
        <v>176</v>
      </c>
      <c r="D2463" s="23" t="s">
        <v>322</v>
      </c>
      <c r="E2463" s="23" t="s">
        <v>323</v>
      </c>
      <c r="F2463">
        <v>3</v>
      </c>
      <c r="G2463" s="23" t="s">
        <v>177</v>
      </c>
      <c r="H2463">
        <v>3</v>
      </c>
      <c r="I2463">
        <v>84</v>
      </c>
      <c r="J2463" s="10">
        <v>195.90000000000006</v>
      </c>
      <c r="K2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463">
        <v>0</v>
      </c>
      <c r="M24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3">
        <v>29</v>
      </c>
      <c r="O2463" s="23" t="s">
        <v>242</v>
      </c>
      <c r="P2463">
        <v>87</v>
      </c>
      <c r="Q2463" s="23" t="s">
        <v>181</v>
      </c>
    </row>
    <row r="2464" spans="1:17" x14ac:dyDescent="0.25">
      <c r="A2464" s="23" t="s">
        <v>1062</v>
      </c>
      <c r="B2464" s="23" t="s">
        <v>1053</v>
      </c>
      <c r="C2464" s="23" t="s">
        <v>176</v>
      </c>
      <c r="D2464" s="23" t="s">
        <v>245</v>
      </c>
      <c r="E2464" s="23" t="s">
        <v>246</v>
      </c>
      <c r="F2464">
        <v>2</v>
      </c>
      <c r="G2464" s="23" t="s">
        <v>177</v>
      </c>
      <c r="H2464">
        <v>2</v>
      </c>
      <c r="I2464">
        <v>20</v>
      </c>
      <c r="J2464" s="10">
        <v>7</v>
      </c>
      <c r="K2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464">
        <v>0</v>
      </c>
      <c r="M24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4">
        <v>60</v>
      </c>
      <c r="O2464" s="23" t="s">
        <v>629</v>
      </c>
      <c r="P2464">
        <v>120</v>
      </c>
      <c r="Q2464" s="23" t="s">
        <v>181</v>
      </c>
    </row>
    <row r="2465" spans="1:17" x14ac:dyDescent="0.25">
      <c r="A2465" s="23" t="s">
        <v>1062</v>
      </c>
      <c r="B2465" s="23" t="s">
        <v>1053</v>
      </c>
      <c r="C2465" s="23" t="s">
        <v>176</v>
      </c>
      <c r="D2465" s="23" t="s">
        <v>566</v>
      </c>
      <c r="E2465" s="23" t="s">
        <v>567</v>
      </c>
      <c r="F2465">
        <v>2</v>
      </c>
      <c r="G2465" s="23" t="s">
        <v>177</v>
      </c>
      <c r="H2465">
        <v>0</v>
      </c>
      <c r="I2465">
        <v>26</v>
      </c>
      <c r="J2465" s="10">
        <v>46</v>
      </c>
      <c r="K2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65">
        <v>0</v>
      </c>
      <c r="M24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5">
        <v>12</v>
      </c>
      <c r="O2465" s="23" t="s">
        <v>227</v>
      </c>
      <c r="P2465">
        <v>24</v>
      </c>
      <c r="Q2465" s="23" t="s">
        <v>181</v>
      </c>
    </row>
    <row r="2466" spans="1:17" x14ac:dyDescent="0.25">
      <c r="A2466" s="23" t="s">
        <v>1098</v>
      </c>
      <c r="B2466" s="23" t="s">
        <v>1053</v>
      </c>
      <c r="C2466" s="23" t="s">
        <v>176</v>
      </c>
      <c r="D2466" s="23" t="s">
        <v>566</v>
      </c>
      <c r="E2466" s="23" t="s">
        <v>567</v>
      </c>
      <c r="F2466">
        <v>2</v>
      </c>
      <c r="G2466" s="23" t="s">
        <v>177</v>
      </c>
      <c r="H2466">
        <v>0</v>
      </c>
      <c r="I2466">
        <v>26</v>
      </c>
      <c r="J2466" s="10">
        <v>46</v>
      </c>
      <c r="K2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66">
        <v>0</v>
      </c>
      <c r="M24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6">
        <v>12</v>
      </c>
      <c r="O2466" s="23" t="s">
        <v>227</v>
      </c>
      <c r="P2466">
        <v>24</v>
      </c>
      <c r="Q2466" s="23" t="s">
        <v>181</v>
      </c>
    </row>
    <row r="2467" spans="1:17" x14ac:dyDescent="0.25">
      <c r="A2467" s="23" t="s">
        <v>1147</v>
      </c>
      <c r="B2467" s="23" t="s">
        <v>1145</v>
      </c>
      <c r="C2467" s="23" t="s">
        <v>176</v>
      </c>
      <c r="D2467" s="23" t="s">
        <v>773</v>
      </c>
      <c r="E2467" s="23" t="s">
        <v>774</v>
      </c>
      <c r="F2467">
        <v>4</v>
      </c>
      <c r="G2467" s="23" t="s">
        <v>177</v>
      </c>
      <c r="H2467">
        <v>0</v>
      </c>
      <c r="I2467">
        <v>64.5</v>
      </c>
      <c r="J2467" s="10">
        <v>20</v>
      </c>
      <c r="K2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467">
        <v>0</v>
      </c>
      <c r="M24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7">
        <v>200</v>
      </c>
      <c r="O2467" s="23" t="s">
        <v>249</v>
      </c>
      <c r="P2467">
        <v>800</v>
      </c>
      <c r="Q2467" s="23" t="s">
        <v>178</v>
      </c>
    </row>
    <row r="2468" spans="1:17" x14ac:dyDescent="0.25">
      <c r="A2468" s="23" t="s">
        <v>1148</v>
      </c>
      <c r="B2468" s="23" t="s">
        <v>1054</v>
      </c>
      <c r="C2468" s="23" t="s">
        <v>176</v>
      </c>
      <c r="D2468" s="23" t="s">
        <v>789</v>
      </c>
      <c r="E2468" s="23" t="s">
        <v>790</v>
      </c>
      <c r="F2468">
        <v>1</v>
      </c>
      <c r="G2468" s="23" t="s">
        <v>177</v>
      </c>
      <c r="H2468">
        <v>0</v>
      </c>
      <c r="I2468">
        <v>3</v>
      </c>
      <c r="J2468" s="10">
        <v>2</v>
      </c>
      <c r="K2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468">
        <v>1</v>
      </c>
      <c r="M24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8">
        <v>4484.26</v>
      </c>
      <c r="O2468" s="23" t="s">
        <v>1104</v>
      </c>
      <c r="P2468">
        <v>4484.26</v>
      </c>
      <c r="Q2468" s="23" t="s">
        <v>222</v>
      </c>
    </row>
    <row r="2469" spans="1:17" x14ac:dyDescent="0.25">
      <c r="A2469" s="23" t="s">
        <v>1147</v>
      </c>
      <c r="B2469" s="23" t="s">
        <v>1145</v>
      </c>
      <c r="C2469" s="23" t="s">
        <v>176</v>
      </c>
      <c r="D2469" s="23" t="s">
        <v>322</v>
      </c>
      <c r="E2469" s="23" t="s">
        <v>323</v>
      </c>
      <c r="F2469">
        <v>6</v>
      </c>
      <c r="G2469" s="23" t="s">
        <v>177</v>
      </c>
      <c r="H2469">
        <v>0</v>
      </c>
      <c r="I2469">
        <v>84</v>
      </c>
      <c r="J2469" s="10">
        <v>195.90000000000006</v>
      </c>
      <c r="K2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469">
        <v>0</v>
      </c>
      <c r="M24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69">
        <v>29</v>
      </c>
      <c r="O2469" s="23" t="s">
        <v>242</v>
      </c>
      <c r="P2469">
        <v>174</v>
      </c>
      <c r="Q2469" s="23" t="s">
        <v>181</v>
      </c>
    </row>
    <row r="2470" spans="1:17" x14ac:dyDescent="0.25">
      <c r="A2470" s="23" t="s">
        <v>1148</v>
      </c>
      <c r="B2470" s="23" t="s">
        <v>1054</v>
      </c>
      <c r="C2470" s="23" t="s">
        <v>176</v>
      </c>
      <c r="D2470" s="23" t="s">
        <v>322</v>
      </c>
      <c r="E2470" s="23" t="s">
        <v>323</v>
      </c>
      <c r="F2470">
        <v>6.35</v>
      </c>
      <c r="G2470" s="23" t="s">
        <v>177</v>
      </c>
      <c r="H2470">
        <v>0</v>
      </c>
      <c r="I2470">
        <v>84</v>
      </c>
      <c r="J2470" s="10">
        <v>195.90000000000006</v>
      </c>
      <c r="K2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2470">
        <v>0</v>
      </c>
      <c r="M24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0">
        <v>29</v>
      </c>
      <c r="O2470" s="23" t="s">
        <v>242</v>
      </c>
      <c r="P2470">
        <v>184.14999999999998</v>
      </c>
      <c r="Q2470" s="23" t="s">
        <v>181</v>
      </c>
    </row>
    <row r="2471" spans="1:17" x14ac:dyDescent="0.25">
      <c r="A2471" s="23" t="s">
        <v>1148</v>
      </c>
      <c r="B2471" s="23" t="s">
        <v>1054</v>
      </c>
      <c r="C2471" s="23" t="s">
        <v>176</v>
      </c>
      <c r="D2471" s="23" t="s">
        <v>245</v>
      </c>
      <c r="E2471" s="23" t="s">
        <v>246</v>
      </c>
      <c r="F2471">
        <v>2</v>
      </c>
      <c r="G2471" s="23" t="s">
        <v>177</v>
      </c>
      <c r="H2471">
        <v>0</v>
      </c>
      <c r="I2471">
        <v>20</v>
      </c>
      <c r="J2471" s="10">
        <v>7</v>
      </c>
      <c r="K2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471">
        <v>0</v>
      </c>
      <c r="M24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1">
        <v>60</v>
      </c>
      <c r="O2471" s="23" t="s">
        <v>629</v>
      </c>
      <c r="P2471">
        <v>120</v>
      </c>
      <c r="Q2471" s="23" t="s">
        <v>181</v>
      </c>
    </row>
    <row r="2472" spans="1:17" x14ac:dyDescent="0.25">
      <c r="A2472" s="23" t="s">
        <v>1055</v>
      </c>
      <c r="B2472" s="23" t="s">
        <v>1056</v>
      </c>
      <c r="C2472" s="23" t="s">
        <v>176</v>
      </c>
      <c r="D2472" s="23" t="s">
        <v>566</v>
      </c>
      <c r="E2472" s="23" t="s">
        <v>567</v>
      </c>
      <c r="F2472">
        <v>1</v>
      </c>
      <c r="G2472" s="23" t="s">
        <v>177</v>
      </c>
      <c r="H2472">
        <v>0</v>
      </c>
      <c r="I2472">
        <v>26</v>
      </c>
      <c r="J2472" s="10">
        <v>46</v>
      </c>
      <c r="K2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472">
        <v>0</v>
      </c>
      <c r="M24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2">
        <v>12</v>
      </c>
      <c r="O2472" s="23" t="s">
        <v>227</v>
      </c>
      <c r="P2472">
        <v>12</v>
      </c>
      <c r="Q2472" s="23" t="s">
        <v>181</v>
      </c>
    </row>
    <row r="2473" spans="1:17" x14ac:dyDescent="0.25">
      <c r="A2473" s="23" t="s">
        <v>1147</v>
      </c>
      <c r="B2473" s="23" t="s">
        <v>1145</v>
      </c>
      <c r="C2473" s="23" t="s">
        <v>176</v>
      </c>
      <c r="D2473" s="23" t="s">
        <v>481</v>
      </c>
      <c r="E2473" s="23" t="s">
        <v>482</v>
      </c>
      <c r="F2473">
        <v>16</v>
      </c>
      <c r="G2473" s="23" t="s">
        <v>177</v>
      </c>
      <c r="H2473">
        <v>0</v>
      </c>
      <c r="I2473">
        <v>442</v>
      </c>
      <c r="J2473" s="10">
        <v>0</v>
      </c>
      <c r="K2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473">
        <v>0</v>
      </c>
      <c r="M24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3">
        <v>9.35</v>
      </c>
      <c r="O2473" s="23" t="s">
        <v>883</v>
      </c>
      <c r="P2473">
        <v>149.6</v>
      </c>
      <c r="Q2473" s="23" t="s">
        <v>181</v>
      </c>
    </row>
    <row r="2474" spans="1:17" x14ac:dyDescent="0.25">
      <c r="A2474" s="23" t="s">
        <v>1148</v>
      </c>
      <c r="B2474" s="23" t="s">
        <v>1054</v>
      </c>
      <c r="C2474" s="23" t="s">
        <v>176</v>
      </c>
      <c r="D2474" s="23" t="s">
        <v>481</v>
      </c>
      <c r="E2474" s="23" t="s">
        <v>482</v>
      </c>
      <c r="F2474">
        <v>35</v>
      </c>
      <c r="G2474" s="23" t="s">
        <v>177</v>
      </c>
      <c r="H2474">
        <v>0</v>
      </c>
      <c r="I2474">
        <v>442</v>
      </c>
      <c r="J2474" s="10">
        <v>0</v>
      </c>
      <c r="K2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474">
        <v>0</v>
      </c>
      <c r="M24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4">
        <v>9.35</v>
      </c>
      <c r="O2474" s="23" t="s">
        <v>883</v>
      </c>
      <c r="P2474">
        <v>327.25</v>
      </c>
      <c r="Q2474" s="23" t="s">
        <v>181</v>
      </c>
    </row>
    <row r="2475" spans="1:17" x14ac:dyDescent="0.25">
      <c r="A2475" s="23" t="s">
        <v>1148</v>
      </c>
      <c r="B2475" s="23" t="s">
        <v>1054</v>
      </c>
      <c r="C2475" s="23" t="s">
        <v>176</v>
      </c>
      <c r="D2475" s="23" t="s">
        <v>449</v>
      </c>
      <c r="E2475" s="23" t="s">
        <v>450</v>
      </c>
      <c r="F2475">
        <v>2</v>
      </c>
      <c r="G2475" s="23" t="s">
        <v>177</v>
      </c>
      <c r="H2475">
        <v>0</v>
      </c>
      <c r="I2475">
        <v>15</v>
      </c>
      <c r="J2475" s="10">
        <v>14</v>
      </c>
      <c r="K2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475">
        <v>15</v>
      </c>
      <c r="M24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5">
        <v>65.709999999999994</v>
      </c>
      <c r="O2475" s="23" t="s">
        <v>228</v>
      </c>
      <c r="P2475">
        <v>131.41999999999999</v>
      </c>
      <c r="Q2475" s="23" t="s">
        <v>222</v>
      </c>
    </row>
    <row r="2476" spans="1:17" x14ac:dyDescent="0.25">
      <c r="A2476" s="23" t="s">
        <v>1147</v>
      </c>
      <c r="B2476" s="23" t="s">
        <v>1145</v>
      </c>
      <c r="C2476" s="23" t="s">
        <v>176</v>
      </c>
      <c r="D2476" s="23" t="s">
        <v>739</v>
      </c>
      <c r="E2476" s="23" t="s">
        <v>740</v>
      </c>
      <c r="F2476">
        <v>1</v>
      </c>
      <c r="G2476" s="23" t="s">
        <v>177</v>
      </c>
      <c r="H2476">
        <v>0</v>
      </c>
      <c r="I2476">
        <v>12</v>
      </c>
      <c r="J2476" s="10">
        <v>14</v>
      </c>
      <c r="K2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476">
        <v>0</v>
      </c>
      <c r="M24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476">
        <v>116.67</v>
      </c>
      <c r="O2476" s="23" t="s">
        <v>668</v>
      </c>
      <c r="P2476">
        <v>116.67</v>
      </c>
      <c r="Q2476" s="23" t="s">
        <v>178</v>
      </c>
    </row>
    <row r="2477" spans="1:17" x14ac:dyDescent="0.25">
      <c r="A2477" s="23" t="s">
        <v>1148</v>
      </c>
      <c r="B2477" s="23" t="s">
        <v>1054</v>
      </c>
      <c r="C2477" s="23" t="s">
        <v>176</v>
      </c>
      <c r="D2477" s="23" t="s">
        <v>739</v>
      </c>
      <c r="E2477" s="23" t="s">
        <v>740</v>
      </c>
      <c r="F2477">
        <v>1</v>
      </c>
      <c r="G2477" s="23" t="s">
        <v>177</v>
      </c>
      <c r="H2477">
        <v>0</v>
      </c>
      <c r="I2477">
        <v>12</v>
      </c>
      <c r="J2477" s="10">
        <v>14</v>
      </c>
      <c r="K2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477">
        <v>0</v>
      </c>
      <c r="M24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477">
        <v>116.67</v>
      </c>
      <c r="O2477" s="23" t="s">
        <v>668</v>
      </c>
      <c r="P2477">
        <v>116.67</v>
      </c>
      <c r="Q2477" s="23" t="s">
        <v>178</v>
      </c>
    </row>
    <row r="2478" spans="1:17" x14ac:dyDescent="0.25">
      <c r="A2478" s="23" t="s">
        <v>1148</v>
      </c>
      <c r="B2478" s="23" t="s">
        <v>1054</v>
      </c>
      <c r="C2478" s="23" t="s">
        <v>176</v>
      </c>
      <c r="D2478" s="23" t="s">
        <v>779</v>
      </c>
      <c r="E2478" s="23" t="s">
        <v>133</v>
      </c>
      <c r="F2478">
        <v>14</v>
      </c>
      <c r="G2478" s="23" t="s">
        <v>177</v>
      </c>
      <c r="H2478">
        <v>0</v>
      </c>
      <c r="I2478">
        <v>574</v>
      </c>
      <c r="J2478" s="10">
        <v>98</v>
      </c>
      <c r="K2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478">
        <v>0</v>
      </c>
      <c r="M24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78">
        <v>6.67</v>
      </c>
      <c r="O2478" s="23" t="s">
        <v>1195</v>
      </c>
      <c r="P2478">
        <v>93.38</v>
      </c>
      <c r="Q2478" s="23" t="s">
        <v>222</v>
      </c>
    </row>
    <row r="2479" spans="1:17" x14ac:dyDescent="0.25">
      <c r="A2479" s="23" t="s">
        <v>1058</v>
      </c>
      <c r="B2479" s="23" t="s">
        <v>1059</v>
      </c>
      <c r="C2479" s="23" t="s">
        <v>176</v>
      </c>
      <c r="D2479" s="23" t="s">
        <v>604</v>
      </c>
      <c r="E2479" s="23" t="s">
        <v>605</v>
      </c>
      <c r="F2479">
        <v>2</v>
      </c>
      <c r="G2479" s="23" t="s">
        <v>177</v>
      </c>
      <c r="H2479">
        <v>0</v>
      </c>
      <c r="I2479">
        <v>9</v>
      </c>
      <c r="J2479" s="10">
        <v>6</v>
      </c>
      <c r="K2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479">
        <v>0</v>
      </c>
      <c r="M24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2479">
        <v>75.61</v>
      </c>
      <c r="O2479" s="23" t="s">
        <v>637</v>
      </c>
      <c r="P2479">
        <v>151.22</v>
      </c>
      <c r="Q2479" s="23" t="s">
        <v>178</v>
      </c>
    </row>
    <row r="2480" spans="1:17" x14ac:dyDescent="0.25">
      <c r="A2480" s="23" t="s">
        <v>1147</v>
      </c>
      <c r="B2480" s="23" t="s">
        <v>1145</v>
      </c>
      <c r="C2480" s="23" t="s">
        <v>176</v>
      </c>
      <c r="D2480" s="23" t="s">
        <v>608</v>
      </c>
      <c r="E2480" s="23" t="s">
        <v>609</v>
      </c>
      <c r="F2480">
        <v>2</v>
      </c>
      <c r="G2480" s="23" t="s">
        <v>177</v>
      </c>
      <c r="H2480">
        <v>0</v>
      </c>
      <c r="I2480">
        <v>2</v>
      </c>
      <c r="J2480" s="10">
        <v>8</v>
      </c>
      <c r="K2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480">
        <v>0</v>
      </c>
      <c r="M24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2480">
        <v>56.58</v>
      </c>
      <c r="O2480" s="23" t="s">
        <v>637</v>
      </c>
      <c r="P2480">
        <v>113.16</v>
      </c>
      <c r="Q2480" s="23" t="s">
        <v>178</v>
      </c>
    </row>
    <row r="2481" spans="1:17" x14ac:dyDescent="0.25">
      <c r="A2481" s="23" t="s">
        <v>1058</v>
      </c>
      <c r="B2481" s="23" t="s">
        <v>1059</v>
      </c>
      <c r="C2481" s="23" t="s">
        <v>176</v>
      </c>
      <c r="D2481" s="23" t="s">
        <v>152</v>
      </c>
      <c r="E2481" s="23" t="s">
        <v>153</v>
      </c>
      <c r="F2481">
        <v>40</v>
      </c>
      <c r="G2481" s="23" t="s">
        <v>177</v>
      </c>
      <c r="H2481">
        <v>0</v>
      </c>
      <c r="I2481">
        <v>1000</v>
      </c>
      <c r="J2481" s="10">
        <v>439.00000000000034</v>
      </c>
      <c r="K2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-860</v>
      </c>
      <c r="L2481">
        <v>0</v>
      </c>
      <c r="M24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1">
        <v>0.5</v>
      </c>
      <c r="O2481" s="23" t="s">
        <v>242</v>
      </c>
      <c r="P2481">
        <v>20</v>
      </c>
      <c r="Q2481" s="23" t="s">
        <v>181</v>
      </c>
    </row>
    <row r="2482" spans="1:17" x14ac:dyDescent="0.25">
      <c r="A2482" s="23" t="s">
        <v>1055</v>
      </c>
      <c r="B2482" s="23" t="s">
        <v>1056</v>
      </c>
      <c r="C2482" s="23" t="s">
        <v>176</v>
      </c>
      <c r="D2482" s="23" t="s">
        <v>152</v>
      </c>
      <c r="E2482" s="23" t="s">
        <v>153</v>
      </c>
      <c r="F2482">
        <v>50</v>
      </c>
      <c r="G2482" s="23" t="s">
        <v>177</v>
      </c>
      <c r="H2482">
        <v>0</v>
      </c>
      <c r="I2482">
        <v>1000</v>
      </c>
      <c r="J2482" s="10">
        <v>439.00000000000034</v>
      </c>
      <c r="K2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-860</v>
      </c>
      <c r="L2482">
        <v>0</v>
      </c>
      <c r="M24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2">
        <v>0.5</v>
      </c>
      <c r="O2482" s="23" t="s">
        <v>242</v>
      </c>
      <c r="P2482">
        <v>25</v>
      </c>
      <c r="Q2482" s="23" t="s">
        <v>181</v>
      </c>
    </row>
    <row r="2483" spans="1:17" x14ac:dyDescent="0.25">
      <c r="A2483" s="23" t="s">
        <v>1147</v>
      </c>
      <c r="B2483" s="23" t="s">
        <v>1145</v>
      </c>
      <c r="C2483" s="23" t="s">
        <v>176</v>
      </c>
      <c r="D2483" s="23" t="s">
        <v>449</v>
      </c>
      <c r="E2483" s="23" t="s">
        <v>450</v>
      </c>
      <c r="F2483">
        <v>2</v>
      </c>
      <c r="G2483" s="23" t="s">
        <v>177</v>
      </c>
      <c r="H2483">
        <v>0</v>
      </c>
      <c r="I2483">
        <v>15</v>
      </c>
      <c r="J2483" s="10">
        <v>14</v>
      </c>
      <c r="K2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483">
        <v>15</v>
      </c>
      <c r="M24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3">
        <v>65.709999999999994</v>
      </c>
      <c r="O2483" s="23" t="s">
        <v>228</v>
      </c>
      <c r="P2483">
        <v>131.41999999999999</v>
      </c>
      <c r="Q2483" s="23" t="s">
        <v>222</v>
      </c>
    </row>
    <row r="2484" spans="1:17" x14ac:dyDescent="0.25">
      <c r="A2484" s="23" t="s">
        <v>1099</v>
      </c>
      <c r="B2484" s="23" t="s">
        <v>1056</v>
      </c>
      <c r="C2484" s="23" t="s">
        <v>176</v>
      </c>
      <c r="D2484" s="23" t="s">
        <v>970</v>
      </c>
      <c r="E2484" s="23" t="s">
        <v>971</v>
      </c>
      <c r="F2484">
        <v>0.3</v>
      </c>
      <c r="G2484" s="23" t="s">
        <v>183</v>
      </c>
      <c r="H2484">
        <v>0</v>
      </c>
      <c r="I2484">
        <v>0</v>
      </c>
      <c r="J2484" s="10">
        <v>30.760000000000009</v>
      </c>
      <c r="K2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2484">
        <v>0</v>
      </c>
      <c r="M24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2484">
        <v>1748.21</v>
      </c>
      <c r="O2484" s="23" t="s">
        <v>224</v>
      </c>
      <c r="P2484">
        <v>524.46299999999997</v>
      </c>
      <c r="Q2484" s="23" t="s">
        <v>182</v>
      </c>
    </row>
    <row r="2485" spans="1:17" x14ac:dyDescent="0.25">
      <c r="A2485" s="23" t="s">
        <v>1147</v>
      </c>
      <c r="B2485" s="23" t="s">
        <v>1145</v>
      </c>
      <c r="C2485" s="23" t="s">
        <v>176</v>
      </c>
      <c r="D2485" s="23" t="s">
        <v>1156</v>
      </c>
      <c r="E2485" s="23" t="s">
        <v>1157</v>
      </c>
      <c r="F2485">
        <v>4</v>
      </c>
      <c r="G2485" s="23" t="s">
        <v>177</v>
      </c>
      <c r="H2485">
        <v>0</v>
      </c>
      <c r="I2485">
        <v>0</v>
      </c>
      <c r="J2485" s="10">
        <v>0</v>
      </c>
      <c r="K2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485">
        <v>0</v>
      </c>
      <c r="M24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2485">
        <v>0.88</v>
      </c>
      <c r="O2485" s="23" t="s">
        <v>636</v>
      </c>
      <c r="P2485">
        <v>3.52</v>
      </c>
      <c r="Q2485" s="23" t="s">
        <v>222</v>
      </c>
    </row>
    <row r="2486" spans="1:17" x14ac:dyDescent="0.25">
      <c r="A2486" s="23" t="s">
        <v>1147</v>
      </c>
      <c r="B2486" s="23" t="s">
        <v>1145</v>
      </c>
      <c r="C2486" s="23" t="s">
        <v>176</v>
      </c>
      <c r="D2486" s="23" t="s">
        <v>782</v>
      </c>
      <c r="E2486" s="23" t="s">
        <v>783</v>
      </c>
      <c r="F2486">
        <v>1</v>
      </c>
      <c r="G2486" s="23" t="s">
        <v>177</v>
      </c>
      <c r="H2486">
        <v>0</v>
      </c>
      <c r="I2486">
        <v>6</v>
      </c>
      <c r="J2486" s="10">
        <v>7</v>
      </c>
      <c r="K2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486">
        <v>10</v>
      </c>
      <c r="M24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6">
        <v>750</v>
      </c>
      <c r="O2486" s="23" t="s">
        <v>291</v>
      </c>
      <c r="P2486">
        <v>750</v>
      </c>
      <c r="Q2486" s="23" t="s">
        <v>179</v>
      </c>
    </row>
    <row r="2487" spans="1:17" x14ac:dyDescent="0.25">
      <c r="A2487" s="23" t="s">
        <v>1147</v>
      </c>
      <c r="B2487" s="23" t="s">
        <v>1145</v>
      </c>
      <c r="C2487" s="23" t="s">
        <v>176</v>
      </c>
      <c r="D2487" s="23" t="s">
        <v>779</v>
      </c>
      <c r="E2487" s="23" t="s">
        <v>133</v>
      </c>
      <c r="F2487">
        <v>14</v>
      </c>
      <c r="G2487" s="23" t="s">
        <v>177</v>
      </c>
      <c r="H2487">
        <v>0</v>
      </c>
      <c r="I2487">
        <v>574</v>
      </c>
      <c r="J2487" s="10">
        <v>98</v>
      </c>
      <c r="K2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487">
        <v>0</v>
      </c>
      <c r="M24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7">
        <v>6.67</v>
      </c>
      <c r="O2487" s="23" t="s">
        <v>1195</v>
      </c>
      <c r="P2487">
        <v>93.38</v>
      </c>
      <c r="Q2487" s="23" t="s">
        <v>222</v>
      </c>
    </row>
    <row r="2488" spans="1:17" x14ac:dyDescent="0.25">
      <c r="A2488" s="23" t="s">
        <v>1099</v>
      </c>
      <c r="B2488" s="23" t="s">
        <v>1056</v>
      </c>
      <c r="C2488" s="23" t="s">
        <v>176</v>
      </c>
      <c r="D2488" s="23" t="s">
        <v>779</v>
      </c>
      <c r="E2488" s="23" t="s">
        <v>133</v>
      </c>
      <c r="F2488">
        <v>22</v>
      </c>
      <c r="G2488" s="23" t="s">
        <v>177</v>
      </c>
      <c r="H2488">
        <v>0</v>
      </c>
      <c r="I2488">
        <v>574</v>
      </c>
      <c r="J2488" s="10">
        <v>98</v>
      </c>
      <c r="K2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488">
        <v>0</v>
      </c>
      <c r="M24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88">
        <v>6.67</v>
      </c>
      <c r="O2488" s="23" t="s">
        <v>1195</v>
      </c>
      <c r="P2488">
        <v>146.74</v>
      </c>
      <c r="Q2488" s="23" t="s">
        <v>222</v>
      </c>
    </row>
    <row r="2489" spans="1:17" x14ac:dyDescent="0.25">
      <c r="A2489" s="23" t="s">
        <v>1147</v>
      </c>
      <c r="B2489" s="23" t="s">
        <v>1145</v>
      </c>
      <c r="C2489" s="23" t="s">
        <v>176</v>
      </c>
      <c r="D2489" s="23" t="s">
        <v>1049</v>
      </c>
      <c r="E2489" s="23" t="s">
        <v>1050</v>
      </c>
      <c r="F2489">
        <v>1</v>
      </c>
      <c r="G2489" s="23" t="s">
        <v>177</v>
      </c>
      <c r="H2489">
        <v>0</v>
      </c>
      <c r="I2489">
        <v>3</v>
      </c>
      <c r="J2489" s="10">
        <v>6</v>
      </c>
      <c r="K2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489">
        <v>0</v>
      </c>
      <c r="M24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2489">
        <v>12138.93</v>
      </c>
      <c r="O2489" s="23" t="s">
        <v>635</v>
      </c>
      <c r="P2489">
        <v>12138.93</v>
      </c>
      <c r="Q2489" s="23" t="s">
        <v>178</v>
      </c>
    </row>
    <row r="2490" spans="1:17" x14ac:dyDescent="0.25">
      <c r="A2490" s="23" t="s">
        <v>1148</v>
      </c>
      <c r="B2490" s="23" t="s">
        <v>1054</v>
      </c>
      <c r="C2490" s="23" t="s">
        <v>176</v>
      </c>
      <c r="D2490" s="23" t="s">
        <v>608</v>
      </c>
      <c r="E2490" s="23" t="s">
        <v>609</v>
      </c>
      <c r="F2490">
        <v>2</v>
      </c>
      <c r="G2490" s="23" t="s">
        <v>177</v>
      </c>
      <c r="H2490">
        <v>0</v>
      </c>
      <c r="I2490">
        <v>2</v>
      </c>
      <c r="J2490" s="10">
        <v>8</v>
      </c>
      <c r="K2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490">
        <v>0</v>
      </c>
      <c r="M24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2490">
        <v>56.58</v>
      </c>
      <c r="O2490" s="23" t="s">
        <v>637</v>
      </c>
      <c r="P2490">
        <v>113.16</v>
      </c>
      <c r="Q2490" s="23" t="s">
        <v>178</v>
      </c>
    </row>
    <row r="2491" spans="1:17" x14ac:dyDescent="0.25">
      <c r="A2491" s="23" t="s">
        <v>1058</v>
      </c>
      <c r="B2491" s="23" t="s">
        <v>1059</v>
      </c>
      <c r="C2491" s="23" t="s">
        <v>176</v>
      </c>
      <c r="D2491" s="23" t="s">
        <v>884</v>
      </c>
      <c r="E2491" s="23" t="s">
        <v>885</v>
      </c>
      <c r="F2491">
        <v>9</v>
      </c>
      <c r="G2491" s="23" t="s">
        <v>180</v>
      </c>
      <c r="H2491">
        <v>0</v>
      </c>
      <c r="I2491">
        <v>480</v>
      </c>
      <c r="J2491" s="10">
        <v>0</v>
      </c>
      <c r="K2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491">
        <v>0</v>
      </c>
      <c r="M24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1">
        <v>4</v>
      </c>
      <c r="O2491" s="23"/>
      <c r="P2491">
        <v>36</v>
      </c>
      <c r="Q2491" s="23" t="s">
        <v>182</v>
      </c>
    </row>
    <row r="2492" spans="1:17" x14ac:dyDescent="0.25">
      <c r="A2492" s="23" t="s">
        <v>1058</v>
      </c>
      <c r="B2492" s="23" t="s">
        <v>1059</v>
      </c>
      <c r="C2492" s="23" t="s">
        <v>176</v>
      </c>
      <c r="D2492" s="23" t="s">
        <v>219</v>
      </c>
      <c r="E2492" s="23" t="s">
        <v>220</v>
      </c>
      <c r="F2492">
        <v>2</v>
      </c>
      <c r="G2492" s="23" t="s">
        <v>177</v>
      </c>
      <c r="H2492">
        <v>0</v>
      </c>
      <c r="I2492">
        <v>288</v>
      </c>
      <c r="J2492" s="10">
        <v>94</v>
      </c>
      <c r="K2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492">
        <v>0</v>
      </c>
      <c r="M24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2">
        <v>4</v>
      </c>
      <c r="O2492" s="23" t="s">
        <v>221</v>
      </c>
      <c r="P2492">
        <v>8</v>
      </c>
      <c r="Q2492" s="23" t="s">
        <v>222</v>
      </c>
    </row>
    <row r="2493" spans="1:17" x14ac:dyDescent="0.25">
      <c r="A2493" s="23" t="s">
        <v>1148</v>
      </c>
      <c r="B2493" s="23" t="s">
        <v>1054</v>
      </c>
      <c r="C2493" s="23" t="s">
        <v>176</v>
      </c>
      <c r="D2493" s="23" t="s">
        <v>442</v>
      </c>
      <c r="E2493" s="23" t="s">
        <v>443</v>
      </c>
      <c r="F2493">
        <v>1</v>
      </c>
      <c r="G2493" s="23" t="s">
        <v>177</v>
      </c>
      <c r="H2493">
        <v>0</v>
      </c>
      <c r="I2493">
        <v>25</v>
      </c>
      <c r="J2493" s="10">
        <v>3</v>
      </c>
      <c r="K2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493">
        <v>0</v>
      </c>
      <c r="M24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3">
        <v>360.05</v>
      </c>
      <c r="O2493" s="23" t="s">
        <v>637</v>
      </c>
      <c r="P2493">
        <v>360.05</v>
      </c>
      <c r="Q2493" s="23" t="s">
        <v>179</v>
      </c>
    </row>
    <row r="2494" spans="1:17" x14ac:dyDescent="0.25">
      <c r="A2494" s="23" t="s">
        <v>1147</v>
      </c>
      <c r="B2494" s="23" t="s">
        <v>1145</v>
      </c>
      <c r="C2494" s="23" t="s">
        <v>176</v>
      </c>
      <c r="D2494" s="23" t="s">
        <v>702</v>
      </c>
      <c r="E2494" s="23" t="s">
        <v>703</v>
      </c>
      <c r="F2494">
        <v>4</v>
      </c>
      <c r="G2494" s="23" t="s">
        <v>177</v>
      </c>
      <c r="H2494">
        <v>0</v>
      </c>
      <c r="I2494">
        <v>100</v>
      </c>
      <c r="J2494" s="10">
        <v>52</v>
      </c>
      <c r="K2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2494">
        <v>0</v>
      </c>
      <c r="M24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4">
        <v>1.1299999999999999</v>
      </c>
      <c r="O2494" s="23" t="s">
        <v>827</v>
      </c>
      <c r="P2494">
        <v>4.5199999999999996</v>
      </c>
      <c r="Q2494" s="23" t="s">
        <v>222</v>
      </c>
    </row>
    <row r="2495" spans="1:17" x14ac:dyDescent="0.25">
      <c r="A2495" s="23" t="s">
        <v>1099</v>
      </c>
      <c r="B2495" s="23" t="s">
        <v>1056</v>
      </c>
      <c r="C2495" s="23" t="s">
        <v>176</v>
      </c>
      <c r="D2495" s="23" t="s">
        <v>702</v>
      </c>
      <c r="E2495" s="23" t="s">
        <v>703</v>
      </c>
      <c r="F2495">
        <v>4</v>
      </c>
      <c r="G2495" s="23" t="s">
        <v>177</v>
      </c>
      <c r="H2495">
        <v>0</v>
      </c>
      <c r="I2495">
        <v>100</v>
      </c>
      <c r="J2495" s="10">
        <v>52</v>
      </c>
      <c r="K2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2495">
        <v>0</v>
      </c>
      <c r="M24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5">
        <v>1.1299999999999999</v>
      </c>
      <c r="O2495" s="23" t="s">
        <v>827</v>
      </c>
      <c r="P2495">
        <v>4.5199999999999996</v>
      </c>
      <c r="Q2495" s="23" t="s">
        <v>222</v>
      </c>
    </row>
    <row r="2496" spans="1:17" x14ac:dyDescent="0.25">
      <c r="A2496" s="23" t="s">
        <v>1146</v>
      </c>
      <c r="B2496" s="23" t="s">
        <v>1145</v>
      </c>
      <c r="C2496" s="23" t="s">
        <v>176</v>
      </c>
      <c r="D2496" s="23" t="s">
        <v>884</v>
      </c>
      <c r="E2496" s="23" t="s">
        <v>885</v>
      </c>
      <c r="F2496">
        <v>9</v>
      </c>
      <c r="G2496" s="23" t="s">
        <v>180</v>
      </c>
      <c r="H2496">
        <v>0</v>
      </c>
      <c r="I2496">
        <v>480</v>
      </c>
      <c r="J2496" s="10">
        <v>0</v>
      </c>
      <c r="K2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496">
        <v>0</v>
      </c>
      <c r="M24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6">
        <v>4</v>
      </c>
      <c r="O2496" s="23"/>
      <c r="P2496">
        <v>36</v>
      </c>
      <c r="Q2496" s="23" t="s">
        <v>182</v>
      </c>
    </row>
    <row r="2497" spans="1:17" x14ac:dyDescent="0.25">
      <c r="A2497" s="23" t="s">
        <v>1144</v>
      </c>
      <c r="B2497" s="23" t="s">
        <v>1145</v>
      </c>
      <c r="C2497" s="23" t="s">
        <v>176</v>
      </c>
      <c r="D2497" s="23" t="s">
        <v>884</v>
      </c>
      <c r="E2497" s="23" t="s">
        <v>885</v>
      </c>
      <c r="F2497">
        <v>9</v>
      </c>
      <c r="G2497" s="23" t="s">
        <v>180</v>
      </c>
      <c r="H2497">
        <v>0</v>
      </c>
      <c r="I2497">
        <v>480</v>
      </c>
      <c r="J2497" s="10">
        <v>0</v>
      </c>
      <c r="K2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497">
        <v>0</v>
      </c>
      <c r="M24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7">
        <v>4</v>
      </c>
      <c r="O2497" s="23"/>
      <c r="P2497">
        <v>36</v>
      </c>
      <c r="Q2497" s="23" t="s">
        <v>182</v>
      </c>
    </row>
    <row r="2498" spans="1:17" x14ac:dyDescent="0.25">
      <c r="A2498" s="23" t="s">
        <v>1144</v>
      </c>
      <c r="B2498" s="23" t="s">
        <v>1145</v>
      </c>
      <c r="C2498" s="23" t="s">
        <v>176</v>
      </c>
      <c r="D2498" s="23" t="s">
        <v>211</v>
      </c>
      <c r="E2498" s="23" t="s">
        <v>212</v>
      </c>
      <c r="F2498">
        <v>1</v>
      </c>
      <c r="G2498" s="23" t="s">
        <v>177</v>
      </c>
      <c r="H2498">
        <v>0</v>
      </c>
      <c r="I2498">
        <v>23</v>
      </c>
      <c r="J2498" s="10">
        <v>8</v>
      </c>
      <c r="K2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498">
        <v>40</v>
      </c>
      <c r="M24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8">
        <v>312</v>
      </c>
      <c r="O2498" s="23" t="s">
        <v>218</v>
      </c>
      <c r="P2498">
        <v>312</v>
      </c>
      <c r="Q2498" s="23" t="s">
        <v>178</v>
      </c>
    </row>
    <row r="2499" spans="1:17" x14ac:dyDescent="0.25">
      <c r="A2499" s="23" t="s">
        <v>1146</v>
      </c>
      <c r="B2499" s="23" t="s">
        <v>1145</v>
      </c>
      <c r="C2499" s="23" t="s">
        <v>176</v>
      </c>
      <c r="D2499" s="23" t="s">
        <v>211</v>
      </c>
      <c r="E2499" s="23" t="s">
        <v>212</v>
      </c>
      <c r="F2499">
        <v>1</v>
      </c>
      <c r="G2499" s="23" t="s">
        <v>177</v>
      </c>
      <c r="H2499">
        <v>0</v>
      </c>
      <c r="I2499">
        <v>23</v>
      </c>
      <c r="J2499" s="10">
        <v>8</v>
      </c>
      <c r="K2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499">
        <v>40</v>
      </c>
      <c r="M24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499">
        <v>312</v>
      </c>
      <c r="O2499" s="23" t="s">
        <v>218</v>
      </c>
      <c r="P2499">
        <v>312</v>
      </c>
      <c r="Q2499" s="23" t="s">
        <v>178</v>
      </c>
    </row>
    <row r="2500" spans="1:17" x14ac:dyDescent="0.25">
      <c r="A2500" s="23" t="s">
        <v>1149</v>
      </c>
      <c r="B2500" s="23" t="s">
        <v>1145</v>
      </c>
      <c r="C2500" s="23" t="s">
        <v>176</v>
      </c>
      <c r="D2500" s="23" t="s">
        <v>219</v>
      </c>
      <c r="E2500" s="23" t="s">
        <v>220</v>
      </c>
      <c r="F2500">
        <v>2</v>
      </c>
      <c r="G2500" s="23" t="s">
        <v>177</v>
      </c>
      <c r="H2500">
        <v>0</v>
      </c>
      <c r="I2500">
        <v>288</v>
      </c>
      <c r="J2500" s="10">
        <v>94</v>
      </c>
      <c r="K2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500">
        <v>0</v>
      </c>
      <c r="M25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0">
        <v>4</v>
      </c>
      <c r="O2500" s="23" t="s">
        <v>221</v>
      </c>
      <c r="P2500">
        <v>8</v>
      </c>
      <c r="Q2500" s="23" t="s">
        <v>222</v>
      </c>
    </row>
    <row r="2501" spans="1:17" x14ac:dyDescent="0.25">
      <c r="A2501" s="23" t="s">
        <v>1099</v>
      </c>
      <c r="B2501" s="23" t="s">
        <v>1056</v>
      </c>
      <c r="C2501" s="23" t="s">
        <v>176</v>
      </c>
      <c r="D2501" s="23" t="s">
        <v>470</v>
      </c>
      <c r="E2501" s="23" t="s">
        <v>471</v>
      </c>
      <c r="F2501">
        <v>1</v>
      </c>
      <c r="G2501" s="23" t="s">
        <v>177</v>
      </c>
      <c r="H2501">
        <v>0</v>
      </c>
      <c r="I2501">
        <v>39</v>
      </c>
      <c r="J2501" s="10">
        <v>2</v>
      </c>
      <c r="K2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501">
        <v>0</v>
      </c>
      <c r="M25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1">
        <v>65</v>
      </c>
      <c r="O2501" s="23" t="s">
        <v>822</v>
      </c>
      <c r="P2501">
        <v>65</v>
      </c>
      <c r="Q2501" s="23" t="s">
        <v>179</v>
      </c>
    </row>
    <row r="2502" spans="1:17" x14ac:dyDescent="0.25">
      <c r="A2502" s="23" t="s">
        <v>1098</v>
      </c>
      <c r="B2502" s="23" t="s">
        <v>1053</v>
      </c>
      <c r="C2502" s="23" t="s">
        <v>176</v>
      </c>
      <c r="D2502" s="23" t="s">
        <v>77</v>
      </c>
      <c r="E2502" s="23" t="s">
        <v>78</v>
      </c>
      <c r="F2502">
        <v>3</v>
      </c>
      <c r="G2502" s="23" t="s">
        <v>177</v>
      </c>
      <c r="H2502">
        <v>0</v>
      </c>
      <c r="I2502">
        <v>85</v>
      </c>
      <c r="J2502" s="10">
        <v>31</v>
      </c>
      <c r="K2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02">
        <v>0</v>
      </c>
      <c r="M25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2">
        <v>120</v>
      </c>
      <c r="O2502" s="23" t="s">
        <v>1153</v>
      </c>
      <c r="P2502">
        <v>360</v>
      </c>
      <c r="Q2502" s="23" t="s">
        <v>179</v>
      </c>
    </row>
    <row r="2503" spans="1:17" x14ac:dyDescent="0.25">
      <c r="A2503" s="23" t="s">
        <v>1098</v>
      </c>
      <c r="B2503" s="23" t="s">
        <v>1053</v>
      </c>
      <c r="C2503" s="23" t="s">
        <v>176</v>
      </c>
      <c r="D2503" s="23" t="s">
        <v>23</v>
      </c>
      <c r="E2503" s="23" t="s">
        <v>305</v>
      </c>
      <c r="F2503">
        <v>1</v>
      </c>
      <c r="G2503" s="23" t="s">
        <v>177</v>
      </c>
      <c r="H2503">
        <v>0</v>
      </c>
      <c r="I2503">
        <v>0</v>
      </c>
      <c r="J2503" s="10">
        <v>7</v>
      </c>
      <c r="K2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2503">
        <v>0</v>
      </c>
      <c r="M25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2503">
        <v>40</v>
      </c>
      <c r="O2503" s="23" t="s">
        <v>636</v>
      </c>
      <c r="P2503">
        <v>40</v>
      </c>
      <c r="Q2503" s="23" t="s">
        <v>222</v>
      </c>
    </row>
    <row r="2504" spans="1:17" x14ac:dyDescent="0.25">
      <c r="A2504" s="23" t="s">
        <v>1147</v>
      </c>
      <c r="B2504" s="23" t="s">
        <v>1145</v>
      </c>
      <c r="C2504" s="23" t="s">
        <v>176</v>
      </c>
      <c r="D2504" s="23" t="s">
        <v>337</v>
      </c>
      <c r="E2504" s="23" t="s">
        <v>624</v>
      </c>
      <c r="F2504">
        <v>1</v>
      </c>
      <c r="G2504" s="23" t="s">
        <v>177</v>
      </c>
      <c r="H2504">
        <v>0</v>
      </c>
      <c r="I2504">
        <v>5</v>
      </c>
      <c r="J2504" s="10">
        <v>4</v>
      </c>
      <c r="K2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04">
        <v>0</v>
      </c>
      <c r="M25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2504">
        <v>1678.88</v>
      </c>
      <c r="O2504" s="23" t="s">
        <v>637</v>
      </c>
      <c r="P2504">
        <v>1678.88</v>
      </c>
      <c r="Q2504" s="23" t="s">
        <v>179</v>
      </c>
    </row>
    <row r="2505" spans="1:17" x14ac:dyDescent="0.25">
      <c r="A2505" s="23" t="s">
        <v>1147</v>
      </c>
      <c r="B2505" s="23" t="s">
        <v>1145</v>
      </c>
      <c r="C2505" s="23" t="s">
        <v>176</v>
      </c>
      <c r="D2505" s="23" t="s">
        <v>803</v>
      </c>
      <c r="E2505" s="23" t="s">
        <v>823</v>
      </c>
      <c r="F2505">
        <v>1</v>
      </c>
      <c r="G2505" s="23" t="s">
        <v>177</v>
      </c>
      <c r="H2505">
        <v>0</v>
      </c>
      <c r="I2505">
        <v>20.5</v>
      </c>
      <c r="J2505" s="10">
        <v>5</v>
      </c>
      <c r="K2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2505">
        <v>0</v>
      </c>
      <c r="M25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5">
        <v>175</v>
      </c>
      <c r="O2505" s="23" t="s">
        <v>218</v>
      </c>
      <c r="P2505">
        <v>175</v>
      </c>
      <c r="Q2505" s="23" t="s">
        <v>181</v>
      </c>
    </row>
    <row r="2506" spans="1:17" x14ac:dyDescent="0.25">
      <c r="A2506" s="23" t="s">
        <v>1148</v>
      </c>
      <c r="B2506" s="23" t="s">
        <v>1054</v>
      </c>
      <c r="C2506" s="23" t="s">
        <v>176</v>
      </c>
      <c r="D2506" s="23" t="s">
        <v>803</v>
      </c>
      <c r="E2506" s="23" t="s">
        <v>823</v>
      </c>
      <c r="F2506">
        <v>1</v>
      </c>
      <c r="G2506" s="23" t="s">
        <v>177</v>
      </c>
      <c r="H2506">
        <v>0</v>
      </c>
      <c r="I2506">
        <v>20.5</v>
      </c>
      <c r="J2506" s="10">
        <v>5</v>
      </c>
      <c r="K2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2506">
        <v>0</v>
      </c>
      <c r="M25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6">
        <v>175</v>
      </c>
      <c r="O2506" s="23" t="s">
        <v>218</v>
      </c>
      <c r="P2506">
        <v>175</v>
      </c>
      <c r="Q2506" s="23" t="s">
        <v>181</v>
      </c>
    </row>
    <row r="2507" spans="1:17" x14ac:dyDescent="0.25">
      <c r="A2507" s="23" t="s">
        <v>1147</v>
      </c>
      <c r="B2507" s="23" t="s">
        <v>1145</v>
      </c>
      <c r="C2507" s="23" t="s">
        <v>176</v>
      </c>
      <c r="D2507" s="23" t="s">
        <v>591</v>
      </c>
      <c r="E2507" s="23" t="s">
        <v>592</v>
      </c>
      <c r="F2507">
        <v>1</v>
      </c>
      <c r="G2507" s="23" t="s">
        <v>177</v>
      </c>
      <c r="H2507">
        <v>0</v>
      </c>
      <c r="I2507">
        <v>6</v>
      </c>
      <c r="J2507" s="10">
        <v>8</v>
      </c>
      <c r="K2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07">
        <v>10</v>
      </c>
      <c r="M25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7">
        <v>583.77</v>
      </c>
      <c r="O2507" s="23" t="s">
        <v>593</v>
      </c>
      <c r="P2507">
        <v>583.77</v>
      </c>
      <c r="Q2507" s="23" t="s">
        <v>181</v>
      </c>
    </row>
    <row r="2508" spans="1:17" x14ac:dyDescent="0.25">
      <c r="A2508" s="23" t="s">
        <v>1100</v>
      </c>
      <c r="B2508" s="23" t="s">
        <v>1101</v>
      </c>
      <c r="C2508" s="23" t="s">
        <v>176</v>
      </c>
      <c r="D2508" s="23" t="s">
        <v>470</v>
      </c>
      <c r="E2508" s="23" t="s">
        <v>471</v>
      </c>
      <c r="F2508">
        <v>1</v>
      </c>
      <c r="G2508" s="23" t="s">
        <v>177</v>
      </c>
      <c r="H2508">
        <v>0</v>
      </c>
      <c r="I2508">
        <v>39</v>
      </c>
      <c r="J2508" s="10">
        <v>2</v>
      </c>
      <c r="K2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508">
        <v>0</v>
      </c>
      <c r="M25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08">
        <v>65</v>
      </c>
      <c r="O2508" s="23" t="s">
        <v>822</v>
      </c>
      <c r="P2508">
        <v>65</v>
      </c>
      <c r="Q2508" s="23" t="s">
        <v>179</v>
      </c>
    </row>
    <row r="2509" spans="1:17" x14ac:dyDescent="0.25">
      <c r="A2509" s="23" t="s">
        <v>1055</v>
      </c>
      <c r="B2509" s="23" t="s">
        <v>1056</v>
      </c>
      <c r="C2509" s="23" t="s">
        <v>176</v>
      </c>
      <c r="D2509" s="23" t="s">
        <v>452</v>
      </c>
      <c r="E2509" s="23" t="s">
        <v>453</v>
      </c>
      <c r="F2509">
        <v>1</v>
      </c>
      <c r="G2509" s="23" t="s">
        <v>177</v>
      </c>
      <c r="H2509">
        <v>1</v>
      </c>
      <c r="I2509">
        <v>6</v>
      </c>
      <c r="J2509" s="10">
        <v>7</v>
      </c>
      <c r="K2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09">
        <v>6</v>
      </c>
      <c r="M25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509">
        <v>1600</v>
      </c>
      <c r="O2509" s="23" t="s">
        <v>242</v>
      </c>
      <c r="P2509">
        <v>1600</v>
      </c>
      <c r="Q2509" s="23" t="s">
        <v>179</v>
      </c>
    </row>
    <row r="2510" spans="1:17" x14ac:dyDescent="0.25">
      <c r="A2510" s="23" t="s">
        <v>1100</v>
      </c>
      <c r="B2510" s="23" t="s">
        <v>1101</v>
      </c>
      <c r="C2510" s="23" t="s">
        <v>176</v>
      </c>
      <c r="D2510" s="23" t="s">
        <v>452</v>
      </c>
      <c r="E2510" s="23" t="s">
        <v>453</v>
      </c>
      <c r="F2510">
        <v>1</v>
      </c>
      <c r="G2510" s="23" t="s">
        <v>177</v>
      </c>
      <c r="H2510">
        <v>0</v>
      </c>
      <c r="I2510">
        <v>6</v>
      </c>
      <c r="J2510" s="10">
        <v>7</v>
      </c>
      <c r="K2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10">
        <v>6</v>
      </c>
      <c r="M25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510">
        <v>1600</v>
      </c>
      <c r="O2510" s="23" t="s">
        <v>242</v>
      </c>
      <c r="P2510">
        <v>1600</v>
      </c>
      <c r="Q2510" s="23" t="s">
        <v>179</v>
      </c>
    </row>
    <row r="2511" spans="1:17" x14ac:dyDescent="0.25">
      <c r="A2511" s="23" t="s">
        <v>1055</v>
      </c>
      <c r="B2511" s="23" t="s">
        <v>1056</v>
      </c>
      <c r="C2511" s="23" t="s">
        <v>176</v>
      </c>
      <c r="D2511" s="23" t="s">
        <v>274</v>
      </c>
      <c r="E2511" s="23" t="s">
        <v>622</v>
      </c>
      <c r="F2511">
        <v>1</v>
      </c>
      <c r="G2511" s="23" t="s">
        <v>177</v>
      </c>
      <c r="H2511">
        <v>0</v>
      </c>
      <c r="I2511">
        <v>11</v>
      </c>
      <c r="J2511" s="10">
        <v>4</v>
      </c>
      <c r="K2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511">
        <v>0</v>
      </c>
      <c r="M25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1">
        <v>1678.88</v>
      </c>
      <c r="O2511" s="23" t="s">
        <v>637</v>
      </c>
      <c r="P2511">
        <v>1678.88</v>
      </c>
      <c r="Q2511" s="23" t="s">
        <v>179</v>
      </c>
    </row>
    <row r="2512" spans="1:17" x14ac:dyDescent="0.25">
      <c r="A2512" s="23" t="s">
        <v>1100</v>
      </c>
      <c r="B2512" s="23" t="s">
        <v>1101</v>
      </c>
      <c r="C2512" s="23" t="s">
        <v>176</v>
      </c>
      <c r="D2512" s="23" t="s">
        <v>737</v>
      </c>
      <c r="E2512" s="23" t="s">
        <v>738</v>
      </c>
      <c r="F2512">
        <v>1</v>
      </c>
      <c r="G2512" s="23" t="s">
        <v>177</v>
      </c>
      <c r="H2512">
        <v>0</v>
      </c>
      <c r="I2512">
        <v>14</v>
      </c>
      <c r="J2512" s="10">
        <v>15</v>
      </c>
      <c r="K2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12">
        <v>0</v>
      </c>
      <c r="M25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2">
        <v>400</v>
      </c>
      <c r="O2512" s="23" t="s">
        <v>668</v>
      </c>
      <c r="P2512">
        <v>400</v>
      </c>
      <c r="Q2512" s="23" t="s">
        <v>178</v>
      </c>
    </row>
    <row r="2513" spans="1:17" x14ac:dyDescent="0.25">
      <c r="A2513" s="23" t="s">
        <v>1100</v>
      </c>
      <c r="B2513" s="23" t="s">
        <v>1101</v>
      </c>
      <c r="C2513" s="23" t="s">
        <v>176</v>
      </c>
      <c r="D2513" s="23" t="s">
        <v>591</v>
      </c>
      <c r="E2513" s="23" t="s">
        <v>592</v>
      </c>
      <c r="F2513">
        <v>1</v>
      </c>
      <c r="G2513" s="23" t="s">
        <v>177</v>
      </c>
      <c r="H2513">
        <v>0</v>
      </c>
      <c r="I2513">
        <v>6</v>
      </c>
      <c r="J2513" s="10">
        <v>8</v>
      </c>
      <c r="K2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13">
        <v>10</v>
      </c>
      <c r="M25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3">
        <v>583.77</v>
      </c>
      <c r="O2513" s="23" t="s">
        <v>593</v>
      </c>
      <c r="P2513">
        <v>583.77</v>
      </c>
      <c r="Q2513" s="23" t="s">
        <v>181</v>
      </c>
    </row>
    <row r="2514" spans="1:17" x14ac:dyDescent="0.25">
      <c r="A2514" s="23" t="s">
        <v>1100</v>
      </c>
      <c r="B2514" s="23" t="s">
        <v>1101</v>
      </c>
      <c r="C2514" s="23" t="s">
        <v>176</v>
      </c>
      <c r="D2514" s="23" t="s">
        <v>506</v>
      </c>
      <c r="E2514" s="23" t="s">
        <v>507</v>
      </c>
      <c r="F2514">
        <v>1</v>
      </c>
      <c r="G2514" s="23" t="s">
        <v>177</v>
      </c>
      <c r="H2514">
        <v>0</v>
      </c>
      <c r="I2514">
        <v>8</v>
      </c>
      <c r="J2514" s="10">
        <v>9</v>
      </c>
      <c r="K2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514">
        <v>36</v>
      </c>
      <c r="M25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4">
        <v>101.4</v>
      </c>
      <c r="O2514" s="23" t="s">
        <v>1065</v>
      </c>
      <c r="P2514">
        <v>101.4</v>
      </c>
      <c r="Q2514" s="23" t="s">
        <v>222</v>
      </c>
    </row>
    <row r="2515" spans="1:17" x14ac:dyDescent="0.25">
      <c r="A2515" s="23" t="s">
        <v>1058</v>
      </c>
      <c r="B2515" s="23" t="s">
        <v>1059</v>
      </c>
      <c r="C2515" s="23" t="s">
        <v>176</v>
      </c>
      <c r="D2515" s="23" t="s">
        <v>337</v>
      </c>
      <c r="E2515" s="23" t="s">
        <v>624</v>
      </c>
      <c r="F2515">
        <v>1</v>
      </c>
      <c r="G2515" s="23" t="s">
        <v>177</v>
      </c>
      <c r="H2515">
        <v>1</v>
      </c>
      <c r="I2515">
        <v>5</v>
      </c>
      <c r="J2515" s="10">
        <v>4</v>
      </c>
      <c r="K2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15">
        <v>0</v>
      </c>
      <c r="M25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2515">
        <v>1678.88</v>
      </c>
      <c r="O2515" s="23" t="s">
        <v>637</v>
      </c>
      <c r="P2515">
        <v>1678.88</v>
      </c>
      <c r="Q2515" s="23" t="s">
        <v>179</v>
      </c>
    </row>
    <row r="2516" spans="1:17" x14ac:dyDescent="0.25">
      <c r="A2516" s="23" t="s">
        <v>1058</v>
      </c>
      <c r="B2516" s="23" t="s">
        <v>1059</v>
      </c>
      <c r="C2516" s="23" t="s">
        <v>176</v>
      </c>
      <c r="D2516" s="23" t="s">
        <v>737</v>
      </c>
      <c r="E2516" s="23" t="s">
        <v>738</v>
      </c>
      <c r="F2516">
        <v>1</v>
      </c>
      <c r="G2516" s="23" t="s">
        <v>177</v>
      </c>
      <c r="H2516">
        <v>1</v>
      </c>
      <c r="I2516">
        <v>14</v>
      </c>
      <c r="J2516" s="10">
        <v>15</v>
      </c>
      <c r="K2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16">
        <v>0</v>
      </c>
      <c r="M25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6">
        <v>400</v>
      </c>
      <c r="O2516" s="23" t="s">
        <v>668</v>
      </c>
      <c r="P2516">
        <v>400</v>
      </c>
      <c r="Q2516" s="23" t="s">
        <v>178</v>
      </c>
    </row>
    <row r="2517" spans="1:17" x14ac:dyDescent="0.25">
      <c r="A2517" s="23" t="s">
        <v>1058</v>
      </c>
      <c r="B2517" s="23" t="s">
        <v>1059</v>
      </c>
      <c r="C2517" s="23" t="s">
        <v>176</v>
      </c>
      <c r="D2517" s="23" t="s">
        <v>591</v>
      </c>
      <c r="E2517" s="23" t="s">
        <v>592</v>
      </c>
      <c r="F2517">
        <v>1</v>
      </c>
      <c r="G2517" s="23" t="s">
        <v>177</v>
      </c>
      <c r="H2517">
        <v>1</v>
      </c>
      <c r="I2517">
        <v>6</v>
      </c>
      <c r="J2517" s="10">
        <v>8</v>
      </c>
      <c r="K2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17">
        <v>10</v>
      </c>
      <c r="M25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7">
        <v>583.77</v>
      </c>
      <c r="O2517" s="23" t="s">
        <v>593</v>
      </c>
      <c r="P2517">
        <v>583.77</v>
      </c>
      <c r="Q2517" s="23" t="s">
        <v>181</v>
      </c>
    </row>
    <row r="2518" spans="1:17" x14ac:dyDescent="0.25">
      <c r="A2518" s="23" t="s">
        <v>1147</v>
      </c>
      <c r="B2518" s="23" t="s">
        <v>1145</v>
      </c>
      <c r="C2518" s="23" t="s">
        <v>176</v>
      </c>
      <c r="D2518" s="23" t="s">
        <v>656</v>
      </c>
      <c r="E2518" s="23" t="s">
        <v>657</v>
      </c>
      <c r="F2518">
        <v>2</v>
      </c>
      <c r="G2518" s="23" t="s">
        <v>177</v>
      </c>
      <c r="H2518">
        <v>0</v>
      </c>
      <c r="I2518">
        <v>216</v>
      </c>
      <c r="J2518" s="10">
        <v>118</v>
      </c>
      <c r="K2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518">
        <v>0</v>
      </c>
      <c r="M25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8">
        <v>3.95</v>
      </c>
      <c r="O2518" s="23" t="s">
        <v>221</v>
      </c>
      <c r="P2518">
        <v>7.9</v>
      </c>
      <c r="Q2518" s="23" t="s">
        <v>222</v>
      </c>
    </row>
    <row r="2519" spans="1:17" x14ac:dyDescent="0.25">
      <c r="A2519" s="23" t="s">
        <v>1058</v>
      </c>
      <c r="B2519" s="23" t="s">
        <v>1059</v>
      </c>
      <c r="C2519" s="23" t="s">
        <v>176</v>
      </c>
      <c r="D2519" s="23" t="s">
        <v>683</v>
      </c>
      <c r="E2519" s="23" t="s">
        <v>684</v>
      </c>
      <c r="F2519">
        <v>2</v>
      </c>
      <c r="G2519" s="23" t="s">
        <v>177</v>
      </c>
      <c r="H2519">
        <v>0</v>
      </c>
      <c r="I2519">
        <v>34</v>
      </c>
      <c r="J2519" s="10">
        <v>27</v>
      </c>
      <c r="K2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519">
        <v>0</v>
      </c>
      <c r="M25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19">
        <v>500</v>
      </c>
      <c r="O2519" s="23" t="s">
        <v>585</v>
      </c>
      <c r="P2519">
        <v>1000</v>
      </c>
      <c r="Q2519" s="23" t="s">
        <v>178</v>
      </c>
    </row>
    <row r="2520" spans="1:17" x14ac:dyDescent="0.25">
      <c r="A2520" s="23" t="s">
        <v>1150</v>
      </c>
      <c r="B2520" s="23" t="s">
        <v>1145</v>
      </c>
      <c r="C2520" s="23" t="s">
        <v>176</v>
      </c>
      <c r="D2520" s="23" t="s">
        <v>470</v>
      </c>
      <c r="E2520" s="23" t="s">
        <v>471</v>
      </c>
      <c r="F2520">
        <v>1</v>
      </c>
      <c r="G2520" s="23" t="s">
        <v>177</v>
      </c>
      <c r="H2520">
        <v>0</v>
      </c>
      <c r="I2520">
        <v>39</v>
      </c>
      <c r="J2520" s="10">
        <v>2</v>
      </c>
      <c r="K2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520">
        <v>0</v>
      </c>
      <c r="M25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0">
        <v>65</v>
      </c>
      <c r="O2520" s="23" t="s">
        <v>822</v>
      </c>
      <c r="P2520">
        <v>65</v>
      </c>
      <c r="Q2520" s="23" t="s">
        <v>179</v>
      </c>
    </row>
    <row r="2521" spans="1:17" x14ac:dyDescent="0.25">
      <c r="A2521" s="23" t="s">
        <v>1055</v>
      </c>
      <c r="B2521" s="23" t="s">
        <v>1056</v>
      </c>
      <c r="C2521" s="23" t="s">
        <v>176</v>
      </c>
      <c r="D2521" s="23" t="s">
        <v>337</v>
      </c>
      <c r="E2521" s="23" t="s">
        <v>624</v>
      </c>
      <c r="F2521">
        <v>1</v>
      </c>
      <c r="G2521" s="23" t="s">
        <v>177</v>
      </c>
      <c r="H2521">
        <v>0</v>
      </c>
      <c r="I2521">
        <v>5</v>
      </c>
      <c r="J2521" s="10">
        <v>4</v>
      </c>
      <c r="K2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21">
        <v>0</v>
      </c>
      <c r="M25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2521">
        <v>1678.88</v>
      </c>
      <c r="O2521" s="23" t="s">
        <v>637</v>
      </c>
      <c r="P2521">
        <v>1678.88</v>
      </c>
      <c r="Q2521" s="23" t="s">
        <v>179</v>
      </c>
    </row>
    <row r="2522" spans="1:17" x14ac:dyDescent="0.25">
      <c r="A2522" s="23" t="s">
        <v>1055</v>
      </c>
      <c r="B2522" s="23" t="s">
        <v>1056</v>
      </c>
      <c r="C2522" s="23" t="s">
        <v>176</v>
      </c>
      <c r="D2522" s="23" t="s">
        <v>1017</v>
      </c>
      <c r="E2522" s="23" t="s">
        <v>1018</v>
      </c>
      <c r="F2522">
        <v>0.9</v>
      </c>
      <c r="G2522" s="23" t="s">
        <v>180</v>
      </c>
      <c r="H2522">
        <v>0</v>
      </c>
      <c r="I2522">
        <v>0</v>
      </c>
      <c r="J2522" s="10">
        <v>23.20000000000001</v>
      </c>
      <c r="K2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</v>
      </c>
      <c r="L2522">
        <v>0</v>
      </c>
      <c r="M25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2522">
        <v>200</v>
      </c>
      <c r="O2522" s="23" t="s">
        <v>1019</v>
      </c>
      <c r="P2522">
        <v>180</v>
      </c>
      <c r="Q2522" s="23" t="s">
        <v>178</v>
      </c>
    </row>
    <row r="2523" spans="1:17" x14ac:dyDescent="0.25">
      <c r="A2523" s="23" t="s">
        <v>1099</v>
      </c>
      <c r="B2523" s="23" t="s">
        <v>1056</v>
      </c>
      <c r="C2523" s="23" t="s">
        <v>176</v>
      </c>
      <c r="D2523" s="23" t="s">
        <v>452</v>
      </c>
      <c r="E2523" s="23" t="s">
        <v>453</v>
      </c>
      <c r="F2523">
        <v>1</v>
      </c>
      <c r="G2523" s="23" t="s">
        <v>177</v>
      </c>
      <c r="H2523">
        <v>1</v>
      </c>
      <c r="I2523">
        <v>6</v>
      </c>
      <c r="J2523" s="10">
        <v>7</v>
      </c>
      <c r="K2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23">
        <v>6</v>
      </c>
      <c r="M25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523">
        <v>1600</v>
      </c>
      <c r="O2523" s="23" t="s">
        <v>242</v>
      </c>
      <c r="P2523">
        <v>1600</v>
      </c>
      <c r="Q2523" s="23" t="s">
        <v>179</v>
      </c>
    </row>
    <row r="2524" spans="1:17" x14ac:dyDescent="0.25">
      <c r="A2524" s="23" t="s">
        <v>1148</v>
      </c>
      <c r="B2524" s="23" t="s">
        <v>1054</v>
      </c>
      <c r="C2524" s="23" t="s">
        <v>176</v>
      </c>
      <c r="D2524" s="23" t="s">
        <v>452</v>
      </c>
      <c r="E2524" s="23" t="s">
        <v>453</v>
      </c>
      <c r="F2524">
        <v>1</v>
      </c>
      <c r="G2524" s="23" t="s">
        <v>177</v>
      </c>
      <c r="H2524">
        <v>0</v>
      </c>
      <c r="I2524">
        <v>6</v>
      </c>
      <c r="J2524" s="10">
        <v>7</v>
      </c>
      <c r="K2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24">
        <v>6</v>
      </c>
      <c r="M25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524">
        <v>1600</v>
      </c>
      <c r="O2524" s="23" t="s">
        <v>242</v>
      </c>
      <c r="P2524">
        <v>1600</v>
      </c>
      <c r="Q2524" s="23" t="s">
        <v>179</v>
      </c>
    </row>
    <row r="2525" spans="1:17" x14ac:dyDescent="0.25">
      <c r="A2525" s="23" t="s">
        <v>1147</v>
      </c>
      <c r="B2525" s="23" t="s">
        <v>1145</v>
      </c>
      <c r="C2525" s="23" t="s">
        <v>176</v>
      </c>
      <c r="D2525" s="23" t="s">
        <v>452</v>
      </c>
      <c r="E2525" s="23" t="s">
        <v>453</v>
      </c>
      <c r="F2525">
        <v>1</v>
      </c>
      <c r="G2525" s="23" t="s">
        <v>177</v>
      </c>
      <c r="H2525">
        <v>0</v>
      </c>
      <c r="I2525">
        <v>6</v>
      </c>
      <c r="J2525" s="10">
        <v>7</v>
      </c>
      <c r="K2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525">
        <v>6</v>
      </c>
      <c r="M25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525">
        <v>1600</v>
      </c>
      <c r="O2525" s="23" t="s">
        <v>242</v>
      </c>
      <c r="P2525">
        <v>1600</v>
      </c>
      <c r="Q2525" s="23" t="s">
        <v>179</v>
      </c>
    </row>
    <row r="2526" spans="1:17" x14ac:dyDescent="0.25">
      <c r="A2526" s="23" t="s">
        <v>1147</v>
      </c>
      <c r="B2526" s="23" t="s">
        <v>1145</v>
      </c>
      <c r="C2526" s="23" t="s">
        <v>176</v>
      </c>
      <c r="D2526" s="23" t="s">
        <v>274</v>
      </c>
      <c r="E2526" s="23" t="s">
        <v>622</v>
      </c>
      <c r="F2526">
        <v>1</v>
      </c>
      <c r="G2526" s="23" t="s">
        <v>177</v>
      </c>
      <c r="H2526">
        <v>0</v>
      </c>
      <c r="I2526">
        <v>11</v>
      </c>
      <c r="J2526" s="10">
        <v>4</v>
      </c>
      <c r="K2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526">
        <v>0</v>
      </c>
      <c r="M25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6">
        <v>1678.88</v>
      </c>
      <c r="O2526" s="23" t="s">
        <v>637</v>
      </c>
      <c r="P2526">
        <v>1678.88</v>
      </c>
      <c r="Q2526" s="23" t="s">
        <v>179</v>
      </c>
    </row>
    <row r="2527" spans="1:17" x14ac:dyDescent="0.25">
      <c r="A2527" s="23" t="s">
        <v>1099</v>
      </c>
      <c r="B2527" s="23" t="s">
        <v>1056</v>
      </c>
      <c r="C2527" s="23" t="s">
        <v>176</v>
      </c>
      <c r="D2527" s="23" t="s">
        <v>803</v>
      </c>
      <c r="E2527" s="23" t="s">
        <v>823</v>
      </c>
      <c r="F2527">
        <v>2</v>
      </c>
      <c r="G2527" s="23" t="s">
        <v>177</v>
      </c>
      <c r="H2527">
        <v>2</v>
      </c>
      <c r="I2527">
        <v>20.5</v>
      </c>
      <c r="J2527" s="10">
        <v>5</v>
      </c>
      <c r="K2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2527">
        <v>0</v>
      </c>
      <c r="M25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7">
        <v>175</v>
      </c>
      <c r="O2527" s="23" t="s">
        <v>218</v>
      </c>
      <c r="P2527">
        <v>350</v>
      </c>
      <c r="Q2527" s="23" t="s">
        <v>181</v>
      </c>
    </row>
    <row r="2528" spans="1:17" x14ac:dyDescent="0.25">
      <c r="A2528" s="23" t="s">
        <v>1148</v>
      </c>
      <c r="B2528" s="23" t="s">
        <v>1054</v>
      </c>
      <c r="C2528" s="23" t="s">
        <v>176</v>
      </c>
      <c r="D2528" s="23" t="s">
        <v>737</v>
      </c>
      <c r="E2528" s="23" t="s">
        <v>738</v>
      </c>
      <c r="F2528">
        <v>1</v>
      </c>
      <c r="G2528" s="23" t="s">
        <v>177</v>
      </c>
      <c r="H2528">
        <v>0</v>
      </c>
      <c r="I2528">
        <v>14</v>
      </c>
      <c r="J2528" s="10">
        <v>15</v>
      </c>
      <c r="K2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28">
        <v>0</v>
      </c>
      <c r="M25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8">
        <v>400</v>
      </c>
      <c r="O2528" s="23" t="s">
        <v>668</v>
      </c>
      <c r="P2528">
        <v>400</v>
      </c>
      <c r="Q2528" s="23" t="s">
        <v>178</v>
      </c>
    </row>
    <row r="2529" spans="1:17" x14ac:dyDescent="0.25">
      <c r="A2529" s="23" t="s">
        <v>1147</v>
      </c>
      <c r="B2529" s="23" t="s">
        <v>1145</v>
      </c>
      <c r="C2529" s="23" t="s">
        <v>176</v>
      </c>
      <c r="D2529" s="23" t="s">
        <v>737</v>
      </c>
      <c r="E2529" s="23" t="s">
        <v>738</v>
      </c>
      <c r="F2529">
        <v>1</v>
      </c>
      <c r="G2529" s="23" t="s">
        <v>177</v>
      </c>
      <c r="H2529">
        <v>0</v>
      </c>
      <c r="I2529">
        <v>14</v>
      </c>
      <c r="J2529" s="10">
        <v>15</v>
      </c>
      <c r="K2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29">
        <v>0</v>
      </c>
      <c r="M25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29">
        <v>400</v>
      </c>
      <c r="O2529" s="23" t="s">
        <v>668</v>
      </c>
      <c r="P2529">
        <v>400</v>
      </c>
      <c r="Q2529" s="23" t="s">
        <v>178</v>
      </c>
    </row>
    <row r="2530" spans="1:17" x14ac:dyDescent="0.25">
      <c r="A2530" s="23" t="s">
        <v>1148</v>
      </c>
      <c r="B2530" s="23" t="s">
        <v>1054</v>
      </c>
      <c r="C2530" s="23" t="s">
        <v>176</v>
      </c>
      <c r="D2530" s="23" t="s">
        <v>591</v>
      </c>
      <c r="E2530" s="23" t="s">
        <v>592</v>
      </c>
      <c r="F2530">
        <v>1</v>
      </c>
      <c r="G2530" s="23" t="s">
        <v>177</v>
      </c>
      <c r="H2530">
        <v>0</v>
      </c>
      <c r="I2530">
        <v>6</v>
      </c>
      <c r="J2530" s="10">
        <v>8</v>
      </c>
      <c r="K2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30">
        <v>10</v>
      </c>
      <c r="M25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0">
        <v>583.77</v>
      </c>
      <c r="O2530" s="23" t="s">
        <v>593</v>
      </c>
      <c r="P2530">
        <v>583.77</v>
      </c>
      <c r="Q2530" s="23" t="s">
        <v>181</v>
      </c>
    </row>
    <row r="2531" spans="1:17" x14ac:dyDescent="0.25">
      <c r="A2531" s="23" t="s">
        <v>1099</v>
      </c>
      <c r="B2531" s="23" t="s">
        <v>1056</v>
      </c>
      <c r="C2531" s="23" t="s">
        <v>176</v>
      </c>
      <c r="D2531" s="23" t="s">
        <v>591</v>
      </c>
      <c r="E2531" s="23" t="s">
        <v>592</v>
      </c>
      <c r="F2531">
        <v>1</v>
      </c>
      <c r="G2531" s="23" t="s">
        <v>177</v>
      </c>
      <c r="H2531">
        <v>1</v>
      </c>
      <c r="I2531">
        <v>6</v>
      </c>
      <c r="J2531" s="10">
        <v>8</v>
      </c>
      <c r="K2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31">
        <v>10</v>
      </c>
      <c r="M25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1">
        <v>583.77</v>
      </c>
      <c r="O2531" s="23" t="s">
        <v>593</v>
      </c>
      <c r="P2531">
        <v>583.77</v>
      </c>
      <c r="Q2531" s="23" t="s">
        <v>181</v>
      </c>
    </row>
    <row r="2532" spans="1:17" x14ac:dyDescent="0.25">
      <c r="A2532" s="23" t="s">
        <v>1147</v>
      </c>
      <c r="B2532" s="23" t="s">
        <v>1145</v>
      </c>
      <c r="C2532" s="23" t="s">
        <v>176</v>
      </c>
      <c r="D2532" s="23" t="s">
        <v>1162</v>
      </c>
      <c r="E2532" s="23" t="s">
        <v>1163</v>
      </c>
      <c r="F2532">
        <v>2</v>
      </c>
      <c r="G2532" s="23" t="s">
        <v>177</v>
      </c>
      <c r="H2532">
        <v>0</v>
      </c>
      <c r="I2532">
        <v>0</v>
      </c>
      <c r="J2532" s="10">
        <v>0</v>
      </c>
      <c r="K2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2532">
        <v>0</v>
      </c>
      <c r="M25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2">
        <v>0</v>
      </c>
      <c r="O2532" s="23"/>
      <c r="P2532">
        <v>0</v>
      </c>
      <c r="Q2532" s="23" t="s">
        <v>222</v>
      </c>
    </row>
    <row r="2533" spans="1:17" x14ac:dyDescent="0.25">
      <c r="A2533" s="23" t="s">
        <v>1147</v>
      </c>
      <c r="B2533" s="23" t="s">
        <v>1145</v>
      </c>
      <c r="C2533" s="23" t="s">
        <v>176</v>
      </c>
      <c r="D2533" s="23" t="s">
        <v>1160</v>
      </c>
      <c r="E2533" s="23" t="s">
        <v>1161</v>
      </c>
      <c r="F2533">
        <v>6</v>
      </c>
      <c r="G2533" s="23" t="s">
        <v>177</v>
      </c>
      <c r="H2533">
        <v>0</v>
      </c>
      <c r="I2533">
        <v>0</v>
      </c>
      <c r="J2533" s="10">
        <v>0</v>
      </c>
      <c r="K2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2533">
        <v>0</v>
      </c>
      <c r="M25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2533">
        <v>0.36</v>
      </c>
      <c r="O2533" s="23" t="s">
        <v>883</v>
      </c>
      <c r="P2533">
        <v>2.16</v>
      </c>
      <c r="Q2533" s="23" t="s">
        <v>181</v>
      </c>
    </row>
    <row r="2534" spans="1:17" x14ac:dyDescent="0.25">
      <c r="A2534" s="23" t="s">
        <v>1149</v>
      </c>
      <c r="B2534" s="23" t="s">
        <v>1145</v>
      </c>
      <c r="C2534" s="23" t="s">
        <v>176</v>
      </c>
      <c r="D2534" s="23" t="s">
        <v>26</v>
      </c>
      <c r="E2534" s="23" t="s">
        <v>27</v>
      </c>
      <c r="F2534">
        <v>1</v>
      </c>
      <c r="G2534" s="23" t="s">
        <v>177</v>
      </c>
      <c r="H2534">
        <v>0</v>
      </c>
      <c r="I2534">
        <v>24</v>
      </c>
      <c r="J2534" s="10">
        <v>4</v>
      </c>
      <c r="K2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34">
        <v>0</v>
      </c>
      <c r="M25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4">
        <v>625</v>
      </c>
      <c r="O2534" s="23" t="s">
        <v>227</v>
      </c>
      <c r="P2534">
        <v>625</v>
      </c>
      <c r="Q2534" s="23" t="s">
        <v>181</v>
      </c>
    </row>
    <row r="2535" spans="1:17" x14ac:dyDescent="0.25">
      <c r="A2535" s="23" t="s">
        <v>1149</v>
      </c>
      <c r="B2535" s="23" t="s">
        <v>1145</v>
      </c>
      <c r="C2535" s="23" t="s">
        <v>176</v>
      </c>
      <c r="D2535" s="23" t="s">
        <v>470</v>
      </c>
      <c r="E2535" s="23" t="s">
        <v>471</v>
      </c>
      <c r="F2535">
        <v>1</v>
      </c>
      <c r="G2535" s="23" t="s">
        <v>177</v>
      </c>
      <c r="H2535">
        <v>0</v>
      </c>
      <c r="I2535">
        <v>39</v>
      </c>
      <c r="J2535" s="10">
        <v>2</v>
      </c>
      <c r="K2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535">
        <v>0</v>
      </c>
      <c r="M25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5">
        <v>65</v>
      </c>
      <c r="O2535" s="23" t="s">
        <v>822</v>
      </c>
      <c r="P2535">
        <v>65</v>
      </c>
      <c r="Q2535" s="23" t="s">
        <v>179</v>
      </c>
    </row>
    <row r="2536" spans="1:17" x14ac:dyDescent="0.25">
      <c r="A2536" s="23" t="s">
        <v>1150</v>
      </c>
      <c r="B2536" s="23" t="s">
        <v>1145</v>
      </c>
      <c r="C2536" s="23" t="s">
        <v>176</v>
      </c>
      <c r="D2536" s="23" t="s">
        <v>26</v>
      </c>
      <c r="E2536" s="23" t="s">
        <v>27</v>
      </c>
      <c r="F2536">
        <v>1</v>
      </c>
      <c r="G2536" s="23" t="s">
        <v>177</v>
      </c>
      <c r="H2536">
        <v>0</v>
      </c>
      <c r="I2536">
        <v>24</v>
      </c>
      <c r="J2536" s="10">
        <v>4</v>
      </c>
      <c r="K2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536">
        <v>0</v>
      </c>
      <c r="M25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6">
        <v>625</v>
      </c>
      <c r="O2536" s="23" t="s">
        <v>227</v>
      </c>
      <c r="P2536">
        <v>625</v>
      </c>
      <c r="Q2536" s="23" t="s">
        <v>181</v>
      </c>
    </row>
    <row r="2537" spans="1:17" x14ac:dyDescent="0.25">
      <c r="A2537" s="23" t="s">
        <v>1149</v>
      </c>
      <c r="B2537" s="23" t="s">
        <v>1145</v>
      </c>
      <c r="C2537" s="23" t="s">
        <v>176</v>
      </c>
      <c r="D2537" s="23" t="s">
        <v>803</v>
      </c>
      <c r="E2537" s="23" t="s">
        <v>823</v>
      </c>
      <c r="F2537">
        <v>1</v>
      </c>
      <c r="G2537" s="23" t="s">
        <v>177</v>
      </c>
      <c r="H2537">
        <v>0</v>
      </c>
      <c r="I2537">
        <v>20.5</v>
      </c>
      <c r="J2537" s="10">
        <v>5</v>
      </c>
      <c r="K2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2537">
        <v>0</v>
      </c>
      <c r="M25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7">
        <v>175</v>
      </c>
      <c r="O2537" s="23" t="s">
        <v>218</v>
      </c>
      <c r="P2537">
        <v>175</v>
      </c>
      <c r="Q2537" s="23" t="s">
        <v>181</v>
      </c>
    </row>
    <row r="2538" spans="1:17" x14ac:dyDescent="0.25">
      <c r="A2538" s="23" t="s">
        <v>1149</v>
      </c>
      <c r="B2538" s="23" t="s">
        <v>1145</v>
      </c>
      <c r="C2538" s="23" t="s">
        <v>176</v>
      </c>
      <c r="D2538" s="23" t="s">
        <v>591</v>
      </c>
      <c r="E2538" s="23" t="s">
        <v>592</v>
      </c>
      <c r="F2538">
        <v>1</v>
      </c>
      <c r="G2538" s="23" t="s">
        <v>177</v>
      </c>
      <c r="H2538">
        <v>0</v>
      </c>
      <c r="I2538">
        <v>6</v>
      </c>
      <c r="J2538" s="10">
        <v>8</v>
      </c>
      <c r="K2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538">
        <v>10</v>
      </c>
      <c r="M25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8">
        <v>583.77</v>
      </c>
      <c r="O2538" s="23" t="s">
        <v>593</v>
      </c>
      <c r="P2538">
        <v>583.77</v>
      </c>
      <c r="Q2538" s="23" t="s">
        <v>181</v>
      </c>
    </row>
    <row r="2539" spans="1:17" x14ac:dyDescent="0.25">
      <c r="A2539" s="23" t="s">
        <v>1149</v>
      </c>
      <c r="B2539" s="23" t="s">
        <v>1145</v>
      </c>
      <c r="C2539" s="23" t="s">
        <v>176</v>
      </c>
      <c r="D2539" s="23" t="s">
        <v>656</v>
      </c>
      <c r="E2539" s="23" t="s">
        <v>657</v>
      </c>
      <c r="F2539">
        <v>2</v>
      </c>
      <c r="G2539" s="23" t="s">
        <v>177</v>
      </c>
      <c r="H2539">
        <v>0</v>
      </c>
      <c r="I2539">
        <v>216</v>
      </c>
      <c r="J2539" s="10">
        <v>118</v>
      </c>
      <c r="K2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539">
        <v>0</v>
      </c>
      <c r="M25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39">
        <v>3.95</v>
      </c>
      <c r="O2539" s="23" t="s">
        <v>221</v>
      </c>
      <c r="P2539">
        <v>7.9</v>
      </c>
      <c r="Q2539" s="23" t="s">
        <v>222</v>
      </c>
    </row>
    <row r="2540" spans="1:17" x14ac:dyDescent="0.25">
      <c r="A2540" s="23" t="s">
        <v>1149</v>
      </c>
      <c r="B2540" s="23" t="s">
        <v>1145</v>
      </c>
      <c r="C2540" s="23" t="s">
        <v>176</v>
      </c>
      <c r="D2540" s="23" t="s">
        <v>38</v>
      </c>
      <c r="E2540" s="23" t="s">
        <v>39</v>
      </c>
      <c r="F2540">
        <v>2</v>
      </c>
      <c r="G2540" s="23" t="s">
        <v>177</v>
      </c>
      <c r="H2540">
        <v>0</v>
      </c>
      <c r="I2540">
        <v>306</v>
      </c>
      <c r="J2540" s="10">
        <v>11</v>
      </c>
      <c r="K2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40">
        <v>0</v>
      </c>
      <c r="M25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0">
        <v>210</v>
      </c>
      <c r="O2540" s="23" t="s">
        <v>221</v>
      </c>
      <c r="P2540">
        <v>420</v>
      </c>
      <c r="Q2540" s="23" t="s">
        <v>222</v>
      </c>
    </row>
    <row r="2541" spans="1:17" x14ac:dyDescent="0.25">
      <c r="A2541" s="23" t="s">
        <v>1149</v>
      </c>
      <c r="B2541" s="23" t="s">
        <v>1145</v>
      </c>
      <c r="C2541" s="23" t="s">
        <v>176</v>
      </c>
      <c r="D2541" s="23" t="s">
        <v>427</v>
      </c>
      <c r="E2541" s="23" t="s">
        <v>428</v>
      </c>
      <c r="F2541">
        <v>1</v>
      </c>
      <c r="G2541" s="23" t="s">
        <v>177</v>
      </c>
      <c r="H2541">
        <v>0</v>
      </c>
      <c r="I2541">
        <v>4</v>
      </c>
      <c r="J2541" s="10">
        <v>8</v>
      </c>
      <c r="K2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41">
        <v>9</v>
      </c>
      <c r="M25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1">
        <v>266.39999999999998</v>
      </c>
      <c r="O2541" s="23" t="s">
        <v>228</v>
      </c>
      <c r="P2541">
        <v>266.39999999999998</v>
      </c>
      <c r="Q2541" s="23" t="s">
        <v>222</v>
      </c>
    </row>
    <row r="2542" spans="1:17" x14ac:dyDescent="0.25">
      <c r="A2542" s="23" t="s">
        <v>1062</v>
      </c>
      <c r="B2542" s="23" t="s">
        <v>1053</v>
      </c>
      <c r="C2542" s="23" t="s">
        <v>176</v>
      </c>
      <c r="D2542" s="23" t="s">
        <v>38</v>
      </c>
      <c r="E2542" s="23" t="s">
        <v>39</v>
      </c>
      <c r="F2542">
        <v>2</v>
      </c>
      <c r="G2542" s="23" t="s">
        <v>177</v>
      </c>
      <c r="H2542">
        <v>2</v>
      </c>
      <c r="I2542">
        <v>306</v>
      </c>
      <c r="J2542" s="10">
        <v>11</v>
      </c>
      <c r="K2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42">
        <v>0</v>
      </c>
      <c r="M25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2">
        <v>210</v>
      </c>
      <c r="O2542" s="23" t="s">
        <v>221</v>
      </c>
      <c r="P2542">
        <v>420</v>
      </c>
      <c r="Q2542" s="23" t="s">
        <v>222</v>
      </c>
    </row>
    <row r="2543" spans="1:17" x14ac:dyDescent="0.25">
      <c r="A2543" s="23" t="s">
        <v>1098</v>
      </c>
      <c r="B2543" s="23" t="s">
        <v>1053</v>
      </c>
      <c r="C2543" s="23" t="s">
        <v>176</v>
      </c>
      <c r="D2543" s="23" t="s">
        <v>38</v>
      </c>
      <c r="E2543" s="23" t="s">
        <v>39</v>
      </c>
      <c r="F2543">
        <v>2</v>
      </c>
      <c r="G2543" s="23" t="s">
        <v>177</v>
      </c>
      <c r="H2543">
        <v>0</v>
      </c>
      <c r="I2543">
        <v>306</v>
      </c>
      <c r="J2543" s="10">
        <v>11</v>
      </c>
      <c r="K2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43">
        <v>0</v>
      </c>
      <c r="M25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3">
        <v>210</v>
      </c>
      <c r="O2543" s="23" t="s">
        <v>221</v>
      </c>
      <c r="P2543">
        <v>420</v>
      </c>
      <c r="Q2543" s="23" t="s">
        <v>222</v>
      </c>
    </row>
    <row r="2544" spans="1:17" x14ac:dyDescent="0.25">
      <c r="A2544" s="23" t="s">
        <v>1197</v>
      </c>
      <c r="B2544" s="23" t="s">
        <v>1198</v>
      </c>
      <c r="C2544" s="23" t="s">
        <v>176</v>
      </c>
      <c r="D2544" s="23" t="s">
        <v>38</v>
      </c>
      <c r="E2544" s="23" t="s">
        <v>39</v>
      </c>
      <c r="F2544">
        <v>2</v>
      </c>
      <c r="G2544" s="23" t="s">
        <v>177</v>
      </c>
      <c r="H2544">
        <v>0</v>
      </c>
      <c r="I2544">
        <v>306</v>
      </c>
      <c r="J2544" s="10">
        <v>11</v>
      </c>
      <c r="K2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44">
        <v>0</v>
      </c>
      <c r="M25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4">
        <v>210</v>
      </c>
      <c r="O2544" s="23" t="s">
        <v>221</v>
      </c>
      <c r="P2544">
        <v>420</v>
      </c>
      <c r="Q2544" s="23" t="s">
        <v>222</v>
      </c>
    </row>
    <row r="2545" spans="1:17" x14ac:dyDescent="0.25">
      <c r="A2545" s="23" t="s">
        <v>1098</v>
      </c>
      <c r="B2545" s="23" t="s">
        <v>1053</v>
      </c>
      <c r="C2545" s="23" t="s">
        <v>176</v>
      </c>
      <c r="D2545" s="23" t="s">
        <v>455</v>
      </c>
      <c r="E2545" s="23" t="s">
        <v>456</v>
      </c>
      <c r="F2545">
        <v>2</v>
      </c>
      <c r="G2545" s="23" t="s">
        <v>177</v>
      </c>
      <c r="H2545">
        <v>0</v>
      </c>
      <c r="I2545">
        <v>0</v>
      </c>
      <c r="J2545" s="10">
        <v>93</v>
      </c>
      <c r="K2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545">
        <v>0</v>
      </c>
      <c r="M25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545">
        <v>13.5</v>
      </c>
      <c r="O2545" s="23" t="s">
        <v>227</v>
      </c>
      <c r="P2545">
        <v>27</v>
      </c>
      <c r="Q2545" s="23" t="s">
        <v>181</v>
      </c>
    </row>
    <row r="2546" spans="1:17" x14ac:dyDescent="0.25">
      <c r="A2546" s="23" t="s">
        <v>1144</v>
      </c>
      <c r="B2546" s="23" t="s">
        <v>1145</v>
      </c>
      <c r="C2546" s="23" t="s">
        <v>176</v>
      </c>
      <c r="D2546" s="23" t="s">
        <v>427</v>
      </c>
      <c r="E2546" s="23" t="s">
        <v>428</v>
      </c>
      <c r="F2546">
        <v>1</v>
      </c>
      <c r="G2546" s="23" t="s">
        <v>177</v>
      </c>
      <c r="H2546">
        <v>0</v>
      </c>
      <c r="I2546">
        <v>4</v>
      </c>
      <c r="J2546" s="10">
        <v>8</v>
      </c>
      <c r="K2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46">
        <v>9</v>
      </c>
      <c r="M25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6">
        <v>266.39999999999998</v>
      </c>
      <c r="O2546" s="23" t="s">
        <v>228</v>
      </c>
      <c r="P2546">
        <v>266.39999999999998</v>
      </c>
      <c r="Q2546" s="23" t="s">
        <v>222</v>
      </c>
    </row>
    <row r="2547" spans="1:17" x14ac:dyDescent="0.25">
      <c r="A2547" s="23" t="s">
        <v>1146</v>
      </c>
      <c r="B2547" s="23" t="s">
        <v>1145</v>
      </c>
      <c r="C2547" s="23" t="s">
        <v>176</v>
      </c>
      <c r="D2547" s="23" t="s">
        <v>427</v>
      </c>
      <c r="E2547" s="23" t="s">
        <v>428</v>
      </c>
      <c r="F2547">
        <v>1</v>
      </c>
      <c r="G2547" s="23" t="s">
        <v>177</v>
      </c>
      <c r="H2547">
        <v>0</v>
      </c>
      <c r="I2547">
        <v>4</v>
      </c>
      <c r="J2547" s="10">
        <v>8</v>
      </c>
      <c r="K2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47">
        <v>9</v>
      </c>
      <c r="M25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7">
        <v>266.39999999999998</v>
      </c>
      <c r="O2547" s="23" t="s">
        <v>228</v>
      </c>
      <c r="P2547">
        <v>266.39999999999998</v>
      </c>
      <c r="Q2547" s="23" t="s">
        <v>222</v>
      </c>
    </row>
    <row r="2548" spans="1:17" x14ac:dyDescent="0.25">
      <c r="A2548" s="23" t="s">
        <v>1055</v>
      </c>
      <c r="B2548" s="23" t="s">
        <v>1056</v>
      </c>
      <c r="C2548" s="23" t="s">
        <v>176</v>
      </c>
      <c r="D2548" s="23" t="s">
        <v>455</v>
      </c>
      <c r="E2548" s="23" t="s">
        <v>456</v>
      </c>
      <c r="F2548">
        <v>1</v>
      </c>
      <c r="G2548" s="23" t="s">
        <v>177</v>
      </c>
      <c r="H2548">
        <v>0</v>
      </c>
      <c r="I2548">
        <v>0</v>
      </c>
      <c r="J2548" s="10">
        <v>93</v>
      </c>
      <c r="K2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548">
        <v>0</v>
      </c>
      <c r="M25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548">
        <v>13.5</v>
      </c>
      <c r="O2548" s="23" t="s">
        <v>227</v>
      </c>
      <c r="P2548">
        <v>13.5</v>
      </c>
      <c r="Q2548" s="23" t="s">
        <v>181</v>
      </c>
    </row>
    <row r="2549" spans="1:17" x14ac:dyDescent="0.25">
      <c r="A2549" s="23" t="s">
        <v>1097</v>
      </c>
      <c r="B2549" s="23" t="s">
        <v>1095</v>
      </c>
      <c r="C2549" s="23" t="s">
        <v>176</v>
      </c>
      <c r="D2549" s="23" t="s">
        <v>427</v>
      </c>
      <c r="E2549" s="23" t="s">
        <v>428</v>
      </c>
      <c r="F2549">
        <v>1</v>
      </c>
      <c r="G2549" s="23" t="s">
        <v>177</v>
      </c>
      <c r="H2549">
        <v>0</v>
      </c>
      <c r="I2549">
        <v>4</v>
      </c>
      <c r="J2549" s="10">
        <v>8</v>
      </c>
      <c r="K2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49">
        <v>9</v>
      </c>
      <c r="M25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49">
        <v>266.39999999999998</v>
      </c>
      <c r="O2549" s="23" t="s">
        <v>228</v>
      </c>
      <c r="P2549">
        <v>266.39999999999998</v>
      </c>
      <c r="Q2549" s="23" t="s">
        <v>222</v>
      </c>
    </row>
    <row r="2550" spans="1:17" x14ac:dyDescent="0.25">
      <c r="A2550" s="23" t="s">
        <v>1100</v>
      </c>
      <c r="B2550" s="23" t="s">
        <v>1101</v>
      </c>
      <c r="C2550" s="23" t="s">
        <v>176</v>
      </c>
      <c r="D2550" s="23" t="s">
        <v>40</v>
      </c>
      <c r="E2550" s="23" t="s">
        <v>41</v>
      </c>
      <c r="F2550">
        <v>2</v>
      </c>
      <c r="G2550" s="23" t="s">
        <v>177</v>
      </c>
      <c r="H2550">
        <v>0</v>
      </c>
      <c r="I2550">
        <v>30</v>
      </c>
      <c r="J2550" s="10">
        <v>3</v>
      </c>
      <c r="K2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550">
        <v>0</v>
      </c>
      <c r="M25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0">
        <v>90</v>
      </c>
      <c r="O2550" s="23" t="s">
        <v>227</v>
      </c>
      <c r="P2550">
        <v>180</v>
      </c>
      <c r="Q2550" s="23" t="s">
        <v>181</v>
      </c>
    </row>
    <row r="2551" spans="1:17" x14ac:dyDescent="0.25">
      <c r="A2551" s="23" t="s">
        <v>1148</v>
      </c>
      <c r="B2551" s="23" t="s">
        <v>1054</v>
      </c>
      <c r="C2551" s="23" t="s">
        <v>176</v>
      </c>
      <c r="D2551" s="23" t="s">
        <v>427</v>
      </c>
      <c r="E2551" s="23" t="s">
        <v>428</v>
      </c>
      <c r="F2551">
        <v>1</v>
      </c>
      <c r="G2551" s="23" t="s">
        <v>177</v>
      </c>
      <c r="H2551">
        <v>0</v>
      </c>
      <c r="I2551">
        <v>4</v>
      </c>
      <c r="J2551" s="10">
        <v>8</v>
      </c>
      <c r="K2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51">
        <v>9</v>
      </c>
      <c r="M25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1">
        <v>266.39999999999998</v>
      </c>
      <c r="O2551" s="23" t="s">
        <v>228</v>
      </c>
      <c r="P2551">
        <v>266.39999999999998</v>
      </c>
      <c r="Q2551" s="23" t="s">
        <v>222</v>
      </c>
    </row>
    <row r="2552" spans="1:17" x14ac:dyDescent="0.25">
      <c r="A2552" s="23" t="s">
        <v>1055</v>
      </c>
      <c r="B2552" s="23" t="s">
        <v>1056</v>
      </c>
      <c r="C2552" s="23" t="s">
        <v>176</v>
      </c>
      <c r="D2552" s="23" t="s">
        <v>1231</v>
      </c>
      <c r="E2552" s="23" t="s">
        <v>1232</v>
      </c>
      <c r="F2552">
        <v>1</v>
      </c>
      <c r="G2552" s="23" t="s">
        <v>177</v>
      </c>
      <c r="H2552">
        <v>0</v>
      </c>
      <c r="I2552">
        <v>4</v>
      </c>
      <c r="J2552" s="10">
        <v>2</v>
      </c>
      <c r="K2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552">
        <v>0</v>
      </c>
      <c r="M25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2">
        <v>1802.17</v>
      </c>
      <c r="O2552" s="23" t="s">
        <v>635</v>
      </c>
      <c r="P2552">
        <v>1802.17</v>
      </c>
      <c r="Q2552" s="23" t="s">
        <v>179</v>
      </c>
    </row>
    <row r="2553" spans="1:17" x14ac:dyDescent="0.25">
      <c r="A2553" s="23" t="s">
        <v>1100</v>
      </c>
      <c r="B2553" s="23" t="s">
        <v>1101</v>
      </c>
      <c r="C2553" s="23" t="s">
        <v>176</v>
      </c>
      <c r="D2553" s="23" t="s">
        <v>38</v>
      </c>
      <c r="E2553" s="23" t="s">
        <v>39</v>
      </c>
      <c r="F2553">
        <v>2</v>
      </c>
      <c r="G2553" s="23" t="s">
        <v>177</v>
      </c>
      <c r="H2553">
        <v>0</v>
      </c>
      <c r="I2553">
        <v>306</v>
      </c>
      <c r="J2553" s="10">
        <v>11</v>
      </c>
      <c r="K2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53">
        <v>0</v>
      </c>
      <c r="M25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3">
        <v>210</v>
      </c>
      <c r="O2553" s="23" t="s">
        <v>221</v>
      </c>
      <c r="P2553">
        <v>420</v>
      </c>
      <c r="Q2553" s="23" t="s">
        <v>222</v>
      </c>
    </row>
    <row r="2554" spans="1:17" x14ac:dyDescent="0.25">
      <c r="A2554" s="23" t="s">
        <v>1100</v>
      </c>
      <c r="B2554" s="23" t="s">
        <v>1101</v>
      </c>
      <c r="C2554" s="23" t="s">
        <v>176</v>
      </c>
      <c r="D2554" s="23" t="s">
        <v>427</v>
      </c>
      <c r="E2554" s="23" t="s">
        <v>428</v>
      </c>
      <c r="F2554">
        <v>1</v>
      </c>
      <c r="G2554" s="23" t="s">
        <v>177</v>
      </c>
      <c r="H2554">
        <v>0</v>
      </c>
      <c r="I2554">
        <v>4</v>
      </c>
      <c r="J2554" s="10">
        <v>8</v>
      </c>
      <c r="K2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54">
        <v>9</v>
      </c>
      <c r="M25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4">
        <v>266.39999999999998</v>
      </c>
      <c r="O2554" s="23" t="s">
        <v>228</v>
      </c>
      <c r="P2554">
        <v>266.39999999999998</v>
      </c>
      <c r="Q2554" s="23" t="s">
        <v>222</v>
      </c>
    </row>
    <row r="2555" spans="1:17" x14ac:dyDescent="0.25">
      <c r="A2555" s="23" t="s">
        <v>1100</v>
      </c>
      <c r="B2555" s="23" t="s">
        <v>1101</v>
      </c>
      <c r="C2555" s="23" t="s">
        <v>176</v>
      </c>
      <c r="D2555" s="23" t="s">
        <v>451</v>
      </c>
      <c r="E2555" s="23" t="s">
        <v>625</v>
      </c>
      <c r="F2555">
        <v>2</v>
      </c>
      <c r="G2555" s="23" t="s">
        <v>177</v>
      </c>
      <c r="H2555">
        <v>0</v>
      </c>
      <c r="I2555">
        <v>10</v>
      </c>
      <c r="J2555" s="10">
        <v>20</v>
      </c>
      <c r="K2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555">
        <v>0</v>
      </c>
      <c r="M25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2555">
        <v>14946.25</v>
      </c>
      <c r="O2555" s="23" t="s">
        <v>626</v>
      </c>
      <c r="P2555">
        <v>29892.5</v>
      </c>
      <c r="Q2555" s="23" t="s">
        <v>179</v>
      </c>
    </row>
    <row r="2556" spans="1:17" x14ac:dyDescent="0.25">
      <c r="A2556" s="23" t="s">
        <v>1062</v>
      </c>
      <c r="B2556" s="23" t="s">
        <v>1053</v>
      </c>
      <c r="C2556" s="23" t="s">
        <v>176</v>
      </c>
      <c r="D2556" s="23" t="s">
        <v>455</v>
      </c>
      <c r="E2556" s="23" t="s">
        <v>456</v>
      </c>
      <c r="F2556">
        <v>5</v>
      </c>
      <c r="G2556" s="23" t="s">
        <v>177</v>
      </c>
      <c r="H2556">
        <v>0</v>
      </c>
      <c r="I2556">
        <v>0</v>
      </c>
      <c r="J2556" s="10">
        <v>93</v>
      </c>
      <c r="K2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556">
        <v>0</v>
      </c>
      <c r="M25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556">
        <v>13.5</v>
      </c>
      <c r="O2556" s="23" t="s">
        <v>227</v>
      </c>
      <c r="P2556">
        <v>67.5</v>
      </c>
      <c r="Q2556" s="23" t="s">
        <v>181</v>
      </c>
    </row>
    <row r="2557" spans="1:17" x14ac:dyDescent="0.25">
      <c r="A2557" s="23" t="s">
        <v>1097</v>
      </c>
      <c r="B2557" s="23" t="s">
        <v>1095</v>
      </c>
      <c r="C2557" s="23" t="s">
        <v>176</v>
      </c>
      <c r="D2557" s="23" t="s">
        <v>455</v>
      </c>
      <c r="E2557" s="23" t="s">
        <v>456</v>
      </c>
      <c r="F2557">
        <v>2</v>
      </c>
      <c r="G2557" s="23" t="s">
        <v>177</v>
      </c>
      <c r="H2557">
        <v>0</v>
      </c>
      <c r="I2557">
        <v>0</v>
      </c>
      <c r="J2557" s="10">
        <v>93</v>
      </c>
      <c r="K2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557">
        <v>0</v>
      </c>
      <c r="M25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557">
        <v>13.5</v>
      </c>
      <c r="O2557" s="23" t="s">
        <v>227</v>
      </c>
      <c r="P2557">
        <v>27</v>
      </c>
      <c r="Q2557" s="23" t="s">
        <v>181</v>
      </c>
    </row>
    <row r="2558" spans="1:17" x14ac:dyDescent="0.25">
      <c r="A2558" s="23" t="s">
        <v>1197</v>
      </c>
      <c r="B2558" s="23" t="s">
        <v>1198</v>
      </c>
      <c r="C2558" s="23" t="s">
        <v>176</v>
      </c>
      <c r="D2558" s="23" t="s">
        <v>427</v>
      </c>
      <c r="E2558" s="23" t="s">
        <v>428</v>
      </c>
      <c r="F2558">
        <v>1</v>
      </c>
      <c r="G2558" s="23" t="s">
        <v>177</v>
      </c>
      <c r="H2558">
        <v>0</v>
      </c>
      <c r="I2558">
        <v>4</v>
      </c>
      <c r="J2558" s="10">
        <v>8</v>
      </c>
      <c r="K2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58">
        <v>9</v>
      </c>
      <c r="M25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8">
        <v>266.39999999999998</v>
      </c>
      <c r="O2558" s="23" t="s">
        <v>228</v>
      </c>
      <c r="P2558">
        <v>266.39999999999998</v>
      </c>
      <c r="Q2558" s="23" t="s">
        <v>222</v>
      </c>
    </row>
    <row r="2559" spans="1:17" x14ac:dyDescent="0.25">
      <c r="A2559" s="23" t="s">
        <v>1147</v>
      </c>
      <c r="B2559" s="23" t="s">
        <v>1145</v>
      </c>
      <c r="C2559" s="23" t="s">
        <v>176</v>
      </c>
      <c r="D2559" s="23" t="s">
        <v>38</v>
      </c>
      <c r="E2559" s="23" t="s">
        <v>39</v>
      </c>
      <c r="F2559">
        <v>2</v>
      </c>
      <c r="G2559" s="23" t="s">
        <v>177</v>
      </c>
      <c r="H2559">
        <v>0</v>
      </c>
      <c r="I2559">
        <v>306</v>
      </c>
      <c r="J2559" s="10">
        <v>11</v>
      </c>
      <c r="K2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59">
        <v>0</v>
      </c>
      <c r="M25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59">
        <v>210</v>
      </c>
      <c r="O2559" s="23" t="s">
        <v>221</v>
      </c>
      <c r="P2559">
        <v>420</v>
      </c>
      <c r="Q2559" s="23" t="s">
        <v>222</v>
      </c>
    </row>
    <row r="2560" spans="1:17" x14ac:dyDescent="0.25">
      <c r="A2560" s="23" t="s">
        <v>1148</v>
      </c>
      <c r="B2560" s="23" t="s">
        <v>1054</v>
      </c>
      <c r="C2560" s="23" t="s">
        <v>176</v>
      </c>
      <c r="D2560" s="23" t="s">
        <v>38</v>
      </c>
      <c r="E2560" s="23" t="s">
        <v>39</v>
      </c>
      <c r="F2560">
        <v>2</v>
      </c>
      <c r="G2560" s="23" t="s">
        <v>177</v>
      </c>
      <c r="H2560">
        <v>0</v>
      </c>
      <c r="I2560">
        <v>306</v>
      </c>
      <c r="J2560" s="10">
        <v>11</v>
      </c>
      <c r="K2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2560">
        <v>0</v>
      </c>
      <c r="M25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0">
        <v>210</v>
      </c>
      <c r="O2560" s="23" t="s">
        <v>221</v>
      </c>
      <c r="P2560">
        <v>420</v>
      </c>
      <c r="Q2560" s="23" t="s">
        <v>222</v>
      </c>
    </row>
    <row r="2561" spans="1:17" x14ac:dyDescent="0.25">
      <c r="A2561" s="23" t="s">
        <v>1100</v>
      </c>
      <c r="B2561" s="23" t="s">
        <v>1101</v>
      </c>
      <c r="C2561" s="23" t="s">
        <v>176</v>
      </c>
      <c r="D2561" s="23" t="s">
        <v>455</v>
      </c>
      <c r="E2561" s="23" t="s">
        <v>456</v>
      </c>
      <c r="F2561">
        <v>2</v>
      </c>
      <c r="G2561" s="23" t="s">
        <v>177</v>
      </c>
      <c r="H2561">
        <v>0</v>
      </c>
      <c r="I2561">
        <v>0</v>
      </c>
      <c r="J2561" s="10">
        <v>93</v>
      </c>
      <c r="K2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561">
        <v>0</v>
      </c>
      <c r="M25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561">
        <v>13.5</v>
      </c>
      <c r="O2561" s="23" t="s">
        <v>227</v>
      </c>
      <c r="P2561">
        <v>27</v>
      </c>
      <c r="Q2561" s="23" t="s">
        <v>181</v>
      </c>
    </row>
    <row r="2562" spans="1:17" x14ac:dyDescent="0.25">
      <c r="A2562" s="23" t="s">
        <v>1147</v>
      </c>
      <c r="B2562" s="23" t="s">
        <v>1145</v>
      </c>
      <c r="C2562" s="23" t="s">
        <v>176</v>
      </c>
      <c r="D2562" s="23" t="s">
        <v>427</v>
      </c>
      <c r="E2562" s="23" t="s">
        <v>428</v>
      </c>
      <c r="F2562">
        <v>1</v>
      </c>
      <c r="G2562" s="23" t="s">
        <v>177</v>
      </c>
      <c r="H2562">
        <v>0</v>
      </c>
      <c r="I2562">
        <v>4</v>
      </c>
      <c r="J2562" s="10">
        <v>8</v>
      </c>
      <c r="K2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562">
        <v>9</v>
      </c>
      <c r="M25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2">
        <v>266.39999999999998</v>
      </c>
      <c r="O2562" s="23" t="s">
        <v>228</v>
      </c>
      <c r="P2562">
        <v>266.39999999999998</v>
      </c>
      <c r="Q2562" s="23" t="s">
        <v>222</v>
      </c>
    </row>
    <row r="2563" spans="1:17" x14ac:dyDescent="0.25">
      <c r="A2563" s="23" t="s">
        <v>1147</v>
      </c>
      <c r="B2563" s="23" t="s">
        <v>1145</v>
      </c>
      <c r="C2563" s="23" t="s">
        <v>176</v>
      </c>
      <c r="D2563" s="23" t="s">
        <v>451</v>
      </c>
      <c r="E2563" s="23" t="s">
        <v>625</v>
      </c>
      <c r="F2563">
        <v>2</v>
      </c>
      <c r="G2563" s="23" t="s">
        <v>177</v>
      </c>
      <c r="H2563">
        <v>0</v>
      </c>
      <c r="I2563">
        <v>10</v>
      </c>
      <c r="J2563" s="10">
        <v>20</v>
      </c>
      <c r="K2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563">
        <v>0</v>
      </c>
      <c r="M25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2563">
        <v>14946.25</v>
      </c>
      <c r="O2563" s="23" t="s">
        <v>626</v>
      </c>
      <c r="P2563">
        <v>29892.5</v>
      </c>
      <c r="Q2563" s="23" t="s">
        <v>179</v>
      </c>
    </row>
    <row r="2564" spans="1:17" x14ac:dyDescent="0.25">
      <c r="A2564" s="23" t="s">
        <v>1058</v>
      </c>
      <c r="B2564" s="23" t="s">
        <v>1059</v>
      </c>
      <c r="C2564" s="23" t="s">
        <v>176</v>
      </c>
      <c r="D2564" s="23" t="s">
        <v>440</v>
      </c>
      <c r="E2564" s="23" t="s">
        <v>441</v>
      </c>
      <c r="F2564">
        <v>1</v>
      </c>
      <c r="G2564" s="23" t="s">
        <v>177</v>
      </c>
      <c r="H2564">
        <v>0</v>
      </c>
      <c r="I2564">
        <v>30</v>
      </c>
      <c r="J2564" s="10">
        <v>3</v>
      </c>
      <c r="K2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2564">
        <v>0</v>
      </c>
      <c r="M25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4">
        <v>372.91</v>
      </c>
      <c r="O2564" s="23" t="s">
        <v>637</v>
      </c>
      <c r="P2564">
        <v>372.91</v>
      </c>
      <c r="Q2564" s="23" t="s">
        <v>179</v>
      </c>
    </row>
    <row r="2565" spans="1:17" x14ac:dyDescent="0.25">
      <c r="A2565" s="23" t="s">
        <v>1100</v>
      </c>
      <c r="B2565" s="23" t="s">
        <v>1101</v>
      </c>
      <c r="C2565" s="23" t="s">
        <v>176</v>
      </c>
      <c r="D2565" s="23" t="s">
        <v>444</v>
      </c>
      <c r="E2565" s="23" t="s">
        <v>445</v>
      </c>
      <c r="F2565">
        <v>1</v>
      </c>
      <c r="G2565" s="23" t="s">
        <v>177</v>
      </c>
      <c r="H2565">
        <v>0</v>
      </c>
      <c r="I2565">
        <v>27</v>
      </c>
      <c r="J2565" s="10">
        <v>3</v>
      </c>
      <c r="K2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2565">
        <v>0</v>
      </c>
      <c r="M25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5">
        <v>372.91</v>
      </c>
      <c r="O2565" s="23" t="s">
        <v>637</v>
      </c>
      <c r="P2565">
        <v>372.91</v>
      </c>
      <c r="Q2565" s="23" t="s">
        <v>179</v>
      </c>
    </row>
    <row r="2566" spans="1:17" x14ac:dyDescent="0.25">
      <c r="A2566" s="23" t="s">
        <v>1150</v>
      </c>
      <c r="B2566" s="23" t="s">
        <v>1145</v>
      </c>
      <c r="C2566" s="23" t="s">
        <v>176</v>
      </c>
      <c r="D2566" s="23" t="s">
        <v>440</v>
      </c>
      <c r="E2566" s="23" t="s">
        <v>441</v>
      </c>
      <c r="F2566">
        <v>1</v>
      </c>
      <c r="G2566" s="23" t="s">
        <v>177</v>
      </c>
      <c r="H2566">
        <v>0</v>
      </c>
      <c r="I2566">
        <v>30</v>
      </c>
      <c r="J2566" s="10">
        <v>3</v>
      </c>
      <c r="K2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2566">
        <v>0</v>
      </c>
      <c r="M25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6">
        <v>372.91</v>
      </c>
      <c r="O2566" s="23" t="s">
        <v>637</v>
      </c>
      <c r="P2566">
        <v>372.91</v>
      </c>
      <c r="Q2566" s="23" t="s">
        <v>179</v>
      </c>
    </row>
    <row r="2567" spans="1:17" x14ac:dyDescent="0.25">
      <c r="A2567" s="23" t="s">
        <v>1099</v>
      </c>
      <c r="B2567" s="23" t="s">
        <v>1056</v>
      </c>
      <c r="C2567" s="23" t="s">
        <v>176</v>
      </c>
      <c r="D2567" s="23" t="s">
        <v>234</v>
      </c>
      <c r="E2567" s="23" t="s">
        <v>235</v>
      </c>
      <c r="F2567">
        <v>2</v>
      </c>
      <c r="G2567" s="23" t="s">
        <v>177</v>
      </c>
      <c r="H2567">
        <v>0</v>
      </c>
      <c r="I2567">
        <v>222</v>
      </c>
      <c r="J2567" s="10">
        <v>90</v>
      </c>
      <c r="K2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-184</v>
      </c>
      <c r="L2567">
        <v>0</v>
      </c>
      <c r="M25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7">
        <v>4</v>
      </c>
      <c r="O2567" s="23" t="s">
        <v>221</v>
      </c>
      <c r="P2567">
        <v>8</v>
      </c>
      <c r="Q2567" s="23" t="s">
        <v>222</v>
      </c>
    </row>
    <row r="2568" spans="1:17" x14ac:dyDescent="0.25">
      <c r="A2568" s="23" t="s">
        <v>1055</v>
      </c>
      <c r="B2568" s="23" t="s">
        <v>1056</v>
      </c>
      <c r="C2568" s="23" t="s">
        <v>176</v>
      </c>
      <c r="D2568" s="23" t="s">
        <v>388</v>
      </c>
      <c r="E2568" s="23" t="s">
        <v>389</v>
      </c>
      <c r="F2568">
        <v>7</v>
      </c>
      <c r="G2568" s="23" t="s">
        <v>177</v>
      </c>
      <c r="H2568">
        <v>0</v>
      </c>
      <c r="I2568">
        <v>1100</v>
      </c>
      <c r="J2568" s="10">
        <v>780</v>
      </c>
      <c r="K2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568">
        <v>0</v>
      </c>
      <c r="M25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8">
        <v>0.32</v>
      </c>
      <c r="O2568" s="23" t="s">
        <v>242</v>
      </c>
      <c r="P2568">
        <v>2.2400000000000002</v>
      </c>
      <c r="Q2568" s="23" t="s">
        <v>181</v>
      </c>
    </row>
    <row r="2569" spans="1:17" x14ac:dyDescent="0.25">
      <c r="A2569" s="23" t="s">
        <v>1099</v>
      </c>
      <c r="B2569" s="23" t="s">
        <v>1056</v>
      </c>
      <c r="C2569" s="23" t="s">
        <v>176</v>
      </c>
      <c r="D2569" s="23" t="s">
        <v>388</v>
      </c>
      <c r="E2569" s="23" t="s">
        <v>389</v>
      </c>
      <c r="F2569">
        <v>7</v>
      </c>
      <c r="G2569" s="23" t="s">
        <v>177</v>
      </c>
      <c r="H2569">
        <v>0</v>
      </c>
      <c r="I2569">
        <v>1100</v>
      </c>
      <c r="J2569" s="10">
        <v>780</v>
      </c>
      <c r="K2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569">
        <v>0</v>
      </c>
      <c r="M25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69">
        <v>0.32</v>
      </c>
      <c r="O2569" s="23" t="s">
        <v>242</v>
      </c>
      <c r="P2569">
        <v>2.2400000000000002</v>
      </c>
      <c r="Q2569" s="23" t="s">
        <v>181</v>
      </c>
    </row>
    <row r="2570" spans="1:17" x14ac:dyDescent="0.25">
      <c r="A2570" s="23" t="s">
        <v>1099</v>
      </c>
      <c r="B2570" s="23" t="s">
        <v>1056</v>
      </c>
      <c r="C2570" s="23" t="s">
        <v>176</v>
      </c>
      <c r="D2570" s="23" t="s">
        <v>99</v>
      </c>
      <c r="E2570" s="23" t="s">
        <v>250</v>
      </c>
      <c r="F2570">
        <v>4</v>
      </c>
      <c r="G2570" s="23" t="s">
        <v>177</v>
      </c>
      <c r="H2570">
        <v>4</v>
      </c>
      <c r="I2570">
        <v>230</v>
      </c>
      <c r="J2570" s="10">
        <v>72</v>
      </c>
      <c r="K2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570">
        <v>0</v>
      </c>
      <c r="M25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0">
        <v>225</v>
      </c>
      <c r="O2570" s="23" t="s">
        <v>826</v>
      </c>
      <c r="P2570">
        <v>900</v>
      </c>
      <c r="Q2570" s="23" t="s">
        <v>178</v>
      </c>
    </row>
    <row r="2571" spans="1:17" x14ac:dyDescent="0.25">
      <c r="A2571" s="23" t="s">
        <v>1147</v>
      </c>
      <c r="B2571" s="23" t="s">
        <v>1145</v>
      </c>
      <c r="C2571" s="23" t="s">
        <v>176</v>
      </c>
      <c r="D2571" s="23" t="s">
        <v>104</v>
      </c>
      <c r="E2571" s="23" t="s">
        <v>290</v>
      </c>
      <c r="F2571">
        <v>1</v>
      </c>
      <c r="G2571" s="23" t="s">
        <v>177</v>
      </c>
      <c r="H2571">
        <v>0</v>
      </c>
      <c r="I2571">
        <v>87</v>
      </c>
      <c r="J2571" s="10">
        <v>50.899999999999949</v>
      </c>
      <c r="K2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571">
        <v>0</v>
      </c>
      <c r="M25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1">
        <v>122.09</v>
      </c>
      <c r="O2571" s="23" t="s">
        <v>252</v>
      </c>
      <c r="P2571">
        <v>122.09</v>
      </c>
      <c r="Q2571" s="23" t="s">
        <v>181</v>
      </c>
    </row>
    <row r="2572" spans="1:17" x14ac:dyDescent="0.25">
      <c r="A2572" s="23" t="s">
        <v>1058</v>
      </c>
      <c r="B2572" s="23" t="s">
        <v>1059</v>
      </c>
      <c r="C2572" s="23" t="s">
        <v>176</v>
      </c>
      <c r="D2572" s="23" t="s">
        <v>142</v>
      </c>
      <c r="E2572" s="23" t="s">
        <v>143</v>
      </c>
      <c r="F2572">
        <v>16</v>
      </c>
      <c r="G2572" s="23" t="s">
        <v>177</v>
      </c>
      <c r="H2572">
        <v>0</v>
      </c>
      <c r="I2572">
        <v>150</v>
      </c>
      <c r="J2572" s="10">
        <v>0</v>
      </c>
      <c r="K2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572">
        <v>0</v>
      </c>
      <c r="M25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572">
        <v>27.75</v>
      </c>
      <c r="O2572" s="23" t="s">
        <v>743</v>
      </c>
      <c r="P2572">
        <v>444</v>
      </c>
      <c r="Q2572" s="23" t="s">
        <v>185</v>
      </c>
    </row>
    <row r="2573" spans="1:17" x14ac:dyDescent="0.25">
      <c r="A2573" s="23" t="s">
        <v>1147</v>
      </c>
      <c r="B2573" s="23" t="s">
        <v>1145</v>
      </c>
      <c r="C2573" s="23" t="s">
        <v>176</v>
      </c>
      <c r="D2573" s="23" t="s">
        <v>142</v>
      </c>
      <c r="E2573" s="23" t="s">
        <v>143</v>
      </c>
      <c r="F2573">
        <v>16</v>
      </c>
      <c r="G2573" s="23" t="s">
        <v>177</v>
      </c>
      <c r="H2573">
        <v>0</v>
      </c>
      <c r="I2573">
        <v>150</v>
      </c>
      <c r="J2573" s="10">
        <v>0</v>
      </c>
      <c r="K2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573">
        <v>0</v>
      </c>
      <c r="M25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573">
        <v>27.75</v>
      </c>
      <c r="O2573" s="23" t="s">
        <v>743</v>
      </c>
      <c r="P2573">
        <v>444</v>
      </c>
      <c r="Q2573" s="23" t="s">
        <v>185</v>
      </c>
    </row>
    <row r="2574" spans="1:17" x14ac:dyDescent="0.25">
      <c r="A2574" s="23" t="s">
        <v>1099</v>
      </c>
      <c r="B2574" s="23" t="s">
        <v>1056</v>
      </c>
      <c r="C2574" s="23" t="s">
        <v>176</v>
      </c>
      <c r="D2574" s="23" t="s">
        <v>142</v>
      </c>
      <c r="E2574" s="23" t="s">
        <v>143</v>
      </c>
      <c r="F2574">
        <v>16</v>
      </c>
      <c r="G2574" s="23" t="s">
        <v>177</v>
      </c>
      <c r="H2574">
        <v>0</v>
      </c>
      <c r="I2574">
        <v>150</v>
      </c>
      <c r="J2574" s="10">
        <v>0</v>
      </c>
      <c r="K2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574">
        <v>0</v>
      </c>
      <c r="M25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574">
        <v>27.75</v>
      </c>
      <c r="O2574" s="23" t="s">
        <v>743</v>
      </c>
      <c r="P2574">
        <v>444</v>
      </c>
      <c r="Q2574" s="23" t="s">
        <v>185</v>
      </c>
    </row>
    <row r="2575" spans="1:17" x14ac:dyDescent="0.25">
      <c r="A2575" s="23" t="s">
        <v>1055</v>
      </c>
      <c r="B2575" s="23" t="s">
        <v>1056</v>
      </c>
      <c r="C2575" s="23" t="s">
        <v>176</v>
      </c>
      <c r="D2575" s="23" t="s">
        <v>841</v>
      </c>
      <c r="E2575" s="23" t="s">
        <v>842</v>
      </c>
      <c r="F2575">
        <v>5</v>
      </c>
      <c r="G2575" s="23" t="s">
        <v>180</v>
      </c>
      <c r="H2575">
        <v>0</v>
      </c>
      <c r="I2575">
        <v>0</v>
      </c>
      <c r="J2575" s="10">
        <v>165</v>
      </c>
      <c r="K2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2575">
        <v>400</v>
      </c>
      <c r="M25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5">
        <v>5</v>
      </c>
      <c r="O2575" s="23" t="s">
        <v>225</v>
      </c>
      <c r="P2575">
        <v>25</v>
      </c>
      <c r="Q2575" s="23" t="s">
        <v>181</v>
      </c>
    </row>
    <row r="2576" spans="1:17" x14ac:dyDescent="0.25">
      <c r="A2576" s="23" t="s">
        <v>1099</v>
      </c>
      <c r="B2576" s="23" t="s">
        <v>1056</v>
      </c>
      <c r="C2576" s="23" t="s">
        <v>176</v>
      </c>
      <c r="D2576" s="23" t="s">
        <v>841</v>
      </c>
      <c r="E2576" s="23" t="s">
        <v>842</v>
      </c>
      <c r="F2576">
        <v>5</v>
      </c>
      <c r="G2576" s="23" t="s">
        <v>180</v>
      </c>
      <c r="H2576">
        <v>0</v>
      </c>
      <c r="I2576">
        <v>0</v>
      </c>
      <c r="J2576" s="10">
        <v>165</v>
      </c>
      <c r="K2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2576">
        <v>400</v>
      </c>
      <c r="M25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6">
        <v>5</v>
      </c>
      <c r="O2576" s="23" t="s">
        <v>225</v>
      </c>
      <c r="P2576">
        <v>25</v>
      </c>
      <c r="Q2576" s="23" t="s">
        <v>181</v>
      </c>
    </row>
    <row r="2577" spans="1:17" x14ac:dyDescent="0.25">
      <c r="A2577" s="23" t="s">
        <v>1055</v>
      </c>
      <c r="B2577" s="23" t="s">
        <v>1056</v>
      </c>
      <c r="C2577" s="23" t="s">
        <v>176</v>
      </c>
      <c r="D2577" s="23" t="s">
        <v>160</v>
      </c>
      <c r="E2577" s="23" t="s">
        <v>161</v>
      </c>
      <c r="F2577">
        <v>0.25</v>
      </c>
      <c r="G2577" s="23" t="s">
        <v>180</v>
      </c>
      <c r="H2577">
        <v>0</v>
      </c>
      <c r="I2577">
        <v>52</v>
      </c>
      <c r="J2577" s="10">
        <v>38.620000000000054</v>
      </c>
      <c r="K2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577">
        <v>0</v>
      </c>
      <c r="M25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7">
        <v>126.36</v>
      </c>
      <c r="O2577" s="23" t="s">
        <v>620</v>
      </c>
      <c r="P2577">
        <v>31.59</v>
      </c>
      <c r="Q2577" s="23" t="s">
        <v>179</v>
      </c>
    </row>
    <row r="2578" spans="1:17" x14ac:dyDescent="0.25">
      <c r="A2578" s="23" t="s">
        <v>1099</v>
      </c>
      <c r="B2578" s="23" t="s">
        <v>1056</v>
      </c>
      <c r="C2578" s="23" t="s">
        <v>176</v>
      </c>
      <c r="D2578" s="23" t="s">
        <v>160</v>
      </c>
      <c r="E2578" s="23" t="s">
        <v>161</v>
      </c>
      <c r="F2578">
        <v>0.25</v>
      </c>
      <c r="G2578" s="23" t="s">
        <v>180</v>
      </c>
      <c r="H2578">
        <v>0</v>
      </c>
      <c r="I2578">
        <v>52</v>
      </c>
      <c r="J2578" s="10">
        <v>38.620000000000054</v>
      </c>
      <c r="K2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578">
        <v>0</v>
      </c>
      <c r="M25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8">
        <v>126.36</v>
      </c>
      <c r="O2578" s="23" t="s">
        <v>620</v>
      </c>
      <c r="P2578">
        <v>31.59</v>
      </c>
      <c r="Q2578" s="23" t="s">
        <v>179</v>
      </c>
    </row>
    <row r="2579" spans="1:17" x14ac:dyDescent="0.25">
      <c r="A2579" s="23" t="s">
        <v>1147</v>
      </c>
      <c r="B2579" s="23" t="s">
        <v>1145</v>
      </c>
      <c r="C2579" s="23" t="s">
        <v>176</v>
      </c>
      <c r="D2579" s="23" t="s">
        <v>5</v>
      </c>
      <c r="E2579" s="23" t="s">
        <v>6</v>
      </c>
      <c r="F2579">
        <v>4.0999999999999996</v>
      </c>
      <c r="G2579" s="23" t="s">
        <v>180</v>
      </c>
      <c r="H2579">
        <v>0</v>
      </c>
      <c r="I2579">
        <v>100</v>
      </c>
      <c r="J2579" s="10">
        <v>1.9999999999998863</v>
      </c>
      <c r="K2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579">
        <v>0</v>
      </c>
      <c r="M25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79">
        <v>111</v>
      </c>
      <c r="O2579" s="23" t="s">
        <v>827</v>
      </c>
      <c r="P2579">
        <v>455.09999999999997</v>
      </c>
      <c r="Q2579" s="23" t="s">
        <v>222</v>
      </c>
    </row>
    <row r="2580" spans="1:17" x14ac:dyDescent="0.25">
      <c r="A2580" s="23" t="s">
        <v>1148</v>
      </c>
      <c r="B2580" s="23" t="s">
        <v>1054</v>
      </c>
      <c r="C2580" s="23" t="s">
        <v>176</v>
      </c>
      <c r="D2580" s="23" t="s">
        <v>354</v>
      </c>
      <c r="E2580" s="23" t="s">
        <v>355</v>
      </c>
      <c r="F2580">
        <v>32</v>
      </c>
      <c r="G2580" s="23" t="s">
        <v>177</v>
      </c>
      <c r="H2580">
        <v>0</v>
      </c>
      <c r="I2580">
        <v>491</v>
      </c>
      <c r="J2580" s="10">
        <v>50</v>
      </c>
      <c r="K2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580">
        <v>0</v>
      </c>
      <c r="M25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0">
        <v>10.65</v>
      </c>
      <c r="O2580" s="23" t="s">
        <v>883</v>
      </c>
      <c r="P2580">
        <v>340.8</v>
      </c>
      <c r="Q2580" s="23" t="s">
        <v>181</v>
      </c>
    </row>
    <row r="2581" spans="1:17" x14ac:dyDescent="0.25">
      <c r="A2581" s="23" t="s">
        <v>1055</v>
      </c>
      <c r="B2581" s="23" t="s">
        <v>1056</v>
      </c>
      <c r="C2581" s="23" t="s">
        <v>176</v>
      </c>
      <c r="D2581" s="23" t="s">
        <v>354</v>
      </c>
      <c r="E2581" s="23" t="s">
        <v>355</v>
      </c>
      <c r="F2581">
        <v>25</v>
      </c>
      <c r="G2581" s="23" t="s">
        <v>177</v>
      </c>
      <c r="H2581">
        <v>0</v>
      </c>
      <c r="I2581">
        <v>491</v>
      </c>
      <c r="J2581" s="10">
        <v>50</v>
      </c>
      <c r="K2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581">
        <v>0</v>
      </c>
      <c r="M25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1">
        <v>10.65</v>
      </c>
      <c r="O2581" s="23" t="s">
        <v>883</v>
      </c>
      <c r="P2581">
        <v>266.25</v>
      </c>
      <c r="Q2581" s="23" t="s">
        <v>181</v>
      </c>
    </row>
    <row r="2582" spans="1:17" x14ac:dyDescent="0.25">
      <c r="A2582" s="23" t="s">
        <v>1099</v>
      </c>
      <c r="B2582" s="23" t="s">
        <v>1056</v>
      </c>
      <c r="C2582" s="23" t="s">
        <v>176</v>
      </c>
      <c r="D2582" s="23" t="s">
        <v>354</v>
      </c>
      <c r="E2582" s="23" t="s">
        <v>355</v>
      </c>
      <c r="F2582">
        <v>25</v>
      </c>
      <c r="G2582" s="23" t="s">
        <v>177</v>
      </c>
      <c r="H2582">
        <v>0</v>
      </c>
      <c r="I2582">
        <v>491</v>
      </c>
      <c r="J2582" s="10">
        <v>50</v>
      </c>
      <c r="K2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2582">
        <v>0</v>
      </c>
      <c r="M25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2">
        <v>10.65</v>
      </c>
      <c r="O2582" s="23" t="s">
        <v>883</v>
      </c>
      <c r="P2582">
        <v>266.25</v>
      </c>
      <c r="Q2582" s="23" t="s">
        <v>181</v>
      </c>
    </row>
    <row r="2583" spans="1:17" x14ac:dyDescent="0.25">
      <c r="A2583" s="23" t="s">
        <v>1180</v>
      </c>
      <c r="B2583" s="23" t="s">
        <v>1181</v>
      </c>
      <c r="C2583" s="23" t="s">
        <v>176</v>
      </c>
      <c r="D2583" s="23" t="s">
        <v>1185</v>
      </c>
      <c r="E2583" s="23" t="s">
        <v>1186</v>
      </c>
      <c r="F2583">
        <v>1</v>
      </c>
      <c r="G2583" s="23" t="s">
        <v>177</v>
      </c>
      <c r="H2583">
        <v>0</v>
      </c>
      <c r="I2583">
        <v>0</v>
      </c>
      <c r="J2583" s="10">
        <v>1</v>
      </c>
      <c r="K2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583">
        <v>0</v>
      </c>
      <c r="M25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16009.7</v>
      </c>
      <c r="N2583">
        <v>16009.7</v>
      </c>
      <c r="O2583" s="23" t="s">
        <v>1187</v>
      </c>
      <c r="P2583">
        <v>16009.7</v>
      </c>
      <c r="Q2583" s="23" t="s">
        <v>178</v>
      </c>
    </row>
    <row r="2584" spans="1:17" x14ac:dyDescent="0.25">
      <c r="A2584" s="23" t="s">
        <v>1147</v>
      </c>
      <c r="B2584" s="23" t="s">
        <v>1145</v>
      </c>
      <c r="C2584" s="23" t="s">
        <v>176</v>
      </c>
      <c r="D2584" s="23" t="s">
        <v>146</v>
      </c>
      <c r="E2584" s="23" t="s">
        <v>147</v>
      </c>
      <c r="F2584">
        <v>3</v>
      </c>
      <c r="G2584" s="23" t="s">
        <v>177</v>
      </c>
      <c r="H2584">
        <v>0</v>
      </c>
      <c r="I2584">
        <v>0</v>
      </c>
      <c r="J2584" s="10">
        <v>-8.4376949871511897E-15</v>
      </c>
      <c r="K2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2584">
        <v>4</v>
      </c>
      <c r="M25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2584">
        <v>1041.6600000000001</v>
      </c>
      <c r="O2584" s="23" t="s">
        <v>224</v>
      </c>
      <c r="P2584">
        <v>3124.9800000000005</v>
      </c>
      <c r="Q2584" s="23" t="s">
        <v>182</v>
      </c>
    </row>
    <row r="2585" spans="1:17" x14ac:dyDescent="0.25">
      <c r="A2585" s="23" t="s">
        <v>1148</v>
      </c>
      <c r="B2585" s="23" t="s">
        <v>1054</v>
      </c>
      <c r="C2585" s="23" t="s">
        <v>176</v>
      </c>
      <c r="D2585" s="23" t="s">
        <v>146</v>
      </c>
      <c r="E2585" s="23" t="s">
        <v>147</v>
      </c>
      <c r="F2585">
        <v>5</v>
      </c>
      <c r="G2585" s="23" t="s">
        <v>177</v>
      </c>
      <c r="H2585">
        <v>0</v>
      </c>
      <c r="I2585">
        <v>0</v>
      </c>
      <c r="J2585" s="10">
        <v>-8.4376949871511897E-15</v>
      </c>
      <c r="K2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2585">
        <v>4</v>
      </c>
      <c r="M25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2585">
        <v>1041.6600000000001</v>
      </c>
      <c r="O2585" s="23" t="s">
        <v>224</v>
      </c>
      <c r="P2585">
        <v>5208.3</v>
      </c>
      <c r="Q2585" s="23" t="s">
        <v>182</v>
      </c>
    </row>
    <row r="2586" spans="1:17" x14ac:dyDescent="0.25">
      <c r="A2586" s="23" t="s">
        <v>1058</v>
      </c>
      <c r="B2586" s="23" t="s">
        <v>1059</v>
      </c>
      <c r="C2586" s="23" t="s">
        <v>176</v>
      </c>
      <c r="D2586" s="23" t="s">
        <v>140</v>
      </c>
      <c r="E2586" s="23" t="s">
        <v>141</v>
      </c>
      <c r="F2586">
        <v>1.5</v>
      </c>
      <c r="G2586" s="23" t="s">
        <v>177</v>
      </c>
      <c r="H2586">
        <v>0</v>
      </c>
      <c r="I2586">
        <v>0</v>
      </c>
      <c r="J2586" s="10">
        <v>6.1000000000000014</v>
      </c>
      <c r="K2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86">
        <v>5</v>
      </c>
      <c r="M25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86">
        <v>688.2</v>
      </c>
      <c r="O2586" s="23" t="s">
        <v>673</v>
      </c>
      <c r="P2586">
        <v>1032.3000000000002</v>
      </c>
      <c r="Q2586" s="23" t="s">
        <v>185</v>
      </c>
    </row>
    <row r="2587" spans="1:17" x14ac:dyDescent="0.25">
      <c r="A2587" s="23" t="s">
        <v>1148</v>
      </c>
      <c r="B2587" s="23" t="s">
        <v>1054</v>
      </c>
      <c r="C2587" s="23" t="s">
        <v>176</v>
      </c>
      <c r="D2587" s="23" t="s">
        <v>140</v>
      </c>
      <c r="E2587" s="23" t="s">
        <v>141</v>
      </c>
      <c r="F2587">
        <v>1</v>
      </c>
      <c r="G2587" s="23" t="s">
        <v>177</v>
      </c>
      <c r="H2587">
        <v>0</v>
      </c>
      <c r="I2587">
        <v>0</v>
      </c>
      <c r="J2587" s="10">
        <v>6.1000000000000014</v>
      </c>
      <c r="K2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2587">
        <v>5</v>
      </c>
      <c r="M25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2587">
        <v>688.2</v>
      </c>
      <c r="O2587" s="23" t="s">
        <v>673</v>
      </c>
      <c r="P2587">
        <v>688.2</v>
      </c>
      <c r="Q2587" s="23" t="s">
        <v>185</v>
      </c>
    </row>
    <row r="2588" spans="1:17" x14ac:dyDescent="0.25">
      <c r="A2588" s="23" t="s">
        <v>1148</v>
      </c>
      <c r="B2588" s="23" t="s">
        <v>1054</v>
      </c>
      <c r="C2588" s="23" t="s">
        <v>176</v>
      </c>
      <c r="D2588" s="23" t="s">
        <v>681</v>
      </c>
      <c r="E2588" s="23" t="s">
        <v>682</v>
      </c>
      <c r="F2588">
        <v>1</v>
      </c>
      <c r="G2588" s="23" t="s">
        <v>177</v>
      </c>
      <c r="H2588">
        <v>0</v>
      </c>
      <c r="I2588">
        <v>11</v>
      </c>
      <c r="J2588" s="10">
        <v>3</v>
      </c>
      <c r="K2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588">
        <v>0</v>
      </c>
      <c r="M25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8">
        <v>252</v>
      </c>
      <c r="O2588" s="23" t="s">
        <v>248</v>
      </c>
      <c r="P2588">
        <v>252</v>
      </c>
      <c r="Q2588" s="23" t="s">
        <v>181</v>
      </c>
    </row>
    <row r="2589" spans="1:17" x14ac:dyDescent="0.25">
      <c r="A2589" s="23" t="s">
        <v>1147</v>
      </c>
      <c r="B2589" s="23" t="s">
        <v>1145</v>
      </c>
      <c r="C2589" s="23" t="s">
        <v>176</v>
      </c>
      <c r="D2589" s="23" t="s">
        <v>203</v>
      </c>
      <c r="E2589" s="23" t="s">
        <v>204</v>
      </c>
      <c r="F2589">
        <v>0.10100000000000001</v>
      </c>
      <c r="G2589" s="23" t="s">
        <v>180</v>
      </c>
      <c r="H2589">
        <v>0</v>
      </c>
      <c r="I2589">
        <v>50</v>
      </c>
      <c r="J2589" s="10">
        <v>5.5511151231257827E-17</v>
      </c>
      <c r="K2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589">
        <v>0</v>
      </c>
      <c r="M25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89">
        <v>10.61</v>
      </c>
      <c r="O2589" s="23" t="s">
        <v>237</v>
      </c>
      <c r="P2589">
        <v>1.07161</v>
      </c>
      <c r="Q2589" s="23" t="s">
        <v>222</v>
      </c>
    </row>
    <row r="2590" spans="1:17" x14ac:dyDescent="0.25">
      <c r="A2590" s="23" t="s">
        <v>1148</v>
      </c>
      <c r="B2590" s="23" t="s">
        <v>1054</v>
      </c>
      <c r="C2590" s="23" t="s">
        <v>176</v>
      </c>
      <c r="D2590" s="23" t="s">
        <v>203</v>
      </c>
      <c r="E2590" s="23" t="s">
        <v>204</v>
      </c>
      <c r="F2590">
        <v>0.1</v>
      </c>
      <c r="G2590" s="23" t="s">
        <v>180</v>
      </c>
      <c r="H2590">
        <v>0</v>
      </c>
      <c r="I2590">
        <v>50</v>
      </c>
      <c r="J2590" s="10">
        <v>5.5511151231257827E-17</v>
      </c>
      <c r="K2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2590">
        <v>0</v>
      </c>
      <c r="M25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0">
        <v>10.61</v>
      </c>
      <c r="O2590" s="23" t="s">
        <v>237</v>
      </c>
      <c r="P2590">
        <v>1.0609999999999999</v>
      </c>
      <c r="Q2590" s="23" t="s">
        <v>222</v>
      </c>
    </row>
    <row r="2591" spans="1:17" x14ac:dyDescent="0.25">
      <c r="A2591" s="23" t="s">
        <v>1055</v>
      </c>
      <c r="B2591" s="23" t="s">
        <v>1056</v>
      </c>
      <c r="C2591" s="23" t="s">
        <v>176</v>
      </c>
      <c r="D2591" s="23" t="s">
        <v>847</v>
      </c>
      <c r="E2591" s="23" t="s">
        <v>848</v>
      </c>
      <c r="F2591">
        <v>2</v>
      </c>
      <c r="G2591" s="23" t="s">
        <v>183</v>
      </c>
      <c r="H2591">
        <v>0</v>
      </c>
      <c r="I2591">
        <v>0</v>
      </c>
      <c r="J2591" s="10">
        <v>-1.4210854715202004E-14</v>
      </c>
      <c r="K2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591">
        <v>0</v>
      </c>
      <c r="M25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591">
        <v>546.6</v>
      </c>
      <c r="O2591" s="23" t="s">
        <v>255</v>
      </c>
      <c r="P2591">
        <v>1093.2</v>
      </c>
      <c r="Q2591" s="23" t="s">
        <v>182</v>
      </c>
    </row>
    <row r="2592" spans="1:17" x14ac:dyDescent="0.25">
      <c r="A2592" s="23" t="s">
        <v>1099</v>
      </c>
      <c r="B2592" s="23" t="s">
        <v>1056</v>
      </c>
      <c r="C2592" s="23" t="s">
        <v>176</v>
      </c>
      <c r="D2592" s="23" t="s">
        <v>847</v>
      </c>
      <c r="E2592" s="23" t="s">
        <v>848</v>
      </c>
      <c r="F2592">
        <v>2</v>
      </c>
      <c r="G2592" s="23" t="s">
        <v>183</v>
      </c>
      <c r="H2592">
        <v>0</v>
      </c>
      <c r="I2592">
        <v>0</v>
      </c>
      <c r="J2592" s="10">
        <v>-1.4210854715202004E-14</v>
      </c>
      <c r="K2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592">
        <v>0</v>
      </c>
      <c r="M25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592">
        <v>546.6</v>
      </c>
      <c r="O2592" s="23" t="s">
        <v>255</v>
      </c>
      <c r="P2592">
        <v>1093.2</v>
      </c>
      <c r="Q2592" s="23" t="s">
        <v>182</v>
      </c>
    </row>
    <row r="2593" spans="1:17" x14ac:dyDescent="0.25">
      <c r="A2593" s="23" t="s">
        <v>1148</v>
      </c>
      <c r="B2593" s="23" t="s">
        <v>1054</v>
      </c>
      <c r="C2593" s="23" t="s">
        <v>176</v>
      </c>
      <c r="D2593" s="23" t="s">
        <v>847</v>
      </c>
      <c r="E2593" s="23" t="s">
        <v>848</v>
      </c>
      <c r="F2593">
        <v>3</v>
      </c>
      <c r="G2593" s="23" t="s">
        <v>183</v>
      </c>
      <c r="H2593">
        <v>0</v>
      </c>
      <c r="I2593">
        <v>0</v>
      </c>
      <c r="J2593" s="10">
        <v>-1.4210854715202004E-14</v>
      </c>
      <c r="K2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593">
        <v>0</v>
      </c>
      <c r="M25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593">
        <v>546.6</v>
      </c>
      <c r="O2593" s="23" t="s">
        <v>255</v>
      </c>
      <c r="P2593">
        <v>1639.8000000000002</v>
      </c>
      <c r="Q2593" s="23" t="s">
        <v>182</v>
      </c>
    </row>
    <row r="2594" spans="1:17" x14ac:dyDescent="0.25">
      <c r="A2594" s="23" t="s">
        <v>1099</v>
      </c>
      <c r="B2594" s="23" t="s">
        <v>1056</v>
      </c>
      <c r="C2594" s="23" t="s">
        <v>176</v>
      </c>
      <c r="D2594" s="23" t="s">
        <v>271</v>
      </c>
      <c r="E2594" s="23" t="s">
        <v>272</v>
      </c>
      <c r="F2594">
        <v>1</v>
      </c>
      <c r="G2594" s="23" t="s">
        <v>177</v>
      </c>
      <c r="H2594">
        <v>1</v>
      </c>
      <c r="I2594">
        <v>14</v>
      </c>
      <c r="J2594" s="10">
        <v>8</v>
      </c>
      <c r="K2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94">
        <v>0</v>
      </c>
      <c r="M25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4">
        <v>270</v>
      </c>
      <c r="O2594" s="23" t="s">
        <v>221</v>
      </c>
      <c r="P2594">
        <v>270</v>
      </c>
      <c r="Q2594" s="23" t="s">
        <v>222</v>
      </c>
    </row>
    <row r="2595" spans="1:17" x14ac:dyDescent="0.25">
      <c r="A2595" s="23" t="s">
        <v>1100</v>
      </c>
      <c r="B2595" s="23" t="s">
        <v>1101</v>
      </c>
      <c r="C2595" s="23" t="s">
        <v>176</v>
      </c>
      <c r="D2595" s="23" t="s">
        <v>93</v>
      </c>
      <c r="E2595" s="23" t="s">
        <v>94</v>
      </c>
      <c r="F2595">
        <v>4</v>
      </c>
      <c r="G2595" s="23" t="s">
        <v>177</v>
      </c>
      <c r="H2595">
        <v>0</v>
      </c>
      <c r="I2595">
        <v>105</v>
      </c>
      <c r="J2595" s="10">
        <v>56</v>
      </c>
      <c r="K2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595">
        <v>0</v>
      </c>
      <c r="M25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5">
        <v>72.599999999999994</v>
      </c>
      <c r="O2595" s="23" t="s">
        <v>242</v>
      </c>
      <c r="P2595">
        <v>290.39999999999998</v>
      </c>
      <c r="Q2595" s="23" t="s">
        <v>179</v>
      </c>
    </row>
    <row r="2596" spans="1:17" x14ac:dyDescent="0.25">
      <c r="A2596" s="23" t="s">
        <v>1058</v>
      </c>
      <c r="B2596" s="23" t="s">
        <v>1059</v>
      </c>
      <c r="C2596" s="23" t="s">
        <v>176</v>
      </c>
      <c r="D2596" s="23" t="s">
        <v>596</v>
      </c>
      <c r="E2596" s="23" t="s">
        <v>597</v>
      </c>
      <c r="F2596">
        <v>1</v>
      </c>
      <c r="G2596" s="23" t="s">
        <v>177</v>
      </c>
      <c r="H2596">
        <v>0</v>
      </c>
      <c r="I2596">
        <v>20</v>
      </c>
      <c r="J2596" s="10">
        <v>1</v>
      </c>
      <c r="K2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96">
        <v>0</v>
      </c>
      <c r="M25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6">
        <v>4850.4399999999996</v>
      </c>
      <c r="O2596" s="23" t="s">
        <v>637</v>
      </c>
      <c r="P2596">
        <v>4850.4399999999996</v>
      </c>
      <c r="Q2596" s="23" t="s">
        <v>178</v>
      </c>
    </row>
    <row r="2597" spans="1:17" x14ac:dyDescent="0.25">
      <c r="A2597" s="23" t="s">
        <v>1100</v>
      </c>
      <c r="B2597" s="23" t="s">
        <v>1101</v>
      </c>
      <c r="C2597" s="23" t="s">
        <v>176</v>
      </c>
      <c r="D2597" s="23" t="s">
        <v>596</v>
      </c>
      <c r="E2597" s="23" t="s">
        <v>597</v>
      </c>
      <c r="F2597">
        <v>1</v>
      </c>
      <c r="G2597" s="23" t="s">
        <v>177</v>
      </c>
      <c r="H2597">
        <v>0</v>
      </c>
      <c r="I2597">
        <v>20</v>
      </c>
      <c r="J2597" s="10">
        <v>1</v>
      </c>
      <c r="K2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97">
        <v>0</v>
      </c>
      <c r="M25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7">
        <v>4850.4399999999996</v>
      </c>
      <c r="O2597" s="23" t="s">
        <v>637</v>
      </c>
      <c r="P2597">
        <v>4850.4399999999996</v>
      </c>
      <c r="Q2597" s="23" t="s">
        <v>178</v>
      </c>
    </row>
    <row r="2598" spans="1:17" x14ac:dyDescent="0.25">
      <c r="A2598" s="23" t="s">
        <v>1098</v>
      </c>
      <c r="B2598" s="23" t="s">
        <v>1053</v>
      </c>
      <c r="C2598" s="23" t="s">
        <v>176</v>
      </c>
      <c r="D2598" s="23" t="s">
        <v>271</v>
      </c>
      <c r="E2598" s="23" t="s">
        <v>272</v>
      </c>
      <c r="F2598">
        <v>1</v>
      </c>
      <c r="G2598" s="23" t="s">
        <v>177</v>
      </c>
      <c r="H2598">
        <v>0</v>
      </c>
      <c r="I2598">
        <v>14</v>
      </c>
      <c r="J2598" s="10">
        <v>8</v>
      </c>
      <c r="K2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98">
        <v>0</v>
      </c>
      <c r="M25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8">
        <v>270</v>
      </c>
      <c r="O2598" s="23" t="s">
        <v>221</v>
      </c>
      <c r="P2598">
        <v>270</v>
      </c>
      <c r="Q2598" s="23" t="s">
        <v>222</v>
      </c>
    </row>
    <row r="2599" spans="1:17" x14ac:dyDescent="0.25">
      <c r="A2599" s="23" t="s">
        <v>1148</v>
      </c>
      <c r="B2599" s="23" t="s">
        <v>1054</v>
      </c>
      <c r="C2599" s="23" t="s">
        <v>176</v>
      </c>
      <c r="D2599" s="23" t="s">
        <v>1086</v>
      </c>
      <c r="E2599" s="23" t="s">
        <v>1087</v>
      </c>
      <c r="F2599">
        <v>1</v>
      </c>
      <c r="G2599" s="23" t="s">
        <v>177</v>
      </c>
      <c r="H2599">
        <v>0</v>
      </c>
      <c r="I2599">
        <v>2</v>
      </c>
      <c r="J2599" s="10">
        <v>0</v>
      </c>
      <c r="K2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599">
        <v>0</v>
      </c>
      <c r="M25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599">
        <v>13859.07</v>
      </c>
      <c r="O2599" s="23" t="s">
        <v>1052</v>
      </c>
      <c r="P2599">
        <v>13859.07</v>
      </c>
      <c r="Q2599" s="23" t="s">
        <v>222</v>
      </c>
    </row>
    <row r="2600" spans="1:17" x14ac:dyDescent="0.25">
      <c r="A2600" s="23" t="s">
        <v>1058</v>
      </c>
      <c r="B2600" s="23" t="s">
        <v>1059</v>
      </c>
      <c r="C2600" s="23" t="s">
        <v>176</v>
      </c>
      <c r="D2600" s="23" t="s">
        <v>747</v>
      </c>
      <c r="E2600" s="23" t="s">
        <v>748</v>
      </c>
      <c r="F2600">
        <v>2</v>
      </c>
      <c r="G2600" s="23" t="s">
        <v>177</v>
      </c>
      <c r="H2600">
        <v>0</v>
      </c>
      <c r="I2600">
        <v>3</v>
      </c>
      <c r="J2600" s="10">
        <v>0</v>
      </c>
      <c r="K2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2600">
        <v>0</v>
      </c>
      <c r="M26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2600">
        <v>54</v>
      </c>
      <c r="O2600" s="23" t="s">
        <v>227</v>
      </c>
      <c r="P2600">
        <v>108</v>
      </c>
      <c r="Q2600" s="23" t="s">
        <v>181</v>
      </c>
    </row>
    <row r="2601" spans="1:17" x14ac:dyDescent="0.25">
      <c r="A2601" s="23" t="s">
        <v>1148</v>
      </c>
      <c r="B2601" s="23" t="s">
        <v>1054</v>
      </c>
      <c r="C2601" s="23" t="s">
        <v>176</v>
      </c>
      <c r="D2601" s="23" t="s">
        <v>271</v>
      </c>
      <c r="E2601" s="23" t="s">
        <v>272</v>
      </c>
      <c r="F2601">
        <v>1</v>
      </c>
      <c r="G2601" s="23" t="s">
        <v>177</v>
      </c>
      <c r="H2601">
        <v>0</v>
      </c>
      <c r="I2601">
        <v>14</v>
      </c>
      <c r="J2601" s="10">
        <v>8</v>
      </c>
      <c r="K2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01">
        <v>0</v>
      </c>
      <c r="M26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1">
        <v>270</v>
      </c>
      <c r="O2601" s="23" t="s">
        <v>221</v>
      </c>
      <c r="P2601">
        <v>270</v>
      </c>
      <c r="Q2601" s="23" t="s">
        <v>222</v>
      </c>
    </row>
    <row r="2602" spans="1:17" x14ac:dyDescent="0.25">
      <c r="A2602" s="23" t="s">
        <v>1147</v>
      </c>
      <c r="B2602" s="23" t="s">
        <v>1145</v>
      </c>
      <c r="C2602" s="23" t="s">
        <v>176</v>
      </c>
      <c r="D2602" s="23" t="s">
        <v>93</v>
      </c>
      <c r="E2602" s="23" t="s">
        <v>94</v>
      </c>
      <c r="F2602">
        <v>4</v>
      </c>
      <c r="G2602" s="23" t="s">
        <v>177</v>
      </c>
      <c r="H2602">
        <v>0</v>
      </c>
      <c r="I2602">
        <v>105</v>
      </c>
      <c r="J2602" s="10">
        <v>56</v>
      </c>
      <c r="K2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02">
        <v>0</v>
      </c>
      <c r="M26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2">
        <v>72.599999999999994</v>
      </c>
      <c r="O2602" s="23" t="s">
        <v>242</v>
      </c>
      <c r="P2602">
        <v>290.39999999999998</v>
      </c>
      <c r="Q2602" s="23" t="s">
        <v>179</v>
      </c>
    </row>
    <row r="2603" spans="1:17" x14ac:dyDescent="0.25">
      <c r="A2603" s="23" t="s">
        <v>1148</v>
      </c>
      <c r="B2603" s="23" t="s">
        <v>1054</v>
      </c>
      <c r="C2603" s="23" t="s">
        <v>176</v>
      </c>
      <c r="D2603" s="23" t="s">
        <v>93</v>
      </c>
      <c r="E2603" s="23" t="s">
        <v>94</v>
      </c>
      <c r="F2603">
        <v>6</v>
      </c>
      <c r="G2603" s="23" t="s">
        <v>177</v>
      </c>
      <c r="H2603">
        <v>0</v>
      </c>
      <c r="I2603">
        <v>105</v>
      </c>
      <c r="J2603" s="10">
        <v>56</v>
      </c>
      <c r="K2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03">
        <v>0</v>
      </c>
      <c r="M26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3">
        <v>72.599999999999994</v>
      </c>
      <c r="O2603" s="23" t="s">
        <v>242</v>
      </c>
      <c r="P2603">
        <v>435.59999999999997</v>
      </c>
      <c r="Q2603" s="23" t="s">
        <v>179</v>
      </c>
    </row>
    <row r="2604" spans="1:17" x14ac:dyDescent="0.25">
      <c r="A2604" s="23" t="s">
        <v>1100</v>
      </c>
      <c r="B2604" s="23" t="s">
        <v>1101</v>
      </c>
      <c r="C2604" s="23" t="s">
        <v>176</v>
      </c>
      <c r="D2604" s="23" t="s">
        <v>847</v>
      </c>
      <c r="E2604" s="23" t="s">
        <v>848</v>
      </c>
      <c r="F2604">
        <v>5</v>
      </c>
      <c r="G2604" s="23" t="s">
        <v>183</v>
      </c>
      <c r="H2604">
        <v>0</v>
      </c>
      <c r="I2604">
        <v>0</v>
      </c>
      <c r="J2604" s="10">
        <v>-1.4210854715202004E-14</v>
      </c>
      <c r="K2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604">
        <v>0</v>
      </c>
      <c r="M26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604">
        <v>546.6</v>
      </c>
      <c r="O2604" s="23" t="s">
        <v>255</v>
      </c>
      <c r="P2604">
        <v>2733</v>
      </c>
      <c r="Q2604" s="23" t="s">
        <v>182</v>
      </c>
    </row>
    <row r="2605" spans="1:17" x14ac:dyDescent="0.25">
      <c r="A2605" s="23" t="s">
        <v>1055</v>
      </c>
      <c r="B2605" s="23" t="s">
        <v>1056</v>
      </c>
      <c r="C2605" s="23" t="s">
        <v>176</v>
      </c>
      <c r="D2605" s="23" t="s">
        <v>596</v>
      </c>
      <c r="E2605" s="23" t="s">
        <v>597</v>
      </c>
      <c r="F2605">
        <v>1</v>
      </c>
      <c r="G2605" s="23" t="s">
        <v>177</v>
      </c>
      <c r="H2605">
        <v>0</v>
      </c>
      <c r="I2605">
        <v>20</v>
      </c>
      <c r="J2605" s="10">
        <v>1</v>
      </c>
      <c r="K2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05">
        <v>0</v>
      </c>
      <c r="M26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5">
        <v>4850.4399999999996</v>
      </c>
      <c r="O2605" s="23" t="s">
        <v>637</v>
      </c>
      <c r="P2605">
        <v>4850.4399999999996</v>
      </c>
      <c r="Q2605" s="23" t="s">
        <v>178</v>
      </c>
    </row>
    <row r="2606" spans="1:17" x14ac:dyDescent="0.25">
      <c r="A2606" s="23" t="s">
        <v>1099</v>
      </c>
      <c r="B2606" s="23" t="s">
        <v>1056</v>
      </c>
      <c r="C2606" s="23" t="s">
        <v>176</v>
      </c>
      <c r="D2606" s="23" t="s">
        <v>596</v>
      </c>
      <c r="E2606" s="23" t="s">
        <v>597</v>
      </c>
      <c r="F2606">
        <v>1</v>
      </c>
      <c r="G2606" s="23" t="s">
        <v>177</v>
      </c>
      <c r="H2606">
        <v>0</v>
      </c>
      <c r="I2606">
        <v>20</v>
      </c>
      <c r="J2606" s="10">
        <v>1</v>
      </c>
      <c r="K2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06">
        <v>0</v>
      </c>
      <c r="M26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6">
        <v>4850.4399999999996</v>
      </c>
      <c r="O2606" s="23" t="s">
        <v>637</v>
      </c>
      <c r="P2606">
        <v>4850.4399999999996</v>
      </c>
      <c r="Q2606" s="23" t="s">
        <v>178</v>
      </c>
    </row>
    <row r="2607" spans="1:17" x14ac:dyDescent="0.25">
      <c r="A2607" s="23" t="s">
        <v>1148</v>
      </c>
      <c r="B2607" s="23" t="s">
        <v>1054</v>
      </c>
      <c r="C2607" s="23" t="s">
        <v>176</v>
      </c>
      <c r="D2607" s="23" t="s">
        <v>566</v>
      </c>
      <c r="E2607" s="23" t="s">
        <v>567</v>
      </c>
      <c r="F2607">
        <v>2</v>
      </c>
      <c r="G2607" s="23" t="s">
        <v>177</v>
      </c>
      <c r="H2607">
        <v>0</v>
      </c>
      <c r="I2607">
        <v>26</v>
      </c>
      <c r="J2607" s="10">
        <v>46</v>
      </c>
      <c r="K2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07">
        <v>0</v>
      </c>
      <c r="M26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7">
        <v>12</v>
      </c>
      <c r="O2607" s="23" t="s">
        <v>227</v>
      </c>
      <c r="P2607">
        <v>24</v>
      </c>
      <c r="Q2607" s="23" t="s">
        <v>181</v>
      </c>
    </row>
    <row r="2608" spans="1:17" x14ac:dyDescent="0.25">
      <c r="A2608" s="23" t="s">
        <v>1147</v>
      </c>
      <c r="B2608" s="23" t="s">
        <v>1145</v>
      </c>
      <c r="C2608" s="23" t="s">
        <v>176</v>
      </c>
      <c r="D2608" s="23" t="s">
        <v>957</v>
      </c>
      <c r="E2608" s="23" t="s">
        <v>958</v>
      </c>
      <c r="F2608">
        <v>1</v>
      </c>
      <c r="G2608" s="23" t="s">
        <v>177</v>
      </c>
      <c r="H2608">
        <v>0</v>
      </c>
      <c r="I2608">
        <v>0</v>
      </c>
      <c r="J2608" s="10">
        <v>1</v>
      </c>
      <c r="K2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608">
        <v>2</v>
      </c>
      <c r="M26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2608">
        <v>11481.54</v>
      </c>
      <c r="O2608" s="23" t="s">
        <v>228</v>
      </c>
      <c r="P2608">
        <v>11481.54</v>
      </c>
      <c r="Q2608" s="23" t="s">
        <v>222</v>
      </c>
    </row>
    <row r="2609" spans="1:17" x14ac:dyDescent="0.25">
      <c r="A2609" s="23" t="s">
        <v>1055</v>
      </c>
      <c r="B2609" s="23" t="s">
        <v>1056</v>
      </c>
      <c r="C2609" s="23" t="s">
        <v>176</v>
      </c>
      <c r="D2609" s="23" t="s">
        <v>773</v>
      </c>
      <c r="E2609" s="23" t="s">
        <v>774</v>
      </c>
      <c r="F2609">
        <v>4</v>
      </c>
      <c r="G2609" s="23" t="s">
        <v>177</v>
      </c>
      <c r="H2609">
        <v>4</v>
      </c>
      <c r="I2609">
        <v>64.5</v>
      </c>
      <c r="J2609" s="10">
        <v>20</v>
      </c>
      <c r="K2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609">
        <v>0</v>
      </c>
      <c r="M26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09">
        <v>200</v>
      </c>
      <c r="O2609" s="23" t="s">
        <v>249</v>
      </c>
      <c r="P2609">
        <v>800</v>
      </c>
      <c r="Q2609" s="23" t="s">
        <v>178</v>
      </c>
    </row>
    <row r="2610" spans="1:17" x14ac:dyDescent="0.25">
      <c r="A2610" s="23" t="s">
        <v>1148</v>
      </c>
      <c r="B2610" s="23" t="s">
        <v>1054</v>
      </c>
      <c r="C2610" s="23" t="s">
        <v>176</v>
      </c>
      <c r="D2610" s="23" t="s">
        <v>773</v>
      </c>
      <c r="E2610" s="23" t="s">
        <v>774</v>
      </c>
      <c r="F2610">
        <v>4</v>
      </c>
      <c r="G2610" s="23" t="s">
        <v>177</v>
      </c>
      <c r="H2610">
        <v>0</v>
      </c>
      <c r="I2610">
        <v>64.5</v>
      </c>
      <c r="J2610" s="10">
        <v>20</v>
      </c>
      <c r="K2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610">
        <v>0</v>
      </c>
      <c r="M26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0">
        <v>200</v>
      </c>
      <c r="O2610" s="23" t="s">
        <v>249</v>
      </c>
      <c r="P2610">
        <v>800</v>
      </c>
      <c r="Q2610" s="23" t="s">
        <v>178</v>
      </c>
    </row>
    <row r="2611" spans="1:17" x14ac:dyDescent="0.25">
      <c r="A2611" s="23" t="s">
        <v>1100</v>
      </c>
      <c r="B2611" s="23" t="s">
        <v>1101</v>
      </c>
      <c r="C2611" s="23" t="s">
        <v>176</v>
      </c>
      <c r="D2611" s="23" t="s">
        <v>91</v>
      </c>
      <c r="E2611" s="23" t="s">
        <v>92</v>
      </c>
      <c r="F2611">
        <v>1</v>
      </c>
      <c r="G2611" s="23" t="s">
        <v>177</v>
      </c>
      <c r="H2611">
        <v>0</v>
      </c>
      <c r="I2611">
        <v>6</v>
      </c>
      <c r="J2611" s="10">
        <v>10</v>
      </c>
      <c r="K2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611">
        <v>0</v>
      </c>
      <c r="M26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2611">
        <v>1776.43</v>
      </c>
      <c r="O2611" s="23" t="s">
        <v>635</v>
      </c>
      <c r="P2611">
        <v>1776.43</v>
      </c>
      <c r="Q2611" s="23" t="s">
        <v>179</v>
      </c>
    </row>
    <row r="2612" spans="1:17" x14ac:dyDescent="0.25">
      <c r="A2612" s="23" t="s">
        <v>1180</v>
      </c>
      <c r="B2612" s="23" t="s">
        <v>1181</v>
      </c>
      <c r="C2612" s="23" t="s">
        <v>176</v>
      </c>
      <c r="D2612" s="23" t="s">
        <v>789</v>
      </c>
      <c r="E2612" s="23" t="s">
        <v>790</v>
      </c>
      <c r="F2612">
        <v>1</v>
      </c>
      <c r="G2612" s="23" t="s">
        <v>177</v>
      </c>
      <c r="H2612">
        <v>0</v>
      </c>
      <c r="I2612">
        <v>3</v>
      </c>
      <c r="J2612" s="10">
        <v>2</v>
      </c>
      <c r="K2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612">
        <v>1</v>
      </c>
      <c r="M26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2">
        <v>4484.26</v>
      </c>
      <c r="O2612" s="23" t="s">
        <v>1104</v>
      </c>
      <c r="P2612">
        <v>4484.26</v>
      </c>
      <c r="Q2612" s="23" t="s">
        <v>222</v>
      </c>
    </row>
    <row r="2613" spans="1:17" x14ac:dyDescent="0.25">
      <c r="A2613" s="23" t="s">
        <v>1099</v>
      </c>
      <c r="B2613" s="23" t="s">
        <v>1056</v>
      </c>
      <c r="C2613" s="23" t="s">
        <v>176</v>
      </c>
      <c r="D2613" s="23" t="s">
        <v>941</v>
      </c>
      <c r="E2613" s="23" t="s">
        <v>942</v>
      </c>
      <c r="F2613">
        <v>1</v>
      </c>
      <c r="G2613" s="23" t="s">
        <v>177</v>
      </c>
      <c r="H2613">
        <v>0</v>
      </c>
      <c r="I2613">
        <v>2</v>
      </c>
      <c r="J2613" s="10">
        <v>1</v>
      </c>
      <c r="K2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613">
        <v>0</v>
      </c>
      <c r="M26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2613">
        <v>9940.35</v>
      </c>
      <c r="O2613" s="23" t="s">
        <v>1052</v>
      </c>
      <c r="P2613">
        <v>9940.35</v>
      </c>
      <c r="Q2613" s="23" t="s">
        <v>222</v>
      </c>
    </row>
    <row r="2614" spans="1:17" x14ac:dyDescent="0.25">
      <c r="A2614" s="23" t="s">
        <v>1100</v>
      </c>
      <c r="B2614" s="23" t="s">
        <v>1101</v>
      </c>
      <c r="C2614" s="23" t="s">
        <v>176</v>
      </c>
      <c r="D2614" s="23" t="s">
        <v>855</v>
      </c>
      <c r="E2614" s="23" t="s">
        <v>856</v>
      </c>
      <c r="F2614">
        <v>1</v>
      </c>
      <c r="G2614" s="23" t="s">
        <v>177</v>
      </c>
      <c r="H2614">
        <v>0</v>
      </c>
      <c r="I2614">
        <v>5</v>
      </c>
      <c r="J2614" s="10">
        <v>0</v>
      </c>
      <c r="K2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614">
        <v>0</v>
      </c>
      <c r="M26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4">
        <v>225</v>
      </c>
      <c r="O2614" s="23" t="s">
        <v>629</v>
      </c>
      <c r="P2614">
        <v>225</v>
      </c>
      <c r="Q2614" s="23" t="s">
        <v>181</v>
      </c>
    </row>
    <row r="2615" spans="1:17" x14ac:dyDescent="0.25">
      <c r="A2615" s="23" t="s">
        <v>1148</v>
      </c>
      <c r="B2615" s="23" t="s">
        <v>1054</v>
      </c>
      <c r="C2615" s="23" t="s">
        <v>176</v>
      </c>
      <c r="D2615" s="23" t="s">
        <v>411</v>
      </c>
      <c r="E2615" s="23" t="s">
        <v>412</v>
      </c>
      <c r="F2615">
        <v>0.01</v>
      </c>
      <c r="G2615" s="23" t="s">
        <v>413</v>
      </c>
      <c r="H2615">
        <v>0</v>
      </c>
      <c r="I2615">
        <v>150</v>
      </c>
      <c r="J2615" s="10">
        <v>0</v>
      </c>
      <c r="K2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615">
        <v>0</v>
      </c>
      <c r="M26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5">
        <v>1.8</v>
      </c>
      <c r="O2615" s="23" t="s">
        <v>221</v>
      </c>
      <c r="P2615">
        <v>1.8000000000000002E-2</v>
      </c>
      <c r="Q2615" s="23" t="s">
        <v>181</v>
      </c>
    </row>
    <row r="2616" spans="1:17" x14ac:dyDescent="0.25">
      <c r="A2616" s="23" t="s">
        <v>1058</v>
      </c>
      <c r="B2616" s="23" t="s">
        <v>1059</v>
      </c>
      <c r="C2616" s="23" t="s">
        <v>176</v>
      </c>
      <c r="D2616" s="23" t="s">
        <v>438</v>
      </c>
      <c r="E2616" s="23" t="s">
        <v>439</v>
      </c>
      <c r="F2616">
        <v>1</v>
      </c>
      <c r="G2616" s="23" t="s">
        <v>177</v>
      </c>
      <c r="H2616">
        <v>0</v>
      </c>
      <c r="I2616">
        <v>26</v>
      </c>
      <c r="J2616" s="10">
        <v>3</v>
      </c>
      <c r="K2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616">
        <v>0</v>
      </c>
      <c r="M26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6">
        <v>360.05</v>
      </c>
      <c r="O2616" s="23" t="s">
        <v>637</v>
      </c>
      <c r="P2616">
        <v>360.05</v>
      </c>
      <c r="Q2616" s="23" t="s">
        <v>179</v>
      </c>
    </row>
    <row r="2617" spans="1:17" x14ac:dyDescent="0.25">
      <c r="A2617" s="23" t="s">
        <v>1144</v>
      </c>
      <c r="B2617" s="23" t="s">
        <v>1145</v>
      </c>
      <c r="C2617" s="23" t="s">
        <v>176</v>
      </c>
      <c r="D2617" s="23" t="s">
        <v>773</v>
      </c>
      <c r="E2617" s="23" t="s">
        <v>774</v>
      </c>
      <c r="F2617">
        <v>4</v>
      </c>
      <c r="G2617" s="23" t="s">
        <v>177</v>
      </c>
      <c r="H2617">
        <v>0</v>
      </c>
      <c r="I2617">
        <v>64.5</v>
      </c>
      <c r="J2617" s="10">
        <v>20</v>
      </c>
      <c r="K2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617">
        <v>0</v>
      </c>
      <c r="M26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7">
        <v>200</v>
      </c>
      <c r="O2617" s="23" t="s">
        <v>249</v>
      </c>
      <c r="P2617">
        <v>800</v>
      </c>
      <c r="Q2617" s="23" t="s">
        <v>178</v>
      </c>
    </row>
    <row r="2618" spans="1:17" x14ac:dyDescent="0.25">
      <c r="A2618" s="23" t="s">
        <v>1146</v>
      </c>
      <c r="B2618" s="23" t="s">
        <v>1145</v>
      </c>
      <c r="C2618" s="23" t="s">
        <v>176</v>
      </c>
      <c r="D2618" s="23" t="s">
        <v>773</v>
      </c>
      <c r="E2618" s="23" t="s">
        <v>774</v>
      </c>
      <c r="F2618">
        <v>4</v>
      </c>
      <c r="G2618" s="23" t="s">
        <v>177</v>
      </c>
      <c r="H2618">
        <v>0</v>
      </c>
      <c r="I2618">
        <v>64.5</v>
      </c>
      <c r="J2618" s="10">
        <v>20</v>
      </c>
      <c r="K2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618">
        <v>0</v>
      </c>
      <c r="M26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8">
        <v>200</v>
      </c>
      <c r="O2618" s="23" t="s">
        <v>249</v>
      </c>
      <c r="P2618">
        <v>800</v>
      </c>
      <c r="Q2618" s="23" t="s">
        <v>178</v>
      </c>
    </row>
    <row r="2619" spans="1:17" x14ac:dyDescent="0.25">
      <c r="A2619" s="23" t="s">
        <v>1149</v>
      </c>
      <c r="B2619" s="23" t="s">
        <v>1145</v>
      </c>
      <c r="C2619" s="23" t="s">
        <v>176</v>
      </c>
      <c r="D2619" s="23" t="s">
        <v>411</v>
      </c>
      <c r="E2619" s="23" t="s">
        <v>412</v>
      </c>
      <c r="F2619">
        <v>0.01</v>
      </c>
      <c r="G2619" s="23" t="s">
        <v>413</v>
      </c>
      <c r="H2619">
        <v>0</v>
      </c>
      <c r="I2619">
        <v>150</v>
      </c>
      <c r="J2619" s="10">
        <v>0</v>
      </c>
      <c r="K2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619">
        <v>0</v>
      </c>
      <c r="M26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19">
        <v>1.8</v>
      </c>
      <c r="O2619" s="23" t="s">
        <v>221</v>
      </c>
      <c r="P2619">
        <v>1.8000000000000002E-2</v>
      </c>
      <c r="Q2619" s="23" t="s">
        <v>181</v>
      </c>
    </row>
    <row r="2620" spans="1:17" x14ac:dyDescent="0.25">
      <c r="A2620" s="23" t="s">
        <v>1150</v>
      </c>
      <c r="B2620" s="23" t="s">
        <v>1145</v>
      </c>
      <c r="C2620" s="23" t="s">
        <v>176</v>
      </c>
      <c r="D2620" s="23" t="s">
        <v>438</v>
      </c>
      <c r="E2620" s="23" t="s">
        <v>439</v>
      </c>
      <c r="F2620">
        <v>1</v>
      </c>
      <c r="G2620" s="23" t="s">
        <v>177</v>
      </c>
      <c r="H2620">
        <v>0</v>
      </c>
      <c r="I2620">
        <v>26</v>
      </c>
      <c r="J2620" s="10">
        <v>3</v>
      </c>
      <c r="K2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620">
        <v>0</v>
      </c>
      <c r="M26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0">
        <v>360.05</v>
      </c>
      <c r="O2620" s="23" t="s">
        <v>637</v>
      </c>
      <c r="P2620">
        <v>360.05</v>
      </c>
      <c r="Q2620" s="23" t="s">
        <v>179</v>
      </c>
    </row>
    <row r="2621" spans="1:17" x14ac:dyDescent="0.25">
      <c r="A2621" s="23" t="s">
        <v>1055</v>
      </c>
      <c r="B2621" s="23" t="s">
        <v>1056</v>
      </c>
      <c r="C2621" s="23" t="s">
        <v>176</v>
      </c>
      <c r="D2621" s="23" t="s">
        <v>888</v>
      </c>
      <c r="E2621" s="23" t="s">
        <v>889</v>
      </c>
      <c r="F2621">
        <v>25</v>
      </c>
      <c r="G2621" s="23" t="s">
        <v>177</v>
      </c>
      <c r="H2621">
        <v>0</v>
      </c>
      <c r="I2621">
        <v>5200</v>
      </c>
      <c r="J2621" s="10">
        <v>0</v>
      </c>
      <c r="K2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-5125</v>
      </c>
      <c r="L2621">
        <v>0</v>
      </c>
      <c r="M26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1">
        <v>0.08</v>
      </c>
      <c r="O2621" s="23"/>
      <c r="P2621">
        <v>2</v>
      </c>
      <c r="Q2621" s="23" t="s">
        <v>181</v>
      </c>
    </row>
    <row r="2622" spans="1:17" x14ac:dyDescent="0.25">
      <c r="A2622" s="23" t="s">
        <v>1099</v>
      </c>
      <c r="B2622" s="23" t="s">
        <v>1056</v>
      </c>
      <c r="C2622" s="23" t="s">
        <v>176</v>
      </c>
      <c r="D2622" s="23" t="s">
        <v>888</v>
      </c>
      <c r="E2622" s="23" t="s">
        <v>889</v>
      </c>
      <c r="F2622">
        <v>25</v>
      </c>
      <c r="G2622" s="23" t="s">
        <v>177</v>
      </c>
      <c r="H2622">
        <v>0</v>
      </c>
      <c r="I2622">
        <v>5200</v>
      </c>
      <c r="J2622" s="10">
        <v>0</v>
      </c>
      <c r="K2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-5125</v>
      </c>
      <c r="L2622">
        <v>0</v>
      </c>
      <c r="M26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2">
        <v>0.08</v>
      </c>
      <c r="O2622" s="23"/>
      <c r="P2622">
        <v>2</v>
      </c>
      <c r="Q2622" s="23" t="s">
        <v>181</v>
      </c>
    </row>
    <row r="2623" spans="1:17" x14ac:dyDescent="0.25">
      <c r="A2623" s="23" t="s">
        <v>1055</v>
      </c>
      <c r="B2623" s="23" t="s">
        <v>1056</v>
      </c>
      <c r="C2623" s="23" t="s">
        <v>176</v>
      </c>
      <c r="D2623" s="23" t="s">
        <v>97</v>
      </c>
      <c r="E2623" s="23" t="s">
        <v>98</v>
      </c>
      <c r="F2623">
        <v>1</v>
      </c>
      <c r="G2623" s="23" t="s">
        <v>177</v>
      </c>
      <c r="H2623">
        <v>1</v>
      </c>
      <c r="I2623">
        <v>0</v>
      </c>
      <c r="J2623" s="10">
        <v>5</v>
      </c>
      <c r="K2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623">
        <v>7</v>
      </c>
      <c r="M26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3">
        <v>1491.67</v>
      </c>
      <c r="O2623" s="23" t="s">
        <v>633</v>
      </c>
      <c r="P2623">
        <v>1491.67</v>
      </c>
      <c r="Q2623" s="23" t="s">
        <v>178</v>
      </c>
    </row>
    <row r="2624" spans="1:17" x14ac:dyDescent="0.25">
      <c r="A2624" s="23" t="s">
        <v>1099</v>
      </c>
      <c r="B2624" s="23" t="s">
        <v>1056</v>
      </c>
      <c r="C2624" s="23" t="s">
        <v>176</v>
      </c>
      <c r="D2624" s="23" t="s">
        <v>97</v>
      </c>
      <c r="E2624" s="23" t="s">
        <v>98</v>
      </c>
      <c r="F2624">
        <v>1</v>
      </c>
      <c r="G2624" s="23" t="s">
        <v>177</v>
      </c>
      <c r="H2624">
        <v>1</v>
      </c>
      <c r="I2624">
        <v>0</v>
      </c>
      <c r="J2624" s="10">
        <v>5</v>
      </c>
      <c r="K2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624">
        <v>7</v>
      </c>
      <c r="M26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4">
        <v>1491.67</v>
      </c>
      <c r="O2624" s="23" t="s">
        <v>633</v>
      </c>
      <c r="P2624">
        <v>1491.67</v>
      </c>
      <c r="Q2624" s="23" t="s">
        <v>178</v>
      </c>
    </row>
    <row r="2625" spans="1:17" x14ac:dyDescent="0.25">
      <c r="A2625" s="23" t="s">
        <v>1147</v>
      </c>
      <c r="B2625" s="23" t="s">
        <v>1145</v>
      </c>
      <c r="C2625" s="23" t="s">
        <v>176</v>
      </c>
      <c r="D2625" s="23" t="s">
        <v>100</v>
      </c>
      <c r="E2625" s="23" t="s">
        <v>101</v>
      </c>
      <c r="F2625">
        <v>34.869999999999997</v>
      </c>
      <c r="G2625" s="23" t="s">
        <v>186</v>
      </c>
      <c r="H2625">
        <v>0</v>
      </c>
      <c r="I2625">
        <v>289.7</v>
      </c>
      <c r="J2625" s="10">
        <v>148.12000000000032</v>
      </c>
      <c r="K2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2625">
        <v>289.7</v>
      </c>
      <c r="M26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5">
        <v>96.37</v>
      </c>
      <c r="O2625" s="23" t="s">
        <v>491</v>
      </c>
      <c r="P2625">
        <v>3360.4218999999998</v>
      </c>
      <c r="Q2625" s="23" t="s">
        <v>184</v>
      </c>
    </row>
    <row r="2626" spans="1:17" x14ac:dyDescent="0.25">
      <c r="A2626" s="23" t="s">
        <v>1180</v>
      </c>
      <c r="B2626" s="23" t="s">
        <v>1181</v>
      </c>
      <c r="C2626" s="23" t="s">
        <v>176</v>
      </c>
      <c r="D2626" s="23" t="s">
        <v>100</v>
      </c>
      <c r="E2626" s="23" t="s">
        <v>101</v>
      </c>
      <c r="F2626">
        <v>13.700000000000001</v>
      </c>
      <c r="G2626" s="23" t="s">
        <v>186</v>
      </c>
      <c r="H2626">
        <v>0</v>
      </c>
      <c r="I2626">
        <v>289.7</v>
      </c>
      <c r="J2626" s="10">
        <v>148.12000000000032</v>
      </c>
      <c r="K2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2626">
        <v>289.7</v>
      </c>
      <c r="M26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6">
        <v>96.37</v>
      </c>
      <c r="O2626" s="23" t="s">
        <v>491</v>
      </c>
      <c r="P2626">
        <v>1320.2690000000002</v>
      </c>
      <c r="Q2626" s="23" t="s">
        <v>184</v>
      </c>
    </row>
    <row r="2627" spans="1:17" x14ac:dyDescent="0.25">
      <c r="A2627" s="23" t="s">
        <v>1147</v>
      </c>
      <c r="B2627" s="23" t="s">
        <v>1145</v>
      </c>
      <c r="C2627" s="23" t="s">
        <v>176</v>
      </c>
      <c r="D2627" s="23" t="s">
        <v>102</v>
      </c>
      <c r="E2627" s="23" t="s">
        <v>103</v>
      </c>
      <c r="F2627">
        <v>4</v>
      </c>
      <c r="G2627" s="23" t="s">
        <v>186</v>
      </c>
      <c r="H2627">
        <v>0</v>
      </c>
      <c r="I2627">
        <v>66</v>
      </c>
      <c r="J2627" s="10">
        <v>36.350000000000151</v>
      </c>
      <c r="K2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2627">
        <v>0</v>
      </c>
      <c r="M26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7">
        <v>129.63</v>
      </c>
      <c r="O2627" s="23" t="s">
        <v>242</v>
      </c>
      <c r="P2627">
        <v>518.52</v>
      </c>
      <c r="Q2627" s="23" t="s">
        <v>184</v>
      </c>
    </row>
    <row r="2628" spans="1:17" x14ac:dyDescent="0.25">
      <c r="A2628" s="23" t="s">
        <v>1055</v>
      </c>
      <c r="B2628" s="23" t="s">
        <v>1056</v>
      </c>
      <c r="C2628" s="23" t="s">
        <v>176</v>
      </c>
      <c r="D2628" s="23" t="s">
        <v>943</v>
      </c>
      <c r="E2628" s="23" t="s">
        <v>944</v>
      </c>
      <c r="F2628">
        <v>0.5</v>
      </c>
      <c r="G2628" s="23" t="s">
        <v>177</v>
      </c>
      <c r="H2628">
        <v>0</v>
      </c>
      <c r="I2628">
        <v>0</v>
      </c>
      <c r="J2628" s="10">
        <v>0</v>
      </c>
      <c r="K2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628">
        <v>0</v>
      </c>
      <c r="M26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628">
        <v>38</v>
      </c>
      <c r="O2628" s="23" t="s">
        <v>242</v>
      </c>
      <c r="P2628">
        <v>19</v>
      </c>
      <c r="Q2628" s="23" t="s">
        <v>184</v>
      </c>
    </row>
    <row r="2629" spans="1:17" x14ac:dyDescent="0.25">
      <c r="A2629" s="23" t="s">
        <v>1058</v>
      </c>
      <c r="B2629" s="23" t="s">
        <v>1059</v>
      </c>
      <c r="C2629" s="23" t="s">
        <v>176</v>
      </c>
      <c r="D2629" s="23" t="s">
        <v>334</v>
      </c>
      <c r="E2629" s="23" t="s">
        <v>335</v>
      </c>
      <c r="F2629">
        <v>1</v>
      </c>
      <c r="G2629" s="23" t="s">
        <v>177</v>
      </c>
      <c r="H2629">
        <v>0</v>
      </c>
      <c r="I2629">
        <v>25</v>
      </c>
      <c r="J2629" s="10">
        <v>18</v>
      </c>
      <c r="K2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629">
        <v>0</v>
      </c>
      <c r="M26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29">
        <v>225</v>
      </c>
      <c r="O2629" s="23" t="s">
        <v>227</v>
      </c>
      <c r="P2629">
        <v>225</v>
      </c>
      <c r="Q2629" s="23" t="s">
        <v>181</v>
      </c>
    </row>
    <row r="2630" spans="1:17" x14ac:dyDescent="0.25">
      <c r="A2630" s="23" t="s">
        <v>1058</v>
      </c>
      <c r="B2630" s="23" t="s">
        <v>1059</v>
      </c>
      <c r="C2630" s="23" t="s">
        <v>176</v>
      </c>
      <c r="D2630" s="23" t="s">
        <v>97</v>
      </c>
      <c r="E2630" s="23" t="s">
        <v>98</v>
      </c>
      <c r="F2630">
        <v>1</v>
      </c>
      <c r="G2630" s="23" t="s">
        <v>177</v>
      </c>
      <c r="H2630">
        <v>1</v>
      </c>
      <c r="I2630">
        <v>0</v>
      </c>
      <c r="J2630" s="10">
        <v>5</v>
      </c>
      <c r="K2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630">
        <v>7</v>
      </c>
      <c r="M26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0">
        <v>1491.67</v>
      </c>
      <c r="O2630" s="23" t="s">
        <v>633</v>
      </c>
      <c r="P2630">
        <v>1491.67</v>
      </c>
      <c r="Q2630" s="23" t="s">
        <v>178</v>
      </c>
    </row>
    <row r="2631" spans="1:17" x14ac:dyDescent="0.25">
      <c r="A2631" s="23" t="s">
        <v>1058</v>
      </c>
      <c r="B2631" s="23" t="s">
        <v>1059</v>
      </c>
      <c r="C2631" s="23" t="s">
        <v>176</v>
      </c>
      <c r="D2631" s="23" t="s">
        <v>100</v>
      </c>
      <c r="E2631" s="23" t="s">
        <v>101</v>
      </c>
      <c r="F2631">
        <v>32.279999999999994</v>
      </c>
      <c r="G2631" s="23" t="s">
        <v>186</v>
      </c>
      <c r="H2631">
        <v>32.279999999999994</v>
      </c>
      <c r="I2631">
        <v>289.7</v>
      </c>
      <c r="J2631" s="10">
        <v>148.12000000000032</v>
      </c>
      <c r="K2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2631">
        <v>289.7</v>
      </c>
      <c r="M26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1">
        <v>96.37</v>
      </c>
      <c r="O2631" s="23" t="s">
        <v>491</v>
      </c>
      <c r="P2631">
        <v>3110.8235999999997</v>
      </c>
      <c r="Q2631" s="23" t="s">
        <v>184</v>
      </c>
    </row>
    <row r="2632" spans="1:17" x14ac:dyDescent="0.25">
      <c r="A2632" s="23" t="s">
        <v>1055</v>
      </c>
      <c r="B2632" s="23" t="s">
        <v>1056</v>
      </c>
      <c r="C2632" s="23" t="s">
        <v>176</v>
      </c>
      <c r="D2632" s="23" t="s">
        <v>102</v>
      </c>
      <c r="E2632" s="23" t="s">
        <v>103</v>
      </c>
      <c r="F2632">
        <v>2.1</v>
      </c>
      <c r="G2632" s="23" t="s">
        <v>186</v>
      </c>
      <c r="H2632">
        <v>2.1</v>
      </c>
      <c r="I2632">
        <v>66</v>
      </c>
      <c r="J2632" s="10">
        <v>36.350000000000151</v>
      </c>
      <c r="K2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2632">
        <v>0</v>
      </c>
      <c r="M26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2">
        <v>129.63</v>
      </c>
      <c r="O2632" s="23" t="s">
        <v>242</v>
      </c>
      <c r="P2632">
        <v>272.22300000000001</v>
      </c>
      <c r="Q2632" s="23" t="s">
        <v>184</v>
      </c>
    </row>
    <row r="2633" spans="1:17" x14ac:dyDescent="0.25">
      <c r="A2633" s="23" t="s">
        <v>1100</v>
      </c>
      <c r="B2633" s="23" t="s">
        <v>1101</v>
      </c>
      <c r="C2633" s="23" t="s">
        <v>176</v>
      </c>
      <c r="D2633" s="23" t="s">
        <v>102</v>
      </c>
      <c r="E2633" s="23" t="s">
        <v>103</v>
      </c>
      <c r="F2633">
        <v>8.9</v>
      </c>
      <c r="G2633" s="23" t="s">
        <v>186</v>
      </c>
      <c r="H2633">
        <v>0</v>
      </c>
      <c r="I2633">
        <v>66</v>
      </c>
      <c r="J2633" s="10">
        <v>36.350000000000151</v>
      </c>
      <c r="K2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2633">
        <v>0</v>
      </c>
      <c r="M26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3">
        <v>129.63</v>
      </c>
      <c r="O2633" s="23" t="s">
        <v>242</v>
      </c>
      <c r="P2633">
        <v>1153.7070000000001</v>
      </c>
      <c r="Q2633" s="23" t="s">
        <v>184</v>
      </c>
    </row>
    <row r="2634" spans="1:17" x14ac:dyDescent="0.25">
      <c r="A2634" s="23" t="s">
        <v>1144</v>
      </c>
      <c r="B2634" s="23" t="s">
        <v>1145</v>
      </c>
      <c r="C2634" s="23" t="s">
        <v>176</v>
      </c>
      <c r="D2634" s="23" t="s">
        <v>442</v>
      </c>
      <c r="E2634" s="23" t="s">
        <v>443</v>
      </c>
      <c r="F2634">
        <v>1</v>
      </c>
      <c r="G2634" s="23" t="s">
        <v>177</v>
      </c>
      <c r="H2634">
        <v>0</v>
      </c>
      <c r="I2634">
        <v>25</v>
      </c>
      <c r="J2634" s="10">
        <v>3</v>
      </c>
      <c r="K2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34">
        <v>0</v>
      </c>
      <c r="M26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4">
        <v>360.05</v>
      </c>
      <c r="O2634" s="23" t="s">
        <v>637</v>
      </c>
      <c r="P2634">
        <v>360.05</v>
      </c>
      <c r="Q2634" s="23" t="s">
        <v>179</v>
      </c>
    </row>
    <row r="2635" spans="1:17" x14ac:dyDescent="0.25">
      <c r="A2635" s="23" t="s">
        <v>1146</v>
      </c>
      <c r="B2635" s="23" t="s">
        <v>1145</v>
      </c>
      <c r="C2635" s="23" t="s">
        <v>176</v>
      </c>
      <c r="D2635" s="23" t="s">
        <v>442</v>
      </c>
      <c r="E2635" s="23" t="s">
        <v>443</v>
      </c>
      <c r="F2635">
        <v>1</v>
      </c>
      <c r="G2635" s="23" t="s">
        <v>177</v>
      </c>
      <c r="H2635">
        <v>0</v>
      </c>
      <c r="I2635">
        <v>25</v>
      </c>
      <c r="J2635" s="10">
        <v>3</v>
      </c>
      <c r="K2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35">
        <v>0</v>
      </c>
      <c r="M26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5">
        <v>360.05</v>
      </c>
      <c r="O2635" s="23" t="s">
        <v>637</v>
      </c>
      <c r="P2635">
        <v>360.05</v>
      </c>
      <c r="Q2635" s="23" t="s">
        <v>179</v>
      </c>
    </row>
    <row r="2636" spans="1:17" x14ac:dyDescent="0.25">
      <c r="A2636" s="23" t="s">
        <v>1149</v>
      </c>
      <c r="B2636" s="23" t="s">
        <v>1145</v>
      </c>
      <c r="C2636" s="23" t="s">
        <v>176</v>
      </c>
      <c r="D2636" s="23" t="s">
        <v>702</v>
      </c>
      <c r="E2636" s="23" t="s">
        <v>703</v>
      </c>
      <c r="F2636">
        <v>4</v>
      </c>
      <c r="G2636" s="23" t="s">
        <v>177</v>
      </c>
      <c r="H2636">
        <v>0</v>
      </c>
      <c r="I2636">
        <v>100</v>
      </c>
      <c r="J2636" s="10">
        <v>52</v>
      </c>
      <c r="K2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2636">
        <v>0</v>
      </c>
      <c r="M26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6">
        <v>1.1299999999999999</v>
      </c>
      <c r="O2636" s="23" t="s">
        <v>827</v>
      </c>
      <c r="P2636">
        <v>4.5199999999999996</v>
      </c>
      <c r="Q2636" s="23" t="s">
        <v>222</v>
      </c>
    </row>
    <row r="2637" spans="1:17" x14ac:dyDescent="0.25">
      <c r="A2637" s="23" t="s">
        <v>1062</v>
      </c>
      <c r="B2637" s="23" t="s">
        <v>1053</v>
      </c>
      <c r="C2637" s="23" t="s">
        <v>176</v>
      </c>
      <c r="D2637" s="23" t="s">
        <v>679</v>
      </c>
      <c r="E2637" s="23" t="s">
        <v>680</v>
      </c>
      <c r="F2637">
        <v>15</v>
      </c>
      <c r="G2637" s="23" t="s">
        <v>177</v>
      </c>
      <c r="H2637">
        <v>0</v>
      </c>
      <c r="I2637">
        <v>350</v>
      </c>
      <c r="J2637" s="10">
        <v>210</v>
      </c>
      <c r="K2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637">
        <v>0</v>
      </c>
      <c r="M26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7">
        <v>4</v>
      </c>
      <c r="O2637" s="23" t="s">
        <v>227</v>
      </c>
      <c r="P2637">
        <v>60</v>
      </c>
      <c r="Q2637" s="23" t="s">
        <v>181</v>
      </c>
    </row>
    <row r="2638" spans="1:17" x14ac:dyDescent="0.25">
      <c r="A2638" s="23" t="s">
        <v>1097</v>
      </c>
      <c r="B2638" s="23" t="s">
        <v>1095</v>
      </c>
      <c r="C2638" s="23" t="s">
        <v>176</v>
      </c>
      <c r="D2638" s="23" t="s">
        <v>679</v>
      </c>
      <c r="E2638" s="23" t="s">
        <v>680</v>
      </c>
      <c r="F2638">
        <v>15</v>
      </c>
      <c r="G2638" s="23" t="s">
        <v>177</v>
      </c>
      <c r="H2638">
        <v>0</v>
      </c>
      <c r="I2638">
        <v>350</v>
      </c>
      <c r="J2638" s="10">
        <v>210</v>
      </c>
      <c r="K2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2638">
        <v>0</v>
      </c>
      <c r="M26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8">
        <v>4</v>
      </c>
      <c r="O2638" s="23" t="s">
        <v>227</v>
      </c>
      <c r="P2638">
        <v>60</v>
      </c>
      <c r="Q2638" s="23" t="s">
        <v>181</v>
      </c>
    </row>
    <row r="2639" spans="1:17" x14ac:dyDescent="0.25">
      <c r="A2639" s="23" t="s">
        <v>1097</v>
      </c>
      <c r="B2639" s="23" t="s">
        <v>1095</v>
      </c>
      <c r="C2639" s="23" t="s">
        <v>176</v>
      </c>
      <c r="D2639" s="23" t="s">
        <v>211</v>
      </c>
      <c r="E2639" s="23" t="s">
        <v>212</v>
      </c>
      <c r="F2639">
        <v>1</v>
      </c>
      <c r="G2639" s="23" t="s">
        <v>177</v>
      </c>
      <c r="H2639">
        <v>0</v>
      </c>
      <c r="I2639">
        <v>23</v>
      </c>
      <c r="J2639" s="10">
        <v>8</v>
      </c>
      <c r="K2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639">
        <v>40</v>
      </c>
      <c r="M26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39">
        <v>312</v>
      </c>
      <c r="O2639" s="23" t="s">
        <v>218</v>
      </c>
      <c r="P2639">
        <v>312</v>
      </c>
      <c r="Q2639" s="23" t="s">
        <v>178</v>
      </c>
    </row>
    <row r="2640" spans="1:17" x14ac:dyDescent="0.25">
      <c r="A2640" s="23" t="s">
        <v>1062</v>
      </c>
      <c r="B2640" s="23" t="s">
        <v>1053</v>
      </c>
      <c r="C2640" s="23" t="s">
        <v>176</v>
      </c>
      <c r="D2640" s="23" t="s">
        <v>219</v>
      </c>
      <c r="E2640" s="23" t="s">
        <v>220</v>
      </c>
      <c r="F2640">
        <v>2</v>
      </c>
      <c r="G2640" s="23" t="s">
        <v>177</v>
      </c>
      <c r="H2640">
        <v>0</v>
      </c>
      <c r="I2640">
        <v>288</v>
      </c>
      <c r="J2640" s="10">
        <v>94</v>
      </c>
      <c r="K2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640">
        <v>0</v>
      </c>
      <c r="M26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0">
        <v>4</v>
      </c>
      <c r="O2640" s="23" t="s">
        <v>221</v>
      </c>
      <c r="P2640">
        <v>8</v>
      </c>
      <c r="Q2640" s="23" t="s">
        <v>222</v>
      </c>
    </row>
    <row r="2641" spans="1:17" x14ac:dyDescent="0.25">
      <c r="A2641" s="23" t="s">
        <v>1197</v>
      </c>
      <c r="B2641" s="23" t="s">
        <v>1198</v>
      </c>
      <c r="C2641" s="23" t="s">
        <v>176</v>
      </c>
      <c r="D2641" s="23" t="s">
        <v>219</v>
      </c>
      <c r="E2641" s="23" t="s">
        <v>220</v>
      </c>
      <c r="F2641">
        <v>2</v>
      </c>
      <c r="G2641" s="23" t="s">
        <v>177</v>
      </c>
      <c r="H2641">
        <v>0</v>
      </c>
      <c r="I2641">
        <v>288</v>
      </c>
      <c r="J2641" s="10">
        <v>94</v>
      </c>
      <c r="K2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641">
        <v>0</v>
      </c>
      <c r="M26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1">
        <v>4</v>
      </c>
      <c r="O2641" s="23" t="s">
        <v>221</v>
      </c>
      <c r="P2641">
        <v>8</v>
      </c>
      <c r="Q2641" s="23" t="s">
        <v>222</v>
      </c>
    </row>
    <row r="2642" spans="1:17" x14ac:dyDescent="0.25">
      <c r="A2642" s="23" t="s">
        <v>1147</v>
      </c>
      <c r="B2642" s="23" t="s">
        <v>1145</v>
      </c>
      <c r="C2642" s="23" t="s">
        <v>176</v>
      </c>
      <c r="D2642" s="23" t="s">
        <v>442</v>
      </c>
      <c r="E2642" s="23" t="s">
        <v>443</v>
      </c>
      <c r="F2642">
        <v>1</v>
      </c>
      <c r="G2642" s="23" t="s">
        <v>177</v>
      </c>
      <c r="H2642">
        <v>0</v>
      </c>
      <c r="I2642">
        <v>25</v>
      </c>
      <c r="J2642" s="10">
        <v>3</v>
      </c>
      <c r="K2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42">
        <v>0</v>
      </c>
      <c r="M26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2">
        <v>360.05</v>
      </c>
      <c r="O2642" s="23" t="s">
        <v>637</v>
      </c>
      <c r="P2642">
        <v>360.05</v>
      </c>
      <c r="Q2642" s="23" t="s">
        <v>179</v>
      </c>
    </row>
    <row r="2643" spans="1:17" x14ac:dyDescent="0.25">
      <c r="A2643" s="23" t="s">
        <v>1149</v>
      </c>
      <c r="B2643" s="23" t="s">
        <v>1145</v>
      </c>
      <c r="C2643" s="23" t="s">
        <v>176</v>
      </c>
      <c r="D2643" s="23" t="s">
        <v>884</v>
      </c>
      <c r="E2643" s="23" t="s">
        <v>885</v>
      </c>
      <c r="F2643">
        <v>9</v>
      </c>
      <c r="G2643" s="23" t="s">
        <v>180</v>
      </c>
      <c r="H2643">
        <v>0</v>
      </c>
      <c r="I2643">
        <v>480</v>
      </c>
      <c r="J2643" s="10">
        <v>0</v>
      </c>
      <c r="K2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2643">
        <v>0</v>
      </c>
      <c r="M26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3">
        <v>4</v>
      </c>
      <c r="O2643" s="23"/>
      <c r="P2643">
        <v>36</v>
      </c>
      <c r="Q2643" s="23" t="s">
        <v>182</v>
      </c>
    </row>
    <row r="2644" spans="1:17" x14ac:dyDescent="0.25">
      <c r="A2644" s="23" t="s">
        <v>1144</v>
      </c>
      <c r="B2644" s="23" t="s">
        <v>1145</v>
      </c>
      <c r="C2644" s="23" t="s">
        <v>176</v>
      </c>
      <c r="D2644" s="23" t="s">
        <v>219</v>
      </c>
      <c r="E2644" s="23" t="s">
        <v>220</v>
      </c>
      <c r="F2644">
        <v>2</v>
      </c>
      <c r="G2644" s="23" t="s">
        <v>177</v>
      </c>
      <c r="H2644">
        <v>0</v>
      </c>
      <c r="I2644">
        <v>288</v>
      </c>
      <c r="J2644" s="10">
        <v>94</v>
      </c>
      <c r="K2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644">
        <v>0</v>
      </c>
      <c r="M26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4">
        <v>4</v>
      </c>
      <c r="O2644" s="23" t="s">
        <v>221</v>
      </c>
      <c r="P2644">
        <v>8</v>
      </c>
      <c r="Q2644" s="23" t="s">
        <v>222</v>
      </c>
    </row>
    <row r="2645" spans="1:17" x14ac:dyDescent="0.25">
      <c r="A2645" s="23" t="s">
        <v>1146</v>
      </c>
      <c r="B2645" s="23" t="s">
        <v>1145</v>
      </c>
      <c r="C2645" s="23" t="s">
        <v>176</v>
      </c>
      <c r="D2645" s="23" t="s">
        <v>219</v>
      </c>
      <c r="E2645" s="23" t="s">
        <v>220</v>
      </c>
      <c r="F2645">
        <v>2</v>
      </c>
      <c r="G2645" s="23" t="s">
        <v>177</v>
      </c>
      <c r="H2645">
        <v>0</v>
      </c>
      <c r="I2645">
        <v>288</v>
      </c>
      <c r="J2645" s="10">
        <v>94</v>
      </c>
      <c r="K2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645">
        <v>0</v>
      </c>
      <c r="M26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5">
        <v>4</v>
      </c>
      <c r="O2645" s="23" t="s">
        <v>221</v>
      </c>
      <c r="P2645">
        <v>8</v>
      </c>
      <c r="Q2645" s="23" t="s">
        <v>222</v>
      </c>
    </row>
    <row r="2646" spans="1:17" x14ac:dyDescent="0.25">
      <c r="A2646" s="23" t="s">
        <v>1146</v>
      </c>
      <c r="B2646" s="23" t="s">
        <v>1145</v>
      </c>
      <c r="C2646" s="23" t="s">
        <v>176</v>
      </c>
      <c r="D2646" s="23" t="s">
        <v>702</v>
      </c>
      <c r="E2646" s="23" t="s">
        <v>703</v>
      </c>
      <c r="F2646">
        <v>4</v>
      </c>
      <c r="G2646" s="23" t="s">
        <v>177</v>
      </c>
      <c r="H2646">
        <v>0</v>
      </c>
      <c r="I2646">
        <v>100</v>
      </c>
      <c r="J2646" s="10">
        <v>52</v>
      </c>
      <c r="K2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2646">
        <v>0</v>
      </c>
      <c r="M26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6">
        <v>1.1299999999999999</v>
      </c>
      <c r="O2646" s="23" t="s">
        <v>827</v>
      </c>
      <c r="P2646">
        <v>4.5199999999999996</v>
      </c>
      <c r="Q2646" s="23" t="s">
        <v>222</v>
      </c>
    </row>
    <row r="2647" spans="1:17" x14ac:dyDescent="0.25">
      <c r="A2647" s="23" t="s">
        <v>1144</v>
      </c>
      <c r="B2647" s="23" t="s">
        <v>1145</v>
      </c>
      <c r="C2647" s="23" t="s">
        <v>176</v>
      </c>
      <c r="D2647" s="23" t="s">
        <v>702</v>
      </c>
      <c r="E2647" s="23" t="s">
        <v>703</v>
      </c>
      <c r="F2647">
        <v>2</v>
      </c>
      <c r="G2647" s="23" t="s">
        <v>177</v>
      </c>
      <c r="H2647">
        <v>0</v>
      </c>
      <c r="I2647">
        <v>100</v>
      </c>
      <c r="J2647" s="10">
        <v>52</v>
      </c>
      <c r="K2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2647">
        <v>0</v>
      </c>
      <c r="M26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7">
        <v>1.1299999999999999</v>
      </c>
      <c r="O2647" s="23" t="s">
        <v>827</v>
      </c>
      <c r="P2647">
        <v>2.2599999999999998</v>
      </c>
      <c r="Q2647" s="23" t="s">
        <v>222</v>
      </c>
    </row>
    <row r="2648" spans="1:17" x14ac:dyDescent="0.25">
      <c r="A2648" s="23" t="s">
        <v>1098</v>
      </c>
      <c r="B2648" s="23" t="s">
        <v>1053</v>
      </c>
      <c r="C2648" s="23" t="s">
        <v>176</v>
      </c>
      <c r="D2648" s="23" t="s">
        <v>447</v>
      </c>
      <c r="E2648" s="23" t="s">
        <v>448</v>
      </c>
      <c r="F2648">
        <v>2</v>
      </c>
      <c r="G2648" s="23" t="s">
        <v>177</v>
      </c>
      <c r="H2648">
        <v>0</v>
      </c>
      <c r="I2648">
        <v>15</v>
      </c>
      <c r="J2648" s="10">
        <v>11</v>
      </c>
      <c r="K2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48">
        <v>0</v>
      </c>
      <c r="M26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8">
        <v>237.5</v>
      </c>
      <c r="O2648" s="23" t="s">
        <v>629</v>
      </c>
      <c r="P2648">
        <v>475</v>
      </c>
      <c r="Q2648" s="23" t="s">
        <v>181</v>
      </c>
    </row>
    <row r="2649" spans="1:17" x14ac:dyDescent="0.25">
      <c r="A2649" s="23" t="s">
        <v>1197</v>
      </c>
      <c r="B2649" s="23" t="s">
        <v>1198</v>
      </c>
      <c r="C2649" s="23" t="s">
        <v>176</v>
      </c>
      <c r="D2649" s="23" t="s">
        <v>211</v>
      </c>
      <c r="E2649" s="23" t="s">
        <v>212</v>
      </c>
      <c r="F2649">
        <v>1</v>
      </c>
      <c r="G2649" s="23" t="s">
        <v>177</v>
      </c>
      <c r="H2649">
        <v>0</v>
      </c>
      <c r="I2649">
        <v>23</v>
      </c>
      <c r="J2649" s="10">
        <v>8</v>
      </c>
      <c r="K2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649">
        <v>40</v>
      </c>
      <c r="M26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49">
        <v>312</v>
      </c>
      <c r="O2649" s="23" t="s">
        <v>218</v>
      </c>
      <c r="P2649">
        <v>312</v>
      </c>
      <c r="Q2649" s="23" t="s">
        <v>178</v>
      </c>
    </row>
    <row r="2650" spans="1:17" x14ac:dyDescent="0.25">
      <c r="A2650" s="23" t="s">
        <v>1098</v>
      </c>
      <c r="B2650" s="23" t="s">
        <v>1053</v>
      </c>
      <c r="C2650" s="23" t="s">
        <v>176</v>
      </c>
      <c r="D2650" s="23" t="s">
        <v>211</v>
      </c>
      <c r="E2650" s="23" t="s">
        <v>212</v>
      </c>
      <c r="F2650">
        <v>1</v>
      </c>
      <c r="G2650" s="23" t="s">
        <v>177</v>
      </c>
      <c r="H2650">
        <v>0</v>
      </c>
      <c r="I2650">
        <v>23</v>
      </c>
      <c r="J2650" s="10">
        <v>8</v>
      </c>
      <c r="K2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2650">
        <v>40</v>
      </c>
      <c r="M26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0">
        <v>312</v>
      </c>
      <c r="O2650" s="23" t="s">
        <v>218</v>
      </c>
      <c r="P2650">
        <v>312</v>
      </c>
      <c r="Q2650" s="23" t="s">
        <v>178</v>
      </c>
    </row>
    <row r="2651" spans="1:17" x14ac:dyDescent="0.25">
      <c r="A2651" s="23" t="s">
        <v>1099</v>
      </c>
      <c r="B2651" s="23" t="s">
        <v>1056</v>
      </c>
      <c r="C2651" s="23" t="s">
        <v>176</v>
      </c>
      <c r="D2651" s="23" t="s">
        <v>447</v>
      </c>
      <c r="E2651" s="23" t="s">
        <v>448</v>
      </c>
      <c r="F2651">
        <v>1</v>
      </c>
      <c r="G2651" s="23" t="s">
        <v>177</v>
      </c>
      <c r="H2651">
        <v>1</v>
      </c>
      <c r="I2651">
        <v>15</v>
      </c>
      <c r="J2651" s="10">
        <v>11</v>
      </c>
      <c r="K2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51">
        <v>0</v>
      </c>
      <c r="M26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1">
        <v>237.5</v>
      </c>
      <c r="O2651" s="23" t="s">
        <v>629</v>
      </c>
      <c r="P2651">
        <v>237.5</v>
      </c>
      <c r="Q2651" s="23" t="s">
        <v>181</v>
      </c>
    </row>
    <row r="2652" spans="1:17" x14ac:dyDescent="0.25">
      <c r="A2652" s="23" t="s">
        <v>1100</v>
      </c>
      <c r="B2652" s="23" t="s">
        <v>1101</v>
      </c>
      <c r="C2652" s="23" t="s">
        <v>176</v>
      </c>
      <c r="D2652" s="23" t="s">
        <v>481</v>
      </c>
      <c r="E2652" s="23" t="s">
        <v>482</v>
      </c>
      <c r="F2652">
        <v>20</v>
      </c>
      <c r="G2652" s="23" t="s">
        <v>177</v>
      </c>
      <c r="H2652">
        <v>0</v>
      </c>
      <c r="I2652">
        <v>442</v>
      </c>
      <c r="J2652" s="10">
        <v>0</v>
      </c>
      <c r="K2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652">
        <v>0</v>
      </c>
      <c r="M26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2">
        <v>9.35</v>
      </c>
      <c r="O2652" s="23" t="s">
        <v>883</v>
      </c>
      <c r="P2652">
        <v>187</v>
      </c>
      <c r="Q2652" s="23" t="s">
        <v>181</v>
      </c>
    </row>
    <row r="2653" spans="1:17" x14ac:dyDescent="0.25">
      <c r="A2653" s="23" t="s">
        <v>1100</v>
      </c>
      <c r="B2653" s="23" t="s">
        <v>1101</v>
      </c>
      <c r="C2653" s="23" t="s">
        <v>176</v>
      </c>
      <c r="D2653" s="23" t="s">
        <v>782</v>
      </c>
      <c r="E2653" s="23" t="s">
        <v>783</v>
      </c>
      <c r="F2653">
        <v>1</v>
      </c>
      <c r="G2653" s="23" t="s">
        <v>177</v>
      </c>
      <c r="H2653">
        <v>0</v>
      </c>
      <c r="I2653">
        <v>6</v>
      </c>
      <c r="J2653" s="10">
        <v>7</v>
      </c>
      <c r="K2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653">
        <v>10</v>
      </c>
      <c r="M26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3">
        <v>750</v>
      </c>
      <c r="O2653" s="23" t="s">
        <v>291</v>
      </c>
      <c r="P2653">
        <v>750</v>
      </c>
      <c r="Q2653" s="23" t="s">
        <v>179</v>
      </c>
    </row>
    <row r="2654" spans="1:17" x14ac:dyDescent="0.25">
      <c r="A2654" s="23" t="s">
        <v>1058</v>
      </c>
      <c r="B2654" s="23" t="s">
        <v>1059</v>
      </c>
      <c r="C2654" s="23" t="s">
        <v>176</v>
      </c>
      <c r="D2654" s="23" t="s">
        <v>779</v>
      </c>
      <c r="E2654" s="23" t="s">
        <v>133</v>
      </c>
      <c r="F2654">
        <v>20</v>
      </c>
      <c r="G2654" s="23" t="s">
        <v>177</v>
      </c>
      <c r="H2654">
        <v>0</v>
      </c>
      <c r="I2654">
        <v>574</v>
      </c>
      <c r="J2654" s="10">
        <v>98</v>
      </c>
      <c r="K2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654">
        <v>0</v>
      </c>
      <c r="M26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4">
        <v>6.67</v>
      </c>
      <c r="O2654" s="23" t="s">
        <v>1195</v>
      </c>
      <c r="P2654">
        <v>133.4</v>
      </c>
      <c r="Q2654" s="23" t="s">
        <v>222</v>
      </c>
    </row>
    <row r="2655" spans="1:17" x14ac:dyDescent="0.25">
      <c r="A2655" s="23" t="s">
        <v>1180</v>
      </c>
      <c r="B2655" s="23" t="s">
        <v>1181</v>
      </c>
      <c r="C2655" s="23" t="s">
        <v>176</v>
      </c>
      <c r="D2655" s="23" t="s">
        <v>1049</v>
      </c>
      <c r="E2655" s="23" t="s">
        <v>1050</v>
      </c>
      <c r="F2655">
        <v>1</v>
      </c>
      <c r="G2655" s="23" t="s">
        <v>177</v>
      </c>
      <c r="H2655">
        <v>0</v>
      </c>
      <c r="I2655">
        <v>3</v>
      </c>
      <c r="J2655" s="10">
        <v>6</v>
      </c>
      <c r="K2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655">
        <v>0</v>
      </c>
      <c r="M26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2655">
        <v>12138.93</v>
      </c>
      <c r="O2655" s="23" t="s">
        <v>635</v>
      </c>
      <c r="P2655">
        <v>12138.93</v>
      </c>
      <c r="Q2655" s="23" t="s">
        <v>178</v>
      </c>
    </row>
    <row r="2656" spans="1:17" x14ac:dyDescent="0.25">
      <c r="A2656" s="23" t="s">
        <v>1147</v>
      </c>
      <c r="B2656" s="23" t="s">
        <v>1145</v>
      </c>
      <c r="C2656" s="23" t="s">
        <v>176</v>
      </c>
      <c r="D2656" s="23" t="s">
        <v>604</v>
      </c>
      <c r="E2656" s="23" t="s">
        <v>605</v>
      </c>
      <c r="F2656">
        <v>2</v>
      </c>
      <c r="G2656" s="23" t="s">
        <v>177</v>
      </c>
      <c r="H2656">
        <v>0</v>
      </c>
      <c r="I2656">
        <v>9</v>
      </c>
      <c r="J2656" s="10">
        <v>6</v>
      </c>
      <c r="K2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2656">
        <v>0</v>
      </c>
      <c r="M26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2656">
        <v>75.61</v>
      </c>
      <c r="O2656" s="23" t="s">
        <v>637</v>
      </c>
      <c r="P2656">
        <v>151.22</v>
      </c>
      <c r="Q2656" s="23" t="s">
        <v>178</v>
      </c>
    </row>
    <row r="2657" spans="1:17" x14ac:dyDescent="0.25">
      <c r="A2657" s="23" t="s">
        <v>1144</v>
      </c>
      <c r="B2657" s="23" t="s">
        <v>1145</v>
      </c>
      <c r="C2657" s="23" t="s">
        <v>176</v>
      </c>
      <c r="D2657" s="23" t="s">
        <v>449</v>
      </c>
      <c r="E2657" s="23" t="s">
        <v>450</v>
      </c>
      <c r="F2657">
        <v>2</v>
      </c>
      <c r="G2657" s="23" t="s">
        <v>177</v>
      </c>
      <c r="H2657">
        <v>0</v>
      </c>
      <c r="I2657">
        <v>15</v>
      </c>
      <c r="J2657" s="10">
        <v>14</v>
      </c>
      <c r="K2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657">
        <v>15</v>
      </c>
      <c r="M26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7">
        <v>65.709999999999994</v>
      </c>
      <c r="O2657" s="23" t="s">
        <v>228</v>
      </c>
      <c r="P2657">
        <v>131.41999999999999</v>
      </c>
      <c r="Q2657" s="23" t="s">
        <v>222</v>
      </c>
    </row>
    <row r="2658" spans="1:17" x14ac:dyDescent="0.25">
      <c r="A2658" s="23" t="s">
        <v>1144</v>
      </c>
      <c r="B2658" s="23" t="s">
        <v>1145</v>
      </c>
      <c r="C2658" s="23" t="s">
        <v>176</v>
      </c>
      <c r="D2658" s="23" t="s">
        <v>1060</v>
      </c>
      <c r="E2658" s="23" t="s">
        <v>1061</v>
      </c>
      <c r="F2658">
        <v>1</v>
      </c>
      <c r="G2658" s="23" t="s">
        <v>177</v>
      </c>
      <c r="H2658">
        <v>1</v>
      </c>
      <c r="I2658">
        <v>6</v>
      </c>
      <c r="J2658" s="10">
        <v>3</v>
      </c>
      <c r="K2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658">
        <v>0</v>
      </c>
      <c r="M26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58">
        <v>12124.73</v>
      </c>
      <c r="O2658" s="23" t="s">
        <v>590</v>
      </c>
      <c r="P2658">
        <v>12124.73</v>
      </c>
      <c r="Q2658" s="23" t="s">
        <v>178</v>
      </c>
    </row>
    <row r="2659" spans="1:17" x14ac:dyDescent="0.25">
      <c r="A2659" s="23" t="s">
        <v>1146</v>
      </c>
      <c r="B2659" s="23" t="s">
        <v>1145</v>
      </c>
      <c r="C2659" s="23" t="s">
        <v>176</v>
      </c>
      <c r="D2659" s="23" t="s">
        <v>1156</v>
      </c>
      <c r="E2659" s="23" t="s">
        <v>1157</v>
      </c>
      <c r="F2659">
        <v>4</v>
      </c>
      <c r="G2659" s="23" t="s">
        <v>177</v>
      </c>
      <c r="H2659">
        <v>0</v>
      </c>
      <c r="I2659">
        <v>0</v>
      </c>
      <c r="J2659" s="10">
        <v>0</v>
      </c>
      <c r="K2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659">
        <v>0</v>
      </c>
      <c r="M26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2659">
        <v>0.88</v>
      </c>
      <c r="O2659" s="23" t="s">
        <v>636</v>
      </c>
      <c r="P2659">
        <v>3.52</v>
      </c>
      <c r="Q2659" s="23" t="s">
        <v>222</v>
      </c>
    </row>
    <row r="2660" spans="1:17" x14ac:dyDescent="0.25">
      <c r="A2660" s="23" t="s">
        <v>1144</v>
      </c>
      <c r="B2660" s="23" t="s">
        <v>1145</v>
      </c>
      <c r="C2660" s="23" t="s">
        <v>176</v>
      </c>
      <c r="D2660" s="23" t="s">
        <v>1156</v>
      </c>
      <c r="E2660" s="23" t="s">
        <v>1157</v>
      </c>
      <c r="F2660">
        <v>2</v>
      </c>
      <c r="G2660" s="23" t="s">
        <v>177</v>
      </c>
      <c r="H2660">
        <v>0</v>
      </c>
      <c r="I2660">
        <v>0</v>
      </c>
      <c r="J2660" s="10">
        <v>0</v>
      </c>
      <c r="K2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660">
        <v>0</v>
      </c>
      <c r="M26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2660">
        <v>0.88</v>
      </c>
      <c r="O2660" s="23" t="s">
        <v>636</v>
      </c>
      <c r="P2660">
        <v>1.76</v>
      </c>
      <c r="Q2660" s="23" t="s">
        <v>222</v>
      </c>
    </row>
    <row r="2661" spans="1:17" x14ac:dyDescent="0.25">
      <c r="A2661" s="23" t="s">
        <v>1148</v>
      </c>
      <c r="B2661" s="23" t="s">
        <v>1054</v>
      </c>
      <c r="C2661" s="23" t="s">
        <v>176</v>
      </c>
      <c r="D2661" s="23" t="s">
        <v>5</v>
      </c>
      <c r="E2661" s="23" t="s">
        <v>6</v>
      </c>
      <c r="F2661">
        <v>7.1</v>
      </c>
      <c r="G2661" s="23" t="s">
        <v>180</v>
      </c>
      <c r="H2661">
        <v>0</v>
      </c>
      <c r="I2661">
        <v>100</v>
      </c>
      <c r="J2661" s="10">
        <v>1.9999999999998863</v>
      </c>
      <c r="K2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661">
        <v>0</v>
      </c>
      <c r="M26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1">
        <v>111</v>
      </c>
      <c r="O2661" s="23" t="s">
        <v>827</v>
      </c>
      <c r="P2661">
        <v>788.09999999999991</v>
      </c>
      <c r="Q2661" s="23" t="s">
        <v>222</v>
      </c>
    </row>
    <row r="2662" spans="1:17" x14ac:dyDescent="0.25">
      <c r="A2662" s="23" t="s">
        <v>1147</v>
      </c>
      <c r="B2662" s="23" t="s">
        <v>1145</v>
      </c>
      <c r="C2662" s="23" t="s">
        <v>176</v>
      </c>
      <c r="D2662" s="23" t="s">
        <v>7</v>
      </c>
      <c r="E2662" s="23" t="s">
        <v>8</v>
      </c>
      <c r="F2662">
        <v>1</v>
      </c>
      <c r="G2662" s="23" t="s">
        <v>177</v>
      </c>
      <c r="H2662">
        <v>0</v>
      </c>
      <c r="I2662">
        <v>3</v>
      </c>
      <c r="J2662" s="10">
        <v>7</v>
      </c>
      <c r="K2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662">
        <v>3</v>
      </c>
      <c r="M26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662">
        <v>2477.52</v>
      </c>
      <c r="O2662" s="23" t="s">
        <v>228</v>
      </c>
      <c r="P2662">
        <v>2477.52</v>
      </c>
      <c r="Q2662" s="23" t="s">
        <v>222</v>
      </c>
    </row>
    <row r="2663" spans="1:17" x14ac:dyDescent="0.25">
      <c r="A2663" s="23" t="s">
        <v>1099</v>
      </c>
      <c r="B2663" s="23" t="s">
        <v>1056</v>
      </c>
      <c r="C2663" s="23" t="s">
        <v>176</v>
      </c>
      <c r="D2663" s="23" t="s">
        <v>7</v>
      </c>
      <c r="E2663" s="23" t="s">
        <v>8</v>
      </c>
      <c r="F2663">
        <v>1</v>
      </c>
      <c r="G2663" s="23" t="s">
        <v>177</v>
      </c>
      <c r="H2663">
        <v>1</v>
      </c>
      <c r="I2663">
        <v>3</v>
      </c>
      <c r="J2663" s="10">
        <v>7</v>
      </c>
      <c r="K2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663">
        <v>3</v>
      </c>
      <c r="M26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663">
        <v>2477.52</v>
      </c>
      <c r="O2663" s="23" t="s">
        <v>228</v>
      </c>
      <c r="P2663">
        <v>2477.52</v>
      </c>
      <c r="Q2663" s="23" t="s">
        <v>222</v>
      </c>
    </row>
    <row r="2664" spans="1:17" x14ac:dyDescent="0.25">
      <c r="A2664" s="23" t="s">
        <v>1055</v>
      </c>
      <c r="B2664" s="23" t="s">
        <v>1056</v>
      </c>
      <c r="C2664" s="23" t="s">
        <v>176</v>
      </c>
      <c r="D2664" s="23" t="s">
        <v>9</v>
      </c>
      <c r="E2664" s="23" t="s">
        <v>10</v>
      </c>
      <c r="F2664">
        <v>4</v>
      </c>
      <c r="G2664" s="23" t="s">
        <v>177</v>
      </c>
      <c r="H2664">
        <v>4</v>
      </c>
      <c r="I2664">
        <v>19</v>
      </c>
      <c r="J2664" s="10">
        <v>32</v>
      </c>
      <c r="K2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664">
        <v>20</v>
      </c>
      <c r="M26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4">
        <v>72.819999999999993</v>
      </c>
      <c r="O2664" s="23" t="s">
        <v>228</v>
      </c>
      <c r="P2664">
        <v>291.27999999999997</v>
      </c>
      <c r="Q2664" s="23" t="s">
        <v>222</v>
      </c>
    </row>
    <row r="2665" spans="1:17" x14ac:dyDescent="0.25">
      <c r="A2665" s="23" t="s">
        <v>1055</v>
      </c>
      <c r="B2665" s="23" t="s">
        <v>1056</v>
      </c>
      <c r="C2665" s="23" t="s">
        <v>176</v>
      </c>
      <c r="D2665" s="23" t="s">
        <v>11</v>
      </c>
      <c r="E2665" s="23" t="s">
        <v>12</v>
      </c>
      <c r="F2665">
        <v>1</v>
      </c>
      <c r="G2665" s="23" t="s">
        <v>177</v>
      </c>
      <c r="H2665">
        <v>1</v>
      </c>
      <c r="I2665">
        <v>26</v>
      </c>
      <c r="J2665" s="10">
        <v>8</v>
      </c>
      <c r="K2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2665">
        <v>0</v>
      </c>
      <c r="M26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5">
        <v>368.07</v>
      </c>
      <c r="O2665" s="23" t="s">
        <v>590</v>
      </c>
      <c r="P2665">
        <v>368.07</v>
      </c>
      <c r="Q2665" s="23" t="s">
        <v>222</v>
      </c>
    </row>
    <row r="2666" spans="1:17" x14ac:dyDescent="0.25">
      <c r="A2666" s="23" t="s">
        <v>1055</v>
      </c>
      <c r="B2666" s="23" t="s">
        <v>1056</v>
      </c>
      <c r="C2666" s="23" t="s">
        <v>176</v>
      </c>
      <c r="D2666" s="23" t="s">
        <v>205</v>
      </c>
      <c r="E2666" s="23" t="s">
        <v>206</v>
      </c>
      <c r="F2666">
        <v>0.5</v>
      </c>
      <c r="G2666" s="23" t="s">
        <v>177</v>
      </c>
      <c r="H2666">
        <v>0</v>
      </c>
      <c r="I2666">
        <v>100</v>
      </c>
      <c r="J2666" s="10">
        <v>41</v>
      </c>
      <c r="K2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666">
        <v>0</v>
      </c>
      <c r="M26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6">
        <v>60</v>
      </c>
      <c r="O2666" s="23" t="s">
        <v>221</v>
      </c>
      <c r="P2666">
        <v>30</v>
      </c>
      <c r="Q2666" s="23" t="s">
        <v>181</v>
      </c>
    </row>
    <row r="2667" spans="1:17" x14ac:dyDescent="0.25">
      <c r="A2667" s="23" t="s">
        <v>1148</v>
      </c>
      <c r="B2667" s="23" t="s">
        <v>1054</v>
      </c>
      <c r="C2667" s="23" t="s">
        <v>176</v>
      </c>
      <c r="D2667" s="23" t="s">
        <v>205</v>
      </c>
      <c r="E2667" s="23" t="s">
        <v>206</v>
      </c>
      <c r="F2667">
        <v>1</v>
      </c>
      <c r="G2667" s="23" t="s">
        <v>177</v>
      </c>
      <c r="H2667">
        <v>0</v>
      </c>
      <c r="I2667">
        <v>100</v>
      </c>
      <c r="J2667" s="10">
        <v>41</v>
      </c>
      <c r="K2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667">
        <v>0</v>
      </c>
      <c r="M26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7">
        <v>60</v>
      </c>
      <c r="O2667" s="23" t="s">
        <v>221</v>
      </c>
      <c r="P2667">
        <v>60</v>
      </c>
      <c r="Q2667" s="23" t="s">
        <v>181</v>
      </c>
    </row>
    <row r="2668" spans="1:17" x14ac:dyDescent="0.25">
      <c r="A2668" s="23" t="s">
        <v>1099</v>
      </c>
      <c r="B2668" s="23" t="s">
        <v>1056</v>
      </c>
      <c r="C2668" s="23" t="s">
        <v>176</v>
      </c>
      <c r="D2668" s="23" t="s">
        <v>205</v>
      </c>
      <c r="E2668" s="23" t="s">
        <v>206</v>
      </c>
      <c r="F2668">
        <v>0.5</v>
      </c>
      <c r="G2668" s="23" t="s">
        <v>177</v>
      </c>
      <c r="H2668">
        <v>0</v>
      </c>
      <c r="I2668">
        <v>100</v>
      </c>
      <c r="J2668" s="10">
        <v>41</v>
      </c>
      <c r="K2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668">
        <v>0</v>
      </c>
      <c r="M26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8">
        <v>60</v>
      </c>
      <c r="O2668" s="23" t="s">
        <v>221</v>
      </c>
      <c r="P2668">
        <v>30</v>
      </c>
      <c r="Q2668" s="23" t="s">
        <v>181</v>
      </c>
    </row>
    <row r="2669" spans="1:17" x14ac:dyDescent="0.25">
      <c r="A2669" s="23" t="s">
        <v>1099</v>
      </c>
      <c r="B2669" s="23" t="s">
        <v>1056</v>
      </c>
      <c r="C2669" s="23" t="s">
        <v>176</v>
      </c>
      <c r="D2669" s="23" t="s">
        <v>207</v>
      </c>
      <c r="E2669" s="23" t="s">
        <v>282</v>
      </c>
      <c r="F2669">
        <v>0.51</v>
      </c>
      <c r="G2669" s="23" t="s">
        <v>177</v>
      </c>
      <c r="H2669">
        <v>0.51</v>
      </c>
      <c r="I2669">
        <v>20</v>
      </c>
      <c r="J2669" s="10">
        <v>116.66400000000021</v>
      </c>
      <c r="K2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2669">
        <v>0</v>
      </c>
      <c r="M26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69">
        <v>185</v>
      </c>
      <c r="O2669" s="23" t="s">
        <v>242</v>
      </c>
      <c r="P2669">
        <v>94.350000000000009</v>
      </c>
      <c r="Q2669" s="23" t="s">
        <v>181</v>
      </c>
    </row>
    <row r="2670" spans="1:17" x14ac:dyDescent="0.25">
      <c r="A2670" s="23" t="s">
        <v>1100</v>
      </c>
      <c r="B2670" s="23" t="s">
        <v>1101</v>
      </c>
      <c r="C2670" s="23" t="s">
        <v>176</v>
      </c>
      <c r="D2670" s="23" t="s">
        <v>388</v>
      </c>
      <c r="E2670" s="23" t="s">
        <v>389</v>
      </c>
      <c r="F2670">
        <v>6</v>
      </c>
      <c r="G2670" s="23" t="s">
        <v>177</v>
      </c>
      <c r="H2670">
        <v>0</v>
      </c>
      <c r="I2670">
        <v>1100</v>
      </c>
      <c r="J2670" s="10">
        <v>780</v>
      </c>
      <c r="K2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2670">
        <v>0</v>
      </c>
      <c r="M26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0">
        <v>0.32</v>
      </c>
      <c r="O2670" s="23" t="s">
        <v>242</v>
      </c>
      <c r="P2670">
        <v>1.92</v>
      </c>
      <c r="Q2670" s="23" t="s">
        <v>181</v>
      </c>
    </row>
    <row r="2671" spans="1:17" x14ac:dyDescent="0.25">
      <c r="A2671" s="23" t="s">
        <v>1148</v>
      </c>
      <c r="B2671" s="23" t="s">
        <v>1054</v>
      </c>
      <c r="C2671" s="23" t="s">
        <v>176</v>
      </c>
      <c r="D2671" s="23" t="s">
        <v>142</v>
      </c>
      <c r="E2671" s="23" t="s">
        <v>143</v>
      </c>
      <c r="F2671">
        <v>21</v>
      </c>
      <c r="G2671" s="23" t="s">
        <v>177</v>
      </c>
      <c r="H2671">
        <v>0</v>
      </c>
      <c r="I2671">
        <v>150</v>
      </c>
      <c r="J2671" s="10">
        <v>0</v>
      </c>
      <c r="K2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2671">
        <v>0</v>
      </c>
      <c r="M26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2671">
        <v>27.75</v>
      </c>
      <c r="O2671" s="23" t="s">
        <v>743</v>
      </c>
      <c r="P2671">
        <v>582.75</v>
      </c>
      <c r="Q2671" s="23" t="s">
        <v>185</v>
      </c>
    </row>
    <row r="2672" spans="1:17" x14ac:dyDescent="0.25">
      <c r="A2672" s="23" t="s">
        <v>1100</v>
      </c>
      <c r="B2672" s="23" t="s">
        <v>1101</v>
      </c>
      <c r="C2672" s="23" t="s">
        <v>176</v>
      </c>
      <c r="D2672" s="23" t="s">
        <v>841</v>
      </c>
      <c r="E2672" s="23" t="s">
        <v>842</v>
      </c>
      <c r="F2672">
        <v>5</v>
      </c>
      <c r="G2672" s="23" t="s">
        <v>180</v>
      </c>
      <c r="H2672">
        <v>0</v>
      </c>
      <c r="I2672">
        <v>0</v>
      </c>
      <c r="J2672" s="10">
        <v>165</v>
      </c>
      <c r="K2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2672">
        <v>400</v>
      </c>
      <c r="M26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2">
        <v>5</v>
      </c>
      <c r="O2672" s="23" t="s">
        <v>225</v>
      </c>
      <c r="P2672">
        <v>25</v>
      </c>
      <c r="Q2672" s="23" t="s">
        <v>181</v>
      </c>
    </row>
    <row r="2673" spans="1:17" x14ac:dyDescent="0.25">
      <c r="A2673" s="23" t="s">
        <v>1100</v>
      </c>
      <c r="B2673" s="23" t="s">
        <v>1101</v>
      </c>
      <c r="C2673" s="23" t="s">
        <v>176</v>
      </c>
      <c r="D2673" s="23" t="s">
        <v>160</v>
      </c>
      <c r="E2673" s="23" t="s">
        <v>161</v>
      </c>
      <c r="F2673">
        <v>0.25</v>
      </c>
      <c r="G2673" s="23" t="s">
        <v>180</v>
      </c>
      <c r="H2673">
        <v>0</v>
      </c>
      <c r="I2673">
        <v>52</v>
      </c>
      <c r="J2673" s="10">
        <v>38.620000000000054</v>
      </c>
      <c r="K2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673">
        <v>0</v>
      </c>
      <c r="M26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3">
        <v>126.36</v>
      </c>
      <c r="O2673" s="23" t="s">
        <v>620</v>
      </c>
      <c r="P2673">
        <v>31.59</v>
      </c>
      <c r="Q2673" s="23" t="s">
        <v>179</v>
      </c>
    </row>
    <row r="2674" spans="1:17" x14ac:dyDescent="0.25">
      <c r="A2674" s="23" t="s">
        <v>1058</v>
      </c>
      <c r="B2674" s="23" t="s">
        <v>1059</v>
      </c>
      <c r="C2674" s="23" t="s">
        <v>176</v>
      </c>
      <c r="D2674" s="23" t="s">
        <v>5</v>
      </c>
      <c r="E2674" s="23" t="s">
        <v>6</v>
      </c>
      <c r="F2674">
        <v>4.0999999999999996</v>
      </c>
      <c r="G2674" s="23" t="s">
        <v>180</v>
      </c>
      <c r="H2674">
        <v>0</v>
      </c>
      <c r="I2674">
        <v>100</v>
      </c>
      <c r="J2674" s="10">
        <v>1.9999999999998863</v>
      </c>
      <c r="K2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674">
        <v>0</v>
      </c>
      <c r="M26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4">
        <v>111</v>
      </c>
      <c r="O2674" s="23" t="s">
        <v>827</v>
      </c>
      <c r="P2674">
        <v>455.09999999999997</v>
      </c>
      <c r="Q2674" s="23" t="s">
        <v>222</v>
      </c>
    </row>
    <row r="2675" spans="1:17" x14ac:dyDescent="0.25">
      <c r="A2675" s="23" t="s">
        <v>1055</v>
      </c>
      <c r="B2675" s="23" t="s">
        <v>1056</v>
      </c>
      <c r="C2675" s="23" t="s">
        <v>176</v>
      </c>
      <c r="D2675" s="23" t="s">
        <v>5</v>
      </c>
      <c r="E2675" s="23" t="s">
        <v>6</v>
      </c>
      <c r="F2675">
        <v>5.0999999999999996</v>
      </c>
      <c r="G2675" s="23" t="s">
        <v>180</v>
      </c>
      <c r="H2675">
        <v>0</v>
      </c>
      <c r="I2675">
        <v>100</v>
      </c>
      <c r="J2675" s="10">
        <v>1.9999999999998863</v>
      </c>
      <c r="K2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675">
        <v>0</v>
      </c>
      <c r="M26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5">
        <v>111</v>
      </c>
      <c r="O2675" s="23" t="s">
        <v>827</v>
      </c>
      <c r="P2675">
        <v>566.09999999999991</v>
      </c>
      <c r="Q2675" s="23" t="s">
        <v>222</v>
      </c>
    </row>
    <row r="2676" spans="1:17" x14ac:dyDescent="0.25">
      <c r="A2676" s="23" t="s">
        <v>1099</v>
      </c>
      <c r="B2676" s="23" t="s">
        <v>1056</v>
      </c>
      <c r="C2676" s="23" t="s">
        <v>176</v>
      </c>
      <c r="D2676" s="23" t="s">
        <v>5</v>
      </c>
      <c r="E2676" s="23" t="s">
        <v>6</v>
      </c>
      <c r="F2676">
        <v>5.0999999999999996</v>
      </c>
      <c r="G2676" s="23" t="s">
        <v>180</v>
      </c>
      <c r="H2676">
        <v>0</v>
      </c>
      <c r="I2676">
        <v>100</v>
      </c>
      <c r="J2676" s="10">
        <v>1.9999999999998863</v>
      </c>
      <c r="K2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676">
        <v>0</v>
      </c>
      <c r="M26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6">
        <v>111</v>
      </c>
      <c r="O2676" s="23" t="s">
        <v>827</v>
      </c>
      <c r="P2676">
        <v>566.09999999999991</v>
      </c>
      <c r="Q2676" s="23" t="s">
        <v>222</v>
      </c>
    </row>
    <row r="2677" spans="1:17" x14ac:dyDescent="0.25">
      <c r="A2677" s="23" t="s">
        <v>1146</v>
      </c>
      <c r="B2677" s="23" t="s">
        <v>1145</v>
      </c>
      <c r="C2677" s="23" t="s">
        <v>176</v>
      </c>
      <c r="D2677" s="23" t="s">
        <v>656</v>
      </c>
      <c r="E2677" s="23" t="s">
        <v>657</v>
      </c>
      <c r="F2677">
        <v>2</v>
      </c>
      <c r="G2677" s="23" t="s">
        <v>177</v>
      </c>
      <c r="H2677">
        <v>0</v>
      </c>
      <c r="I2677">
        <v>216</v>
      </c>
      <c r="J2677" s="10">
        <v>118</v>
      </c>
      <c r="K2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677">
        <v>0</v>
      </c>
      <c r="M26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7">
        <v>3.95</v>
      </c>
      <c r="O2677" s="23" t="s">
        <v>221</v>
      </c>
      <c r="P2677">
        <v>7.9</v>
      </c>
      <c r="Q2677" s="23" t="s">
        <v>222</v>
      </c>
    </row>
    <row r="2678" spans="1:17" x14ac:dyDescent="0.25">
      <c r="A2678" s="23" t="s">
        <v>1144</v>
      </c>
      <c r="B2678" s="23" t="s">
        <v>1145</v>
      </c>
      <c r="C2678" s="23" t="s">
        <v>176</v>
      </c>
      <c r="D2678" s="23" t="s">
        <v>656</v>
      </c>
      <c r="E2678" s="23" t="s">
        <v>657</v>
      </c>
      <c r="F2678">
        <v>2</v>
      </c>
      <c r="G2678" s="23" t="s">
        <v>177</v>
      </c>
      <c r="H2678">
        <v>0</v>
      </c>
      <c r="I2678">
        <v>216</v>
      </c>
      <c r="J2678" s="10">
        <v>118</v>
      </c>
      <c r="K2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678">
        <v>0</v>
      </c>
      <c r="M26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8">
        <v>3.95</v>
      </c>
      <c r="O2678" s="23" t="s">
        <v>221</v>
      </c>
      <c r="P2678">
        <v>7.9</v>
      </c>
      <c r="Q2678" s="23" t="s">
        <v>222</v>
      </c>
    </row>
    <row r="2679" spans="1:17" x14ac:dyDescent="0.25">
      <c r="A2679" s="23" t="s">
        <v>1149</v>
      </c>
      <c r="B2679" s="23" t="s">
        <v>1145</v>
      </c>
      <c r="C2679" s="23" t="s">
        <v>176</v>
      </c>
      <c r="D2679" s="23" t="s">
        <v>506</v>
      </c>
      <c r="E2679" s="23" t="s">
        <v>507</v>
      </c>
      <c r="F2679">
        <v>1</v>
      </c>
      <c r="G2679" s="23" t="s">
        <v>177</v>
      </c>
      <c r="H2679">
        <v>0</v>
      </c>
      <c r="I2679">
        <v>8</v>
      </c>
      <c r="J2679" s="10">
        <v>9</v>
      </c>
      <c r="K2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679">
        <v>36</v>
      </c>
      <c r="M26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79">
        <v>101.4</v>
      </c>
      <c r="O2679" s="23" t="s">
        <v>1065</v>
      </c>
      <c r="P2679">
        <v>101.4</v>
      </c>
      <c r="Q2679" s="23" t="s">
        <v>222</v>
      </c>
    </row>
    <row r="2680" spans="1:17" x14ac:dyDescent="0.25">
      <c r="A2680" s="23" t="s">
        <v>1058</v>
      </c>
      <c r="B2680" s="23" t="s">
        <v>1059</v>
      </c>
      <c r="C2680" s="23" t="s">
        <v>176</v>
      </c>
      <c r="D2680" s="23" t="s">
        <v>656</v>
      </c>
      <c r="E2680" s="23" t="s">
        <v>657</v>
      </c>
      <c r="F2680">
        <v>2</v>
      </c>
      <c r="G2680" s="23" t="s">
        <v>177</v>
      </c>
      <c r="H2680">
        <v>0</v>
      </c>
      <c r="I2680">
        <v>216</v>
      </c>
      <c r="J2680" s="10">
        <v>118</v>
      </c>
      <c r="K2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680">
        <v>0</v>
      </c>
      <c r="M26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0">
        <v>3.95</v>
      </c>
      <c r="O2680" s="23" t="s">
        <v>221</v>
      </c>
      <c r="P2680">
        <v>7.9</v>
      </c>
      <c r="Q2680" s="23" t="s">
        <v>222</v>
      </c>
    </row>
    <row r="2681" spans="1:17" x14ac:dyDescent="0.25">
      <c r="A2681" s="23" t="s">
        <v>1055</v>
      </c>
      <c r="B2681" s="23" t="s">
        <v>1056</v>
      </c>
      <c r="C2681" s="23" t="s">
        <v>176</v>
      </c>
      <c r="D2681" s="23" t="s">
        <v>656</v>
      </c>
      <c r="E2681" s="23" t="s">
        <v>657</v>
      </c>
      <c r="F2681">
        <v>2</v>
      </c>
      <c r="G2681" s="23" t="s">
        <v>177</v>
      </c>
      <c r="H2681">
        <v>0</v>
      </c>
      <c r="I2681">
        <v>216</v>
      </c>
      <c r="J2681" s="10">
        <v>118</v>
      </c>
      <c r="K2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681">
        <v>0</v>
      </c>
      <c r="M26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1">
        <v>3.95</v>
      </c>
      <c r="O2681" s="23" t="s">
        <v>221</v>
      </c>
      <c r="P2681">
        <v>7.9</v>
      </c>
      <c r="Q2681" s="23" t="s">
        <v>222</v>
      </c>
    </row>
    <row r="2682" spans="1:17" x14ac:dyDescent="0.25">
      <c r="A2682" s="23" t="s">
        <v>1099</v>
      </c>
      <c r="B2682" s="23" t="s">
        <v>1056</v>
      </c>
      <c r="C2682" s="23" t="s">
        <v>176</v>
      </c>
      <c r="D2682" s="23" t="s">
        <v>656</v>
      </c>
      <c r="E2682" s="23" t="s">
        <v>657</v>
      </c>
      <c r="F2682">
        <v>2</v>
      </c>
      <c r="G2682" s="23" t="s">
        <v>177</v>
      </c>
      <c r="H2682">
        <v>0</v>
      </c>
      <c r="I2682">
        <v>216</v>
      </c>
      <c r="J2682" s="10">
        <v>118</v>
      </c>
      <c r="K2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682">
        <v>0</v>
      </c>
      <c r="M26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2">
        <v>3.95</v>
      </c>
      <c r="O2682" s="23" t="s">
        <v>221</v>
      </c>
      <c r="P2682">
        <v>7.9</v>
      </c>
      <c r="Q2682" s="23" t="s">
        <v>222</v>
      </c>
    </row>
    <row r="2683" spans="1:17" x14ac:dyDescent="0.25">
      <c r="A2683" s="23" t="s">
        <v>1147</v>
      </c>
      <c r="B2683" s="23" t="s">
        <v>1145</v>
      </c>
      <c r="C2683" s="23" t="s">
        <v>176</v>
      </c>
      <c r="D2683" s="23" t="s">
        <v>506</v>
      </c>
      <c r="E2683" s="23" t="s">
        <v>507</v>
      </c>
      <c r="F2683">
        <v>1</v>
      </c>
      <c r="G2683" s="23" t="s">
        <v>177</v>
      </c>
      <c r="H2683">
        <v>0</v>
      </c>
      <c r="I2683">
        <v>8</v>
      </c>
      <c r="J2683" s="10">
        <v>9</v>
      </c>
      <c r="K2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683">
        <v>36</v>
      </c>
      <c r="M26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3">
        <v>101.4</v>
      </c>
      <c r="O2683" s="23" t="s">
        <v>1065</v>
      </c>
      <c r="P2683">
        <v>101.4</v>
      </c>
      <c r="Q2683" s="23" t="s">
        <v>222</v>
      </c>
    </row>
    <row r="2684" spans="1:17" x14ac:dyDescent="0.25">
      <c r="A2684" s="23" t="s">
        <v>1148</v>
      </c>
      <c r="B2684" s="23" t="s">
        <v>1054</v>
      </c>
      <c r="C2684" s="23" t="s">
        <v>176</v>
      </c>
      <c r="D2684" s="23" t="s">
        <v>506</v>
      </c>
      <c r="E2684" s="23" t="s">
        <v>507</v>
      </c>
      <c r="F2684">
        <v>1</v>
      </c>
      <c r="G2684" s="23" t="s">
        <v>177</v>
      </c>
      <c r="H2684">
        <v>0</v>
      </c>
      <c r="I2684">
        <v>8</v>
      </c>
      <c r="J2684" s="10">
        <v>9</v>
      </c>
      <c r="K2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684">
        <v>36</v>
      </c>
      <c r="M26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4">
        <v>101.4</v>
      </c>
      <c r="O2684" s="23" t="s">
        <v>1065</v>
      </c>
      <c r="P2684">
        <v>101.4</v>
      </c>
      <c r="Q2684" s="23" t="s">
        <v>222</v>
      </c>
    </row>
    <row r="2685" spans="1:17" x14ac:dyDescent="0.25">
      <c r="A2685" s="23" t="s">
        <v>1144</v>
      </c>
      <c r="B2685" s="23" t="s">
        <v>1145</v>
      </c>
      <c r="C2685" s="23" t="s">
        <v>176</v>
      </c>
      <c r="D2685" s="23" t="s">
        <v>26</v>
      </c>
      <c r="E2685" s="23" t="s">
        <v>27</v>
      </c>
      <c r="F2685">
        <v>1</v>
      </c>
      <c r="G2685" s="23" t="s">
        <v>177</v>
      </c>
      <c r="H2685">
        <v>0</v>
      </c>
      <c r="I2685">
        <v>24</v>
      </c>
      <c r="J2685" s="10">
        <v>4</v>
      </c>
      <c r="K2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685">
        <v>0</v>
      </c>
      <c r="M26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5">
        <v>625</v>
      </c>
      <c r="O2685" s="23" t="s">
        <v>227</v>
      </c>
      <c r="P2685">
        <v>625</v>
      </c>
      <c r="Q2685" s="23" t="s">
        <v>181</v>
      </c>
    </row>
    <row r="2686" spans="1:17" x14ac:dyDescent="0.25">
      <c r="A2686" s="23" t="s">
        <v>1146</v>
      </c>
      <c r="B2686" s="23" t="s">
        <v>1145</v>
      </c>
      <c r="C2686" s="23" t="s">
        <v>176</v>
      </c>
      <c r="D2686" s="23" t="s">
        <v>26</v>
      </c>
      <c r="E2686" s="23" t="s">
        <v>27</v>
      </c>
      <c r="F2686">
        <v>1</v>
      </c>
      <c r="G2686" s="23" t="s">
        <v>177</v>
      </c>
      <c r="H2686">
        <v>0</v>
      </c>
      <c r="I2686">
        <v>24</v>
      </c>
      <c r="J2686" s="10">
        <v>4</v>
      </c>
      <c r="K2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686">
        <v>0</v>
      </c>
      <c r="M26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6">
        <v>625</v>
      </c>
      <c r="O2686" s="23" t="s">
        <v>227</v>
      </c>
      <c r="P2686">
        <v>625</v>
      </c>
      <c r="Q2686" s="23" t="s">
        <v>181</v>
      </c>
    </row>
    <row r="2687" spans="1:17" x14ac:dyDescent="0.25">
      <c r="A2687" s="23" t="s">
        <v>1144</v>
      </c>
      <c r="B2687" s="23" t="s">
        <v>1145</v>
      </c>
      <c r="C2687" s="23" t="s">
        <v>176</v>
      </c>
      <c r="D2687" s="23" t="s">
        <v>470</v>
      </c>
      <c r="E2687" s="23" t="s">
        <v>471</v>
      </c>
      <c r="F2687">
        <v>1</v>
      </c>
      <c r="G2687" s="23" t="s">
        <v>177</v>
      </c>
      <c r="H2687">
        <v>0</v>
      </c>
      <c r="I2687">
        <v>39</v>
      </c>
      <c r="J2687" s="10">
        <v>2</v>
      </c>
      <c r="K2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687">
        <v>0</v>
      </c>
      <c r="M26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87">
        <v>65</v>
      </c>
      <c r="O2687" s="23" t="s">
        <v>822</v>
      </c>
      <c r="P2687">
        <v>65</v>
      </c>
      <c r="Q2687" s="23" t="s">
        <v>179</v>
      </c>
    </row>
    <row r="2688" spans="1:17" x14ac:dyDescent="0.25">
      <c r="A2688" s="23" t="s">
        <v>1144</v>
      </c>
      <c r="B2688" s="23" t="s">
        <v>1145</v>
      </c>
      <c r="C2688" s="23" t="s">
        <v>176</v>
      </c>
      <c r="D2688" s="23" t="s">
        <v>452</v>
      </c>
      <c r="E2688" s="23" t="s">
        <v>453</v>
      </c>
      <c r="F2688">
        <v>1</v>
      </c>
      <c r="G2688" s="23" t="s">
        <v>177</v>
      </c>
      <c r="H2688">
        <v>0</v>
      </c>
      <c r="I2688">
        <v>6</v>
      </c>
      <c r="J2688" s="10">
        <v>7</v>
      </c>
      <c r="K2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688">
        <v>6</v>
      </c>
      <c r="M26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688">
        <v>1600</v>
      </c>
      <c r="O2688" s="23" t="s">
        <v>242</v>
      </c>
      <c r="P2688">
        <v>1600</v>
      </c>
      <c r="Q2688" s="23" t="s">
        <v>179</v>
      </c>
    </row>
    <row r="2689" spans="1:17" x14ac:dyDescent="0.25">
      <c r="A2689" s="23" t="s">
        <v>1100</v>
      </c>
      <c r="B2689" s="23" t="s">
        <v>1101</v>
      </c>
      <c r="C2689" s="23" t="s">
        <v>176</v>
      </c>
      <c r="D2689" s="23" t="s">
        <v>947</v>
      </c>
      <c r="E2689" s="23" t="s">
        <v>948</v>
      </c>
      <c r="F2689">
        <v>1</v>
      </c>
      <c r="G2689" s="23" t="s">
        <v>177</v>
      </c>
      <c r="H2689">
        <v>0</v>
      </c>
      <c r="I2689">
        <v>0</v>
      </c>
      <c r="J2689" s="10">
        <v>5</v>
      </c>
      <c r="K2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689">
        <v>2</v>
      </c>
      <c r="M26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2689">
        <v>3996</v>
      </c>
      <c r="O2689" s="23" t="s">
        <v>228</v>
      </c>
      <c r="P2689">
        <v>3996</v>
      </c>
      <c r="Q2689" s="23" t="s">
        <v>222</v>
      </c>
    </row>
    <row r="2690" spans="1:17" x14ac:dyDescent="0.25">
      <c r="A2690" s="23" t="s">
        <v>1150</v>
      </c>
      <c r="B2690" s="23" t="s">
        <v>1145</v>
      </c>
      <c r="C2690" s="23" t="s">
        <v>176</v>
      </c>
      <c r="D2690" s="23" t="s">
        <v>596</v>
      </c>
      <c r="E2690" s="23" t="s">
        <v>597</v>
      </c>
      <c r="F2690">
        <v>1</v>
      </c>
      <c r="G2690" s="23" t="s">
        <v>177</v>
      </c>
      <c r="H2690">
        <v>0</v>
      </c>
      <c r="I2690">
        <v>20</v>
      </c>
      <c r="J2690" s="10">
        <v>1</v>
      </c>
      <c r="K2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90">
        <v>0</v>
      </c>
      <c r="M26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0">
        <v>4850.4399999999996</v>
      </c>
      <c r="O2690" s="23" t="s">
        <v>637</v>
      </c>
      <c r="P2690">
        <v>4850.4399999999996</v>
      </c>
      <c r="Q2690" s="23" t="s">
        <v>178</v>
      </c>
    </row>
    <row r="2691" spans="1:17" x14ac:dyDescent="0.25">
      <c r="A2691" s="23" t="s">
        <v>1144</v>
      </c>
      <c r="B2691" s="23" t="s">
        <v>1145</v>
      </c>
      <c r="C2691" s="23" t="s">
        <v>176</v>
      </c>
      <c r="D2691" s="23" t="s">
        <v>775</v>
      </c>
      <c r="E2691" s="23" t="s">
        <v>776</v>
      </c>
      <c r="F2691">
        <v>3</v>
      </c>
      <c r="G2691" s="23" t="s">
        <v>183</v>
      </c>
      <c r="H2691">
        <v>0</v>
      </c>
      <c r="I2691">
        <v>0</v>
      </c>
      <c r="J2691" s="10">
        <v>0</v>
      </c>
      <c r="K2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691">
        <v>0</v>
      </c>
      <c r="M26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2691">
        <v>614.63</v>
      </c>
      <c r="O2691" s="23" t="s">
        <v>255</v>
      </c>
      <c r="P2691">
        <v>1843.8899999999999</v>
      </c>
      <c r="Q2691" s="23" t="s">
        <v>658</v>
      </c>
    </row>
    <row r="2692" spans="1:17" x14ac:dyDescent="0.25">
      <c r="A2692" s="23" t="s">
        <v>1055</v>
      </c>
      <c r="B2692" s="23" t="s">
        <v>1056</v>
      </c>
      <c r="C2692" s="23" t="s">
        <v>176</v>
      </c>
      <c r="D2692" s="23" t="s">
        <v>947</v>
      </c>
      <c r="E2692" s="23" t="s">
        <v>948</v>
      </c>
      <c r="F2692">
        <v>1</v>
      </c>
      <c r="G2692" s="23" t="s">
        <v>177</v>
      </c>
      <c r="H2692">
        <v>1</v>
      </c>
      <c r="I2692">
        <v>0</v>
      </c>
      <c r="J2692" s="10">
        <v>5</v>
      </c>
      <c r="K2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692">
        <v>2</v>
      </c>
      <c r="M26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2692">
        <v>3996</v>
      </c>
      <c r="O2692" s="23" t="s">
        <v>228</v>
      </c>
      <c r="P2692">
        <v>3996</v>
      </c>
      <c r="Q2692" s="23" t="s">
        <v>222</v>
      </c>
    </row>
    <row r="2693" spans="1:17" x14ac:dyDescent="0.25">
      <c r="A2693" s="23" t="s">
        <v>1149</v>
      </c>
      <c r="B2693" s="23" t="s">
        <v>1145</v>
      </c>
      <c r="C2693" s="23" t="s">
        <v>176</v>
      </c>
      <c r="D2693" s="23" t="s">
        <v>596</v>
      </c>
      <c r="E2693" s="23" t="s">
        <v>597</v>
      </c>
      <c r="F2693">
        <v>1</v>
      </c>
      <c r="G2693" s="23" t="s">
        <v>177</v>
      </c>
      <c r="H2693">
        <v>0</v>
      </c>
      <c r="I2693">
        <v>20</v>
      </c>
      <c r="J2693" s="10">
        <v>1</v>
      </c>
      <c r="K2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93">
        <v>0</v>
      </c>
      <c r="M26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3">
        <v>4850.4399999999996</v>
      </c>
      <c r="O2693" s="23" t="s">
        <v>637</v>
      </c>
      <c r="P2693">
        <v>4850.4399999999996</v>
      </c>
      <c r="Q2693" s="23" t="s">
        <v>178</v>
      </c>
    </row>
    <row r="2694" spans="1:17" x14ac:dyDescent="0.25">
      <c r="A2694" s="23" t="s">
        <v>1149</v>
      </c>
      <c r="B2694" s="23" t="s">
        <v>1145</v>
      </c>
      <c r="C2694" s="23" t="s">
        <v>176</v>
      </c>
      <c r="D2694" s="23" t="s">
        <v>775</v>
      </c>
      <c r="E2694" s="23" t="s">
        <v>776</v>
      </c>
      <c r="F2694">
        <v>3</v>
      </c>
      <c r="G2694" s="23" t="s">
        <v>183</v>
      </c>
      <c r="H2694">
        <v>0</v>
      </c>
      <c r="I2694">
        <v>0</v>
      </c>
      <c r="J2694" s="10">
        <v>0</v>
      </c>
      <c r="K2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694">
        <v>0</v>
      </c>
      <c r="M26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2694">
        <v>614.63</v>
      </c>
      <c r="O2694" s="23" t="s">
        <v>255</v>
      </c>
      <c r="P2694">
        <v>1843.8899999999999</v>
      </c>
      <c r="Q2694" s="23" t="s">
        <v>658</v>
      </c>
    </row>
    <row r="2695" spans="1:17" x14ac:dyDescent="0.25">
      <c r="A2695" s="23" t="s">
        <v>1097</v>
      </c>
      <c r="B2695" s="23" t="s">
        <v>1095</v>
      </c>
      <c r="C2695" s="23" t="s">
        <v>176</v>
      </c>
      <c r="D2695" s="23" t="s">
        <v>93</v>
      </c>
      <c r="E2695" s="23" t="s">
        <v>94</v>
      </c>
      <c r="F2695">
        <v>6</v>
      </c>
      <c r="G2695" s="23" t="s">
        <v>177</v>
      </c>
      <c r="H2695">
        <v>0</v>
      </c>
      <c r="I2695">
        <v>105</v>
      </c>
      <c r="J2695" s="10">
        <v>56</v>
      </c>
      <c r="K2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695">
        <v>0</v>
      </c>
      <c r="M26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5">
        <v>72.599999999999994</v>
      </c>
      <c r="O2695" s="23" t="s">
        <v>242</v>
      </c>
      <c r="P2695">
        <v>435.59999999999997</v>
      </c>
      <c r="Q2695" s="23" t="s">
        <v>179</v>
      </c>
    </row>
    <row r="2696" spans="1:17" x14ac:dyDescent="0.25">
      <c r="A2696" s="23" t="s">
        <v>1197</v>
      </c>
      <c r="B2696" s="23" t="s">
        <v>1198</v>
      </c>
      <c r="C2696" s="23" t="s">
        <v>176</v>
      </c>
      <c r="D2696" s="23" t="s">
        <v>847</v>
      </c>
      <c r="E2696" s="23" t="s">
        <v>848</v>
      </c>
      <c r="F2696">
        <v>2</v>
      </c>
      <c r="G2696" s="23" t="s">
        <v>183</v>
      </c>
      <c r="H2696">
        <v>0</v>
      </c>
      <c r="I2696">
        <v>0</v>
      </c>
      <c r="J2696" s="10">
        <v>-1.4210854715202004E-14</v>
      </c>
      <c r="K2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2696">
        <v>0</v>
      </c>
      <c r="M26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2696">
        <v>546.6</v>
      </c>
      <c r="O2696" s="23" t="s">
        <v>255</v>
      </c>
      <c r="P2696">
        <v>1093.2</v>
      </c>
      <c r="Q2696" s="23" t="s">
        <v>182</v>
      </c>
    </row>
    <row r="2697" spans="1:17" x14ac:dyDescent="0.25">
      <c r="A2697" s="23" t="s">
        <v>1097</v>
      </c>
      <c r="B2697" s="23" t="s">
        <v>1095</v>
      </c>
      <c r="C2697" s="23" t="s">
        <v>176</v>
      </c>
      <c r="D2697" s="23" t="s">
        <v>596</v>
      </c>
      <c r="E2697" s="23" t="s">
        <v>597</v>
      </c>
      <c r="F2697">
        <v>1</v>
      </c>
      <c r="G2697" s="23" t="s">
        <v>177</v>
      </c>
      <c r="H2697">
        <v>0</v>
      </c>
      <c r="I2697">
        <v>20</v>
      </c>
      <c r="J2697" s="10">
        <v>1</v>
      </c>
      <c r="K2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97">
        <v>0</v>
      </c>
      <c r="M26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7">
        <v>4850.4399999999996</v>
      </c>
      <c r="O2697" s="23" t="s">
        <v>637</v>
      </c>
      <c r="P2697">
        <v>4850.4399999999996</v>
      </c>
      <c r="Q2697" s="23" t="s">
        <v>178</v>
      </c>
    </row>
    <row r="2698" spans="1:17" x14ac:dyDescent="0.25">
      <c r="A2698" s="23" t="s">
        <v>1100</v>
      </c>
      <c r="B2698" s="23" t="s">
        <v>1101</v>
      </c>
      <c r="C2698" s="23" t="s">
        <v>176</v>
      </c>
      <c r="D2698" s="23" t="s">
        <v>271</v>
      </c>
      <c r="E2698" s="23" t="s">
        <v>272</v>
      </c>
      <c r="F2698">
        <v>1</v>
      </c>
      <c r="G2698" s="23" t="s">
        <v>177</v>
      </c>
      <c r="H2698">
        <v>0</v>
      </c>
      <c r="I2698">
        <v>14</v>
      </c>
      <c r="J2698" s="10">
        <v>8</v>
      </c>
      <c r="K2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698">
        <v>0</v>
      </c>
      <c r="M26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698">
        <v>270</v>
      </c>
      <c r="O2698" s="23" t="s">
        <v>221</v>
      </c>
      <c r="P2698">
        <v>270</v>
      </c>
      <c r="Q2698" s="23" t="s">
        <v>222</v>
      </c>
    </row>
    <row r="2699" spans="1:17" x14ac:dyDescent="0.25">
      <c r="A2699" s="23" t="s">
        <v>1100</v>
      </c>
      <c r="B2699" s="23" t="s">
        <v>1101</v>
      </c>
      <c r="C2699" s="23" t="s">
        <v>176</v>
      </c>
      <c r="D2699" s="23" t="s">
        <v>955</v>
      </c>
      <c r="E2699" s="23" t="s">
        <v>956</v>
      </c>
      <c r="F2699">
        <v>1</v>
      </c>
      <c r="G2699" s="23" t="s">
        <v>177</v>
      </c>
      <c r="H2699">
        <v>0</v>
      </c>
      <c r="I2699">
        <v>1</v>
      </c>
      <c r="J2699" s="10">
        <v>0</v>
      </c>
      <c r="K2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699">
        <v>0</v>
      </c>
      <c r="M26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65075.75</v>
      </c>
      <c r="N2699">
        <v>65075.75</v>
      </c>
      <c r="O2699" s="23" t="s">
        <v>216</v>
      </c>
      <c r="P2699">
        <v>65075.75</v>
      </c>
      <c r="Q2699" s="23" t="s">
        <v>178</v>
      </c>
    </row>
    <row r="2700" spans="1:17" x14ac:dyDescent="0.25">
      <c r="A2700" s="23" t="s">
        <v>1098</v>
      </c>
      <c r="B2700" s="23" t="s">
        <v>1053</v>
      </c>
      <c r="C2700" s="23" t="s">
        <v>176</v>
      </c>
      <c r="D2700" s="23" t="s">
        <v>56</v>
      </c>
      <c r="E2700" s="23" t="s">
        <v>57</v>
      </c>
      <c r="F2700">
        <v>6</v>
      </c>
      <c r="G2700" s="23" t="s">
        <v>180</v>
      </c>
      <c r="H2700">
        <v>0</v>
      </c>
      <c r="I2700">
        <v>140</v>
      </c>
      <c r="J2700" s="10">
        <v>0</v>
      </c>
      <c r="K2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2700">
        <v>0</v>
      </c>
      <c r="M27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0">
        <v>25.42</v>
      </c>
      <c r="O2700" s="23" t="s">
        <v>827</v>
      </c>
      <c r="P2700">
        <v>152.52000000000001</v>
      </c>
      <c r="Q2700" s="23" t="s">
        <v>222</v>
      </c>
    </row>
    <row r="2701" spans="1:17" x14ac:dyDescent="0.25">
      <c r="A2701" s="23" t="s">
        <v>1197</v>
      </c>
      <c r="B2701" s="23" t="s">
        <v>1198</v>
      </c>
      <c r="C2701" s="23" t="s">
        <v>176</v>
      </c>
      <c r="D2701" s="23" t="s">
        <v>60</v>
      </c>
      <c r="E2701" s="23" t="s">
        <v>61</v>
      </c>
      <c r="F2701">
        <v>1</v>
      </c>
      <c r="G2701" s="23" t="s">
        <v>177</v>
      </c>
      <c r="H2701">
        <v>0</v>
      </c>
      <c r="I2701">
        <v>18</v>
      </c>
      <c r="J2701" s="10">
        <v>10</v>
      </c>
      <c r="K2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701">
        <v>0</v>
      </c>
      <c r="M27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1">
        <v>115.6</v>
      </c>
      <c r="O2701" s="23" t="s">
        <v>827</v>
      </c>
      <c r="P2701">
        <v>115.6</v>
      </c>
      <c r="Q2701" s="23" t="s">
        <v>222</v>
      </c>
    </row>
    <row r="2702" spans="1:17" x14ac:dyDescent="0.25">
      <c r="A2702" s="23" t="s">
        <v>1098</v>
      </c>
      <c r="B2702" s="23" t="s">
        <v>1053</v>
      </c>
      <c r="C2702" s="23" t="s">
        <v>176</v>
      </c>
      <c r="D2702" s="23" t="s">
        <v>60</v>
      </c>
      <c r="E2702" s="23" t="s">
        <v>61</v>
      </c>
      <c r="F2702">
        <v>1</v>
      </c>
      <c r="G2702" s="23" t="s">
        <v>177</v>
      </c>
      <c r="H2702">
        <v>0</v>
      </c>
      <c r="I2702">
        <v>18</v>
      </c>
      <c r="J2702" s="10">
        <v>10</v>
      </c>
      <c r="K2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702">
        <v>0</v>
      </c>
      <c r="M27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2">
        <v>115.6</v>
      </c>
      <c r="O2702" s="23" t="s">
        <v>827</v>
      </c>
      <c r="P2702">
        <v>115.6</v>
      </c>
      <c r="Q2702" s="23" t="s">
        <v>222</v>
      </c>
    </row>
    <row r="2703" spans="1:17" x14ac:dyDescent="0.25">
      <c r="A2703" s="23" t="s">
        <v>1148</v>
      </c>
      <c r="B2703" s="23" t="s">
        <v>1054</v>
      </c>
      <c r="C2703" s="23" t="s">
        <v>176</v>
      </c>
      <c r="D2703" s="23" t="s">
        <v>117</v>
      </c>
      <c r="E2703" s="23" t="s">
        <v>118</v>
      </c>
      <c r="F2703">
        <v>105.7</v>
      </c>
      <c r="G2703" s="23" t="s">
        <v>186</v>
      </c>
      <c r="H2703">
        <v>0</v>
      </c>
      <c r="I2703">
        <v>1840</v>
      </c>
      <c r="J2703" s="10">
        <v>973.62000000000012</v>
      </c>
      <c r="K2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2703">
        <v>920</v>
      </c>
      <c r="M27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3">
        <v>94.86</v>
      </c>
      <c r="O2703" s="23" t="s">
        <v>491</v>
      </c>
      <c r="P2703">
        <v>10026.701999999999</v>
      </c>
      <c r="Q2703" s="23" t="s">
        <v>184</v>
      </c>
    </row>
    <row r="2704" spans="1:17" x14ac:dyDescent="0.25">
      <c r="A2704" s="23" t="s">
        <v>1100</v>
      </c>
      <c r="B2704" s="23" t="s">
        <v>1101</v>
      </c>
      <c r="C2704" s="23" t="s">
        <v>176</v>
      </c>
      <c r="D2704" s="23" t="s">
        <v>459</v>
      </c>
      <c r="E2704" s="23" t="s">
        <v>460</v>
      </c>
      <c r="F2704">
        <v>0.11</v>
      </c>
      <c r="G2704" s="23" t="s">
        <v>177</v>
      </c>
      <c r="H2704">
        <v>0.11</v>
      </c>
      <c r="I2704">
        <v>6</v>
      </c>
      <c r="J2704" s="10">
        <v>22.53</v>
      </c>
      <c r="K2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2704">
        <v>0</v>
      </c>
      <c r="M27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4">
        <v>133</v>
      </c>
      <c r="O2704" s="23" t="s">
        <v>217</v>
      </c>
      <c r="P2704">
        <v>14.63</v>
      </c>
      <c r="Q2704" s="23" t="s">
        <v>184</v>
      </c>
    </row>
    <row r="2705" spans="1:17" x14ac:dyDescent="0.25">
      <c r="A2705" s="23" t="s">
        <v>1148</v>
      </c>
      <c r="B2705" s="23" t="s">
        <v>1054</v>
      </c>
      <c r="C2705" s="23" t="s">
        <v>176</v>
      </c>
      <c r="D2705" s="23" t="s">
        <v>119</v>
      </c>
      <c r="E2705" s="23" t="s">
        <v>120</v>
      </c>
      <c r="F2705">
        <v>4</v>
      </c>
      <c r="G2705" s="23" t="s">
        <v>177</v>
      </c>
      <c r="H2705">
        <v>0</v>
      </c>
      <c r="I2705">
        <v>84</v>
      </c>
      <c r="J2705" s="10">
        <v>36</v>
      </c>
      <c r="K2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2705">
        <v>0</v>
      </c>
      <c r="M27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440</v>
      </c>
      <c r="N2705">
        <v>20</v>
      </c>
      <c r="O2705" s="23" t="s">
        <v>242</v>
      </c>
      <c r="P2705">
        <v>80</v>
      </c>
      <c r="Q2705" s="23" t="s">
        <v>179</v>
      </c>
    </row>
    <row r="2706" spans="1:17" x14ac:dyDescent="0.25">
      <c r="A2706" s="23" t="s">
        <v>1148</v>
      </c>
      <c r="B2706" s="23" t="s">
        <v>1054</v>
      </c>
      <c r="C2706" s="23" t="s">
        <v>176</v>
      </c>
      <c r="D2706" s="23" t="s">
        <v>52</v>
      </c>
      <c r="E2706" s="23" t="s">
        <v>53</v>
      </c>
      <c r="F2706">
        <v>1</v>
      </c>
      <c r="G2706" s="23" t="s">
        <v>177</v>
      </c>
      <c r="H2706">
        <v>0</v>
      </c>
      <c r="I2706">
        <v>5</v>
      </c>
      <c r="J2706" s="10">
        <v>10</v>
      </c>
      <c r="K2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706">
        <v>0</v>
      </c>
      <c r="M27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2706">
        <v>12234.43</v>
      </c>
      <c r="O2706" s="23" t="s">
        <v>216</v>
      </c>
      <c r="P2706">
        <v>12234.43</v>
      </c>
      <c r="Q2706" s="23" t="s">
        <v>222</v>
      </c>
    </row>
    <row r="2707" spans="1:17" x14ac:dyDescent="0.25">
      <c r="A2707" s="23" t="s">
        <v>1055</v>
      </c>
      <c r="B2707" s="23" t="s">
        <v>1056</v>
      </c>
      <c r="C2707" s="23" t="s">
        <v>176</v>
      </c>
      <c r="D2707" s="23" t="s">
        <v>925</v>
      </c>
      <c r="E2707" s="23" t="s">
        <v>926</v>
      </c>
      <c r="F2707">
        <v>1</v>
      </c>
      <c r="G2707" s="23" t="s">
        <v>180</v>
      </c>
      <c r="H2707">
        <v>0</v>
      </c>
      <c r="I2707">
        <v>6400</v>
      </c>
      <c r="J2707" s="10">
        <v>186.50000000000017</v>
      </c>
      <c r="K2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2707">
        <v>0</v>
      </c>
      <c r="M27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7">
        <v>2.1</v>
      </c>
      <c r="O2707" s="23"/>
      <c r="P2707">
        <v>2.1</v>
      </c>
      <c r="Q2707" s="23" t="s">
        <v>222</v>
      </c>
    </row>
    <row r="2708" spans="1:17" x14ac:dyDescent="0.25">
      <c r="A2708" s="23" t="s">
        <v>1099</v>
      </c>
      <c r="B2708" s="23" t="s">
        <v>1056</v>
      </c>
      <c r="C2708" s="23" t="s">
        <v>176</v>
      </c>
      <c r="D2708" s="23" t="s">
        <v>925</v>
      </c>
      <c r="E2708" s="23" t="s">
        <v>926</v>
      </c>
      <c r="F2708">
        <v>1</v>
      </c>
      <c r="G2708" s="23" t="s">
        <v>180</v>
      </c>
      <c r="H2708">
        <v>0</v>
      </c>
      <c r="I2708">
        <v>6400</v>
      </c>
      <c r="J2708" s="10">
        <v>186.50000000000017</v>
      </c>
      <c r="K2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2708">
        <v>0</v>
      </c>
      <c r="M27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08">
        <v>2.1</v>
      </c>
      <c r="O2708" s="23"/>
      <c r="P2708">
        <v>2.1</v>
      </c>
      <c r="Q2708" s="23" t="s">
        <v>222</v>
      </c>
    </row>
    <row r="2709" spans="1:17" x14ac:dyDescent="0.25">
      <c r="A2709" s="23" t="s">
        <v>1062</v>
      </c>
      <c r="B2709" s="23" t="s">
        <v>1053</v>
      </c>
      <c r="C2709" s="23" t="s">
        <v>176</v>
      </c>
      <c r="D2709" s="23" t="s">
        <v>52</v>
      </c>
      <c r="E2709" s="23" t="s">
        <v>53</v>
      </c>
      <c r="F2709">
        <v>1</v>
      </c>
      <c r="G2709" s="23" t="s">
        <v>177</v>
      </c>
      <c r="H2709">
        <v>0</v>
      </c>
      <c r="I2709">
        <v>5</v>
      </c>
      <c r="J2709" s="10">
        <v>10</v>
      </c>
      <c r="K2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709">
        <v>0</v>
      </c>
      <c r="M27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2709">
        <v>12234.43</v>
      </c>
      <c r="O2709" s="23" t="s">
        <v>216</v>
      </c>
      <c r="P2709">
        <v>12234.43</v>
      </c>
      <c r="Q2709" s="23" t="s">
        <v>222</v>
      </c>
    </row>
    <row r="2710" spans="1:17" x14ac:dyDescent="0.25">
      <c r="A2710" s="23" t="s">
        <v>1197</v>
      </c>
      <c r="B2710" s="23" t="s">
        <v>1198</v>
      </c>
      <c r="C2710" s="23" t="s">
        <v>176</v>
      </c>
      <c r="D2710" s="23" t="s">
        <v>52</v>
      </c>
      <c r="E2710" s="23" t="s">
        <v>53</v>
      </c>
      <c r="F2710">
        <v>1</v>
      </c>
      <c r="G2710" s="23" t="s">
        <v>177</v>
      </c>
      <c r="H2710">
        <v>0</v>
      </c>
      <c r="I2710">
        <v>5</v>
      </c>
      <c r="J2710" s="10">
        <v>10</v>
      </c>
      <c r="K2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710">
        <v>0</v>
      </c>
      <c r="M27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2710">
        <v>12234.43</v>
      </c>
      <c r="O2710" s="23" t="s">
        <v>216</v>
      </c>
      <c r="P2710">
        <v>12234.43</v>
      </c>
      <c r="Q2710" s="23" t="s">
        <v>222</v>
      </c>
    </row>
    <row r="2711" spans="1:17" x14ac:dyDescent="0.25">
      <c r="A2711" s="23" t="s">
        <v>1098</v>
      </c>
      <c r="B2711" s="23" t="s">
        <v>1053</v>
      </c>
      <c r="C2711" s="23" t="s">
        <v>176</v>
      </c>
      <c r="D2711" s="23" t="s">
        <v>52</v>
      </c>
      <c r="E2711" s="23" t="s">
        <v>53</v>
      </c>
      <c r="F2711">
        <v>1</v>
      </c>
      <c r="G2711" s="23" t="s">
        <v>177</v>
      </c>
      <c r="H2711">
        <v>0</v>
      </c>
      <c r="I2711">
        <v>5</v>
      </c>
      <c r="J2711" s="10">
        <v>10</v>
      </c>
      <c r="K2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711">
        <v>0</v>
      </c>
      <c r="M27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2711">
        <v>12234.43</v>
      </c>
      <c r="O2711" s="23" t="s">
        <v>216</v>
      </c>
      <c r="P2711">
        <v>12234.43</v>
      </c>
      <c r="Q2711" s="23" t="s">
        <v>222</v>
      </c>
    </row>
    <row r="2712" spans="1:17" x14ac:dyDescent="0.25">
      <c r="A2712" s="23" t="s">
        <v>1062</v>
      </c>
      <c r="B2712" s="23" t="s">
        <v>1053</v>
      </c>
      <c r="C2712" s="23" t="s">
        <v>176</v>
      </c>
      <c r="D2712" s="23" t="s">
        <v>925</v>
      </c>
      <c r="E2712" s="23" t="s">
        <v>926</v>
      </c>
      <c r="F2712">
        <v>1.5</v>
      </c>
      <c r="G2712" s="23" t="s">
        <v>180</v>
      </c>
      <c r="H2712">
        <v>0</v>
      </c>
      <c r="I2712">
        <v>6400</v>
      </c>
      <c r="J2712" s="10">
        <v>186.50000000000017</v>
      </c>
      <c r="K2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2712">
        <v>0</v>
      </c>
      <c r="M27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2">
        <v>2.1</v>
      </c>
      <c r="O2712" s="23"/>
      <c r="P2712">
        <v>3.1500000000000004</v>
      </c>
      <c r="Q2712" s="23" t="s">
        <v>222</v>
      </c>
    </row>
    <row r="2713" spans="1:17" x14ac:dyDescent="0.25">
      <c r="A2713" s="23" t="s">
        <v>1197</v>
      </c>
      <c r="B2713" s="23" t="s">
        <v>1198</v>
      </c>
      <c r="C2713" s="23" t="s">
        <v>176</v>
      </c>
      <c r="D2713" s="23" t="s">
        <v>925</v>
      </c>
      <c r="E2713" s="23" t="s">
        <v>926</v>
      </c>
      <c r="F2713">
        <v>1</v>
      </c>
      <c r="G2713" s="23" t="s">
        <v>180</v>
      </c>
      <c r="H2713">
        <v>0</v>
      </c>
      <c r="I2713">
        <v>6400</v>
      </c>
      <c r="J2713" s="10">
        <v>186.50000000000017</v>
      </c>
      <c r="K2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2713">
        <v>0</v>
      </c>
      <c r="M27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3">
        <v>2.1</v>
      </c>
      <c r="O2713" s="23"/>
      <c r="P2713">
        <v>2.1</v>
      </c>
      <c r="Q2713" s="23" t="s">
        <v>222</v>
      </c>
    </row>
    <row r="2714" spans="1:17" x14ac:dyDescent="0.25">
      <c r="A2714" s="23" t="s">
        <v>1062</v>
      </c>
      <c r="B2714" s="23" t="s">
        <v>1053</v>
      </c>
      <c r="C2714" s="23" t="s">
        <v>176</v>
      </c>
      <c r="D2714" s="23" t="s">
        <v>407</v>
      </c>
      <c r="E2714" s="23" t="s">
        <v>408</v>
      </c>
      <c r="F2714">
        <v>1</v>
      </c>
      <c r="G2714" s="23" t="s">
        <v>177</v>
      </c>
      <c r="H2714">
        <v>1</v>
      </c>
      <c r="I2714">
        <v>35</v>
      </c>
      <c r="J2714" s="10">
        <v>61</v>
      </c>
      <c r="K2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714">
        <v>0</v>
      </c>
      <c r="M27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4">
        <v>19.07</v>
      </c>
      <c r="O2714" s="23" t="s">
        <v>827</v>
      </c>
      <c r="P2714">
        <v>19.07</v>
      </c>
      <c r="Q2714" s="23" t="s">
        <v>222</v>
      </c>
    </row>
    <row r="2715" spans="1:17" x14ac:dyDescent="0.25">
      <c r="A2715" s="23" t="s">
        <v>1098</v>
      </c>
      <c r="B2715" s="23" t="s">
        <v>1053</v>
      </c>
      <c r="C2715" s="23" t="s">
        <v>176</v>
      </c>
      <c r="D2715" s="23" t="s">
        <v>407</v>
      </c>
      <c r="E2715" s="23" t="s">
        <v>408</v>
      </c>
      <c r="F2715">
        <v>1</v>
      </c>
      <c r="G2715" s="23" t="s">
        <v>177</v>
      </c>
      <c r="H2715">
        <v>0</v>
      </c>
      <c r="I2715">
        <v>35</v>
      </c>
      <c r="J2715" s="10">
        <v>61</v>
      </c>
      <c r="K2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715">
        <v>0</v>
      </c>
      <c r="M27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5">
        <v>19.07</v>
      </c>
      <c r="O2715" s="23" t="s">
        <v>827</v>
      </c>
      <c r="P2715">
        <v>19.07</v>
      </c>
      <c r="Q2715" s="23" t="s">
        <v>222</v>
      </c>
    </row>
    <row r="2716" spans="1:17" x14ac:dyDescent="0.25">
      <c r="A2716" s="23" t="s">
        <v>1146</v>
      </c>
      <c r="B2716" s="23" t="s">
        <v>1145</v>
      </c>
      <c r="C2716" s="23" t="s">
        <v>176</v>
      </c>
      <c r="D2716" s="23" t="s">
        <v>274</v>
      </c>
      <c r="E2716" s="23" t="s">
        <v>622</v>
      </c>
      <c r="F2716">
        <v>1</v>
      </c>
      <c r="G2716" s="23" t="s">
        <v>177</v>
      </c>
      <c r="H2716">
        <v>0</v>
      </c>
      <c r="I2716">
        <v>11</v>
      </c>
      <c r="J2716" s="10">
        <v>4</v>
      </c>
      <c r="K2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716">
        <v>0</v>
      </c>
      <c r="M27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6">
        <v>1678.88</v>
      </c>
      <c r="O2716" s="23" t="s">
        <v>637</v>
      </c>
      <c r="P2716">
        <v>1678.88</v>
      </c>
      <c r="Q2716" s="23" t="s">
        <v>179</v>
      </c>
    </row>
    <row r="2717" spans="1:17" x14ac:dyDescent="0.25">
      <c r="A2717" s="23" t="s">
        <v>1146</v>
      </c>
      <c r="B2717" s="23" t="s">
        <v>1145</v>
      </c>
      <c r="C2717" s="23" t="s">
        <v>176</v>
      </c>
      <c r="D2717" s="23" t="s">
        <v>737</v>
      </c>
      <c r="E2717" s="23" t="s">
        <v>738</v>
      </c>
      <c r="F2717">
        <v>1</v>
      </c>
      <c r="G2717" s="23" t="s">
        <v>177</v>
      </c>
      <c r="H2717">
        <v>0</v>
      </c>
      <c r="I2717">
        <v>14</v>
      </c>
      <c r="J2717" s="10">
        <v>15</v>
      </c>
      <c r="K2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717">
        <v>0</v>
      </c>
      <c r="M27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7">
        <v>400</v>
      </c>
      <c r="O2717" s="23" t="s">
        <v>668</v>
      </c>
      <c r="P2717">
        <v>400</v>
      </c>
      <c r="Q2717" s="23" t="s">
        <v>178</v>
      </c>
    </row>
    <row r="2718" spans="1:17" x14ac:dyDescent="0.25">
      <c r="A2718" s="23" t="s">
        <v>1144</v>
      </c>
      <c r="B2718" s="23" t="s">
        <v>1145</v>
      </c>
      <c r="C2718" s="23" t="s">
        <v>176</v>
      </c>
      <c r="D2718" s="23" t="s">
        <v>737</v>
      </c>
      <c r="E2718" s="23" t="s">
        <v>738</v>
      </c>
      <c r="F2718">
        <v>1</v>
      </c>
      <c r="G2718" s="23" t="s">
        <v>177</v>
      </c>
      <c r="H2718">
        <v>0</v>
      </c>
      <c r="I2718">
        <v>14</v>
      </c>
      <c r="J2718" s="10">
        <v>15</v>
      </c>
      <c r="K2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718">
        <v>0</v>
      </c>
      <c r="M27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8">
        <v>400</v>
      </c>
      <c r="O2718" s="23" t="s">
        <v>668</v>
      </c>
      <c r="P2718">
        <v>400</v>
      </c>
      <c r="Q2718" s="23" t="s">
        <v>178</v>
      </c>
    </row>
    <row r="2719" spans="1:17" x14ac:dyDescent="0.25">
      <c r="A2719" s="23" t="s">
        <v>1150</v>
      </c>
      <c r="B2719" s="23" t="s">
        <v>1145</v>
      </c>
      <c r="C2719" s="23" t="s">
        <v>176</v>
      </c>
      <c r="D2719" s="23" t="s">
        <v>656</v>
      </c>
      <c r="E2719" s="23" t="s">
        <v>657</v>
      </c>
      <c r="F2719">
        <v>2</v>
      </c>
      <c r="G2719" s="23" t="s">
        <v>177</v>
      </c>
      <c r="H2719">
        <v>0</v>
      </c>
      <c r="I2719">
        <v>216</v>
      </c>
      <c r="J2719" s="10">
        <v>118</v>
      </c>
      <c r="K2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719">
        <v>0</v>
      </c>
      <c r="M27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19">
        <v>3.95</v>
      </c>
      <c r="O2719" s="23" t="s">
        <v>221</v>
      </c>
      <c r="P2719">
        <v>7.9</v>
      </c>
      <c r="Q2719" s="23" t="s">
        <v>222</v>
      </c>
    </row>
    <row r="2720" spans="1:17" x14ac:dyDescent="0.25">
      <c r="A2720" s="23" t="s">
        <v>1146</v>
      </c>
      <c r="B2720" s="23" t="s">
        <v>1145</v>
      </c>
      <c r="C2720" s="23" t="s">
        <v>176</v>
      </c>
      <c r="D2720" s="23" t="s">
        <v>470</v>
      </c>
      <c r="E2720" s="23" t="s">
        <v>471</v>
      </c>
      <c r="F2720">
        <v>2</v>
      </c>
      <c r="G2720" s="23" t="s">
        <v>177</v>
      </c>
      <c r="H2720">
        <v>0</v>
      </c>
      <c r="I2720">
        <v>39</v>
      </c>
      <c r="J2720" s="10">
        <v>2</v>
      </c>
      <c r="K2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2720">
        <v>0</v>
      </c>
      <c r="M27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0">
        <v>65</v>
      </c>
      <c r="O2720" s="23" t="s">
        <v>822</v>
      </c>
      <c r="P2720">
        <v>130</v>
      </c>
      <c r="Q2720" s="23" t="s">
        <v>179</v>
      </c>
    </row>
    <row r="2721" spans="1:17" x14ac:dyDescent="0.25">
      <c r="A2721" s="23" t="s">
        <v>1149</v>
      </c>
      <c r="B2721" s="23" t="s">
        <v>1145</v>
      </c>
      <c r="C2721" s="23" t="s">
        <v>176</v>
      </c>
      <c r="D2721" s="23" t="s">
        <v>337</v>
      </c>
      <c r="E2721" s="23" t="s">
        <v>624</v>
      </c>
      <c r="F2721">
        <v>1</v>
      </c>
      <c r="G2721" s="23" t="s">
        <v>177</v>
      </c>
      <c r="H2721">
        <v>0</v>
      </c>
      <c r="I2721">
        <v>5</v>
      </c>
      <c r="J2721" s="10">
        <v>4</v>
      </c>
      <c r="K2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21">
        <v>0</v>
      </c>
      <c r="M27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2721">
        <v>1678.88</v>
      </c>
      <c r="O2721" s="23" t="s">
        <v>637</v>
      </c>
      <c r="P2721">
        <v>1678.88</v>
      </c>
      <c r="Q2721" s="23" t="s">
        <v>179</v>
      </c>
    </row>
    <row r="2722" spans="1:17" x14ac:dyDescent="0.25">
      <c r="A2722" s="23" t="s">
        <v>1146</v>
      </c>
      <c r="B2722" s="23" t="s">
        <v>1145</v>
      </c>
      <c r="C2722" s="23" t="s">
        <v>176</v>
      </c>
      <c r="D2722" s="23" t="s">
        <v>337</v>
      </c>
      <c r="E2722" s="23" t="s">
        <v>624</v>
      </c>
      <c r="F2722">
        <v>1</v>
      </c>
      <c r="G2722" s="23" t="s">
        <v>177</v>
      </c>
      <c r="H2722">
        <v>0</v>
      </c>
      <c r="I2722">
        <v>5</v>
      </c>
      <c r="J2722" s="10">
        <v>4</v>
      </c>
      <c r="K2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22">
        <v>0</v>
      </c>
      <c r="M27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2722">
        <v>1678.88</v>
      </c>
      <c r="O2722" s="23" t="s">
        <v>637</v>
      </c>
      <c r="P2722">
        <v>1678.88</v>
      </c>
      <c r="Q2722" s="23" t="s">
        <v>179</v>
      </c>
    </row>
    <row r="2723" spans="1:17" x14ac:dyDescent="0.25">
      <c r="A2723" s="23" t="s">
        <v>1149</v>
      </c>
      <c r="B2723" s="23" t="s">
        <v>1145</v>
      </c>
      <c r="C2723" s="23" t="s">
        <v>176</v>
      </c>
      <c r="D2723" s="23" t="s">
        <v>452</v>
      </c>
      <c r="E2723" s="23" t="s">
        <v>453</v>
      </c>
      <c r="F2723">
        <v>1</v>
      </c>
      <c r="G2723" s="23" t="s">
        <v>177</v>
      </c>
      <c r="H2723">
        <v>0</v>
      </c>
      <c r="I2723">
        <v>6</v>
      </c>
      <c r="J2723" s="10">
        <v>7</v>
      </c>
      <c r="K2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23">
        <v>6</v>
      </c>
      <c r="M27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723">
        <v>1600</v>
      </c>
      <c r="O2723" s="23" t="s">
        <v>242</v>
      </c>
      <c r="P2723">
        <v>1600</v>
      </c>
      <c r="Q2723" s="23" t="s">
        <v>179</v>
      </c>
    </row>
    <row r="2724" spans="1:17" x14ac:dyDescent="0.25">
      <c r="A2724" s="23" t="s">
        <v>1146</v>
      </c>
      <c r="B2724" s="23" t="s">
        <v>1145</v>
      </c>
      <c r="C2724" s="23" t="s">
        <v>176</v>
      </c>
      <c r="D2724" s="23" t="s">
        <v>452</v>
      </c>
      <c r="E2724" s="23" t="s">
        <v>453</v>
      </c>
      <c r="F2724">
        <v>1</v>
      </c>
      <c r="G2724" s="23" t="s">
        <v>177</v>
      </c>
      <c r="H2724">
        <v>0</v>
      </c>
      <c r="I2724">
        <v>6</v>
      </c>
      <c r="J2724" s="10">
        <v>7</v>
      </c>
      <c r="K2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24">
        <v>6</v>
      </c>
      <c r="M27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2724">
        <v>1600</v>
      </c>
      <c r="O2724" s="23" t="s">
        <v>242</v>
      </c>
      <c r="P2724">
        <v>1600</v>
      </c>
      <c r="Q2724" s="23" t="s">
        <v>179</v>
      </c>
    </row>
    <row r="2725" spans="1:17" x14ac:dyDescent="0.25">
      <c r="A2725" s="23" t="s">
        <v>1149</v>
      </c>
      <c r="B2725" s="23" t="s">
        <v>1145</v>
      </c>
      <c r="C2725" s="23" t="s">
        <v>176</v>
      </c>
      <c r="D2725" s="23" t="s">
        <v>274</v>
      </c>
      <c r="E2725" s="23" t="s">
        <v>622</v>
      </c>
      <c r="F2725">
        <v>1</v>
      </c>
      <c r="G2725" s="23" t="s">
        <v>177</v>
      </c>
      <c r="H2725">
        <v>0</v>
      </c>
      <c r="I2725">
        <v>11</v>
      </c>
      <c r="J2725" s="10">
        <v>4</v>
      </c>
      <c r="K2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725">
        <v>0</v>
      </c>
      <c r="M27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5">
        <v>1678.88</v>
      </c>
      <c r="O2725" s="23" t="s">
        <v>637</v>
      </c>
      <c r="P2725">
        <v>1678.88</v>
      </c>
      <c r="Q2725" s="23" t="s">
        <v>179</v>
      </c>
    </row>
    <row r="2726" spans="1:17" x14ac:dyDescent="0.25">
      <c r="A2726" s="23" t="s">
        <v>1144</v>
      </c>
      <c r="B2726" s="23" t="s">
        <v>1145</v>
      </c>
      <c r="C2726" s="23" t="s">
        <v>176</v>
      </c>
      <c r="D2726" s="23" t="s">
        <v>803</v>
      </c>
      <c r="E2726" s="23" t="s">
        <v>823</v>
      </c>
      <c r="F2726">
        <v>1</v>
      </c>
      <c r="G2726" s="23" t="s">
        <v>177</v>
      </c>
      <c r="H2726">
        <v>0</v>
      </c>
      <c r="I2726">
        <v>20.5</v>
      </c>
      <c r="J2726" s="10">
        <v>5</v>
      </c>
      <c r="K2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2726">
        <v>0</v>
      </c>
      <c r="M27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6">
        <v>175</v>
      </c>
      <c r="O2726" s="23" t="s">
        <v>218</v>
      </c>
      <c r="P2726">
        <v>175</v>
      </c>
      <c r="Q2726" s="23" t="s">
        <v>181</v>
      </c>
    </row>
    <row r="2727" spans="1:17" x14ac:dyDescent="0.25">
      <c r="A2727" s="23" t="s">
        <v>1149</v>
      </c>
      <c r="B2727" s="23" t="s">
        <v>1145</v>
      </c>
      <c r="C2727" s="23" t="s">
        <v>176</v>
      </c>
      <c r="D2727" s="23" t="s">
        <v>737</v>
      </c>
      <c r="E2727" s="23" t="s">
        <v>738</v>
      </c>
      <c r="F2727">
        <v>1</v>
      </c>
      <c r="G2727" s="23" t="s">
        <v>177</v>
      </c>
      <c r="H2727">
        <v>0</v>
      </c>
      <c r="I2727">
        <v>14</v>
      </c>
      <c r="J2727" s="10">
        <v>15</v>
      </c>
      <c r="K2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727">
        <v>0</v>
      </c>
      <c r="M27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7">
        <v>400</v>
      </c>
      <c r="O2727" s="23" t="s">
        <v>668</v>
      </c>
      <c r="P2727">
        <v>400</v>
      </c>
      <c r="Q2727" s="23" t="s">
        <v>178</v>
      </c>
    </row>
    <row r="2728" spans="1:17" x14ac:dyDescent="0.25">
      <c r="A2728" s="23" t="s">
        <v>1144</v>
      </c>
      <c r="B2728" s="23" t="s">
        <v>1145</v>
      </c>
      <c r="C2728" s="23" t="s">
        <v>176</v>
      </c>
      <c r="D2728" s="23" t="s">
        <v>591</v>
      </c>
      <c r="E2728" s="23" t="s">
        <v>592</v>
      </c>
      <c r="F2728">
        <v>1</v>
      </c>
      <c r="G2728" s="23" t="s">
        <v>177</v>
      </c>
      <c r="H2728">
        <v>0</v>
      </c>
      <c r="I2728">
        <v>6</v>
      </c>
      <c r="J2728" s="10">
        <v>8</v>
      </c>
      <c r="K2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28">
        <v>10</v>
      </c>
      <c r="M27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8">
        <v>583.77</v>
      </c>
      <c r="O2728" s="23" t="s">
        <v>593</v>
      </c>
      <c r="P2728">
        <v>583.77</v>
      </c>
      <c r="Q2728" s="23" t="s">
        <v>181</v>
      </c>
    </row>
    <row r="2729" spans="1:17" x14ac:dyDescent="0.25">
      <c r="A2729" s="23" t="s">
        <v>1146</v>
      </c>
      <c r="B2729" s="23" t="s">
        <v>1145</v>
      </c>
      <c r="C2729" s="23" t="s">
        <v>176</v>
      </c>
      <c r="D2729" s="23" t="s">
        <v>591</v>
      </c>
      <c r="E2729" s="23" t="s">
        <v>592</v>
      </c>
      <c r="F2729">
        <v>1</v>
      </c>
      <c r="G2729" s="23" t="s">
        <v>177</v>
      </c>
      <c r="H2729">
        <v>0</v>
      </c>
      <c r="I2729">
        <v>6</v>
      </c>
      <c r="J2729" s="10">
        <v>8</v>
      </c>
      <c r="K2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29">
        <v>10</v>
      </c>
      <c r="M27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29">
        <v>583.77</v>
      </c>
      <c r="O2729" s="23" t="s">
        <v>593</v>
      </c>
      <c r="P2729">
        <v>583.77</v>
      </c>
      <c r="Q2729" s="23" t="s">
        <v>181</v>
      </c>
    </row>
    <row r="2730" spans="1:17" x14ac:dyDescent="0.25">
      <c r="A2730" s="23" t="s">
        <v>1149</v>
      </c>
      <c r="B2730" s="23" t="s">
        <v>1145</v>
      </c>
      <c r="C2730" s="23" t="s">
        <v>176</v>
      </c>
      <c r="D2730" s="23" t="s">
        <v>1162</v>
      </c>
      <c r="E2730" s="23" t="s">
        <v>1163</v>
      </c>
      <c r="F2730">
        <v>2</v>
      </c>
      <c r="G2730" s="23" t="s">
        <v>177</v>
      </c>
      <c r="H2730">
        <v>0</v>
      </c>
      <c r="I2730">
        <v>0</v>
      </c>
      <c r="J2730" s="10">
        <v>0</v>
      </c>
      <c r="K2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2730">
        <v>0</v>
      </c>
      <c r="M27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0">
        <v>0</v>
      </c>
      <c r="O2730" s="23"/>
      <c r="P2730">
        <v>0</v>
      </c>
      <c r="Q2730" s="23" t="s">
        <v>222</v>
      </c>
    </row>
    <row r="2731" spans="1:17" x14ac:dyDescent="0.25">
      <c r="A2731" s="23" t="s">
        <v>1098</v>
      </c>
      <c r="B2731" s="23" t="s">
        <v>1053</v>
      </c>
      <c r="C2731" s="23" t="s">
        <v>176</v>
      </c>
      <c r="D2731" s="23" t="s">
        <v>709</v>
      </c>
      <c r="E2731" s="23" t="s">
        <v>710</v>
      </c>
      <c r="F2731">
        <v>3</v>
      </c>
      <c r="G2731" s="23" t="s">
        <v>180</v>
      </c>
      <c r="H2731">
        <v>0</v>
      </c>
      <c r="I2731">
        <v>400</v>
      </c>
      <c r="J2731" s="10">
        <v>32</v>
      </c>
      <c r="K2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2731">
        <v>0</v>
      </c>
      <c r="M27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1">
        <v>11.5</v>
      </c>
      <c r="O2731" s="23" t="s">
        <v>636</v>
      </c>
      <c r="P2731">
        <v>34.5</v>
      </c>
      <c r="Q2731" s="23" t="s">
        <v>222</v>
      </c>
    </row>
    <row r="2732" spans="1:17" x14ac:dyDescent="0.25">
      <c r="A2732" s="23" t="s">
        <v>1097</v>
      </c>
      <c r="B2732" s="23" t="s">
        <v>1095</v>
      </c>
      <c r="C2732" s="23" t="s">
        <v>176</v>
      </c>
      <c r="D2732" s="23" t="s">
        <v>125</v>
      </c>
      <c r="E2732" s="23" t="s">
        <v>126</v>
      </c>
      <c r="F2732">
        <v>8.89</v>
      </c>
      <c r="G2732" s="23" t="s">
        <v>186</v>
      </c>
      <c r="H2732">
        <v>0</v>
      </c>
      <c r="I2732">
        <v>0</v>
      </c>
      <c r="J2732" s="10">
        <v>297.61000000000013</v>
      </c>
      <c r="K2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732">
        <v>0</v>
      </c>
      <c r="M27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732">
        <v>136.18</v>
      </c>
      <c r="O2732" s="23" t="s">
        <v>254</v>
      </c>
      <c r="P2732">
        <v>1210.6402</v>
      </c>
      <c r="Q2732" s="23" t="s">
        <v>184</v>
      </c>
    </row>
    <row r="2733" spans="1:17" x14ac:dyDescent="0.25">
      <c r="A2733" s="23" t="s">
        <v>1147</v>
      </c>
      <c r="B2733" s="23" t="s">
        <v>1145</v>
      </c>
      <c r="C2733" s="23" t="s">
        <v>176</v>
      </c>
      <c r="D2733" s="23" t="s">
        <v>399</v>
      </c>
      <c r="E2733" s="23" t="s">
        <v>400</v>
      </c>
      <c r="F2733">
        <v>0.02</v>
      </c>
      <c r="G2733" s="23" t="s">
        <v>186</v>
      </c>
      <c r="H2733">
        <v>0</v>
      </c>
      <c r="I2733">
        <v>3</v>
      </c>
      <c r="J2733" s="10">
        <v>-2.7755575615628914E-16</v>
      </c>
      <c r="K2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2733">
        <v>0</v>
      </c>
      <c r="M27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3">
        <v>148.31</v>
      </c>
      <c r="O2733" s="23"/>
      <c r="P2733">
        <v>2.9662000000000002</v>
      </c>
      <c r="Q2733" s="23" t="s">
        <v>184</v>
      </c>
    </row>
    <row r="2734" spans="1:17" x14ac:dyDescent="0.25">
      <c r="A2734" s="23" t="s">
        <v>1055</v>
      </c>
      <c r="B2734" s="23" t="s">
        <v>1056</v>
      </c>
      <c r="C2734" s="23" t="s">
        <v>176</v>
      </c>
      <c r="D2734" s="23" t="s">
        <v>921</v>
      </c>
      <c r="E2734" s="23" t="s">
        <v>922</v>
      </c>
      <c r="F2734">
        <v>0.75</v>
      </c>
      <c r="G2734" s="23" t="s">
        <v>180</v>
      </c>
      <c r="H2734">
        <v>0</v>
      </c>
      <c r="I2734">
        <v>0</v>
      </c>
      <c r="J2734" s="10">
        <v>0</v>
      </c>
      <c r="K2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0.75</v>
      </c>
      <c r="L2734">
        <v>0</v>
      </c>
      <c r="M27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74.25</v>
      </c>
      <c r="N2734">
        <v>99</v>
      </c>
      <c r="O2734" s="23"/>
      <c r="P2734">
        <v>74.25</v>
      </c>
      <c r="Q2734" s="23" t="s">
        <v>185</v>
      </c>
    </row>
    <row r="2735" spans="1:17" x14ac:dyDescent="0.25">
      <c r="A2735" s="23" t="s">
        <v>1099</v>
      </c>
      <c r="B2735" s="23" t="s">
        <v>1056</v>
      </c>
      <c r="C2735" s="23" t="s">
        <v>176</v>
      </c>
      <c r="D2735" s="23" t="s">
        <v>399</v>
      </c>
      <c r="E2735" s="23" t="s">
        <v>400</v>
      </c>
      <c r="F2735">
        <v>0.05</v>
      </c>
      <c r="G2735" s="23" t="s">
        <v>186</v>
      </c>
      <c r="H2735">
        <v>0</v>
      </c>
      <c r="I2735">
        <v>3</v>
      </c>
      <c r="J2735" s="10">
        <v>-2.7755575615628914E-16</v>
      </c>
      <c r="K2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-2.75</v>
      </c>
      <c r="L2735">
        <v>0</v>
      </c>
      <c r="M27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5">
        <v>148.31</v>
      </c>
      <c r="O2735" s="23"/>
      <c r="P2735">
        <v>7.4155000000000006</v>
      </c>
      <c r="Q2735" s="23" t="s">
        <v>184</v>
      </c>
    </row>
    <row r="2736" spans="1:17" x14ac:dyDescent="0.25">
      <c r="A2736" s="23" t="s">
        <v>1148</v>
      </c>
      <c r="B2736" s="23" t="s">
        <v>1054</v>
      </c>
      <c r="C2736" s="23" t="s">
        <v>176</v>
      </c>
      <c r="D2736" s="23" t="s">
        <v>50</v>
      </c>
      <c r="E2736" s="23" t="s">
        <v>51</v>
      </c>
      <c r="F2736">
        <v>1</v>
      </c>
      <c r="G2736" s="23" t="s">
        <v>177</v>
      </c>
      <c r="H2736">
        <v>0</v>
      </c>
      <c r="I2736">
        <v>4</v>
      </c>
      <c r="J2736" s="10">
        <v>10</v>
      </c>
      <c r="K2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736">
        <v>0</v>
      </c>
      <c r="M27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2736">
        <v>5206.1400000000003</v>
      </c>
      <c r="O2736" s="23" t="s">
        <v>216</v>
      </c>
      <c r="P2736">
        <v>5206.1400000000003</v>
      </c>
      <c r="Q2736" s="23" t="s">
        <v>222</v>
      </c>
    </row>
    <row r="2737" spans="1:17" x14ac:dyDescent="0.25">
      <c r="A2737" s="23" t="s">
        <v>1147</v>
      </c>
      <c r="B2737" s="23" t="s">
        <v>1145</v>
      </c>
      <c r="C2737" s="23" t="s">
        <v>176</v>
      </c>
      <c r="D2737" s="23" t="s">
        <v>50</v>
      </c>
      <c r="E2737" s="23" t="s">
        <v>51</v>
      </c>
      <c r="F2737">
        <v>1</v>
      </c>
      <c r="G2737" s="23" t="s">
        <v>177</v>
      </c>
      <c r="H2737">
        <v>0</v>
      </c>
      <c r="I2737">
        <v>4</v>
      </c>
      <c r="J2737" s="10">
        <v>10</v>
      </c>
      <c r="K2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2737">
        <v>0</v>
      </c>
      <c r="M27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2737">
        <v>5206.1400000000003</v>
      </c>
      <c r="O2737" s="23" t="s">
        <v>216</v>
      </c>
      <c r="P2737">
        <v>5206.1400000000003</v>
      </c>
      <c r="Q2737" s="23" t="s">
        <v>222</v>
      </c>
    </row>
    <row r="2738" spans="1:17" x14ac:dyDescent="0.25">
      <c r="A2738" s="23" t="s">
        <v>1100</v>
      </c>
      <c r="B2738" s="23" t="s">
        <v>1101</v>
      </c>
      <c r="C2738" s="23" t="s">
        <v>176</v>
      </c>
      <c r="D2738" s="23" t="s">
        <v>125</v>
      </c>
      <c r="E2738" s="23" t="s">
        <v>126</v>
      </c>
      <c r="F2738">
        <v>9.6300000000000008</v>
      </c>
      <c r="G2738" s="23" t="s">
        <v>186</v>
      </c>
      <c r="H2738">
        <v>0</v>
      </c>
      <c r="I2738">
        <v>0</v>
      </c>
      <c r="J2738" s="10">
        <v>297.61000000000013</v>
      </c>
      <c r="K2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738">
        <v>0</v>
      </c>
      <c r="M27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738">
        <v>136.18</v>
      </c>
      <c r="O2738" s="23" t="s">
        <v>254</v>
      </c>
      <c r="P2738">
        <v>1311.4134000000001</v>
      </c>
      <c r="Q2738" s="23" t="s">
        <v>184</v>
      </c>
    </row>
    <row r="2739" spans="1:17" x14ac:dyDescent="0.25">
      <c r="A2739" s="23" t="s">
        <v>1058</v>
      </c>
      <c r="B2739" s="23" t="s">
        <v>1059</v>
      </c>
      <c r="C2739" s="23" t="s">
        <v>176</v>
      </c>
      <c r="D2739" s="23" t="s">
        <v>523</v>
      </c>
      <c r="E2739" s="23" t="s">
        <v>524</v>
      </c>
      <c r="F2739">
        <v>3</v>
      </c>
      <c r="G2739" s="23" t="s">
        <v>177</v>
      </c>
      <c r="H2739">
        <v>0</v>
      </c>
      <c r="I2739">
        <v>235</v>
      </c>
      <c r="J2739" s="10">
        <v>2.2737367544323206E-13</v>
      </c>
      <c r="K2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2739">
        <v>0</v>
      </c>
      <c r="M27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39">
        <v>15</v>
      </c>
      <c r="O2739" s="23" t="s">
        <v>227</v>
      </c>
      <c r="P2739">
        <v>45</v>
      </c>
      <c r="Q2739" s="23" t="s">
        <v>181</v>
      </c>
    </row>
    <row r="2740" spans="1:17" x14ac:dyDescent="0.25">
      <c r="A2740" s="23" t="s">
        <v>1147</v>
      </c>
      <c r="B2740" s="23" t="s">
        <v>1145</v>
      </c>
      <c r="C2740" s="23" t="s">
        <v>176</v>
      </c>
      <c r="D2740" s="23" t="s">
        <v>401</v>
      </c>
      <c r="E2740" s="23" t="s">
        <v>402</v>
      </c>
      <c r="F2740">
        <v>1</v>
      </c>
      <c r="G2740" s="23" t="s">
        <v>177</v>
      </c>
      <c r="H2740">
        <v>0</v>
      </c>
      <c r="I2740">
        <v>31</v>
      </c>
      <c r="J2740" s="10">
        <v>12</v>
      </c>
      <c r="K2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740">
        <v>0</v>
      </c>
      <c r="M27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0">
        <v>15</v>
      </c>
      <c r="O2740" s="23" t="s">
        <v>221</v>
      </c>
      <c r="P2740">
        <v>15</v>
      </c>
      <c r="Q2740" s="23" t="s">
        <v>222</v>
      </c>
    </row>
    <row r="2741" spans="1:17" x14ac:dyDescent="0.25">
      <c r="A2741" s="23" t="s">
        <v>1148</v>
      </c>
      <c r="B2741" s="23" t="s">
        <v>1054</v>
      </c>
      <c r="C2741" s="23" t="s">
        <v>176</v>
      </c>
      <c r="D2741" s="23" t="s">
        <v>432</v>
      </c>
      <c r="E2741" s="23" t="s">
        <v>433</v>
      </c>
      <c r="F2741">
        <v>1</v>
      </c>
      <c r="G2741" s="23" t="s">
        <v>177</v>
      </c>
      <c r="H2741">
        <v>0</v>
      </c>
      <c r="I2741">
        <v>10</v>
      </c>
      <c r="J2741" s="10">
        <v>3</v>
      </c>
      <c r="K2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741">
        <v>0</v>
      </c>
      <c r="M27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1">
        <v>1723.12</v>
      </c>
      <c r="O2741" s="23" t="s">
        <v>637</v>
      </c>
      <c r="P2741">
        <v>1723.12</v>
      </c>
      <c r="Q2741" s="23" t="s">
        <v>179</v>
      </c>
    </row>
    <row r="2742" spans="1:17" x14ac:dyDescent="0.25">
      <c r="A2742" s="23" t="s">
        <v>1100</v>
      </c>
      <c r="B2742" s="23" t="s">
        <v>1101</v>
      </c>
      <c r="C2742" s="23" t="s">
        <v>176</v>
      </c>
      <c r="D2742" s="23" t="s">
        <v>266</v>
      </c>
      <c r="E2742" s="23" t="s">
        <v>267</v>
      </c>
      <c r="F2742">
        <v>1</v>
      </c>
      <c r="G2742" s="23" t="s">
        <v>177</v>
      </c>
      <c r="H2742">
        <v>0</v>
      </c>
      <c r="I2742">
        <v>1</v>
      </c>
      <c r="J2742" s="10">
        <v>7</v>
      </c>
      <c r="K2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2742">
        <v>0</v>
      </c>
      <c r="M27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2742">
        <v>4633.34</v>
      </c>
      <c r="O2742" s="23" t="s">
        <v>215</v>
      </c>
      <c r="P2742">
        <v>4633.34</v>
      </c>
      <c r="Q2742" s="23" t="s">
        <v>178</v>
      </c>
    </row>
    <row r="2743" spans="1:17" x14ac:dyDescent="0.25">
      <c r="A2743" s="23" t="s">
        <v>1058</v>
      </c>
      <c r="B2743" s="23" t="s">
        <v>1059</v>
      </c>
      <c r="C2743" s="23" t="s">
        <v>176</v>
      </c>
      <c r="D2743" s="23" t="s">
        <v>771</v>
      </c>
      <c r="E2743" s="23" t="s">
        <v>772</v>
      </c>
      <c r="F2743">
        <v>6</v>
      </c>
      <c r="G2743" s="23" t="s">
        <v>177</v>
      </c>
      <c r="H2743">
        <v>0</v>
      </c>
      <c r="I2743">
        <v>0</v>
      </c>
      <c r="J2743" s="10">
        <v>0</v>
      </c>
      <c r="K2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743">
        <v>0</v>
      </c>
      <c r="M27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2743">
        <v>0.66</v>
      </c>
      <c r="O2743" s="23" t="s">
        <v>221</v>
      </c>
      <c r="P2743">
        <v>3.96</v>
      </c>
      <c r="Q2743" s="23" t="s">
        <v>222</v>
      </c>
    </row>
    <row r="2744" spans="1:17" x14ac:dyDescent="0.25">
      <c r="A2744" s="23" t="s">
        <v>1058</v>
      </c>
      <c r="B2744" s="23" t="s">
        <v>1059</v>
      </c>
      <c r="C2744" s="23" t="s">
        <v>176</v>
      </c>
      <c r="D2744" s="23" t="s">
        <v>401</v>
      </c>
      <c r="E2744" s="23" t="s">
        <v>402</v>
      </c>
      <c r="F2744">
        <v>1</v>
      </c>
      <c r="G2744" s="23" t="s">
        <v>177</v>
      </c>
      <c r="H2744">
        <v>1</v>
      </c>
      <c r="I2744">
        <v>31</v>
      </c>
      <c r="J2744" s="10">
        <v>12</v>
      </c>
      <c r="K2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744">
        <v>0</v>
      </c>
      <c r="M27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4">
        <v>15</v>
      </c>
      <c r="O2744" s="23" t="s">
        <v>221</v>
      </c>
      <c r="P2744">
        <v>15</v>
      </c>
      <c r="Q2744" s="23" t="s">
        <v>222</v>
      </c>
    </row>
    <row r="2745" spans="1:17" x14ac:dyDescent="0.25">
      <c r="A2745" s="23" t="s">
        <v>1055</v>
      </c>
      <c r="B2745" s="23" t="s">
        <v>1056</v>
      </c>
      <c r="C2745" s="23" t="s">
        <v>176</v>
      </c>
      <c r="D2745" s="23" t="s">
        <v>125</v>
      </c>
      <c r="E2745" s="23" t="s">
        <v>126</v>
      </c>
      <c r="F2745">
        <v>6</v>
      </c>
      <c r="G2745" s="23" t="s">
        <v>186</v>
      </c>
      <c r="H2745">
        <v>6</v>
      </c>
      <c r="I2745">
        <v>0</v>
      </c>
      <c r="J2745" s="10">
        <v>297.61000000000013</v>
      </c>
      <c r="K2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2745">
        <v>0</v>
      </c>
      <c r="M27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2745">
        <v>136.18</v>
      </c>
      <c r="O2745" s="23" t="s">
        <v>254</v>
      </c>
      <c r="P2745">
        <v>817.08</v>
      </c>
      <c r="Q2745" s="23" t="s">
        <v>184</v>
      </c>
    </row>
    <row r="2746" spans="1:17" x14ac:dyDescent="0.25">
      <c r="A2746" s="23" t="s">
        <v>1055</v>
      </c>
      <c r="B2746" s="23" t="s">
        <v>1056</v>
      </c>
      <c r="C2746" s="23" t="s">
        <v>176</v>
      </c>
      <c r="D2746" s="23" t="s">
        <v>523</v>
      </c>
      <c r="E2746" s="23" t="s">
        <v>524</v>
      </c>
      <c r="F2746">
        <v>2.46</v>
      </c>
      <c r="G2746" s="23" t="s">
        <v>177</v>
      </c>
      <c r="H2746">
        <v>0</v>
      </c>
      <c r="I2746">
        <v>235</v>
      </c>
      <c r="J2746" s="10">
        <v>2.2737367544323206E-13</v>
      </c>
      <c r="K2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2746">
        <v>0</v>
      </c>
      <c r="M27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6">
        <v>15</v>
      </c>
      <c r="O2746" s="23" t="s">
        <v>227</v>
      </c>
      <c r="P2746">
        <v>36.9</v>
      </c>
      <c r="Q2746" s="23" t="s">
        <v>181</v>
      </c>
    </row>
    <row r="2747" spans="1:17" x14ac:dyDescent="0.25">
      <c r="A2747" s="23" t="s">
        <v>1099</v>
      </c>
      <c r="B2747" s="23" t="s">
        <v>1056</v>
      </c>
      <c r="C2747" s="23" t="s">
        <v>176</v>
      </c>
      <c r="D2747" s="23" t="s">
        <v>523</v>
      </c>
      <c r="E2747" s="23" t="s">
        <v>524</v>
      </c>
      <c r="F2747">
        <v>1.46</v>
      </c>
      <c r="G2747" s="23" t="s">
        <v>177</v>
      </c>
      <c r="H2747">
        <v>0</v>
      </c>
      <c r="I2747">
        <v>235</v>
      </c>
      <c r="J2747" s="10">
        <v>2.2737367544323206E-13</v>
      </c>
      <c r="K2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2747">
        <v>0</v>
      </c>
      <c r="M27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47">
        <v>15</v>
      </c>
      <c r="O2747" s="23" t="s">
        <v>227</v>
      </c>
      <c r="P2747">
        <v>21.9</v>
      </c>
      <c r="Q2747" s="23" t="s">
        <v>181</v>
      </c>
    </row>
    <row r="2748" spans="1:17" x14ac:dyDescent="0.25">
      <c r="A2748" s="23" t="s">
        <v>1147</v>
      </c>
      <c r="B2748" s="23" t="s">
        <v>1145</v>
      </c>
      <c r="C2748" s="23" t="s">
        <v>176</v>
      </c>
      <c r="D2748" s="23" t="s">
        <v>266</v>
      </c>
      <c r="E2748" s="23" t="s">
        <v>267</v>
      </c>
      <c r="F2748">
        <v>1</v>
      </c>
      <c r="G2748" s="23" t="s">
        <v>177</v>
      </c>
      <c r="H2748">
        <v>0</v>
      </c>
      <c r="I2748">
        <v>1</v>
      </c>
      <c r="J2748" s="10">
        <v>7</v>
      </c>
      <c r="K2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2748">
        <v>0</v>
      </c>
      <c r="M27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2748">
        <v>4633.34</v>
      </c>
      <c r="O2748" s="23" t="s">
        <v>215</v>
      </c>
      <c r="P2748">
        <v>4633.34</v>
      </c>
      <c r="Q2748" s="23" t="s">
        <v>178</v>
      </c>
    </row>
    <row r="2749" spans="1:17" x14ac:dyDescent="0.25">
      <c r="A2749" s="23" t="s">
        <v>1148</v>
      </c>
      <c r="B2749" s="23" t="s">
        <v>1054</v>
      </c>
      <c r="C2749" s="23" t="s">
        <v>176</v>
      </c>
      <c r="D2749" s="23" t="s">
        <v>266</v>
      </c>
      <c r="E2749" s="23" t="s">
        <v>267</v>
      </c>
      <c r="F2749">
        <v>1</v>
      </c>
      <c r="G2749" s="23" t="s">
        <v>177</v>
      </c>
      <c r="H2749">
        <v>0</v>
      </c>
      <c r="I2749">
        <v>1</v>
      </c>
      <c r="J2749" s="10">
        <v>7</v>
      </c>
      <c r="K2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2749">
        <v>0</v>
      </c>
      <c r="M27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2749">
        <v>4633.34</v>
      </c>
      <c r="O2749" s="23" t="s">
        <v>215</v>
      </c>
      <c r="P2749">
        <v>4633.34</v>
      </c>
      <c r="Q2749" s="23" t="s">
        <v>178</v>
      </c>
    </row>
    <row r="2750" spans="1:17" x14ac:dyDescent="0.25">
      <c r="A2750" s="23" t="s">
        <v>1147</v>
      </c>
      <c r="B2750" s="23" t="s">
        <v>1145</v>
      </c>
      <c r="C2750" s="23" t="s">
        <v>176</v>
      </c>
      <c r="D2750" s="23" t="s">
        <v>771</v>
      </c>
      <c r="E2750" s="23" t="s">
        <v>772</v>
      </c>
      <c r="F2750">
        <v>6</v>
      </c>
      <c r="G2750" s="23" t="s">
        <v>177</v>
      </c>
      <c r="H2750">
        <v>0</v>
      </c>
      <c r="I2750">
        <v>0</v>
      </c>
      <c r="J2750" s="10">
        <v>0</v>
      </c>
      <c r="K2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750">
        <v>0</v>
      </c>
      <c r="M27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2750">
        <v>0.66</v>
      </c>
      <c r="O2750" s="23" t="s">
        <v>221</v>
      </c>
      <c r="P2750">
        <v>3.96</v>
      </c>
      <c r="Q2750" s="23" t="s">
        <v>222</v>
      </c>
    </row>
    <row r="2751" spans="1:17" x14ac:dyDescent="0.25">
      <c r="A2751" s="23" t="s">
        <v>1180</v>
      </c>
      <c r="B2751" s="23" t="s">
        <v>1181</v>
      </c>
      <c r="C2751" s="23" t="s">
        <v>176</v>
      </c>
      <c r="D2751" s="23" t="s">
        <v>1190</v>
      </c>
      <c r="E2751" s="23" t="s">
        <v>1191</v>
      </c>
      <c r="F2751">
        <v>1</v>
      </c>
      <c r="G2751" s="23" t="s">
        <v>177</v>
      </c>
      <c r="H2751">
        <v>0</v>
      </c>
      <c r="I2751">
        <v>0</v>
      </c>
      <c r="J2751" s="10">
        <v>0</v>
      </c>
      <c r="K2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751">
        <v>0</v>
      </c>
      <c r="M27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17633.25</v>
      </c>
      <c r="N2751">
        <v>17633.25</v>
      </c>
      <c r="O2751" s="23" t="s">
        <v>1187</v>
      </c>
      <c r="P2751">
        <v>17633.25</v>
      </c>
      <c r="Q2751" s="23" t="s">
        <v>178</v>
      </c>
    </row>
    <row r="2752" spans="1:17" x14ac:dyDescent="0.25">
      <c r="A2752" s="23" t="s">
        <v>1055</v>
      </c>
      <c r="B2752" s="23" t="s">
        <v>1056</v>
      </c>
      <c r="C2752" s="23" t="s">
        <v>176</v>
      </c>
      <c r="D2752" s="23" t="s">
        <v>278</v>
      </c>
      <c r="E2752" s="23" t="s">
        <v>316</v>
      </c>
      <c r="F2752">
        <v>1</v>
      </c>
      <c r="G2752" s="23" t="s">
        <v>177</v>
      </c>
      <c r="H2752">
        <v>0</v>
      </c>
      <c r="I2752">
        <v>28</v>
      </c>
      <c r="J2752" s="10">
        <v>4</v>
      </c>
      <c r="K2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752">
        <v>0</v>
      </c>
      <c r="M27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2">
        <v>290.62</v>
      </c>
      <c r="O2752" s="23" t="s">
        <v>637</v>
      </c>
      <c r="P2752">
        <v>290.62</v>
      </c>
      <c r="Q2752" s="23" t="s">
        <v>179</v>
      </c>
    </row>
    <row r="2753" spans="1:17" x14ac:dyDescent="0.25">
      <c r="A2753" s="23" t="s">
        <v>1147</v>
      </c>
      <c r="B2753" s="23" t="s">
        <v>1145</v>
      </c>
      <c r="C2753" s="23" t="s">
        <v>176</v>
      </c>
      <c r="D2753" s="23" t="s">
        <v>281</v>
      </c>
      <c r="E2753" s="23" t="s">
        <v>319</v>
      </c>
      <c r="F2753">
        <v>1</v>
      </c>
      <c r="G2753" s="23" t="s">
        <v>177</v>
      </c>
      <c r="H2753">
        <v>0</v>
      </c>
      <c r="I2753">
        <v>27</v>
      </c>
      <c r="J2753" s="10">
        <v>4</v>
      </c>
      <c r="K2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753">
        <v>0</v>
      </c>
      <c r="M27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3">
        <v>290.62</v>
      </c>
      <c r="O2753" s="23" t="s">
        <v>637</v>
      </c>
      <c r="P2753">
        <v>290.62</v>
      </c>
      <c r="Q2753" s="23" t="s">
        <v>179</v>
      </c>
    </row>
    <row r="2754" spans="1:17" x14ac:dyDescent="0.25">
      <c r="A2754" s="23" t="s">
        <v>1100</v>
      </c>
      <c r="B2754" s="23" t="s">
        <v>1101</v>
      </c>
      <c r="C2754" s="23" t="s">
        <v>176</v>
      </c>
      <c r="D2754" s="23" t="s">
        <v>432</v>
      </c>
      <c r="E2754" s="23" t="s">
        <v>433</v>
      </c>
      <c r="F2754">
        <v>1</v>
      </c>
      <c r="G2754" s="23" t="s">
        <v>177</v>
      </c>
      <c r="H2754">
        <v>0</v>
      </c>
      <c r="I2754">
        <v>10</v>
      </c>
      <c r="J2754" s="10">
        <v>3</v>
      </c>
      <c r="K2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754">
        <v>0</v>
      </c>
      <c r="M27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4">
        <v>1723.12</v>
      </c>
      <c r="O2754" s="23" t="s">
        <v>637</v>
      </c>
      <c r="P2754">
        <v>1723.12</v>
      </c>
      <c r="Q2754" s="23" t="s">
        <v>179</v>
      </c>
    </row>
    <row r="2755" spans="1:17" x14ac:dyDescent="0.25">
      <c r="A2755" s="23" t="s">
        <v>1149</v>
      </c>
      <c r="B2755" s="23" t="s">
        <v>1145</v>
      </c>
      <c r="C2755" s="23" t="s">
        <v>176</v>
      </c>
      <c r="D2755" s="23" t="s">
        <v>771</v>
      </c>
      <c r="E2755" s="23" t="s">
        <v>772</v>
      </c>
      <c r="F2755">
        <v>6</v>
      </c>
      <c r="G2755" s="23" t="s">
        <v>177</v>
      </c>
      <c r="H2755">
        <v>0</v>
      </c>
      <c r="I2755">
        <v>0</v>
      </c>
      <c r="J2755" s="10">
        <v>0</v>
      </c>
      <c r="K2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2755">
        <v>0</v>
      </c>
      <c r="M27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2755">
        <v>0.66</v>
      </c>
      <c r="O2755" s="23" t="s">
        <v>221</v>
      </c>
      <c r="P2755">
        <v>3.96</v>
      </c>
      <c r="Q2755" s="23" t="s">
        <v>222</v>
      </c>
    </row>
    <row r="2756" spans="1:17" x14ac:dyDescent="0.25">
      <c r="A2756" s="23" t="s">
        <v>1149</v>
      </c>
      <c r="B2756" s="23" t="s">
        <v>1145</v>
      </c>
      <c r="C2756" s="23" t="s">
        <v>176</v>
      </c>
      <c r="D2756" s="23" t="s">
        <v>401</v>
      </c>
      <c r="E2756" s="23" t="s">
        <v>402</v>
      </c>
      <c r="F2756">
        <v>1</v>
      </c>
      <c r="G2756" s="23" t="s">
        <v>177</v>
      </c>
      <c r="H2756">
        <v>0</v>
      </c>
      <c r="I2756">
        <v>31</v>
      </c>
      <c r="J2756" s="10">
        <v>12</v>
      </c>
      <c r="K2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756">
        <v>0</v>
      </c>
      <c r="M27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6">
        <v>15</v>
      </c>
      <c r="O2756" s="23" t="s">
        <v>221</v>
      </c>
      <c r="P2756">
        <v>15</v>
      </c>
      <c r="Q2756" s="23" t="s">
        <v>222</v>
      </c>
    </row>
    <row r="2757" spans="1:17" x14ac:dyDescent="0.25">
      <c r="A2757" s="23" t="s">
        <v>1144</v>
      </c>
      <c r="B2757" s="23" t="s">
        <v>1145</v>
      </c>
      <c r="C2757" s="23" t="s">
        <v>176</v>
      </c>
      <c r="D2757" s="23" t="s">
        <v>401</v>
      </c>
      <c r="E2757" s="23" t="s">
        <v>402</v>
      </c>
      <c r="F2757">
        <v>1</v>
      </c>
      <c r="G2757" s="23" t="s">
        <v>177</v>
      </c>
      <c r="H2757">
        <v>0</v>
      </c>
      <c r="I2757">
        <v>31</v>
      </c>
      <c r="J2757" s="10">
        <v>12</v>
      </c>
      <c r="K2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757">
        <v>0</v>
      </c>
      <c r="M27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7">
        <v>15</v>
      </c>
      <c r="O2757" s="23" t="s">
        <v>221</v>
      </c>
      <c r="P2757">
        <v>15</v>
      </c>
      <c r="Q2757" s="23" t="s">
        <v>222</v>
      </c>
    </row>
    <row r="2758" spans="1:17" x14ac:dyDescent="0.25">
      <c r="A2758" s="23" t="s">
        <v>1146</v>
      </c>
      <c r="B2758" s="23" t="s">
        <v>1145</v>
      </c>
      <c r="C2758" s="23" t="s">
        <v>176</v>
      </c>
      <c r="D2758" s="23" t="s">
        <v>278</v>
      </c>
      <c r="E2758" s="23" t="s">
        <v>316</v>
      </c>
      <c r="F2758">
        <v>1</v>
      </c>
      <c r="G2758" s="23" t="s">
        <v>177</v>
      </c>
      <c r="H2758">
        <v>0</v>
      </c>
      <c r="I2758">
        <v>28</v>
      </c>
      <c r="J2758" s="10">
        <v>4</v>
      </c>
      <c r="K2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2758">
        <v>0</v>
      </c>
      <c r="M27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8">
        <v>290.62</v>
      </c>
      <c r="O2758" s="23" t="s">
        <v>637</v>
      </c>
      <c r="P2758">
        <v>290.62</v>
      </c>
      <c r="Q2758" s="23" t="s">
        <v>179</v>
      </c>
    </row>
    <row r="2759" spans="1:17" x14ac:dyDescent="0.25">
      <c r="A2759" s="23" t="s">
        <v>1149</v>
      </c>
      <c r="B2759" s="23" t="s">
        <v>1145</v>
      </c>
      <c r="C2759" s="23" t="s">
        <v>176</v>
      </c>
      <c r="D2759" s="23" t="s">
        <v>281</v>
      </c>
      <c r="E2759" s="23" t="s">
        <v>319</v>
      </c>
      <c r="F2759">
        <v>1</v>
      </c>
      <c r="G2759" s="23" t="s">
        <v>177</v>
      </c>
      <c r="H2759">
        <v>0</v>
      </c>
      <c r="I2759">
        <v>27</v>
      </c>
      <c r="J2759" s="10">
        <v>4</v>
      </c>
      <c r="K2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759">
        <v>0</v>
      </c>
      <c r="M27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59">
        <v>290.62</v>
      </c>
      <c r="O2759" s="23" t="s">
        <v>637</v>
      </c>
      <c r="P2759">
        <v>290.62</v>
      </c>
      <c r="Q2759" s="23" t="s">
        <v>179</v>
      </c>
    </row>
    <row r="2760" spans="1:17" x14ac:dyDescent="0.25">
      <c r="A2760" s="23" t="s">
        <v>1055</v>
      </c>
      <c r="B2760" s="23" t="s">
        <v>1056</v>
      </c>
      <c r="C2760" s="23" t="s">
        <v>176</v>
      </c>
      <c r="D2760" s="23" t="s">
        <v>7</v>
      </c>
      <c r="E2760" s="23" t="s">
        <v>8</v>
      </c>
      <c r="F2760">
        <v>1</v>
      </c>
      <c r="G2760" s="23" t="s">
        <v>177</v>
      </c>
      <c r="H2760">
        <v>1</v>
      </c>
      <c r="I2760">
        <v>3</v>
      </c>
      <c r="J2760" s="10">
        <v>7</v>
      </c>
      <c r="K2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60">
        <v>3</v>
      </c>
      <c r="M27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760">
        <v>2477.52</v>
      </c>
      <c r="O2760" s="23" t="s">
        <v>228</v>
      </c>
      <c r="P2760">
        <v>2477.52</v>
      </c>
      <c r="Q2760" s="23" t="s">
        <v>222</v>
      </c>
    </row>
    <row r="2761" spans="1:17" x14ac:dyDescent="0.25">
      <c r="A2761" s="23" t="s">
        <v>1100</v>
      </c>
      <c r="B2761" s="23" t="s">
        <v>1101</v>
      </c>
      <c r="C2761" s="23" t="s">
        <v>176</v>
      </c>
      <c r="D2761" s="23" t="s">
        <v>9</v>
      </c>
      <c r="E2761" s="23" t="s">
        <v>10</v>
      </c>
      <c r="F2761">
        <v>4</v>
      </c>
      <c r="G2761" s="23" t="s">
        <v>177</v>
      </c>
      <c r="H2761">
        <v>4</v>
      </c>
      <c r="I2761">
        <v>19</v>
      </c>
      <c r="J2761" s="10">
        <v>32</v>
      </c>
      <c r="K2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761">
        <v>20</v>
      </c>
      <c r="M27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1">
        <v>72.819999999999993</v>
      </c>
      <c r="O2761" s="23" t="s">
        <v>228</v>
      </c>
      <c r="P2761">
        <v>291.27999999999997</v>
      </c>
      <c r="Q2761" s="23" t="s">
        <v>222</v>
      </c>
    </row>
    <row r="2762" spans="1:17" x14ac:dyDescent="0.25">
      <c r="A2762" s="23" t="s">
        <v>1100</v>
      </c>
      <c r="B2762" s="23" t="s">
        <v>1101</v>
      </c>
      <c r="C2762" s="23" t="s">
        <v>176</v>
      </c>
      <c r="D2762" s="23" t="s">
        <v>11</v>
      </c>
      <c r="E2762" s="23" t="s">
        <v>12</v>
      </c>
      <c r="F2762">
        <v>1</v>
      </c>
      <c r="G2762" s="23" t="s">
        <v>177</v>
      </c>
      <c r="H2762">
        <v>0</v>
      </c>
      <c r="I2762">
        <v>26</v>
      </c>
      <c r="J2762" s="10">
        <v>8</v>
      </c>
      <c r="K2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2762">
        <v>0</v>
      </c>
      <c r="M27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2">
        <v>368.07</v>
      </c>
      <c r="O2762" s="23" t="s">
        <v>590</v>
      </c>
      <c r="P2762">
        <v>368.07</v>
      </c>
      <c r="Q2762" s="23" t="s">
        <v>222</v>
      </c>
    </row>
    <row r="2763" spans="1:17" x14ac:dyDescent="0.25">
      <c r="A2763" s="23" t="s">
        <v>1100</v>
      </c>
      <c r="B2763" s="23" t="s">
        <v>1101</v>
      </c>
      <c r="C2763" s="23" t="s">
        <v>176</v>
      </c>
      <c r="D2763" s="23" t="s">
        <v>345</v>
      </c>
      <c r="E2763" s="23" t="s">
        <v>346</v>
      </c>
      <c r="F2763">
        <v>2</v>
      </c>
      <c r="G2763" s="23" t="s">
        <v>177</v>
      </c>
      <c r="H2763">
        <v>0</v>
      </c>
      <c r="I2763">
        <v>228</v>
      </c>
      <c r="J2763" s="10">
        <v>4.6185277824406512E-14</v>
      </c>
      <c r="K2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763">
        <v>0</v>
      </c>
      <c r="M27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3">
        <v>6</v>
      </c>
      <c r="O2763" s="23" t="s">
        <v>347</v>
      </c>
      <c r="P2763">
        <v>12</v>
      </c>
      <c r="Q2763" s="23" t="s">
        <v>181</v>
      </c>
    </row>
    <row r="2764" spans="1:17" x14ac:dyDescent="0.25">
      <c r="A2764" s="23" t="s">
        <v>1100</v>
      </c>
      <c r="B2764" s="23" t="s">
        <v>1101</v>
      </c>
      <c r="C2764" s="23" t="s">
        <v>176</v>
      </c>
      <c r="D2764" s="23" t="s">
        <v>419</v>
      </c>
      <c r="E2764" s="23" t="s">
        <v>1225</v>
      </c>
      <c r="F2764">
        <v>7</v>
      </c>
      <c r="G2764" s="23" t="s">
        <v>177</v>
      </c>
      <c r="H2764">
        <v>0</v>
      </c>
      <c r="I2764">
        <v>148</v>
      </c>
      <c r="J2764" s="10">
        <v>59</v>
      </c>
      <c r="K2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764">
        <v>0</v>
      </c>
      <c r="M27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4">
        <v>24.17</v>
      </c>
      <c r="O2764" s="23" t="s">
        <v>629</v>
      </c>
      <c r="P2764">
        <v>169.19</v>
      </c>
      <c r="Q2764" s="23" t="s">
        <v>181</v>
      </c>
    </row>
    <row r="2765" spans="1:17" x14ac:dyDescent="0.25">
      <c r="A2765" s="23" t="s">
        <v>1147</v>
      </c>
      <c r="B2765" s="23" t="s">
        <v>1145</v>
      </c>
      <c r="C2765" s="23" t="s">
        <v>176</v>
      </c>
      <c r="D2765" s="23" t="s">
        <v>841</v>
      </c>
      <c r="E2765" s="23" t="s">
        <v>842</v>
      </c>
      <c r="F2765">
        <v>5</v>
      </c>
      <c r="G2765" s="23" t="s">
        <v>180</v>
      </c>
      <c r="H2765">
        <v>0</v>
      </c>
      <c r="I2765">
        <v>0</v>
      </c>
      <c r="J2765" s="10">
        <v>165</v>
      </c>
      <c r="K2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2765">
        <v>400</v>
      </c>
      <c r="M27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5">
        <v>5</v>
      </c>
      <c r="O2765" s="23" t="s">
        <v>225</v>
      </c>
      <c r="P2765">
        <v>25</v>
      </c>
      <c r="Q2765" s="23" t="s">
        <v>181</v>
      </c>
    </row>
    <row r="2766" spans="1:17" x14ac:dyDescent="0.25">
      <c r="A2766" s="23" t="s">
        <v>1148</v>
      </c>
      <c r="B2766" s="23" t="s">
        <v>1054</v>
      </c>
      <c r="C2766" s="23" t="s">
        <v>176</v>
      </c>
      <c r="D2766" s="23" t="s">
        <v>841</v>
      </c>
      <c r="E2766" s="23" t="s">
        <v>842</v>
      </c>
      <c r="F2766">
        <v>5</v>
      </c>
      <c r="G2766" s="23" t="s">
        <v>180</v>
      </c>
      <c r="H2766">
        <v>0</v>
      </c>
      <c r="I2766">
        <v>0</v>
      </c>
      <c r="J2766" s="10">
        <v>165</v>
      </c>
      <c r="K2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2766">
        <v>400</v>
      </c>
      <c r="M27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6">
        <v>5</v>
      </c>
      <c r="O2766" s="23" t="s">
        <v>225</v>
      </c>
      <c r="P2766">
        <v>25</v>
      </c>
      <c r="Q2766" s="23" t="s">
        <v>181</v>
      </c>
    </row>
    <row r="2767" spans="1:17" x14ac:dyDescent="0.25">
      <c r="A2767" s="23" t="s">
        <v>1147</v>
      </c>
      <c r="B2767" s="23" t="s">
        <v>1145</v>
      </c>
      <c r="C2767" s="23" t="s">
        <v>176</v>
      </c>
      <c r="D2767" s="23" t="s">
        <v>160</v>
      </c>
      <c r="E2767" s="23" t="s">
        <v>161</v>
      </c>
      <c r="F2767">
        <v>0.25</v>
      </c>
      <c r="G2767" s="23" t="s">
        <v>180</v>
      </c>
      <c r="H2767">
        <v>0</v>
      </c>
      <c r="I2767">
        <v>52</v>
      </c>
      <c r="J2767" s="10">
        <v>38.620000000000054</v>
      </c>
      <c r="K2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767">
        <v>0</v>
      </c>
      <c r="M27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7">
        <v>126.36</v>
      </c>
      <c r="O2767" s="23" t="s">
        <v>620</v>
      </c>
      <c r="P2767">
        <v>31.59</v>
      </c>
      <c r="Q2767" s="23" t="s">
        <v>179</v>
      </c>
    </row>
    <row r="2768" spans="1:17" x14ac:dyDescent="0.25">
      <c r="A2768" s="23" t="s">
        <v>1148</v>
      </c>
      <c r="B2768" s="23" t="s">
        <v>1054</v>
      </c>
      <c r="C2768" s="23" t="s">
        <v>176</v>
      </c>
      <c r="D2768" s="23" t="s">
        <v>160</v>
      </c>
      <c r="E2768" s="23" t="s">
        <v>161</v>
      </c>
      <c r="F2768">
        <v>0.23</v>
      </c>
      <c r="G2768" s="23" t="s">
        <v>180</v>
      </c>
      <c r="H2768">
        <v>0</v>
      </c>
      <c r="I2768">
        <v>52</v>
      </c>
      <c r="J2768" s="10">
        <v>38.620000000000054</v>
      </c>
      <c r="K2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768">
        <v>0</v>
      </c>
      <c r="M27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68">
        <v>126.36</v>
      </c>
      <c r="O2768" s="23" t="s">
        <v>620</v>
      </c>
      <c r="P2768">
        <v>29.062800000000003</v>
      </c>
      <c r="Q2768" s="23" t="s">
        <v>179</v>
      </c>
    </row>
    <row r="2769" spans="1:17" x14ac:dyDescent="0.25">
      <c r="A2769" s="23" t="s">
        <v>1148</v>
      </c>
      <c r="B2769" s="23" t="s">
        <v>1054</v>
      </c>
      <c r="C2769" s="23" t="s">
        <v>176</v>
      </c>
      <c r="D2769" s="23" t="s">
        <v>7</v>
      </c>
      <c r="E2769" s="23" t="s">
        <v>8</v>
      </c>
      <c r="F2769">
        <v>1</v>
      </c>
      <c r="G2769" s="23" t="s">
        <v>177</v>
      </c>
      <c r="H2769">
        <v>0</v>
      </c>
      <c r="I2769">
        <v>3</v>
      </c>
      <c r="J2769" s="10">
        <v>7</v>
      </c>
      <c r="K2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69">
        <v>3</v>
      </c>
      <c r="M27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2769">
        <v>2477.52</v>
      </c>
      <c r="O2769" s="23" t="s">
        <v>228</v>
      </c>
      <c r="P2769">
        <v>2477.52</v>
      </c>
      <c r="Q2769" s="23" t="s">
        <v>222</v>
      </c>
    </row>
    <row r="2770" spans="1:17" x14ac:dyDescent="0.25">
      <c r="A2770" s="23" t="s">
        <v>1147</v>
      </c>
      <c r="B2770" s="23" t="s">
        <v>1145</v>
      </c>
      <c r="C2770" s="23" t="s">
        <v>176</v>
      </c>
      <c r="D2770" s="23" t="s">
        <v>9</v>
      </c>
      <c r="E2770" s="23" t="s">
        <v>10</v>
      </c>
      <c r="F2770">
        <v>4</v>
      </c>
      <c r="G2770" s="23" t="s">
        <v>177</v>
      </c>
      <c r="H2770">
        <v>0</v>
      </c>
      <c r="I2770">
        <v>19</v>
      </c>
      <c r="J2770" s="10">
        <v>32</v>
      </c>
      <c r="K2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770">
        <v>20</v>
      </c>
      <c r="M27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0">
        <v>72.819999999999993</v>
      </c>
      <c r="O2770" s="23" t="s">
        <v>228</v>
      </c>
      <c r="P2770">
        <v>291.27999999999997</v>
      </c>
      <c r="Q2770" s="23" t="s">
        <v>222</v>
      </c>
    </row>
    <row r="2771" spans="1:17" x14ac:dyDescent="0.25">
      <c r="A2771" s="23" t="s">
        <v>1146</v>
      </c>
      <c r="B2771" s="23" t="s">
        <v>1145</v>
      </c>
      <c r="C2771" s="23" t="s">
        <v>176</v>
      </c>
      <c r="D2771" s="23" t="s">
        <v>782</v>
      </c>
      <c r="E2771" s="23" t="s">
        <v>783</v>
      </c>
      <c r="F2771">
        <v>1</v>
      </c>
      <c r="G2771" s="23" t="s">
        <v>177</v>
      </c>
      <c r="H2771">
        <v>0</v>
      </c>
      <c r="I2771">
        <v>6</v>
      </c>
      <c r="J2771" s="10">
        <v>7</v>
      </c>
      <c r="K2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71">
        <v>10</v>
      </c>
      <c r="M27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1">
        <v>750</v>
      </c>
      <c r="O2771" s="23" t="s">
        <v>291</v>
      </c>
      <c r="P2771">
        <v>750</v>
      </c>
      <c r="Q2771" s="23" t="s">
        <v>179</v>
      </c>
    </row>
    <row r="2772" spans="1:17" x14ac:dyDescent="0.25">
      <c r="A2772" s="23" t="s">
        <v>1144</v>
      </c>
      <c r="B2772" s="23" t="s">
        <v>1145</v>
      </c>
      <c r="C2772" s="23" t="s">
        <v>176</v>
      </c>
      <c r="D2772" s="23" t="s">
        <v>782</v>
      </c>
      <c r="E2772" s="23" t="s">
        <v>783</v>
      </c>
      <c r="F2772">
        <v>1</v>
      </c>
      <c r="G2772" s="23" t="s">
        <v>177</v>
      </c>
      <c r="H2772">
        <v>0</v>
      </c>
      <c r="I2772">
        <v>6</v>
      </c>
      <c r="J2772" s="10">
        <v>7</v>
      </c>
      <c r="K2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72">
        <v>10</v>
      </c>
      <c r="M27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2">
        <v>750</v>
      </c>
      <c r="O2772" s="23" t="s">
        <v>291</v>
      </c>
      <c r="P2772">
        <v>750</v>
      </c>
      <c r="Q2772" s="23" t="s">
        <v>179</v>
      </c>
    </row>
    <row r="2773" spans="1:17" x14ac:dyDescent="0.25">
      <c r="A2773" s="23" t="s">
        <v>1146</v>
      </c>
      <c r="B2773" s="23" t="s">
        <v>1145</v>
      </c>
      <c r="C2773" s="23" t="s">
        <v>176</v>
      </c>
      <c r="D2773" s="23" t="s">
        <v>779</v>
      </c>
      <c r="E2773" s="23" t="s">
        <v>133</v>
      </c>
      <c r="F2773">
        <v>14</v>
      </c>
      <c r="G2773" s="23" t="s">
        <v>177</v>
      </c>
      <c r="H2773">
        <v>0</v>
      </c>
      <c r="I2773">
        <v>574</v>
      </c>
      <c r="J2773" s="10">
        <v>98</v>
      </c>
      <c r="K2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773">
        <v>0</v>
      </c>
      <c r="M27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3">
        <v>6.67</v>
      </c>
      <c r="O2773" s="23" t="s">
        <v>1195</v>
      </c>
      <c r="P2773">
        <v>93.38</v>
      </c>
      <c r="Q2773" s="23" t="s">
        <v>222</v>
      </c>
    </row>
    <row r="2774" spans="1:17" x14ac:dyDescent="0.25">
      <c r="A2774" s="23" t="s">
        <v>1144</v>
      </c>
      <c r="B2774" s="23" t="s">
        <v>1145</v>
      </c>
      <c r="C2774" s="23" t="s">
        <v>176</v>
      </c>
      <c r="D2774" s="23" t="s">
        <v>779</v>
      </c>
      <c r="E2774" s="23" t="s">
        <v>133</v>
      </c>
      <c r="F2774">
        <v>14</v>
      </c>
      <c r="G2774" s="23" t="s">
        <v>177</v>
      </c>
      <c r="H2774">
        <v>0</v>
      </c>
      <c r="I2774">
        <v>574</v>
      </c>
      <c r="J2774" s="10">
        <v>98</v>
      </c>
      <c r="K2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774">
        <v>0</v>
      </c>
      <c r="M27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4">
        <v>6.67</v>
      </c>
      <c r="O2774" s="23" t="s">
        <v>1195</v>
      </c>
      <c r="P2774">
        <v>93.38</v>
      </c>
      <c r="Q2774" s="23" t="s">
        <v>222</v>
      </c>
    </row>
    <row r="2775" spans="1:17" x14ac:dyDescent="0.25">
      <c r="A2775" s="23" t="s">
        <v>1146</v>
      </c>
      <c r="B2775" s="23" t="s">
        <v>1145</v>
      </c>
      <c r="C2775" s="23" t="s">
        <v>176</v>
      </c>
      <c r="D2775" s="23" t="s">
        <v>1049</v>
      </c>
      <c r="E2775" s="23" t="s">
        <v>1050</v>
      </c>
      <c r="F2775">
        <v>1</v>
      </c>
      <c r="G2775" s="23" t="s">
        <v>177</v>
      </c>
      <c r="H2775">
        <v>0</v>
      </c>
      <c r="I2775">
        <v>3</v>
      </c>
      <c r="J2775" s="10">
        <v>6</v>
      </c>
      <c r="K2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775">
        <v>0</v>
      </c>
      <c r="M27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2775">
        <v>12138.93</v>
      </c>
      <c r="O2775" s="23" t="s">
        <v>635</v>
      </c>
      <c r="P2775">
        <v>12138.93</v>
      </c>
      <c r="Q2775" s="23" t="s">
        <v>178</v>
      </c>
    </row>
    <row r="2776" spans="1:17" x14ac:dyDescent="0.25">
      <c r="A2776" s="23" t="s">
        <v>1144</v>
      </c>
      <c r="B2776" s="23" t="s">
        <v>1145</v>
      </c>
      <c r="C2776" s="23" t="s">
        <v>176</v>
      </c>
      <c r="D2776" s="23" t="s">
        <v>1049</v>
      </c>
      <c r="E2776" s="23" t="s">
        <v>1050</v>
      </c>
      <c r="F2776">
        <v>1</v>
      </c>
      <c r="G2776" s="23" t="s">
        <v>177</v>
      </c>
      <c r="H2776">
        <v>0</v>
      </c>
      <c r="I2776">
        <v>3</v>
      </c>
      <c r="J2776" s="10">
        <v>6</v>
      </c>
      <c r="K2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776">
        <v>0</v>
      </c>
      <c r="M27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2776">
        <v>12138.93</v>
      </c>
      <c r="O2776" s="23" t="s">
        <v>635</v>
      </c>
      <c r="P2776">
        <v>12138.93</v>
      </c>
      <c r="Q2776" s="23" t="s">
        <v>178</v>
      </c>
    </row>
    <row r="2777" spans="1:17" x14ac:dyDescent="0.25">
      <c r="A2777" s="23" t="s">
        <v>1100</v>
      </c>
      <c r="B2777" s="23" t="s">
        <v>1101</v>
      </c>
      <c r="C2777" s="23" t="s">
        <v>176</v>
      </c>
      <c r="D2777" s="23" t="s">
        <v>1219</v>
      </c>
      <c r="E2777" s="23" t="s">
        <v>1220</v>
      </c>
      <c r="F2777">
        <v>1</v>
      </c>
      <c r="G2777" s="23" t="s">
        <v>177</v>
      </c>
      <c r="H2777">
        <v>0</v>
      </c>
      <c r="I2777">
        <v>0</v>
      </c>
      <c r="J2777" s="10">
        <v>1</v>
      </c>
      <c r="K2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777">
        <v>0</v>
      </c>
      <c r="M27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3321</v>
      </c>
      <c r="N2777">
        <v>3321</v>
      </c>
      <c r="O2777" s="23" t="s">
        <v>228</v>
      </c>
      <c r="P2777">
        <v>3321</v>
      </c>
      <c r="Q2777" s="23" t="s">
        <v>222</v>
      </c>
    </row>
    <row r="2778" spans="1:17" x14ac:dyDescent="0.25">
      <c r="A2778" s="23" t="s">
        <v>1055</v>
      </c>
      <c r="B2778" s="23" t="s">
        <v>1056</v>
      </c>
      <c r="C2778" s="23" t="s">
        <v>176</v>
      </c>
      <c r="D2778" s="23" t="s">
        <v>779</v>
      </c>
      <c r="E2778" s="23" t="s">
        <v>133</v>
      </c>
      <c r="F2778">
        <v>22</v>
      </c>
      <c r="G2778" s="23" t="s">
        <v>177</v>
      </c>
      <c r="H2778">
        <v>0</v>
      </c>
      <c r="I2778">
        <v>574</v>
      </c>
      <c r="J2778" s="10">
        <v>98</v>
      </c>
      <c r="K2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778">
        <v>0</v>
      </c>
      <c r="M27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8">
        <v>6.67</v>
      </c>
      <c r="O2778" s="23" t="s">
        <v>1195</v>
      </c>
      <c r="P2778">
        <v>146.74</v>
      </c>
      <c r="Q2778" s="23" t="s">
        <v>222</v>
      </c>
    </row>
    <row r="2779" spans="1:17" x14ac:dyDescent="0.25">
      <c r="A2779" s="23" t="s">
        <v>1100</v>
      </c>
      <c r="B2779" s="23" t="s">
        <v>1101</v>
      </c>
      <c r="C2779" s="23" t="s">
        <v>176</v>
      </c>
      <c r="D2779" s="23" t="s">
        <v>779</v>
      </c>
      <c r="E2779" s="23" t="s">
        <v>133</v>
      </c>
      <c r="F2779">
        <v>16</v>
      </c>
      <c r="G2779" s="23" t="s">
        <v>177</v>
      </c>
      <c r="H2779">
        <v>0</v>
      </c>
      <c r="I2779">
        <v>574</v>
      </c>
      <c r="J2779" s="10">
        <v>98</v>
      </c>
      <c r="K2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779">
        <v>0</v>
      </c>
      <c r="M27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79">
        <v>6.67</v>
      </c>
      <c r="O2779" s="23" t="s">
        <v>1195</v>
      </c>
      <c r="P2779">
        <v>106.72</v>
      </c>
      <c r="Q2779" s="23" t="s">
        <v>222</v>
      </c>
    </row>
    <row r="2780" spans="1:17" x14ac:dyDescent="0.25">
      <c r="A2780" s="23" t="s">
        <v>1148</v>
      </c>
      <c r="B2780" s="23" t="s">
        <v>1054</v>
      </c>
      <c r="C2780" s="23" t="s">
        <v>176</v>
      </c>
      <c r="D2780" s="23" t="s">
        <v>1049</v>
      </c>
      <c r="E2780" s="23" t="s">
        <v>1050</v>
      </c>
      <c r="F2780">
        <v>1</v>
      </c>
      <c r="G2780" s="23" t="s">
        <v>177</v>
      </c>
      <c r="H2780">
        <v>0</v>
      </c>
      <c r="I2780">
        <v>3</v>
      </c>
      <c r="J2780" s="10">
        <v>6</v>
      </c>
      <c r="K2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780">
        <v>0</v>
      </c>
      <c r="M27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2780">
        <v>12138.93</v>
      </c>
      <c r="O2780" s="23" t="s">
        <v>635</v>
      </c>
      <c r="P2780">
        <v>12138.93</v>
      </c>
      <c r="Q2780" s="23" t="s">
        <v>178</v>
      </c>
    </row>
    <row r="2781" spans="1:17" x14ac:dyDescent="0.25">
      <c r="A2781" s="23" t="s">
        <v>1149</v>
      </c>
      <c r="B2781" s="23" t="s">
        <v>1145</v>
      </c>
      <c r="C2781" s="23" t="s">
        <v>176</v>
      </c>
      <c r="D2781" s="23" t="s">
        <v>481</v>
      </c>
      <c r="E2781" s="23" t="s">
        <v>482</v>
      </c>
      <c r="F2781">
        <v>16</v>
      </c>
      <c r="G2781" s="23" t="s">
        <v>177</v>
      </c>
      <c r="H2781">
        <v>0</v>
      </c>
      <c r="I2781">
        <v>442</v>
      </c>
      <c r="J2781" s="10">
        <v>0</v>
      </c>
      <c r="K2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781">
        <v>0</v>
      </c>
      <c r="M27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1">
        <v>9.35</v>
      </c>
      <c r="O2781" s="23" t="s">
        <v>883</v>
      </c>
      <c r="P2781">
        <v>149.6</v>
      </c>
      <c r="Q2781" s="23" t="s">
        <v>181</v>
      </c>
    </row>
    <row r="2782" spans="1:17" x14ac:dyDescent="0.25">
      <c r="A2782" s="23" t="s">
        <v>1150</v>
      </c>
      <c r="B2782" s="23" t="s">
        <v>1145</v>
      </c>
      <c r="C2782" s="23" t="s">
        <v>176</v>
      </c>
      <c r="D2782" s="23" t="s">
        <v>970</v>
      </c>
      <c r="E2782" s="23" t="s">
        <v>971</v>
      </c>
      <c r="F2782">
        <v>0.36</v>
      </c>
      <c r="G2782" s="23" t="s">
        <v>183</v>
      </c>
      <c r="H2782">
        <v>0</v>
      </c>
      <c r="I2782">
        <v>0</v>
      </c>
      <c r="J2782" s="10">
        <v>30.760000000000009</v>
      </c>
      <c r="K2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2782">
        <v>0</v>
      </c>
      <c r="M27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2782">
        <v>1748.21</v>
      </c>
      <c r="O2782" s="23" t="s">
        <v>224</v>
      </c>
      <c r="P2782">
        <v>629.35559999999998</v>
      </c>
      <c r="Q2782" s="23" t="s">
        <v>182</v>
      </c>
    </row>
    <row r="2783" spans="1:17" x14ac:dyDescent="0.25">
      <c r="A2783" s="23" t="s">
        <v>1150</v>
      </c>
      <c r="B2783" s="23" t="s">
        <v>1145</v>
      </c>
      <c r="C2783" s="23" t="s">
        <v>176</v>
      </c>
      <c r="D2783" s="23" t="s">
        <v>1156</v>
      </c>
      <c r="E2783" s="23" t="s">
        <v>1157</v>
      </c>
      <c r="F2783">
        <v>2</v>
      </c>
      <c r="G2783" s="23" t="s">
        <v>177</v>
      </c>
      <c r="H2783">
        <v>0</v>
      </c>
      <c r="I2783">
        <v>0</v>
      </c>
      <c r="J2783" s="10">
        <v>0</v>
      </c>
      <c r="K2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783">
        <v>0</v>
      </c>
      <c r="M27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2783">
        <v>0.88</v>
      </c>
      <c r="O2783" s="23" t="s">
        <v>636</v>
      </c>
      <c r="P2783">
        <v>1.76</v>
      </c>
      <c r="Q2783" s="23" t="s">
        <v>222</v>
      </c>
    </row>
    <row r="2784" spans="1:17" x14ac:dyDescent="0.25">
      <c r="A2784" s="23" t="s">
        <v>1149</v>
      </c>
      <c r="B2784" s="23" t="s">
        <v>1145</v>
      </c>
      <c r="C2784" s="23" t="s">
        <v>176</v>
      </c>
      <c r="D2784" s="23" t="s">
        <v>739</v>
      </c>
      <c r="E2784" s="23" t="s">
        <v>740</v>
      </c>
      <c r="F2784">
        <v>1</v>
      </c>
      <c r="G2784" s="23" t="s">
        <v>177</v>
      </c>
      <c r="H2784">
        <v>0</v>
      </c>
      <c r="I2784">
        <v>12</v>
      </c>
      <c r="J2784" s="10">
        <v>14</v>
      </c>
      <c r="K2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84">
        <v>0</v>
      </c>
      <c r="M27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784">
        <v>116.67</v>
      </c>
      <c r="O2784" s="23" t="s">
        <v>668</v>
      </c>
      <c r="P2784">
        <v>116.67</v>
      </c>
      <c r="Q2784" s="23" t="s">
        <v>178</v>
      </c>
    </row>
    <row r="2785" spans="1:17" x14ac:dyDescent="0.25">
      <c r="A2785" s="23" t="s">
        <v>1150</v>
      </c>
      <c r="B2785" s="23" t="s">
        <v>1145</v>
      </c>
      <c r="C2785" s="23" t="s">
        <v>176</v>
      </c>
      <c r="D2785" s="23" t="s">
        <v>782</v>
      </c>
      <c r="E2785" s="23" t="s">
        <v>783</v>
      </c>
      <c r="F2785">
        <v>1</v>
      </c>
      <c r="G2785" s="23" t="s">
        <v>177</v>
      </c>
      <c r="H2785">
        <v>0</v>
      </c>
      <c r="I2785">
        <v>6</v>
      </c>
      <c r="J2785" s="10">
        <v>7</v>
      </c>
      <c r="K2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785">
        <v>10</v>
      </c>
      <c r="M27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5">
        <v>750</v>
      </c>
      <c r="O2785" s="23" t="s">
        <v>291</v>
      </c>
      <c r="P2785">
        <v>750</v>
      </c>
      <c r="Q2785" s="23" t="s">
        <v>179</v>
      </c>
    </row>
    <row r="2786" spans="1:17" x14ac:dyDescent="0.25">
      <c r="A2786" s="23" t="s">
        <v>1150</v>
      </c>
      <c r="B2786" s="23" t="s">
        <v>1145</v>
      </c>
      <c r="C2786" s="23" t="s">
        <v>176</v>
      </c>
      <c r="D2786" s="23" t="s">
        <v>481</v>
      </c>
      <c r="E2786" s="23" t="s">
        <v>482</v>
      </c>
      <c r="F2786">
        <v>16</v>
      </c>
      <c r="G2786" s="23" t="s">
        <v>177</v>
      </c>
      <c r="H2786">
        <v>0</v>
      </c>
      <c r="I2786">
        <v>442</v>
      </c>
      <c r="J2786" s="10">
        <v>0</v>
      </c>
      <c r="K2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786">
        <v>0</v>
      </c>
      <c r="M27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6">
        <v>9.35</v>
      </c>
      <c r="O2786" s="23" t="s">
        <v>883</v>
      </c>
      <c r="P2786">
        <v>149.6</v>
      </c>
      <c r="Q2786" s="23" t="s">
        <v>181</v>
      </c>
    </row>
    <row r="2787" spans="1:17" x14ac:dyDescent="0.25">
      <c r="A2787" s="23" t="s">
        <v>1150</v>
      </c>
      <c r="B2787" s="23" t="s">
        <v>1145</v>
      </c>
      <c r="C2787" s="23" t="s">
        <v>176</v>
      </c>
      <c r="D2787" s="23" t="s">
        <v>449</v>
      </c>
      <c r="E2787" s="23" t="s">
        <v>450</v>
      </c>
      <c r="F2787">
        <v>2</v>
      </c>
      <c r="G2787" s="23" t="s">
        <v>177</v>
      </c>
      <c r="H2787">
        <v>0</v>
      </c>
      <c r="I2787">
        <v>15</v>
      </c>
      <c r="J2787" s="10">
        <v>14</v>
      </c>
      <c r="K2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787">
        <v>15</v>
      </c>
      <c r="M27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7">
        <v>65.709999999999994</v>
      </c>
      <c r="O2787" s="23" t="s">
        <v>228</v>
      </c>
      <c r="P2787">
        <v>131.41999999999999</v>
      </c>
      <c r="Q2787" s="23" t="s">
        <v>222</v>
      </c>
    </row>
    <row r="2788" spans="1:17" x14ac:dyDescent="0.25">
      <c r="A2788" s="23" t="s">
        <v>1150</v>
      </c>
      <c r="B2788" s="23" t="s">
        <v>1145</v>
      </c>
      <c r="C2788" s="23" t="s">
        <v>176</v>
      </c>
      <c r="D2788" s="23" t="s">
        <v>739</v>
      </c>
      <c r="E2788" s="23" t="s">
        <v>740</v>
      </c>
      <c r="F2788">
        <v>1</v>
      </c>
      <c r="G2788" s="23" t="s">
        <v>177</v>
      </c>
      <c r="H2788">
        <v>0</v>
      </c>
      <c r="I2788">
        <v>12</v>
      </c>
      <c r="J2788" s="10">
        <v>14</v>
      </c>
      <c r="K2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788">
        <v>0</v>
      </c>
      <c r="M27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788">
        <v>116.67</v>
      </c>
      <c r="O2788" s="23" t="s">
        <v>668</v>
      </c>
      <c r="P2788">
        <v>116.67</v>
      </c>
      <c r="Q2788" s="23" t="s">
        <v>178</v>
      </c>
    </row>
    <row r="2789" spans="1:17" x14ac:dyDescent="0.25">
      <c r="A2789" s="23" t="s">
        <v>1150</v>
      </c>
      <c r="B2789" s="23" t="s">
        <v>1145</v>
      </c>
      <c r="C2789" s="23" t="s">
        <v>176</v>
      </c>
      <c r="D2789" s="23" t="s">
        <v>779</v>
      </c>
      <c r="E2789" s="23" t="s">
        <v>133</v>
      </c>
      <c r="F2789">
        <v>14</v>
      </c>
      <c r="G2789" s="23" t="s">
        <v>177</v>
      </c>
      <c r="H2789">
        <v>0</v>
      </c>
      <c r="I2789">
        <v>574</v>
      </c>
      <c r="J2789" s="10">
        <v>98</v>
      </c>
      <c r="K2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789">
        <v>0</v>
      </c>
      <c r="M27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89">
        <v>6.67</v>
      </c>
      <c r="O2789" s="23" t="s">
        <v>1195</v>
      </c>
      <c r="P2789">
        <v>93.38</v>
      </c>
      <c r="Q2789" s="23" t="s">
        <v>222</v>
      </c>
    </row>
    <row r="2790" spans="1:17" x14ac:dyDescent="0.25">
      <c r="A2790" s="23" t="s">
        <v>1100</v>
      </c>
      <c r="B2790" s="23" t="s">
        <v>1101</v>
      </c>
      <c r="C2790" s="23" t="s">
        <v>176</v>
      </c>
      <c r="D2790" s="23" t="s">
        <v>2</v>
      </c>
      <c r="E2790" s="23" t="s">
        <v>424</v>
      </c>
      <c r="F2790">
        <v>2</v>
      </c>
      <c r="G2790" s="23" t="s">
        <v>177</v>
      </c>
      <c r="H2790">
        <v>0</v>
      </c>
      <c r="I2790">
        <v>22</v>
      </c>
      <c r="J2790" s="10">
        <v>18</v>
      </c>
      <c r="K2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790">
        <v>10</v>
      </c>
      <c r="M27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0">
        <v>400</v>
      </c>
      <c r="O2790" s="23" t="s">
        <v>218</v>
      </c>
      <c r="P2790">
        <v>800</v>
      </c>
      <c r="Q2790" s="23" t="s">
        <v>222</v>
      </c>
    </row>
    <row r="2791" spans="1:17" x14ac:dyDescent="0.25">
      <c r="A2791" s="23" t="s">
        <v>1058</v>
      </c>
      <c r="B2791" s="23" t="s">
        <v>1059</v>
      </c>
      <c r="C2791" s="23" t="s">
        <v>176</v>
      </c>
      <c r="D2791" s="23" t="s">
        <v>373</v>
      </c>
      <c r="E2791" s="23" t="s">
        <v>374</v>
      </c>
      <c r="F2791">
        <v>6</v>
      </c>
      <c r="G2791" s="23" t="s">
        <v>177</v>
      </c>
      <c r="H2791">
        <v>0</v>
      </c>
      <c r="I2791">
        <v>85</v>
      </c>
      <c r="J2791" s="10">
        <v>34</v>
      </c>
      <c r="K2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91">
        <v>40</v>
      </c>
      <c r="M27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1">
        <v>74</v>
      </c>
      <c r="O2791" s="23" t="s">
        <v>822</v>
      </c>
      <c r="P2791">
        <v>444</v>
      </c>
      <c r="Q2791" s="23" t="s">
        <v>179</v>
      </c>
    </row>
    <row r="2792" spans="1:17" x14ac:dyDescent="0.25">
      <c r="A2792" s="23" t="s">
        <v>1097</v>
      </c>
      <c r="B2792" s="23" t="s">
        <v>1095</v>
      </c>
      <c r="C2792" s="23" t="s">
        <v>176</v>
      </c>
      <c r="D2792" s="23" t="s">
        <v>2</v>
      </c>
      <c r="E2792" s="23" t="s">
        <v>424</v>
      </c>
      <c r="F2792">
        <v>2</v>
      </c>
      <c r="G2792" s="23" t="s">
        <v>177</v>
      </c>
      <c r="H2792">
        <v>0</v>
      </c>
      <c r="I2792">
        <v>22</v>
      </c>
      <c r="J2792" s="10">
        <v>18</v>
      </c>
      <c r="K2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792">
        <v>10</v>
      </c>
      <c r="M27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2">
        <v>400</v>
      </c>
      <c r="O2792" s="23" t="s">
        <v>218</v>
      </c>
      <c r="P2792">
        <v>800</v>
      </c>
      <c r="Q2792" s="23" t="s">
        <v>222</v>
      </c>
    </row>
    <row r="2793" spans="1:17" x14ac:dyDescent="0.25">
      <c r="A2793" s="23" t="s">
        <v>1058</v>
      </c>
      <c r="B2793" s="23" t="s">
        <v>1059</v>
      </c>
      <c r="C2793" s="23" t="s">
        <v>176</v>
      </c>
      <c r="D2793" s="23" t="s">
        <v>574</v>
      </c>
      <c r="E2793" s="23" t="s">
        <v>575</v>
      </c>
      <c r="F2793">
        <v>0.5</v>
      </c>
      <c r="G2793" s="23" t="s">
        <v>177</v>
      </c>
      <c r="H2793">
        <v>0</v>
      </c>
      <c r="I2793">
        <v>24</v>
      </c>
      <c r="J2793" s="10">
        <v>-5.6843418860808015E-14</v>
      </c>
      <c r="K2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793">
        <v>0</v>
      </c>
      <c r="M27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3">
        <v>120</v>
      </c>
      <c r="O2793" s="23" t="s">
        <v>242</v>
      </c>
      <c r="P2793">
        <v>60</v>
      </c>
      <c r="Q2793" s="23" t="s">
        <v>184</v>
      </c>
    </row>
    <row r="2794" spans="1:17" x14ac:dyDescent="0.25">
      <c r="A2794" s="23" t="s">
        <v>1148</v>
      </c>
      <c r="B2794" s="23" t="s">
        <v>1054</v>
      </c>
      <c r="C2794" s="23" t="s">
        <v>176</v>
      </c>
      <c r="D2794" s="23" t="s">
        <v>574</v>
      </c>
      <c r="E2794" s="23" t="s">
        <v>575</v>
      </c>
      <c r="F2794">
        <v>0.7</v>
      </c>
      <c r="G2794" s="23" t="s">
        <v>177</v>
      </c>
      <c r="H2794">
        <v>0</v>
      </c>
      <c r="I2794">
        <v>24</v>
      </c>
      <c r="J2794" s="10">
        <v>-5.6843418860808015E-14</v>
      </c>
      <c r="K2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794">
        <v>0</v>
      </c>
      <c r="M27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4">
        <v>120</v>
      </c>
      <c r="O2794" s="23" t="s">
        <v>242</v>
      </c>
      <c r="P2794">
        <v>84</v>
      </c>
      <c r="Q2794" s="23" t="s">
        <v>184</v>
      </c>
    </row>
    <row r="2795" spans="1:17" x14ac:dyDescent="0.25">
      <c r="A2795" s="23" t="s">
        <v>1055</v>
      </c>
      <c r="B2795" s="23" t="s">
        <v>1056</v>
      </c>
      <c r="C2795" s="23" t="s">
        <v>176</v>
      </c>
      <c r="D2795" s="23" t="s">
        <v>574</v>
      </c>
      <c r="E2795" s="23" t="s">
        <v>575</v>
      </c>
      <c r="F2795">
        <v>1</v>
      </c>
      <c r="G2795" s="23" t="s">
        <v>177</v>
      </c>
      <c r="H2795">
        <v>0</v>
      </c>
      <c r="I2795">
        <v>24</v>
      </c>
      <c r="J2795" s="10">
        <v>-5.6843418860808015E-14</v>
      </c>
      <c r="K2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795">
        <v>0</v>
      </c>
      <c r="M27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5">
        <v>120</v>
      </c>
      <c r="O2795" s="23" t="s">
        <v>242</v>
      </c>
      <c r="P2795">
        <v>120</v>
      </c>
      <c r="Q2795" s="23" t="s">
        <v>184</v>
      </c>
    </row>
    <row r="2796" spans="1:17" x14ac:dyDescent="0.25">
      <c r="A2796" s="23" t="s">
        <v>1099</v>
      </c>
      <c r="B2796" s="23" t="s">
        <v>1056</v>
      </c>
      <c r="C2796" s="23" t="s">
        <v>176</v>
      </c>
      <c r="D2796" s="23" t="s">
        <v>574</v>
      </c>
      <c r="E2796" s="23" t="s">
        <v>575</v>
      </c>
      <c r="F2796">
        <v>1</v>
      </c>
      <c r="G2796" s="23" t="s">
        <v>177</v>
      </c>
      <c r="H2796">
        <v>0</v>
      </c>
      <c r="I2796">
        <v>24</v>
      </c>
      <c r="J2796" s="10">
        <v>-5.6843418860808015E-14</v>
      </c>
      <c r="K2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-7.6000000000000014</v>
      </c>
      <c r="L2796">
        <v>0</v>
      </c>
      <c r="M27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6">
        <v>120</v>
      </c>
      <c r="O2796" s="23" t="s">
        <v>242</v>
      </c>
      <c r="P2796">
        <v>120</v>
      </c>
      <c r="Q2796" s="23" t="s">
        <v>184</v>
      </c>
    </row>
    <row r="2797" spans="1:17" x14ac:dyDescent="0.25">
      <c r="A2797" s="23" t="s">
        <v>1100</v>
      </c>
      <c r="B2797" s="23" t="s">
        <v>1101</v>
      </c>
      <c r="C2797" s="23" t="s">
        <v>176</v>
      </c>
      <c r="D2797" s="23" t="s">
        <v>202</v>
      </c>
      <c r="E2797" s="23" t="s">
        <v>226</v>
      </c>
      <c r="F2797">
        <v>5</v>
      </c>
      <c r="G2797" s="23" t="s">
        <v>177</v>
      </c>
      <c r="H2797">
        <v>0</v>
      </c>
      <c r="I2797">
        <v>24</v>
      </c>
      <c r="J2797" s="10">
        <v>22</v>
      </c>
      <c r="K2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2797">
        <v>50</v>
      </c>
      <c r="M27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7">
        <v>44</v>
      </c>
      <c r="O2797" s="23" t="s">
        <v>505</v>
      </c>
      <c r="P2797">
        <v>220</v>
      </c>
      <c r="Q2797" s="23" t="s">
        <v>222</v>
      </c>
    </row>
    <row r="2798" spans="1:17" x14ac:dyDescent="0.25">
      <c r="A2798" s="23" t="s">
        <v>1100</v>
      </c>
      <c r="B2798" s="23" t="s">
        <v>1101</v>
      </c>
      <c r="C2798" s="23" t="s">
        <v>176</v>
      </c>
      <c r="D2798" s="23" t="s">
        <v>373</v>
      </c>
      <c r="E2798" s="23" t="s">
        <v>374</v>
      </c>
      <c r="F2798">
        <v>3</v>
      </c>
      <c r="G2798" s="23" t="s">
        <v>177</v>
      </c>
      <c r="H2798">
        <v>0</v>
      </c>
      <c r="I2798">
        <v>85</v>
      </c>
      <c r="J2798" s="10">
        <v>34</v>
      </c>
      <c r="K2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798">
        <v>40</v>
      </c>
      <c r="M27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8">
        <v>74</v>
      </c>
      <c r="O2798" s="23" t="s">
        <v>822</v>
      </c>
      <c r="P2798">
        <v>222</v>
      </c>
      <c r="Q2798" s="23" t="s">
        <v>179</v>
      </c>
    </row>
    <row r="2799" spans="1:17" x14ac:dyDescent="0.25">
      <c r="A2799" s="23" t="s">
        <v>1058</v>
      </c>
      <c r="B2799" s="23" t="s">
        <v>1059</v>
      </c>
      <c r="C2799" s="23" t="s">
        <v>176</v>
      </c>
      <c r="D2799" s="23" t="s">
        <v>721</v>
      </c>
      <c r="E2799" s="23" t="s">
        <v>722</v>
      </c>
      <c r="F2799">
        <v>2</v>
      </c>
      <c r="G2799" s="23" t="s">
        <v>177</v>
      </c>
      <c r="H2799">
        <v>0</v>
      </c>
      <c r="I2799">
        <v>200</v>
      </c>
      <c r="J2799" s="10">
        <v>88</v>
      </c>
      <c r="K2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799">
        <v>0</v>
      </c>
      <c r="M27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799">
        <v>10</v>
      </c>
      <c r="O2799" s="23" t="s">
        <v>227</v>
      </c>
      <c r="P2799">
        <v>20</v>
      </c>
      <c r="Q2799" s="23" t="s">
        <v>181</v>
      </c>
    </row>
    <row r="2800" spans="1:17" x14ac:dyDescent="0.25">
      <c r="A2800" s="23" t="s">
        <v>1055</v>
      </c>
      <c r="B2800" s="23" t="s">
        <v>1056</v>
      </c>
      <c r="C2800" s="23" t="s">
        <v>176</v>
      </c>
      <c r="D2800" s="23" t="s">
        <v>721</v>
      </c>
      <c r="E2800" s="23" t="s">
        <v>722</v>
      </c>
      <c r="F2800">
        <v>2</v>
      </c>
      <c r="G2800" s="23" t="s">
        <v>177</v>
      </c>
      <c r="H2800">
        <v>0</v>
      </c>
      <c r="I2800">
        <v>200</v>
      </c>
      <c r="J2800" s="10">
        <v>88</v>
      </c>
      <c r="K2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800">
        <v>0</v>
      </c>
      <c r="M28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0">
        <v>10</v>
      </c>
      <c r="O2800" s="23" t="s">
        <v>227</v>
      </c>
      <c r="P2800">
        <v>20</v>
      </c>
      <c r="Q2800" s="23" t="s">
        <v>181</v>
      </c>
    </row>
    <row r="2801" spans="1:17" x14ac:dyDescent="0.25">
      <c r="A2801" s="23" t="s">
        <v>1099</v>
      </c>
      <c r="B2801" s="23" t="s">
        <v>1056</v>
      </c>
      <c r="C2801" s="23" t="s">
        <v>176</v>
      </c>
      <c r="D2801" s="23" t="s">
        <v>721</v>
      </c>
      <c r="E2801" s="23" t="s">
        <v>722</v>
      </c>
      <c r="F2801">
        <v>2</v>
      </c>
      <c r="G2801" s="23" t="s">
        <v>177</v>
      </c>
      <c r="H2801">
        <v>0</v>
      </c>
      <c r="I2801">
        <v>200</v>
      </c>
      <c r="J2801" s="10">
        <v>88</v>
      </c>
      <c r="K2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2801">
        <v>0</v>
      </c>
      <c r="M28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1">
        <v>10</v>
      </c>
      <c r="O2801" s="23" t="s">
        <v>227</v>
      </c>
      <c r="P2801">
        <v>20</v>
      </c>
      <c r="Q2801" s="23" t="s">
        <v>181</v>
      </c>
    </row>
    <row r="2802" spans="1:17" x14ac:dyDescent="0.25">
      <c r="A2802" s="23" t="s">
        <v>1100</v>
      </c>
      <c r="B2802" s="23" t="s">
        <v>1101</v>
      </c>
      <c r="C2802" s="23" t="s">
        <v>176</v>
      </c>
      <c r="D2802" s="23" t="s">
        <v>430</v>
      </c>
      <c r="E2802" s="23" t="s">
        <v>431</v>
      </c>
      <c r="F2802">
        <v>1</v>
      </c>
      <c r="G2802" s="23" t="s">
        <v>177</v>
      </c>
      <c r="H2802">
        <v>0</v>
      </c>
      <c r="I2802">
        <v>12</v>
      </c>
      <c r="J2802" s="10">
        <v>3</v>
      </c>
      <c r="K2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802">
        <v>0</v>
      </c>
      <c r="M28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2">
        <v>1678.88</v>
      </c>
      <c r="O2802" s="23" t="s">
        <v>637</v>
      </c>
      <c r="P2802">
        <v>1678.88</v>
      </c>
      <c r="Q2802" s="23" t="s">
        <v>179</v>
      </c>
    </row>
    <row r="2803" spans="1:17" x14ac:dyDescent="0.25">
      <c r="A2803" s="23" t="s">
        <v>1058</v>
      </c>
      <c r="B2803" s="23" t="s">
        <v>1059</v>
      </c>
      <c r="C2803" s="23" t="s">
        <v>176</v>
      </c>
      <c r="D2803" s="23" t="s">
        <v>348</v>
      </c>
      <c r="E2803" s="23" t="s">
        <v>349</v>
      </c>
      <c r="F2803">
        <v>0.05</v>
      </c>
      <c r="G2803" s="23" t="s">
        <v>177</v>
      </c>
      <c r="H2803">
        <v>0</v>
      </c>
      <c r="I2803">
        <v>2</v>
      </c>
      <c r="J2803" s="10">
        <v>3.2474023470285829E-15</v>
      </c>
      <c r="K2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2803">
        <v>0</v>
      </c>
      <c r="M28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2803">
        <v>2778</v>
      </c>
      <c r="O2803" s="23" t="s">
        <v>218</v>
      </c>
      <c r="P2803">
        <v>138.9</v>
      </c>
      <c r="Q2803" s="23" t="s">
        <v>184</v>
      </c>
    </row>
    <row r="2804" spans="1:17" x14ac:dyDescent="0.25">
      <c r="A2804" s="23" t="s">
        <v>1148</v>
      </c>
      <c r="B2804" s="23" t="s">
        <v>1054</v>
      </c>
      <c r="C2804" s="23" t="s">
        <v>176</v>
      </c>
      <c r="D2804" s="23" t="s">
        <v>2</v>
      </c>
      <c r="E2804" s="23" t="s">
        <v>424</v>
      </c>
      <c r="F2804">
        <v>2</v>
      </c>
      <c r="G2804" s="23" t="s">
        <v>177</v>
      </c>
      <c r="H2804">
        <v>0</v>
      </c>
      <c r="I2804">
        <v>22</v>
      </c>
      <c r="J2804" s="10">
        <v>18</v>
      </c>
      <c r="K2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804">
        <v>10</v>
      </c>
      <c r="M28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4">
        <v>400</v>
      </c>
      <c r="O2804" s="23" t="s">
        <v>218</v>
      </c>
      <c r="P2804">
        <v>800</v>
      </c>
      <c r="Q2804" s="23" t="s">
        <v>222</v>
      </c>
    </row>
    <row r="2805" spans="1:17" x14ac:dyDescent="0.25">
      <c r="A2805" s="23" t="s">
        <v>1147</v>
      </c>
      <c r="B2805" s="23" t="s">
        <v>1145</v>
      </c>
      <c r="C2805" s="23" t="s">
        <v>176</v>
      </c>
      <c r="D2805" s="23" t="s">
        <v>373</v>
      </c>
      <c r="E2805" s="23" t="s">
        <v>374</v>
      </c>
      <c r="F2805">
        <v>6</v>
      </c>
      <c r="G2805" s="23" t="s">
        <v>177</v>
      </c>
      <c r="H2805">
        <v>0</v>
      </c>
      <c r="I2805">
        <v>85</v>
      </c>
      <c r="J2805" s="10">
        <v>34</v>
      </c>
      <c r="K2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805">
        <v>40</v>
      </c>
      <c r="M28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5">
        <v>74</v>
      </c>
      <c r="O2805" s="23" t="s">
        <v>822</v>
      </c>
      <c r="P2805">
        <v>444</v>
      </c>
      <c r="Q2805" s="23" t="s">
        <v>179</v>
      </c>
    </row>
    <row r="2806" spans="1:17" x14ac:dyDescent="0.25">
      <c r="A2806" s="23" t="s">
        <v>1055</v>
      </c>
      <c r="B2806" s="23" t="s">
        <v>1056</v>
      </c>
      <c r="C2806" s="23" t="s">
        <v>176</v>
      </c>
      <c r="D2806" s="23" t="s">
        <v>373</v>
      </c>
      <c r="E2806" s="23" t="s">
        <v>374</v>
      </c>
      <c r="F2806">
        <v>6</v>
      </c>
      <c r="G2806" s="23" t="s">
        <v>177</v>
      </c>
      <c r="H2806">
        <v>0</v>
      </c>
      <c r="I2806">
        <v>85</v>
      </c>
      <c r="J2806" s="10">
        <v>34</v>
      </c>
      <c r="K2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806">
        <v>40</v>
      </c>
      <c r="M28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6">
        <v>74</v>
      </c>
      <c r="O2806" s="23" t="s">
        <v>822</v>
      </c>
      <c r="P2806">
        <v>444</v>
      </c>
      <c r="Q2806" s="23" t="s">
        <v>179</v>
      </c>
    </row>
    <row r="2807" spans="1:17" x14ac:dyDescent="0.25">
      <c r="A2807" s="23" t="s">
        <v>1099</v>
      </c>
      <c r="B2807" s="23" t="s">
        <v>1056</v>
      </c>
      <c r="C2807" s="23" t="s">
        <v>176</v>
      </c>
      <c r="D2807" s="23" t="s">
        <v>373</v>
      </c>
      <c r="E2807" s="23" t="s">
        <v>374</v>
      </c>
      <c r="F2807">
        <v>3</v>
      </c>
      <c r="G2807" s="23" t="s">
        <v>177</v>
      </c>
      <c r="H2807">
        <v>0</v>
      </c>
      <c r="I2807">
        <v>85</v>
      </c>
      <c r="J2807" s="10">
        <v>34</v>
      </c>
      <c r="K2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2807">
        <v>40</v>
      </c>
      <c r="M28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7">
        <v>74</v>
      </c>
      <c r="O2807" s="23" t="s">
        <v>822</v>
      </c>
      <c r="P2807">
        <v>222</v>
      </c>
      <c r="Q2807" s="23" t="s">
        <v>179</v>
      </c>
    </row>
    <row r="2808" spans="1:17" x14ac:dyDescent="0.25">
      <c r="A2808" s="23" t="s">
        <v>1055</v>
      </c>
      <c r="B2808" s="23" t="s">
        <v>1056</v>
      </c>
      <c r="C2808" s="23" t="s">
        <v>176</v>
      </c>
      <c r="D2808" s="23" t="s">
        <v>124</v>
      </c>
      <c r="E2808" s="23" t="s">
        <v>634</v>
      </c>
      <c r="F2808">
        <v>0.2</v>
      </c>
      <c r="G2808" s="23" t="s">
        <v>180</v>
      </c>
      <c r="H2808">
        <v>0</v>
      </c>
      <c r="I2808">
        <v>200</v>
      </c>
      <c r="J2808" s="10">
        <v>1.1368683772161603E-13</v>
      </c>
      <c r="K2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808">
        <v>0</v>
      </c>
      <c r="M28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8">
        <v>2.89</v>
      </c>
      <c r="O2808" s="23" t="s">
        <v>827</v>
      </c>
      <c r="P2808">
        <v>0.57800000000000007</v>
      </c>
      <c r="Q2808" s="23" t="s">
        <v>222</v>
      </c>
    </row>
    <row r="2809" spans="1:17" x14ac:dyDescent="0.25">
      <c r="A2809" s="23" t="s">
        <v>1100</v>
      </c>
      <c r="B2809" s="23" t="s">
        <v>1101</v>
      </c>
      <c r="C2809" s="23" t="s">
        <v>176</v>
      </c>
      <c r="D2809" s="23" t="s">
        <v>124</v>
      </c>
      <c r="E2809" s="23" t="s">
        <v>634</v>
      </c>
      <c r="F2809">
        <v>0.2</v>
      </c>
      <c r="G2809" s="23" t="s">
        <v>180</v>
      </c>
      <c r="H2809">
        <v>0</v>
      </c>
      <c r="I2809">
        <v>200</v>
      </c>
      <c r="J2809" s="10">
        <v>1.1368683772161603E-13</v>
      </c>
      <c r="K2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2809">
        <v>0</v>
      </c>
      <c r="M28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09">
        <v>2.89</v>
      </c>
      <c r="O2809" s="23" t="s">
        <v>827</v>
      </c>
      <c r="P2809">
        <v>0.57800000000000007</v>
      </c>
      <c r="Q2809" s="23" t="s">
        <v>222</v>
      </c>
    </row>
    <row r="2810" spans="1:17" x14ac:dyDescent="0.25">
      <c r="A2810" s="23" t="s">
        <v>1100</v>
      </c>
      <c r="B2810" s="23" t="s">
        <v>1101</v>
      </c>
      <c r="C2810" s="23" t="s">
        <v>176</v>
      </c>
      <c r="D2810" s="23" t="s">
        <v>238</v>
      </c>
      <c r="E2810" s="23" t="s">
        <v>306</v>
      </c>
      <c r="F2810">
        <v>2</v>
      </c>
      <c r="G2810" s="23" t="s">
        <v>177</v>
      </c>
      <c r="H2810">
        <v>0</v>
      </c>
      <c r="I2810">
        <v>455</v>
      </c>
      <c r="J2810" s="10">
        <v>23</v>
      </c>
      <c r="K2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2810">
        <v>0</v>
      </c>
      <c r="M28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0">
        <v>20</v>
      </c>
      <c r="O2810" s="23"/>
      <c r="P2810">
        <v>40</v>
      </c>
      <c r="Q2810" s="23" t="s">
        <v>222</v>
      </c>
    </row>
    <row r="2811" spans="1:17" x14ac:dyDescent="0.25">
      <c r="A2811" s="23" t="s">
        <v>1055</v>
      </c>
      <c r="B2811" s="23" t="s">
        <v>1056</v>
      </c>
      <c r="C2811" s="23" t="s">
        <v>176</v>
      </c>
      <c r="D2811" s="23" t="s">
        <v>963</v>
      </c>
      <c r="E2811" s="23" t="s">
        <v>964</v>
      </c>
      <c r="F2811">
        <v>4</v>
      </c>
      <c r="G2811" s="23" t="s">
        <v>177</v>
      </c>
      <c r="H2811">
        <v>0</v>
      </c>
      <c r="I2811">
        <v>40</v>
      </c>
      <c r="J2811" s="10">
        <v>0</v>
      </c>
      <c r="K2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811">
        <v>0</v>
      </c>
      <c r="M28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1">
        <v>33</v>
      </c>
      <c r="O2811" s="23" t="s">
        <v>227</v>
      </c>
      <c r="P2811">
        <v>132</v>
      </c>
      <c r="Q2811" s="23" t="s">
        <v>181</v>
      </c>
    </row>
    <row r="2812" spans="1:17" x14ac:dyDescent="0.25">
      <c r="A2812" s="23" t="s">
        <v>1099</v>
      </c>
      <c r="B2812" s="23" t="s">
        <v>1056</v>
      </c>
      <c r="C2812" s="23" t="s">
        <v>176</v>
      </c>
      <c r="D2812" s="23" t="s">
        <v>963</v>
      </c>
      <c r="E2812" s="23" t="s">
        <v>964</v>
      </c>
      <c r="F2812">
        <v>4</v>
      </c>
      <c r="G2812" s="23" t="s">
        <v>177</v>
      </c>
      <c r="H2812">
        <v>0</v>
      </c>
      <c r="I2812">
        <v>40</v>
      </c>
      <c r="J2812" s="10">
        <v>0</v>
      </c>
      <c r="K2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2812">
        <v>0</v>
      </c>
      <c r="M28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2">
        <v>33</v>
      </c>
      <c r="O2812" s="23" t="s">
        <v>227</v>
      </c>
      <c r="P2812">
        <v>132</v>
      </c>
      <c r="Q2812" s="23" t="s">
        <v>181</v>
      </c>
    </row>
    <row r="2813" spans="1:17" x14ac:dyDescent="0.25">
      <c r="A2813" s="23" t="s">
        <v>1058</v>
      </c>
      <c r="B2813" s="23" t="s">
        <v>1059</v>
      </c>
      <c r="C2813" s="23" t="s">
        <v>176</v>
      </c>
      <c r="D2813" s="23" t="s">
        <v>801</v>
      </c>
      <c r="E2813" s="23" t="s">
        <v>802</v>
      </c>
      <c r="F2813">
        <v>3</v>
      </c>
      <c r="G2813" s="23" t="s">
        <v>177</v>
      </c>
      <c r="H2813">
        <v>0</v>
      </c>
      <c r="I2813">
        <v>400</v>
      </c>
      <c r="J2813" s="10">
        <v>0</v>
      </c>
      <c r="K2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2813">
        <v>0</v>
      </c>
      <c r="M28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3">
        <v>10</v>
      </c>
      <c r="O2813" s="23" t="s">
        <v>227</v>
      </c>
      <c r="P2813">
        <v>30</v>
      </c>
      <c r="Q2813" s="23" t="s">
        <v>181</v>
      </c>
    </row>
    <row r="2814" spans="1:17" x14ac:dyDescent="0.25">
      <c r="A2814" s="23" t="s">
        <v>1147</v>
      </c>
      <c r="B2814" s="23" t="s">
        <v>1145</v>
      </c>
      <c r="C2814" s="23" t="s">
        <v>176</v>
      </c>
      <c r="D2814" s="23" t="s">
        <v>348</v>
      </c>
      <c r="E2814" s="23" t="s">
        <v>349</v>
      </c>
      <c r="F2814">
        <v>0.1</v>
      </c>
      <c r="G2814" s="23" t="s">
        <v>177</v>
      </c>
      <c r="H2814">
        <v>0</v>
      </c>
      <c r="I2814">
        <v>2</v>
      </c>
      <c r="J2814" s="10">
        <v>3.2474023470285829E-15</v>
      </c>
      <c r="K2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2814">
        <v>0</v>
      </c>
      <c r="M28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2814">
        <v>2778</v>
      </c>
      <c r="O2814" s="23" t="s">
        <v>218</v>
      </c>
      <c r="P2814">
        <v>277.8</v>
      </c>
      <c r="Q2814" s="23" t="s">
        <v>184</v>
      </c>
    </row>
    <row r="2815" spans="1:17" x14ac:dyDescent="0.25">
      <c r="A2815" s="23" t="s">
        <v>1058</v>
      </c>
      <c r="B2815" s="23" t="s">
        <v>1059</v>
      </c>
      <c r="C2815" s="23" t="s">
        <v>176</v>
      </c>
      <c r="D2815" s="23" t="s">
        <v>238</v>
      </c>
      <c r="E2815" s="23" t="s">
        <v>306</v>
      </c>
      <c r="F2815">
        <v>2</v>
      </c>
      <c r="G2815" s="23" t="s">
        <v>177</v>
      </c>
      <c r="H2815">
        <v>2</v>
      </c>
      <c r="I2815">
        <v>455</v>
      </c>
      <c r="J2815" s="10">
        <v>23</v>
      </c>
      <c r="K2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2815">
        <v>0</v>
      </c>
      <c r="M28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5">
        <v>20</v>
      </c>
      <c r="O2815" s="23"/>
      <c r="P2815">
        <v>40</v>
      </c>
      <c r="Q2815" s="23" t="s">
        <v>222</v>
      </c>
    </row>
    <row r="2816" spans="1:17" x14ac:dyDescent="0.25">
      <c r="A2816" s="23" t="s">
        <v>1147</v>
      </c>
      <c r="B2816" s="23" t="s">
        <v>1145</v>
      </c>
      <c r="C2816" s="23" t="s">
        <v>176</v>
      </c>
      <c r="D2816" s="23" t="s">
        <v>238</v>
      </c>
      <c r="E2816" s="23" t="s">
        <v>306</v>
      </c>
      <c r="F2816">
        <v>2</v>
      </c>
      <c r="G2816" s="23" t="s">
        <v>177</v>
      </c>
      <c r="H2816">
        <v>0</v>
      </c>
      <c r="I2816">
        <v>455</v>
      </c>
      <c r="J2816" s="10">
        <v>23</v>
      </c>
      <c r="K2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2816">
        <v>0</v>
      </c>
      <c r="M28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6">
        <v>20</v>
      </c>
      <c r="O2816" s="23"/>
      <c r="P2816">
        <v>40</v>
      </c>
      <c r="Q2816" s="23" t="s">
        <v>222</v>
      </c>
    </row>
    <row r="2817" spans="1:17" x14ac:dyDescent="0.25">
      <c r="A2817" s="23" t="s">
        <v>1148</v>
      </c>
      <c r="B2817" s="23" t="s">
        <v>1054</v>
      </c>
      <c r="C2817" s="23" t="s">
        <v>176</v>
      </c>
      <c r="D2817" s="23" t="s">
        <v>238</v>
      </c>
      <c r="E2817" s="23" t="s">
        <v>306</v>
      </c>
      <c r="F2817">
        <v>2</v>
      </c>
      <c r="G2817" s="23" t="s">
        <v>177</v>
      </c>
      <c r="H2817">
        <v>0</v>
      </c>
      <c r="I2817">
        <v>455</v>
      </c>
      <c r="J2817" s="10">
        <v>23</v>
      </c>
      <c r="K2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2817">
        <v>0</v>
      </c>
      <c r="M28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7">
        <v>20</v>
      </c>
      <c r="O2817" s="23"/>
      <c r="P2817">
        <v>40</v>
      </c>
      <c r="Q2817" s="23" t="s">
        <v>222</v>
      </c>
    </row>
    <row r="2818" spans="1:17" x14ac:dyDescent="0.25">
      <c r="A2818" s="23" t="s">
        <v>1147</v>
      </c>
      <c r="B2818" s="23" t="s">
        <v>1145</v>
      </c>
      <c r="C2818" s="23" t="s">
        <v>176</v>
      </c>
      <c r="D2818" s="23" t="s">
        <v>95</v>
      </c>
      <c r="E2818" s="23" t="s">
        <v>96</v>
      </c>
      <c r="F2818">
        <v>1</v>
      </c>
      <c r="G2818" s="23" t="s">
        <v>177</v>
      </c>
      <c r="H2818">
        <v>0</v>
      </c>
      <c r="I2818">
        <v>13</v>
      </c>
      <c r="J2818" s="10">
        <v>6</v>
      </c>
      <c r="K2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818">
        <v>0</v>
      </c>
      <c r="M28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8">
        <v>1145.83</v>
      </c>
      <c r="O2818" s="23" t="s">
        <v>249</v>
      </c>
      <c r="P2818">
        <v>1145.83</v>
      </c>
      <c r="Q2818" s="23" t="s">
        <v>178</v>
      </c>
    </row>
    <row r="2819" spans="1:17" x14ac:dyDescent="0.25">
      <c r="A2819" s="23" t="s">
        <v>1055</v>
      </c>
      <c r="B2819" s="23" t="s">
        <v>1056</v>
      </c>
      <c r="C2819" s="23" t="s">
        <v>176</v>
      </c>
      <c r="D2819" s="23" t="s">
        <v>95</v>
      </c>
      <c r="E2819" s="23" t="s">
        <v>96</v>
      </c>
      <c r="F2819">
        <v>1</v>
      </c>
      <c r="G2819" s="23" t="s">
        <v>177</v>
      </c>
      <c r="H2819">
        <v>1</v>
      </c>
      <c r="I2819">
        <v>13</v>
      </c>
      <c r="J2819" s="10">
        <v>6</v>
      </c>
      <c r="K2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819">
        <v>0</v>
      </c>
      <c r="M28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19">
        <v>1145.83</v>
      </c>
      <c r="O2819" s="23" t="s">
        <v>249</v>
      </c>
      <c r="P2819">
        <v>1145.83</v>
      </c>
      <c r="Q2819" s="23" t="s">
        <v>178</v>
      </c>
    </row>
    <row r="2820" spans="1:17" x14ac:dyDescent="0.25">
      <c r="A2820" s="23" t="s">
        <v>1148</v>
      </c>
      <c r="B2820" s="23" t="s">
        <v>1054</v>
      </c>
      <c r="C2820" s="23" t="s">
        <v>176</v>
      </c>
      <c r="D2820" s="23" t="s">
        <v>95</v>
      </c>
      <c r="E2820" s="23" t="s">
        <v>96</v>
      </c>
      <c r="F2820">
        <v>1</v>
      </c>
      <c r="G2820" s="23" t="s">
        <v>177</v>
      </c>
      <c r="H2820">
        <v>0</v>
      </c>
      <c r="I2820">
        <v>13</v>
      </c>
      <c r="J2820" s="10">
        <v>6</v>
      </c>
      <c r="K2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820">
        <v>0</v>
      </c>
      <c r="M28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0">
        <v>1145.83</v>
      </c>
      <c r="O2820" s="23" t="s">
        <v>249</v>
      </c>
      <c r="P2820">
        <v>1145.83</v>
      </c>
      <c r="Q2820" s="23" t="s">
        <v>178</v>
      </c>
    </row>
    <row r="2821" spans="1:17" x14ac:dyDescent="0.25">
      <c r="A2821" s="23" t="s">
        <v>1055</v>
      </c>
      <c r="B2821" s="23" t="s">
        <v>1056</v>
      </c>
      <c r="C2821" s="23" t="s">
        <v>176</v>
      </c>
      <c r="D2821" s="23" t="s">
        <v>362</v>
      </c>
      <c r="E2821" s="23" t="s">
        <v>363</v>
      </c>
      <c r="F2821">
        <v>7.5</v>
      </c>
      <c r="G2821" s="23" t="s">
        <v>180</v>
      </c>
      <c r="H2821">
        <v>0</v>
      </c>
      <c r="I2821">
        <v>200</v>
      </c>
      <c r="J2821" s="10">
        <v>39.999999999999659</v>
      </c>
      <c r="K2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821">
        <v>0</v>
      </c>
      <c r="M28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1">
        <v>22.5</v>
      </c>
      <c r="O2821" s="23" t="s">
        <v>315</v>
      </c>
      <c r="P2821">
        <v>168.75</v>
      </c>
      <c r="Q2821" s="23" t="s">
        <v>179</v>
      </c>
    </row>
    <row r="2822" spans="1:17" x14ac:dyDescent="0.25">
      <c r="A2822" s="23" t="s">
        <v>1099</v>
      </c>
      <c r="B2822" s="23" t="s">
        <v>1056</v>
      </c>
      <c r="C2822" s="23" t="s">
        <v>176</v>
      </c>
      <c r="D2822" s="23" t="s">
        <v>362</v>
      </c>
      <c r="E2822" s="23" t="s">
        <v>363</v>
      </c>
      <c r="F2822">
        <v>7.5</v>
      </c>
      <c r="G2822" s="23" t="s">
        <v>180</v>
      </c>
      <c r="H2822">
        <v>0</v>
      </c>
      <c r="I2822">
        <v>200</v>
      </c>
      <c r="J2822" s="10">
        <v>39.999999999999659</v>
      </c>
      <c r="K2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822">
        <v>0</v>
      </c>
      <c r="M28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2">
        <v>22.5</v>
      </c>
      <c r="O2822" s="23" t="s">
        <v>315</v>
      </c>
      <c r="P2822">
        <v>168.75</v>
      </c>
      <c r="Q2822" s="23" t="s">
        <v>179</v>
      </c>
    </row>
    <row r="2823" spans="1:17" x14ac:dyDescent="0.25">
      <c r="A2823" s="23" t="s">
        <v>1147</v>
      </c>
      <c r="B2823" s="23" t="s">
        <v>1145</v>
      </c>
      <c r="C2823" s="23" t="s">
        <v>176</v>
      </c>
      <c r="D2823" s="23" t="s">
        <v>144</v>
      </c>
      <c r="E2823" s="23" t="s">
        <v>145</v>
      </c>
      <c r="F2823">
        <v>2</v>
      </c>
      <c r="G2823" s="23" t="s">
        <v>177</v>
      </c>
      <c r="H2823">
        <v>0</v>
      </c>
      <c r="I2823">
        <v>0</v>
      </c>
      <c r="J2823" s="10">
        <v>64</v>
      </c>
      <c r="K2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823">
        <v>0</v>
      </c>
      <c r="M28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2823">
        <v>6.87</v>
      </c>
      <c r="O2823" s="23" t="s">
        <v>827</v>
      </c>
      <c r="P2823">
        <v>13.74</v>
      </c>
      <c r="Q2823" s="23" t="s">
        <v>222</v>
      </c>
    </row>
    <row r="2824" spans="1:17" x14ac:dyDescent="0.25">
      <c r="A2824" s="23" t="s">
        <v>1099</v>
      </c>
      <c r="B2824" s="23" t="s">
        <v>1056</v>
      </c>
      <c r="C2824" s="23" t="s">
        <v>176</v>
      </c>
      <c r="D2824" s="23" t="s">
        <v>144</v>
      </c>
      <c r="E2824" s="23" t="s">
        <v>145</v>
      </c>
      <c r="F2824">
        <v>4</v>
      </c>
      <c r="G2824" s="23" t="s">
        <v>177</v>
      </c>
      <c r="H2824">
        <v>0</v>
      </c>
      <c r="I2824">
        <v>0</v>
      </c>
      <c r="J2824" s="10">
        <v>64</v>
      </c>
      <c r="K2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2824">
        <v>0</v>
      </c>
      <c r="M28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2824">
        <v>6.87</v>
      </c>
      <c r="O2824" s="23" t="s">
        <v>827</v>
      </c>
      <c r="P2824">
        <v>27.48</v>
      </c>
      <c r="Q2824" s="23" t="s">
        <v>222</v>
      </c>
    </row>
    <row r="2825" spans="1:17" x14ac:dyDescent="0.25">
      <c r="A2825" s="23" t="s">
        <v>1055</v>
      </c>
      <c r="B2825" s="23" t="s">
        <v>1056</v>
      </c>
      <c r="C2825" s="23" t="s">
        <v>176</v>
      </c>
      <c r="D2825" s="23" t="s">
        <v>467</v>
      </c>
      <c r="E2825" s="23" t="s">
        <v>468</v>
      </c>
      <c r="F2825">
        <v>110</v>
      </c>
      <c r="G2825" s="23" t="s">
        <v>177</v>
      </c>
      <c r="H2825">
        <v>0</v>
      </c>
      <c r="I2825">
        <v>7500</v>
      </c>
      <c r="J2825" s="10">
        <v>0</v>
      </c>
      <c r="K2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825">
        <v>0</v>
      </c>
      <c r="M28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5">
        <v>0.8</v>
      </c>
      <c r="O2825" s="23" t="s">
        <v>827</v>
      </c>
      <c r="P2825">
        <v>88</v>
      </c>
      <c r="Q2825" s="23" t="s">
        <v>181</v>
      </c>
    </row>
    <row r="2826" spans="1:17" x14ac:dyDescent="0.25">
      <c r="A2826" s="23" t="s">
        <v>1148</v>
      </c>
      <c r="B2826" s="23" t="s">
        <v>1054</v>
      </c>
      <c r="C2826" s="23" t="s">
        <v>176</v>
      </c>
      <c r="D2826" s="23" t="s">
        <v>100</v>
      </c>
      <c r="E2826" s="23" t="s">
        <v>101</v>
      </c>
      <c r="F2826">
        <v>30.519999999999996</v>
      </c>
      <c r="G2826" s="23" t="s">
        <v>186</v>
      </c>
      <c r="H2826">
        <v>0</v>
      </c>
      <c r="I2826">
        <v>289.7</v>
      </c>
      <c r="J2826" s="10">
        <v>148.12000000000032</v>
      </c>
      <c r="K2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2826">
        <v>289.7</v>
      </c>
      <c r="M28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6">
        <v>96.37</v>
      </c>
      <c r="O2826" s="23" t="s">
        <v>491</v>
      </c>
      <c r="P2826">
        <v>2941.2123999999999</v>
      </c>
      <c r="Q2826" s="23" t="s">
        <v>184</v>
      </c>
    </row>
    <row r="2827" spans="1:17" x14ac:dyDescent="0.25">
      <c r="A2827" s="23" t="s">
        <v>1055</v>
      </c>
      <c r="B2827" s="23" t="s">
        <v>1056</v>
      </c>
      <c r="C2827" s="23" t="s">
        <v>176</v>
      </c>
      <c r="D2827" s="23" t="s">
        <v>100</v>
      </c>
      <c r="E2827" s="23" t="s">
        <v>101</v>
      </c>
      <c r="F2827">
        <v>24.65</v>
      </c>
      <c r="G2827" s="23" t="s">
        <v>186</v>
      </c>
      <c r="H2827">
        <v>24.65</v>
      </c>
      <c r="I2827">
        <v>289.7</v>
      </c>
      <c r="J2827" s="10">
        <v>148.12000000000032</v>
      </c>
      <c r="K2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2827">
        <v>289.7</v>
      </c>
      <c r="M28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7">
        <v>96.37</v>
      </c>
      <c r="O2827" s="23" t="s">
        <v>491</v>
      </c>
      <c r="P2827">
        <v>2375.5205000000001</v>
      </c>
      <c r="Q2827" s="23" t="s">
        <v>184</v>
      </c>
    </row>
    <row r="2828" spans="1:17" x14ac:dyDescent="0.25">
      <c r="A2828" s="23" t="s">
        <v>1148</v>
      </c>
      <c r="B2828" s="23" t="s">
        <v>1054</v>
      </c>
      <c r="C2828" s="23" t="s">
        <v>176</v>
      </c>
      <c r="D2828" s="23" t="s">
        <v>102</v>
      </c>
      <c r="E2828" s="23" t="s">
        <v>103</v>
      </c>
      <c r="F2828">
        <v>2.9299999999999997</v>
      </c>
      <c r="G2828" s="23" t="s">
        <v>186</v>
      </c>
      <c r="H2828">
        <v>0</v>
      </c>
      <c r="I2828">
        <v>66</v>
      </c>
      <c r="J2828" s="10">
        <v>36.350000000000151</v>
      </c>
      <c r="K2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2828">
        <v>0</v>
      </c>
      <c r="M28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28">
        <v>129.63</v>
      </c>
      <c r="O2828" s="23" t="s">
        <v>242</v>
      </c>
      <c r="P2828">
        <v>379.81589999999994</v>
      </c>
      <c r="Q2828" s="23" t="s">
        <v>184</v>
      </c>
    </row>
    <row r="2829" spans="1:17" x14ac:dyDescent="0.25">
      <c r="A2829" s="23" t="s">
        <v>1100</v>
      </c>
      <c r="B2829" s="23" t="s">
        <v>1101</v>
      </c>
      <c r="C2829" s="23" t="s">
        <v>176</v>
      </c>
      <c r="D2829" s="23" t="s">
        <v>943</v>
      </c>
      <c r="E2829" s="23" t="s">
        <v>944</v>
      </c>
      <c r="F2829">
        <v>1</v>
      </c>
      <c r="G2829" s="23" t="s">
        <v>177</v>
      </c>
      <c r="H2829">
        <v>0</v>
      </c>
      <c r="I2829">
        <v>0</v>
      </c>
      <c r="J2829" s="10">
        <v>0</v>
      </c>
      <c r="K2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29">
        <v>0</v>
      </c>
      <c r="M28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29">
        <v>38</v>
      </c>
      <c r="O2829" s="23" t="s">
        <v>242</v>
      </c>
      <c r="P2829">
        <v>38</v>
      </c>
      <c r="Q2829" s="23" t="s">
        <v>184</v>
      </c>
    </row>
    <row r="2830" spans="1:17" x14ac:dyDescent="0.25">
      <c r="A2830" s="23" t="s">
        <v>1148</v>
      </c>
      <c r="B2830" s="23" t="s">
        <v>1054</v>
      </c>
      <c r="C2830" s="23" t="s">
        <v>176</v>
      </c>
      <c r="D2830" s="23" t="s">
        <v>501</v>
      </c>
      <c r="E2830" s="23" t="s">
        <v>502</v>
      </c>
      <c r="F2830">
        <v>1.5</v>
      </c>
      <c r="G2830" s="23" t="s">
        <v>180</v>
      </c>
      <c r="H2830">
        <v>0</v>
      </c>
      <c r="I2830">
        <v>0</v>
      </c>
      <c r="J2830" s="10">
        <v>27</v>
      </c>
      <c r="K2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30">
        <v>0</v>
      </c>
      <c r="M28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30">
        <v>13</v>
      </c>
      <c r="O2830" s="23"/>
      <c r="P2830">
        <v>19.5</v>
      </c>
      <c r="Q2830" s="23" t="s">
        <v>222</v>
      </c>
    </row>
    <row r="2831" spans="1:17" x14ac:dyDescent="0.25">
      <c r="A2831" s="23" t="s">
        <v>1147</v>
      </c>
      <c r="B2831" s="23" t="s">
        <v>1145</v>
      </c>
      <c r="C2831" s="23" t="s">
        <v>176</v>
      </c>
      <c r="D2831" s="23" t="s">
        <v>551</v>
      </c>
      <c r="E2831" s="23" t="s">
        <v>552</v>
      </c>
      <c r="F2831">
        <v>2</v>
      </c>
      <c r="G2831" s="23" t="s">
        <v>177</v>
      </c>
      <c r="H2831">
        <v>0</v>
      </c>
      <c r="I2831">
        <v>35</v>
      </c>
      <c r="J2831" s="10">
        <v>14</v>
      </c>
      <c r="K2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2831">
        <v>15</v>
      </c>
      <c r="M28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1">
        <v>43.75</v>
      </c>
      <c r="O2831" s="23" t="s">
        <v>491</v>
      </c>
      <c r="P2831">
        <v>87.5</v>
      </c>
      <c r="Q2831" s="23" t="s">
        <v>181</v>
      </c>
    </row>
    <row r="2832" spans="1:17" x14ac:dyDescent="0.25">
      <c r="A2832" s="23" t="s">
        <v>1148</v>
      </c>
      <c r="B2832" s="23" t="s">
        <v>1054</v>
      </c>
      <c r="C2832" s="23" t="s">
        <v>176</v>
      </c>
      <c r="D2832" s="23" t="s">
        <v>409</v>
      </c>
      <c r="E2832" s="23" t="s">
        <v>410</v>
      </c>
      <c r="F2832">
        <v>26</v>
      </c>
      <c r="G2832" s="23" t="s">
        <v>177</v>
      </c>
      <c r="H2832">
        <v>0</v>
      </c>
      <c r="I2832">
        <v>2700</v>
      </c>
      <c r="J2832" s="10">
        <v>0</v>
      </c>
      <c r="K2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32">
        <v>0</v>
      </c>
      <c r="M28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2">
        <v>1.55</v>
      </c>
      <c r="O2832" s="23" t="s">
        <v>221</v>
      </c>
      <c r="P2832">
        <v>40.300000000000004</v>
      </c>
      <c r="Q2832" s="23" t="s">
        <v>222</v>
      </c>
    </row>
    <row r="2833" spans="1:17" x14ac:dyDescent="0.25">
      <c r="A2833" s="23" t="s">
        <v>1055</v>
      </c>
      <c r="B2833" s="23" t="s">
        <v>1056</v>
      </c>
      <c r="C2833" s="23" t="s">
        <v>176</v>
      </c>
      <c r="D2833" s="23" t="s">
        <v>409</v>
      </c>
      <c r="E2833" s="23" t="s">
        <v>410</v>
      </c>
      <c r="F2833">
        <v>24</v>
      </c>
      <c r="G2833" s="23" t="s">
        <v>177</v>
      </c>
      <c r="H2833">
        <v>0</v>
      </c>
      <c r="I2833">
        <v>2700</v>
      </c>
      <c r="J2833" s="10">
        <v>0</v>
      </c>
      <c r="K2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33">
        <v>0</v>
      </c>
      <c r="M28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3">
        <v>1.55</v>
      </c>
      <c r="O2833" s="23" t="s">
        <v>221</v>
      </c>
      <c r="P2833">
        <v>37.200000000000003</v>
      </c>
      <c r="Q2833" s="23" t="s">
        <v>222</v>
      </c>
    </row>
    <row r="2834" spans="1:17" x14ac:dyDescent="0.25">
      <c r="A2834" s="23" t="s">
        <v>1148</v>
      </c>
      <c r="B2834" s="23" t="s">
        <v>1054</v>
      </c>
      <c r="C2834" s="23" t="s">
        <v>176</v>
      </c>
      <c r="D2834" s="23" t="s">
        <v>943</v>
      </c>
      <c r="E2834" s="23" t="s">
        <v>944</v>
      </c>
      <c r="F2834">
        <v>1</v>
      </c>
      <c r="G2834" s="23" t="s">
        <v>177</v>
      </c>
      <c r="H2834">
        <v>0</v>
      </c>
      <c r="I2834">
        <v>0</v>
      </c>
      <c r="J2834" s="10">
        <v>0</v>
      </c>
      <c r="K2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2834">
        <v>0</v>
      </c>
      <c r="M28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2834">
        <v>38</v>
      </c>
      <c r="O2834" s="23" t="s">
        <v>242</v>
      </c>
      <c r="P2834">
        <v>38</v>
      </c>
      <c r="Q2834" s="23" t="s">
        <v>184</v>
      </c>
    </row>
    <row r="2835" spans="1:17" x14ac:dyDescent="0.25">
      <c r="A2835" s="23" t="s">
        <v>1055</v>
      </c>
      <c r="B2835" s="23" t="s">
        <v>1056</v>
      </c>
      <c r="C2835" s="23" t="s">
        <v>176</v>
      </c>
      <c r="D2835" s="23" t="s">
        <v>501</v>
      </c>
      <c r="E2835" s="23" t="s">
        <v>502</v>
      </c>
      <c r="F2835">
        <v>4</v>
      </c>
      <c r="G2835" s="23" t="s">
        <v>180</v>
      </c>
      <c r="H2835">
        <v>0</v>
      </c>
      <c r="I2835">
        <v>0</v>
      </c>
      <c r="J2835" s="10">
        <v>27</v>
      </c>
      <c r="K2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35">
        <v>0</v>
      </c>
      <c r="M28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35">
        <v>13</v>
      </c>
      <c r="O2835" s="23"/>
      <c r="P2835">
        <v>52</v>
      </c>
      <c r="Q2835" s="23" t="s">
        <v>222</v>
      </c>
    </row>
    <row r="2836" spans="1:17" x14ac:dyDescent="0.25">
      <c r="A2836" s="23" t="s">
        <v>1100</v>
      </c>
      <c r="B2836" s="23" t="s">
        <v>1101</v>
      </c>
      <c r="C2836" s="23" t="s">
        <v>176</v>
      </c>
      <c r="D2836" s="23" t="s">
        <v>501</v>
      </c>
      <c r="E2836" s="23" t="s">
        <v>502</v>
      </c>
      <c r="F2836">
        <v>4</v>
      </c>
      <c r="G2836" s="23" t="s">
        <v>180</v>
      </c>
      <c r="H2836">
        <v>0</v>
      </c>
      <c r="I2836">
        <v>0</v>
      </c>
      <c r="J2836" s="10">
        <v>27</v>
      </c>
      <c r="K2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2836">
        <v>0</v>
      </c>
      <c r="M28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2836">
        <v>13</v>
      </c>
      <c r="O2836" s="23"/>
      <c r="P2836">
        <v>52</v>
      </c>
      <c r="Q2836" s="23" t="s">
        <v>222</v>
      </c>
    </row>
    <row r="2837" spans="1:17" x14ac:dyDescent="0.25">
      <c r="A2837" s="23" t="s">
        <v>1058</v>
      </c>
      <c r="B2837" s="23" t="s">
        <v>1059</v>
      </c>
      <c r="C2837" s="23" t="s">
        <v>176</v>
      </c>
      <c r="D2837" s="23" t="s">
        <v>409</v>
      </c>
      <c r="E2837" s="23" t="s">
        <v>410</v>
      </c>
      <c r="F2837">
        <v>14</v>
      </c>
      <c r="G2837" s="23" t="s">
        <v>177</v>
      </c>
      <c r="H2837">
        <v>0</v>
      </c>
      <c r="I2837">
        <v>2700</v>
      </c>
      <c r="J2837" s="10">
        <v>0</v>
      </c>
      <c r="K2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37">
        <v>0</v>
      </c>
      <c r="M28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7">
        <v>1.55</v>
      </c>
      <c r="O2837" s="23" t="s">
        <v>221</v>
      </c>
      <c r="P2837">
        <v>21.7</v>
      </c>
      <c r="Q2837" s="23" t="s">
        <v>222</v>
      </c>
    </row>
    <row r="2838" spans="1:17" x14ac:dyDescent="0.25">
      <c r="A2838" s="23" t="s">
        <v>1100</v>
      </c>
      <c r="B2838" s="23" t="s">
        <v>1101</v>
      </c>
      <c r="C2838" s="23" t="s">
        <v>176</v>
      </c>
      <c r="D2838" s="23" t="s">
        <v>341</v>
      </c>
      <c r="E2838" s="23" t="s">
        <v>342</v>
      </c>
      <c r="F2838">
        <v>2.46</v>
      </c>
      <c r="G2838" s="23" t="s">
        <v>177</v>
      </c>
      <c r="H2838">
        <v>0</v>
      </c>
      <c r="I2838">
        <v>75</v>
      </c>
      <c r="J2838" s="10">
        <v>42.700000000000159</v>
      </c>
      <c r="K2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2838">
        <v>0</v>
      </c>
      <c r="M28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8">
        <v>15</v>
      </c>
      <c r="O2838" s="23" t="s">
        <v>242</v>
      </c>
      <c r="P2838">
        <v>36.9</v>
      </c>
      <c r="Q2838" s="23" t="s">
        <v>181</v>
      </c>
    </row>
    <row r="2839" spans="1:17" x14ac:dyDescent="0.25">
      <c r="A2839" s="23" t="s">
        <v>1147</v>
      </c>
      <c r="B2839" s="23" t="s">
        <v>1145</v>
      </c>
      <c r="C2839" s="23" t="s">
        <v>176</v>
      </c>
      <c r="D2839" s="23" t="s">
        <v>97</v>
      </c>
      <c r="E2839" s="23" t="s">
        <v>98</v>
      </c>
      <c r="F2839">
        <v>1</v>
      </c>
      <c r="G2839" s="23" t="s">
        <v>177</v>
      </c>
      <c r="H2839">
        <v>0</v>
      </c>
      <c r="I2839">
        <v>0</v>
      </c>
      <c r="J2839" s="10">
        <v>5</v>
      </c>
      <c r="K2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839">
        <v>7</v>
      </c>
      <c r="M28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39">
        <v>1491.67</v>
      </c>
      <c r="O2839" s="23" t="s">
        <v>633</v>
      </c>
      <c r="P2839">
        <v>1491.67</v>
      </c>
      <c r="Q2839" s="23" t="s">
        <v>178</v>
      </c>
    </row>
    <row r="2840" spans="1:17" x14ac:dyDescent="0.25">
      <c r="A2840" s="23" t="s">
        <v>1147</v>
      </c>
      <c r="B2840" s="23" t="s">
        <v>1145</v>
      </c>
      <c r="C2840" s="23" t="s">
        <v>176</v>
      </c>
      <c r="D2840" s="23" t="s">
        <v>409</v>
      </c>
      <c r="E2840" s="23" t="s">
        <v>410</v>
      </c>
      <c r="F2840">
        <v>14</v>
      </c>
      <c r="G2840" s="23" t="s">
        <v>177</v>
      </c>
      <c r="H2840">
        <v>0</v>
      </c>
      <c r="I2840">
        <v>2700</v>
      </c>
      <c r="J2840" s="10">
        <v>0</v>
      </c>
      <c r="K2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2840">
        <v>0</v>
      </c>
      <c r="M28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0">
        <v>1.55</v>
      </c>
      <c r="O2840" s="23" t="s">
        <v>221</v>
      </c>
      <c r="P2840">
        <v>21.7</v>
      </c>
      <c r="Q2840" s="23" t="s">
        <v>222</v>
      </c>
    </row>
    <row r="2841" spans="1:17" x14ac:dyDescent="0.25">
      <c r="A2841" s="23" t="s">
        <v>1100</v>
      </c>
      <c r="B2841" s="23" t="s">
        <v>1101</v>
      </c>
      <c r="C2841" s="23" t="s">
        <v>176</v>
      </c>
      <c r="D2841" s="23" t="s">
        <v>411</v>
      </c>
      <c r="E2841" s="23" t="s">
        <v>412</v>
      </c>
      <c r="F2841">
        <v>2.5000000000000001E-2</v>
      </c>
      <c r="G2841" s="23" t="s">
        <v>413</v>
      </c>
      <c r="H2841">
        <v>0</v>
      </c>
      <c r="I2841">
        <v>150</v>
      </c>
      <c r="J2841" s="10">
        <v>0</v>
      </c>
      <c r="K2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841">
        <v>0</v>
      </c>
      <c r="M28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1">
        <v>1.8</v>
      </c>
      <c r="O2841" s="23" t="s">
        <v>221</v>
      </c>
      <c r="P2841">
        <v>4.5000000000000005E-2</v>
      </c>
      <c r="Q2841" s="23" t="s">
        <v>181</v>
      </c>
    </row>
    <row r="2842" spans="1:17" x14ac:dyDescent="0.25">
      <c r="A2842" s="23" t="s">
        <v>1100</v>
      </c>
      <c r="B2842" s="23" t="s">
        <v>1101</v>
      </c>
      <c r="C2842" s="23" t="s">
        <v>176</v>
      </c>
      <c r="D2842" s="23" t="s">
        <v>438</v>
      </c>
      <c r="E2842" s="23" t="s">
        <v>439</v>
      </c>
      <c r="F2842">
        <v>1</v>
      </c>
      <c r="G2842" s="23" t="s">
        <v>177</v>
      </c>
      <c r="H2842">
        <v>0</v>
      </c>
      <c r="I2842">
        <v>26</v>
      </c>
      <c r="J2842" s="10">
        <v>3</v>
      </c>
      <c r="K2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842">
        <v>0</v>
      </c>
      <c r="M28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2">
        <v>360.05</v>
      </c>
      <c r="O2842" s="23" t="s">
        <v>637</v>
      </c>
      <c r="P2842">
        <v>360.05</v>
      </c>
      <c r="Q2842" s="23" t="s">
        <v>179</v>
      </c>
    </row>
    <row r="2843" spans="1:17" x14ac:dyDescent="0.25">
      <c r="A2843" s="23" t="s">
        <v>1144</v>
      </c>
      <c r="B2843" s="23" t="s">
        <v>1145</v>
      </c>
      <c r="C2843" s="23" t="s">
        <v>176</v>
      </c>
      <c r="D2843" s="23" t="s">
        <v>411</v>
      </c>
      <c r="E2843" s="23" t="s">
        <v>412</v>
      </c>
      <c r="F2843">
        <v>0.01</v>
      </c>
      <c r="G2843" s="23" t="s">
        <v>413</v>
      </c>
      <c r="H2843">
        <v>0</v>
      </c>
      <c r="I2843">
        <v>150</v>
      </c>
      <c r="J2843" s="10">
        <v>0</v>
      </c>
      <c r="K2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843">
        <v>0</v>
      </c>
      <c r="M28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3">
        <v>1.8</v>
      </c>
      <c r="O2843" s="23" t="s">
        <v>221</v>
      </c>
      <c r="P2843">
        <v>1.8000000000000002E-2</v>
      </c>
      <c r="Q2843" s="23" t="s">
        <v>181</v>
      </c>
    </row>
    <row r="2844" spans="1:17" x14ac:dyDescent="0.25">
      <c r="A2844" s="23" t="s">
        <v>1149</v>
      </c>
      <c r="B2844" s="23" t="s">
        <v>1145</v>
      </c>
      <c r="C2844" s="23" t="s">
        <v>176</v>
      </c>
      <c r="D2844" s="23" t="s">
        <v>438</v>
      </c>
      <c r="E2844" s="23" t="s">
        <v>439</v>
      </c>
      <c r="F2844">
        <v>1</v>
      </c>
      <c r="G2844" s="23" t="s">
        <v>177</v>
      </c>
      <c r="H2844">
        <v>0</v>
      </c>
      <c r="I2844">
        <v>26</v>
      </c>
      <c r="J2844" s="10">
        <v>3</v>
      </c>
      <c r="K2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844">
        <v>0</v>
      </c>
      <c r="M28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4">
        <v>360.05</v>
      </c>
      <c r="O2844" s="23" t="s">
        <v>637</v>
      </c>
      <c r="P2844">
        <v>360.05</v>
      </c>
      <c r="Q2844" s="23" t="s">
        <v>179</v>
      </c>
    </row>
    <row r="2845" spans="1:17" x14ac:dyDescent="0.25">
      <c r="A2845" s="23" t="s">
        <v>1197</v>
      </c>
      <c r="B2845" s="23" t="s">
        <v>1198</v>
      </c>
      <c r="C2845" s="23" t="s">
        <v>176</v>
      </c>
      <c r="D2845" s="23" t="s">
        <v>773</v>
      </c>
      <c r="E2845" s="23" t="s">
        <v>774</v>
      </c>
      <c r="F2845">
        <v>4</v>
      </c>
      <c r="G2845" s="23" t="s">
        <v>177</v>
      </c>
      <c r="H2845">
        <v>0</v>
      </c>
      <c r="I2845">
        <v>64.5</v>
      </c>
      <c r="J2845" s="10">
        <v>20</v>
      </c>
      <c r="K2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845">
        <v>0</v>
      </c>
      <c r="M28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5">
        <v>200</v>
      </c>
      <c r="O2845" s="23" t="s">
        <v>249</v>
      </c>
      <c r="P2845">
        <v>800</v>
      </c>
      <c r="Q2845" s="23" t="s">
        <v>178</v>
      </c>
    </row>
    <row r="2846" spans="1:17" x14ac:dyDescent="0.25">
      <c r="A2846" s="23" t="s">
        <v>1098</v>
      </c>
      <c r="B2846" s="23" t="s">
        <v>1053</v>
      </c>
      <c r="C2846" s="23" t="s">
        <v>176</v>
      </c>
      <c r="D2846" s="23" t="s">
        <v>773</v>
      </c>
      <c r="E2846" s="23" t="s">
        <v>774</v>
      </c>
      <c r="F2846">
        <v>2</v>
      </c>
      <c r="G2846" s="23" t="s">
        <v>177</v>
      </c>
      <c r="H2846">
        <v>0</v>
      </c>
      <c r="I2846">
        <v>64.5</v>
      </c>
      <c r="J2846" s="10">
        <v>20</v>
      </c>
      <c r="K2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846">
        <v>0</v>
      </c>
      <c r="M28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6">
        <v>200</v>
      </c>
      <c r="O2846" s="23" t="s">
        <v>249</v>
      </c>
      <c r="P2846">
        <v>400</v>
      </c>
      <c r="Q2846" s="23" t="s">
        <v>178</v>
      </c>
    </row>
    <row r="2847" spans="1:17" x14ac:dyDescent="0.25">
      <c r="A2847" s="23" t="s">
        <v>1062</v>
      </c>
      <c r="B2847" s="23" t="s">
        <v>1053</v>
      </c>
      <c r="C2847" s="23" t="s">
        <v>176</v>
      </c>
      <c r="D2847" s="23" t="s">
        <v>411</v>
      </c>
      <c r="E2847" s="23" t="s">
        <v>412</v>
      </c>
      <c r="F2847">
        <v>0.01</v>
      </c>
      <c r="G2847" s="23" t="s">
        <v>413</v>
      </c>
      <c r="H2847">
        <v>0</v>
      </c>
      <c r="I2847">
        <v>150</v>
      </c>
      <c r="J2847" s="10">
        <v>0</v>
      </c>
      <c r="K2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847">
        <v>0</v>
      </c>
      <c r="M28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7">
        <v>1.8</v>
      </c>
      <c r="O2847" s="23" t="s">
        <v>221</v>
      </c>
      <c r="P2847">
        <v>1.8000000000000002E-2</v>
      </c>
      <c r="Q2847" s="23" t="s">
        <v>181</v>
      </c>
    </row>
    <row r="2848" spans="1:17" x14ac:dyDescent="0.25">
      <c r="A2848" s="23" t="s">
        <v>1100</v>
      </c>
      <c r="B2848" s="23" t="s">
        <v>1101</v>
      </c>
      <c r="C2848" s="23" t="s">
        <v>176</v>
      </c>
      <c r="D2848" s="23" t="s">
        <v>566</v>
      </c>
      <c r="E2848" s="23" t="s">
        <v>567</v>
      </c>
      <c r="F2848">
        <v>2</v>
      </c>
      <c r="G2848" s="23" t="s">
        <v>177</v>
      </c>
      <c r="H2848">
        <v>0</v>
      </c>
      <c r="I2848">
        <v>26</v>
      </c>
      <c r="J2848" s="10">
        <v>46</v>
      </c>
      <c r="K2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848">
        <v>0</v>
      </c>
      <c r="M28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8">
        <v>12</v>
      </c>
      <c r="O2848" s="23" t="s">
        <v>227</v>
      </c>
      <c r="P2848">
        <v>24</v>
      </c>
      <c r="Q2848" s="23" t="s">
        <v>181</v>
      </c>
    </row>
    <row r="2849" spans="1:17" x14ac:dyDescent="0.25">
      <c r="A2849" s="23" t="s">
        <v>1100</v>
      </c>
      <c r="B2849" s="23" t="s">
        <v>1101</v>
      </c>
      <c r="C2849" s="23" t="s">
        <v>176</v>
      </c>
      <c r="D2849" s="23" t="s">
        <v>773</v>
      </c>
      <c r="E2849" s="23" t="s">
        <v>774</v>
      </c>
      <c r="F2849">
        <v>4</v>
      </c>
      <c r="G2849" s="23" t="s">
        <v>177</v>
      </c>
      <c r="H2849">
        <v>0</v>
      </c>
      <c r="I2849">
        <v>64.5</v>
      </c>
      <c r="J2849" s="10">
        <v>20</v>
      </c>
      <c r="K2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849">
        <v>0</v>
      </c>
      <c r="M28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49">
        <v>200</v>
      </c>
      <c r="O2849" s="23" t="s">
        <v>249</v>
      </c>
      <c r="P2849">
        <v>800</v>
      </c>
      <c r="Q2849" s="23" t="s">
        <v>178</v>
      </c>
    </row>
    <row r="2850" spans="1:17" x14ac:dyDescent="0.25">
      <c r="A2850" s="23" t="s">
        <v>1055</v>
      </c>
      <c r="B2850" s="23" t="s">
        <v>1056</v>
      </c>
      <c r="C2850" s="23" t="s">
        <v>176</v>
      </c>
      <c r="D2850" s="23" t="s">
        <v>949</v>
      </c>
      <c r="E2850" s="23" t="s">
        <v>950</v>
      </c>
      <c r="F2850">
        <v>1</v>
      </c>
      <c r="G2850" s="23" t="s">
        <v>177</v>
      </c>
      <c r="H2850">
        <v>0</v>
      </c>
      <c r="I2850">
        <v>4</v>
      </c>
      <c r="J2850" s="10">
        <v>4</v>
      </c>
      <c r="K2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850">
        <v>0</v>
      </c>
      <c r="M28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0">
        <v>3256.79</v>
      </c>
      <c r="O2850" s="23" t="s">
        <v>635</v>
      </c>
      <c r="P2850">
        <v>3256.79</v>
      </c>
      <c r="Q2850" s="23" t="s">
        <v>178</v>
      </c>
    </row>
    <row r="2851" spans="1:17" x14ac:dyDescent="0.25">
      <c r="A2851" s="23" t="s">
        <v>1099</v>
      </c>
      <c r="B2851" s="23" t="s">
        <v>1056</v>
      </c>
      <c r="C2851" s="23" t="s">
        <v>176</v>
      </c>
      <c r="D2851" s="23" t="s">
        <v>949</v>
      </c>
      <c r="E2851" s="23" t="s">
        <v>950</v>
      </c>
      <c r="F2851">
        <v>1</v>
      </c>
      <c r="G2851" s="23" t="s">
        <v>177</v>
      </c>
      <c r="H2851">
        <v>0</v>
      </c>
      <c r="I2851">
        <v>4</v>
      </c>
      <c r="J2851" s="10">
        <v>4</v>
      </c>
      <c r="K2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851">
        <v>0</v>
      </c>
      <c r="M28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1">
        <v>3256.79</v>
      </c>
      <c r="O2851" s="23" t="s">
        <v>635</v>
      </c>
      <c r="P2851">
        <v>3256.79</v>
      </c>
      <c r="Q2851" s="23" t="s">
        <v>178</v>
      </c>
    </row>
    <row r="2852" spans="1:17" x14ac:dyDescent="0.25">
      <c r="A2852" s="23" t="s">
        <v>1147</v>
      </c>
      <c r="B2852" s="23" t="s">
        <v>1145</v>
      </c>
      <c r="C2852" s="23" t="s">
        <v>176</v>
      </c>
      <c r="D2852" s="23" t="s">
        <v>411</v>
      </c>
      <c r="E2852" s="23" t="s">
        <v>412</v>
      </c>
      <c r="F2852">
        <v>0.01</v>
      </c>
      <c r="G2852" s="23" t="s">
        <v>413</v>
      </c>
      <c r="H2852">
        <v>0</v>
      </c>
      <c r="I2852">
        <v>150</v>
      </c>
      <c r="J2852" s="10">
        <v>0</v>
      </c>
      <c r="K2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852">
        <v>0</v>
      </c>
      <c r="M28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2">
        <v>1.8</v>
      </c>
      <c r="O2852" s="23" t="s">
        <v>221</v>
      </c>
      <c r="P2852">
        <v>1.8000000000000002E-2</v>
      </c>
      <c r="Q2852" s="23" t="s">
        <v>181</v>
      </c>
    </row>
    <row r="2853" spans="1:17" x14ac:dyDescent="0.25">
      <c r="A2853" s="23" t="s">
        <v>1148</v>
      </c>
      <c r="B2853" s="23" t="s">
        <v>1054</v>
      </c>
      <c r="C2853" s="23" t="s">
        <v>176</v>
      </c>
      <c r="D2853" s="23" t="s">
        <v>9</v>
      </c>
      <c r="E2853" s="23" t="s">
        <v>10</v>
      </c>
      <c r="F2853">
        <v>4</v>
      </c>
      <c r="G2853" s="23" t="s">
        <v>177</v>
      </c>
      <c r="H2853">
        <v>0</v>
      </c>
      <c r="I2853">
        <v>19</v>
      </c>
      <c r="J2853" s="10">
        <v>32</v>
      </c>
      <c r="K2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2853">
        <v>20</v>
      </c>
      <c r="M28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3">
        <v>72.819999999999993</v>
      </c>
      <c r="O2853" s="23" t="s">
        <v>228</v>
      </c>
      <c r="P2853">
        <v>291.27999999999997</v>
      </c>
      <c r="Q2853" s="23" t="s">
        <v>222</v>
      </c>
    </row>
    <row r="2854" spans="1:17" x14ac:dyDescent="0.25">
      <c r="A2854" s="23" t="s">
        <v>1147</v>
      </c>
      <c r="B2854" s="23" t="s">
        <v>1145</v>
      </c>
      <c r="C2854" s="23" t="s">
        <v>176</v>
      </c>
      <c r="D2854" s="23" t="s">
        <v>205</v>
      </c>
      <c r="E2854" s="23" t="s">
        <v>206</v>
      </c>
      <c r="F2854">
        <v>0.5</v>
      </c>
      <c r="G2854" s="23" t="s">
        <v>177</v>
      </c>
      <c r="H2854">
        <v>0</v>
      </c>
      <c r="I2854">
        <v>100</v>
      </c>
      <c r="J2854" s="10">
        <v>41</v>
      </c>
      <c r="K2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854">
        <v>0</v>
      </c>
      <c r="M28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4">
        <v>60</v>
      </c>
      <c r="O2854" s="23" t="s">
        <v>221</v>
      </c>
      <c r="P2854">
        <v>30</v>
      </c>
      <c r="Q2854" s="23" t="s">
        <v>181</v>
      </c>
    </row>
    <row r="2855" spans="1:17" x14ac:dyDescent="0.25">
      <c r="A2855" s="23" t="s">
        <v>1147</v>
      </c>
      <c r="B2855" s="23" t="s">
        <v>1145</v>
      </c>
      <c r="C2855" s="23" t="s">
        <v>176</v>
      </c>
      <c r="D2855" s="23" t="s">
        <v>207</v>
      </c>
      <c r="E2855" s="23" t="s">
        <v>282</v>
      </c>
      <c r="F2855">
        <v>0.5099999999999999</v>
      </c>
      <c r="G2855" s="23" t="s">
        <v>177</v>
      </c>
      <c r="H2855">
        <v>0</v>
      </c>
      <c r="I2855">
        <v>20</v>
      </c>
      <c r="J2855" s="10">
        <v>116.66400000000021</v>
      </c>
      <c r="K2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2855">
        <v>0</v>
      </c>
      <c r="M28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5">
        <v>185</v>
      </c>
      <c r="O2855" s="23" t="s">
        <v>242</v>
      </c>
      <c r="P2855">
        <v>94.34999999999998</v>
      </c>
      <c r="Q2855" s="23" t="s">
        <v>181</v>
      </c>
    </row>
    <row r="2856" spans="1:17" x14ac:dyDescent="0.25">
      <c r="A2856" s="23" t="s">
        <v>1148</v>
      </c>
      <c r="B2856" s="23" t="s">
        <v>1054</v>
      </c>
      <c r="C2856" s="23" t="s">
        <v>176</v>
      </c>
      <c r="D2856" s="23" t="s">
        <v>207</v>
      </c>
      <c r="E2856" s="23" t="s">
        <v>282</v>
      </c>
      <c r="F2856">
        <v>0.69</v>
      </c>
      <c r="G2856" s="23" t="s">
        <v>177</v>
      </c>
      <c r="H2856">
        <v>0</v>
      </c>
      <c r="I2856">
        <v>20</v>
      </c>
      <c r="J2856" s="10">
        <v>116.66400000000021</v>
      </c>
      <c r="K2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2856">
        <v>0</v>
      </c>
      <c r="M28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6">
        <v>185</v>
      </c>
      <c r="O2856" s="23" t="s">
        <v>242</v>
      </c>
      <c r="P2856">
        <v>127.64999999999999</v>
      </c>
      <c r="Q2856" s="23" t="s">
        <v>181</v>
      </c>
    </row>
    <row r="2857" spans="1:17" x14ac:dyDescent="0.25">
      <c r="A2857" s="23" t="s">
        <v>1147</v>
      </c>
      <c r="B2857" s="23" t="s">
        <v>1145</v>
      </c>
      <c r="C2857" s="23" t="s">
        <v>176</v>
      </c>
      <c r="D2857" s="23" t="s">
        <v>345</v>
      </c>
      <c r="E2857" s="23" t="s">
        <v>346</v>
      </c>
      <c r="F2857">
        <v>3</v>
      </c>
      <c r="G2857" s="23" t="s">
        <v>177</v>
      </c>
      <c r="H2857">
        <v>0</v>
      </c>
      <c r="I2857">
        <v>228</v>
      </c>
      <c r="J2857" s="10">
        <v>4.6185277824406512E-14</v>
      </c>
      <c r="K2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857">
        <v>0</v>
      </c>
      <c r="M28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7">
        <v>6</v>
      </c>
      <c r="O2857" s="23" t="s">
        <v>347</v>
      </c>
      <c r="P2857">
        <v>18</v>
      </c>
      <c r="Q2857" s="23" t="s">
        <v>181</v>
      </c>
    </row>
    <row r="2858" spans="1:17" x14ac:dyDescent="0.25">
      <c r="A2858" s="23" t="s">
        <v>1148</v>
      </c>
      <c r="B2858" s="23" t="s">
        <v>1054</v>
      </c>
      <c r="C2858" s="23" t="s">
        <v>176</v>
      </c>
      <c r="D2858" s="23" t="s">
        <v>345</v>
      </c>
      <c r="E2858" s="23" t="s">
        <v>346</v>
      </c>
      <c r="F2858">
        <v>3</v>
      </c>
      <c r="G2858" s="23" t="s">
        <v>177</v>
      </c>
      <c r="H2858">
        <v>0</v>
      </c>
      <c r="I2858">
        <v>228</v>
      </c>
      <c r="J2858" s="10">
        <v>4.6185277824406512E-14</v>
      </c>
      <c r="K2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858">
        <v>0</v>
      </c>
      <c r="M28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8">
        <v>6</v>
      </c>
      <c r="O2858" s="23" t="s">
        <v>347</v>
      </c>
      <c r="P2858">
        <v>18</v>
      </c>
      <c r="Q2858" s="23" t="s">
        <v>181</v>
      </c>
    </row>
    <row r="2859" spans="1:17" x14ac:dyDescent="0.25">
      <c r="A2859" s="23" t="s">
        <v>1100</v>
      </c>
      <c r="B2859" s="23" t="s">
        <v>1101</v>
      </c>
      <c r="C2859" s="23" t="s">
        <v>198</v>
      </c>
      <c r="D2859" s="23" t="s">
        <v>794</v>
      </c>
      <c r="E2859" s="23" t="s">
        <v>795</v>
      </c>
      <c r="F2859">
        <v>1</v>
      </c>
      <c r="G2859" s="23" t="s">
        <v>177</v>
      </c>
      <c r="H2859">
        <v>0</v>
      </c>
      <c r="I2859">
        <v>26</v>
      </c>
      <c r="J2859" s="10">
        <v>3</v>
      </c>
      <c r="K2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2859">
        <v>0</v>
      </c>
      <c r="M28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59">
        <v>2800</v>
      </c>
      <c r="O2859" s="23" t="s">
        <v>796</v>
      </c>
      <c r="P2859">
        <v>2800</v>
      </c>
      <c r="Q2859" s="23" t="s">
        <v>178</v>
      </c>
    </row>
    <row r="2860" spans="1:17" x14ac:dyDescent="0.25">
      <c r="A2860" s="23" t="s">
        <v>1150</v>
      </c>
      <c r="B2860" s="23" t="s">
        <v>1145</v>
      </c>
      <c r="C2860" s="23" t="s">
        <v>176</v>
      </c>
      <c r="D2860" s="23" t="s">
        <v>104</v>
      </c>
      <c r="E2860" s="23" t="s">
        <v>290</v>
      </c>
      <c r="F2860">
        <v>1</v>
      </c>
      <c r="G2860" s="23" t="s">
        <v>177</v>
      </c>
      <c r="H2860">
        <v>0</v>
      </c>
      <c r="I2860">
        <v>87</v>
      </c>
      <c r="J2860" s="10">
        <v>50.899999999999949</v>
      </c>
      <c r="K2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2860">
        <v>0</v>
      </c>
      <c r="M28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0">
        <v>122.09</v>
      </c>
      <c r="O2860" s="23" t="s">
        <v>252</v>
      </c>
      <c r="P2860">
        <v>122.09</v>
      </c>
      <c r="Q2860" s="23" t="s">
        <v>181</v>
      </c>
    </row>
    <row r="2861" spans="1:17" x14ac:dyDescent="0.25">
      <c r="A2861" s="23" t="s">
        <v>1058</v>
      </c>
      <c r="B2861" s="23" t="s">
        <v>1059</v>
      </c>
      <c r="C2861" s="23" t="s">
        <v>176</v>
      </c>
      <c r="D2861" s="23" t="s">
        <v>160</v>
      </c>
      <c r="E2861" s="23" t="s">
        <v>161</v>
      </c>
      <c r="F2861">
        <v>0.25</v>
      </c>
      <c r="G2861" s="23" t="s">
        <v>180</v>
      </c>
      <c r="H2861">
        <v>0</v>
      </c>
      <c r="I2861">
        <v>52</v>
      </c>
      <c r="J2861" s="10">
        <v>38.620000000000054</v>
      </c>
      <c r="K2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2861">
        <v>0</v>
      </c>
      <c r="M28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1">
        <v>126.36</v>
      </c>
      <c r="O2861" s="23" t="s">
        <v>620</v>
      </c>
      <c r="P2861">
        <v>31.59</v>
      </c>
      <c r="Q2861" s="23" t="s">
        <v>179</v>
      </c>
    </row>
    <row r="2862" spans="1:17" x14ac:dyDescent="0.25">
      <c r="A2862" s="23" t="s">
        <v>1100</v>
      </c>
      <c r="B2862" s="23" t="s">
        <v>1101</v>
      </c>
      <c r="C2862" s="23" t="s">
        <v>176</v>
      </c>
      <c r="D2862" s="23" t="s">
        <v>5</v>
      </c>
      <c r="E2862" s="23" t="s">
        <v>6</v>
      </c>
      <c r="F2862">
        <v>8</v>
      </c>
      <c r="G2862" s="23" t="s">
        <v>180</v>
      </c>
      <c r="H2862">
        <v>0</v>
      </c>
      <c r="I2862">
        <v>100</v>
      </c>
      <c r="J2862" s="10">
        <v>1.9999999999998863</v>
      </c>
      <c r="K2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2862">
        <v>0</v>
      </c>
      <c r="M28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2">
        <v>111</v>
      </c>
      <c r="O2862" s="23" t="s">
        <v>827</v>
      </c>
      <c r="P2862">
        <v>888</v>
      </c>
      <c r="Q2862" s="23" t="s">
        <v>222</v>
      </c>
    </row>
    <row r="2863" spans="1:17" x14ac:dyDescent="0.25">
      <c r="A2863" s="23" t="s">
        <v>1058</v>
      </c>
      <c r="B2863" s="23" t="s">
        <v>1059</v>
      </c>
      <c r="C2863" s="23" t="s">
        <v>176</v>
      </c>
      <c r="D2863" s="23" t="s">
        <v>205</v>
      </c>
      <c r="E2863" s="23" t="s">
        <v>206</v>
      </c>
      <c r="F2863">
        <v>0.5</v>
      </c>
      <c r="G2863" s="23" t="s">
        <v>177</v>
      </c>
      <c r="H2863">
        <v>0</v>
      </c>
      <c r="I2863">
        <v>100</v>
      </c>
      <c r="J2863" s="10">
        <v>41</v>
      </c>
      <c r="K2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2863">
        <v>0</v>
      </c>
      <c r="M28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3">
        <v>60</v>
      </c>
      <c r="O2863" s="23" t="s">
        <v>221</v>
      </c>
      <c r="P2863">
        <v>30</v>
      </c>
      <c r="Q2863" s="23" t="s">
        <v>181</v>
      </c>
    </row>
    <row r="2864" spans="1:17" x14ac:dyDescent="0.25">
      <c r="A2864" s="23" t="s">
        <v>1058</v>
      </c>
      <c r="B2864" s="23" t="s">
        <v>1059</v>
      </c>
      <c r="C2864" s="23" t="s">
        <v>176</v>
      </c>
      <c r="D2864" s="23" t="s">
        <v>207</v>
      </c>
      <c r="E2864" s="23" t="s">
        <v>282</v>
      </c>
      <c r="F2864">
        <v>1.5500000000000003</v>
      </c>
      <c r="G2864" s="23" t="s">
        <v>177</v>
      </c>
      <c r="H2864">
        <v>1.5500000000000003</v>
      </c>
      <c r="I2864">
        <v>20</v>
      </c>
      <c r="J2864" s="10">
        <v>116.66400000000021</v>
      </c>
      <c r="K2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2864">
        <v>0</v>
      </c>
      <c r="M28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4">
        <v>185</v>
      </c>
      <c r="O2864" s="23" t="s">
        <v>242</v>
      </c>
      <c r="P2864">
        <v>286.75000000000006</v>
      </c>
      <c r="Q2864" s="23" t="s">
        <v>181</v>
      </c>
    </row>
    <row r="2865" spans="1:17" x14ac:dyDescent="0.25">
      <c r="A2865" s="23" t="s">
        <v>1058</v>
      </c>
      <c r="B2865" s="23" t="s">
        <v>1059</v>
      </c>
      <c r="C2865" s="23" t="s">
        <v>176</v>
      </c>
      <c r="D2865" s="23" t="s">
        <v>345</v>
      </c>
      <c r="E2865" s="23" t="s">
        <v>346</v>
      </c>
      <c r="F2865">
        <v>2</v>
      </c>
      <c r="G2865" s="23" t="s">
        <v>177</v>
      </c>
      <c r="H2865">
        <v>0</v>
      </c>
      <c r="I2865">
        <v>228</v>
      </c>
      <c r="J2865" s="10">
        <v>4.6185277824406512E-14</v>
      </c>
      <c r="K2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2865">
        <v>0</v>
      </c>
      <c r="M28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5">
        <v>6</v>
      </c>
      <c r="O2865" s="23" t="s">
        <v>347</v>
      </c>
      <c r="P2865">
        <v>12</v>
      </c>
      <c r="Q2865" s="23" t="s">
        <v>181</v>
      </c>
    </row>
    <row r="2866" spans="1:17" x14ac:dyDescent="0.25">
      <c r="A2866" s="23" t="s">
        <v>1058</v>
      </c>
      <c r="B2866" s="23" t="s">
        <v>1059</v>
      </c>
      <c r="C2866" s="23" t="s">
        <v>176</v>
      </c>
      <c r="D2866" s="23" t="s">
        <v>419</v>
      </c>
      <c r="E2866" s="23" t="s">
        <v>1225</v>
      </c>
      <c r="F2866">
        <v>5</v>
      </c>
      <c r="G2866" s="23" t="s">
        <v>177</v>
      </c>
      <c r="H2866">
        <v>0</v>
      </c>
      <c r="I2866">
        <v>148</v>
      </c>
      <c r="J2866" s="10">
        <v>59</v>
      </c>
      <c r="K2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2866">
        <v>0</v>
      </c>
      <c r="M28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6">
        <v>24.17</v>
      </c>
      <c r="O2866" s="23" t="s">
        <v>629</v>
      </c>
      <c r="P2866">
        <v>120.85000000000001</v>
      </c>
      <c r="Q2866" s="23" t="s">
        <v>181</v>
      </c>
    </row>
    <row r="2867" spans="1:17" x14ac:dyDescent="0.25">
      <c r="A2867" s="23" t="s">
        <v>1100</v>
      </c>
      <c r="B2867" s="23" t="s">
        <v>1101</v>
      </c>
      <c r="C2867" s="23" t="s">
        <v>176</v>
      </c>
      <c r="D2867" s="23" t="s">
        <v>105</v>
      </c>
      <c r="E2867" s="23" t="s">
        <v>106</v>
      </c>
      <c r="F2867">
        <v>5</v>
      </c>
      <c r="G2867" s="23" t="s">
        <v>177</v>
      </c>
      <c r="H2867">
        <v>0</v>
      </c>
      <c r="I2867">
        <v>39</v>
      </c>
      <c r="J2867" s="10">
        <v>36</v>
      </c>
      <c r="K2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2867">
        <v>0</v>
      </c>
      <c r="M28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2867">
        <v>105</v>
      </c>
      <c r="O2867" s="23" t="s">
        <v>626</v>
      </c>
      <c r="P2867">
        <v>525</v>
      </c>
      <c r="Q2867" s="23" t="s">
        <v>179</v>
      </c>
    </row>
    <row r="2868" spans="1:17" x14ac:dyDescent="0.25">
      <c r="A2868" s="23" t="s">
        <v>1100</v>
      </c>
      <c r="B2868" s="23" t="s">
        <v>1101</v>
      </c>
      <c r="C2868" s="23" t="s">
        <v>176</v>
      </c>
      <c r="D2868" s="23" t="s">
        <v>379</v>
      </c>
      <c r="E2868" s="23" t="s">
        <v>380</v>
      </c>
      <c r="F2868">
        <v>2</v>
      </c>
      <c r="G2868" s="23" t="s">
        <v>177</v>
      </c>
      <c r="H2868">
        <v>0</v>
      </c>
      <c r="I2868">
        <v>50</v>
      </c>
      <c r="J2868" s="10">
        <v>33</v>
      </c>
      <c r="K2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2868">
        <v>0</v>
      </c>
      <c r="M28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8">
        <v>72.599999999999994</v>
      </c>
      <c r="O2868" s="23" t="s">
        <v>242</v>
      </c>
      <c r="P2868">
        <v>145.19999999999999</v>
      </c>
      <c r="Q2868" s="23" t="s">
        <v>179</v>
      </c>
    </row>
    <row r="2869" spans="1:17" x14ac:dyDescent="0.25">
      <c r="A2869" s="23" t="s">
        <v>1150</v>
      </c>
      <c r="B2869" s="23" t="s">
        <v>1145</v>
      </c>
      <c r="C2869" s="23" t="s">
        <v>176</v>
      </c>
      <c r="D2869" s="23" t="s">
        <v>99</v>
      </c>
      <c r="E2869" s="23" t="s">
        <v>250</v>
      </c>
      <c r="F2869">
        <v>7</v>
      </c>
      <c r="G2869" s="23" t="s">
        <v>177</v>
      </c>
      <c r="H2869">
        <v>7</v>
      </c>
      <c r="I2869">
        <v>230</v>
      </c>
      <c r="J2869" s="10">
        <v>72</v>
      </c>
      <c r="K2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2869">
        <v>0</v>
      </c>
      <c r="M28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69">
        <v>225</v>
      </c>
      <c r="O2869" s="23" t="s">
        <v>826</v>
      </c>
      <c r="P2869">
        <v>1575</v>
      </c>
      <c r="Q2869" s="23" t="s">
        <v>178</v>
      </c>
    </row>
    <row r="2870" spans="1:17" x14ac:dyDescent="0.25">
      <c r="A2870" s="23" t="s">
        <v>1100</v>
      </c>
      <c r="B2870" s="23" t="s">
        <v>1101</v>
      </c>
      <c r="C2870" s="23" t="s">
        <v>176</v>
      </c>
      <c r="D2870" s="23" t="s">
        <v>440</v>
      </c>
      <c r="E2870" s="23" t="s">
        <v>441</v>
      </c>
      <c r="F2870">
        <v>1</v>
      </c>
      <c r="G2870" s="23" t="s">
        <v>177</v>
      </c>
      <c r="H2870">
        <v>0</v>
      </c>
      <c r="I2870">
        <v>30</v>
      </c>
      <c r="J2870" s="10">
        <v>3</v>
      </c>
      <c r="K2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2870">
        <v>0</v>
      </c>
      <c r="M28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0">
        <v>372.91</v>
      </c>
      <c r="O2870" s="23" t="s">
        <v>637</v>
      </c>
      <c r="P2870">
        <v>372.91</v>
      </c>
      <c r="Q2870" s="23" t="s">
        <v>179</v>
      </c>
    </row>
    <row r="2871" spans="1:17" x14ac:dyDescent="0.25">
      <c r="A2871" s="23" t="s">
        <v>1058</v>
      </c>
      <c r="B2871" s="23" t="s">
        <v>1059</v>
      </c>
      <c r="C2871" s="23" t="s">
        <v>176</v>
      </c>
      <c r="D2871" s="23" t="s">
        <v>444</v>
      </c>
      <c r="E2871" s="23" t="s">
        <v>445</v>
      </c>
      <c r="F2871">
        <v>1</v>
      </c>
      <c r="G2871" s="23" t="s">
        <v>177</v>
      </c>
      <c r="H2871">
        <v>0</v>
      </c>
      <c r="I2871">
        <v>27</v>
      </c>
      <c r="J2871" s="10">
        <v>3</v>
      </c>
      <c r="K2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2871">
        <v>0</v>
      </c>
      <c r="M28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1">
        <v>372.91</v>
      </c>
      <c r="O2871" s="23" t="s">
        <v>637</v>
      </c>
      <c r="P2871">
        <v>372.91</v>
      </c>
      <c r="Q2871" s="23" t="s">
        <v>179</v>
      </c>
    </row>
    <row r="2872" spans="1:17" x14ac:dyDescent="0.25">
      <c r="A2872" s="23" t="s">
        <v>1148</v>
      </c>
      <c r="B2872" s="23" t="s">
        <v>1054</v>
      </c>
      <c r="C2872" s="23" t="s">
        <v>176</v>
      </c>
      <c r="D2872" s="23" t="s">
        <v>444</v>
      </c>
      <c r="E2872" s="23" t="s">
        <v>445</v>
      </c>
      <c r="F2872">
        <v>1</v>
      </c>
      <c r="G2872" s="23" t="s">
        <v>177</v>
      </c>
      <c r="H2872">
        <v>0</v>
      </c>
      <c r="I2872">
        <v>27</v>
      </c>
      <c r="J2872" s="10">
        <v>3</v>
      </c>
      <c r="K2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2872">
        <v>0</v>
      </c>
      <c r="M28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2">
        <v>372.91</v>
      </c>
      <c r="O2872" s="23" t="s">
        <v>637</v>
      </c>
      <c r="P2872">
        <v>372.91</v>
      </c>
      <c r="Q2872" s="23" t="s">
        <v>179</v>
      </c>
    </row>
    <row r="2873" spans="1:17" x14ac:dyDescent="0.25">
      <c r="A2873" s="23" t="s">
        <v>1150</v>
      </c>
      <c r="B2873" s="23" t="s">
        <v>1145</v>
      </c>
      <c r="C2873" s="23" t="s">
        <v>176</v>
      </c>
      <c r="D2873" s="23" t="s">
        <v>451</v>
      </c>
      <c r="E2873" s="23" t="s">
        <v>625</v>
      </c>
      <c r="F2873">
        <v>2</v>
      </c>
      <c r="G2873" s="23" t="s">
        <v>177</v>
      </c>
      <c r="H2873">
        <v>0</v>
      </c>
      <c r="I2873">
        <v>10</v>
      </c>
      <c r="J2873" s="10">
        <v>20</v>
      </c>
      <c r="K2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873">
        <v>0</v>
      </c>
      <c r="M28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2873">
        <v>14946.25</v>
      </c>
      <c r="O2873" s="23" t="s">
        <v>626</v>
      </c>
      <c r="P2873">
        <v>29892.5</v>
      </c>
      <c r="Q2873" s="23" t="s">
        <v>179</v>
      </c>
    </row>
    <row r="2874" spans="1:17" x14ac:dyDescent="0.25">
      <c r="A2874" s="23" t="s">
        <v>1150</v>
      </c>
      <c r="B2874" s="23" t="s">
        <v>1145</v>
      </c>
      <c r="C2874" s="23" t="s">
        <v>176</v>
      </c>
      <c r="D2874" s="23" t="s">
        <v>444</v>
      </c>
      <c r="E2874" s="23" t="s">
        <v>445</v>
      </c>
      <c r="F2874">
        <v>1</v>
      </c>
      <c r="G2874" s="23" t="s">
        <v>177</v>
      </c>
      <c r="H2874">
        <v>0</v>
      </c>
      <c r="I2874">
        <v>27</v>
      </c>
      <c r="J2874" s="10">
        <v>3</v>
      </c>
      <c r="K2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2874">
        <v>0</v>
      </c>
      <c r="M28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4">
        <v>372.91</v>
      </c>
      <c r="O2874" s="23" t="s">
        <v>637</v>
      </c>
      <c r="P2874">
        <v>372.91</v>
      </c>
      <c r="Q2874" s="23" t="s">
        <v>179</v>
      </c>
    </row>
    <row r="2875" spans="1:17" x14ac:dyDescent="0.25">
      <c r="A2875" s="23" t="s">
        <v>1097</v>
      </c>
      <c r="B2875" s="23" t="s">
        <v>1095</v>
      </c>
      <c r="C2875" s="23" t="s">
        <v>176</v>
      </c>
      <c r="D2875" s="23" t="s">
        <v>451</v>
      </c>
      <c r="E2875" s="23" t="s">
        <v>625</v>
      </c>
      <c r="F2875">
        <v>2</v>
      </c>
      <c r="G2875" s="23" t="s">
        <v>177</v>
      </c>
      <c r="H2875">
        <v>0</v>
      </c>
      <c r="I2875">
        <v>10</v>
      </c>
      <c r="J2875" s="10">
        <v>20</v>
      </c>
      <c r="K2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875">
        <v>0</v>
      </c>
      <c r="M28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2875">
        <v>14946.25</v>
      </c>
      <c r="O2875" s="23" t="s">
        <v>626</v>
      </c>
      <c r="P2875">
        <v>29892.5</v>
      </c>
      <c r="Q2875" s="23" t="s">
        <v>179</v>
      </c>
    </row>
    <row r="2876" spans="1:17" x14ac:dyDescent="0.25">
      <c r="A2876" s="23" t="s">
        <v>1099</v>
      </c>
      <c r="B2876" s="23" t="s">
        <v>1056</v>
      </c>
      <c r="C2876" s="23" t="s">
        <v>176</v>
      </c>
      <c r="D2876" s="23" t="s">
        <v>455</v>
      </c>
      <c r="E2876" s="23" t="s">
        <v>456</v>
      </c>
      <c r="F2876">
        <v>1</v>
      </c>
      <c r="G2876" s="23" t="s">
        <v>177</v>
      </c>
      <c r="H2876">
        <v>0</v>
      </c>
      <c r="I2876">
        <v>0</v>
      </c>
      <c r="J2876" s="10">
        <v>93</v>
      </c>
      <c r="K2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876">
        <v>0</v>
      </c>
      <c r="M28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876">
        <v>13.5</v>
      </c>
      <c r="O2876" s="23" t="s">
        <v>227</v>
      </c>
      <c r="P2876">
        <v>13.5</v>
      </c>
      <c r="Q2876" s="23" t="s">
        <v>181</v>
      </c>
    </row>
    <row r="2877" spans="1:17" x14ac:dyDescent="0.25">
      <c r="A2877" s="23" t="s">
        <v>1148</v>
      </c>
      <c r="B2877" s="23" t="s">
        <v>1054</v>
      </c>
      <c r="C2877" s="23" t="s">
        <v>176</v>
      </c>
      <c r="D2877" s="23" t="s">
        <v>455</v>
      </c>
      <c r="E2877" s="23" t="s">
        <v>456</v>
      </c>
      <c r="F2877">
        <v>2</v>
      </c>
      <c r="G2877" s="23" t="s">
        <v>177</v>
      </c>
      <c r="H2877">
        <v>0</v>
      </c>
      <c r="I2877">
        <v>0</v>
      </c>
      <c r="J2877" s="10">
        <v>93</v>
      </c>
      <c r="K2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2877">
        <v>0</v>
      </c>
      <c r="M28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2877">
        <v>13.5</v>
      </c>
      <c r="O2877" s="23" t="s">
        <v>227</v>
      </c>
      <c r="P2877">
        <v>27</v>
      </c>
      <c r="Q2877" s="23" t="s">
        <v>181</v>
      </c>
    </row>
    <row r="2878" spans="1:17" x14ac:dyDescent="0.25">
      <c r="A2878" s="23" t="s">
        <v>1146</v>
      </c>
      <c r="B2878" s="23" t="s">
        <v>1145</v>
      </c>
      <c r="C2878" s="23" t="s">
        <v>176</v>
      </c>
      <c r="D2878" s="23" t="s">
        <v>451</v>
      </c>
      <c r="E2878" s="23" t="s">
        <v>625</v>
      </c>
      <c r="F2878">
        <v>2</v>
      </c>
      <c r="G2878" s="23" t="s">
        <v>177</v>
      </c>
      <c r="H2878">
        <v>0</v>
      </c>
      <c r="I2878">
        <v>10</v>
      </c>
      <c r="J2878" s="10">
        <v>20</v>
      </c>
      <c r="K2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878">
        <v>0</v>
      </c>
      <c r="M28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2878">
        <v>14946.25</v>
      </c>
      <c r="O2878" s="23" t="s">
        <v>626</v>
      </c>
      <c r="P2878">
        <v>29892.5</v>
      </c>
      <c r="Q2878" s="23" t="s">
        <v>179</v>
      </c>
    </row>
    <row r="2879" spans="1:17" x14ac:dyDescent="0.25">
      <c r="A2879" s="23" t="s">
        <v>1144</v>
      </c>
      <c r="B2879" s="23" t="s">
        <v>1145</v>
      </c>
      <c r="C2879" s="23" t="s">
        <v>176</v>
      </c>
      <c r="D2879" s="23" t="s">
        <v>440</v>
      </c>
      <c r="E2879" s="23" t="s">
        <v>441</v>
      </c>
      <c r="F2879">
        <v>1</v>
      </c>
      <c r="G2879" s="23" t="s">
        <v>177</v>
      </c>
      <c r="H2879">
        <v>0</v>
      </c>
      <c r="I2879">
        <v>30</v>
      </c>
      <c r="J2879" s="10">
        <v>3</v>
      </c>
      <c r="K2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2879">
        <v>0</v>
      </c>
      <c r="M28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79">
        <v>372.91</v>
      </c>
      <c r="O2879" s="23" t="s">
        <v>637</v>
      </c>
      <c r="P2879">
        <v>372.91</v>
      </c>
      <c r="Q2879" s="23" t="s">
        <v>179</v>
      </c>
    </row>
    <row r="2880" spans="1:17" x14ac:dyDescent="0.25">
      <c r="A2880" s="23" t="s">
        <v>1180</v>
      </c>
      <c r="B2880" s="23" t="s">
        <v>1181</v>
      </c>
      <c r="C2880" s="23" t="s">
        <v>176</v>
      </c>
      <c r="D2880" s="23" t="s">
        <v>1188</v>
      </c>
      <c r="E2880" s="23" t="s">
        <v>1189</v>
      </c>
      <c r="F2880">
        <v>3.4499999999999997</v>
      </c>
      <c r="G2880" s="23" t="s">
        <v>186</v>
      </c>
      <c r="H2880">
        <v>0</v>
      </c>
      <c r="I2880">
        <v>0</v>
      </c>
      <c r="J2880" s="10">
        <v>0</v>
      </c>
      <c r="K2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3.4499999999999997</v>
      </c>
      <c r="L2880">
        <v>0</v>
      </c>
      <c r="M28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399.44099999999997</v>
      </c>
      <c r="N2880">
        <v>115.78</v>
      </c>
      <c r="O2880" s="23" t="s">
        <v>491</v>
      </c>
      <c r="P2880">
        <v>399.44099999999997</v>
      </c>
      <c r="Q2880" s="23" t="s">
        <v>184</v>
      </c>
    </row>
    <row r="2881" spans="1:17" x14ac:dyDescent="0.25">
      <c r="A2881" s="23" t="s">
        <v>1100</v>
      </c>
      <c r="B2881" s="23" t="s">
        <v>1101</v>
      </c>
      <c r="C2881" s="23" t="s">
        <v>176</v>
      </c>
      <c r="D2881" s="23" t="s">
        <v>117</v>
      </c>
      <c r="E2881" s="23" t="s">
        <v>118</v>
      </c>
      <c r="F2881">
        <v>125.66</v>
      </c>
      <c r="G2881" s="23" t="s">
        <v>186</v>
      </c>
      <c r="H2881">
        <v>125.66</v>
      </c>
      <c r="I2881">
        <v>1840</v>
      </c>
      <c r="J2881" s="10">
        <v>973.62000000000012</v>
      </c>
      <c r="K2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2881">
        <v>920</v>
      </c>
      <c r="M28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1">
        <v>94.86</v>
      </c>
      <c r="O2881" s="23" t="s">
        <v>491</v>
      </c>
      <c r="P2881">
        <v>11920.107599999999</v>
      </c>
      <c r="Q2881" s="23" t="s">
        <v>184</v>
      </c>
    </row>
    <row r="2882" spans="1:17" x14ac:dyDescent="0.25">
      <c r="A2882" s="23" t="s">
        <v>1180</v>
      </c>
      <c r="B2882" s="23" t="s">
        <v>1181</v>
      </c>
      <c r="C2882" s="23" t="s">
        <v>176</v>
      </c>
      <c r="D2882" s="23" t="s">
        <v>117</v>
      </c>
      <c r="E2882" s="23" t="s">
        <v>118</v>
      </c>
      <c r="F2882">
        <v>47.8</v>
      </c>
      <c r="G2882" s="23" t="s">
        <v>186</v>
      </c>
      <c r="H2882">
        <v>0</v>
      </c>
      <c r="I2882">
        <v>1840</v>
      </c>
      <c r="J2882" s="10">
        <v>973.62000000000012</v>
      </c>
      <c r="K2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2882">
        <v>920</v>
      </c>
      <c r="M28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2">
        <v>94.86</v>
      </c>
      <c r="O2882" s="23" t="s">
        <v>491</v>
      </c>
      <c r="P2882">
        <v>4534.308</v>
      </c>
      <c r="Q2882" s="23" t="s">
        <v>184</v>
      </c>
    </row>
    <row r="2883" spans="1:17" x14ac:dyDescent="0.25">
      <c r="A2883" s="23" t="s">
        <v>1147</v>
      </c>
      <c r="B2883" s="23" t="s">
        <v>1145</v>
      </c>
      <c r="C2883" s="23" t="s">
        <v>176</v>
      </c>
      <c r="D2883" s="23" t="s">
        <v>52</v>
      </c>
      <c r="E2883" s="23" t="s">
        <v>53</v>
      </c>
      <c r="F2883">
        <v>1</v>
      </c>
      <c r="G2883" s="23" t="s">
        <v>177</v>
      </c>
      <c r="H2883">
        <v>0</v>
      </c>
      <c r="I2883">
        <v>5</v>
      </c>
      <c r="J2883" s="10">
        <v>10</v>
      </c>
      <c r="K2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2883">
        <v>0</v>
      </c>
      <c r="M28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2883">
        <v>12234.43</v>
      </c>
      <c r="O2883" s="23" t="s">
        <v>216</v>
      </c>
      <c r="P2883">
        <v>12234.43</v>
      </c>
      <c r="Q2883" s="23" t="s">
        <v>222</v>
      </c>
    </row>
    <row r="2884" spans="1:17" x14ac:dyDescent="0.25">
      <c r="A2884" s="23" t="s">
        <v>1147</v>
      </c>
      <c r="B2884" s="23" t="s">
        <v>1145</v>
      </c>
      <c r="C2884" s="23" t="s">
        <v>176</v>
      </c>
      <c r="D2884" s="23" t="s">
        <v>301</v>
      </c>
      <c r="E2884" s="23" t="s">
        <v>302</v>
      </c>
      <c r="F2884">
        <v>18</v>
      </c>
      <c r="G2884" s="23" t="s">
        <v>177</v>
      </c>
      <c r="H2884">
        <v>0</v>
      </c>
      <c r="I2884">
        <v>180</v>
      </c>
      <c r="J2884" s="10">
        <v>80</v>
      </c>
      <c r="K2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884">
        <v>0</v>
      </c>
      <c r="M28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884">
        <v>240</v>
      </c>
      <c r="O2884" s="23" t="s">
        <v>242</v>
      </c>
      <c r="P2884">
        <v>4320</v>
      </c>
      <c r="Q2884" s="23" t="s">
        <v>181</v>
      </c>
    </row>
    <row r="2885" spans="1:17" x14ac:dyDescent="0.25">
      <c r="A2885" s="23" t="s">
        <v>1058</v>
      </c>
      <c r="B2885" s="23" t="s">
        <v>1059</v>
      </c>
      <c r="C2885" s="23" t="s">
        <v>176</v>
      </c>
      <c r="D2885" s="23" t="s">
        <v>925</v>
      </c>
      <c r="E2885" s="23" t="s">
        <v>926</v>
      </c>
      <c r="F2885">
        <v>1</v>
      </c>
      <c r="G2885" s="23" t="s">
        <v>180</v>
      </c>
      <c r="H2885">
        <v>0</v>
      </c>
      <c r="I2885">
        <v>6400</v>
      </c>
      <c r="J2885" s="10">
        <v>186.50000000000017</v>
      </c>
      <c r="K2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-6392</v>
      </c>
      <c r="L2885">
        <v>0</v>
      </c>
      <c r="M28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5">
        <v>2.1</v>
      </c>
      <c r="O2885" s="23"/>
      <c r="P2885">
        <v>2.1</v>
      </c>
      <c r="Q2885" s="23" t="s">
        <v>222</v>
      </c>
    </row>
    <row r="2886" spans="1:17" x14ac:dyDescent="0.25">
      <c r="A2886" s="23" t="s">
        <v>1100</v>
      </c>
      <c r="B2886" s="23" t="s">
        <v>1101</v>
      </c>
      <c r="C2886" s="23" t="s">
        <v>176</v>
      </c>
      <c r="D2886" s="23" t="s">
        <v>60</v>
      </c>
      <c r="E2886" s="23" t="s">
        <v>61</v>
      </c>
      <c r="F2886">
        <v>1</v>
      </c>
      <c r="G2886" s="23" t="s">
        <v>177</v>
      </c>
      <c r="H2886">
        <v>0</v>
      </c>
      <c r="I2886">
        <v>18</v>
      </c>
      <c r="J2886" s="10">
        <v>10</v>
      </c>
      <c r="K2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886">
        <v>0</v>
      </c>
      <c r="M28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6">
        <v>115.6</v>
      </c>
      <c r="O2886" s="23" t="s">
        <v>827</v>
      </c>
      <c r="P2886">
        <v>115.6</v>
      </c>
      <c r="Q2886" s="23" t="s">
        <v>222</v>
      </c>
    </row>
    <row r="2887" spans="1:17" x14ac:dyDescent="0.25">
      <c r="A2887" s="23" t="s">
        <v>1055</v>
      </c>
      <c r="B2887" s="23" t="s">
        <v>1056</v>
      </c>
      <c r="C2887" s="23" t="s">
        <v>176</v>
      </c>
      <c r="D2887" s="23" t="s">
        <v>407</v>
      </c>
      <c r="E2887" s="23" t="s">
        <v>408</v>
      </c>
      <c r="F2887">
        <v>1</v>
      </c>
      <c r="G2887" s="23" t="s">
        <v>177</v>
      </c>
      <c r="H2887">
        <v>0</v>
      </c>
      <c r="I2887">
        <v>35</v>
      </c>
      <c r="J2887" s="10">
        <v>61</v>
      </c>
      <c r="K2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887">
        <v>0</v>
      </c>
      <c r="M28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7">
        <v>19.07</v>
      </c>
      <c r="O2887" s="23" t="s">
        <v>827</v>
      </c>
      <c r="P2887">
        <v>19.07</v>
      </c>
      <c r="Q2887" s="23" t="s">
        <v>222</v>
      </c>
    </row>
    <row r="2888" spans="1:17" x14ac:dyDescent="0.25">
      <c r="A2888" s="23" t="s">
        <v>1100</v>
      </c>
      <c r="B2888" s="23" t="s">
        <v>1101</v>
      </c>
      <c r="C2888" s="23" t="s">
        <v>176</v>
      </c>
      <c r="D2888" s="23" t="s">
        <v>619</v>
      </c>
      <c r="E2888" s="23" t="s">
        <v>828</v>
      </c>
      <c r="F2888">
        <v>1</v>
      </c>
      <c r="G2888" s="23" t="s">
        <v>177</v>
      </c>
      <c r="H2888">
        <v>0</v>
      </c>
      <c r="I2888">
        <v>37</v>
      </c>
      <c r="J2888" s="10">
        <v>2</v>
      </c>
      <c r="K2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888">
        <v>0</v>
      </c>
      <c r="M28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8">
        <v>82.6</v>
      </c>
      <c r="O2888" s="23" t="s">
        <v>822</v>
      </c>
      <c r="P2888">
        <v>82.6</v>
      </c>
      <c r="Q2888" s="23" t="s">
        <v>179</v>
      </c>
    </row>
    <row r="2889" spans="1:17" x14ac:dyDescent="0.25">
      <c r="A2889" s="23" t="s">
        <v>1147</v>
      </c>
      <c r="B2889" s="23" t="s">
        <v>1145</v>
      </c>
      <c r="C2889" s="23" t="s">
        <v>176</v>
      </c>
      <c r="D2889" s="23" t="s">
        <v>60</v>
      </c>
      <c r="E2889" s="23" t="s">
        <v>61</v>
      </c>
      <c r="F2889">
        <v>1</v>
      </c>
      <c r="G2889" s="23" t="s">
        <v>177</v>
      </c>
      <c r="H2889">
        <v>0</v>
      </c>
      <c r="I2889">
        <v>18</v>
      </c>
      <c r="J2889" s="10">
        <v>10</v>
      </c>
      <c r="K2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889">
        <v>0</v>
      </c>
      <c r="M28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89">
        <v>115.6</v>
      </c>
      <c r="O2889" s="23" t="s">
        <v>827</v>
      </c>
      <c r="P2889">
        <v>115.6</v>
      </c>
      <c r="Q2889" s="23" t="s">
        <v>222</v>
      </c>
    </row>
    <row r="2890" spans="1:17" x14ac:dyDescent="0.25">
      <c r="A2890" s="23" t="s">
        <v>1148</v>
      </c>
      <c r="B2890" s="23" t="s">
        <v>1054</v>
      </c>
      <c r="C2890" s="23" t="s">
        <v>176</v>
      </c>
      <c r="D2890" s="23" t="s">
        <v>60</v>
      </c>
      <c r="E2890" s="23" t="s">
        <v>61</v>
      </c>
      <c r="F2890">
        <v>1</v>
      </c>
      <c r="G2890" s="23" t="s">
        <v>177</v>
      </c>
      <c r="H2890">
        <v>0</v>
      </c>
      <c r="I2890">
        <v>18</v>
      </c>
      <c r="J2890" s="10">
        <v>10</v>
      </c>
      <c r="K2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890">
        <v>0</v>
      </c>
      <c r="M28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0">
        <v>115.6</v>
      </c>
      <c r="O2890" s="23" t="s">
        <v>827</v>
      </c>
      <c r="P2890">
        <v>115.6</v>
      </c>
      <c r="Q2890" s="23" t="s">
        <v>222</v>
      </c>
    </row>
    <row r="2891" spans="1:17" x14ac:dyDescent="0.25">
      <c r="A2891" s="23" t="s">
        <v>1148</v>
      </c>
      <c r="B2891" s="23" t="s">
        <v>1054</v>
      </c>
      <c r="C2891" s="23" t="s">
        <v>176</v>
      </c>
      <c r="D2891" s="23" t="s">
        <v>407</v>
      </c>
      <c r="E2891" s="23" t="s">
        <v>408</v>
      </c>
      <c r="F2891">
        <v>1</v>
      </c>
      <c r="G2891" s="23" t="s">
        <v>177</v>
      </c>
      <c r="H2891">
        <v>0</v>
      </c>
      <c r="I2891">
        <v>35</v>
      </c>
      <c r="J2891" s="10">
        <v>61</v>
      </c>
      <c r="K2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891">
        <v>0</v>
      </c>
      <c r="M28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1">
        <v>19.07</v>
      </c>
      <c r="O2891" s="23" t="s">
        <v>827</v>
      </c>
      <c r="P2891">
        <v>19.07</v>
      </c>
      <c r="Q2891" s="23" t="s">
        <v>222</v>
      </c>
    </row>
    <row r="2892" spans="1:17" x14ac:dyDescent="0.25">
      <c r="A2892" s="23" t="s">
        <v>1147</v>
      </c>
      <c r="B2892" s="23" t="s">
        <v>1145</v>
      </c>
      <c r="C2892" s="23" t="s">
        <v>176</v>
      </c>
      <c r="D2892" s="23" t="s">
        <v>619</v>
      </c>
      <c r="E2892" s="23" t="s">
        <v>828</v>
      </c>
      <c r="F2892">
        <v>1</v>
      </c>
      <c r="G2892" s="23" t="s">
        <v>177</v>
      </c>
      <c r="H2892">
        <v>0</v>
      </c>
      <c r="I2892">
        <v>37</v>
      </c>
      <c r="J2892" s="10">
        <v>2</v>
      </c>
      <c r="K2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892">
        <v>0</v>
      </c>
      <c r="M28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2">
        <v>82.6</v>
      </c>
      <c r="O2892" s="23" t="s">
        <v>822</v>
      </c>
      <c r="P2892">
        <v>82.6</v>
      </c>
      <c r="Q2892" s="23" t="s">
        <v>179</v>
      </c>
    </row>
    <row r="2893" spans="1:17" x14ac:dyDescent="0.25">
      <c r="A2893" s="23" t="s">
        <v>1100</v>
      </c>
      <c r="B2893" s="23" t="s">
        <v>1101</v>
      </c>
      <c r="C2893" s="23" t="s">
        <v>176</v>
      </c>
      <c r="D2893" s="23" t="s">
        <v>612</v>
      </c>
      <c r="E2893" s="23" t="s">
        <v>613</v>
      </c>
      <c r="F2893">
        <v>55</v>
      </c>
      <c r="G2893" s="23" t="s">
        <v>183</v>
      </c>
      <c r="H2893">
        <v>0</v>
      </c>
      <c r="I2893">
        <v>136.5</v>
      </c>
      <c r="J2893" s="10">
        <v>5.5</v>
      </c>
      <c r="K2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893">
        <v>110.5</v>
      </c>
      <c r="M28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893">
        <v>200.15</v>
      </c>
      <c r="O2893" s="23" t="s">
        <v>224</v>
      </c>
      <c r="P2893">
        <v>11008.25</v>
      </c>
      <c r="Q2893" s="23" t="s">
        <v>182</v>
      </c>
    </row>
    <row r="2894" spans="1:17" x14ac:dyDescent="0.25">
      <c r="A2894" s="23" t="s">
        <v>1146</v>
      </c>
      <c r="B2894" s="23" t="s">
        <v>1145</v>
      </c>
      <c r="C2894" s="23" t="s">
        <v>176</v>
      </c>
      <c r="D2894" s="23" t="s">
        <v>674</v>
      </c>
      <c r="E2894" s="23" t="s">
        <v>675</v>
      </c>
      <c r="F2894">
        <v>6</v>
      </c>
      <c r="G2894" s="23" t="s">
        <v>177</v>
      </c>
      <c r="H2894">
        <v>0</v>
      </c>
      <c r="I2894">
        <v>150</v>
      </c>
      <c r="J2894" s="10">
        <v>78</v>
      </c>
      <c r="K2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894">
        <v>0</v>
      </c>
      <c r="M28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4">
        <v>20.83</v>
      </c>
      <c r="O2894" s="23" t="s">
        <v>227</v>
      </c>
      <c r="P2894">
        <v>124.97999999999999</v>
      </c>
      <c r="Q2894" s="23" t="s">
        <v>181</v>
      </c>
    </row>
    <row r="2895" spans="1:17" x14ac:dyDescent="0.25">
      <c r="A2895" s="23" t="s">
        <v>1144</v>
      </c>
      <c r="B2895" s="23" t="s">
        <v>1145</v>
      </c>
      <c r="C2895" s="23" t="s">
        <v>176</v>
      </c>
      <c r="D2895" s="23" t="s">
        <v>674</v>
      </c>
      <c r="E2895" s="23" t="s">
        <v>675</v>
      </c>
      <c r="F2895">
        <v>6</v>
      </c>
      <c r="G2895" s="23" t="s">
        <v>177</v>
      </c>
      <c r="H2895">
        <v>0</v>
      </c>
      <c r="I2895">
        <v>150</v>
      </c>
      <c r="J2895" s="10">
        <v>78</v>
      </c>
      <c r="K2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895">
        <v>0</v>
      </c>
      <c r="M28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5">
        <v>20.83</v>
      </c>
      <c r="O2895" s="23" t="s">
        <v>227</v>
      </c>
      <c r="P2895">
        <v>124.97999999999999</v>
      </c>
      <c r="Q2895" s="23" t="s">
        <v>181</v>
      </c>
    </row>
    <row r="2896" spans="1:17" x14ac:dyDescent="0.25">
      <c r="A2896" s="23" t="s">
        <v>1146</v>
      </c>
      <c r="B2896" s="23" t="s">
        <v>1145</v>
      </c>
      <c r="C2896" s="23" t="s">
        <v>176</v>
      </c>
      <c r="D2896" s="23" t="s">
        <v>563</v>
      </c>
      <c r="E2896" s="23" t="s">
        <v>564</v>
      </c>
      <c r="F2896">
        <v>7</v>
      </c>
      <c r="G2896" s="23" t="s">
        <v>177</v>
      </c>
      <c r="H2896">
        <v>0</v>
      </c>
      <c r="I2896">
        <v>3000</v>
      </c>
      <c r="J2896" s="10">
        <v>0</v>
      </c>
      <c r="K2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896">
        <v>0</v>
      </c>
      <c r="M28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6">
        <v>0.7</v>
      </c>
      <c r="O2896" s="23" t="s">
        <v>242</v>
      </c>
      <c r="P2896">
        <v>4.8999999999999995</v>
      </c>
      <c r="Q2896" s="23" t="s">
        <v>181</v>
      </c>
    </row>
    <row r="2897" spans="1:17" x14ac:dyDescent="0.25">
      <c r="A2897" s="23" t="s">
        <v>1144</v>
      </c>
      <c r="B2897" s="23" t="s">
        <v>1145</v>
      </c>
      <c r="C2897" s="23" t="s">
        <v>176</v>
      </c>
      <c r="D2897" s="23" t="s">
        <v>563</v>
      </c>
      <c r="E2897" s="23" t="s">
        <v>564</v>
      </c>
      <c r="F2897">
        <v>7</v>
      </c>
      <c r="G2897" s="23" t="s">
        <v>177</v>
      </c>
      <c r="H2897">
        <v>0</v>
      </c>
      <c r="I2897">
        <v>3000</v>
      </c>
      <c r="J2897" s="10">
        <v>0</v>
      </c>
      <c r="K2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897">
        <v>0</v>
      </c>
      <c r="M28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7">
        <v>0.7</v>
      </c>
      <c r="O2897" s="23" t="s">
        <v>242</v>
      </c>
      <c r="P2897">
        <v>4.8999999999999995</v>
      </c>
      <c r="Q2897" s="23" t="s">
        <v>181</v>
      </c>
    </row>
    <row r="2898" spans="1:17" x14ac:dyDescent="0.25">
      <c r="A2898" s="23" t="s">
        <v>1149</v>
      </c>
      <c r="B2898" s="23" t="s">
        <v>1145</v>
      </c>
      <c r="C2898" s="23" t="s">
        <v>176</v>
      </c>
      <c r="D2898" s="23" t="s">
        <v>674</v>
      </c>
      <c r="E2898" s="23" t="s">
        <v>675</v>
      </c>
      <c r="F2898">
        <v>6</v>
      </c>
      <c r="G2898" s="23" t="s">
        <v>177</v>
      </c>
      <c r="H2898">
        <v>0</v>
      </c>
      <c r="I2898">
        <v>150</v>
      </c>
      <c r="J2898" s="10">
        <v>78</v>
      </c>
      <c r="K2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898">
        <v>0</v>
      </c>
      <c r="M28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8">
        <v>20.83</v>
      </c>
      <c r="O2898" s="23" t="s">
        <v>227</v>
      </c>
      <c r="P2898">
        <v>124.97999999999999</v>
      </c>
      <c r="Q2898" s="23" t="s">
        <v>181</v>
      </c>
    </row>
    <row r="2899" spans="1:17" x14ac:dyDescent="0.25">
      <c r="A2899" s="23" t="s">
        <v>1149</v>
      </c>
      <c r="B2899" s="23" t="s">
        <v>1145</v>
      </c>
      <c r="C2899" s="23" t="s">
        <v>176</v>
      </c>
      <c r="D2899" s="23" t="s">
        <v>563</v>
      </c>
      <c r="E2899" s="23" t="s">
        <v>564</v>
      </c>
      <c r="F2899">
        <v>7</v>
      </c>
      <c r="G2899" s="23" t="s">
        <v>177</v>
      </c>
      <c r="H2899">
        <v>0</v>
      </c>
      <c r="I2899">
        <v>3000</v>
      </c>
      <c r="J2899" s="10">
        <v>0</v>
      </c>
      <c r="K2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899">
        <v>0</v>
      </c>
      <c r="M28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899">
        <v>0.7</v>
      </c>
      <c r="O2899" s="23" t="s">
        <v>242</v>
      </c>
      <c r="P2899">
        <v>4.8999999999999995</v>
      </c>
      <c r="Q2899" s="23" t="s">
        <v>181</v>
      </c>
    </row>
    <row r="2900" spans="1:17" x14ac:dyDescent="0.25">
      <c r="A2900" s="23" t="s">
        <v>1150</v>
      </c>
      <c r="B2900" s="23" t="s">
        <v>1145</v>
      </c>
      <c r="C2900" s="23" t="s">
        <v>176</v>
      </c>
      <c r="D2900" s="23" t="s">
        <v>403</v>
      </c>
      <c r="E2900" s="23" t="s">
        <v>404</v>
      </c>
      <c r="F2900">
        <v>1</v>
      </c>
      <c r="G2900" s="23" t="s">
        <v>177</v>
      </c>
      <c r="H2900">
        <v>0</v>
      </c>
      <c r="I2900">
        <v>28</v>
      </c>
      <c r="J2900" s="10">
        <v>12</v>
      </c>
      <c r="K2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00">
        <v>0</v>
      </c>
      <c r="M29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0">
        <v>15</v>
      </c>
      <c r="O2900" s="23" t="s">
        <v>221</v>
      </c>
      <c r="P2900">
        <v>15</v>
      </c>
      <c r="Q2900" s="23" t="s">
        <v>222</v>
      </c>
    </row>
    <row r="2901" spans="1:17" x14ac:dyDescent="0.25">
      <c r="A2901" s="23" t="s">
        <v>1150</v>
      </c>
      <c r="B2901" s="23" t="s">
        <v>1145</v>
      </c>
      <c r="C2901" s="23" t="s">
        <v>176</v>
      </c>
      <c r="D2901" s="23" t="s">
        <v>612</v>
      </c>
      <c r="E2901" s="23" t="s">
        <v>613</v>
      </c>
      <c r="F2901">
        <v>15</v>
      </c>
      <c r="G2901" s="23" t="s">
        <v>183</v>
      </c>
      <c r="H2901">
        <v>0</v>
      </c>
      <c r="I2901">
        <v>136.5</v>
      </c>
      <c r="J2901" s="10">
        <v>5.5</v>
      </c>
      <c r="K2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901">
        <v>110.5</v>
      </c>
      <c r="M29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901">
        <v>200.15</v>
      </c>
      <c r="O2901" s="23" t="s">
        <v>224</v>
      </c>
      <c r="P2901">
        <v>3002.25</v>
      </c>
      <c r="Q2901" s="23" t="s">
        <v>182</v>
      </c>
    </row>
    <row r="2902" spans="1:17" x14ac:dyDescent="0.25">
      <c r="A2902" s="23" t="s">
        <v>1097</v>
      </c>
      <c r="B2902" s="23" t="s">
        <v>1095</v>
      </c>
      <c r="C2902" s="23" t="s">
        <v>176</v>
      </c>
      <c r="D2902" s="23" t="s">
        <v>525</v>
      </c>
      <c r="E2902" s="23" t="s">
        <v>526</v>
      </c>
      <c r="F2902">
        <v>7</v>
      </c>
      <c r="G2902" s="23" t="s">
        <v>177</v>
      </c>
      <c r="H2902">
        <v>0</v>
      </c>
      <c r="I2902">
        <v>400</v>
      </c>
      <c r="J2902" s="10">
        <v>225</v>
      </c>
      <c r="K2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902">
        <v>0</v>
      </c>
      <c r="M29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2">
        <v>12</v>
      </c>
      <c r="O2902" s="23" t="s">
        <v>227</v>
      </c>
      <c r="P2902">
        <v>84</v>
      </c>
      <c r="Q2902" s="23" t="s">
        <v>181</v>
      </c>
    </row>
    <row r="2903" spans="1:17" x14ac:dyDescent="0.25">
      <c r="A2903" s="23" t="s">
        <v>1097</v>
      </c>
      <c r="B2903" s="23" t="s">
        <v>1095</v>
      </c>
      <c r="C2903" s="23" t="s">
        <v>176</v>
      </c>
      <c r="D2903" s="23" t="s">
        <v>527</v>
      </c>
      <c r="E2903" s="23" t="s">
        <v>528</v>
      </c>
      <c r="F2903">
        <v>1</v>
      </c>
      <c r="G2903" s="23" t="s">
        <v>180</v>
      </c>
      <c r="H2903">
        <v>0</v>
      </c>
      <c r="I2903">
        <v>20</v>
      </c>
      <c r="J2903" s="10">
        <v>2.6645352591003757E-15</v>
      </c>
      <c r="K2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2903">
        <v>0</v>
      </c>
      <c r="M29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3">
        <v>38.33</v>
      </c>
      <c r="O2903" s="23" t="s">
        <v>256</v>
      </c>
      <c r="P2903">
        <v>38.33</v>
      </c>
      <c r="Q2903" s="23" t="s">
        <v>181</v>
      </c>
    </row>
    <row r="2904" spans="1:17" x14ac:dyDescent="0.25">
      <c r="A2904" s="23" t="s">
        <v>1097</v>
      </c>
      <c r="B2904" s="23" t="s">
        <v>1095</v>
      </c>
      <c r="C2904" s="23" t="s">
        <v>176</v>
      </c>
      <c r="D2904" s="23" t="s">
        <v>674</v>
      </c>
      <c r="E2904" s="23" t="s">
        <v>675</v>
      </c>
      <c r="F2904">
        <v>7</v>
      </c>
      <c r="G2904" s="23" t="s">
        <v>177</v>
      </c>
      <c r="H2904">
        <v>0</v>
      </c>
      <c r="I2904">
        <v>150</v>
      </c>
      <c r="J2904" s="10">
        <v>78</v>
      </c>
      <c r="K2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904">
        <v>0</v>
      </c>
      <c r="M29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4">
        <v>20.83</v>
      </c>
      <c r="O2904" s="23" t="s">
        <v>227</v>
      </c>
      <c r="P2904">
        <v>145.81</v>
      </c>
      <c r="Q2904" s="23" t="s">
        <v>181</v>
      </c>
    </row>
    <row r="2905" spans="1:17" x14ac:dyDescent="0.25">
      <c r="A2905" s="23" t="s">
        <v>1097</v>
      </c>
      <c r="B2905" s="23" t="s">
        <v>1095</v>
      </c>
      <c r="C2905" s="23" t="s">
        <v>176</v>
      </c>
      <c r="D2905" s="23" t="s">
        <v>563</v>
      </c>
      <c r="E2905" s="23" t="s">
        <v>564</v>
      </c>
      <c r="F2905">
        <v>7</v>
      </c>
      <c r="G2905" s="23" t="s">
        <v>177</v>
      </c>
      <c r="H2905">
        <v>0</v>
      </c>
      <c r="I2905">
        <v>3000</v>
      </c>
      <c r="J2905" s="10">
        <v>0</v>
      </c>
      <c r="K2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905">
        <v>0</v>
      </c>
      <c r="M29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5">
        <v>0.7</v>
      </c>
      <c r="O2905" s="23" t="s">
        <v>242</v>
      </c>
      <c r="P2905">
        <v>4.8999999999999995</v>
      </c>
      <c r="Q2905" s="23" t="s">
        <v>181</v>
      </c>
    </row>
    <row r="2906" spans="1:17" x14ac:dyDescent="0.25">
      <c r="A2906" s="23" t="s">
        <v>1144</v>
      </c>
      <c r="B2906" s="23" t="s">
        <v>1145</v>
      </c>
      <c r="C2906" s="23" t="s">
        <v>176</v>
      </c>
      <c r="D2906" s="23" t="s">
        <v>403</v>
      </c>
      <c r="E2906" s="23" t="s">
        <v>404</v>
      </c>
      <c r="F2906">
        <v>1</v>
      </c>
      <c r="G2906" s="23" t="s">
        <v>177</v>
      </c>
      <c r="H2906">
        <v>0</v>
      </c>
      <c r="I2906">
        <v>28</v>
      </c>
      <c r="J2906" s="10">
        <v>12</v>
      </c>
      <c r="K2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06">
        <v>0</v>
      </c>
      <c r="M29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6">
        <v>15</v>
      </c>
      <c r="O2906" s="23" t="s">
        <v>221</v>
      </c>
      <c r="P2906">
        <v>15</v>
      </c>
      <c r="Q2906" s="23" t="s">
        <v>222</v>
      </c>
    </row>
    <row r="2907" spans="1:17" x14ac:dyDescent="0.25">
      <c r="A2907" s="23" t="s">
        <v>1099</v>
      </c>
      <c r="B2907" s="23" t="s">
        <v>1056</v>
      </c>
      <c r="C2907" s="23" t="s">
        <v>176</v>
      </c>
      <c r="D2907" s="23" t="s">
        <v>467</v>
      </c>
      <c r="E2907" s="23" t="s">
        <v>468</v>
      </c>
      <c r="F2907">
        <v>110</v>
      </c>
      <c r="G2907" s="23" t="s">
        <v>177</v>
      </c>
      <c r="H2907">
        <v>0</v>
      </c>
      <c r="I2907">
        <v>7500</v>
      </c>
      <c r="J2907" s="10">
        <v>0</v>
      </c>
      <c r="K2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07">
        <v>0</v>
      </c>
      <c r="M29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7">
        <v>0.8</v>
      </c>
      <c r="O2907" s="23" t="s">
        <v>827</v>
      </c>
      <c r="P2907">
        <v>88</v>
      </c>
      <c r="Q2907" s="23" t="s">
        <v>181</v>
      </c>
    </row>
    <row r="2908" spans="1:17" x14ac:dyDescent="0.25">
      <c r="A2908" s="23" t="s">
        <v>1099</v>
      </c>
      <c r="B2908" s="23" t="s">
        <v>1056</v>
      </c>
      <c r="C2908" s="23" t="s">
        <v>176</v>
      </c>
      <c r="D2908" s="23" t="s">
        <v>559</v>
      </c>
      <c r="E2908" s="23" t="s">
        <v>560</v>
      </c>
      <c r="F2908">
        <v>1</v>
      </c>
      <c r="G2908" s="23" t="s">
        <v>177</v>
      </c>
      <c r="H2908">
        <v>1</v>
      </c>
      <c r="I2908">
        <v>46</v>
      </c>
      <c r="J2908" s="10">
        <v>85.88</v>
      </c>
      <c r="K2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2908">
        <v>0</v>
      </c>
      <c r="M29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8">
        <v>55</v>
      </c>
      <c r="O2908" s="23" t="s">
        <v>242</v>
      </c>
      <c r="P2908">
        <v>55</v>
      </c>
      <c r="Q2908" s="23" t="s">
        <v>181</v>
      </c>
    </row>
    <row r="2909" spans="1:17" x14ac:dyDescent="0.25">
      <c r="A2909" s="23" t="s">
        <v>1100</v>
      </c>
      <c r="B2909" s="23" t="s">
        <v>1101</v>
      </c>
      <c r="C2909" s="23" t="s">
        <v>176</v>
      </c>
      <c r="D2909" s="23" t="s">
        <v>559</v>
      </c>
      <c r="E2909" s="23" t="s">
        <v>560</v>
      </c>
      <c r="F2909">
        <v>3</v>
      </c>
      <c r="G2909" s="23" t="s">
        <v>177</v>
      </c>
      <c r="H2909">
        <v>0</v>
      </c>
      <c r="I2909">
        <v>46</v>
      </c>
      <c r="J2909" s="10">
        <v>85.88</v>
      </c>
      <c r="K2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2909">
        <v>0</v>
      </c>
      <c r="M29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09">
        <v>55</v>
      </c>
      <c r="O2909" s="23" t="s">
        <v>242</v>
      </c>
      <c r="P2909">
        <v>165</v>
      </c>
      <c r="Q2909" s="23" t="s">
        <v>181</v>
      </c>
    </row>
    <row r="2910" spans="1:17" x14ac:dyDescent="0.25">
      <c r="A2910" s="23" t="s">
        <v>1058</v>
      </c>
      <c r="B2910" s="23" t="s">
        <v>1059</v>
      </c>
      <c r="C2910" s="23" t="s">
        <v>176</v>
      </c>
      <c r="D2910" s="23" t="s">
        <v>559</v>
      </c>
      <c r="E2910" s="23" t="s">
        <v>560</v>
      </c>
      <c r="F2910">
        <v>4.25</v>
      </c>
      <c r="G2910" s="23" t="s">
        <v>177</v>
      </c>
      <c r="H2910">
        <v>4.25</v>
      </c>
      <c r="I2910">
        <v>46</v>
      </c>
      <c r="J2910" s="10">
        <v>85.88</v>
      </c>
      <c r="K2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2910">
        <v>0</v>
      </c>
      <c r="M29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0">
        <v>55</v>
      </c>
      <c r="O2910" s="23" t="s">
        <v>242</v>
      </c>
      <c r="P2910">
        <v>233.75</v>
      </c>
      <c r="Q2910" s="23" t="s">
        <v>181</v>
      </c>
    </row>
    <row r="2911" spans="1:17" x14ac:dyDescent="0.25">
      <c r="A2911" s="23" t="s">
        <v>1058</v>
      </c>
      <c r="B2911" s="23" t="s">
        <v>1059</v>
      </c>
      <c r="C2911" s="23" t="s">
        <v>176</v>
      </c>
      <c r="D2911" s="23" t="s">
        <v>13</v>
      </c>
      <c r="E2911" s="23" t="s">
        <v>14</v>
      </c>
      <c r="F2911">
        <v>1</v>
      </c>
      <c r="G2911" s="23" t="s">
        <v>180</v>
      </c>
      <c r="H2911">
        <v>0</v>
      </c>
      <c r="I2911">
        <v>100</v>
      </c>
      <c r="J2911" s="10">
        <v>-4.5474735088646412E-13</v>
      </c>
      <c r="K2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2911">
        <v>0</v>
      </c>
      <c r="M29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1">
        <v>24</v>
      </c>
      <c r="O2911" s="23" t="s">
        <v>636</v>
      </c>
      <c r="P2911">
        <v>24</v>
      </c>
      <c r="Q2911" s="23" t="s">
        <v>222</v>
      </c>
    </row>
    <row r="2912" spans="1:17" x14ac:dyDescent="0.25">
      <c r="A2912" s="23" t="s">
        <v>1147</v>
      </c>
      <c r="B2912" s="23" t="s">
        <v>1145</v>
      </c>
      <c r="C2912" s="23" t="s">
        <v>176</v>
      </c>
      <c r="D2912" s="23" t="s">
        <v>209</v>
      </c>
      <c r="E2912" s="23" t="s">
        <v>286</v>
      </c>
      <c r="F2912">
        <v>6</v>
      </c>
      <c r="G2912" s="23" t="s">
        <v>177</v>
      </c>
      <c r="H2912">
        <v>0</v>
      </c>
      <c r="I2912">
        <v>2600</v>
      </c>
      <c r="J2912" s="10">
        <v>292</v>
      </c>
      <c r="K2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912">
        <v>0</v>
      </c>
      <c r="M29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2">
        <v>0.4</v>
      </c>
      <c r="O2912" s="23" t="s">
        <v>242</v>
      </c>
      <c r="P2912">
        <v>2.4000000000000004</v>
      </c>
      <c r="Q2912" s="23" t="s">
        <v>181</v>
      </c>
    </row>
    <row r="2913" spans="1:17" x14ac:dyDescent="0.25">
      <c r="A2913" s="23" t="s">
        <v>1147</v>
      </c>
      <c r="B2913" s="23" t="s">
        <v>1145</v>
      </c>
      <c r="C2913" s="23" t="s">
        <v>176</v>
      </c>
      <c r="D2913" s="23" t="s">
        <v>362</v>
      </c>
      <c r="E2913" s="23" t="s">
        <v>363</v>
      </c>
      <c r="F2913">
        <v>7.5</v>
      </c>
      <c r="G2913" s="23" t="s">
        <v>180</v>
      </c>
      <c r="H2913">
        <v>0</v>
      </c>
      <c r="I2913">
        <v>200</v>
      </c>
      <c r="J2913" s="10">
        <v>39.999999999999659</v>
      </c>
      <c r="K2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913">
        <v>0</v>
      </c>
      <c r="M29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3">
        <v>22.5</v>
      </c>
      <c r="O2913" s="23" t="s">
        <v>315</v>
      </c>
      <c r="P2913">
        <v>168.75</v>
      </c>
      <c r="Q2913" s="23" t="s">
        <v>179</v>
      </c>
    </row>
    <row r="2914" spans="1:17" x14ac:dyDescent="0.25">
      <c r="A2914" s="23" t="s">
        <v>1148</v>
      </c>
      <c r="B2914" s="23" t="s">
        <v>1054</v>
      </c>
      <c r="C2914" s="23" t="s">
        <v>176</v>
      </c>
      <c r="D2914" s="23" t="s">
        <v>362</v>
      </c>
      <c r="E2914" s="23" t="s">
        <v>363</v>
      </c>
      <c r="F2914">
        <v>5.5</v>
      </c>
      <c r="G2914" s="23" t="s">
        <v>180</v>
      </c>
      <c r="H2914">
        <v>0</v>
      </c>
      <c r="I2914">
        <v>200</v>
      </c>
      <c r="J2914" s="10">
        <v>39.999999999999659</v>
      </c>
      <c r="K2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2914">
        <v>0</v>
      </c>
      <c r="M29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4">
        <v>22.5</v>
      </c>
      <c r="O2914" s="23" t="s">
        <v>315</v>
      </c>
      <c r="P2914">
        <v>123.75</v>
      </c>
      <c r="Q2914" s="23" t="s">
        <v>179</v>
      </c>
    </row>
    <row r="2915" spans="1:17" x14ac:dyDescent="0.25">
      <c r="A2915" s="23" t="s">
        <v>1147</v>
      </c>
      <c r="B2915" s="23" t="s">
        <v>1145</v>
      </c>
      <c r="C2915" s="23" t="s">
        <v>176</v>
      </c>
      <c r="D2915" s="23" t="s">
        <v>467</v>
      </c>
      <c r="E2915" s="23" t="s">
        <v>468</v>
      </c>
      <c r="F2915">
        <v>110</v>
      </c>
      <c r="G2915" s="23" t="s">
        <v>177</v>
      </c>
      <c r="H2915">
        <v>0</v>
      </c>
      <c r="I2915">
        <v>7500</v>
      </c>
      <c r="J2915" s="10">
        <v>0</v>
      </c>
      <c r="K2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15">
        <v>0</v>
      </c>
      <c r="M29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5">
        <v>0.8</v>
      </c>
      <c r="O2915" s="23" t="s">
        <v>827</v>
      </c>
      <c r="P2915">
        <v>88</v>
      </c>
      <c r="Q2915" s="23" t="s">
        <v>181</v>
      </c>
    </row>
    <row r="2916" spans="1:17" x14ac:dyDescent="0.25">
      <c r="A2916" s="23" t="s">
        <v>1148</v>
      </c>
      <c r="B2916" s="23" t="s">
        <v>1054</v>
      </c>
      <c r="C2916" s="23" t="s">
        <v>176</v>
      </c>
      <c r="D2916" s="23" t="s">
        <v>467</v>
      </c>
      <c r="E2916" s="23" t="s">
        <v>468</v>
      </c>
      <c r="F2916">
        <v>80</v>
      </c>
      <c r="G2916" s="23" t="s">
        <v>177</v>
      </c>
      <c r="H2916">
        <v>0</v>
      </c>
      <c r="I2916">
        <v>7500</v>
      </c>
      <c r="J2916" s="10">
        <v>0</v>
      </c>
      <c r="K2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2916">
        <v>0</v>
      </c>
      <c r="M29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6">
        <v>0.8</v>
      </c>
      <c r="O2916" s="23" t="s">
        <v>827</v>
      </c>
      <c r="P2916">
        <v>64</v>
      </c>
      <c r="Q2916" s="23" t="s">
        <v>181</v>
      </c>
    </row>
    <row r="2917" spans="1:17" x14ac:dyDescent="0.25">
      <c r="A2917" s="23" t="s">
        <v>1147</v>
      </c>
      <c r="B2917" s="23" t="s">
        <v>1145</v>
      </c>
      <c r="C2917" s="23" t="s">
        <v>176</v>
      </c>
      <c r="D2917" s="23" t="s">
        <v>559</v>
      </c>
      <c r="E2917" s="23" t="s">
        <v>560</v>
      </c>
      <c r="F2917">
        <v>4.25</v>
      </c>
      <c r="G2917" s="23" t="s">
        <v>177</v>
      </c>
      <c r="H2917">
        <v>0</v>
      </c>
      <c r="I2917">
        <v>46</v>
      </c>
      <c r="J2917" s="10">
        <v>85.88</v>
      </c>
      <c r="K2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2917">
        <v>0</v>
      </c>
      <c r="M29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7">
        <v>55</v>
      </c>
      <c r="O2917" s="23" t="s">
        <v>242</v>
      </c>
      <c r="P2917">
        <v>233.75</v>
      </c>
      <c r="Q2917" s="23" t="s">
        <v>181</v>
      </c>
    </row>
    <row r="2918" spans="1:17" x14ac:dyDescent="0.25">
      <c r="A2918" s="23" t="s">
        <v>1100</v>
      </c>
      <c r="B2918" s="23" t="s">
        <v>1101</v>
      </c>
      <c r="C2918" s="23" t="s">
        <v>176</v>
      </c>
      <c r="D2918" s="23" t="s">
        <v>1123</v>
      </c>
      <c r="E2918" s="23" t="s">
        <v>1124</v>
      </c>
      <c r="F2918">
        <v>1</v>
      </c>
      <c r="G2918" s="23" t="s">
        <v>177</v>
      </c>
      <c r="H2918">
        <v>0</v>
      </c>
      <c r="I2918">
        <v>4</v>
      </c>
      <c r="J2918" s="10">
        <v>0</v>
      </c>
      <c r="K2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918">
        <v>0</v>
      </c>
      <c r="M29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8">
        <v>3899.59</v>
      </c>
      <c r="O2918" s="23" t="s">
        <v>637</v>
      </c>
      <c r="P2918">
        <v>3899.59</v>
      </c>
      <c r="Q2918" s="23" t="s">
        <v>178</v>
      </c>
    </row>
    <row r="2919" spans="1:17" x14ac:dyDescent="0.25">
      <c r="A2919" s="23" t="s">
        <v>1144</v>
      </c>
      <c r="B2919" s="23" t="s">
        <v>1145</v>
      </c>
      <c r="C2919" s="23" t="s">
        <v>176</v>
      </c>
      <c r="D2919" s="23" t="s">
        <v>1045</v>
      </c>
      <c r="E2919" s="23" t="s">
        <v>1046</v>
      </c>
      <c r="F2919">
        <v>2</v>
      </c>
      <c r="G2919" s="23" t="s">
        <v>177</v>
      </c>
      <c r="H2919">
        <v>0</v>
      </c>
      <c r="I2919">
        <v>233</v>
      </c>
      <c r="J2919" s="10">
        <v>0</v>
      </c>
      <c r="K2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2919">
        <v>0</v>
      </c>
      <c r="M29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19">
        <v>7</v>
      </c>
      <c r="O2919" s="23" t="s">
        <v>227</v>
      </c>
      <c r="P2919">
        <v>14</v>
      </c>
      <c r="Q2919" s="23" t="s">
        <v>181</v>
      </c>
    </row>
    <row r="2920" spans="1:17" x14ac:dyDescent="0.25">
      <c r="A2920" s="23" t="s">
        <v>1149</v>
      </c>
      <c r="B2920" s="23" t="s">
        <v>1145</v>
      </c>
      <c r="C2920" s="23" t="s">
        <v>176</v>
      </c>
      <c r="D2920" s="23" t="s">
        <v>95</v>
      </c>
      <c r="E2920" s="23" t="s">
        <v>96</v>
      </c>
      <c r="F2920">
        <v>1</v>
      </c>
      <c r="G2920" s="23" t="s">
        <v>177</v>
      </c>
      <c r="H2920">
        <v>0</v>
      </c>
      <c r="I2920">
        <v>13</v>
      </c>
      <c r="J2920" s="10">
        <v>6</v>
      </c>
      <c r="K2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20">
        <v>0</v>
      </c>
      <c r="M29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0">
        <v>1145.83</v>
      </c>
      <c r="O2920" s="23" t="s">
        <v>249</v>
      </c>
      <c r="P2920">
        <v>1145.83</v>
      </c>
      <c r="Q2920" s="23" t="s">
        <v>178</v>
      </c>
    </row>
    <row r="2921" spans="1:17" x14ac:dyDescent="0.25">
      <c r="A2921" s="23" t="s">
        <v>1146</v>
      </c>
      <c r="B2921" s="23" t="s">
        <v>1145</v>
      </c>
      <c r="C2921" s="23" t="s">
        <v>176</v>
      </c>
      <c r="D2921" s="23" t="s">
        <v>95</v>
      </c>
      <c r="E2921" s="23" t="s">
        <v>96</v>
      </c>
      <c r="F2921">
        <v>1</v>
      </c>
      <c r="G2921" s="23" t="s">
        <v>177</v>
      </c>
      <c r="H2921">
        <v>0</v>
      </c>
      <c r="I2921">
        <v>13</v>
      </c>
      <c r="J2921" s="10">
        <v>6</v>
      </c>
      <c r="K2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21">
        <v>0</v>
      </c>
      <c r="M29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1">
        <v>1145.83</v>
      </c>
      <c r="O2921" s="23" t="s">
        <v>249</v>
      </c>
      <c r="P2921">
        <v>1145.83</v>
      </c>
      <c r="Q2921" s="23" t="s">
        <v>178</v>
      </c>
    </row>
    <row r="2922" spans="1:17" x14ac:dyDescent="0.25">
      <c r="A2922" s="23" t="s">
        <v>1144</v>
      </c>
      <c r="B2922" s="23" t="s">
        <v>1145</v>
      </c>
      <c r="C2922" s="23" t="s">
        <v>176</v>
      </c>
      <c r="D2922" s="23" t="s">
        <v>812</v>
      </c>
      <c r="E2922" s="23" t="s">
        <v>813</v>
      </c>
      <c r="F2922">
        <v>4</v>
      </c>
      <c r="G2922" s="23" t="s">
        <v>177</v>
      </c>
      <c r="H2922">
        <v>0</v>
      </c>
      <c r="I2922">
        <v>100</v>
      </c>
      <c r="J2922" s="10">
        <v>138</v>
      </c>
      <c r="K2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2922">
        <v>0</v>
      </c>
      <c r="M29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2">
        <v>8</v>
      </c>
      <c r="O2922" s="23" t="s">
        <v>883</v>
      </c>
      <c r="P2922">
        <v>32</v>
      </c>
      <c r="Q2922" s="23" t="s">
        <v>179</v>
      </c>
    </row>
    <row r="2923" spans="1:17" x14ac:dyDescent="0.25">
      <c r="A2923" s="23" t="s">
        <v>1150</v>
      </c>
      <c r="B2923" s="23" t="s">
        <v>1145</v>
      </c>
      <c r="C2923" s="23" t="s">
        <v>176</v>
      </c>
      <c r="D2923" s="23" t="s">
        <v>209</v>
      </c>
      <c r="E2923" s="23" t="s">
        <v>286</v>
      </c>
      <c r="F2923">
        <v>6</v>
      </c>
      <c r="G2923" s="23" t="s">
        <v>177</v>
      </c>
      <c r="H2923">
        <v>0</v>
      </c>
      <c r="I2923">
        <v>2600</v>
      </c>
      <c r="J2923" s="10">
        <v>292</v>
      </c>
      <c r="K2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2923">
        <v>0</v>
      </c>
      <c r="M29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3">
        <v>0.4</v>
      </c>
      <c r="O2923" s="23" t="s">
        <v>242</v>
      </c>
      <c r="P2923">
        <v>2.4000000000000004</v>
      </c>
      <c r="Q2923" s="23" t="s">
        <v>181</v>
      </c>
    </row>
    <row r="2924" spans="1:17" x14ac:dyDescent="0.25">
      <c r="A2924" s="23" t="s">
        <v>1150</v>
      </c>
      <c r="B2924" s="23" t="s">
        <v>1145</v>
      </c>
      <c r="C2924" s="23" t="s">
        <v>176</v>
      </c>
      <c r="D2924" s="23" t="s">
        <v>1045</v>
      </c>
      <c r="E2924" s="23" t="s">
        <v>1046</v>
      </c>
      <c r="F2924">
        <v>2</v>
      </c>
      <c r="G2924" s="23" t="s">
        <v>177</v>
      </c>
      <c r="H2924">
        <v>0</v>
      </c>
      <c r="I2924">
        <v>233</v>
      </c>
      <c r="J2924" s="10">
        <v>0</v>
      </c>
      <c r="K2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2924">
        <v>0</v>
      </c>
      <c r="M29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4">
        <v>7</v>
      </c>
      <c r="O2924" s="23" t="s">
        <v>227</v>
      </c>
      <c r="P2924">
        <v>14</v>
      </c>
      <c r="Q2924" s="23" t="s">
        <v>181</v>
      </c>
    </row>
    <row r="2925" spans="1:17" x14ac:dyDescent="0.25">
      <c r="A2925" s="23" t="s">
        <v>1150</v>
      </c>
      <c r="B2925" s="23" t="s">
        <v>1145</v>
      </c>
      <c r="C2925" s="23" t="s">
        <v>176</v>
      </c>
      <c r="D2925" s="23" t="s">
        <v>95</v>
      </c>
      <c r="E2925" s="23" t="s">
        <v>96</v>
      </c>
      <c r="F2925">
        <v>1</v>
      </c>
      <c r="G2925" s="23" t="s">
        <v>177</v>
      </c>
      <c r="H2925">
        <v>0</v>
      </c>
      <c r="I2925">
        <v>13</v>
      </c>
      <c r="J2925" s="10">
        <v>6</v>
      </c>
      <c r="K2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25">
        <v>0</v>
      </c>
      <c r="M29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5">
        <v>1145.83</v>
      </c>
      <c r="O2925" s="23" t="s">
        <v>249</v>
      </c>
      <c r="P2925">
        <v>1145.83</v>
      </c>
      <c r="Q2925" s="23" t="s">
        <v>178</v>
      </c>
    </row>
    <row r="2926" spans="1:17" x14ac:dyDescent="0.25">
      <c r="A2926" s="23" t="s">
        <v>1150</v>
      </c>
      <c r="B2926" s="23" t="s">
        <v>1145</v>
      </c>
      <c r="C2926" s="23" t="s">
        <v>176</v>
      </c>
      <c r="D2926" s="23" t="s">
        <v>812</v>
      </c>
      <c r="E2926" s="23" t="s">
        <v>813</v>
      </c>
      <c r="F2926">
        <v>4</v>
      </c>
      <c r="G2926" s="23" t="s">
        <v>177</v>
      </c>
      <c r="H2926">
        <v>0</v>
      </c>
      <c r="I2926">
        <v>100</v>
      </c>
      <c r="J2926" s="10">
        <v>138</v>
      </c>
      <c r="K2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2926">
        <v>0</v>
      </c>
      <c r="M29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6">
        <v>8</v>
      </c>
      <c r="O2926" s="23" t="s">
        <v>883</v>
      </c>
      <c r="P2926">
        <v>32</v>
      </c>
      <c r="Q2926" s="23" t="s">
        <v>179</v>
      </c>
    </row>
    <row r="2927" spans="1:17" x14ac:dyDescent="0.25">
      <c r="A2927" s="23" t="s">
        <v>1144</v>
      </c>
      <c r="B2927" s="23" t="s">
        <v>1145</v>
      </c>
      <c r="C2927" s="23" t="s">
        <v>176</v>
      </c>
      <c r="D2927" s="23" t="s">
        <v>481</v>
      </c>
      <c r="E2927" s="23" t="s">
        <v>482</v>
      </c>
      <c r="F2927">
        <v>16</v>
      </c>
      <c r="G2927" s="23" t="s">
        <v>177</v>
      </c>
      <c r="H2927">
        <v>0</v>
      </c>
      <c r="I2927">
        <v>442</v>
      </c>
      <c r="J2927" s="10">
        <v>0</v>
      </c>
      <c r="K2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927">
        <v>0</v>
      </c>
      <c r="M29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7">
        <v>9.35</v>
      </c>
      <c r="O2927" s="23" t="s">
        <v>883</v>
      </c>
      <c r="P2927">
        <v>149.6</v>
      </c>
      <c r="Q2927" s="23" t="s">
        <v>181</v>
      </c>
    </row>
    <row r="2928" spans="1:17" x14ac:dyDescent="0.25">
      <c r="A2928" s="23" t="s">
        <v>1146</v>
      </c>
      <c r="B2928" s="23" t="s">
        <v>1145</v>
      </c>
      <c r="C2928" s="23" t="s">
        <v>176</v>
      </c>
      <c r="D2928" s="23" t="s">
        <v>481</v>
      </c>
      <c r="E2928" s="23" t="s">
        <v>482</v>
      </c>
      <c r="F2928">
        <v>16</v>
      </c>
      <c r="G2928" s="23" t="s">
        <v>177</v>
      </c>
      <c r="H2928">
        <v>0</v>
      </c>
      <c r="I2928">
        <v>442</v>
      </c>
      <c r="J2928" s="10">
        <v>0</v>
      </c>
      <c r="K2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928">
        <v>0</v>
      </c>
      <c r="M29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8">
        <v>9.35</v>
      </c>
      <c r="O2928" s="23" t="s">
        <v>883</v>
      </c>
      <c r="P2928">
        <v>149.6</v>
      </c>
      <c r="Q2928" s="23" t="s">
        <v>181</v>
      </c>
    </row>
    <row r="2929" spans="1:17" x14ac:dyDescent="0.25">
      <c r="A2929" s="23" t="s">
        <v>1146</v>
      </c>
      <c r="B2929" s="23" t="s">
        <v>1145</v>
      </c>
      <c r="C2929" s="23" t="s">
        <v>176</v>
      </c>
      <c r="D2929" s="23" t="s">
        <v>449</v>
      </c>
      <c r="E2929" s="23" t="s">
        <v>450</v>
      </c>
      <c r="F2929">
        <v>2</v>
      </c>
      <c r="G2929" s="23" t="s">
        <v>177</v>
      </c>
      <c r="H2929">
        <v>0</v>
      </c>
      <c r="I2929">
        <v>15</v>
      </c>
      <c r="J2929" s="10">
        <v>14</v>
      </c>
      <c r="K2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929">
        <v>15</v>
      </c>
      <c r="M29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29">
        <v>65.709999999999994</v>
      </c>
      <c r="O2929" s="23" t="s">
        <v>228</v>
      </c>
      <c r="P2929">
        <v>131.41999999999999</v>
      </c>
      <c r="Q2929" s="23" t="s">
        <v>222</v>
      </c>
    </row>
    <row r="2930" spans="1:17" x14ac:dyDescent="0.25">
      <c r="A2930" s="23" t="s">
        <v>1149</v>
      </c>
      <c r="B2930" s="23" t="s">
        <v>1145</v>
      </c>
      <c r="C2930" s="23" t="s">
        <v>176</v>
      </c>
      <c r="D2930" s="23" t="s">
        <v>449</v>
      </c>
      <c r="E2930" s="23" t="s">
        <v>450</v>
      </c>
      <c r="F2930">
        <v>2</v>
      </c>
      <c r="G2930" s="23" t="s">
        <v>177</v>
      </c>
      <c r="H2930">
        <v>0</v>
      </c>
      <c r="I2930">
        <v>15</v>
      </c>
      <c r="J2930" s="10">
        <v>14</v>
      </c>
      <c r="K2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930">
        <v>15</v>
      </c>
      <c r="M29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0">
        <v>65.709999999999994</v>
      </c>
      <c r="O2930" s="23" t="s">
        <v>228</v>
      </c>
      <c r="P2930">
        <v>131.41999999999999</v>
      </c>
      <c r="Q2930" s="23" t="s">
        <v>222</v>
      </c>
    </row>
    <row r="2931" spans="1:17" x14ac:dyDescent="0.25">
      <c r="A2931" s="23" t="s">
        <v>1144</v>
      </c>
      <c r="B2931" s="23" t="s">
        <v>1145</v>
      </c>
      <c r="C2931" s="23" t="s">
        <v>176</v>
      </c>
      <c r="D2931" s="23" t="s">
        <v>970</v>
      </c>
      <c r="E2931" s="23" t="s">
        <v>971</v>
      </c>
      <c r="F2931">
        <v>0.36</v>
      </c>
      <c r="G2931" s="23" t="s">
        <v>183</v>
      </c>
      <c r="H2931">
        <v>0</v>
      </c>
      <c r="I2931">
        <v>0</v>
      </c>
      <c r="J2931" s="10">
        <v>30.760000000000009</v>
      </c>
      <c r="K2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2931">
        <v>0</v>
      </c>
      <c r="M29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2931">
        <v>1748.21</v>
      </c>
      <c r="O2931" s="23" t="s">
        <v>224</v>
      </c>
      <c r="P2931">
        <v>629.35559999999998</v>
      </c>
      <c r="Q2931" s="23" t="s">
        <v>182</v>
      </c>
    </row>
    <row r="2932" spans="1:17" x14ac:dyDescent="0.25">
      <c r="A2932" s="23" t="s">
        <v>1149</v>
      </c>
      <c r="B2932" s="23" t="s">
        <v>1145</v>
      </c>
      <c r="C2932" s="23" t="s">
        <v>176</v>
      </c>
      <c r="D2932" s="23" t="s">
        <v>1156</v>
      </c>
      <c r="E2932" s="23" t="s">
        <v>1157</v>
      </c>
      <c r="F2932">
        <v>4</v>
      </c>
      <c r="G2932" s="23" t="s">
        <v>177</v>
      </c>
      <c r="H2932">
        <v>0</v>
      </c>
      <c r="I2932">
        <v>0</v>
      </c>
      <c r="J2932" s="10">
        <v>0</v>
      </c>
      <c r="K2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2932">
        <v>0</v>
      </c>
      <c r="M29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2932">
        <v>0.88</v>
      </c>
      <c r="O2932" s="23" t="s">
        <v>636</v>
      </c>
      <c r="P2932">
        <v>3.52</v>
      </c>
      <c r="Q2932" s="23" t="s">
        <v>222</v>
      </c>
    </row>
    <row r="2933" spans="1:17" x14ac:dyDescent="0.25">
      <c r="A2933" s="23" t="s">
        <v>1146</v>
      </c>
      <c r="B2933" s="23" t="s">
        <v>1145</v>
      </c>
      <c r="C2933" s="23" t="s">
        <v>176</v>
      </c>
      <c r="D2933" s="23" t="s">
        <v>739</v>
      </c>
      <c r="E2933" s="23" t="s">
        <v>740</v>
      </c>
      <c r="F2933">
        <v>1</v>
      </c>
      <c r="G2933" s="23" t="s">
        <v>177</v>
      </c>
      <c r="H2933">
        <v>0</v>
      </c>
      <c r="I2933">
        <v>12</v>
      </c>
      <c r="J2933" s="10">
        <v>14</v>
      </c>
      <c r="K2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933">
        <v>0</v>
      </c>
      <c r="M29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933">
        <v>116.67</v>
      </c>
      <c r="O2933" s="23" t="s">
        <v>668</v>
      </c>
      <c r="P2933">
        <v>116.67</v>
      </c>
      <c r="Q2933" s="23" t="s">
        <v>178</v>
      </c>
    </row>
    <row r="2934" spans="1:17" x14ac:dyDescent="0.25">
      <c r="A2934" s="23" t="s">
        <v>1146</v>
      </c>
      <c r="B2934" s="23" t="s">
        <v>1145</v>
      </c>
      <c r="C2934" s="23" t="s">
        <v>176</v>
      </c>
      <c r="D2934" s="23" t="s">
        <v>403</v>
      </c>
      <c r="E2934" s="23" t="s">
        <v>404</v>
      </c>
      <c r="F2934">
        <v>1</v>
      </c>
      <c r="G2934" s="23" t="s">
        <v>177</v>
      </c>
      <c r="H2934">
        <v>0</v>
      </c>
      <c r="I2934">
        <v>28</v>
      </c>
      <c r="J2934" s="10">
        <v>12</v>
      </c>
      <c r="K2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34">
        <v>0</v>
      </c>
      <c r="M29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4">
        <v>15</v>
      </c>
      <c r="O2934" s="23" t="s">
        <v>221</v>
      </c>
      <c r="P2934">
        <v>15</v>
      </c>
      <c r="Q2934" s="23" t="s">
        <v>222</v>
      </c>
    </row>
    <row r="2935" spans="1:17" x14ac:dyDescent="0.25">
      <c r="A2935" s="23" t="s">
        <v>1146</v>
      </c>
      <c r="B2935" s="23" t="s">
        <v>1145</v>
      </c>
      <c r="C2935" s="23" t="s">
        <v>176</v>
      </c>
      <c r="D2935" s="23" t="s">
        <v>612</v>
      </c>
      <c r="E2935" s="23" t="s">
        <v>613</v>
      </c>
      <c r="F2935">
        <v>15</v>
      </c>
      <c r="G2935" s="23" t="s">
        <v>183</v>
      </c>
      <c r="H2935">
        <v>0</v>
      </c>
      <c r="I2935">
        <v>136.5</v>
      </c>
      <c r="J2935" s="10">
        <v>5.5</v>
      </c>
      <c r="K2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935">
        <v>110.5</v>
      </c>
      <c r="M29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935">
        <v>200.15</v>
      </c>
      <c r="O2935" s="23" t="s">
        <v>224</v>
      </c>
      <c r="P2935">
        <v>3002.25</v>
      </c>
      <c r="Q2935" s="23" t="s">
        <v>182</v>
      </c>
    </row>
    <row r="2936" spans="1:17" x14ac:dyDescent="0.25">
      <c r="A2936" s="23" t="s">
        <v>1144</v>
      </c>
      <c r="B2936" s="23" t="s">
        <v>1145</v>
      </c>
      <c r="C2936" s="23" t="s">
        <v>176</v>
      </c>
      <c r="D2936" s="23" t="s">
        <v>612</v>
      </c>
      <c r="E2936" s="23" t="s">
        <v>613</v>
      </c>
      <c r="F2936">
        <v>15</v>
      </c>
      <c r="G2936" s="23" t="s">
        <v>183</v>
      </c>
      <c r="H2936">
        <v>0</v>
      </c>
      <c r="I2936">
        <v>136.5</v>
      </c>
      <c r="J2936" s="10">
        <v>5.5</v>
      </c>
      <c r="K2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936">
        <v>110.5</v>
      </c>
      <c r="M29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936">
        <v>200.15</v>
      </c>
      <c r="O2936" s="23" t="s">
        <v>224</v>
      </c>
      <c r="P2936">
        <v>3002.25</v>
      </c>
      <c r="Q2936" s="23" t="s">
        <v>182</v>
      </c>
    </row>
    <row r="2937" spans="1:17" x14ac:dyDescent="0.25">
      <c r="A2937" s="23" t="s">
        <v>1149</v>
      </c>
      <c r="B2937" s="23" t="s">
        <v>1145</v>
      </c>
      <c r="C2937" s="23" t="s">
        <v>176</v>
      </c>
      <c r="D2937" s="23" t="s">
        <v>403</v>
      </c>
      <c r="E2937" s="23" t="s">
        <v>404</v>
      </c>
      <c r="F2937">
        <v>1</v>
      </c>
      <c r="G2937" s="23" t="s">
        <v>177</v>
      </c>
      <c r="H2937">
        <v>0</v>
      </c>
      <c r="I2937">
        <v>28</v>
      </c>
      <c r="J2937" s="10">
        <v>12</v>
      </c>
      <c r="K2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37">
        <v>0</v>
      </c>
      <c r="M29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7">
        <v>15</v>
      </c>
      <c r="O2937" s="23" t="s">
        <v>221</v>
      </c>
      <c r="P2937">
        <v>15</v>
      </c>
      <c r="Q2937" s="23" t="s">
        <v>222</v>
      </c>
    </row>
    <row r="2938" spans="1:17" x14ac:dyDescent="0.25">
      <c r="A2938" s="23" t="s">
        <v>1098</v>
      </c>
      <c r="B2938" s="23" t="s">
        <v>1053</v>
      </c>
      <c r="C2938" s="23" t="s">
        <v>176</v>
      </c>
      <c r="D2938" s="23" t="s">
        <v>525</v>
      </c>
      <c r="E2938" s="23" t="s">
        <v>526</v>
      </c>
      <c r="F2938">
        <v>15</v>
      </c>
      <c r="G2938" s="23" t="s">
        <v>177</v>
      </c>
      <c r="H2938">
        <v>0</v>
      </c>
      <c r="I2938">
        <v>400</v>
      </c>
      <c r="J2938" s="10">
        <v>225</v>
      </c>
      <c r="K2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2938">
        <v>0</v>
      </c>
      <c r="M29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8">
        <v>12</v>
      </c>
      <c r="O2938" s="23" t="s">
        <v>227</v>
      </c>
      <c r="P2938">
        <v>180</v>
      </c>
      <c r="Q2938" s="23" t="s">
        <v>181</v>
      </c>
    </row>
    <row r="2939" spans="1:17" x14ac:dyDescent="0.25">
      <c r="A2939" s="23" t="s">
        <v>1197</v>
      </c>
      <c r="B2939" s="23" t="s">
        <v>1198</v>
      </c>
      <c r="C2939" s="23" t="s">
        <v>176</v>
      </c>
      <c r="D2939" s="23" t="s">
        <v>816</v>
      </c>
      <c r="E2939" s="23" t="s">
        <v>817</v>
      </c>
      <c r="F2939">
        <v>1</v>
      </c>
      <c r="G2939" s="23" t="s">
        <v>177</v>
      </c>
      <c r="H2939">
        <v>0</v>
      </c>
      <c r="I2939">
        <v>1</v>
      </c>
      <c r="J2939" s="10">
        <v>5</v>
      </c>
      <c r="K2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39">
        <v>0</v>
      </c>
      <c r="M29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39">
        <v>250</v>
      </c>
      <c r="O2939" s="23" t="s">
        <v>697</v>
      </c>
      <c r="P2939">
        <v>250</v>
      </c>
      <c r="Q2939" s="23" t="s">
        <v>179</v>
      </c>
    </row>
    <row r="2940" spans="1:17" x14ac:dyDescent="0.25">
      <c r="A2940" s="23" t="s">
        <v>1098</v>
      </c>
      <c r="B2940" s="23" t="s">
        <v>1053</v>
      </c>
      <c r="C2940" s="23" t="s">
        <v>176</v>
      </c>
      <c r="D2940" s="23" t="s">
        <v>403</v>
      </c>
      <c r="E2940" s="23" t="s">
        <v>404</v>
      </c>
      <c r="F2940">
        <v>1</v>
      </c>
      <c r="G2940" s="23" t="s">
        <v>177</v>
      </c>
      <c r="H2940">
        <v>0</v>
      </c>
      <c r="I2940">
        <v>28</v>
      </c>
      <c r="J2940" s="10">
        <v>12</v>
      </c>
      <c r="K2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40">
        <v>0</v>
      </c>
      <c r="M29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0">
        <v>15</v>
      </c>
      <c r="O2940" s="23" t="s">
        <v>221</v>
      </c>
      <c r="P2940">
        <v>15</v>
      </c>
      <c r="Q2940" s="23" t="s">
        <v>222</v>
      </c>
    </row>
    <row r="2941" spans="1:17" x14ac:dyDescent="0.25">
      <c r="A2941" s="23" t="s">
        <v>1197</v>
      </c>
      <c r="B2941" s="23" t="s">
        <v>1198</v>
      </c>
      <c r="C2941" s="23" t="s">
        <v>176</v>
      </c>
      <c r="D2941" s="23" t="s">
        <v>403</v>
      </c>
      <c r="E2941" s="23" t="s">
        <v>404</v>
      </c>
      <c r="F2941">
        <v>1</v>
      </c>
      <c r="G2941" s="23" t="s">
        <v>177</v>
      </c>
      <c r="H2941">
        <v>0</v>
      </c>
      <c r="I2941">
        <v>28</v>
      </c>
      <c r="J2941" s="10">
        <v>12</v>
      </c>
      <c r="K2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41">
        <v>0</v>
      </c>
      <c r="M29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1">
        <v>15</v>
      </c>
      <c r="O2941" s="23" t="s">
        <v>221</v>
      </c>
      <c r="P2941">
        <v>15</v>
      </c>
      <c r="Q2941" s="23" t="s">
        <v>222</v>
      </c>
    </row>
    <row r="2942" spans="1:17" x14ac:dyDescent="0.25">
      <c r="A2942" s="23" t="s">
        <v>1149</v>
      </c>
      <c r="B2942" s="23" t="s">
        <v>1145</v>
      </c>
      <c r="C2942" s="23" t="s">
        <v>176</v>
      </c>
      <c r="D2942" s="23" t="s">
        <v>612</v>
      </c>
      <c r="E2942" s="23" t="s">
        <v>613</v>
      </c>
      <c r="F2942">
        <v>15</v>
      </c>
      <c r="G2942" s="23" t="s">
        <v>183</v>
      </c>
      <c r="H2942">
        <v>0</v>
      </c>
      <c r="I2942">
        <v>136.5</v>
      </c>
      <c r="J2942" s="10">
        <v>5.5</v>
      </c>
      <c r="K2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2942">
        <v>110.5</v>
      </c>
      <c r="M29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2942">
        <v>200.15</v>
      </c>
      <c r="O2942" s="23" t="s">
        <v>224</v>
      </c>
      <c r="P2942">
        <v>3002.25</v>
      </c>
      <c r="Q2942" s="23" t="s">
        <v>182</v>
      </c>
    </row>
    <row r="2943" spans="1:17" x14ac:dyDescent="0.25">
      <c r="A2943" s="23" t="s">
        <v>1094</v>
      </c>
      <c r="B2943" s="23" t="s">
        <v>1095</v>
      </c>
      <c r="C2943" s="23" t="s">
        <v>176</v>
      </c>
      <c r="D2943" s="23" t="s">
        <v>674</v>
      </c>
      <c r="E2943" s="23" t="s">
        <v>675</v>
      </c>
      <c r="F2943">
        <v>7</v>
      </c>
      <c r="G2943" s="23" t="s">
        <v>177</v>
      </c>
      <c r="H2943">
        <v>0</v>
      </c>
      <c r="I2943">
        <v>150</v>
      </c>
      <c r="J2943" s="10">
        <v>78</v>
      </c>
      <c r="K2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943">
        <v>0</v>
      </c>
      <c r="M29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3">
        <v>20.83</v>
      </c>
      <c r="O2943" s="23" t="s">
        <v>227</v>
      </c>
      <c r="P2943">
        <v>145.81</v>
      </c>
      <c r="Q2943" s="23" t="s">
        <v>181</v>
      </c>
    </row>
    <row r="2944" spans="1:17" x14ac:dyDescent="0.25">
      <c r="A2944" s="23" t="s">
        <v>1096</v>
      </c>
      <c r="B2944" s="23" t="s">
        <v>1053</v>
      </c>
      <c r="C2944" s="23" t="s">
        <v>176</v>
      </c>
      <c r="D2944" s="23" t="s">
        <v>674</v>
      </c>
      <c r="E2944" s="23" t="s">
        <v>675</v>
      </c>
      <c r="F2944">
        <v>7</v>
      </c>
      <c r="G2944" s="23" t="s">
        <v>177</v>
      </c>
      <c r="H2944">
        <v>0</v>
      </c>
      <c r="I2944">
        <v>150</v>
      </c>
      <c r="J2944" s="10">
        <v>78</v>
      </c>
      <c r="K2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2944">
        <v>0</v>
      </c>
      <c r="M29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4">
        <v>20.83</v>
      </c>
      <c r="O2944" s="23" t="s">
        <v>227</v>
      </c>
      <c r="P2944">
        <v>145.81</v>
      </c>
      <c r="Q2944" s="23" t="s">
        <v>181</v>
      </c>
    </row>
    <row r="2945" spans="1:17" x14ac:dyDescent="0.25">
      <c r="A2945" s="23" t="s">
        <v>1057</v>
      </c>
      <c r="B2945" s="23" t="s">
        <v>1056</v>
      </c>
      <c r="C2945" s="23" t="s">
        <v>176</v>
      </c>
      <c r="D2945" s="23" t="s">
        <v>563</v>
      </c>
      <c r="E2945" s="23" t="s">
        <v>564</v>
      </c>
      <c r="F2945">
        <v>11</v>
      </c>
      <c r="G2945" s="23" t="s">
        <v>177</v>
      </c>
      <c r="H2945">
        <v>0</v>
      </c>
      <c r="I2945">
        <v>3000</v>
      </c>
      <c r="J2945" s="10">
        <v>0</v>
      </c>
      <c r="K2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945">
        <v>0</v>
      </c>
      <c r="M29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5">
        <v>0.7</v>
      </c>
      <c r="O2945" s="23" t="s">
        <v>242</v>
      </c>
      <c r="P2945">
        <v>7.6999999999999993</v>
      </c>
      <c r="Q2945" s="23" t="s">
        <v>181</v>
      </c>
    </row>
    <row r="2946" spans="1:17" x14ac:dyDescent="0.25">
      <c r="A2946" s="23" t="s">
        <v>1094</v>
      </c>
      <c r="B2946" s="23" t="s">
        <v>1095</v>
      </c>
      <c r="C2946" s="23" t="s">
        <v>176</v>
      </c>
      <c r="D2946" s="23" t="s">
        <v>563</v>
      </c>
      <c r="E2946" s="23" t="s">
        <v>564</v>
      </c>
      <c r="F2946">
        <v>7</v>
      </c>
      <c r="G2946" s="23" t="s">
        <v>177</v>
      </c>
      <c r="H2946">
        <v>0</v>
      </c>
      <c r="I2946">
        <v>3000</v>
      </c>
      <c r="J2946" s="10">
        <v>0</v>
      </c>
      <c r="K2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2946">
        <v>0</v>
      </c>
      <c r="M29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6">
        <v>0.7</v>
      </c>
      <c r="O2946" s="23" t="s">
        <v>242</v>
      </c>
      <c r="P2946">
        <v>4.8999999999999995</v>
      </c>
      <c r="Q2946" s="23" t="s">
        <v>181</v>
      </c>
    </row>
    <row r="2947" spans="1:17" x14ac:dyDescent="0.25">
      <c r="A2947" s="23" t="s">
        <v>1149</v>
      </c>
      <c r="B2947" s="23" t="s">
        <v>1145</v>
      </c>
      <c r="C2947" s="23" t="s">
        <v>176</v>
      </c>
      <c r="D2947" s="23" t="s">
        <v>619</v>
      </c>
      <c r="E2947" s="23" t="s">
        <v>828</v>
      </c>
      <c r="F2947">
        <v>1</v>
      </c>
      <c r="G2947" s="23" t="s">
        <v>177</v>
      </c>
      <c r="H2947">
        <v>0</v>
      </c>
      <c r="I2947">
        <v>37</v>
      </c>
      <c r="J2947" s="10">
        <v>2</v>
      </c>
      <c r="K2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47">
        <v>0</v>
      </c>
      <c r="M29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47">
        <v>82.6</v>
      </c>
      <c r="O2947" s="23" t="s">
        <v>822</v>
      </c>
      <c r="P2947">
        <v>82.6</v>
      </c>
      <c r="Q2947" s="23" t="s">
        <v>179</v>
      </c>
    </row>
    <row r="2948" spans="1:17" x14ac:dyDescent="0.25">
      <c r="A2948" s="23" t="s">
        <v>1144</v>
      </c>
      <c r="B2948" s="23" t="s">
        <v>1145</v>
      </c>
      <c r="C2948" s="23" t="s">
        <v>176</v>
      </c>
      <c r="D2948" s="23" t="s">
        <v>938</v>
      </c>
      <c r="E2948" s="23" t="s">
        <v>939</v>
      </c>
      <c r="F2948">
        <v>4</v>
      </c>
      <c r="G2948" s="23" t="s">
        <v>177</v>
      </c>
      <c r="H2948">
        <v>0</v>
      </c>
      <c r="I2948">
        <v>0</v>
      </c>
      <c r="J2948" s="10">
        <v>4</v>
      </c>
      <c r="K2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948">
        <v>0</v>
      </c>
      <c r="M29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2948">
        <v>90</v>
      </c>
      <c r="O2948" s="23" t="s">
        <v>940</v>
      </c>
      <c r="P2948">
        <v>360</v>
      </c>
      <c r="Q2948" s="23" t="s">
        <v>223</v>
      </c>
    </row>
    <row r="2949" spans="1:17" x14ac:dyDescent="0.25">
      <c r="A2949" s="23" t="s">
        <v>1150</v>
      </c>
      <c r="B2949" s="23" t="s">
        <v>1145</v>
      </c>
      <c r="C2949" s="23" t="s">
        <v>176</v>
      </c>
      <c r="D2949" s="23" t="s">
        <v>301</v>
      </c>
      <c r="E2949" s="23" t="s">
        <v>302</v>
      </c>
      <c r="F2949">
        <v>26</v>
      </c>
      <c r="G2949" s="23" t="s">
        <v>177</v>
      </c>
      <c r="H2949">
        <v>0</v>
      </c>
      <c r="I2949">
        <v>180</v>
      </c>
      <c r="J2949" s="10">
        <v>80</v>
      </c>
      <c r="K2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949">
        <v>0</v>
      </c>
      <c r="M29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949">
        <v>240</v>
      </c>
      <c r="O2949" s="23" t="s">
        <v>242</v>
      </c>
      <c r="P2949">
        <v>6240</v>
      </c>
      <c r="Q2949" s="23" t="s">
        <v>181</v>
      </c>
    </row>
    <row r="2950" spans="1:17" x14ac:dyDescent="0.25">
      <c r="A2950" s="23" t="s">
        <v>1058</v>
      </c>
      <c r="B2950" s="23" t="s">
        <v>1059</v>
      </c>
      <c r="C2950" s="23" t="s">
        <v>176</v>
      </c>
      <c r="D2950" s="23" t="s">
        <v>60</v>
      </c>
      <c r="E2950" s="23" t="s">
        <v>61</v>
      </c>
      <c r="F2950">
        <v>1</v>
      </c>
      <c r="G2950" s="23" t="s">
        <v>177</v>
      </c>
      <c r="H2950">
        <v>1</v>
      </c>
      <c r="I2950">
        <v>18</v>
      </c>
      <c r="J2950" s="10">
        <v>10</v>
      </c>
      <c r="K2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950">
        <v>0</v>
      </c>
      <c r="M29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0">
        <v>115.6</v>
      </c>
      <c r="O2950" s="23" t="s">
        <v>827</v>
      </c>
      <c r="P2950">
        <v>115.6</v>
      </c>
      <c r="Q2950" s="23" t="s">
        <v>222</v>
      </c>
    </row>
    <row r="2951" spans="1:17" x14ac:dyDescent="0.25">
      <c r="A2951" s="23" t="s">
        <v>1099</v>
      </c>
      <c r="B2951" s="23" t="s">
        <v>1056</v>
      </c>
      <c r="C2951" s="23" t="s">
        <v>176</v>
      </c>
      <c r="D2951" s="23" t="s">
        <v>60</v>
      </c>
      <c r="E2951" s="23" t="s">
        <v>61</v>
      </c>
      <c r="F2951">
        <v>1</v>
      </c>
      <c r="G2951" s="23" t="s">
        <v>177</v>
      </c>
      <c r="H2951">
        <v>1</v>
      </c>
      <c r="I2951">
        <v>18</v>
      </c>
      <c r="J2951" s="10">
        <v>10</v>
      </c>
      <c r="K2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2951">
        <v>0</v>
      </c>
      <c r="M29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1">
        <v>115.6</v>
      </c>
      <c r="O2951" s="23" t="s">
        <v>827</v>
      </c>
      <c r="P2951">
        <v>115.6</v>
      </c>
      <c r="Q2951" s="23" t="s">
        <v>222</v>
      </c>
    </row>
    <row r="2952" spans="1:17" x14ac:dyDescent="0.25">
      <c r="A2952" s="23" t="s">
        <v>1147</v>
      </c>
      <c r="B2952" s="23" t="s">
        <v>1145</v>
      </c>
      <c r="C2952" s="23" t="s">
        <v>176</v>
      </c>
      <c r="D2952" s="23" t="s">
        <v>407</v>
      </c>
      <c r="E2952" s="23" t="s">
        <v>408</v>
      </c>
      <c r="F2952">
        <v>2</v>
      </c>
      <c r="G2952" s="23" t="s">
        <v>177</v>
      </c>
      <c r="H2952">
        <v>0</v>
      </c>
      <c r="I2952">
        <v>35</v>
      </c>
      <c r="J2952" s="10">
        <v>61</v>
      </c>
      <c r="K2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952">
        <v>0</v>
      </c>
      <c r="M29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2">
        <v>19.07</v>
      </c>
      <c r="O2952" s="23" t="s">
        <v>827</v>
      </c>
      <c r="P2952">
        <v>38.14</v>
      </c>
      <c r="Q2952" s="23" t="s">
        <v>222</v>
      </c>
    </row>
    <row r="2953" spans="1:17" x14ac:dyDescent="0.25">
      <c r="A2953" s="23" t="s">
        <v>1058</v>
      </c>
      <c r="B2953" s="23" t="s">
        <v>1059</v>
      </c>
      <c r="C2953" s="23" t="s">
        <v>176</v>
      </c>
      <c r="D2953" s="23" t="s">
        <v>619</v>
      </c>
      <c r="E2953" s="23" t="s">
        <v>828</v>
      </c>
      <c r="F2953">
        <v>1</v>
      </c>
      <c r="G2953" s="23" t="s">
        <v>177</v>
      </c>
      <c r="H2953">
        <v>0</v>
      </c>
      <c r="I2953">
        <v>37</v>
      </c>
      <c r="J2953" s="10">
        <v>2</v>
      </c>
      <c r="K2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53">
        <v>0</v>
      </c>
      <c r="M29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3">
        <v>82.6</v>
      </c>
      <c r="O2953" s="23" t="s">
        <v>822</v>
      </c>
      <c r="P2953">
        <v>82.6</v>
      </c>
      <c r="Q2953" s="23" t="s">
        <v>179</v>
      </c>
    </row>
    <row r="2954" spans="1:17" x14ac:dyDescent="0.25">
      <c r="A2954" s="23" t="s">
        <v>1055</v>
      </c>
      <c r="B2954" s="23" t="s">
        <v>1056</v>
      </c>
      <c r="C2954" s="23" t="s">
        <v>176</v>
      </c>
      <c r="D2954" s="23" t="s">
        <v>619</v>
      </c>
      <c r="E2954" s="23" t="s">
        <v>828</v>
      </c>
      <c r="F2954">
        <v>1</v>
      </c>
      <c r="G2954" s="23" t="s">
        <v>177</v>
      </c>
      <c r="H2954">
        <v>0</v>
      </c>
      <c r="I2954">
        <v>37</v>
      </c>
      <c r="J2954" s="10">
        <v>2</v>
      </c>
      <c r="K2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54">
        <v>0</v>
      </c>
      <c r="M29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4">
        <v>82.6</v>
      </c>
      <c r="O2954" s="23" t="s">
        <v>822</v>
      </c>
      <c r="P2954">
        <v>82.6</v>
      </c>
      <c r="Q2954" s="23" t="s">
        <v>179</v>
      </c>
    </row>
    <row r="2955" spans="1:17" x14ac:dyDescent="0.25">
      <c r="A2955" s="23" t="s">
        <v>1148</v>
      </c>
      <c r="B2955" s="23" t="s">
        <v>1054</v>
      </c>
      <c r="C2955" s="23" t="s">
        <v>176</v>
      </c>
      <c r="D2955" s="23" t="s">
        <v>619</v>
      </c>
      <c r="E2955" s="23" t="s">
        <v>828</v>
      </c>
      <c r="F2955">
        <v>1</v>
      </c>
      <c r="G2955" s="23" t="s">
        <v>177</v>
      </c>
      <c r="H2955">
        <v>0</v>
      </c>
      <c r="I2955">
        <v>37</v>
      </c>
      <c r="J2955" s="10">
        <v>2</v>
      </c>
      <c r="K2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55">
        <v>0</v>
      </c>
      <c r="M29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5">
        <v>82.6</v>
      </c>
      <c r="O2955" s="23" t="s">
        <v>822</v>
      </c>
      <c r="P2955">
        <v>82.6</v>
      </c>
      <c r="Q2955" s="23" t="s">
        <v>179</v>
      </c>
    </row>
    <row r="2956" spans="1:17" x14ac:dyDescent="0.25">
      <c r="A2956" s="23" t="s">
        <v>1099</v>
      </c>
      <c r="B2956" s="23" t="s">
        <v>1056</v>
      </c>
      <c r="C2956" s="23" t="s">
        <v>176</v>
      </c>
      <c r="D2956" s="23" t="s">
        <v>619</v>
      </c>
      <c r="E2956" s="23" t="s">
        <v>828</v>
      </c>
      <c r="F2956">
        <v>1</v>
      </c>
      <c r="G2956" s="23" t="s">
        <v>177</v>
      </c>
      <c r="H2956">
        <v>0</v>
      </c>
      <c r="I2956">
        <v>37</v>
      </c>
      <c r="J2956" s="10">
        <v>2</v>
      </c>
      <c r="K2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56">
        <v>0</v>
      </c>
      <c r="M29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56">
        <v>82.6</v>
      </c>
      <c r="O2956" s="23" t="s">
        <v>822</v>
      </c>
      <c r="P2956">
        <v>82.6</v>
      </c>
      <c r="Q2956" s="23" t="s">
        <v>179</v>
      </c>
    </row>
    <row r="2957" spans="1:17" x14ac:dyDescent="0.25">
      <c r="A2957" s="23" t="s">
        <v>1055</v>
      </c>
      <c r="B2957" s="23" t="s">
        <v>1056</v>
      </c>
      <c r="C2957" s="23" t="s">
        <v>176</v>
      </c>
      <c r="D2957" s="23" t="s">
        <v>974</v>
      </c>
      <c r="E2957" s="23" t="s">
        <v>975</v>
      </c>
      <c r="F2957">
        <v>5</v>
      </c>
      <c r="G2957" s="23" t="s">
        <v>177</v>
      </c>
      <c r="H2957">
        <v>0</v>
      </c>
      <c r="I2957">
        <v>0</v>
      </c>
      <c r="J2957" s="10">
        <v>0</v>
      </c>
      <c r="K2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57">
        <v>0</v>
      </c>
      <c r="M29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6.6000000000000005</v>
      </c>
      <c r="N2957">
        <v>0.66</v>
      </c>
      <c r="O2957" s="23"/>
      <c r="P2957">
        <v>3.3000000000000003</v>
      </c>
      <c r="Q2957" s="23" t="s">
        <v>181</v>
      </c>
    </row>
    <row r="2958" spans="1:17" x14ac:dyDescent="0.25">
      <c r="A2958" s="23" t="s">
        <v>1058</v>
      </c>
      <c r="B2958" s="23" t="s">
        <v>1059</v>
      </c>
      <c r="C2958" s="23" t="s">
        <v>176</v>
      </c>
      <c r="D2958" s="23" t="s">
        <v>938</v>
      </c>
      <c r="E2958" s="23" t="s">
        <v>939</v>
      </c>
      <c r="F2958">
        <v>4</v>
      </c>
      <c r="G2958" s="23" t="s">
        <v>177</v>
      </c>
      <c r="H2958">
        <v>0</v>
      </c>
      <c r="I2958">
        <v>0</v>
      </c>
      <c r="J2958" s="10">
        <v>4</v>
      </c>
      <c r="K2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958">
        <v>0</v>
      </c>
      <c r="M29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2958">
        <v>90</v>
      </c>
      <c r="O2958" s="23" t="s">
        <v>940</v>
      </c>
      <c r="P2958">
        <v>360</v>
      </c>
      <c r="Q2958" s="23" t="s">
        <v>223</v>
      </c>
    </row>
    <row r="2959" spans="1:17" x14ac:dyDescent="0.25">
      <c r="A2959" s="23" t="s">
        <v>1100</v>
      </c>
      <c r="B2959" s="23" t="s">
        <v>1101</v>
      </c>
      <c r="C2959" s="23" t="s">
        <v>176</v>
      </c>
      <c r="D2959" s="23" t="s">
        <v>301</v>
      </c>
      <c r="E2959" s="23" t="s">
        <v>302</v>
      </c>
      <c r="F2959">
        <v>12.5</v>
      </c>
      <c r="G2959" s="23" t="s">
        <v>177</v>
      </c>
      <c r="H2959">
        <v>0</v>
      </c>
      <c r="I2959">
        <v>180</v>
      </c>
      <c r="J2959" s="10">
        <v>80</v>
      </c>
      <c r="K2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2959">
        <v>0</v>
      </c>
      <c r="M29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2959">
        <v>240</v>
      </c>
      <c r="O2959" s="23" t="s">
        <v>242</v>
      </c>
      <c r="P2959">
        <v>3000</v>
      </c>
      <c r="Q2959" s="23" t="s">
        <v>181</v>
      </c>
    </row>
    <row r="2960" spans="1:17" x14ac:dyDescent="0.25">
      <c r="A2960" s="23" t="s">
        <v>1150</v>
      </c>
      <c r="B2960" s="23" t="s">
        <v>1145</v>
      </c>
      <c r="C2960" s="23" t="s">
        <v>176</v>
      </c>
      <c r="D2960" s="23" t="s">
        <v>619</v>
      </c>
      <c r="E2960" s="23" t="s">
        <v>828</v>
      </c>
      <c r="F2960">
        <v>1</v>
      </c>
      <c r="G2960" s="23" t="s">
        <v>177</v>
      </c>
      <c r="H2960">
        <v>0</v>
      </c>
      <c r="I2960">
        <v>37</v>
      </c>
      <c r="J2960" s="10">
        <v>2</v>
      </c>
      <c r="K2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2960">
        <v>0</v>
      </c>
      <c r="M29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0">
        <v>82.6</v>
      </c>
      <c r="O2960" s="23" t="s">
        <v>822</v>
      </c>
      <c r="P2960">
        <v>82.6</v>
      </c>
      <c r="Q2960" s="23" t="s">
        <v>179</v>
      </c>
    </row>
    <row r="2961" spans="1:17" x14ac:dyDescent="0.25">
      <c r="A2961" s="23" t="s">
        <v>1099</v>
      </c>
      <c r="B2961" s="23" t="s">
        <v>1056</v>
      </c>
      <c r="C2961" s="23" t="s">
        <v>176</v>
      </c>
      <c r="D2961" s="23" t="s">
        <v>411</v>
      </c>
      <c r="E2961" s="23" t="s">
        <v>412</v>
      </c>
      <c r="F2961">
        <v>0.01</v>
      </c>
      <c r="G2961" s="23" t="s">
        <v>413</v>
      </c>
      <c r="H2961">
        <v>0</v>
      </c>
      <c r="I2961">
        <v>150</v>
      </c>
      <c r="J2961" s="10">
        <v>0</v>
      </c>
      <c r="K2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961">
        <v>0</v>
      </c>
      <c r="M29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1">
        <v>1.8</v>
      </c>
      <c r="O2961" s="23" t="s">
        <v>221</v>
      </c>
      <c r="P2961">
        <v>1.8000000000000002E-2</v>
      </c>
      <c r="Q2961" s="23" t="s">
        <v>181</v>
      </c>
    </row>
    <row r="2962" spans="1:17" x14ac:dyDescent="0.25">
      <c r="A2962" s="23" t="s">
        <v>1147</v>
      </c>
      <c r="B2962" s="23" t="s">
        <v>1145</v>
      </c>
      <c r="C2962" s="23" t="s">
        <v>176</v>
      </c>
      <c r="D2962" s="23" t="s">
        <v>438</v>
      </c>
      <c r="E2962" s="23" t="s">
        <v>439</v>
      </c>
      <c r="F2962">
        <v>1</v>
      </c>
      <c r="G2962" s="23" t="s">
        <v>177</v>
      </c>
      <c r="H2962">
        <v>0</v>
      </c>
      <c r="I2962">
        <v>26</v>
      </c>
      <c r="J2962" s="10">
        <v>3</v>
      </c>
      <c r="K2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962">
        <v>0</v>
      </c>
      <c r="M29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2">
        <v>360.05</v>
      </c>
      <c r="O2962" s="23" t="s">
        <v>637</v>
      </c>
      <c r="P2962">
        <v>360.05</v>
      </c>
      <c r="Q2962" s="23" t="s">
        <v>179</v>
      </c>
    </row>
    <row r="2963" spans="1:17" x14ac:dyDescent="0.25">
      <c r="A2963" s="23" t="s">
        <v>1148</v>
      </c>
      <c r="B2963" s="23" t="s">
        <v>1054</v>
      </c>
      <c r="C2963" s="23" t="s">
        <v>176</v>
      </c>
      <c r="D2963" s="23" t="s">
        <v>438</v>
      </c>
      <c r="E2963" s="23" t="s">
        <v>439</v>
      </c>
      <c r="F2963">
        <v>1</v>
      </c>
      <c r="G2963" s="23" t="s">
        <v>177</v>
      </c>
      <c r="H2963">
        <v>0</v>
      </c>
      <c r="I2963">
        <v>26</v>
      </c>
      <c r="J2963" s="10">
        <v>3</v>
      </c>
      <c r="K2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963">
        <v>0</v>
      </c>
      <c r="M29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3">
        <v>360.05</v>
      </c>
      <c r="O2963" s="23" t="s">
        <v>637</v>
      </c>
      <c r="P2963">
        <v>360.05</v>
      </c>
      <c r="Q2963" s="23" t="s">
        <v>179</v>
      </c>
    </row>
    <row r="2964" spans="1:17" x14ac:dyDescent="0.25">
      <c r="A2964" s="23" t="s">
        <v>1149</v>
      </c>
      <c r="B2964" s="23" t="s">
        <v>1145</v>
      </c>
      <c r="C2964" s="23" t="s">
        <v>176</v>
      </c>
      <c r="D2964" s="23" t="s">
        <v>773</v>
      </c>
      <c r="E2964" s="23" t="s">
        <v>774</v>
      </c>
      <c r="F2964">
        <v>4</v>
      </c>
      <c r="G2964" s="23" t="s">
        <v>177</v>
      </c>
      <c r="H2964">
        <v>0</v>
      </c>
      <c r="I2964">
        <v>64.5</v>
      </c>
      <c r="J2964" s="10">
        <v>20</v>
      </c>
      <c r="K2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964">
        <v>0</v>
      </c>
      <c r="M29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4">
        <v>200</v>
      </c>
      <c r="O2964" s="23" t="s">
        <v>249</v>
      </c>
      <c r="P2964">
        <v>800</v>
      </c>
      <c r="Q2964" s="23" t="s">
        <v>178</v>
      </c>
    </row>
    <row r="2965" spans="1:17" x14ac:dyDescent="0.25">
      <c r="A2965" s="23" t="s">
        <v>1150</v>
      </c>
      <c r="B2965" s="23" t="s">
        <v>1145</v>
      </c>
      <c r="C2965" s="23" t="s">
        <v>176</v>
      </c>
      <c r="D2965" s="23" t="s">
        <v>411</v>
      </c>
      <c r="E2965" s="23" t="s">
        <v>412</v>
      </c>
      <c r="F2965">
        <v>0.01</v>
      </c>
      <c r="G2965" s="23" t="s">
        <v>413</v>
      </c>
      <c r="H2965">
        <v>0</v>
      </c>
      <c r="I2965">
        <v>150</v>
      </c>
      <c r="J2965" s="10">
        <v>0</v>
      </c>
      <c r="K2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965">
        <v>0</v>
      </c>
      <c r="M29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5">
        <v>1.8</v>
      </c>
      <c r="O2965" s="23" t="s">
        <v>221</v>
      </c>
      <c r="P2965">
        <v>1.8000000000000002E-2</v>
      </c>
      <c r="Q2965" s="23" t="s">
        <v>181</v>
      </c>
    </row>
    <row r="2966" spans="1:17" x14ac:dyDescent="0.25">
      <c r="A2966" s="23" t="s">
        <v>1100</v>
      </c>
      <c r="B2966" s="23" t="s">
        <v>1101</v>
      </c>
      <c r="C2966" s="23" t="s">
        <v>176</v>
      </c>
      <c r="D2966" s="23" t="s">
        <v>949</v>
      </c>
      <c r="E2966" s="23" t="s">
        <v>950</v>
      </c>
      <c r="F2966">
        <v>1</v>
      </c>
      <c r="G2966" s="23" t="s">
        <v>177</v>
      </c>
      <c r="H2966">
        <v>0</v>
      </c>
      <c r="I2966">
        <v>4</v>
      </c>
      <c r="J2966" s="10">
        <v>4</v>
      </c>
      <c r="K2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2966">
        <v>0</v>
      </c>
      <c r="M29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6">
        <v>3256.79</v>
      </c>
      <c r="O2966" s="23" t="s">
        <v>635</v>
      </c>
      <c r="P2966">
        <v>3256.79</v>
      </c>
      <c r="Q2966" s="23" t="s">
        <v>178</v>
      </c>
    </row>
    <row r="2967" spans="1:17" x14ac:dyDescent="0.25">
      <c r="A2967" s="23" t="s">
        <v>1055</v>
      </c>
      <c r="B2967" s="23" t="s">
        <v>1056</v>
      </c>
      <c r="C2967" s="23" t="s">
        <v>176</v>
      </c>
      <c r="D2967" s="23" t="s">
        <v>411</v>
      </c>
      <c r="E2967" s="23" t="s">
        <v>412</v>
      </c>
      <c r="F2967">
        <v>0.01</v>
      </c>
      <c r="G2967" s="23" t="s">
        <v>413</v>
      </c>
      <c r="H2967">
        <v>0</v>
      </c>
      <c r="I2967">
        <v>150</v>
      </c>
      <c r="J2967" s="10">
        <v>0</v>
      </c>
      <c r="K2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967">
        <v>0</v>
      </c>
      <c r="M29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7">
        <v>1.8</v>
      </c>
      <c r="O2967" s="23" t="s">
        <v>221</v>
      </c>
      <c r="P2967">
        <v>1.8000000000000002E-2</v>
      </c>
      <c r="Q2967" s="23" t="s">
        <v>181</v>
      </c>
    </row>
    <row r="2968" spans="1:17" x14ac:dyDescent="0.25">
      <c r="A2968" s="23" t="s">
        <v>1150</v>
      </c>
      <c r="B2968" s="23" t="s">
        <v>1145</v>
      </c>
      <c r="C2968" s="23" t="s">
        <v>176</v>
      </c>
      <c r="D2968" s="23" t="s">
        <v>773</v>
      </c>
      <c r="E2968" s="23" t="s">
        <v>774</v>
      </c>
      <c r="F2968">
        <v>4</v>
      </c>
      <c r="G2968" s="23" t="s">
        <v>177</v>
      </c>
      <c r="H2968">
        <v>0</v>
      </c>
      <c r="I2968">
        <v>64.5</v>
      </c>
      <c r="J2968" s="10">
        <v>20</v>
      </c>
      <c r="K2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968">
        <v>0</v>
      </c>
      <c r="M29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8">
        <v>200</v>
      </c>
      <c r="O2968" s="23" t="s">
        <v>249</v>
      </c>
      <c r="P2968">
        <v>800</v>
      </c>
      <c r="Q2968" s="23" t="s">
        <v>178</v>
      </c>
    </row>
    <row r="2969" spans="1:17" x14ac:dyDescent="0.25">
      <c r="A2969" s="23" t="s">
        <v>1144</v>
      </c>
      <c r="B2969" s="23" t="s">
        <v>1145</v>
      </c>
      <c r="C2969" s="23" t="s">
        <v>176</v>
      </c>
      <c r="D2969" s="23" t="s">
        <v>438</v>
      </c>
      <c r="E2969" s="23" t="s">
        <v>439</v>
      </c>
      <c r="F2969">
        <v>1</v>
      </c>
      <c r="G2969" s="23" t="s">
        <v>177</v>
      </c>
      <c r="H2969">
        <v>0</v>
      </c>
      <c r="I2969">
        <v>26</v>
      </c>
      <c r="J2969" s="10">
        <v>3</v>
      </c>
      <c r="K2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969">
        <v>0</v>
      </c>
      <c r="M29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69">
        <v>360.05</v>
      </c>
      <c r="O2969" s="23" t="s">
        <v>637</v>
      </c>
      <c r="P2969">
        <v>360.05</v>
      </c>
      <c r="Q2969" s="23" t="s">
        <v>179</v>
      </c>
    </row>
    <row r="2970" spans="1:17" x14ac:dyDescent="0.25">
      <c r="A2970" s="23" t="s">
        <v>1146</v>
      </c>
      <c r="B2970" s="23" t="s">
        <v>1145</v>
      </c>
      <c r="C2970" s="23" t="s">
        <v>176</v>
      </c>
      <c r="D2970" s="23" t="s">
        <v>438</v>
      </c>
      <c r="E2970" s="23" t="s">
        <v>439</v>
      </c>
      <c r="F2970">
        <v>1</v>
      </c>
      <c r="G2970" s="23" t="s">
        <v>177</v>
      </c>
      <c r="H2970">
        <v>0</v>
      </c>
      <c r="I2970">
        <v>26</v>
      </c>
      <c r="J2970" s="10">
        <v>3</v>
      </c>
      <c r="K2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2970">
        <v>0</v>
      </c>
      <c r="M29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0">
        <v>360.05</v>
      </c>
      <c r="O2970" s="23" t="s">
        <v>637</v>
      </c>
      <c r="P2970">
        <v>360.05</v>
      </c>
      <c r="Q2970" s="23" t="s">
        <v>179</v>
      </c>
    </row>
    <row r="2971" spans="1:17" x14ac:dyDescent="0.25">
      <c r="A2971" s="23" t="s">
        <v>1098</v>
      </c>
      <c r="B2971" s="23" t="s">
        <v>1053</v>
      </c>
      <c r="C2971" s="23" t="s">
        <v>176</v>
      </c>
      <c r="D2971" s="23" t="s">
        <v>411</v>
      </c>
      <c r="E2971" s="23" t="s">
        <v>412</v>
      </c>
      <c r="F2971">
        <v>2.5000000000000001E-2</v>
      </c>
      <c r="G2971" s="23" t="s">
        <v>413</v>
      </c>
      <c r="H2971">
        <v>0</v>
      </c>
      <c r="I2971">
        <v>150</v>
      </c>
      <c r="J2971" s="10">
        <v>0</v>
      </c>
      <c r="K2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2971">
        <v>0</v>
      </c>
      <c r="M29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1">
        <v>1.8</v>
      </c>
      <c r="O2971" s="23" t="s">
        <v>221</v>
      </c>
      <c r="P2971">
        <v>4.5000000000000005E-2</v>
      </c>
      <c r="Q2971" s="23" t="s">
        <v>181</v>
      </c>
    </row>
    <row r="2972" spans="1:17" x14ac:dyDescent="0.25">
      <c r="A2972" s="23" t="s">
        <v>1094</v>
      </c>
      <c r="B2972" s="23" t="s">
        <v>1095</v>
      </c>
      <c r="C2972" s="23" t="s">
        <v>176</v>
      </c>
      <c r="D2972" s="23" t="s">
        <v>245</v>
      </c>
      <c r="E2972" s="23" t="s">
        <v>246</v>
      </c>
      <c r="F2972">
        <v>2</v>
      </c>
      <c r="G2972" s="23" t="s">
        <v>177</v>
      </c>
      <c r="H2972">
        <v>0</v>
      </c>
      <c r="I2972">
        <v>20</v>
      </c>
      <c r="J2972" s="10">
        <v>7</v>
      </c>
      <c r="K2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2972">
        <v>0</v>
      </c>
      <c r="M29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2">
        <v>60</v>
      </c>
      <c r="O2972" s="23" t="s">
        <v>629</v>
      </c>
      <c r="P2972">
        <v>120</v>
      </c>
      <c r="Q2972" s="23" t="s">
        <v>181</v>
      </c>
    </row>
    <row r="2973" spans="1:17" x14ac:dyDescent="0.25">
      <c r="A2973" s="23" t="s">
        <v>1096</v>
      </c>
      <c r="B2973" s="23" t="s">
        <v>1053</v>
      </c>
      <c r="C2973" s="23" t="s">
        <v>176</v>
      </c>
      <c r="D2973" s="23" t="s">
        <v>566</v>
      </c>
      <c r="E2973" s="23" t="s">
        <v>567</v>
      </c>
      <c r="F2973">
        <v>2</v>
      </c>
      <c r="G2973" s="23" t="s">
        <v>177</v>
      </c>
      <c r="H2973">
        <v>0</v>
      </c>
      <c r="I2973">
        <v>26</v>
      </c>
      <c r="J2973" s="10">
        <v>46</v>
      </c>
      <c r="K2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73">
        <v>0</v>
      </c>
      <c r="M29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3">
        <v>12</v>
      </c>
      <c r="O2973" s="23" t="s">
        <v>227</v>
      </c>
      <c r="P2973">
        <v>24</v>
      </c>
      <c r="Q2973" s="23" t="s">
        <v>181</v>
      </c>
    </row>
    <row r="2974" spans="1:17" x14ac:dyDescent="0.25">
      <c r="A2974" s="23" t="s">
        <v>1094</v>
      </c>
      <c r="B2974" s="23" t="s">
        <v>1095</v>
      </c>
      <c r="C2974" s="23" t="s">
        <v>176</v>
      </c>
      <c r="D2974" s="23" t="s">
        <v>566</v>
      </c>
      <c r="E2974" s="23" t="s">
        <v>567</v>
      </c>
      <c r="F2974">
        <v>2</v>
      </c>
      <c r="G2974" s="23" t="s">
        <v>177</v>
      </c>
      <c r="H2974">
        <v>0</v>
      </c>
      <c r="I2974">
        <v>26</v>
      </c>
      <c r="J2974" s="10">
        <v>46</v>
      </c>
      <c r="K2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2974">
        <v>0</v>
      </c>
      <c r="M29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4">
        <v>12</v>
      </c>
      <c r="O2974" s="23" t="s">
        <v>227</v>
      </c>
      <c r="P2974">
        <v>24</v>
      </c>
      <c r="Q2974" s="23" t="s">
        <v>181</v>
      </c>
    </row>
    <row r="2975" spans="1:17" x14ac:dyDescent="0.25">
      <c r="A2975" s="23" t="s">
        <v>1094</v>
      </c>
      <c r="B2975" s="23" t="s">
        <v>1095</v>
      </c>
      <c r="C2975" s="23" t="s">
        <v>176</v>
      </c>
      <c r="D2975" s="23" t="s">
        <v>1117</v>
      </c>
      <c r="E2975" s="23" t="s">
        <v>1118</v>
      </c>
      <c r="F2975">
        <v>1</v>
      </c>
      <c r="G2975" s="23" t="s">
        <v>183</v>
      </c>
      <c r="H2975">
        <v>0</v>
      </c>
      <c r="I2975">
        <v>0</v>
      </c>
      <c r="J2975" s="10">
        <v>26.754999999999999</v>
      </c>
      <c r="K2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2975">
        <v>0</v>
      </c>
      <c r="M29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882.72</v>
      </c>
      <c r="N2975">
        <v>882.72</v>
      </c>
      <c r="O2975" s="23" t="s">
        <v>224</v>
      </c>
      <c r="P2975">
        <v>882.72</v>
      </c>
      <c r="Q2975" s="23" t="s">
        <v>182</v>
      </c>
    </row>
    <row r="2976" spans="1:17" x14ac:dyDescent="0.25">
      <c r="A2976" s="23" t="s">
        <v>1094</v>
      </c>
      <c r="B2976" s="23" t="s">
        <v>1095</v>
      </c>
      <c r="C2976" s="23" t="s">
        <v>176</v>
      </c>
      <c r="D2976" s="23" t="s">
        <v>773</v>
      </c>
      <c r="E2976" s="23" t="s">
        <v>774</v>
      </c>
      <c r="F2976">
        <v>4</v>
      </c>
      <c r="G2976" s="23" t="s">
        <v>177</v>
      </c>
      <c r="H2976">
        <v>0</v>
      </c>
      <c r="I2976">
        <v>64.5</v>
      </c>
      <c r="J2976" s="10">
        <v>20</v>
      </c>
      <c r="K2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2976">
        <v>0</v>
      </c>
      <c r="M29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6">
        <v>200</v>
      </c>
      <c r="O2976" s="23" t="s">
        <v>249</v>
      </c>
      <c r="P2976">
        <v>800</v>
      </c>
      <c r="Q2976" s="23" t="s">
        <v>178</v>
      </c>
    </row>
    <row r="2977" spans="1:17" x14ac:dyDescent="0.25">
      <c r="A2977" s="23" t="s">
        <v>1148</v>
      </c>
      <c r="B2977" s="23" t="s">
        <v>1054</v>
      </c>
      <c r="C2977" s="23" t="s">
        <v>176</v>
      </c>
      <c r="D2977" s="23" t="s">
        <v>436</v>
      </c>
      <c r="E2977" s="23" t="s">
        <v>437</v>
      </c>
      <c r="F2977">
        <v>1</v>
      </c>
      <c r="G2977" s="23" t="s">
        <v>177</v>
      </c>
      <c r="H2977">
        <v>0</v>
      </c>
      <c r="I2977">
        <v>12</v>
      </c>
      <c r="J2977" s="10">
        <v>3</v>
      </c>
      <c r="K2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977">
        <v>0</v>
      </c>
      <c r="M29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7">
        <v>1723.12</v>
      </c>
      <c r="O2977" s="23" t="s">
        <v>637</v>
      </c>
      <c r="P2977">
        <v>1723.12</v>
      </c>
      <c r="Q2977" s="23" t="s">
        <v>179</v>
      </c>
    </row>
    <row r="2978" spans="1:17" x14ac:dyDescent="0.25">
      <c r="A2978" s="23" t="s">
        <v>1099</v>
      </c>
      <c r="B2978" s="23" t="s">
        <v>1056</v>
      </c>
      <c r="C2978" s="23" t="s">
        <v>176</v>
      </c>
      <c r="D2978" s="23" t="s">
        <v>1075</v>
      </c>
      <c r="E2978" s="23" t="s">
        <v>1076</v>
      </c>
      <c r="F2978">
        <v>1</v>
      </c>
      <c r="G2978" s="23" t="s">
        <v>177</v>
      </c>
      <c r="H2978">
        <v>0</v>
      </c>
      <c r="I2978">
        <v>0</v>
      </c>
      <c r="J2978" s="10">
        <v>0</v>
      </c>
      <c r="K2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2978">
        <v>0</v>
      </c>
      <c r="M29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8">
        <v>0</v>
      </c>
      <c r="O2978" s="23"/>
      <c r="P2978">
        <v>0</v>
      </c>
      <c r="Q2978" s="23" t="s">
        <v>178</v>
      </c>
    </row>
    <row r="2979" spans="1:17" x14ac:dyDescent="0.25">
      <c r="A2979" s="23" t="s">
        <v>1148</v>
      </c>
      <c r="B2979" s="23" t="s">
        <v>1054</v>
      </c>
      <c r="C2979" s="23" t="s">
        <v>176</v>
      </c>
      <c r="D2979" s="23" t="s">
        <v>1075</v>
      </c>
      <c r="E2979" s="23" t="s">
        <v>1076</v>
      </c>
      <c r="F2979">
        <v>1</v>
      </c>
      <c r="G2979" s="23" t="s">
        <v>177</v>
      </c>
      <c r="H2979">
        <v>0</v>
      </c>
      <c r="I2979">
        <v>0</v>
      </c>
      <c r="J2979" s="10">
        <v>0</v>
      </c>
      <c r="K2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2979">
        <v>0</v>
      </c>
      <c r="M29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79">
        <v>0</v>
      </c>
      <c r="O2979" s="23"/>
      <c r="P2979">
        <v>0</v>
      </c>
      <c r="Q2979" s="23" t="s">
        <v>178</v>
      </c>
    </row>
    <row r="2980" spans="1:17" x14ac:dyDescent="0.25">
      <c r="A2980" s="23" t="s">
        <v>1149</v>
      </c>
      <c r="B2980" s="23" t="s">
        <v>1145</v>
      </c>
      <c r="C2980" s="23" t="s">
        <v>176</v>
      </c>
      <c r="D2980" s="23" t="s">
        <v>24</v>
      </c>
      <c r="E2980" s="23" t="s">
        <v>25</v>
      </c>
      <c r="F2980">
        <v>1</v>
      </c>
      <c r="G2980" s="23" t="s">
        <v>177</v>
      </c>
      <c r="H2980">
        <v>0</v>
      </c>
      <c r="I2980">
        <v>30</v>
      </c>
      <c r="J2980" s="10">
        <v>20</v>
      </c>
      <c r="K2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980">
        <v>0</v>
      </c>
      <c r="M29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0">
        <v>62.5</v>
      </c>
      <c r="O2980" s="23" t="s">
        <v>629</v>
      </c>
      <c r="P2980">
        <v>62.5</v>
      </c>
      <c r="Q2980" s="23" t="s">
        <v>181</v>
      </c>
    </row>
    <row r="2981" spans="1:17" x14ac:dyDescent="0.25">
      <c r="A2981" s="23" t="s">
        <v>1149</v>
      </c>
      <c r="B2981" s="23" t="s">
        <v>1145</v>
      </c>
      <c r="C2981" s="23" t="s">
        <v>176</v>
      </c>
      <c r="D2981" s="23" t="s">
        <v>270</v>
      </c>
      <c r="E2981" s="23" t="s">
        <v>589</v>
      </c>
      <c r="F2981">
        <v>1</v>
      </c>
      <c r="G2981" s="23" t="s">
        <v>177</v>
      </c>
      <c r="H2981">
        <v>0</v>
      </c>
      <c r="I2981">
        <v>1</v>
      </c>
      <c r="J2981" s="10">
        <v>11</v>
      </c>
      <c r="K2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981">
        <v>0</v>
      </c>
      <c r="M29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981">
        <v>13310.52</v>
      </c>
      <c r="O2981" s="23" t="s">
        <v>590</v>
      </c>
      <c r="P2981">
        <v>13310.52</v>
      </c>
      <c r="Q2981" s="23" t="s">
        <v>178</v>
      </c>
    </row>
    <row r="2982" spans="1:17" x14ac:dyDescent="0.25">
      <c r="A2982" s="23" t="s">
        <v>1144</v>
      </c>
      <c r="B2982" s="23" t="s">
        <v>1145</v>
      </c>
      <c r="C2982" s="23" t="s">
        <v>176</v>
      </c>
      <c r="D2982" s="23" t="s">
        <v>295</v>
      </c>
      <c r="E2982" s="23" t="s">
        <v>324</v>
      </c>
      <c r="F2982">
        <v>7.0000000000000007E-2</v>
      </c>
      <c r="G2982" s="23" t="s">
        <v>186</v>
      </c>
      <c r="H2982">
        <v>0</v>
      </c>
      <c r="I2982">
        <v>2.5</v>
      </c>
      <c r="J2982" s="10">
        <v>0</v>
      </c>
      <c r="K2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982">
        <v>0</v>
      </c>
      <c r="M29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2">
        <v>2400</v>
      </c>
      <c r="O2982" s="23" t="s">
        <v>221</v>
      </c>
      <c r="P2982">
        <v>168.00000000000003</v>
      </c>
      <c r="Q2982" s="23" t="s">
        <v>181</v>
      </c>
    </row>
    <row r="2983" spans="1:17" x14ac:dyDescent="0.25">
      <c r="A2983" s="23" t="s">
        <v>1146</v>
      </c>
      <c r="B2983" s="23" t="s">
        <v>1145</v>
      </c>
      <c r="C2983" s="23" t="s">
        <v>176</v>
      </c>
      <c r="D2983" s="23" t="s">
        <v>295</v>
      </c>
      <c r="E2983" s="23" t="s">
        <v>324</v>
      </c>
      <c r="F2983">
        <v>7.0000000000000007E-2</v>
      </c>
      <c r="G2983" s="23" t="s">
        <v>186</v>
      </c>
      <c r="H2983">
        <v>0</v>
      </c>
      <c r="I2983">
        <v>2.5</v>
      </c>
      <c r="J2983" s="10">
        <v>0</v>
      </c>
      <c r="K2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2983">
        <v>0</v>
      </c>
      <c r="M29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3">
        <v>2400</v>
      </c>
      <c r="O2983" s="23" t="s">
        <v>221</v>
      </c>
      <c r="P2983">
        <v>168.00000000000003</v>
      </c>
      <c r="Q2983" s="23" t="s">
        <v>181</v>
      </c>
    </row>
    <row r="2984" spans="1:17" x14ac:dyDescent="0.25">
      <c r="A2984" s="23" t="s">
        <v>1100</v>
      </c>
      <c r="B2984" s="23" t="s">
        <v>1101</v>
      </c>
      <c r="C2984" s="23" t="s">
        <v>176</v>
      </c>
      <c r="D2984" s="23" t="s">
        <v>436</v>
      </c>
      <c r="E2984" s="23" t="s">
        <v>437</v>
      </c>
      <c r="F2984">
        <v>1</v>
      </c>
      <c r="G2984" s="23" t="s">
        <v>177</v>
      </c>
      <c r="H2984">
        <v>0</v>
      </c>
      <c r="I2984">
        <v>12</v>
      </c>
      <c r="J2984" s="10">
        <v>3</v>
      </c>
      <c r="K2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2984">
        <v>0</v>
      </c>
      <c r="M29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4">
        <v>1723.12</v>
      </c>
      <c r="O2984" s="23" t="s">
        <v>637</v>
      </c>
      <c r="P2984">
        <v>1723.12</v>
      </c>
      <c r="Q2984" s="23" t="s">
        <v>179</v>
      </c>
    </row>
    <row r="2985" spans="1:17" x14ac:dyDescent="0.25">
      <c r="A2985" s="23" t="s">
        <v>1099</v>
      </c>
      <c r="B2985" s="23" t="s">
        <v>1056</v>
      </c>
      <c r="C2985" s="23" t="s">
        <v>176</v>
      </c>
      <c r="D2985" s="23" t="s">
        <v>1043</v>
      </c>
      <c r="E2985" s="23" t="s">
        <v>1044</v>
      </c>
      <c r="F2985">
        <v>1</v>
      </c>
      <c r="G2985" s="23" t="s">
        <v>177</v>
      </c>
      <c r="H2985">
        <v>1</v>
      </c>
      <c r="I2985">
        <v>2</v>
      </c>
      <c r="J2985" s="10">
        <v>2</v>
      </c>
      <c r="K2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2985">
        <v>0</v>
      </c>
      <c r="M29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5">
        <v>400</v>
      </c>
      <c r="O2985" s="23" t="s">
        <v>1032</v>
      </c>
      <c r="P2985">
        <v>400</v>
      </c>
      <c r="Q2985" s="23" t="s">
        <v>179</v>
      </c>
    </row>
    <row r="2986" spans="1:17" x14ac:dyDescent="0.25">
      <c r="A2986" s="23" t="s">
        <v>1150</v>
      </c>
      <c r="B2986" s="23" t="s">
        <v>1145</v>
      </c>
      <c r="C2986" s="23" t="s">
        <v>176</v>
      </c>
      <c r="D2986" s="23" t="s">
        <v>24</v>
      </c>
      <c r="E2986" s="23" t="s">
        <v>25</v>
      </c>
      <c r="F2986">
        <v>2</v>
      </c>
      <c r="G2986" s="23" t="s">
        <v>177</v>
      </c>
      <c r="H2986">
        <v>0</v>
      </c>
      <c r="I2986">
        <v>30</v>
      </c>
      <c r="J2986" s="10">
        <v>20</v>
      </c>
      <c r="K2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2986">
        <v>0</v>
      </c>
      <c r="M29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6">
        <v>62.5</v>
      </c>
      <c r="O2986" s="23" t="s">
        <v>629</v>
      </c>
      <c r="P2986">
        <v>125</v>
      </c>
      <c r="Q2986" s="23" t="s">
        <v>181</v>
      </c>
    </row>
    <row r="2987" spans="1:17" x14ac:dyDescent="0.25">
      <c r="A2987" s="23" t="s">
        <v>1144</v>
      </c>
      <c r="B2987" s="23" t="s">
        <v>1145</v>
      </c>
      <c r="C2987" s="23" t="s">
        <v>176</v>
      </c>
      <c r="D2987" s="23" t="s">
        <v>270</v>
      </c>
      <c r="E2987" s="23" t="s">
        <v>589</v>
      </c>
      <c r="F2987">
        <v>1</v>
      </c>
      <c r="G2987" s="23" t="s">
        <v>177</v>
      </c>
      <c r="H2987">
        <v>0</v>
      </c>
      <c r="I2987">
        <v>1</v>
      </c>
      <c r="J2987" s="10">
        <v>11</v>
      </c>
      <c r="K2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2987">
        <v>0</v>
      </c>
      <c r="M29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2987">
        <v>13310.52</v>
      </c>
      <c r="O2987" s="23" t="s">
        <v>590</v>
      </c>
      <c r="P2987">
        <v>13310.52</v>
      </c>
      <c r="Q2987" s="23" t="s">
        <v>178</v>
      </c>
    </row>
    <row r="2988" spans="1:17" x14ac:dyDescent="0.25">
      <c r="A2988" s="23" t="s">
        <v>1062</v>
      </c>
      <c r="B2988" s="23" t="s">
        <v>1053</v>
      </c>
      <c r="C2988" s="23" t="s">
        <v>176</v>
      </c>
      <c r="D2988" s="23" t="s">
        <v>284</v>
      </c>
      <c r="E2988" s="23" t="s">
        <v>285</v>
      </c>
      <c r="F2988">
        <v>1.61</v>
      </c>
      <c r="G2988" s="23" t="s">
        <v>177</v>
      </c>
      <c r="H2988">
        <v>0</v>
      </c>
      <c r="I2988">
        <v>104</v>
      </c>
      <c r="J2988" s="10">
        <v>4.4408920985006262E-15</v>
      </c>
      <c r="K2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2988">
        <v>0</v>
      </c>
      <c r="M29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88">
        <v>22</v>
      </c>
      <c r="O2988" s="23" t="s">
        <v>242</v>
      </c>
      <c r="P2988">
        <v>35.42</v>
      </c>
      <c r="Q2988" s="23" t="s">
        <v>181</v>
      </c>
    </row>
    <row r="2989" spans="1:17" x14ac:dyDescent="0.25">
      <c r="A2989" s="23" t="s">
        <v>1144</v>
      </c>
      <c r="B2989" s="23" t="s">
        <v>1145</v>
      </c>
      <c r="C2989" s="23" t="s">
        <v>176</v>
      </c>
      <c r="D2989" s="23" t="s">
        <v>739</v>
      </c>
      <c r="E2989" s="23" t="s">
        <v>740</v>
      </c>
      <c r="F2989">
        <v>1</v>
      </c>
      <c r="G2989" s="23" t="s">
        <v>177</v>
      </c>
      <c r="H2989">
        <v>0</v>
      </c>
      <c r="I2989">
        <v>12</v>
      </c>
      <c r="J2989" s="10">
        <v>14</v>
      </c>
      <c r="K2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2989">
        <v>0</v>
      </c>
      <c r="M29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2989">
        <v>116.67</v>
      </c>
      <c r="O2989" s="23" t="s">
        <v>668</v>
      </c>
      <c r="P2989">
        <v>116.67</v>
      </c>
      <c r="Q2989" s="23" t="s">
        <v>178</v>
      </c>
    </row>
    <row r="2990" spans="1:17" x14ac:dyDescent="0.25">
      <c r="A2990" s="23" t="s">
        <v>1149</v>
      </c>
      <c r="B2990" s="23" t="s">
        <v>1145</v>
      </c>
      <c r="C2990" s="23" t="s">
        <v>176</v>
      </c>
      <c r="D2990" s="23" t="s">
        <v>782</v>
      </c>
      <c r="E2990" s="23" t="s">
        <v>783</v>
      </c>
      <c r="F2990">
        <v>1</v>
      </c>
      <c r="G2990" s="23" t="s">
        <v>177</v>
      </c>
      <c r="H2990">
        <v>0</v>
      </c>
      <c r="I2990">
        <v>6</v>
      </c>
      <c r="J2990" s="10">
        <v>7</v>
      </c>
      <c r="K2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2990">
        <v>10</v>
      </c>
      <c r="M29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0">
        <v>750</v>
      </c>
      <c r="O2990" s="23" t="s">
        <v>291</v>
      </c>
      <c r="P2990">
        <v>750</v>
      </c>
      <c r="Q2990" s="23" t="s">
        <v>179</v>
      </c>
    </row>
    <row r="2991" spans="1:17" x14ac:dyDescent="0.25">
      <c r="A2991" s="23" t="s">
        <v>1149</v>
      </c>
      <c r="B2991" s="23" t="s">
        <v>1145</v>
      </c>
      <c r="C2991" s="23" t="s">
        <v>176</v>
      </c>
      <c r="D2991" s="23" t="s">
        <v>779</v>
      </c>
      <c r="E2991" s="23" t="s">
        <v>133</v>
      </c>
      <c r="F2991">
        <v>14</v>
      </c>
      <c r="G2991" s="23" t="s">
        <v>177</v>
      </c>
      <c r="H2991">
        <v>0</v>
      </c>
      <c r="I2991">
        <v>574</v>
      </c>
      <c r="J2991" s="10">
        <v>98</v>
      </c>
      <c r="K2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2991">
        <v>0</v>
      </c>
      <c r="M29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1">
        <v>6.67</v>
      </c>
      <c r="O2991" s="23" t="s">
        <v>1195</v>
      </c>
      <c r="P2991">
        <v>93.38</v>
      </c>
      <c r="Q2991" s="23" t="s">
        <v>222</v>
      </c>
    </row>
    <row r="2992" spans="1:17" x14ac:dyDescent="0.25">
      <c r="A2992" s="23" t="s">
        <v>1149</v>
      </c>
      <c r="B2992" s="23" t="s">
        <v>1145</v>
      </c>
      <c r="C2992" s="23" t="s">
        <v>176</v>
      </c>
      <c r="D2992" s="23" t="s">
        <v>1049</v>
      </c>
      <c r="E2992" s="23" t="s">
        <v>1050</v>
      </c>
      <c r="F2992">
        <v>1</v>
      </c>
      <c r="G2992" s="23" t="s">
        <v>177</v>
      </c>
      <c r="H2992">
        <v>0</v>
      </c>
      <c r="I2992">
        <v>3</v>
      </c>
      <c r="J2992" s="10">
        <v>6</v>
      </c>
      <c r="K2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2992">
        <v>0</v>
      </c>
      <c r="M29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2992">
        <v>12138.93</v>
      </c>
      <c r="O2992" s="23" t="s">
        <v>635</v>
      </c>
      <c r="P2992">
        <v>12138.93</v>
      </c>
      <c r="Q2992" s="23" t="s">
        <v>178</v>
      </c>
    </row>
    <row r="2993" spans="1:17" x14ac:dyDescent="0.25">
      <c r="A2993" s="23" t="s">
        <v>1062</v>
      </c>
      <c r="B2993" s="23" t="s">
        <v>1053</v>
      </c>
      <c r="C2993" s="23" t="s">
        <v>176</v>
      </c>
      <c r="D2993" s="23" t="s">
        <v>481</v>
      </c>
      <c r="E2993" s="23" t="s">
        <v>482</v>
      </c>
      <c r="F2993">
        <v>35</v>
      </c>
      <c r="G2993" s="23" t="s">
        <v>177</v>
      </c>
      <c r="H2993">
        <v>0</v>
      </c>
      <c r="I2993">
        <v>442</v>
      </c>
      <c r="J2993" s="10">
        <v>0</v>
      </c>
      <c r="K2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993">
        <v>0</v>
      </c>
      <c r="M29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3">
        <v>9.35</v>
      </c>
      <c r="O2993" s="23" t="s">
        <v>883</v>
      </c>
      <c r="P2993">
        <v>327.25</v>
      </c>
      <c r="Q2993" s="23" t="s">
        <v>181</v>
      </c>
    </row>
    <row r="2994" spans="1:17" x14ac:dyDescent="0.25">
      <c r="A2994" s="23" t="s">
        <v>1097</v>
      </c>
      <c r="B2994" s="23" t="s">
        <v>1095</v>
      </c>
      <c r="C2994" s="23" t="s">
        <v>176</v>
      </c>
      <c r="D2994" s="23" t="s">
        <v>481</v>
      </c>
      <c r="E2994" s="23" t="s">
        <v>482</v>
      </c>
      <c r="F2994">
        <v>35</v>
      </c>
      <c r="G2994" s="23" t="s">
        <v>177</v>
      </c>
      <c r="H2994">
        <v>0</v>
      </c>
      <c r="I2994">
        <v>442</v>
      </c>
      <c r="J2994" s="10">
        <v>0</v>
      </c>
      <c r="K2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994">
        <v>0</v>
      </c>
      <c r="M29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4">
        <v>9.35</v>
      </c>
      <c r="O2994" s="23" t="s">
        <v>883</v>
      </c>
      <c r="P2994">
        <v>327.25</v>
      </c>
      <c r="Q2994" s="23" t="s">
        <v>181</v>
      </c>
    </row>
    <row r="2995" spans="1:17" x14ac:dyDescent="0.25">
      <c r="A2995" s="23" t="s">
        <v>1197</v>
      </c>
      <c r="B2995" s="23" t="s">
        <v>1198</v>
      </c>
      <c r="C2995" s="23" t="s">
        <v>176</v>
      </c>
      <c r="D2995" s="23" t="s">
        <v>449</v>
      </c>
      <c r="E2995" s="23" t="s">
        <v>450</v>
      </c>
      <c r="F2995">
        <v>2</v>
      </c>
      <c r="G2995" s="23" t="s">
        <v>177</v>
      </c>
      <c r="H2995">
        <v>0</v>
      </c>
      <c r="I2995">
        <v>15</v>
      </c>
      <c r="J2995" s="10">
        <v>14</v>
      </c>
      <c r="K2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995">
        <v>15</v>
      </c>
      <c r="M29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5">
        <v>65.709999999999994</v>
      </c>
      <c r="O2995" s="23" t="s">
        <v>228</v>
      </c>
      <c r="P2995">
        <v>131.41999999999999</v>
      </c>
      <c r="Q2995" s="23" t="s">
        <v>222</v>
      </c>
    </row>
    <row r="2996" spans="1:17" x14ac:dyDescent="0.25">
      <c r="A2996" s="23" t="s">
        <v>1097</v>
      </c>
      <c r="B2996" s="23" t="s">
        <v>1095</v>
      </c>
      <c r="C2996" s="23" t="s">
        <v>176</v>
      </c>
      <c r="D2996" s="23" t="s">
        <v>449</v>
      </c>
      <c r="E2996" s="23" t="s">
        <v>450</v>
      </c>
      <c r="F2996">
        <v>2</v>
      </c>
      <c r="G2996" s="23" t="s">
        <v>177</v>
      </c>
      <c r="H2996">
        <v>0</v>
      </c>
      <c r="I2996">
        <v>15</v>
      </c>
      <c r="J2996" s="10">
        <v>14</v>
      </c>
      <c r="K2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996">
        <v>15</v>
      </c>
      <c r="M29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6">
        <v>65.709999999999994</v>
      </c>
      <c r="O2996" s="23" t="s">
        <v>228</v>
      </c>
      <c r="P2996">
        <v>131.41999999999999</v>
      </c>
      <c r="Q2996" s="23" t="s">
        <v>222</v>
      </c>
    </row>
    <row r="2997" spans="1:17" x14ac:dyDescent="0.25">
      <c r="A2997" s="23" t="s">
        <v>1142</v>
      </c>
      <c r="B2997" s="23" t="s">
        <v>1054</v>
      </c>
      <c r="C2997" s="23" t="s">
        <v>176</v>
      </c>
      <c r="D2997" s="23" t="s">
        <v>481</v>
      </c>
      <c r="E2997" s="23" t="s">
        <v>482</v>
      </c>
      <c r="F2997">
        <v>16</v>
      </c>
      <c r="G2997" s="23" t="s">
        <v>177</v>
      </c>
      <c r="H2997">
        <v>0</v>
      </c>
      <c r="I2997">
        <v>442</v>
      </c>
      <c r="J2997" s="10">
        <v>0</v>
      </c>
      <c r="K2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2997">
        <v>0</v>
      </c>
      <c r="M29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7">
        <v>9.35</v>
      </c>
      <c r="O2997" s="23" t="s">
        <v>883</v>
      </c>
      <c r="P2997">
        <v>149.6</v>
      </c>
      <c r="Q2997" s="23" t="s">
        <v>181</v>
      </c>
    </row>
    <row r="2998" spans="1:17" x14ac:dyDescent="0.25">
      <c r="A2998" s="23" t="s">
        <v>1142</v>
      </c>
      <c r="B2998" s="23" t="s">
        <v>1054</v>
      </c>
      <c r="C2998" s="23" t="s">
        <v>176</v>
      </c>
      <c r="D2998" s="23" t="s">
        <v>449</v>
      </c>
      <c r="E2998" s="23" t="s">
        <v>450</v>
      </c>
      <c r="F2998">
        <v>2</v>
      </c>
      <c r="G2998" s="23" t="s">
        <v>177</v>
      </c>
      <c r="H2998">
        <v>0</v>
      </c>
      <c r="I2998">
        <v>15</v>
      </c>
      <c r="J2998" s="10">
        <v>14</v>
      </c>
      <c r="K2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2998">
        <v>15</v>
      </c>
      <c r="M29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8">
        <v>65.709999999999994</v>
      </c>
      <c r="O2998" s="23" t="s">
        <v>228</v>
      </c>
      <c r="P2998">
        <v>131.41999999999999</v>
      </c>
      <c r="Q2998" s="23" t="s">
        <v>222</v>
      </c>
    </row>
    <row r="2999" spans="1:17" x14ac:dyDescent="0.25">
      <c r="A2999" s="23" t="s">
        <v>1150</v>
      </c>
      <c r="B2999" s="23" t="s">
        <v>1145</v>
      </c>
      <c r="C2999" s="23" t="s">
        <v>176</v>
      </c>
      <c r="D2999" s="23" t="s">
        <v>988</v>
      </c>
      <c r="E2999" s="23" t="s">
        <v>989</v>
      </c>
      <c r="F2999">
        <v>1</v>
      </c>
      <c r="G2999" s="23" t="s">
        <v>177</v>
      </c>
      <c r="H2999">
        <v>0</v>
      </c>
      <c r="I2999">
        <v>2</v>
      </c>
      <c r="J2999" s="10">
        <v>1</v>
      </c>
      <c r="K2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2999">
        <v>2</v>
      </c>
      <c r="M29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2999">
        <v>41000</v>
      </c>
      <c r="O2999" s="23" t="s">
        <v>786</v>
      </c>
      <c r="P2999">
        <v>41000</v>
      </c>
      <c r="Q2999" s="23" t="s">
        <v>223</v>
      </c>
    </row>
    <row r="3000" spans="1:17" x14ac:dyDescent="0.25">
      <c r="A3000" s="23" t="s">
        <v>1149</v>
      </c>
      <c r="B3000" s="23" t="s">
        <v>1145</v>
      </c>
      <c r="C3000" s="23" t="s">
        <v>176</v>
      </c>
      <c r="D3000" s="23" t="s">
        <v>604</v>
      </c>
      <c r="E3000" s="23" t="s">
        <v>605</v>
      </c>
      <c r="F3000">
        <v>2</v>
      </c>
      <c r="G3000" s="23" t="s">
        <v>177</v>
      </c>
      <c r="H3000">
        <v>0</v>
      </c>
      <c r="I3000">
        <v>9</v>
      </c>
      <c r="J3000" s="10">
        <v>6</v>
      </c>
      <c r="K3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000">
        <v>0</v>
      </c>
      <c r="M30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3000">
        <v>75.61</v>
      </c>
      <c r="O3000" s="23" t="s">
        <v>637</v>
      </c>
      <c r="P3000">
        <v>151.22</v>
      </c>
      <c r="Q3000" s="23" t="s">
        <v>178</v>
      </c>
    </row>
    <row r="3001" spans="1:17" x14ac:dyDescent="0.25">
      <c r="A3001" s="23" t="s">
        <v>1150</v>
      </c>
      <c r="B3001" s="23" t="s">
        <v>1145</v>
      </c>
      <c r="C3001" s="23" t="s">
        <v>176</v>
      </c>
      <c r="D3001" s="23" t="s">
        <v>608</v>
      </c>
      <c r="E3001" s="23" t="s">
        <v>609</v>
      </c>
      <c r="F3001">
        <v>2</v>
      </c>
      <c r="G3001" s="23" t="s">
        <v>177</v>
      </c>
      <c r="H3001">
        <v>0</v>
      </c>
      <c r="I3001">
        <v>2</v>
      </c>
      <c r="J3001" s="10">
        <v>8</v>
      </c>
      <c r="K3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001">
        <v>0</v>
      </c>
      <c r="M30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3001">
        <v>56.58</v>
      </c>
      <c r="O3001" s="23" t="s">
        <v>637</v>
      </c>
      <c r="P3001">
        <v>113.16</v>
      </c>
      <c r="Q3001" s="23" t="s">
        <v>178</v>
      </c>
    </row>
    <row r="3002" spans="1:17" x14ac:dyDescent="0.25">
      <c r="A3002" s="23" t="s">
        <v>1150</v>
      </c>
      <c r="B3002" s="23" t="s">
        <v>1145</v>
      </c>
      <c r="C3002" s="23" t="s">
        <v>176</v>
      </c>
      <c r="D3002" s="23" t="s">
        <v>1049</v>
      </c>
      <c r="E3002" s="23" t="s">
        <v>1050</v>
      </c>
      <c r="F3002">
        <v>1</v>
      </c>
      <c r="G3002" s="23" t="s">
        <v>177</v>
      </c>
      <c r="H3002">
        <v>0</v>
      </c>
      <c r="I3002">
        <v>3</v>
      </c>
      <c r="J3002" s="10">
        <v>6</v>
      </c>
      <c r="K3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002">
        <v>0</v>
      </c>
      <c r="M30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3002">
        <v>12138.93</v>
      </c>
      <c r="O3002" s="23" t="s">
        <v>635</v>
      </c>
      <c r="P3002">
        <v>12138.93</v>
      </c>
      <c r="Q3002" s="23" t="s">
        <v>178</v>
      </c>
    </row>
    <row r="3003" spans="1:17" x14ac:dyDescent="0.25">
      <c r="A3003" s="23" t="s">
        <v>1096</v>
      </c>
      <c r="B3003" s="23" t="s">
        <v>1053</v>
      </c>
      <c r="C3003" s="23" t="s">
        <v>176</v>
      </c>
      <c r="D3003" s="23" t="s">
        <v>481</v>
      </c>
      <c r="E3003" s="23" t="s">
        <v>482</v>
      </c>
      <c r="F3003">
        <v>35</v>
      </c>
      <c r="G3003" s="23" t="s">
        <v>177</v>
      </c>
      <c r="H3003">
        <v>0</v>
      </c>
      <c r="I3003">
        <v>442</v>
      </c>
      <c r="J3003" s="10">
        <v>0</v>
      </c>
      <c r="K3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003">
        <v>0</v>
      </c>
      <c r="M30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3">
        <v>9.35</v>
      </c>
      <c r="O3003" s="23" t="s">
        <v>883</v>
      </c>
      <c r="P3003">
        <v>327.25</v>
      </c>
      <c r="Q3003" s="23" t="s">
        <v>181</v>
      </c>
    </row>
    <row r="3004" spans="1:17" x14ac:dyDescent="0.25">
      <c r="A3004" s="23" t="s">
        <v>1143</v>
      </c>
      <c r="B3004" s="23" t="s">
        <v>1054</v>
      </c>
      <c r="C3004" s="23" t="s">
        <v>176</v>
      </c>
      <c r="D3004" s="23" t="s">
        <v>481</v>
      </c>
      <c r="E3004" s="23" t="s">
        <v>482</v>
      </c>
      <c r="F3004">
        <v>35</v>
      </c>
      <c r="G3004" s="23" t="s">
        <v>177</v>
      </c>
      <c r="H3004">
        <v>0</v>
      </c>
      <c r="I3004">
        <v>442</v>
      </c>
      <c r="J3004" s="10">
        <v>0</v>
      </c>
      <c r="K3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004">
        <v>0</v>
      </c>
      <c r="M30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4">
        <v>9.35</v>
      </c>
      <c r="O3004" s="23" t="s">
        <v>883</v>
      </c>
      <c r="P3004">
        <v>327.25</v>
      </c>
      <c r="Q3004" s="23" t="s">
        <v>181</v>
      </c>
    </row>
    <row r="3005" spans="1:17" x14ac:dyDescent="0.25">
      <c r="A3005" s="23" t="s">
        <v>1057</v>
      </c>
      <c r="B3005" s="23" t="s">
        <v>1056</v>
      </c>
      <c r="C3005" s="23" t="s">
        <v>176</v>
      </c>
      <c r="D3005" s="23" t="s">
        <v>449</v>
      </c>
      <c r="E3005" s="23" t="s">
        <v>450</v>
      </c>
      <c r="F3005">
        <v>2</v>
      </c>
      <c r="G3005" s="23" t="s">
        <v>177</v>
      </c>
      <c r="H3005">
        <v>2</v>
      </c>
      <c r="I3005">
        <v>15</v>
      </c>
      <c r="J3005" s="10">
        <v>14</v>
      </c>
      <c r="K3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005">
        <v>15</v>
      </c>
      <c r="M30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5">
        <v>65.709999999999994</v>
      </c>
      <c r="O3005" s="23" t="s">
        <v>228</v>
      </c>
      <c r="P3005">
        <v>131.41999999999999</v>
      </c>
      <c r="Q3005" s="23" t="s">
        <v>222</v>
      </c>
    </row>
    <row r="3006" spans="1:17" x14ac:dyDescent="0.25">
      <c r="A3006" s="23" t="s">
        <v>1057</v>
      </c>
      <c r="B3006" s="23" t="s">
        <v>1056</v>
      </c>
      <c r="C3006" s="23" t="s">
        <v>176</v>
      </c>
      <c r="D3006" s="23" t="s">
        <v>959</v>
      </c>
      <c r="E3006" s="23" t="s">
        <v>960</v>
      </c>
      <c r="F3006">
        <v>8</v>
      </c>
      <c r="G3006" s="23" t="s">
        <v>177</v>
      </c>
      <c r="H3006">
        <v>0</v>
      </c>
      <c r="I3006">
        <v>92</v>
      </c>
      <c r="J3006" s="10">
        <v>0</v>
      </c>
      <c r="K3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-68</v>
      </c>
      <c r="L3006">
        <v>0</v>
      </c>
      <c r="M30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6">
        <v>33</v>
      </c>
      <c r="O3006" s="23" t="s">
        <v>227</v>
      </c>
      <c r="P3006">
        <v>264</v>
      </c>
      <c r="Q3006" s="23" t="s">
        <v>181</v>
      </c>
    </row>
    <row r="3007" spans="1:17" x14ac:dyDescent="0.25">
      <c r="A3007" s="23" t="s">
        <v>1094</v>
      </c>
      <c r="B3007" s="23" t="s">
        <v>1095</v>
      </c>
      <c r="C3007" s="23" t="s">
        <v>176</v>
      </c>
      <c r="D3007" s="23" t="s">
        <v>481</v>
      </c>
      <c r="E3007" s="23" t="s">
        <v>482</v>
      </c>
      <c r="F3007">
        <v>35</v>
      </c>
      <c r="G3007" s="23" t="s">
        <v>177</v>
      </c>
      <c r="H3007">
        <v>0</v>
      </c>
      <c r="I3007">
        <v>442</v>
      </c>
      <c r="J3007" s="10">
        <v>0</v>
      </c>
      <c r="K3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007">
        <v>0</v>
      </c>
      <c r="M30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7">
        <v>9.35</v>
      </c>
      <c r="O3007" s="23" t="s">
        <v>883</v>
      </c>
      <c r="P3007">
        <v>327.25</v>
      </c>
      <c r="Q3007" s="23" t="s">
        <v>181</v>
      </c>
    </row>
    <row r="3008" spans="1:17" x14ac:dyDescent="0.25">
      <c r="A3008" s="23" t="s">
        <v>1143</v>
      </c>
      <c r="B3008" s="23" t="s">
        <v>1054</v>
      </c>
      <c r="C3008" s="23" t="s">
        <v>176</v>
      </c>
      <c r="D3008" s="23" t="s">
        <v>449</v>
      </c>
      <c r="E3008" s="23" t="s">
        <v>450</v>
      </c>
      <c r="F3008">
        <v>2</v>
      </c>
      <c r="G3008" s="23" t="s">
        <v>177</v>
      </c>
      <c r="H3008">
        <v>0</v>
      </c>
      <c r="I3008">
        <v>15</v>
      </c>
      <c r="J3008" s="10">
        <v>14</v>
      </c>
      <c r="K3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008">
        <v>15</v>
      </c>
      <c r="M30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8">
        <v>65.709999999999994</v>
      </c>
      <c r="O3008" s="23" t="s">
        <v>228</v>
      </c>
      <c r="P3008">
        <v>131.41999999999999</v>
      </c>
      <c r="Q3008" s="23" t="s">
        <v>222</v>
      </c>
    </row>
    <row r="3009" spans="1:17" x14ac:dyDescent="0.25">
      <c r="A3009" s="23" t="s">
        <v>1147</v>
      </c>
      <c r="B3009" s="23" t="s">
        <v>1145</v>
      </c>
      <c r="C3009" s="23" t="s">
        <v>176</v>
      </c>
      <c r="D3009" s="23" t="s">
        <v>884</v>
      </c>
      <c r="E3009" s="23" t="s">
        <v>885</v>
      </c>
      <c r="F3009">
        <v>9</v>
      </c>
      <c r="G3009" s="23" t="s">
        <v>180</v>
      </c>
      <c r="H3009">
        <v>0</v>
      </c>
      <c r="I3009">
        <v>480</v>
      </c>
      <c r="J3009" s="10">
        <v>0</v>
      </c>
      <c r="K3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3009">
        <v>0</v>
      </c>
      <c r="M30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09">
        <v>4</v>
      </c>
      <c r="O3009" s="23"/>
      <c r="P3009">
        <v>36</v>
      </c>
      <c r="Q3009" s="23" t="s">
        <v>182</v>
      </c>
    </row>
    <row r="3010" spans="1:17" x14ac:dyDescent="0.25">
      <c r="A3010" s="23" t="s">
        <v>1100</v>
      </c>
      <c r="B3010" s="23" t="s">
        <v>1101</v>
      </c>
      <c r="C3010" s="23" t="s">
        <v>176</v>
      </c>
      <c r="D3010" s="23" t="s">
        <v>211</v>
      </c>
      <c r="E3010" s="23" t="s">
        <v>212</v>
      </c>
      <c r="F3010">
        <v>1</v>
      </c>
      <c r="G3010" s="23" t="s">
        <v>177</v>
      </c>
      <c r="H3010">
        <v>0</v>
      </c>
      <c r="I3010">
        <v>23</v>
      </c>
      <c r="J3010" s="10">
        <v>8</v>
      </c>
      <c r="K3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3010">
        <v>40</v>
      </c>
      <c r="M30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0">
        <v>312</v>
      </c>
      <c r="O3010" s="23" t="s">
        <v>218</v>
      </c>
      <c r="P3010">
        <v>312</v>
      </c>
      <c r="Q3010" s="23" t="s">
        <v>178</v>
      </c>
    </row>
    <row r="3011" spans="1:17" x14ac:dyDescent="0.25">
      <c r="A3011" s="23" t="s">
        <v>1100</v>
      </c>
      <c r="B3011" s="23" t="s">
        <v>1101</v>
      </c>
      <c r="C3011" s="23" t="s">
        <v>176</v>
      </c>
      <c r="D3011" s="23" t="s">
        <v>442</v>
      </c>
      <c r="E3011" s="23" t="s">
        <v>443</v>
      </c>
      <c r="F3011">
        <v>1</v>
      </c>
      <c r="G3011" s="23" t="s">
        <v>177</v>
      </c>
      <c r="H3011">
        <v>0</v>
      </c>
      <c r="I3011">
        <v>25</v>
      </c>
      <c r="J3011" s="10">
        <v>3</v>
      </c>
      <c r="K3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011">
        <v>0</v>
      </c>
      <c r="M30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1">
        <v>360.05</v>
      </c>
      <c r="O3011" s="23" t="s">
        <v>637</v>
      </c>
      <c r="P3011">
        <v>360.05</v>
      </c>
      <c r="Q3011" s="23" t="s">
        <v>179</v>
      </c>
    </row>
    <row r="3012" spans="1:17" x14ac:dyDescent="0.25">
      <c r="A3012" s="23" t="s">
        <v>1055</v>
      </c>
      <c r="B3012" s="23" t="s">
        <v>1056</v>
      </c>
      <c r="C3012" s="23" t="s">
        <v>176</v>
      </c>
      <c r="D3012" s="23" t="s">
        <v>702</v>
      </c>
      <c r="E3012" s="23" t="s">
        <v>703</v>
      </c>
      <c r="F3012">
        <v>4</v>
      </c>
      <c r="G3012" s="23" t="s">
        <v>177</v>
      </c>
      <c r="H3012">
        <v>0</v>
      </c>
      <c r="I3012">
        <v>100</v>
      </c>
      <c r="J3012" s="10">
        <v>52</v>
      </c>
      <c r="K3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3012">
        <v>0</v>
      </c>
      <c r="M30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2">
        <v>1.1299999999999999</v>
      </c>
      <c r="O3012" s="23" t="s">
        <v>827</v>
      </c>
      <c r="P3012">
        <v>4.5199999999999996</v>
      </c>
      <c r="Q3012" s="23" t="s">
        <v>222</v>
      </c>
    </row>
    <row r="3013" spans="1:17" x14ac:dyDescent="0.25">
      <c r="A3013" s="23" t="s">
        <v>1149</v>
      </c>
      <c r="B3013" s="23" t="s">
        <v>1145</v>
      </c>
      <c r="C3013" s="23" t="s">
        <v>176</v>
      </c>
      <c r="D3013" s="23" t="s">
        <v>211</v>
      </c>
      <c r="E3013" s="23" t="s">
        <v>212</v>
      </c>
      <c r="F3013">
        <v>1</v>
      </c>
      <c r="G3013" s="23" t="s">
        <v>177</v>
      </c>
      <c r="H3013">
        <v>0</v>
      </c>
      <c r="I3013">
        <v>23</v>
      </c>
      <c r="J3013" s="10">
        <v>8</v>
      </c>
      <c r="K3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3013">
        <v>40</v>
      </c>
      <c r="M30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3">
        <v>312</v>
      </c>
      <c r="O3013" s="23" t="s">
        <v>218</v>
      </c>
      <c r="P3013">
        <v>312</v>
      </c>
      <c r="Q3013" s="23" t="s">
        <v>178</v>
      </c>
    </row>
    <row r="3014" spans="1:17" x14ac:dyDescent="0.25">
      <c r="A3014" s="23" t="s">
        <v>1149</v>
      </c>
      <c r="B3014" s="23" t="s">
        <v>1145</v>
      </c>
      <c r="C3014" s="23" t="s">
        <v>176</v>
      </c>
      <c r="D3014" s="23" t="s">
        <v>442</v>
      </c>
      <c r="E3014" s="23" t="s">
        <v>443</v>
      </c>
      <c r="F3014">
        <v>1</v>
      </c>
      <c r="G3014" s="23" t="s">
        <v>177</v>
      </c>
      <c r="H3014">
        <v>0</v>
      </c>
      <c r="I3014">
        <v>25</v>
      </c>
      <c r="J3014" s="10">
        <v>3</v>
      </c>
      <c r="K3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014">
        <v>0</v>
      </c>
      <c r="M30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4">
        <v>360.05</v>
      </c>
      <c r="O3014" s="23" t="s">
        <v>637</v>
      </c>
      <c r="P3014">
        <v>360.05</v>
      </c>
      <c r="Q3014" s="23" t="s">
        <v>179</v>
      </c>
    </row>
    <row r="3015" spans="1:17" x14ac:dyDescent="0.25">
      <c r="A3015" s="23" t="s">
        <v>1058</v>
      </c>
      <c r="B3015" s="23" t="s">
        <v>1059</v>
      </c>
      <c r="C3015" s="23" t="s">
        <v>176</v>
      </c>
      <c r="D3015" s="23" t="s">
        <v>442</v>
      </c>
      <c r="E3015" s="23" t="s">
        <v>443</v>
      </c>
      <c r="F3015">
        <v>1</v>
      </c>
      <c r="G3015" s="23" t="s">
        <v>177</v>
      </c>
      <c r="H3015">
        <v>0</v>
      </c>
      <c r="I3015">
        <v>25</v>
      </c>
      <c r="J3015" s="10">
        <v>3</v>
      </c>
      <c r="K3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015">
        <v>0</v>
      </c>
      <c r="M30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5">
        <v>360.05</v>
      </c>
      <c r="O3015" s="23" t="s">
        <v>637</v>
      </c>
      <c r="P3015">
        <v>360.05</v>
      </c>
      <c r="Q3015" s="23" t="s">
        <v>179</v>
      </c>
    </row>
    <row r="3016" spans="1:17" x14ac:dyDescent="0.25">
      <c r="A3016" s="23" t="s">
        <v>1062</v>
      </c>
      <c r="B3016" s="23" t="s">
        <v>1053</v>
      </c>
      <c r="C3016" s="23" t="s">
        <v>176</v>
      </c>
      <c r="D3016" s="23" t="s">
        <v>24</v>
      </c>
      <c r="E3016" s="23" t="s">
        <v>25</v>
      </c>
      <c r="F3016">
        <v>1</v>
      </c>
      <c r="G3016" s="23" t="s">
        <v>177</v>
      </c>
      <c r="H3016">
        <v>0</v>
      </c>
      <c r="I3016">
        <v>30</v>
      </c>
      <c r="J3016" s="10">
        <v>20</v>
      </c>
      <c r="K3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16">
        <v>0</v>
      </c>
      <c r="M30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6">
        <v>62.5</v>
      </c>
      <c r="O3016" s="23" t="s">
        <v>629</v>
      </c>
      <c r="P3016">
        <v>62.5</v>
      </c>
      <c r="Q3016" s="23" t="s">
        <v>181</v>
      </c>
    </row>
    <row r="3017" spans="1:17" x14ac:dyDescent="0.25">
      <c r="A3017" s="23" t="s">
        <v>1100</v>
      </c>
      <c r="B3017" s="23" t="s">
        <v>1101</v>
      </c>
      <c r="C3017" s="23" t="s">
        <v>176</v>
      </c>
      <c r="D3017" s="23" t="s">
        <v>1075</v>
      </c>
      <c r="E3017" s="23" t="s">
        <v>1076</v>
      </c>
      <c r="F3017">
        <v>1</v>
      </c>
      <c r="G3017" s="23" t="s">
        <v>177</v>
      </c>
      <c r="H3017">
        <v>0</v>
      </c>
      <c r="I3017">
        <v>0</v>
      </c>
      <c r="J3017" s="10">
        <v>0</v>
      </c>
      <c r="K3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3017">
        <v>0</v>
      </c>
      <c r="M30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7">
        <v>0</v>
      </c>
      <c r="O3017" s="23"/>
      <c r="P3017">
        <v>0</v>
      </c>
      <c r="Q3017" s="23" t="s">
        <v>178</v>
      </c>
    </row>
    <row r="3018" spans="1:17" x14ac:dyDescent="0.25">
      <c r="A3018" s="23" t="s">
        <v>1150</v>
      </c>
      <c r="B3018" s="23" t="s">
        <v>1145</v>
      </c>
      <c r="C3018" s="23" t="s">
        <v>176</v>
      </c>
      <c r="D3018" s="23" t="s">
        <v>270</v>
      </c>
      <c r="E3018" s="23" t="s">
        <v>589</v>
      </c>
      <c r="F3018">
        <v>1</v>
      </c>
      <c r="G3018" s="23" t="s">
        <v>177</v>
      </c>
      <c r="H3018">
        <v>0</v>
      </c>
      <c r="I3018">
        <v>1</v>
      </c>
      <c r="J3018" s="10">
        <v>11</v>
      </c>
      <c r="K3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18">
        <v>0</v>
      </c>
      <c r="M30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18">
        <v>13310.52</v>
      </c>
      <c r="O3018" s="23" t="s">
        <v>590</v>
      </c>
      <c r="P3018">
        <v>13310.52</v>
      </c>
      <c r="Q3018" s="23" t="s">
        <v>178</v>
      </c>
    </row>
    <row r="3019" spans="1:17" x14ac:dyDescent="0.25">
      <c r="A3019" s="23" t="s">
        <v>1149</v>
      </c>
      <c r="B3019" s="23" t="s">
        <v>1145</v>
      </c>
      <c r="C3019" s="23" t="s">
        <v>176</v>
      </c>
      <c r="D3019" s="23" t="s">
        <v>295</v>
      </c>
      <c r="E3019" s="23" t="s">
        <v>324</v>
      </c>
      <c r="F3019">
        <v>7.0000000000000007E-2</v>
      </c>
      <c r="G3019" s="23" t="s">
        <v>186</v>
      </c>
      <c r="H3019">
        <v>0</v>
      </c>
      <c r="I3019">
        <v>2.5</v>
      </c>
      <c r="J3019" s="10">
        <v>0</v>
      </c>
      <c r="K3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19">
        <v>0</v>
      </c>
      <c r="M30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19">
        <v>2400</v>
      </c>
      <c r="O3019" s="23" t="s">
        <v>221</v>
      </c>
      <c r="P3019">
        <v>168.00000000000003</v>
      </c>
      <c r="Q3019" s="23" t="s">
        <v>181</v>
      </c>
    </row>
    <row r="3020" spans="1:17" x14ac:dyDescent="0.25">
      <c r="A3020" s="23" t="s">
        <v>1150</v>
      </c>
      <c r="B3020" s="23" t="s">
        <v>1145</v>
      </c>
      <c r="C3020" s="23" t="s">
        <v>176</v>
      </c>
      <c r="D3020" s="23" t="s">
        <v>295</v>
      </c>
      <c r="E3020" s="23" t="s">
        <v>324</v>
      </c>
      <c r="F3020">
        <v>7.0000000000000007E-2</v>
      </c>
      <c r="G3020" s="23" t="s">
        <v>186</v>
      </c>
      <c r="H3020">
        <v>0</v>
      </c>
      <c r="I3020">
        <v>2.5</v>
      </c>
      <c r="J3020" s="10">
        <v>0</v>
      </c>
      <c r="K3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20">
        <v>0</v>
      </c>
      <c r="M30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0">
        <v>2400</v>
      </c>
      <c r="O3020" s="23" t="s">
        <v>221</v>
      </c>
      <c r="P3020">
        <v>168.00000000000003</v>
      </c>
      <c r="Q3020" s="23" t="s">
        <v>181</v>
      </c>
    </row>
    <row r="3021" spans="1:17" x14ac:dyDescent="0.25">
      <c r="A3021" s="23" t="s">
        <v>1197</v>
      </c>
      <c r="B3021" s="23" t="s">
        <v>1198</v>
      </c>
      <c r="C3021" s="23" t="s">
        <v>176</v>
      </c>
      <c r="D3021" s="23" t="s">
        <v>24</v>
      </c>
      <c r="E3021" s="23" t="s">
        <v>25</v>
      </c>
      <c r="F3021">
        <v>2</v>
      </c>
      <c r="G3021" s="23" t="s">
        <v>177</v>
      </c>
      <c r="H3021">
        <v>0</v>
      </c>
      <c r="I3021">
        <v>30</v>
      </c>
      <c r="J3021" s="10">
        <v>20</v>
      </c>
      <c r="K3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21">
        <v>0</v>
      </c>
      <c r="M30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1">
        <v>62.5</v>
      </c>
      <c r="O3021" s="23" t="s">
        <v>629</v>
      </c>
      <c r="P3021">
        <v>125</v>
      </c>
      <c r="Q3021" s="23" t="s">
        <v>181</v>
      </c>
    </row>
    <row r="3022" spans="1:17" x14ac:dyDescent="0.25">
      <c r="A3022" s="23" t="s">
        <v>1098</v>
      </c>
      <c r="B3022" s="23" t="s">
        <v>1053</v>
      </c>
      <c r="C3022" s="23" t="s">
        <v>176</v>
      </c>
      <c r="D3022" s="23" t="s">
        <v>24</v>
      </c>
      <c r="E3022" s="23" t="s">
        <v>25</v>
      </c>
      <c r="F3022">
        <v>1</v>
      </c>
      <c r="G3022" s="23" t="s">
        <v>177</v>
      </c>
      <c r="H3022">
        <v>0</v>
      </c>
      <c r="I3022">
        <v>30</v>
      </c>
      <c r="J3022" s="10">
        <v>20</v>
      </c>
      <c r="K3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22">
        <v>0</v>
      </c>
      <c r="M30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2">
        <v>62.5</v>
      </c>
      <c r="O3022" s="23" t="s">
        <v>629</v>
      </c>
      <c r="P3022">
        <v>62.5</v>
      </c>
      <c r="Q3022" s="23" t="s">
        <v>181</v>
      </c>
    </row>
    <row r="3023" spans="1:17" x14ac:dyDescent="0.25">
      <c r="A3023" s="23" t="s">
        <v>1197</v>
      </c>
      <c r="B3023" s="23" t="s">
        <v>1198</v>
      </c>
      <c r="C3023" s="23" t="s">
        <v>176</v>
      </c>
      <c r="D3023" s="23" t="s">
        <v>270</v>
      </c>
      <c r="E3023" s="23" t="s">
        <v>589</v>
      </c>
      <c r="F3023">
        <v>1</v>
      </c>
      <c r="G3023" s="23" t="s">
        <v>177</v>
      </c>
      <c r="H3023">
        <v>0</v>
      </c>
      <c r="I3023">
        <v>1</v>
      </c>
      <c r="J3023" s="10">
        <v>11</v>
      </c>
      <c r="K3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23">
        <v>0</v>
      </c>
      <c r="M30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23">
        <v>13310.52</v>
      </c>
      <c r="O3023" s="23" t="s">
        <v>590</v>
      </c>
      <c r="P3023">
        <v>13310.52</v>
      </c>
      <c r="Q3023" s="23" t="s">
        <v>178</v>
      </c>
    </row>
    <row r="3024" spans="1:17" x14ac:dyDescent="0.25">
      <c r="A3024" s="23" t="s">
        <v>1098</v>
      </c>
      <c r="B3024" s="23" t="s">
        <v>1053</v>
      </c>
      <c r="C3024" s="23" t="s">
        <v>176</v>
      </c>
      <c r="D3024" s="23" t="s">
        <v>270</v>
      </c>
      <c r="E3024" s="23" t="s">
        <v>589</v>
      </c>
      <c r="F3024">
        <v>1</v>
      </c>
      <c r="G3024" s="23" t="s">
        <v>177</v>
      </c>
      <c r="H3024">
        <v>0</v>
      </c>
      <c r="I3024">
        <v>1</v>
      </c>
      <c r="J3024" s="10">
        <v>11</v>
      </c>
      <c r="K3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24">
        <v>0</v>
      </c>
      <c r="M30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24">
        <v>13310.52</v>
      </c>
      <c r="O3024" s="23" t="s">
        <v>590</v>
      </c>
      <c r="P3024">
        <v>13310.52</v>
      </c>
      <c r="Q3024" s="23" t="s">
        <v>178</v>
      </c>
    </row>
    <row r="3025" spans="1:17" x14ac:dyDescent="0.25">
      <c r="A3025" s="23" t="s">
        <v>1096</v>
      </c>
      <c r="B3025" s="23" t="s">
        <v>1053</v>
      </c>
      <c r="C3025" s="23" t="s">
        <v>176</v>
      </c>
      <c r="D3025" s="23" t="s">
        <v>284</v>
      </c>
      <c r="E3025" s="23" t="s">
        <v>285</v>
      </c>
      <c r="F3025">
        <v>1.61</v>
      </c>
      <c r="G3025" s="23" t="s">
        <v>177</v>
      </c>
      <c r="H3025">
        <v>0</v>
      </c>
      <c r="I3025">
        <v>104</v>
      </c>
      <c r="J3025" s="10">
        <v>4.4408920985006262E-15</v>
      </c>
      <c r="K3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025">
        <v>0</v>
      </c>
      <c r="M30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5">
        <v>22</v>
      </c>
      <c r="O3025" s="23" t="s">
        <v>242</v>
      </c>
      <c r="P3025">
        <v>35.42</v>
      </c>
      <c r="Q3025" s="23" t="s">
        <v>181</v>
      </c>
    </row>
    <row r="3026" spans="1:17" x14ac:dyDescent="0.25">
      <c r="A3026" s="23" t="s">
        <v>1096</v>
      </c>
      <c r="B3026" s="23" t="s">
        <v>1053</v>
      </c>
      <c r="C3026" s="23" t="s">
        <v>176</v>
      </c>
      <c r="D3026" s="23" t="s">
        <v>24</v>
      </c>
      <c r="E3026" s="23" t="s">
        <v>25</v>
      </c>
      <c r="F3026">
        <v>1</v>
      </c>
      <c r="G3026" s="23" t="s">
        <v>177</v>
      </c>
      <c r="H3026">
        <v>0</v>
      </c>
      <c r="I3026">
        <v>30</v>
      </c>
      <c r="J3026" s="10">
        <v>20</v>
      </c>
      <c r="K3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26">
        <v>0</v>
      </c>
      <c r="M30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6">
        <v>62.5</v>
      </c>
      <c r="O3026" s="23" t="s">
        <v>629</v>
      </c>
      <c r="P3026">
        <v>62.5</v>
      </c>
      <c r="Q3026" s="23" t="s">
        <v>181</v>
      </c>
    </row>
    <row r="3027" spans="1:17" x14ac:dyDescent="0.25">
      <c r="A3027" s="23" t="s">
        <v>1057</v>
      </c>
      <c r="B3027" s="23" t="s">
        <v>1056</v>
      </c>
      <c r="C3027" s="23" t="s">
        <v>176</v>
      </c>
      <c r="D3027" s="23" t="s">
        <v>24</v>
      </c>
      <c r="E3027" s="23" t="s">
        <v>25</v>
      </c>
      <c r="F3027">
        <v>1</v>
      </c>
      <c r="G3027" s="23" t="s">
        <v>177</v>
      </c>
      <c r="H3027">
        <v>0</v>
      </c>
      <c r="I3027">
        <v>30</v>
      </c>
      <c r="J3027" s="10">
        <v>20</v>
      </c>
      <c r="K3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27">
        <v>0</v>
      </c>
      <c r="M30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7">
        <v>62.5</v>
      </c>
      <c r="O3027" s="23" t="s">
        <v>629</v>
      </c>
      <c r="P3027">
        <v>62.5</v>
      </c>
      <c r="Q3027" s="23" t="s">
        <v>181</v>
      </c>
    </row>
    <row r="3028" spans="1:17" x14ac:dyDescent="0.25">
      <c r="A3028" s="23" t="s">
        <v>1142</v>
      </c>
      <c r="B3028" s="23" t="s">
        <v>1054</v>
      </c>
      <c r="C3028" s="23" t="s">
        <v>176</v>
      </c>
      <c r="D3028" s="23" t="s">
        <v>24</v>
      </c>
      <c r="E3028" s="23" t="s">
        <v>25</v>
      </c>
      <c r="F3028">
        <v>1</v>
      </c>
      <c r="G3028" s="23" t="s">
        <v>177</v>
      </c>
      <c r="H3028">
        <v>0</v>
      </c>
      <c r="I3028">
        <v>30</v>
      </c>
      <c r="J3028" s="10">
        <v>20</v>
      </c>
      <c r="K3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28">
        <v>0</v>
      </c>
      <c r="M30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8">
        <v>62.5</v>
      </c>
      <c r="O3028" s="23" t="s">
        <v>629</v>
      </c>
      <c r="P3028">
        <v>62.5</v>
      </c>
      <c r="Q3028" s="23" t="s">
        <v>181</v>
      </c>
    </row>
    <row r="3029" spans="1:17" x14ac:dyDescent="0.25">
      <c r="A3029" s="23" t="s">
        <v>1143</v>
      </c>
      <c r="B3029" s="23" t="s">
        <v>1054</v>
      </c>
      <c r="C3029" s="23" t="s">
        <v>176</v>
      </c>
      <c r="D3029" s="23" t="s">
        <v>24</v>
      </c>
      <c r="E3029" s="23" t="s">
        <v>25</v>
      </c>
      <c r="F3029">
        <v>1</v>
      </c>
      <c r="G3029" s="23" t="s">
        <v>177</v>
      </c>
      <c r="H3029">
        <v>0</v>
      </c>
      <c r="I3029">
        <v>30</v>
      </c>
      <c r="J3029" s="10">
        <v>20</v>
      </c>
      <c r="K3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29">
        <v>0</v>
      </c>
      <c r="M30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29">
        <v>62.5</v>
      </c>
      <c r="O3029" s="23" t="s">
        <v>629</v>
      </c>
      <c r="P3029">
        <v>62.5</v>
      </c>
      <c r="Q3029" s="23" t="s">
        <v>181</v>
      </c>
    </row>
    <row r="3030" spans="1:17" x14ac:dyDescent="0.25">
      <c r="A3030" s="23" t="s">
        <v>1143</v>
      </c>
      <c r="B3030" s="23" t="s">
        <v>1054</v>
      </c>
      <c r="C3030" s="23" t="s">
        <v>176</v>
      </c>
      <c r="D3030" s="23" t="s">
        <v>270</v>
      </c>
      <c r="E3030" s="23" t="s">
        <v>589</v>
      </c>
      <c r="F3030">
        <v>1</v>
      </c>
      <c r="G3030" s="23" t="s">
        <v>177</v>
      </c>
      <c r="H3030">
        <v>0</v>
      </c>
      <c r="I3030">
        <v>1</v>
      </c>
      <c r="J3030" s="10">
        <v>11</v>
      </c>
      <c r="K3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30">
        <v>0</v>
      </c>
      <c r="M30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30">
        <v>13310.52</v>
      </c>
      <c r="O3030" s="23" t="s">
        <v>590</v>
      </c>
      <c r="P3030">
        <v>13310.52</v>
      </c>
      <c r="Q3030" s="23" t="s">
        <v>178</v>
      </c>
    </row>
    <row r="3031" spans="1:17" x14ac:dyDescent="0.25">
      <c r="A3031" s="23" t="s">
        <v>1142</v>
      </c>
      <c r="B3031" s="23" t="s">
        <v>1054</v>
      </c>
      <c r="C3031" s="23" t="s">
        <v>176</v>
      </c>
      <c r="D3031" s="23" t="s">
        <v>295</v>
      </c>
      <c r="E3031" s="23" t="s">
        <v>324</v>
      </c>
      <c r="F3031">
        <v>7.0000000000000007E-2</v>
      </c>
      <c r="G3031" s="23" t="s">
        <v>186</v>
      </c>
      <c r="H3031">
        <v>0</v>
      </c>
      <c r="I3031">
        <v>2.5</v>
      </c>
      <c r="J3031" s="10">
        <v>0</v>
      </c>
      <c r="K3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31">
        <v>0</v>
      </c>
      <c r="M30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1">
        <v>2400</v>
      </c>
      <c r="O3031" s="23" t="s">
        <v>221</v>
      </c>
      <c r="P3031">
        <v>168.00000000000003</v>
      </c>
      <c r="Q3031" s="23" t="s">
        <v>181</v>
      </c>
    </row>
    <row r="3032" spans="1:17" x14ac:dyDescent="0.25">
      <c r="A3032" s="23" t="s">
        <v>1057</v>
      </c>
      <c r="B3032" s="23" t="s">
        <v>1056</v>
      </c>
      <c r="C3032" s="23" t="s">
        <v>176</v>
      </c>
      <c r="D3032" s="23" t="s">
        <v>1043</v>
      </c>
      <c r="E3032" s="23" t="s">
        <v>1044</v>
      </c>
      <c r="F3032">
        <v>1</v>
      </c>
      <c r="G3032" s="23" t="s">
        <v>177</v>
      </c>
      <c r="H3032">
        <v>1</v>
      </c>
      <c r="I3032">
        <v>2</v>
      </c>
      <c r="J3032" s="10">
        <v>2</v>
      </c>
      <c r="K3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32">
        <v>0</v>
      </c>
      <c r="M30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2">
        <v>400</v>
      </c>
      <c r="O3032" s="23" t="s">
        <v>1032</v>
      </c>
      <c r="P3032">
        <v>400</v>
      </c>
      <c r="Q3032" s="23" t="s">
        <v>179</v>
      </c>
    </row>
    <row r="3033" spans="1:17" x14ac:dyDescent="0.25">
      <c r="A3033" s="23" t="s">
        <v>1099</v>
      </c>
      <c r="B3033" s="23" t="s">
        <v>1056</v>
      </c>
      <c r="C3033" s="23" t="s">
        <v>176</v>
      </c>
      <c r="D3033" s="23" t="s">
        <v>1021</v>
      </c>
      <c r="E3033" s="23" t="s">
        <v>1022</v>
      </c>
      <c r="F3033">
        <v>16</v>
      </c>
      <c r="G3033" s="23" t="s">
        <v>177</v>
      </c>
      <c r="H3033">
        <v>0</v>
      </c>
      <c r="I3033">
        <v>0</v>
      </c>
      <c r="J3033" s="10">
        <v>0</v>
      </c>
      <c r="K3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033">
        <v>0</v>
      </c>
      <c r="M30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14.4</v>
      </c>
      <c r="N3033">
        <v>0.45</v>
      </c>
      <c r="O3033" s="23" t="s">
        <v>217</v>
      </c>
      <c r="P3033">
        <v>7.2</v>
      </c>
      <c r="Q3033" s="23" t="s">
        <v>181</v>
      </c>
    </row>
    <row r="3034" spans="1:17" x14ac:dyDescent="0.25">
      <c r="A3034" s="23" t="s">
        <v>1148</v>
      </c>
      <c r="B3034" s="23" t="s">
        <v>1054</v>
      </c>
      <c r="C3034" s="23" t="s">
        <v>176</v>
      </c>
      <c r="D3034" s="23" t="s">
        <v>243</v>
      </c>
      <c r="E3034" s="23" t="s">
        <v>244</v>
      </c>
      <c r="F3034">
        <v>1.35</v>
      </c>
      <c r="G3034" s="23" t="s">
        <v>177</v>
      </c>
      <c r="H3034">
        <v>0</v>
      </c>
      <c r="I3034">
        <v>49</v>
      </c>
      <c r="J3034" s="10">
        <v>1.599999999999973</v>
      </c>
      <c r="K3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34">
        <v>0</v>
      </c>
      <c r="M30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4">
        <v>60</v>
      </c>
      <c r="O3034" s="23" t="s">
        <v>491</v>
      </c>
      <c r="P3034">
        <v>81</v>
      </c>
      <c r="Q3034" s="23" t="s">
        <v>181</v>
      </c>
    </row>
    <row r="3035" spans="1:17" x14ac:dyDescent="0.25">
      <c r="A3035" s="23" t="s">
        <v>1055</v>
      </c>
      <c r="B3035" s="23" t="s">
        <v>1056</v>
      </c>
      <c r="C3035" s="23" t="s">
        <v>176</v>
      </c>
      <c r="D3035" s="23" t="s">
        <v>243</v>
      </c>
      <c r="E3035" s="23" t="s">
        <v>244</v>
      </c>
      <c r="F3035">
        <v>1</v>
      </c>
      <c r="G3035" s="23" t="s">
        <v>177</v>
      </c>
      <c r="H3035">
        <v>1</v>
      </c>
      <c r="I3035">
        <v>49</v>
      </c>
      <c r="J3035" s="10">
        <v>1.599999999999973</v>
      </c>
      <c r="K3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35">
        <v>0</v>
      </c>
      <c r="M30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5">
        <v>60</v>
      </c>
      <c r="O3035" s="23" t="s">
        <v>491</v>
      </c>
      <c r="P3035">
        <v>60</v>
      </c>
      <c r="Q3035" s="23" t="s">
        <v>181</v>
      </c>
    </row>
    <row r="3036" spans="1:17" x14ac:dyDescent="0.25">
      <c r="A3036" s="23" t="s">
        <v>1099</v>
      </c>
      <c r="B3036" s="23" t="s">
        <v>1056</v>
      </c>
      <c r="C3036" s="23" t="s">
        <v>176</v>
      </c>
      <c r="D3036" s="23" t="s">
        <v>243</v>
      </c>
      <c r="E3036" s="23" t="s">
        <v>244</v>
      </c>
      <c r="F3036">
        <v>1</v>
      </c>
      <c r="G3036" s="23" t="s">
        <v>177</v>
      </c>
      <c r="H3036">
        <v>1</v>
      </c>
      <c r="I3036">
        <v>49</v>
      </c>
      <c r="J3036" s="10">
        <v>1.599999999999973</v>
      </c>
      <c r="K3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36">
        <v>0</v>
      </c>
      <c r="M30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6">
        <v>60</v>
      </c>
      <c r="O3036" s="23" t="s">
        <v>491</v>
      </c>
      <c r="P3036">
        <v>60</v>
      </c>
      <c r="Q3036" s="23" t="s">
        <v>181</v>
      </c>
    </row>
    <row r="3037" spans="1:17" x14ac:dyDescent="0.25">
      <c r="A3037" s="23" t="s">
        <v>1058</v>
      </c>
      <c r="B3037" s="23" t="s">
        <v>1059</v>
      </c>
      <c r="C3037" s="23" t="s">
        <v>176</v>
      </c>
      <c r="D3037" s="23" t="s">
        <v>769</v>
      </c>
      <c r="E3037" s="23" t="s">
        <v>770</v>
      </c>
      <c r="F3037">
        <v>6</v>
      </c>
      <c r="G3037" s="23" t="s">
        <v>177</v>
      </c>
      <c r="H3037">
        <v>0</v>
      </c>
      <c r="I3037">
        <v>0</v>
      </c>
      <c r="J3037" s="10">
        <v>0</v>
      </c>
      <c r="K3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37">
        <v>0</v>
      </c>
      <c r="M30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37">
        <v>1.25</v>
      </c>
      <c r="O3037" s="23" t="s">
        <v>221</v>
      </c>
      <c r="P3037">
        <v>7.5</v>
      </c>
      <c r="Q3037" s="23" t="s">
        <v>222</v>
      </c>
    </row>
    <row r="3038" spans="1:17" x14ac:dyDescent="0.25">
      <c r="A3038" s="23" t="s">
        <v>1147</v>
      </c>
      <c r="B3038" s="23" t="s">
        <v>1145</v>
      </c>
      <c r="C3038" s="23" t="s">
        <v>176</v>
      </c>
      <c r="D3038" s="23" t="s">
        <v>279</v>
      </c>
      <c r="E3038" s="23" t="s">
        <v>317</v>
      </c>
      <c r="F3038">
        <v>1</v>
      </c>
      <c r="G3038" s="23" t="s">
        <v>177</v>
      </c>
      <c r="H3038">
        <v>0</v>
      </c>
      <c r="I3038">
        <v>27</v>
      </c>
      <c r="J3038" s="10">
        <v>4</v>
      </c>
      <c r="K3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38">
        <v>0</v>
      </c>
      <c r="M30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8">
        <v>287.01</v>
      </c>
      <c r="O3038" s="23" t="s">
        <v>637</v>
      </c>
      <c r="P3038">
        <v>287.01</v>
      </c>
      <c r="Q3038" s="23" t="s">
        <v>179</v>
      </c>
    </row>
    <row r="3039" spans="1:17" x14ac:dyDescent="0.25">
      <c r="A3039" s="23" t="s">
        <v>1147</v>
      </c>
      <c r="B3039" s="23" t="s">
        <v>1145</v>
      </c>
      <c r="C3039" s="23" t="s">
        <v>176</v>
      </c>
      <c r="D3039" s="23" t="s">
        <v>280</v>
      </c>
      <c r="E3039" s="23" t="s">
        <v>318</v>
      </c>
      <c r="F3039">
        <v>1</v>
      </c>
      <c r="G3039" s="23" t="s">
        <v>177</v>
      </c>
      <c r="H3039">
        <v>0</v>
      </c>
      <c r="I3039">
        <v>27</v>
      </c>
      <c r="J3039" s="10">
        <v>4</v>
      </c>
      <c r="K3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39">
        <v>0</v>
      </c>
      <c r="M30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39">
        <v>287.01</v>
      </c>
      <c r="O3039" s="23" t="s">
        <v>637</v>
      </c>
      <c r="P3039">
        <v>287.01</v>
      </c>
      <c r="Q3039" s="23" t="s">
        <v>179</v>
      </c>
    </row>
    <row r="3040" spans="1:17" x14ac:dyDescent="0.25">
      <c r="A3040" s="23" t="s">
        <v>1100</v>
      </c>
      <c r="B3040" s="23" t="s">
        <v>1101</v>
      </c>
      <c r="C3040" s="23" t="s">
        <v>176</v>
      </c>
      <c r="D3040" s="23" t="s">
        <v>617</v>
      </c>
      <c r="E3040" s="23" t="s">
        <v>618</v>
      </c>
      <c r="F3040">
        <v>1</v>
      </c>
      <c r="G3040" s="23" t="s">
        <v>177</v>
      </c>
      <c r="H3040">
        <v>0</v>
      </c>
      <c r="I3040">
        <v>114</v>
      </c>
      <c r="J3040" s="10">
        <v>0</v>
      </c>
      <c r="K3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3040">
        <v>0</v>
      </c>
      <c r="M30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0">
        <v>10</v>
      </c>
      <c r="O3040" s="23"/>
      <c r="P3040">
        <v>10</v>
      </c>
      <c r="Q3040" s="23" t="s">
        <v>179</v>
      </c>
    </row>
    <row r="3041" spans="1:17" x14ac:dyDescent="0.25">
      <c r="A3041" s="23" t="s">
        <v>1058</v>
      </c>
      <c r="B3041" s="23" t="s">
        <v>1059</v>
      </c>
      <c r="C3041" s="23" t="s">
        <v>176</v>
      </c>
      <c r="D3041" s="23" t="s">
        <v>243</v>
      </c>
      <c r="E3041" s="23" t="s">
        <v>244</v>
      </c>
      <c r="F3041">
        <v>1</v>
      </c>
      <c r="G3041" s="23" t="s">
        <v>177</v>
      </c>
      <c r="H3041">
        <v>1</v>
      </c>
      <c r="I3041">
        <v>49</v>
      </c>
      <c r="J3041" s="10">
        <v>1.599999999999973</v>
      </c>
      <c r="K3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41">
        <v>0</v>
      </c>
      <c r="M30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1">
        <v>60</v>
      </c>
      <c r="O3041" s="23" t="s">
        <v>491</v>
      </c>
      <c r="P3041">
        <v>60</v>
      </c>
      <c r="Q3041" s="23" t="s">
        <v>181</v>
      </c>
    </row>
    <row r="3042" spans="1:17" x14ac:dyDescent="0.25">
      <c r="A3042" s="23" t="s">
        <v>1100</v>
      </c>
      <c r="B3042" s="23" t="s">
        <v>1101</v>
      </c>
      <c r="C3042" s="23" t="s">
        <v>176</v>
      </c>
      <c r="D3042" s="23" t="s">
        <v>268</v>
      </c>
      <c r="E3042" s="23" t="s">
        <v>269</v>
      </c>
      <c r="F3042">
        <v>2</v>
      </c>
      <c r="G3042" s="23" t="s">
        <v>177</v>
      </c>
      <c r="H3042">
        <v>0</v>
      </c>
      <c r="I3042">
        <v>30</v>
      </c>
      <c r="J3042" s="10">
        <v>0</v>
      </c>
      <c r="K3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042">
        <v>0</v>
      </c>
      <c r="M30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2">
        <v>60</v>
      </c>
      <c r="O3042" s="23" t="s">
        <v>227</v>
      </c>
      <c r="P3042">
        <v>120</v>
      </c>
      <c r="Q3042" s="23" t="s">
        <v>181</v>
      </c>
    </row>
    <row r="3043" spans="1:17" x14ac:dyDescent="0.25">
      <c r="A3043" s="23" t="s">
        <v>1144</v>
      </c>
      <c r="B3043" s="23" t="s">
        <v>1145</v>
      </c>
      <c r="C3043" s="23" t="s">
        <v>176</v>
      </c>
      <c r="D3043" s="23" t="s">
        <v>769</v>
      </c>
      <c r="E3043" s="23" t="s">
        <v>770</v>
      </c>
      <c r="F3043">
        <v>6</v>
      </c>
      <c r="G3043" s="23" t="s">
        <v>177</v>
      </c>
      <c r="H3043">
        <v>0</v>
      </c>
      <c r="I3043">
        <v>0</v>
      </c>
      <c r="J3043" s="10">
        <v>0</v>
      </c>
      <c r="K3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43">
        <v>0</v>
      </c>
      <c r="M30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43">
        <v>1.25</v>
      </c>
      <c r="O3043" s="23" t="s">
        <v>221</v>
      </c>
      <c r="P3043">
        <v>7.5</v>
      </c>
      <c r="Q3043" s="23" t="s">
        <v>222</v>
      </c>
    </row>
    <row r="3044" spans="1:17" x14ac:dyDescent="0.25">
      <c r="A3044" s="23" t="s">
        <v>1146</v>
      </c>
      <c r="B3044" s="23" t="s">
        <v>1145</v>
      </c>
      <c r="C3044" s="23" t="s">
        <v>176</v>
      </c>
      <c r="D3044" s="23" t="s">
        <v>769</v>
      </c>
      <c r="E3044" s="23" t="s">
        <v>770</v>
      </c>
      <c r="F3044">
        <v>6</v>
      </c>
      <c r="G3044" s="23" t="s">
        <v>177</v>
      </c>
      <c r="H3044">
        <v>0</v>
      </c>
      <c r="I3044">
        <v>0</v>
      </c>
      <c r="J3044" s="10">
        <v>0</v>
      </c>
      <c r="K3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44">
        <v>0</v>
      </c>
      <c r="M30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44">
        <v>1.25</v>
      </c>
      <c r="O3044" s="23" t="s">
        <v>221</v>
      </c>
      <c r="P3044">
        <v>7.5</v>
      </c>
      <c r="Q3044" s="23" t="s">
        <v>222</v>
      </c>
    </row>
    <row r="3045" spans="1:17" x14ac:dyDescent="0.25">
      <c r="A3045" s="23" t="s">
        <v>1147</v>
      </c>
      <c r="B3045" s="23" t="s">
        <v>1145</v>
      </c>
      <c r="C3045" s="23" t="s">
        <v>176</v>
      </c>
      <c r="D3045" s="23" t="s">
        <v>243</v>
      </c>
      <c r="E3045" s="23" t="s">
        <v>244</v>
      </c>
      <c r="F3045">
        <v>1</v>
      </c>
      <c r="G3045" s="23" t="s">
        <v>177</v>
      </c>
      <c r="H3045">
        <v>0</v>
      </c>
      <c r="I3045">
        <v>49</v>
      </c>
      <c r="J3045" s="10">
        <v>1.599999999999973</v>
      </c>
      <c r="K3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45">
        <v>0</v>
      </c>
      <c r="M30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5">
        <v>60</v>
      </c>
      <c r="O3045" s="23" t="s">
        <v>491</v>
      </c>
      <c r="P3045">
        <v>60</v>
      </c>
      <c r="Q3045" s="23" t="s">
        <v>181</v>
      </c>
    </row>
    <row r="3046" spans="1:17" x14ac:dyDescent="0.25">
      <c r="A3046" s="23" t="s">
        <v>1100</v>
      </c>
      <c r="B3046" s="23" t="s">
        <v>1101</v>
      </c>
      <c r="C3046" s="23" t="s">
        <v>176</v>
      </c>
      <c r="D3046" s="23" t="s">
        <v>769</v>
      </c>
      <c r="E3046" s="23" t="s">
        <v>770</v>
      </c>
      <c r="F3046">
        <v>6</v>
      </c>
      <c r="G3046" s="23" t="s">
        <v>177</v>
      </c>
      <c r="H3046">
        <v>0</v>
      </c>
      <c r="I3046">
        <v>0</v>
      </c>
      <c r="J3046" s="10">
        <v>0</v>
      </c>
      <c r="K3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46">
        <v>0</v>
      </c>
      <c r="M30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46">
        <v>1.25</v>
      </c>
      <c r="O3046" s="23" t="s">
        <v>221</v>
      </c>
      <c r="P3046">
        <v>7.5</v>
      </c>
      <c r="Q3046" s="23" t="s">
        <v>222</v>
      </c>
    </row>
    <row r="3047" spans="1:17" x14ac:dyDescent="0.25">
      <c r="A3047" s="23" t="s">
        <v>1149</v>
      </c>
      <c r="B3047" s="23" t="s">
        <v>1145</v>
      </c>
      <c r="C3047" s="23" t="s">
        <v>176</v>
      </c>
      <c r="D3047" s="23" t="s">
        <v>769</v>
      </c>
      <c r="E3047" s="23" t="s">
        <v>770</v>
      </c>
      <c r="F3047">
        <v>6</v>
      </c>
      <c r="G3047" s="23" t="s">
        <v>177</v>
      </c>
      <c r="H3047">
        <v>0</v>
      </c>
      <c r="I3047">
        <v>0</v>
      </c>
      <c r="J3047" s="10">
        <v>0</v>
      </c>
      <c r="K3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47">
        <v>0</v>
      </c>
      <c r="M30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47">
        <v>1.25</v>
      </c>
      <c r="O3047" s="23" t="s">
        <v>221</v>
      </c>
      <c r="P3047">
        <v>7.5</v>
      </c>
      <c r="Q3047" s="23" t="s">
        <v>222</v>
      </c>
    </row>
    <row r="3048" spans="1:17" x14ac:dyDescent="0.25">
      <c r="A3048" s="23" t="s">
        <v>1146</v>
      </c>
      <c r="B3048" s="23" t="s">
        <v>1145</v>
      </c>
      <c r="C3048" s="23" t="s">
        <v>176</v>
      </c>
      <c r="D3048" s="23" t="s">
        <v>279</v>
      </c>
      <c r="E3048" s="23" t="s">
        <v>317</v>
      </c>
      <c r="F3048">
        <v>1</v>
      </c>
      <c r="G3048" s="23" t="s">
        <v>177</v>
      </c>
      <c r="H3048">
        <v>0</v>
      </c>
      <c r="I3048">
        <v>27</v>
      </c>
      <c r="J3048" s="10">
        <v>4</v>
      </c>
      <c r="K3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48">
        <v>0</v>
      </c>
      <c r="M30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8">
        <v>287.01</v>
      </c>
      <c r="O3048" s="23" t="s">
        <v>637</v>
      </c>
      <c r="P3048">
        <v>287.01</v>
      </c>
      <c r="Q3048" s="23" t="s">
        <v>179</v>
      </c>
    </row>
    <row r="3049" spans="1:17" x14ac:dyDescent="0.25">
      <c r="A3049" s="23" t="s">
        <v>1146</v>
      </c>
      <c r="B3049" s="23" t="s">
        <v>1145</v>
      </c>
      <c r="C3049" s="23" t="s">
        <v>176</v>
      </c>
      <c r="D3049" s="23" t="s">
        <v>280</v>
      </c>
      <c r="E3049" s="23" t="s">
        <v>318</v>
      </c>
      <c r="F3049">
        <v>1</v>
      </c>
      <c r="G3049" s="23" t="s">
        <v>177</v>
      </c>
      <c r="H3049">
        <v>0</v>
      </c>
      <c r="I3049">
        <v>27</v>
      </c>
      <c r="J3049" s="10">
        <v>4</v>
      </c>
      <c r="K3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49">
        <v>0</v>
      </c>
      <c r="M30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49">
        <v>287.01</v>
      </c>
      <c r="O3049" s="23" t="s">
        <v>637</v>
      </c>
      <c r="P3049">
        <v>287.01</v>
      </c>
      <c r="Q3049" s="23" t="s">
        <v>179</v>
      </c>
    </row>
    <row r="3050" spans="1:17" x14ac:dyDescent="0.25">
      <c r="A3050" s="23" t="s">
        <v>1150</v>
      </c>
      <c r="B3050" s="23" t="s">
        <v>1145</v>
      </c>
      <c r="C3050" s="23" t="s">
        <v>176</v>
      </c>
      <c r="D3050" s="23" t="s">
        <v>769</v>
      </c>
      <c r="E3050" s="23" t="s">
        <v>770</v>
      </c>
      <c r="F3050">
        <v>6</v>
      </c>
      <c r="G3050" s="23" t="s">
        <v>177</v>
      </c>
      <c r="H3050">
        <v>0</v>
      </c>
      <c r="I3050">
        <v>0</v>
      </c>
      <c r="J3050" s="10">
        <v>0</v>
      </c>
      <c r="K3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50">
        <v>0</v>
      </c>
      <c r="M30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50">
        <v>1.25</v>
      </c>
      <c r="O3050" s="23" t="s">
        <v>221</v>
      </c>
      <c r="P3050">
        <v>7.5</v>
      </c>
      <c r="Q3050" s="23" t="s">
        <v>222</v>
      </c>
    </row>
    <row r="3051" spans="1:17" x14ac:dyDescent="0.25">
      <c r="A3051" s="23" t="s">
        <v>1149</v>
      </c>
      <c r="B3051" s="23" t="s">
        <v>1145</v>
      </c>
      <c r="C3051" s="23" t="s">
        <v>176</v>
      </c>
      <c r="D3051" s="23" t="s">
        <v>279</v>
      </c>
      <c r="E3051" s="23" t="s">
        <v>317</v>
      </c>
      <c r="F3051">
        <v>1</v>
      </c>
      <c r="G3051" s="23" t="s">
        <v>177</v>
      </c>
      <c r="H3051">
        <v>0</v>
      </c>
      <c r="I3051">
        <v>27</v>
      </c>
      <c r="J3051" s="10">
        <v>4</v>
      </c>
      <c r="K3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51">
        <v>0</v>
      </c>
      <c r="M30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1">
        <v>287.01</v>
      </c>
      <c r="O3051" s="23" t="s">
        <v>637</v>
      </c>
      <c r="P3051">
        <v>287.01</v>
      </c>
      <c r="Q3051" s="23" t="s">
        <v>179</v>
      </c>
    </row>
    <row r="3052" spans="1:17" x14ac:dyDescent="0.25">
      <c r="A3052" s="23" t="s">
        <v>1149</v>
      </c>
      <c r="B3052" s="23" t="s">
        <v>1145</v>
      </c>
      <c r="C3052" s="23" t="s">
        <v>176</v>
      </c>
      <c r="D3052" s="23" t="s">
        <v>280</v>
      </c>
      <c r="E3052" s="23" t="s">
        <v>318</v>
      </c>
      <c r="F3052">
        <v>1</v>
      </c>
      <c r="G3052" s="23" t="s">
        <v>177</v>
      </c>
      <c r="H3052">
        <v>0</v>
      </c>
      <c r="I3052">
        <v>27</v>
      </c>
      <c r="J3052" s="10">
        <v>4</v>
      </c>
      <c r="K3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52">
        <v>0</v>
      </c>
      <c r="M30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2">
        <v>287.01</v>
      </c>
      <c r="O3052" s="23" t="s">
        <v>637</v>
      </c>
      <c r="P3052">
        <v>287.01</v>
      </c>
      <c r="Q3052" s="23" t="s">
        <v>179</v>
      </c>
    </row>
    <row r="3053" spans="1:17" x14ac:dyDescent="0.25">
      <c r="A3053" s="23" t="s">
        <v>1094</v>
      </c>
      <c r="B3053" s="23" t="s">
        <v>1095</v>
      </c>
      <c r="C3053" s="23" t="s">
        <v>176</v>
      </c>
      <c r="D3053" s="23" t="s">
        <v>377</v>
      </c>
      <c r="E3053" s="23" t="s">
        <v>378</v>
      </c>
      <c r="F3053">
        <v>3</v>
      </c>
      <c r="G3053" s="23" t="s">
        <v>177</v>
      </c>
      <c r="H3053">
        <v>0</v>
      </c>
      <c r="I3053">
        <v>38</v>
      </c>
      <c r="J3053" s="10">
        <v>25</v>
      </c>
      <c r="K3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53">
        <v>20</v>
      </c>
      <c r="M30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3">
        <v>245</v>
      </c>
      <c r="O3053" s="23" t="s">
        <v>822</v>
      </c>
      <c r="P3053">
        <v>735</v>
      </c>
      <c r="Q3053" s="23" t="s">
        <v>179</v>
      </c>
    </row>
    <row r="3054" spans="1:17" x14ac:dyDescent="0.25">
      <c r="A3054" s="23" t="s">
        <v>1096</v>
      </c>
      <c r="B3054" s="23" t="s">
        <v>1053</v>
      </c>
      <c r="C3054" s="23" t="s">
        <v>176</v>
      </c>
      <c r="D3054" s="23" t="s">
        <v>617</v>
      </c>
      <c r="E3054" s="23" t="s">
        <v>618</v>
      </c>
      <c r="F3054">
        <v>1</v>
      </c>
      <c r="G3054" s="23" t="s">
        <v>177</v>
      </c>
      <c r="H3054">
        <v>0</v>
      </c>
      <c r="I3054">
        <v>114</v>
      </c>
      <c r="J3054" s="10">
        <v>0</v>
      </c>
      <c r="K3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3054">
        <v>0</v>
      </c>
      <c r="M30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4">
        <v>10</v>
      </c>
      <c r="O3054" s="23"/>
      <c r="P3054">
        <v>10</v>
      </c>
      <c r="Q3054" s="23" t="s">
        <v>179</v>
      </c>
    </row>
    <row r="3055" spans="1:17" x14ac:dyDescent="0.25">
      <c r="A3055" s="23" t="s">
        <v>1094</v>
      </c>
      <c r="B3055" s="23" t="s">
        <v>1095</v>
      </c>
      <c r="C3055" s="23" t="s">
        <v>176</v>
      </c>
      <c r="D3055" s="23" t="s">
        <v>243</v>
      </c>
      <c r="E3055" s="23" t="s">
        <v>244</v>
      </c>
      <c r="F3055">
        <v>1.35</v>
      </c>
      <c r="G3055" s="23" t="s">
        <v>177</v>
      </c>
      <c r="H3055">
        <v>0</v>
      </c>
      <c r="I3055">
        <v>49</v>
      </c>
      <c r="J3055" s="10">
        <v>1.599999999999973</v>
      </c>
      <c r="K3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055">
        <v>0</v>
      </c>
      <c r="M30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5">
        <v>60</v>
      </c>
      <c r="O3055" s="23" t="s">
        <v>491</v>
      </c>
      <c r="P3055">
        <v>81</v>
      </c>
      <c r="Q3055" s="23" t="s">
        <v>181</v>
      </c>
    </row>
    <row r="3056" spans="1:17" x14ac:dyDescent="0.25">
      <c r="A3056" s="23" t="s">
        <v>1142</v>
      </c>
      <c r="B3056" s="23" t="s">
        <v>1054</v>
      </c>
      <c r="C3056" s="23" t="s">
        <v>176</v>
      </c>
      <c r="D3056" s="23" t="s">
        <v>769</v>
      </c>
      <c r="E3056" s="23" t="s">
        <v>770</v>
      </c>
      <c r="F3056">
        <v>6</v>
      </c>
      <c r="G3056" s="23" t="s">
        <v>177</v>
      </c>
      <c r="H3056">
        <v>0</v>
      </c>
      <c r="I3056">
        <v>0</v>
      </c>
      <c r="J3056" s="10">
        <v>0</v>
      </c>
      <c r="K3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056">
        <v>0</v>
      </c>
      <c r="M30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056">
        <v>1.25</v>
      </c>
      <c r="O3056" s="23" t="s">
        <v>221</v>
      </c>
      <c r="P3056">
        <v>7.5</v>
      </c>
      <c r="Q3056" s="23" t="s">
        <v>222</v>
      </c>
    </row>
    <row r="3057" spans="1:17" x14ac:dyDescent="0.25">
      <c r="A3057" s="23" t="s">
        <v>1150</v>
      </c>
      <c r="B3057" s="23" t="s">
        <v>1145</v>
      </c>
      <c r="C3057" s="23" t="s">
        <v>176</v>
      </c>
      <c r="D3057" s="23" t="s">
        <v>279</v>
      </c>
      <c r="E3057" s="23" t="s">
        <v>317</v>
      </c>
      <c r="F3057">
        <v>1</v>
      </c>
      <c r="G3057" s="23" t="s">
        <v>177</v>
      </c>
      <c r="H3057">
        <v>1</v>
      </c>
      <c r="I3057">
        <v>27</v>
      </c>
      <c r="J3057" s="10">
        <v>4</v>
      </c>
      <c r="K3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057">
        <v>0</v>
      </c>
      <c r="M30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7">
        <v>287.01</v>
      </c>
      <c r="O3057" s="23" t="s">
        <v>637</v>
      </c>
      <c r="P3057">
        <v>287.01</v>
      </c>
      <c r="Q3057" s="23" t="s">
        <v>179</v>
      </c>
    </row>
    <row r="3058" spans="1:17" x14ac:dyDescent="0.25">
      <c r="A3058" s="23" t="s">
        <v>1094</v>
      </c>
      <c r="B3058" s="23" t="s">
        <v>1095</v>
      </c>
      <c r="C3058" s="23" t="s">
        <v>176</v>
      </c>
      <c r="D3058" s="23" t="s">
        <v>58</v>
      </c>
      <c r="E3058" s="23" t="s">
        <v>59</v>
      </c>
      <c r="F3058">
        <v>1</v>
      </c>
      <c r="G3058" s="23" t="s">
        <v>177</v>
      </c>
      <c r="H3058">
        <v>0</v>
      </c>
      <c r="I3058">
        <v>18</v>
      </c>
      <c r="J3058" s="10">
        <v>10</v>
      </c>
      <c r="K3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058">
        <v>0</v>
      </c>
      <c r="M30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8">
        <v>1094.4000000000001</v>
      </c>
      <c r="O3058" s="23" t="s">
        <v>827</v>
      </c>
      <c r="P3058">
        <v>1094.4000000000001</v>
      </c>
      <c r="Q3058" s="23" t="s">
        <v>222</v>
      </c>
    </row>
    <row r="3059" spans="1:17" x14ac:dyDescent="0.25">
      <c r="A3059" s="23" t="s">
        <v>1057</v>
      </c>
      <c r="B3059" s="23" t="s">
        <v>1056</v>
      </c>
      <c r="C3059" s="23" t="s">
        <v>176</v>
      </c>
      <c r="D3059" s="23" t="s">
        <v>377</v>
      </c>
      <c r="E3059" s="23" t="s">
        <v>378</v>
      </c>
      <c r="F3059">
        <v>3</v>
      </c>
      <c r="G3059" s="23" t="s">
        <v>177</v>
      </c>
      <c r="H3059">
        <v>0</v>
      </c>
      <c r="I3059">
        <v>38</v>
      </c>
      <c r="J3059" s="10">
        <v>25</v>
      </c>
      <c r="K3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59">
        <v>20</v>
      </c>
      <c r="M30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59">
        <v>245</v>
      </c>
      <c r="O3059" s="23" t="s">
        <v>822</v>
      </c>
      <c r="P3059">
        <v>735</v>
      </c>
      <c r="Q3059" s="23" t="s">
        <v>179</v>
      </c>
    </row>
    <row r="3060" spans="1:17" x14ac:dyDescent="0.25">
      <c r="A3060" s="23" t="s">
        <v>1143</v>
      </c>
      <c r="B3060" s="23" t="s">
        <v>1054</v>
      </c>
      <c r="C3060" s="23" t="s">
        <v>176</v>
      </c>
      <c r="D3060" s="23" t="s">
        <v>377</v>
      </c>
      <c r="E3060" s="23" t="s">
        <v>378</v>
      </c>
      <c r="F3060">
        <v>3</v>
      </c>
      <c r="G3060" s="23" t="s">
        <v>177</v>
      </c>
      <c r="H3060">
        <v>0</v>
      </c>
      <c r="I3060">
        <v>38</v>
      </c>
      <c r="J3060" s="10">
        <v>25</v>
      </c>
      <c r="K3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060">
        <v>20</v>
      </c>
      <c r="M30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0">
        <v>245</v>
      </c>
      <c r="O3060" s="23" t="s">
        <v>822</v>
      </c>
      <c r="P3060">
        <v>735</v>
      </c>
      <c r="Q3060" s="23" t="s">
        <v>179</v>
      </c>
    </row>
    <row r="3061" spans="1:17" x14ac:dyDescent="0.25">
      <c r="A3061" s="23" t="s">
        <v>1150</v>
      </c>
      <c r="B3061" s="23" t="s">
        <v>1145</v>
      </c>
      <c r="C3061" s="23" t="s">
        <v>176</v>
      </c>
      <c r="D3061" s="23" t="s">
        <v>1075</v>
      </c>
      <c r="E3061" s="23" t="s">
        <v>1076</v>
      </c>
      <c r="F3061">
        <v>1</v>
      </c>
      <c r="G3061" s="23" t="s">
        <v>177</v>
      </c>
      <c r="H3061">
        <v>0</v>
      </c>
      <c r="I3061">
        <v>0</v>
      </c>
      <c r="J3061" s="10">
        <v>0</v>
      </c>
      <c r="K3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3061">
        <v>0</v>
      </c>
      <c r="M30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1">
        <v>0</v>
      </c>
      <c r="O3061" s="23"/>
      <c r="P3061">
        <v>0</v>
      </c>
      <c r="Q3061" s="23" t="s">
        <v>178</v>
      </c>
    </row>
    <row r="3062" spans="1:17" x14ac:dyDescent="0.25">
      <c r="A3062" s="23" t="s">
        <v>1144</v>
      </c>
      <c r="B3062" s="23" t="s">
        <v>1145</v>
      </c>
      <c r="C3062" s="23" t="s">
        <v>176</v>
      </c>
      <c r="D3062" s="23" t="s">
        <v>472</v>
      </c>
      <c r="E3062" s="23" t="s">
        <v>473</v>
      </c>
      <c r="F3062">
        <v>12</v>
      </c>
      <c r="G3062" s="23" t="s">
        <v>177</v>
      </c>
      <c r="H3062">
        <v>0</v>
      </c>
      <c r="I3062">
        <v>200</v>
      </c>
      <c r="J3062" s="10">
        <v>343</v>
      </c>
      <c r="K3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62">
        <v>0</v>
      </c>
      <c r="M30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2">
        <v>9</v>
      </c>
      <c r="O3062" s="23" t="s">
        <v>242</v>
      </c>
      <c r="P3062">
        <v>108</v>
      </c>
      <c r="Q3062" s="23" t="s">
        <v>181</v>
      </c>
    </row>
    <row r="3063" spans="1:17" x14ac:dyDescent="0.25">
      <c r="A3063" s="23" t="s">
        <v>1097</v>
      </c>
      <c r="B3063" s="23" t="s">
        <v>1095</v>
      </c>
      <c r="C3063" s="23" t="s">
        <v>176</v>
      </c>
      <c r="D3063" s="23" t="s">
        <v>284</v>
      </c>
      <c r="E3063" s="23" t="s">
        <v>285</v>
      </c>
      <c r="F3063">
        <v>1.35</v>
      </c>
      <c r="G3063" s="23" t="s">
        <v>177</v>
      </c>
      <c r="H3063">
        <v>0</v>
      </c>
      <c r="I3063">
        <v>104</v>
      </c>
      <c r="J3063" s="10">
        <v>4.4408920985006262E-15</v>
      </c>
      <c r="K3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063">
        <v>0</v>
      </c>
      <c r="M30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3">
        <v>22</v>
      </c>
      <c r="O3063" s="23" t="s">
        <v>242</v>
      </c>
      <c r="P3063">
        <v>29.700000000000003</v>
      </c>
      <c r="Q3063" s="23" t="s">
        <v>181</v>
      </c>
    </row>
    <row r="3064" spans="1:17" x14ac:dyDescent="0.25">
      <c r="A3064" s="23" t="s">
        <v>1197</v>
      </c>
      <c r="B3064" s="23" t="s">
        <v>1198</v>
      </c>
      <c r="C3064" s="23" t="s">
        <v>176</v>
      </c>
      <c r="D3064" s="23" t="s">
        <v>284</v>
      </c>
      <c r="E3064" s="23" t="s">
        <v>285</v>
      </c>
      <c r="F3064">
        <v>1</v>
      </c>
      <c r="G3064" s="23" t="s">
        <v>177</v>
      </c>
      <c r="H3064">
        <v>0</v>
      </c>
      <c r="I3064">
        <v>104</v>
      </c>
      <c r="J3064" s="10">
        <v>4.4408920985006262E-15</v>
      </c>
      <c r="K3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3064">
        <v>0</v>
      </c>
      <c r="M30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4">
        <v>22</v>
      </c>
      <c r="O3064" s="23" t="s">
        <v>242</v>
      </c>
      <c r="P3064">
        <v>22</v>
      </c>
      <c r="Q3064" s="23" t="s">
        <v>181</v>
      </c>
    </row>
    <row r="3065" spans="1:17" x14ac:dyDescent="0.25">
      <c r="A3065" s="23" t="s">
        <v>1097</v>
      </c>
      <c r="B3065" s="23" t="s">
        <v>1095</v>
      </c>
      <c r="C3065" s="23" t="s">
        <v>176</v>
      </c>
      <c r="D3065" s="23" t="s">
        <v>24</v>
      </c>
      <c r="E3065" s="23" t="s">
        <v>25</v>
      </c>
      <c r="F3065">
        <v>1</v>
      </c>
      <c r="G3065" s="23" t="s">
        <v>177</v>
      </c>
      <c r="H3065">
        <v>0</v>
      </c>
      <c r="I3065">
        <v>30</v>
      </c>
      <c r="J3065" s="10">
        <v>20</v>
      </c>
      <c r="K3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65">
        <v>0</v>
      </c>
      <c r="M30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5">
        <v>62.5</v>
      </c>
      <c r="O3065" s="23" t="s">
        <v>629</v>
      </c>
      <c r="P3065">
        <v>62.5</v>
      </c>
      <c r="Q3065" s="23" t="s">
        <v>181</v>
      </c>
    </row>
    <row r="3066" spans="1:17" x14ac:dyDescent="0.25">
      <c r="A3066" s="23" t="s">
        <v>1097</v>
      </c>
      <c r="B3066" s="23" t="s">
        <v>1095</v>
      </c>
      <c r="C3066" s="23" t="s">
        <v>176</v>
      </c>
      <c r="D3066" s="23" t="s">
        <v>270</v>
      </c>
      <c r="E3066" s="23" t="s">
        <v>589</v>
      </c>
      <c r="F3066">
        <v>1</v>
      </c>
      <c r="G3066" s="23" t="s">
        <v>177</v>
      </c>
      <c r="H3066">
        <v>0</v>
      </c>
      <c r="I3066">
        <v>1</v>
      </c>
      <c r="J3066" s="10">
        <v>11</v>
      </c>
      <c r="K3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66">
        <v>0</v>
      </c>
      <c r="M30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66">
        <v>13310.52</v>
      </c>
      <c r="O3066" s="23" t="s">
        <v>590</v>
      </c>
      <c r="P3066">
        <v>13310.52</v>
      </c>
      <c r="Q3066" s="23" t="s">
        <v>178</v>
      </c>
    </row>
    <row r="3067" spans="1:17" x14ac:dyDescent="0.25">
      <c r="A3067" s="23" t="s">
        <v>1097</v>
      </c>
      <c r="B3067" s="23" t="s">
        <v>1095</v>
      </c>
      <c r="C3067" s="23" t="s">
        <v>176</v>
      </c>
      <c r="D3067" s="23" t="s">
        <v>436</v>
      </c>
      <c r="E3067" s="23" t="s">
        <v>437</v>
      </c>
      <c r="F3067">
        <v>1</v>
      </c>
      <c r="G3067" s="23" t="s">
        <v>177</v>
      </c>
      <c r="H3067">
        <v>0</v>
      </c>
      <c r="I3067">
        <v>12</v>
      </c>
      <c r="J3067" s="10">
        <v>3</v>
      </c>
      <c r="K3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067">
        <v>0</v>
      </c>
      <c r="M30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7">
        <v>1723.12</v>
      </c>
      <c r="O3067" s="23" t="s">
        <v>637</v>
      </c>
      <c r="P3067">
        <v>1723.12</v>
      </c>
      <c r="Q3067" s="23" t="s">
        <v>179</v>
      </c>
    </row>
    <row r="3068" spans="1:17" x14ac:dyDescent="0.25">
      <c r="A3068" s="23" t="s">
        <v>1094</v>
      </c>
      <c r="B3068" s="23" t="s">
        <v>1095</v>
      </c>
      <c r="C3068" s="23" t="s">
        <v>176</v>
      </c>
      <c r="D3068" s="23" t="s">
        <v>24</v>
      </c>
      <c r="E3068" s="23" t="s">
        <v>25</v>
      </c>
      <c r="F3068">
        <v>1</v>
      </c>
      <c r="G3068" s="23" t="s">
        <v>177</v>
      </c>
      <c r="H3068">
        <v>0</v>
      </c>
      <c r="I3068">
        <v>30</v>
      </c>
      <c r="J3068" s="10">
        <v>20</v>
      </c>
      <c r="K3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3068">
        <v>0</v>
      </c>
      <c r="M30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68">
        <v>62.5</v>
      </c>
      <c r="O3068" s="23" t="s">
        <v>629</v>
      </c>
      <c r="P3068">
        <v>62.5</v>
      </c>
      <c r="Q3068" s="23" t="s">
        <v>181</v>
      </c>
    </row>
    <row r="3069" spans="1:17" x14ac:dyDescent="0.25">
      <c r="A3069" s="23" t="s">
        <v>1057</v>
      </c>
      <c r="B3069" s="23" t="s">
        <v>1056</v>
      </c>
      <c r="C3069" s="23" t="s">
        <v>176</v>
      </c>
      <c r="D3069" s="23" t="s">
        <v>270</v>
      </c>
      <c r="E3069" s="23" t="s">
        <v>589</v>
      </c>
      <c r="F3069">
        <v>1</v>
      </c>
      <c r="G3069" s="23" t="s">
        <v>177</v>
      </c>
      <c r="H3069">
        <v>0</v>
      </c>
      <c r="I3069">
        <v>1</v>
      </c>
      <c r="J3069" s="10">
        <v>11</v>
      </c>
      <c r="K3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69">
        <v>0</v>
      </c>
      <c r="M30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69">
        <v>13310.52</v>
      </c>
      <c r="O3069" s="23" t="s">
        <v>590</v>
      </c>
      <c r="P3069">
        <v>13310.52</v>
      </c>
      <c r="Q3069" s="23" t="s">
        <v>178</v>
      </c>
    </row>
    <row r="3070" spans="1:17" x14ac:dyDescent="0.25">
      <c r="A3070" s="23" t="s">
        <v>1094</v>
      </c>
      <c r="B3070" s="23" t="s">
        <v>1095</v>
      </c>
      <c r="C3070" s="23" t="s">
        <v>176</v>
      </c>
      <c r="D3070" s="23" t="s">
        <v>270</v>
      </c>
      <c r="E3070" s="23" t="s">
        <v>589</v>
      </c>
      <c r="F3070">
        <v>1</v>
      </c>
      <c r="G3070" s="23" t="s">
        <v>177</v>
      </c>
      <c r="H3070">
        <v>0</v>
      </c>
      <c r="I3070">
        <v>1</v>
      </c>
      <c r="J3070" s="10">
        <v>11</v>
      </c>
      <c r="K3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70">
        <v>0</v>
      </c>
      <c r="M30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70">
        <v>13310.52</v>
      </c>
      <c r="O3070" s="23" t="s">
        <v>590</v>
      </c>
      <c r="P3070">
        <v>13310.52</v>
      </c>
      <c r="Q3070" s="23" t="s">
        <v>178</v>
      </c>
    </row>
    <row r="3071" spans="1:17" x14ac:dyDescent="0.25">
      <c r="A3071" s="23" t="s">
        <v>1143</v>
      </c>
      <c r="B3071" s="23" t="s">
        <v>1054</v>
      </c>
      <c r="C3071" s="23" t="s">
        <v>176</v>
      </c>
      <c r="D3071" s="23" t="s">
        <v>295</v>
      </c>
      <c r="E3071" s="23" t="s">
        <v>324</v>
      </c>
      <c r="F3071">
        <v>0.09</v>
      </c>
      <c r="G3071" s="23" t="s">
        <v>186</v>
      </c>
      <c r="H3071">
        <v>0</v>
      </c>
      <c r="I3071">
        <v>2.5</v>
      </c>
      <c r="J3071" s="10">
        <v>0</v>
      </c>
      <c r="K3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71">
        <v>0</v>
      </c>
      <c r="M30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1">
        <v>2400</v>
      </c>
      <c r="O3071" s="23" t="s">
        <v>221</v>
      </c>
      <c r="P3071">
        <v>216</v>
      </c>
      <c r="Q3071" s="23" t="s">
        <v>181</v>
      </c>
    </row>
    <row r="3072" spans="1:17" x14ac:dyDescent="0.25">
      <c r="A3072" s="23" t="s">
        <v>1143</v>
      </c>
      <c r="B3072" s="23" t="s">
        <v>1054</v>
      </c>
      <c r="C3072" s="23" t="s">
        <v>176</v>
      </c>
      <c r="D3072" s="23" t="s">
        <v>436</v>
      </c>
      <c r="E3072" s="23" t="s">
        <v>437</v>
      </c>
      <c r="F3072">
        <v>1</v>
      </c>
      <c r="G3072" s="23" t="s">
        <v>177</v>
      </c>
      <c r="H3072">
        <v>0</v>
      </c>
      <c r="I3072">
        <v>12</v>
      </c>
      <c r="J3072" s="10">
        <v>3</v>
      </c>
      <c r="K3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072">
        <v>0</v>
      </c>
      <c r="M30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2">
        <v>1723.12</v>
      </c>
      <c r="O3072" s="23" t="s">
        <v>637</v>
      </c>
      <c r="P3072">
        <v>1723.12</v>
      </c>
      <c r="Q3072" s="23" t="s">
        <v>179</v>
      </c>
    </row>
    <row r="3073" spans="1:17" x14ac:dyDescent="0.25">
      <c r="A3073" s="23" t="s">
        <v>1096</v>
      </c>
      <c r="B3073" s="23" t="s">
        <v>1053</v>
      </c>
      <c r="C3073" s="23" t="s">
        <v>176</v>
      </c>
      <c r="D3073" s="23" t="s">
        <v>270</v>
      </c>
      <c r="E3073" s="23" t="s">
        <v>589</v>
      </c>
      <c r="F3073">
        <v>1</v>
      </c>
      <c r="G3073" s="23" t="s">
        <v>177</v>
      </c>
      <c r="H3073">
        <v>0</v>
      </c>
      <c r="I3073">
        <v>1</v>
      </c>
      <c r="J3073" s="10">
        <v>11</v>
      </c>
      <c r="K3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73">
        <v>0</v>
      </c>
      <c r="M30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73">
        <v>13310.52</v>
      </c>
      <c r="O3073" s="23" t="s">
        <v>590</v>
      </c>
      <c r="P3073">
        <v>13310.52</v>
      </c>
      <c r="Q3073" s="23" t="s">
        <v>178</v>
      </c>
    </row>
    <row r="3074" spans="1:17" x14ac:dyDescent="0.25">
      <c r="A3074" s="23" t="s">
        <v>1057</v>
      </c>
      <c r="B3074" s="23" t="s">
        <v>1056</v>
      </c>
      <c r="C3074" s="23" t="s">
        <v>176</v>
      </c>
      <c r="D3074" s="23" t="s">
        <v>295</v>
      </c>
      <c r="E3074" s="23" t="s">
        <v>324</v>
      </c>
      <c r="F3074">
        <v>0.06</v>
      </c>
      <c r="G3074" s="23" t="s">
        <v>186</v>
      </c>
      <c r="H3074">
        <v>0</v>
      </c>
      <c r="I3074">
        <v>2.5</v>
      </c>
      <c r="J3074" s="10">
        <v>0</v>
      </c>
      <c r="K3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74">
        <v>0</v>
      </c>
      <c r="M30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4">
        <v>2400</v>
      </c>
      <c r="O3074" s="23" t="s">
        <v>221</v>
      </c>
      <c r="P3074">
        <v>144</v>
      </c>
      <c r="Q3074" s="23" t="s">
        <v>181</v>
      </c>
    </row>
    <row r="3075" spans="1:17" x14ac:dyDescent="0.25">
      <c r="A3075" s="23" t="s">
        <v>1096</v>
      </c>
      <c r="B3075" s="23" t="s">
        <v>1053</v>
      </c>
      <c r="C3075" s="23" t="s">
        <v>176</v>
      </c>
      <c r="D3075" s="23" t="s">
        <v>295</v>
      </c>
      <c r="E3075" s="23" t="s">
        <v>324</v>
      </c>
      <c r="F3075">
        <v>0.30000000000000004</v>
      </c>
      <c r="G3075" s="23" t="s">
        <v>186</v>
      </c>
      <c r="H3075">
        <v>0</v>
      </c>
      <c r="I3075">
        <v>2.5</v>
      </c>
      <c r="J3075" s="10">
        <v>0</v>
      </c>
      <c r="K3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75">
        <v>0</v>
      </c>
      <c r="M30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5">
        <v>2400</v>
      </c>
      <c r="O3075" s="23" t="s">
        <v>221</v>
      </c>
      <c r="P3075">
        <v>720.00000000000011</v>
      </c>
      <c r="Q3075" s="23" t="s">
        <v>181</v>
      </c>
    </row>
    <row r="3076" spans="1:17" x14ac:dyDescent="0.25">
      <c r="A3076" s="23" t="s">
        <v>1094</v>
      </c>
      <c r="B3076" s="23" t="s">
        <v>1095</v>
      </c>
      <c r="C3076" s="23" t="s">
        <v>176</v>
      </c>
      <c r="D3076" s="23" t="s">
        <v>295</v>
      </c>
      <c r="E3076" s="23" t="s">
        <v>324</v>
      </c>
      <c r="F3076">
        <v>0.09</v>
      </c>
      <c r="G3076" s="23" t="s">
        <v>186</v>
      </c>
      <c r="H3076">
        <v>0</v>
      </c>
      <c r="I3076">
        <v>2.5</v>
      </c>
      <c r="J3076" s="10">
        <v>0</v>
      </c>
      <c r="K3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76">
        <v>0</v>
      </c>
      <c r="M30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6">
        <v>2400</v>
      </c>
      <c r="O3076" s="23" t="s">
        <v>221</v>
      </c>
      <c r="P3076">
        <v>216</v>
      </c>
      <c r="Q3076" s="23" t="s">
        <v>181</v>
      </c>
    </row>
    <row r="3077" spans="1:17" x14ac:dyDescent="0.25">
      <c r="A3077" s="23" t="s">
        <v>1094</v>
      </c>
      <c r="B3077" s="23" t="s">
        <v>1095</v>
      </c>
      <c r="C3077" s="23" t="s">
        <v>176</v>
      </c>
      <c r="D3077" s="23" t="s">
        <v>436</v>
      </c>
      <c r="E3077" s="23" t="s">
        <v>437</v>
      </c>
      <c r="F3077">
        <v>1</v>
      </c>
      <c r="G3077" s="23" t="s">
        <v>177</v>
      </c>
      <c r="H3077">
        <v>0</v>
      </c>
      <c r="I3077">
        <v>12</v>
      </c>
      <c r="J3077" s="10">
        <v>3</v>
      </c>
      <c r="K3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077">
        <v>0</v>
      </c>
      <c r="M30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7">
        <v>1723.12</v>
      </c>
      <c r="O3077" s="23" t="s">
        <v>637</v>
      </c>
      <c r="P3077">
        <v>1723.12</v>
      </c>
      <c r="Q3077" s="23" t="s">
        <v>179</v>
      </c>
    </row>
    <row r="3078" spans="1:17" x14ac:dyDescent="0.25">
      <c r="A3078" s="23" t="s">
        <v>1096</v>
      </c>
      <c r="B3078" s="23" t="s">
        <v>1053</v>
      </c>
      <c r="C3078" s="23" t="s">
        <v>176</v>
      </c>
      <c r="D3078" s="23" t="s">
        <v>436</v>
      </c>
      <c r="E3078" s="23" t="s">
        <v>437</v>
      </c>
      <c r="F3078">
        <v>1</v>
      </c>
      <c r="G3078" s="23" t="s">
        <v>177</v>
      </c>
      <c r="H3078">
        <v>1</v>
      </c>
      <c r="I3078">
        <v>12</v>
      </c>
      <c r="J3078" s="10">
        <v>3</v>
      </c>
      <c r="K3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078">
        <v>0</v>
      </c>
      <c r="M30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8">
        <v>1723.12</v>
      </c>
      <c r="O3078" s="23" t="s">
        <v>637</v>
      </c>
      <c r="P3078">
        <v>1723.12</v>
      </c>
      <c r="Q3078" s="23" t="s">
        <v>179</v>
      </c>
    </row>
    <row r="3079" spans="1:17" x14ac:dyDescent="0.25">
      <c r="A3079" s="23" t="s">
        <v>1146</v>
      </c>
      <c r="B3079" s="23" t="s">
        <v>1145</v>
      </c>
      <c r="C3079" s="23" t="s">
        <v>176</v>
      </c>
      <c r="D3079" s="23" t="s">
        <v>1075</v>
      </c>
      <c r="E3079" s="23" t="s">
        <v>1076</v>
      </c>
      <c r="F3079">
        <v>1</v>
      </c>
      <c r="G3079" s="23" t="s">
        <v>177</v>
      </c>
      <c r="H3079">
        <v>0</v>
      </c>
      <c r="I3079">
        <v>0</v>
      </c>
      <c r="J3079" s="10">
        <v>0</v>
      </c>
      <c r="K3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3079">
        <v>0</v>
      </c>
      <c r="M30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79">
        <v>0</v>
      </c>
      <c r="O3079" s="23"/>
      <c r="P3079">
        <v>0</v>
      </c>
      <c r="Q3079" s="23" t="s">
        <v>178</v>
      </c>
    </row>
    <row r="3080" spans="1:17" x14ac:dyDescent="0.25">
      <c r="A3080" s="23" t="s">
        <v>1144</v>
      </c>
      <c r="B3080" s="23" t="s">
        <v>1145</v>
      </c>
      <c r="C3080" s="23" t="s">
        <v>176</v>
      </c>
      <c r="D3080" s="23" t="s">
        <v>1075</v>
      </c>
      <c r="E3080" s="23" t="s">
        <v>1076</v>
      </c>
      <c r="F3080">
        <v>1</v>
      </c>
      <c r="G3080" s="23" t="s">
        <v>177</v>
      </c>
      <c r="H3080">
        <v>0</v>
      </c>
      <c r="I3080">
        <v>0</v>
      </c>
      <c r="J3080" s="10">
        <v>0</v>
      </c>
      <c r="K3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3080">
        <v>0</v>
      </c>
      <c r="M30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0">
        <v>0</v>
      </c>
      <c r="O3080" s="23"/>
      <c r="P3080">
        <v>0</v>
      </c>
      <c r="Q3080" s="23" t="s">
        <v>178</v>
      </c>
    </row>
    <row r="3081" spans="1:17" x14ac:dyDescent="0.25">
      <c r="A3081" s="23" t="s">
        <v>1150</v>
      </c>
      <c r="B3081" s="23" t="s">
        <v>1145</v>
      </c>
      <c r="C3081" s="23" t="s">
        <v>176</v>
      </c>
      <c r="D3081" s="23" t="s">
        <v>265</v>
      </c>
      <c r="E3081" s="23" t="s">
        <v>420</v>
      </c>
      <c r="F3081">
        <v>1</v>
      </c>
      <c r="G3081" s="23" t="s">
        <v>177</v>
      </c>
      <c r="H3081">
        <v>0</v>
      </c>
      <c r="I3081">
        <v>0</v>
      </c>
      <c r="J3081" s="10">
        <v>10</v>
      </c>
      <c r="K3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3081">
        <v>5</v>
      </c>
      <c r="M30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3081">
        <v>5994.01</v>
      </c>
      <c r="O3081" s="23" t="s">
        <v>228</v>
      </c>
      <c r="P3081">
        <v>5994.01</v>
      </c>
      <c r="Q3081" s="23" t="s">
        <v>222</v>
      </c>
    </row>
    <row r="3082" spans="1:17" x14ac:dyDescent="0.25">
      <c r="A3082" s="23" t="s">
        <v>1062</v>
      </c>
      <c r="B3082" s="23" t="s">
        <v>1053</v>
      </c>
      <c r="C3082" s="23" t="s">
        <v>176</v>
      </c>
      <c r="D3082" s="23" t="s">
        <v>295</v>
      </c>
      <c r="E3082" s="23" t="s">
        <v>324</v>
      </c>
      <c r="F3082">
        <v>0.3</v>
      </c>
      <c r="G3082" s="23" t="s">
        <v>186</v>
      </c>
      <c r="H3082">
        <v>0</v>
      </c>
      <c r="I3082">
        <v>2.5</v>
      </c>
      <c r="J3082" s="10">
        <v>0</v>
      </c>
      <c r="K3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82">
        <v>0</v>
      </c>
      <c r="M30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2">
        <v>2400</v>
      </c>
      <c r="O3082" s="23" t="s">
        <v>221</v>
      </c>
      <c r="P3082">
        <v>720</v>
      </c>
      <c r="Q3082" s="23" t="s">
        <v>181</v>
      </c>
    </row>
    <row r="3083" spans="1:17" x14ac:dyDescent="0.25">
      <c r="A3083" s="23" t="s">
        <v>1197</v>
      </c>
      <c r="B3083" s="23" t="s">
        <v>1198</v>
      </c>
      <c r="C3083" s="23" t="s">
        <v>176</v>
      </c>
      <c r="D3083" s="23" t="s">
        <v>295</v>
      </c>
      <c r="E3083" s="23" t="s">
        <v>324</v>
      </c>
      <c r="F3083">
        <v>7.0000000000000007E-2</v>
      </c>
      <c r="G3083" s="23" t="s">
        <v>186</v>
      </c>
      <c r="H3083">
        <v>0</v>
      </c>
      <c r="I3083">
        <v>2.5</v>
      </c>
      <c r="J3083" s="10">
        <v>0</v>
      </c>
      <c r="K3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83">
        <v>0</v>
      </c>
      <c r="M30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3">
        <v>2400</v>
      </c>
      <c r="O3083" s="23" t="s">
        <v>221</v>
      </c>
      <c r="P3083">
        <v>168.00000000000003</v>
      </c>
      <c r="Q3083" s="23" t="s">
        <v>181</v>
      </c>
    </row>
    <row r="3084" spans="1:17" x14ac:dyDescent="0.25">
      <c r="A3084" s="23" t="s">
        <v>1098</v>
      </c>
      <c r="B3084" s="23" t="s">
        <v>1053</v>
      </c>
      <c r="C3084" s="23" t="s">
        <v>176</v>
      </c>
      <c r="D3084" s="23" t="s">
        <v>295</v>
      </c>
      <c r="E3084" s="23" t="s">
        <v>324</v>
      </c>
      <c r="F3084">
        <v>0.09</v>
      </c>
      <c r="G3084" s="23" t="s">
        <v>186</v>
      </c>
      <c r="H3084">
        <v>0</v>
      </c>
      <c r="I3084">
        <v>2.5</v>
      </c>
      <c r="J3084" s="10">
        <v>0</v>
      </c>
      <c r="K3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3084">
        <v>0</v>
      </c>
      <c r="M30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4">
        <v>2400</v>
      </c>
      <c r="O3084" s="23" t="s">
        <v>221</v>
      </c>
      <c r="P3084">
        <v>216</v>
      </c>
      <c r="Q3084" s="23" t="s">
        <v>181</v>
      </c>
    </row>
    <row r="3085" spans="1:17" x14ac:dyDescent="0.25">
      <c r="A3085" s="23" t="s">
        <v>1062</v>
      </c>
      <c r="B3085" s="23" t="s">
        <v>1053</v>
      </c>
      <c r="C3085" s="23" t="s">
        <v>176</v>
      </c>
      <c r="D3085" s="23" t="s">
        <v>436</v>
      </c>
      <c r="E3085" s="23" t="s">
        <v>437</v>
      </c>
      <c r="F3085">
        <v>1</v>
      </c>
      <c r="G3085" s="23" t="s">
        <v>177</v>
      </c>
      <c r="H3085">
        <v>1</v>
      </c>
      <c r="I3085">
        <v>12</v>
      </c>
      <c r="J3085" s="10">
        <v>3</v>
      </c>
      <c r="K3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085">
        <v>0</v>
      </c>
      <c r="M30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5">
        <v>1723.12</v>
      </c>
      <c r="O3085" s="23" t="s">
        <v>637</v>
      </c>
      <c r="P3085">
        <v>1723.12</v>
      </c>
      <c r="Q3085" s="23" t="s">
        <v>179</v>
      </c>
    </row>
    <row r="3086" spans="1:17" x14ac:dyDescent="0.25">
      <c r="A3086" s="23" t="s">
        <v>1098</v>
      </c>
      <c r="B3086" s="23" t="s">
        <v>1053</v>
      </c>
      <c r="C3086" s="23" t="s">
        <v>176</v>
      </c>
      <c r="D3086" s="23" t="s">
        <v>436</v>
      </c>
      <c r="E3086" s="23" t="s">
        <v>437</v>
      </c>
      <c r="F3086">
        <v>1</v>
      </c>
      <c r="G3086" s="23" t="s">
        <v>177</v>
      </c>
      <c r="H3086">
        <v>0</v>
      </c>
      <c r="I3086">
        <v>12</v>
      </c>
      <c r="J3086" s="10">
        <v>3</v>
      </c>
      <c r="K3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086">
        <v>0</v>
      </c>
      <c r="M30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6">
        <v>1723.12</v>
      </c>
      <c r="O3086" s="23" t="s">
        <v>637</v>
      </c>
      <c r="P3086">
        <v>1723.12</v>
      </c>
      <c r="Q3086" s="23" t="s">
        <v>179</v>
      </c>
    </row>
    <row r="3087" spans="1:17" x14ac:dyDescent="0.25">
      <c r="A3087" s="23" t="s">
        <v>1142</v>
      </c>
      <c r="B3087" s="23" t="s">
        <v>1054</v>
      </c>
      <c r="C3087" s="23" t="s">
        <v>176</v>
      </c>
      <c r="D3087" s="23" t="s">
        <v>270</v>
      </c>
      <c r="E3087" s="23" t="s">
        <v>589</v>
      </c>
      <c r="F3087">
        <v>1</v>
      </c>
      <c r="G3087" s="23" t="s">
        <v>177</v>
      </c>
      <c r="H3087">
        <v>0</v>
      </c>
      <c r="I3087">
        <v>1</v>
      </c>
      <c r="J3087" s="10">
        <v>11</v>
      </c>
      <c r="K3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087">
        <v>0</v>
      </c>
      <c r="M30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3087">
        <v>13310.52</v>
      </c>
      <c r="O3087" s="23" t="s">
        <v>590</v>
      </c>
      <c r="P3087">
        <v>13310.52</v>
      </c>
      <c r="Q3087" s="23" t="s">
        <v>178</v>
      </c>
    </row>
    <row r="3088" spans="1:17" x14ac:dyDescent="0.25">
      <c r="A3088" s="23" t="s">
        <v>1149</v>
      </c>
      <c r="B3088" s="23" t="s">
        <v>1145</v>
      </c>
      <c r="C3088" s="23" t="s">
        <v>176</v>
      </c>
      <c r="D3088" s="23" t="s">
        <v>472</v>
      </c>
      <c r="E3088" s="23" t="s">
        <v>473</v>
      </c>
      <c r="F3088">
        <v>12</v>
      </c>
      <c r="G3088" s="23" t="s">
        <v>177</v>
      </c>
      <c r="H3088">
        <v>0</v>
      </c>
      <c r="I3088">
        <v>200</v>
      </c>
      <c r="J3088" s="10">
        <v>343</v>
      </c>
      <c r="K3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088">
        <v>0</v>
      </c>
      <c r="M30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88">
        <v>9</v>
      </c>
      <c r="O3088" s="23" t="s">
        <v>242</v>
      </c>
      <c r="P3088">
        <v>108</v>
      </c>
      <c r="Q3088" s="23" t="s">
        <v>181</v>
      </c>
    </row>
    <row r="3089" spans="1:17" x14ac:dyDescent="0.25">
      <c r="A3089" s="23" t="s">
        <v>1146</v>
      </c>
      <c r="B3089" s="23" t="s">
        <v>1145</v>
      </c>
      <c r="C3089" s="23" t="s">
        <v>176</v>
      </c>
      <c r="D3089" s="23" t="s">
        <v>476</v>
      </c>
      <c r="E3089" s="23" t="s">
        <v>477</v>
      </c>
      <c r="F3089">
        <v>1</v>
      </c>
      <c r="G3089" s="23" t="s">
        <v>177</v>
      </c>
      <c r="H3089">
        <v>0</v>
      </c>
      <c r="I3089">
        <v>6</v>
      </c>
      <c r="J3089" s="10">
        <v>0</v>
      </c>
      <c r="K3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3089">
        <v>0</v>
      </c>
      <c r="M30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3089">
        <v>20</v>
      </c>
      <c r="O3089" s="23" t="s">
        <v>227</v>
      </c>
      <c r="P3089">
        <v>20</v>
      </c>
      <c r="Q3089" s="23" t="s">
        <v>181</v>
      </c>
    </row>
    <row r="3090" spans="1:17" x14ac:dyDescent="0.25">
      <c r="A3090" s="23" t="s">
        <v>1058</v>
      </c>
      <c r="B3090" s="23" t="s">
        <v>1059</v>
      </c>
      <c r="C3090" s="23" t="s">
        <v>176</v>
      </c>
      <c r="D3090" s="23" t="s">
        <v>501</v>
      </c>
      <c r="E3090" s="23" t="s">
        <v>502</v>
      </c>
      <c r="F3090">
        <v>4</v>
      </c>
      <c r="G3090" s="23" t="s">
        <v>180</v>
      </c>
      <c r="H3090">
        <v>0</v>
      </c>
      <c r="I3090">
        <v>0</v>
      </c>
      <c r="J3090" s="10">
        <v>27</v>
      </c>
      <c r="K3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090">
        <v>0</v>
      </c>
      <c r="M30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090">
        <v>13</v>
      </c>
      <c r="O3090" s="23"/>
      <c r="P3090">
        <v>52</v>
      </c>
      <c r="Q3090" s="23" t="s">
        <v>222</v>
      </c>
    </row>
    <row r="3091" spans="1:17" x14ac:dyDescent="0.25">
      <c r="A3091" s="23" t="s">
        <v>1099</v>
      </c>
      <c r="B3091" s="23" t="s">
        <v>1056</v>
      </c>
      <c r="C3091" s="23" t="s">
        <v>176</v>
      </c>
      <c r="D3091" s="23" t="s">
        <v>501</v>
      </c>
      <c r="E3091" s="23" t="s">
        <v>502</v>
      </c>
      <c r="F3091">
        <v>4</v>
      </c>
      <c r="G3091" s="23" t="s">
        <v>180</v>
      </c>
      <c r="H3091">
        <v>0</v>
      </c>
      <c r="I3091">
        <v>0</v>
      </c>
      <c r="J3091" s="10">
        <v>27</v>
      </c>
      <c r="K3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091">
        <v>0</v>
      </c>
      <c r="M30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091">
        <v>13</v>
      </c>
      <c r="O3091" s="23"/>
      <c r="P3091">
        <v>52</v>
      </c>
      <c r="Q3091" s="23" t="s">
        <v>222</v>
      </c>
    </row>
    <row r="3092" spans="1:17" x14ac:dyDescent="0.25">
      <c r="A3092" s="23" t="s">
        <v>1148</v>
      </c>
      <c r="B3092" s="23" t="s">
        <v>1054</v>
      </c>
      <c r="C3092" s="23" t="s">
        <v>176</v>
      </c>
      <c r="D3092" s="23" t="s">
        <v>551</v>
      </c>
      <c r="E3092" s="23" t="s">
        <v>552</v>
      </c>
      <c r="F3092">
        <v>2</v>
      </c>
      <c r="G3092" s="23" t="s">
        <v>177</v>
      </c>
      <c r="H3092">
        <v>0</v>
      </c>
      <c r="I3092">
        <v>35</v>
      </c>
      <c r="J3092" s="10">
        <v>14</v>
      </c>
      <c r="K3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092">
        <v>15</v>
      </c>
      <c r="M30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2">
        <v>43.75</v>
      </c>
      <c r="O3092" s="23" t="s">
        <v>491</v>
      </c>
      <c r="P3092">
        <v>87.5</v>
      </c>
      <c r="Q3092" s="23" t="s">
        <v>181</v>
      </c>
    </row>
    <row r="3093" spans="1:17" x14ac:dyDescent="0.25">
      <c r="A3093" s="23" t="s">
        <v>1099</v>
      </c>
      <c r="B3093" s="23" t="s">
        <v>1056</v>
      </c>
      <c r="C3093" s="23" t="s">
        <v>176</v>
      </c>
      <c r="D3093" s="23" t="s">
        <v>551</v>
      </c>
      <c r="E3093" s="23" t="s">
        <v>552</v>
      </c>
      <c r="F3093">
        <v>2</v>
      </c>
      <c r="G3093" s="23" t="s">
        <v>177</v>
      </c>
      <c r="H3093">
        <v>2</v>
      </c>
      <c r="I3093">
        <v>35</v>
      </c>
      <c r="J3093" s="10">
        <v>14</v>
      </c>
      <c r="K3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093">
        <v>15</v>
      </c>
      <c r="M30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3">
        <v>43.75</v>
      </c>
      <c r="O3093" s="23" t="s">
        <v>491</v>
      </c>
      <c r="P3093">
        <v>87.5</v>
      </c>
      <c r="Q3093" s="23" t="s">
        <v>181</v>
      </c>
    </row>
    <row r="3094" spans="1:17" x14ac:dyDescent="0.25">
      <c r="A3094" s="23" t="s">
        <v>1100</v>
      </c>
      <c r="B3094" s="23" t="s">
        <v>1101</v>
      </c>
      <c r="C3094" s="23" t="s">
        <v>176</v>
      </c>
      <c r="D3094" s="23" t="s">
        <v>409</v>
      </c>
      <c r="E3094" s="23" t="s">
        <v>410</v>
      </c>
      <c r="F3094">
        <v>24</v>
      </c>
      <c r="G3094" s="23" t="s">
        <v>177</v>
      </c>
      <c r="H3094">
        <v>0</v>
      </c>
      <c r="I3094">
        <v>2700</v>
      </c>
      <c r="J3094" s="10">
        <v>0</v>
      </c>
      <c r="K3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094">
        <v>0</v>
      </c>
      <c r="M30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4">
        <v>1.55</v>
      </c>
      <c r="O3094" s="23" t="s">
        <v>221</v>
      </c>
      <c r="P3094">
        <v>37.200000000000003</v>
      </c>
      <c r="Q3094" s="23" t="s">
        <v>222</v>
      </c>
    </row>
    <row r="3095" spans="1:17" x14ac:dyDescent="0.25">
      <c r="A3095" s="23" t="s">
        <v>1147</v>
      </c>
      <c r="B3095" s="23" t="s">
        <v>1145</v>
      </c>
      <c r="C3095" s="23" t="s">
        <v>176</v>
      </c>
      <c r="D3095" s="23" t="s">
        <v>341</v>
      </c>
      <c r="E3095" s="23" t="s">
        <v>342</v>
      </c>
      <c r="F3095">
        <v>2</v>
      </c>
      <c r="G3095" s="23" t="s">
        <v>177</v>
      </c>
      <c r="H3095">
        <v>0</v>
      </c>
      <c r="I3095">
        <v>75</v>
      </c>
      <c r="J3095" s="10">
        <v>42.700000000000159</v>
      </c>
      <c r="K3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095">
        <v>0</v>
      </c>
      <c r="M30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5">
        <v>15</v>
      </c>
      <c r="O3095" s="23" t="s">
        <v>242</v>
      </c>
      <c r="P3095">
        <v>30</v>
      </c>
      <c r="Q3095" s="23" t="s">
        <v>181</v>
      </c>
    </row>
    <row r="3096" spans="1:17" x14ac:dyDescent="0.25">
      <c r="A3096" s="23" t="s">
        <v>1099</v>
      </c>
      <c r="B3096" s="23" t="s">
        <v>1056</v>
      </c>
      <c r="C3096" s="23" t="s">
        <v>176</v>
      </c>
      <c r="D3096" s="23" t="s">
        <v>341</v>
      </c>
      <c r="E3096" s="23" t="s">
        <v>342</v>
      </c>
      <c r="F3096">
        <v>1.5</v>
      </c>
      <c r="G3096" s="23" t="s">
        <v>177</v>
      </c>
      <c r="H3096">
        <v>1.5</v>
      </c>
      <c r="I3096">
        <v>75</v>
      </c>
      <c r="J3096" s="10">
        <v>42.700000000000159</v>
      </c>
      <c r="K3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096">
        <v>0</v>
      </c>
      <c r="M30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6">
        <v>15</v>
      </c>
      <c r="O3096" s="23" t="s">
        <v>242</v>
      </c>
      <c r="P3096">
        <v>22.5</v>
      </c>
      <c r="Q3096" s="23" t="s">
        <v>181</v>
      </c>
    </row>
    <row r="3097" spans="1:17" x14ac:dyDescent="0.25">
      <c r="A3097" s="23" t="s">
        <v>1058</v>
      </c>
      <c r="B3097" s="23" t="s">
        <v>1059</v>
      </c>
      <c r="C3097" s="23" t="s">
        <v>176</v>
      </c>
      <c r="D3097" s="23" t="s">
        <v>799</v>
      </c>
      <c r="E3097" s="23" t="s">
        <v>800</v>
      </c>
      <c r="F3097">
        <v>3</v>
      </c>
      <c r="G3097" s="23" t="s">
        <v>177</v>
      </c>
      <c r="H3097">
        <v>0</v>
      </c>
      <c r="I3097">
        <v>200</v>
      </c>
      <c r="J3097" s="10">
        <v>0</v>
      </c>
      <c r="K3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3097">
        <v>0</v>
      </c>
      <c r="M30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7">
        <v>10</v>
      </c>
      <c r="O3097" s="23" t="s">
        <v>227</v>
      </c>
      <c r="P3097">
        <v>30</v>
      </c>
      <c r="Q3097" s="23" t="s">
        <v>181</v>
      </c>
    </row>
    <row r="3098" spans="1:17" x14ac:dyDescent="0.25">
      <c r="A3098" s="23" t="s">
        <v>1099</v>
      </c>
      <c r="B3098" s="23" t="s">
        <v>1056</v>
      </c>
      <c r="C3098" s="23" t="s">
        <v>176</v>
      </c>
      <c r="D3098" s="23" t="s">
        <v>107</v>
      </c>
      <c r="E3098" s="23" t="s">
        <v>108</v>
      </c>
      <c r="F3098">
        <v>1</v>
      </c>
      <c r="G3098" s="23" t="s">
        <v>177</v>
      </c>
      <c r="H3098">
        <v>1</v>
      </c>
      <c r="I3098">
        <v>9</v>
      </c>
      <c r="J3098" s="10">
        <v>8</v>
      </c>
      <c r="K3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098">
        <v>5</v>
      </c>
      <c r="M30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8">
        <v>1200</v>
      </c>
      <c r="O3098" s="23" t="s">
        <v>218</v>
      </c>
      <c r="P3098">
        <v>1200</v>
      </c>
      <c r="Q3098" s="23" t="s">
        <v>179</v>
      </c>
    </row>
    <row r="3099" spans="1:17" x14ac:dyDescent="0.25">
      <c r="A3099" s="23" t="s">
        <v>1150</v>
      </c>
      <c r="B3099" s="23" t="s">
        <v>1145</v>
      </c>
      <c r="C3099" s="23" t="s">
        <v>176</v>
      </c>
      <c r="D3099" s="23" t="s">
        <v>102</v>
      </c>
      <c r="E3099" s="23" t="s">
        <v>103</v>
      </c>
      <c r="F3099">
        <v>4</v>
      </c>
      <c r="G3099" s="23" t="s">
        <v>186</v>
      </c>
      <c r="H3099">
        <v>0</v>
      </c>
      <c r="I3099">
        <v>66</v>
      </c>
      <c r="J3099" s="10">
        <v>36.350000000000151</v>
      </c>
      <c r="K3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099">
        <v>0</v>
      </c>
      <c r="M30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099">
        <v>129.63</v>
      </c>
      <c r="O3099" s="23" t="s">
        <v>242</v>
      </c>
      <c r="P3099">
        <v>518.52</v>
      </c>
      <c r="Q3099" s="23" t="s">
        <v>184</v>
      </c>
    </row>
    <row r="3100" spans="1:17" x14ac:dyDescent="0.25">
      <c r="A3100" s="23" t="s">
        <v>1099</v>
      </c>
      <c r="B3100" s="23" t="s">
        <v>1056</v>
      </c>
      <c r="C3100" s="23" t="s">
        <v>176</v>
      </c>
      <c r="D3100" s="23" t="s">
        <v>409</v>
      </c>
      <c r="E3100" s="23" t="s">
        <v>410</v>
      </c>
      <c r="F3100">
        <v>24</v>
      </c>
      <c r="G3100" s="23" t="s">
        <v>177</v>
      </c>
      <c r="H3100">
        <v>0</v>
      </c>
      <c r="I3100">
        <v>2700</v>
      </c>
      <c r="J3100" s="10">
        <v>0</v>
      </c>
      <c r="K3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100">
        <v>0</v>
      </c>
      <c r="M31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0">
        <v>1.55</v>
      </c>
      <c r="O3100" s="23" t="s">
        <v>221</v>
      </c>
      <c r="P3100">
        <v>37.200000000000003</v>
      </c>
      <c r="Q3100" s="23" t="s">
        <v>222</v>
      </c>
    </row>
    <row r="3101" spans="1:17" x14ac:dyDescent="0.25">
      <c r="A3101" s="23" t="s">
        <v>1148</v>
      </c>
      <c r="B3101" s="23" t="s">
        <v>1054</v>
      </c>
      <c r="C3101" s="23" t="s">
        <v>176</v>
      </c>
      <c r="D3101" s="23" t="s">
        <v>341</v>
      </c>
      <c r="E3101" s="23" t="s">
        <v>342</v>
      </c>
      <c r="F3101">
        <v>2.04</v>
      </c>
      <c r="G3101" s="23" t="s">
        <v>177</v>
      </c>
      <c r="H3101">
        <v>0</v>
      </c>
      <c r="I3101">
        <v>75</v>
      </c>
      <c r="J3101" s="10">
        <v>42.700000000000159</v>
      </c>
      <c r="K3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101">
        <v>0</v>
      </c>
      <c r="M31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1">
        <v>15</v>
      </c>
      <c r="O3101" s="23" t="s">
        <v>242</v>
      </c>
      <c r="P3101">
        <v>30.6</v>
      </c>
      <c r="Q3101" s="23" t="s">
        <v>181</v>
      </c>
    </row>
    <row r="3102" spans="1:17" x14ac:dyDescent="0.25">
      <c r="A3102" s="23" t="s">
        <v>1055</v>
      </c>
      <c r="B3102" s="23" t="s">
        <v>1056</v>
      </c>
      <c r="C3102" s="23" t="s">
        <v>176</v>
      </c>
      <c r="D3102" s="23" t="s">
        <v>965</v>
      </c>
      <c r="E3102" s="23" t="s">
        <v>966</v>
      </c>
      <c r="F3102">
        <v>1</v>
      </c>
      <c r="G3102" s="23" t="s">
        <v>177</v>
      </c>
      <c r="H3102">
        <v>1</v>
      </c>
      <c r="I3102">
        <v>1</v>
      </c>
      <c r="J3102" s="10">
        <v>6</v>
      </c>
      <c r="K3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102">
        <v>0</v>
      </c>
      <c r="M31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102">
        <v>8424.67</v>
      </c>
      <c r="O3102" s="23" t="s">
        <v>635</v>
      </c>
      <c r="P3102">
        <v>8424.67</v>
      </c>
      <c r="Q3102" s="23" t="s">
        <v>178</v>
      </c>
    </row>
    <row r="3103" spans="1:17" x14ac:dyDescent="0.25">
      <c r="A3103" s="23" t="s">
        <v>1148</v>
      </c>
      <c r="B3103" s="23" t="s">
        <v>1054</v>
      </c>
      <c r="C3103" s="23" t="s">
        <v>176</v>
      </c>
      <c r="D3103" s="23" t="s">
        <v>965</v>
      </c>
      <c r="E3103" s="23" t="s">
        <v>966</v>
      </c>
      <c r="F3103">
        <v>1</v>
      </c>
      <c r="G3103" s="23" t="s">
        <v>177</v>
      </c>
      <c r="H3103">
        <v>0</v>
      </c>
      <c r="I3103">
        <v>1</v>
      </c>
      <c r="J3103" s="10">
        <v>6</v>
      </c>
      <c r="K3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103">
        <v>0</v>
      </c>
      <c r="M31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103">
        <v>8424.67</v>
      </c>
      <c r="O3103" s="23" t="s">
        <v>635</v>
      </c>
      <c r="P3103">
        <v>8424.67</v>
      </c>
      <c r="Q3103" s="23" t="s">
        <v>178</v>
      </c>
    </row>
    <row r="3104" spans="1:17" x14ac:dyDescent="0.25">
      <c r="A3104" s="23" t="s">
        <v>1147</v>
      </c>
      <c r="B3104" s="23" t="s">
        <v>1145</v>
      </c>
      <c r="C3104" s="23" t="s">
        <v>176</v>
      </c>
      <c r="D3104" s="23" t="s">
        <v>107</v>
      </c>
      <c r="E3104" s="23" t="s">
        <v>108</v>
      </c>
      <c r="F3104">
        <v>1</v>
      </c>
      <c r="G3104" s="23" t="s">
        <v>177</v>
      </c>
      <c r="H3104">
        <v>0</v>
      </c>
      <c r="I3104">
        <v>9</v>
      </c>
      <c r="J3104" s="10">
        <v>8</v>
      </c>
      <c r="K3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04">
        <v>5</v>
      </c>
      <c r="M31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4">
        <v>1200</v>
      </c>
      <c r="O3104" s="23" t="s">
        <v>218</v>
      </c>
      <c r="P3104">
        <v>1200</v>
      </c>
      <c r="Q3104" s="23" t="s">
        <v>179</v>
      </c>
    </row>
    <row r="3105" spans="1:17" x14ac:dyDescent="0.25">
      <c r="A3105" s="23" t="s">
        <v>1148</v>
      </c>
      <c r="B3105" s="23" t="s">
        <v>1054</v>
      </c>
      <c r="C3105" s="23" t="s">
        <v>176</v>
      </c>
      <c r="D3105" s="23" t="s">
        <v>107</v>
      </c>
      <c r="E3105" s="23" t="s">
        <v>108</v>
      </c>
      <c r="F3105">
        <v>1</v>
      </c>
      <c r="G3105" s="23" t="s">
        <v>177</v>
      </c>
      <c r="H3105">
        <v>0</v>
      </c>
      <c r="I3105">
        <v>9</v>
      </c>
      <c r="J3105" s="10">
        <v>8</v>
      </c>
      <c r="K3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05">
        <v>5</v>
      </c>
      <c r="M31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5">
        <v>1200</v>
      </c>
      <c r="O3105" s="23" t="s">
        <v>218</v>
      </c>
      <c r="P3105">
        <v>1200</v>
      </c>
      <c r="Q3105" s="23" t="s">
        <v>179</v>
      </c>
    </row>
    <row r="3106" spans="1:17" x14ac:dyDescent="0.25">
      <c r="A3106" s="23" t="s">
        <v>1149</v>
      </c>
      <c r="B3106" s="23" t="s">
        <v>1145</v>
      </c>
      <c r="C3106" s="23" t="s">
        <v>176</v>
      </c>
      <c r="D3106" s="23" t="s">
        <v>97</v>
      </c>
      <c r="E3106" s="23" t="s">
        <v>98</v>
      </c>
      <c r="F3106">
        <v>1</v>
      </c>
      <c r="G3106" s="23" t="s">
        <v>177</v>
      </c>
      <c r="H3106">
        <v>0</v>
      </c>
      <c r="I3106">
        <v>0</v>
      </c>
      <c r="J3106" s="10">
        <v>5</v>
      </c>
      <c r="K3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106">
        <v>7</v>
      </c>
      <c r="M31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6">
        <v>1491.67</v>
      </c>
      <c r="O3106" s="23" t="s">
        <v>633</v>
      </c>
      <c r="P3106">
        <v>1491.67</v>
      </c>
      <c r="Q3106" s="23" t="s">
        <v>178</v>
      </c>
    </row>
    <row r="3107" spans="1:17" x14ac:dyDescent="0.25">
      <c r="A3107" s="23" t="s">
        <v>1146</v>
      </c>
      <c r="B3107" s="23" t="s">
        <v>1145</v>
      </c>
      <c r="C3107" s="23" t="s">
        <v>176</v>
      </c>
      <c r="D3107" s="23" t="s">
        <v>97</v>
      </c>
      <c r="E3107" s="23" t="s">
        <v>98</v>
      </c>
      <c r="F3107">
        <v>1</v>
      </c>
      <c r="G3107" s="23" t="s">
        <v>177</v>
      </c>
      <c r="H3107">
        <v>0</v>
      </c>
      <c r="I3107">
        <v>0</v>
      </c>
      <c r="J3107" s="10">
        <v>5</v>
      </c>
      <c r="K3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107">
        <v>7</v>
      </c>
      <c r="M31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7">
        <v>1491.67</v>
      </c>
      <c r="O3107" s="23" t="s">
        <v>633</v>
      </c>
      <c r="P3107">
        <v>1491.67</v>
      </c>
      <c r="Q3107" s="23" t="s">
        <v>178</v>
      </c>
    </row>
    <row r="3108" spans="1:17" x14ac:dyDescent="0.25">
      <c r="A3108" s="23" t="s">
        <v>1144</v>
      </c>
      <c r="B3108" s="23" t="s">
        <v>1145</v>
      </c>
      <c r="C3108" s="23" t="s">
        <v>176</v>
      </c>
      <c r="D3108" s="23" t="s">
        <v>97</v>
      </c>
      <c r="E3108" s="23" t="s">
        <v>98</v>
      </c>
      <c r="F3108">
        <v>1</v>
      </c>
      <c r="G3108" s="23" t="s">
        <v>177</v>
      </c>
      <c r="H3108">
        <v>0</v>
      </c>
      <c r="I3108">
        <v>0</v>
      </c>
      <c r="J3108" s="10">
        <v>5</v>
      </c>
      <c r="K3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108">
        <v>7</v>
      </c>
      <c r="M31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8">
        <v>1491.67</v>
      </c>
      <c r="O3108" s="23" t="s">
        <v>633</v>
      </c>
      <c r="P3108">
        <v>1491.67</v>
      </c>
      <c r="Q3108" s="23" t="s">
        <v>178</v>
      </c>
    </row>
    <row r="3109" spans="1:17" x14ac:dyDescent="0.25">
      <c r="A3109" s="23" t="s">
        <v>1144</v>
      </c>
      <c r="B3109" s="23" t="s">
        <v>1145</v>
      </c>
      <c r="C3109" s="23" t="s">
        <v>176</v>
      </c>
      <c r="D3109" s="23" t="s">
        <v>100</v>
      </c>
      <c r="E3109" s="23" t="s">
        <v>101</v>
      </c>
      <c r="F3109">
        <v>35.279999999999994</v>
      </c>
      <c r="G3109" s="23" t="s">
        <v>186</v>
      </c>
      <c r="H3109">
        <v>0</v>
      </c>
      <c r="I3109">
        <v>289.7</v>
      </c>
      <c r="J3109" s="10">
        <v>148.12000000000032</v>
      </c>
      <c r="K3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109">
        <v>289.7</v>
      </c>
      <c r="M31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09">
        <v>96.37</v>
      </c>
      <c r="O3109" s="23" t="s">
        <v>491</v>
      </c>
      <c r="P3109">
        <v>3399.9335999999994</v>
      </c>
      <c r="Q3109" s="23" t="s">
        <v>184</v>
      </c>
    </row>
    <row r="3110" spans="1:17" x14ac:dyDescent="0.25">
      <c r="A3110" s="23" t="s">
        <v>1100</v>
      </c>
      <c r="B3110" s="23" t="s">
        <v>1101</v>
      </c>
      <c r="C3110" s="23" t="s">
        <v>176</v>
      </c>
      <c r="D3110" s="23" t="s">
        <v>107</v>
      </c>
      <c r="E3110" s="23" t="s">
        <v>108</v>
      </c>
      <c r="F3110">
        <v>1</v>
      </c>
      <c r="G3110" s="23" t="s">
        <v>177</v>
      </c>
      <c r="H3110">
        <v>0</v>
      </c>
      <c r="I3110">
        <v>9</v>
      </c>
      <c r="J3110" s="10">
        <v>8</v>
      </c>
      <c r="K3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10">
        <v>5</v>
      </c>
      <c r="M31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0">
        <v>1200</v>
      </c>
      <c r="O3110" s="23" t="s">
        <v>218</v>
      </c>
      <c r="P3110">
        <v>1200</v>
      </c>
      <c r="Q3110" s="23" t="s">
        <v>179</v>
      </c>
    </row>
    <row r="3111" spans="1:17" x14ac:dyDescent="0.25">
      <c r="A3111" s="23" t="s">
        <v>1150</v>
      </c>
      <c r="B3111" s="23" t="s">
        <v>1145</v>
      </c>
      <c r="C3111" s="23" t="s">
        <v>176</v>
      </c>
      <c r="D3111" s="23" t="s">
        <v>97</v>
      </c>
      <c r="E3111" s="23" t="s">
        <v>98</v>
      </c>
      <c r="F3111">
        <v>1</v>
      </c>
      <c r="G3111" s="23" t="s">
        <v>177</v>
      </c>
      <c r="H3111">
        <v>0</v>
      </c>
      <c r="I3111">
        <v>0</v>
      </c>
      <c r="J3111" s="10">
        <v>5</v>
      </c>
      <c r="K3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111">
        <v>7</v>
      </c>
      <c r="M31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1">
        <v>1491.67</v>
      </c>
      <c r="O3111" s="23" t="s">
        <v>633</v>
      </c>
      <c r="P3111">
        <v>1491.67</v>
      </c>
      <c r="Q3111" s="23" t="s">
        <v>178</v>
      </c>
    </row>
    <row r="3112" spans="1:17" x14ac:dyDescent="0.25">
      <c r="A3112" s="23" t="s">
        <v>1150</v>
      </c>
      <c r="B3112" s="23" t="s">
        <v>1145</v>
      </c>
      <c r="C3112" s="23" t="s">
        <v>176</v>
      </c>
      <c r="D3112" s="23" t="s">
        <v>100</v>
      </c>
      <c r="E3112" s="23" t="s">
        <v>101</v>
      </c>
      <c r="F3112">
        <v>35.28</v>
      </c>
      <c r="G3112" s="23" t="s">
        <v>186</v>
      </c>
      <c r="H3112">
        <v>0</v>
      </c>
      <c r="I3112">
        <v>289.7</v>
      </c>
      <c r="J3112" s="10">
        <v>148.12000000000032</v>
      </c>
      <c r="K3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112">
        <v>289.7</v>
      </c>
      <c r="M31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2">
        <v>96.37</v>
      </c>
      <c r="O3112" s="23" t="s">
        <v>491</v>
      </c>
      <c r="P3112">
        <v>3399.9336000000003</v>
      </c>
      <c r="Q3112" s="23" t="s">
        <v>184</v>
      </c>
    </row>
    <row r="3113" spans="1:17" x14ac:dyDescent="0.25">
      <c r="A3113" s="23" t="s">
        <v>1144</v>
      </c>
      <c r="B3113" s="23" t="s">
        <v>1145</v>
      </c>
      <c r="C3113" s="23" t="s">
        <v>176</v>
      </c>
      <c r="D3113" s="23" t="s">
        <v>102</v>
      </c>
      <c r="E3113" s="23" t="s">
        <v>103</v>
      </c>
      <c r="F3113">
        <v>4</v>
      </c>
      <c r="G3113" s="23" t="s">
        <v>186</v>
      </c>
      <c r="H3113">
        <v>0</v>
      </c>
      <c r="I3113">
        <v>66</v>
      </c>
      <c r="J3113" s="10">
        <v>36.350000000000151</v>
      </c>
      <c r="K3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113">
        <v>0</v>
      </c>
      <c r="M31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3">
        <v>129.63</v>
      </c>
      <c r="O3113" s="23" t="s">
        <v>242</v>
      </c>
      <c r="P3113">
        <v>518.52</v>
      </c>
      <c r="Q3113" s="23" t="s">
        <v>184</v>
      </c>
    </row>
    <row r="3114" spans="1:17" x14ac:dyDescent="0.25">
      <c r="A3114" s="23" t="s">
        <v>1149</v>
      </c>
      <c r="B3114" s="23" t="s">
        <v>1145</v>
      </c>
      <c r="C3114" s="23" t="s">
        <v>176</v>
      </c>
      <c r="D3114" s="23" t="s">
        <v>100</v>
      </c>
      <c r="E3114" s="23" t="s">
        <v>101</v>
      </c>
      <c r="F3114">
        <v>34.869999999999997</v>
      </c>
      <c r="G3114" s="23" t="s">
        <v>186</v>
      </c>
      <c r="H3114">
        <v>0</v>
      </c>
      <c r="I3114">
        <v>289.7</v>
      </c>
      <c r="J3114" s="10">
        <v>148.12000000000032</v>
      </c>
      <c r="K3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114">
        <v>289.7</v>
      </c>
      <c r="M31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4">
        <v>96.37</v>
      </c>
      <c r="O3114" s="23" t="s">
        <v>491</v>
      </c>
      <c r="P3114">
        <v>3360.4218999999998</v>
      </c>
      <c r="Q3114" s="23" t="s">
        <v>184</v>
      </c>
    </row>
    <row r="3115" spans="1:17" x14ac:dyDescent="0.25">
      <c r="A3115" s="23" t="s">
        <v>1149</v>
      </c>
      <c r="B3115" s="23" t="s">
        <v>1145</v>
      </c>
      <c r="C3115" s="23" t="s">
        <v>176</v>
      </c>
      <c r="D3115" s="23" t="s">
        <v>102</v>
      </c>
      <c r="E3115" s="23" t="s">
        <v>103</v>
      </c>
      <c r="F3115">
        <v>4</v>
      </c>
      <c r="G3115" s="23" t="s">
        <v>186</v>
      </c>
      <c r="H3115">
        <v>0</v>
      </c>
      <c r="I3115">
        <v>66</v>
      </c>
      <c r="J3115" s="10">
        <v>36.350000000000151</v>
      </c>
      <c r="K3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115">
        <v>0</v>
      </c>
      <c r="M31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5">
        <v>129.63</v>
      </c>
      <c r="O3115" s="23" t="s">
        <v>242</v>
      </c>
      <c r="P3115">
        <v>518.52</v>
      </c>
      <c r="Q3115" s="23" t="s">
        <v>184</v>
      </c>
    </row>
    <row r="3116" spans="1:17" x14ac:dyDescent="0.25">
      <c r="A3116" s="23" t="s">
        <v>1146</v>
      </c>
      <c r="B3116" s="23" t="s">
        <v>1145</v>
      </c>
      <c r="C3116" s="23" t="s">
        <v>176</v>
      </c>
      <c r="D3116" s="23" t="s">
        <v>102</v>
      </c>
      <c r="E3116" s="23" t="s">
        <v>103</v>
      </c>
      <c r="F3116">
        <v>4</v>
      </c>
      <c r="G3116" s="23" t="s">
        <v>186</v>
      </c>
      <c r="H3116">
        <v>0</v>
      </c>
      <c r="I3116">
        <v>66</v>
      </c>
      <c r="J3116" s="10">
        <v>36.350000000000151</v>
      </c>
      <c r="K3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116">
        <v>0</v>
      </c>
      <c r="M31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6">
        <v>129.63</v>
      </c>
      <c r="O3116" s="23" t="s">
        <v>242</v>
      </c>
      <c r="P3116">
        <v>518.52</v>
      </c>
      <c r="Q3116" s="23" t="s">
        <v>184</v>
      </c>
    </row>
    <row r="3117" spans="1:17" x14ac:dyDescent="0.25">
      <c r="A3117" s="23" t="s">
        <v>1147</v>
      </c>
      <c r="B3117" s="23" t="s">
        <v>1145</v>
      </c>
      <c r="C3117" s="23" t="s">
        <v>176</v>
      </c>
      <c r="D3117" s="23" t="s">
        <v>275</v>
      </c>
      <c r="E3117" s="23" t="s">
        <v>276</v>
      </c>
      <c r="F3117">
        <v>1</v>
      </c>
      <c r="G3117" s="23" t="s">
        <v>177</v>
      </c>
      <c r="H3117">
        <v>0</v>
      </c>
      <c r="I3117">
        <v>9</v>
      </c>
      <c r="J3117" s="10">
        <v>8</v>
      </c>
      <c r="K3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117">
        <v>0</v>
      </c>
      <c r="M31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3117">
        <v>487.56</v>
      </c>
      <c r="O3117" s="23" t="s">
        <v>277</v>
      </c>
      <c r="P3117">
        <v>487.56</v>
      </c>
      <c r="Q3117" s="23" t="s">
        <v>178</v>
      </c>
    </row>
    <row r="3118" spans="1:17" x14ac:dyDescent="0.25">
      <c r="A3118" s="23" t="s">
        <v>1057</v>
      </c>
      <c r="B3118" s="23" t="s">
        <v>1056</v>
      </c>
      <c r="C3118" s="23" t="s">
        <v>176</v>
      </c>
      <c r="D3118" s="23" t="s">
        <v>773</v>
      </c>
      <c r="E3118" s="23" t="s">
        <v>774</v>
      </c>
      <c r="F3118">
        <v>4</v>
      </c>
      <c r="G3118" s="23" t="s">
        <v>177</v>
      </c>
      <c r="H3118">
        <v>4</v>
      </c>
      <c r="I3118">
        <v>64.5</v>
      </c>
      <c r="J3118" s="10">
        <v>20</v>
      </c>
      <c r="K3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118">
        <v>0</v>
      </c>
      <c r="M31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8">
        <v>200</v>
      </c>
      <c r="O3118" s="23" t="s">
        <v>249</v>
      </c>
      <c r="P3118">
        <v>800</v>
      </c>
      <c r="Q3118" s="23" t="s">
        <v>178</v>
      </c>
    </row>
    <row r="3119" spans="1:17" x14ac:dyDescent="0.25">
      <c r="A3119" s="23" t="s">
        <v>1142</v>
      </c>
      <c r="B3119" s="23" t="s">
        <v>1054</v>
      </c>
      <c r="C3119" s="23" t="s">
        <v>176</v>
      </c>
      <c r="D3119" s="23" t="s">
        <v>411</v>
      </c>
      <c r="E3119" s="23" t="s">
        <v>412</v>
      </c>
      <c r="F3119">
        <v>0.01</v>
      </c>
      <c r="G3119" s="23" t="s">
        <v>413</v>
      </c>
      <c r="H3119">
        <v>0</v>
      </c>
      <c r="I3119">
        <v>150</v>
      </c>
      <c r="J3119" s="10">
        <v>0</v>
      </c>
      <c r="K3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119">
        <v>0</v>
      </c>
      <c r="M31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19">
        <v>1.8</v>
      </c>
      <c r="O3119" s="23" t="s">
        <v>221</v>
      </c>
      <c r="P3119">
        <v>1.8000000000000002E-2</v>
      </c>
      <c r="Q3119" s="23" t="s">
        <v>181</v>
      </c>
    </row>
    <row r="3120" spans="1:17" x14ac:dyDescent="0.25">
      <c r="A3120" s="23" t="s">
        <v>1096</v>
      </c>
      <c r="B3120" s="23" t="s">
        <v>1053</v>
      </c>
      <c r="C3120" s="23" t="s">
        <v>176</v>
      </c>
      <c r="D3120" s="23" t="s">
        <v>411</v>
      </c>
      <c r="E3120" s="23" t="s">
        <v>412</v>
      </c>
      <c r="F3120">
        <v>0.01</v>
      </c>
      <c r="G3120" s="23" t="s">
        <v>413</v>
      </c>
      <c r="H3120">
        <v>0</v>
      </c>
      <c r="I3120">
        <v>150</v>
      </c>
      <c r="J3120" s="10">
        <v>0</v>
      </c>
      <c r="K3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120">
        <v>0</v>
      </c>
      <c r="M31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0">
        <v>1.8</v>
      </c>
      <c r="O3120" s="23" t="s">
        <v>221</v>
      </c>
      <c r="P3120">
        <v>1.8000000000000002E-2</v>
      </c>
      <c r="Q3120" s="23" t="s">
        <v>181</v>
      </c>
    </row>
    <row r="3121" spans="1:17" x14ac:dyDescent="0.25">
      <c r="A3121" s="23" t="s">
        <v>1142</v>
      </c>
      <c r="B3121" s="23" t="s">
        <v>1054</v>
      </c>
      <c r="C3121" s="23" t="s">
        <v>176</v>
      </c>
      <c r="D3121" s="23" t="s">
        <v>438</v>
      </c>
      <c r="E3121" s="23" t="s">
        <v>439</v>
      </c>
      <c r="F3121">
        <v>1</v>
      </c>
      <c r="G3121" s="23" t="s">
        <v>177</v>
      </c>
      <c r="H3121">
        <v>0</v>
      </c>
      <c r="I3121">
        <v>26</v>
      </c>
      <c r="J3121" s="10">
        <v>3</v>
      </c>
      <c r="K3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21">
        <v>0</v>
      </c>
      <c r="M31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1">
        <v>360.05</v>
      </c>
      <c r="O3121" s="23" t="s">
        <v>637</v>
      </c>
      <c r="P3121">
        <v>360.05</v>
      </c>
      <c r="Q3121" s="23" t="s">
        <v>179</v>
      </c>
    </row>
    <row r="3122" spans="1:17" x14ac:dyDescent="0.25">
      <c r="A3122" s="23" t="s">
        <v>1097</v>
      </c>
      <c r="B3122" s="23" t="s">
        <v>1095</v>
      </c>
      <c r="C3122" s="23" t="s">
        <v>176</v>
      </c>
      <c r="D3122" s="23" t="s">
        <v>773</v>
      </c>
      <c r="E3122" s="23" t="s">
        <v>774</v>
      </c>
      <c r="F3122">
        <v>4</v>
      </c>
      <c r="G3122" s="23" t="s">
        <v>177</v>
      </c>
      <c r="H3122">
        <v>0</v>
      </c>
      <c r="I3122">
        <v>64.5</v>
      </c>
      <c r="J3122" s="10">
        <v>20</v>
      </c>
      <c r="K3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122">
        <v>0</v>
      </c>
      <c r="M31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2">
        <v>200</v>
      </c>
      <c r="O3122" s="23" t="s">
        <v>249</v>
      </c>
      <c r="P3122">
        <v>800</v>
      </c>
      <c r="Q3122" s="23" t="s">
        <v>178</v>
      </c>
    </row>
    <row r="3123" spans="1:17" x14ac:dyDescent="0.25">
      <c r="A3123" s="23" t="s">
        <v>1197</v>
      </c>
      <c r="B3123" s="23" t="s">
        <v>1198</v>
      </c>
      <c r="C3123" s="23" t="s">
        <v>176</v>
      </c>
      <c r="D3123" s="23" t="s">
        <v>411</v>
      </c>
      <c r="E3123" s="23" t="s">
        <v>412</v>
      </c>
      <c r="F3123">
        <v>0.01</v>
      </c>
      <c r="G3123" s="23" t="s">
        <v>413</v>
      </c>
      <c r="H3123">
        <v>0</v>
      </c>
      <c r="I3123">
        <v>150</v>
      </c>
      <c r="J3123" s="10">
        <v>0</v>
      </c>
      <c r="K3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123">
        <v>0</v>
      </c>
      <c r="M31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3">
        <v>1.8</v>
      </c>
      <c r="O3123" s="23" t="s">
        <v>221</v>
      </c>
      <c r="P3123">
        <v>1.8000000000000002E-2</v>
      </c>
      <c r="Q3123" s="23" t="s">
        <v>181</v>
      </c>
    </row>
    <row r="3124" spans="1:17" x14ac:dyDescent="0.25">
      <c r="A3124" s="23" t="s">
        <v>1097</v>
      </c>
      <c r="B3124" s="23" t="s">
        <v>1095</v>
      </c>
      <c r="C3124" s="23" t="s">
        <v>176</v>
      </c>
      <c r="D3124" s="23" t="s">
        <v>411</v>
      </c>
      <c r="E3124" s="23" t="s">
        <v>412</v>
      </c>
      <c r="F3124">
        <v>0.01</v>
      </c>
      <c r="G3124" s="23" t="s">
        <v>413</v>
      </c>
      <c r="H3124">
        <v>0</v>
      </c>
      <c r="I3124">
        <v>150</v>
      </c>
      <c r="J3124" s="10">
        <v>0</v>
      </c>
      <c r="K3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124">
        <v>0</v>
      </c>
      <c r="M31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4">
        <v>1.8</v>
      </c>
      <c r="O3124" s="23" t="s">
        <v>221</v>
      </c>
      <c r="P3124">
        <v>1.8000000000000002E-2</v>
      </c>
      <c r="Q3124" s="23" t="s">
        <v>181</v>
      </c>
    </row>
    <row r="3125" spans="1:17" x14ac:dyDescent="0.25">
      <c r="A3125" s="23" t="s">
        <v>1097</v>
      </c>
      <c r="B3125" s="23" t="s">
        <v>1095</v>
      </c>
      <c r="C3125" s="23" t="s">
        <v>176</v>
      </c>
      <c r="D3125" s="23" t="s">
        <v>438</v>
      </c>
      <c r="E3125" s="23" t="s">
        <v>439</v>
      </c>
      <c r="F3125">
        <v>1</v>
      </c>
      <c r="G3125" s="23" t="s">
        <v>177</v>
      </c>
      <c r="H3125">
        <v>0</v>
      </c>
      <c r="I3125">
        <v>26</v>
      </c>
      <c r="J3125" s="10">
        <v>3</v>
      </c>
      <c r="K3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25">
        <v>0</v>
      </c>
      <c r="M31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5">
        <v>360.05</v>
      </c>
      <c r="O3125" s="23" t="s">
        <v>637</v>
      </c>
      <c r="P3125">
        <v>360.05</v>
      </c>
      <c r="Q3125" s="23" t="s">
        <v>179</v>
      </c>
    </row>
    <row r="3126" spans="1:17" x14ac:dyDescent="0.25">
      <c r="A3126" s="23" t="s">
        <v>1197</v>
      </c>
      <c r="B3126" s="23" t="s">
        <v>1198</v>
      </c>
      <c r="C3126" s="23" t="s">
        <v>176</v>
      </c>
      <c r="D3126" s="23" t="s">
        <v>438</v>
      </c>
      <c r="E3126" s="23" t="s">
        <v>439</v>
      </c>
      <c r="F3126">
        <v>1</v>
      </c>
      <c r="G3126" s="23" t="s">
        <v>177</v>
      </c>
      <c r="H3126">
        <v>0</v>
      </c>
      <c r="I3126">
        <v>26</v>
      </c>
      <c r="J3126" s="10">
        <v>3</v>
      </c>
      <c r="K3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26">
        <v>0</v>
      </c>
      <c r="M31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26">
        <v>360.05</v>
      </c>
      <c r="O3126" s="23" t="s">
        <v>637</v>
      </c>
      <c r="P3126">
        <v>360.05</v>
      </c>
      <c r="Q3126" s="23" t="s">
        <v>179</v>
      </c>
    </row>
    <row r="3127" spans="1:17" x14ac:dyDescent="0.25">
      <c r="A3127" s="23" t="s">
        <v>1150</v>
      </c>
      <c r="B3127" s="23" t="s">
        <v>1145</v>
      </c>
      <c r="C3127" s="23" t="s">
        <v>176</v>
      </c>
      <c r="D3127" s="23" t="s">
        <v>938</v>
      </c>
      <c r="E3127" s="23" t="s">
        <v>939</v>
      </c>
      <c r="F3127">
        <v>4</v>
      </c>
      <c r="G3127" s="23" t="s">
        <v>177</v>
      </c>
      <c r="H3127">
        <v>0</v>
      </c>
      <c r="I3127">
        <v>0</v>
      </c>
      <c r="J3127" s="10">
        <v>4</v>
      </c>
      <c r="K3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127">
        <v>0</v>
      </c>
      <c r="M31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3127">
        <v>90</v>
      </c>
      <c r="O3127" s="23" t="s">
        <v>940</v>
      </c>
      <c r="P3127">
        <v>360</v>
      </c>
      <c r="Q3127" s="23" t="s">
        <v>223</v>
      </c>
    </row>
    <row r="3128" spans="1:17" x14ac:dyDescent="0.25">
      <c r="A3128" s="23" t="s">
        <v>1149</v>
      </c>
      <c r="B3128" s="23" t="s">
        <v>1145</v>
      </c>
      <c r="C3128" s="23" t="s">
        <v>176</v>
      </c>
      <c r="D3128" s="23" t="s">
        <v>301</v>
      </c>
      <c r="E3128" s="23" t="s">
        <v>302</v>
      </c>
      <c r="F3128">
        <v>18</v>
      </c>
      <c r="G3128" s="23" t="s">
        <v>177</v>
      </c>
      <c r="H3128">
        <v>0</v>
      </c>
      <c r="I3128">
        <v>180</v>
      </c>
      <c r="J3128" s="10">
        <v>80</v>
      </c>
      <c r="K3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28">
        <v>0</v>
      </c>
      <c r="M31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28">
        <v>240</v>
      </c>
      <c r="O3128" s="23" t="s">
        <v>242</v>
      </c>
      <c r="P3128">
        <v>4320</v>
      </c>
      <c r="Q3128" s="23" t="s">
        <v>181</v>
      </c>
    </row>
    <row r="3129" spans="1:17" x14ac:dyDescent="0.25">
      <c r="A3129" s="23" t="s">
        <v>1148</v>
      </c>
      <c r="B3129" s="23" t="s">
        <v>1054</v>
      </c>
      <c r="C3129" s="23" t="s">
        <v>176</v>
      </c>
      <c r="D3129" s="23" t="s">
        <v>301</v>
      </c>
      <c r="E3129" s="23" t="s">
        <v>302</v>
      </c>
      <c r="F3129">
        <v>9.5</v>
      </c>
      <c r="G3129" s="23" t="s">
        <v>177</v>
      </c>
      <c r="H3129">
        <v>0</v>
      </c>
      <c r="I3129">
        <v>180</v>
      </c>
      <c r="J3129" s="10">
        <v>80</v>
      </c>
      <c r="K3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29">
        <v>0</v>
      </c>
      <c r="M31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29">
        <v>240</v>
      </c>
      <c r="O3129" s="23" t="s">
        <v>242</v>
      </c>
      <c r="P3129">
        <v>2280</v>
      </c>
      <c r="Q3129" s="23" t="s">
        <v>181</v>
      </c>
    </row>
    <row r="3130" spans="1:17" x14ac:dyDescent="0.25">
      <c r="A3130" s="23" t="s">
        <v>1055</v>
      </c>
      <c r="B3130" s="23" t="s">
        <v>1056</v>
      </c>
      <c r="C3130" s="23" t="s">
        <v>176</v>
      </c>
      <c r="D3130" s="23" t="s">
        <v>301</v>
      </c>
      <c r="E3130" s="23" t="s">
        <v>302</v>
      </c>
      <c r="F3130">
        <v>13.5</v>
      </c>
      <c r="G3130" s="23" t="s">
        <v>177</v>
      </c>
      <c r="H3130">
        <v>13.5</v>
      </c>
      <c r="I3130">
        <v>180</v>
      </c>
      <c r="J3130" s="10">
        <v>80</v>
      </c>
      <c r="K3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30">
        <v>0</v>
      </c>
      <c r="M31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30">
        <v>240</v>
      </c>
      <c r="O3130" s="23" t="s">
        <v>242</v>
      </c>
      <c r="P3130">
        <v>3240</v>
      </c>
      <c r="Q3130" s="23" t="s">
        <v>181</v>
      </c>
    </row>
    <row r="3131" spans="1:17" x14ac:dyDescent="0.25">
      <c r="A3131" s="23" t="s">
        <v>1099</v>
      </c>
      <c r="B3131" s="23" t="s">
        <v>1056</v>
      </c>
      <c r="C3131" s="23" t="s">
        <v>176</v>
      </c>
      <c r="D3131" s="23" t="s">
        <v>301</v>
      </c>
      <c r="E3131" s="23" t="s">
        <v>302</v>
      </c>
      <c r="F3131">
        <v>9.5</v>
      </c>
      <c r="G3131" s="23" t="s">
        <v>177</v>
      </c>
      <c r="H3131">
        <v>9.5</v>
      </c>
      <c r="I3131">
        <v>180</v>
      </c>
      <c r="J3131" s="10">
        <v>80</v>
      </c>
      <c r="K3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31">
        <v>0</v>
      </c>
      <c r="M31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31">
        <v>240</v>
      </c>
      <c r="O3131" s="23" t="s">
        <v>242</v>
      </c>
      <c r="P3131">
        <v>2280</v>
      </c>
      <c r="Q3131" s="23" t="s">
        <v>181</v>
      </c>
    </row>
    <row r="3132" spans="1:17" x14ac:dyDescent="0.25">
      <c r="A3132" s="23" t="s">
        <v>1144</v>
      </c>
      <c r="B3132" s="23" t="s">
        <v>1145</v>
      </c>
      <c r="C3132" s="23" t="s">
        <v>176</v>
      </c>
      <c r="D3132" s="23" t="s">
        <v>301</v>
      </c>
      <c r="E3132" s="23" t="s">
        <v>302</v>
      </c>
      <c r="F3132">
        <v>26</v>
      </c>
      <c r="G3132" s="23" t="s">
        <v>177</v>
      </c>
      <c r="H3132">
        <v>0</v>
      </c>
      <c r="I3132">
        <v>180</v>
      </c>
      <c r="J3132" s="10">
        <v>80</v>
      </c>
      <c r="K3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32">
        <v>0</v>
      </c>
      <c r="M31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32">
        <v>240</v>
      </c>
      <c r="O3132" s="23" t="s">
        <v>242</v>
      </c>
      <c r="P3132">
        <v>6240</v>
      </c>
      <c r="Q3132" s="23" t="s">
        <v>181</v>
      </c>
    </row>
    <row r="3133" spans="1:17" x14ac:dyDescent="0.25">
      <c r="A3133" s="23" t="s">
        <v>1057</v>
      </c>
      <c r="B3133" s="23" t="s">
        <v>1056</v>
      </c>
      <c r="C3133" s="23" t="s">
        <v>176</v>
      </c>
      <c r="D3133" s="23" t="s">
        <v>407</v>
      </c>
      <c r="E3133" s="23" t="s">
        <v>408</v>
      </c>
      <c r="F3133">
        <v>1</v>
      </c>
      <c r="G3133" s="23" t="s">
        <v>177</v>
      </c>
      <c r="H3133">
        <v>0</v>
      </c>
      <c r="I3133">
        <v>35</v>
      </c>
      <c r="J3133" s="10">
        <v>61</v>
      </c>
      <c r="K3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33">
        <v>0</v>
      </c>
      <c r="M31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3">
        <v>19.07</v>
      </c>
      <c r="O3133" s="23" t="s">
        <v>827</v>
      </c>
      <c r="P3133">
        <v>19.07</v>
      </c>
      <c r="Q3133" s="23" t="s">
        <v>222</v>
      </c>
    </row>
    <row r="3134" spans="1:17" x14ac:dyDescent="0.25">
      <c r="A3134" s="23" t="s">
        <v>1143</v>
      </c>
      <c r="B3134" s="23" t="s">
        <v>1054</v>
      </c>
      <c r="C3134" s="23" t="s">
        <v>176</v>
      </c>
      <c r="D3134" s="23" t="s">
        <v>407</v>
      </c>
      <c r="E3134" s="23" t="s">
        <v>408</v>
      </c>
      <c r="F3134">
        <v>1</v>
      </c>
      <c r="G3134" s="23" t="s">
        <v>177</v>
      </c>
      <c r="H3134">
        <v>0</v>
      </c>
      <c r="I3134">
        <v>35</v>
      </c>
      <c r="J3134" s="10">
        <v>61</v>
      </c>
      <c r="K3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134">
        <v>0</v>
      </c>
      <c r="M31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4">
        <v>19.07</v>
      </c>
      <c r="O3134" s="23" t="s">
        <v>827</v>
      </c>
      <c r="P3134">
        <v>19.07</v>
      </c>
      <c r="Q3134" s="23" t="s">
        <v>222</v>
      </c>
    </row>
    <row r="3135" spans="1:17" x14ac:dyDescent="0.25">
      <c r="A3135" s="23" t="s">
        <v>1096</v>
      </c>
      <c r="B3135" s="23" t="s">
        <v>1053</v>
      </c>
      <c r="C3135" s="23" t="s">
        <v>176</v>
      </c>
      <c r="D3135" s="23" t="s">
        <v>301</v>
      </c>
      <c r="E3135" s="23" t="s">
        <v>302</v>
      </c>
      <c r="F3135">
        <v>14</v>
      </c>
      <c r="G3135" s="23" t="s">
        <v>177</v>
      </c>
      <c r="H3135">
        <v>0</v>
      </c>
      <c r="I3135">
        <v>180</v>
      </c>
      <c r="J3135" s="10">
        <v>80</v>
      </c>
      <c r="K3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35">
        <v>0</v>
      </c>
      <c r="M31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35">
        <v>240</v>
      </c>
      <c r="O3135" s="23" t="s">
        <v>242</v>
      </c>
      <c r="P3135">
        <v>3360</v>
      </c>
      <c r="Q3135" s="23" t="s">
        <v>181</v>
      </c>
    </row>
    <row r="3136" spans="1:17" x14ac:dyDescent="0.25">
      <c r="A3136" s="23" t="s">
        <v>1094</v>
      </c>
      <c r="B3136" s="23" t="s">
        <v>1095</v>
      </c>
      <c r="C3136" s="23" t="s">
        <v>176</v>
      </c>
      <c r="D3136" s="23" t="s">
        <v>301</v>
      </c>
      <c r="E3136" s="23" t="s">
        <v>302</v>
      </c>
      <c r="F3136">
        <v>9.5</v>
      </c>
      <c r="G3136" s="23" t="s">
        <v>177</v>
      </c>
      <c r="H3136">
        <v>0</v>
      </c>
      <c r="I3136">
        <v>180</v>
      </c>
      <c r="J3136" s="10">
        <v>80</v>
      </c>
      <c r="K3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136">
        <v>0</v>
      </c>
      <c r="M31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136">
        <v>240</v>
      </c>
      <c r="O3136" s="23" t="s">
        <v>242</v>
      </c>
      <c r="P3136">
        <v>2280</v>
      </c>
      <c r="Q3136" s="23" t="s">
        <v>181</v>
      </c>
    </row>
    <row r="3137" spans="1:17" x14ac:dyDescent="0.25">
      <c r="A3137" s="23" t="s">
        <v>1144</v>
      </c>
      <c r="B3137" s="23" t="s">
        <v>1145</v>
      </c>
      <c r="C3137" s="23" t="s">
        <v>176</v>
      </c>
      <c r="D3137" s="23" t="s">
        <v>619</v>
      </c>
      <c r="E3137" s="23" t="s">
        <v>828</v>
      </c>
      <c r="F3137">
        <v>1</v>
      </c>
      <c r="G3137" s="23" t="s">
        <v>177</v>
      </c>
      <c r="H3137">
        <v>0</v>
      </c>
      <c r="I3137">
        <v>37</v>
      </c>
      <c r="J3137" s="10">
        <v>2</v>
      </c>
      <c r="K3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137">
        <v>0</v>
      </c>
      <c r="M31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7">
        <v>82.6</v>
      </c>
      <c r="O3137" s="23" t="s">
        <v>822</v>
      </c>
      <c r="P3137">
        <v>82.6</v>
      </c>
      <c r="Q3137" s="23" t="s">
        <v>179</v>
      </c>
    </row>
    <row r="3138" spans="1:17" x14ac:dyDescent="0.25">
      <c r="A3138" s="23" t="s">
        <v>1146</v>
      </c>
      <c r="B3138" s="23" t="s">
        <v>1145</v>
      </c>
      <c r="C3138" s="23" t="s">
        <v>176</v>
      </c>
      <c r="D3138" s="23" t="s">
        <v>619</v>
      </c>
      <c r="E3138" s="23" t="s">
        <v>828</v>
      </c>
      <c r="F3138">
        <v>1</v>
      </c>
      <c r="G3138" s="23" t="s">
        <v>177</v>
      </c>
      <c r="H3138">
        <v>0</v>
      </c>
      <c r="I3138">
        <v>37</v>
      </c>
      <c r="J3138" s="10">
        <v>2</v>
      </c>
      <c r="K3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138">
        <v>0</v>
      </c>
      <c r="M31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38">
        <v>82.6</v>
      </c>
      <c r="O3138" s="23" t="s">
        <v>822</v>
      </c>
      <c r="P3138">
        <v>82.6</v>
      </c>
      <c r="Q3138" s="23" t="s">
        <v>179</v>
      </c>
    </row>
    <row r="3139" spans="1:17" x14ac:dyDescent="0.25">
      <c r="A3139" s="23" t="s">
        <v>1149</v>
      </c>
      <c r="B3139" s="23" t="s">
        <v>1145</v>
      </c>
      <c r="C3139" s="23" t="s">
        <v>176</v>
      </c>
      <c r="D3139" s="23" t="s">
        <v>339</v>
      </c>
      <c r="E3139" s="23" t="s">
        <v>340</v>
      </c>
      <c r="F3139">
        <v>2.4700000000000002</v>
      </c>
      <c r="G3139" s="23" t="s">
        <v>186</v>
      </c>
      <c r="H3139">
        <v>0</v>
      </c>
      <c r="I3139">
        <v>0</v>
      </c>
      <c r="J3139" s="10">
        <v>154.95000000000007</v>
      </c>
      <c r="K3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139">
        <v>60</v>
      </c>
      <c r="M31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139">
        <v>194.75</v>
      </c>
      <c r="O3139" s="23" t="s">
        <v>491</v>
      </c>
      <c r="P3139">
        <v>481.03250000000003</v>
      </c>
      <c r="Q3139" s="23" t="s">
        <v>184</v>
      </c>
    </row>
    <row r="3140" spans="1:17" x14ac:dyDescent="0.25">
      <c r="A3140" s="23" t="s">
        <v>1147</v>
      </c>
      <c r="B3140" s="23" t="s">
        <v>1145</v>
      </c>
      <c r="C3140" s="23" t="s">
        <v>176</v>
      </c>
      <c r="D3140" s="23" t="s">
        <v>517</v>
      </c>
      <c r="E3140" s="23" t="s">
        <v>518</v>
      </c>
      <c r="F3140">
        <v>1.5</v>
      </c>
      <c r="G3140" s="23" t="s">
        <v>177</v>
      </c>
      <c r="H3140">
        <v>0</v>
      </c>
      <c r="I3140">
        <v>91</v>
      </c>
      <c r="J3140" s="10">
        <v>17.799999999999994</v>
      </c>
      <c r="K3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140">
        <v>0</v>
      </c>
      <c r="M31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0">
        <v>85</v>
      </c>
      <c r="O3140" s="23" t="s">
        <v>347</v>
      </c>
      <c r="P3140">
        <v>127.5</v>
      </c>
      <c r="Q3140" s="23" t="s">
        <v>181</v>
      </c>
    </row>
    <row r="3141" spans="1:17" x14ac:dyDescent="0.25">
      <c r="A3141" s="23" t="s">
        <v>1148</v>
      </c>
      <c r="B3141" s="23" t="s">
        <v>1054</v>
      </c>
      <c r="C3141" s="23" t="s">
        <v>176</v>
      </c>
      <c r="D3141" s="23" t="s">
        <v>517</v>
      </c>
      <c r="E3141" s="23" t="s">
        <v>518</v>
      </c>
      <c r="F3141">
        <v>2</v>
      </c>
      <c r="G3141" s="23" t="s">
        <v>177</v>
      </c>
      <c r="H3141">
        <v>0</v>
      </c>
      <c r="I3141">
        <v>91</v>
      </c>
      <c r="J3141" s="10">
        <v>17.799999999999994</v>
      </c>
      <c r="K3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141">
        <v>0</v>
      </c>
      <c r="M31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1">
        <v>85</v>
      </c>
      <c r="O3141" s="23" t="s">
        <v>347</v>
      </c>
      <c r="P3141">
        <v>170</v>
      </c>
      <c r="Q3141" s="23" t="s">
        <v>181</v>
      </c>
    </row>
    <row r="3142" spans="1:17" x14ac:dyDescent="0.25">
      <c r="A3142" s="23" t="s">
        <v>1147</v>
      </c>
      <c r="B3142" s="23" t="s">
        <v>1145</v>
      </c>
      <c r="C3142" s="23" t="s">
        <v>176</v>
      </c>
      <c r="D3142" s="23" t="s">
        <v>533</v>
      </c>
      <c r="E3142" s="23" t="s">
        <v>534</v>
      </c>
      <c r="F3142">
        <v>10</v>
      </c>
      <c r="G3142" s="23" t="s">
        <v>180</v>
      </c>
      <c r="H3142">
        <v>0</v>
      </c>
      <c r="I3142">
        <v>0</v>
      </c>
      <c r="J3142" s="10">
        <v>0</v>
      </c>
      <c r="K3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142">
        <v>400</v>
      </c>
      <c r="M31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2">
        <v>5</v>
      </c>
      <c r="O3142" s="23" t="s">
        <v>225</v>
      </c>
      <c r="P3142">
        <v>50</v>
      </c>
      <c r="Q3142" s="23" t="s">
        <v>181</v>
      </c>
    </row>
    <row r="3143" spans="1:17" x14ac:dyDescent="0.25">
      <c r="A3143" s="23" t="s">
        <v>1055</v>
      </c>
      <c r="B3143" s="23" t="s">
        <v>1056</v>
      </c>
      <c r="C3143" s="23" t="s">
        <v>176</v>
      </c>
      <c r="D3143" s="23" t="s">
        <v>992</v>
      </c>
      <c r="E3143" s="23" t="s">
        <v>993</v>
      </c>
      <c r="F3143">
        <v>35</v>
      </c>
      <c r="G3143" s="23" t="s">
        <v>177</v>
      </c>
      <c r="H3143">
        <v>0</v>
      </c>
      <c r="I3143">
        <v>1000</v>
      </c>
      <c r="J3143" s="10">
        <v>3505</v>
      </c>
      <c r="K3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-914</v>
      </c>
      <c r="L3143">
        <v>0</v>
      </c>
      <c r="M31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3">
        <v>0.63</v>
      </c>
      <c r="O3143" s="23" t="s">
        <v>883</v>
      </c>
      <c r="P3143">
        <v>22.05</v>
      </c>
      <c r="Q3143" s="23" t="s">
        <v>181</v>
      </c>
    </row>
    <row r="3144" spans="1:17" x14ac:dyDescent="0.25">
      <c r="A3144" s="23" t="s">
        <v>1147</v>
      </c>
      <c r="B3144" s="23" t="s">
        <v>1145</v>
      </c>
      <c r="C3144" s="23" t="s">
        <v>176</v>
      </c>
      <c r="D3144" s="23" t="s">
        <v>354</v>
      </c>
      <c r="E3144" s="23" t="s">
        <v>355</v>
      </c>
      <c r="F3144">
        <v>8</v>
      </c>
      <c r="G3144" s="23" t="s">
        <v>177</v>
      </c>
      <c r="H3144">
        <v>0</v>
      </c>
      <c r="I3144">
        <v>491</v>
      </c>
      <c r="J3144" s="10">
        <v>50</v>
      </c>
      <c r="K3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144">
        <v>0</v>
      </c>
      <c r="M31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4">
        <v>10.65</v>
      </c>
      <c r="O3144" s="23" t="s">
        <v>883</v>
      </c>
      <c r="P3144">
        <v>85.2</v>
      </c>
      <c r="Q3144" s="23" t="s">
        <v>181</v>
      </c>
    </row>
    <row r="3145" spans="1:17" x14ac:dyDescent="0.25">
      <c r="A3145" s="23" t="s">
        <v>1147</v>
      </c>
      <c r="B3145" s="23" t="s">
        <v>1145</v>
      </c>
      <c r="C3145" s="23" t="s">
        <v>176</v>
      </c>
      <c r="D3145" s="23" t="s">
        <v>140</v>
      </c>
      <c r="E3145" s="23" t="s">
        <v>141</v>
      </c>
      <c r="F3145">
        <v>0.5</v>
      </c>
      <c r="G3145" s="23" t="s">
        <v>177</v>
      </c>
      <c r="H3145">
        <v>0</v>
      </c>
      <c r="I3145">
        <v>0</v>
      </c>
      <c r="J3145" s="10">
        <v>6.1000000000000014</v>
      </c>
      <c r="K3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145">
        <v>5</v>
      </c>
      <c r="M31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145">
        <v>688.2</v>
      </c>
      <c r="O3145" s="23" t="s">
        <v>673</v>
      </c>
      <c r="P3145">
        <v>344.1</v>
      </c>
      <c r="Q3145" s="23" t="s">
        <v>185</v>
      </c>
    </row>
    <row r="3146" spans="1:17" x14ac:dyDescent="0.25">
      <c r="A3146" s="23" t="s">
        <v>1055</v>
      </c>
      <c r="B3146" s="23" t="s">
        <v>1056</v>
      </c>
      <c r="C3146" s="23" t="s">
        <v>176</v>
      </c>
      <c r="D3146" s="23" t="s">
        <v>555</v>
      </c>
      <c r="E3146" s="23" t="s">
        <v>556</v>
      </c>
      <c r="F3146">
        <v>6</v>
      </c>
      <c r="G3146" s="23" t="s">
        <v>177</v>
      </c>
      <c r="H3146">
        <v>0</v>
      </c>
      <c r="I3146">
        <v>2080</v>
      </c>
      <c r="J3146" s="10">
        <v>84</v>
      </c>
      <c r="K3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146">
        <v>0</v>
      </c>
      <c r="M31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6">
        <v>0.28999999999999998</v>
      </c>
      <c r="O3146" s="23"/>
      <c r="P3146">
        <v>1.7399999999999998</v>
      </c>
      <c r="Q3146" s="23" t="s">
        <v>181</v>
      </c>
    </row>
    <row r="3147" spans="1:17" x14ac:dyDescent="0.25">
      <c r="A3147" s="23" t="s">
        <v>1099</v>
      </c>
      <c r="B3147" s="23" t="s">
        <v>1056</v>
      </c>
      <c r="C3147" s="23" t="s">
        <v>176</v>
      </c>
      <c r="D3147" s="23" t="s">
        <v>555</v>
      </c>
      <c r="E3147" s="23" t="s">
        <v>556</v>
      </c>
      <c r="F3147">
        <v>6</v>
      </c>
      <c r="G3147" s="23" t="s">
        <v>177</v>
      </c>
      <c r="H3147">
        <v>0</v>
      </c>
      <c r="I3147">
        <v>2080</v>
      </c>
      <c r="J3147" s="10">
        <v>84</v>
      </c>
      <c r="K3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147">
        <v>0</v>
      </c>
      <c r="M31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7">
        <v>0.28999999999999998</v>
      </c>
      <c r="O3147" s="23"/>
      <c r="P3147">
        <v>1.7399999999999998</v>
      </c>
      <c r="Q3147" s="23" t="s">
        <v>181</v>
      </c>
    </row>
    <row r="3148" spans="1:17" x14ac:dyDescent="0.25">
      <c r="A3148" s="23" t="s">
        <v>1058</v>
      </c>
      <c r="B3148" s="23" t="s">
        <v>1059</v>
      </c>
      <c r="C3148" s="23" t="s">
        <v>176</v>
      </c>
      <c r="D3148" s="23" t="s">
        <v>203</v>
      </c>
      <c r="E3148" s="23" t="s">
        <v>204</v>
      </c>
      <c r="F3148">
        <v>0.10100000000000001</v>
      </c>
      <c r="G3148" s="23" t="s">
        <v>180</v>
      </c>
      <c r="H3148">
        <v>0</v>
      </c>
      <c r="I3148">
        <v>50</v>
      </c>
      <c r="J3148" s="10">
        <v>5.5511151231257827E-17</v>
      </c>
      <c r="K3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148">
        <v>0</v>
      </c>
      <c r="M31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8">
        <v>10.61</v>
      </c>
      <c r="O3148" s="23" t="s">
        <v>237</v>
      </c>
      <c r="P3148">
        <v>1.07161</v>
      </c>
      <c r="Q3148" s="23" t="s">
        <v>222</v>
      </c>
    </row>
    <row r="3149" spans="1:17" x14ac:dyDescent="0.25">
      <c r="A3149" s="23" t="s">
        <v>1055</v>
      </c>
      <c r="B3149" s="23" t="s">
        <v>1056</v>
      </c>
      <c r="C3149" s="23" t="s">
        <v>176</v>
      </c>
      <c r="D3149" s="23" t="s">
        <v>203</v>
      </c>
      <c r="E3149" s="23" t="s">
        <v>204</v>
      </c>
      <c r="F3149">
        <v>0.10200000000000001</v>
      </c>
      <c r="G3149" s="23" t="s">
        <v>180</v>
      </c>
      <c r="H3149">
        <v>0</v>
      </c>
      <c r="I3149">
        <v>50</v>
      </c>
      <c r="J3149" s="10">
        <v>5.5511151231257827E-17</v>
      </c>
      <c r="K3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149">
        <v>0</v>
      </c>
      <c r="M31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49">
        <v>10.61</v>
      </c>
      <c r="O3149" s="23" t="s">
        <v>237</v>
      </c>
      <c r="P3149">
        <v>1.08222</v>
      </c>
      <c r="Q3149" s="23" t="s">
        <v>222</v>
      </c>
    </row>
    <row r="3150" spans="1:17" x14ac:dyDescent="0.25">
      <c r="A3150" s="23" t="s">
        <v>1099</v>
      </c>
      <c r="B3150" s="23" t="s">
        <v>1056</v>
      </c>
      <c r="C3150" s="23" t="s">
        <v>176</v>
      </c>
      <c r="D3150" s="23" t="s">
        <v>203</v>
      </c>
      <c r="E3150" s="23" t="s">
        <v>204</v>
      </c>
      <c r="F3150">
        <v>0.10200000000000001</v>
      </c>
      <c r="G3150" s="23" t="s">
        <v>180</v>
      </c>
      <c r="H3150">
        <v>0</v>
      </c>
      <c r="I3150">
        <v>50</v>
      </c>
      <c r="J3150" s="10">
        <v>5.5511151231257827E-17</v>
      </c>
      <c r="K3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150">
        <v>0</v>
      </c>
      <c r="M31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0">
        <v>10.61</v>
      </c>
      <c r="O3150" s="23" t="s">
        <v>237</v>
      </c>
      <c r="P3150">
        <v>1.08222</v>
      </c>
      <c r="Q3150" s="23" t="s">
        <v>222</v>
      </c>
    </row>
    <row r="3151" spans="1:17" x14ac:dyDescent="0.25">
      <c r="A3151" s="23" t="s">
        <v>1149</v>
      </c>
      <c r="B3151" s="23" t="s">
        <v>1145</v>
      </c>
      <c r="C3151" s="23" t="s">
        <v>176</v>
      </c>
      <c r="D3151" s="23" t="s">
        <v>533</v>
      </c>
      <c r="E3151" s="23" t="s">
        <v>534</v>
      </c>
      <c r="F3151">
        <v>10</v>
      </c>
      <c r="G3151" s="23" t="s">
        <v>180</v>
      </c>
      <c r="H3151">
        <v>0</v>
      </c>
      <c r="I3151">
        <v>0</v>
      </c>
      <c r="J3151" s="10">
        <v>0</v>
      </c>
      <c r="K3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151">
        <v>400</v>
      </c>
      <c r="M31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1">
        <v>5</v>
      </c>
      <c r="O3151" s="23" t="s">
        <v>225</v>
      </c>
      <c r="P3151">
        <v>50</v>
      </c>
      <c r="Q3151" s="23" t="s">
        <v>181</v>
      </c>
    </row>
    <row r="3152" spans="1:17" x14ac:dyDescent="0.25">
      <c r="A3152" s="23" t="s">
        <v>1149</v>
      </c>
      <c r="B3152" s="23" t="s">
        <v>1145</v>
      </c>
      <c r="C3152" s="23" t="s">
        <v>176</v>
      </c>
      <c r="D3152" s="23" t="s">
        <v>354</v>
      </c>
      <c r="E3152" s="23" t="s">
        <v>355</v>
      </c>
      <c r="F3152">
        <v>8</v>
      </c>
      <c r="G3152" s="23" t="s">
        <v>177</v>
      </c>
      <c r="H3152">
        <v>0</v>
      </c>
      <c r="I3152">
        <v>491</v>
      </c>
      <c r="J3152" s="10">
        <v>50</v>
      </c>
      <c r="K3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152">
        <v>0</v>
      </c>
      <c r="M31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2">
        <v>10.65</v>
      </c>
      <c r="O3152" s="23" t="s">
        <v>883</v>
      </c>
      <c r="P3152">
        <v>85.2</v>
      </c>
      <c r="Q3152" s="23" t="s">
        <v>181</v>
      </c>
    </row>
    <row r="3153" spans="1:17" x14ac:dyDescent="0.25">
      <c r="A3153" s="23" t="s">
        <v>1144</v>
      </c>
      <c r="B3153" s="23" t="s">
        <v>1145</v>
      </c>
      <c r="C3153" s="23" t="s">
        <v>176</v>
      </c>
      <c r="D3153" s="23" t="s">
        <v>146</v>
      </c>
      <c r="E3153" s="23" t="s">
        <v>147</v>
      </c>
      <c r="F3153">
        <v>3</v>
      </c>
      <c r="G3153" s="23" t="s">
        <v>177</v>
      </c>
      <c r="H3153">
        <v>0</v>
      </c>
      <c r="I3153">
        <v>0</v>
      </c>
      <c r="J3153" s="10">
        <v>-8.4376949871511897E-15</v>
      </c>
      <c r="K3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153">
        <v>4</v>
      </c>
      <c r="M31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153">
        <v>1041.6600000000001</v>
      </c>
      <c r="O3153" s="23" t="s">
        <v>224</v>
      </c>
      <c r="P3153">
        <v>3124.9800000000005</v>
      </c>
      <c r="Q3153" s="23" t="s">
        <v>182</v>
      </c>
    </row>
    <row r="3154" spans="1:17" x14ac:dyDescent="0.25">
      <c r="A3154" s="23" t="s">
        <v>1149</v>
      </c>
      <c r="B3154" s="23" t="s">
        <v>1145</v>
      </c>
      <c r="C3154" s="23" t="s">
        <v>176</v>
      </c>
      <c r="D3154" s="23" t="s">
        <v>140</v>
      </c>
      <c r="E3154" s="23" t="s">
        <v>141</v>
      </c>
      <c r="F3154">
        <v>0.5</v>
      </c>
      <c r="G3154" s="23" t="s">
        <v>177</v>
      </c>
      <c r="H3154">
        <v>0</v>
      </c>
      <c r="I3154">
        <v>0</v>
      </c>
      <c r="J3154" s="10">
        <v>6.1000000000000014</v>
      </c>
      <c r="K3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154">
        <v>5</v>
      </c>
      <c r="M31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154">
        <v>688.2</v>
      </c>
      <c r="O3154" s="23" t="s">
        <v>673</v>
      </c>
      <c r="P3154">
        <v>344.1</v>
      </c>
      <c r="Q3154" s="23" t="s">
        <v>185</v>
      </c>
    </row>
    <row r="3155" spans="1:17" x14ac:dyDescent="0.25">
      <c r="A3155" s="23" t="s">
        <v>1100</v>
      </c>
      <c r="B3155" s="23" t="s">
        <v>1101</v>
      </c>
      <c r="C3155" s="23" t="s">
        <v>176</v>
      </c>
      <c r="D3155" s="23" t="s">
        <v>203</v>
      </c>
      <c r="E3155" s="23" t="s">
        <v>204</v>
      </c>
      <c r="F3155">
        <v>0.30000000000000004</v>
      </c>
      <c r="G3155" s="23" t="s">
        <v>180</v>
      </c>
      <c r="H3155">
        <v>0</v>
      </c>
      <c r="I3155">
        <v>50</v>
      </c>
      <c r="J3155" s="10">
        <v>5.5511151231257827E-17</v>
      </c>
      <c r="K3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155">
        <v>0</v>
      </c>
      <c r="M31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5">
        <v>10.61</v>
      </c>
      <c r="O3155" s="23" t="s">
        <v>237</v>
      </c>
      <c r="P3155">
        <v>3.1830000000000003</v>
      </c>
      <c r="Q3155" s="23" t="s">
        <v>222</v>
      </c>
    </row>
    <row r="3156" spans="1:17" x14ac:dyDescent="0.25">
      <c r="A3156" s="23" t="s">
        <v>1100</v>
      </c>
      <c r="B3156" s="23" t="s">
        <v>1101</v>
      </c>
      <c r="C3156" s="23" t="s">
        <v>176</v>
      </c>
      <c r="D3156" s="23" t="s">
        <v>767</v>
      </c>
      <c r="E3156" s="23" t="s">
        <v>768</v>
      </c>
      <c r="F3156">
        <v>6</v>
      </c>
      <c r="G3156" s="23" t="s">
        <v>177</v>
      </c>
      <c r="H3156">
        <v>0</v>
      </c>
      <c r="I3156">
        <v>0</v>
      </c>
      <c r="J3156" s="10">
        <v>0</v>
      </c>
      <c r="K3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156">
        <v>0</v>
      </c>
      <c r="M31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156">
        <v>0.7</v>
      </c>
      <c r="O3156" s="23" t="s">
        <v>221</v>
      </c>
      <c r="P3156">
        <v>4.1999999999999993</v>
      </c>
      <c r="Q3156" s="23" t="s">
        <v>222</v>
      </c>
    </row>
    <row r="3157" spans="1:17" x14ac:dyDescent="0.25">
      <c r="A3157" s="23" t="s">
        <v>1144</v>
      </c>
      <c r="B3157" s="23" t="s">
        <v>1145</v>
      </c>
      <c r="C3157" s="23" t="s">
        <v>176</v>
      </c>
      <c r="D3157" s="23" t="s">
        <v>533</v>
      </c>
      <c r="E3157" s="23" t="s">
        <v>534</v>
      </c>
      <c r="F3157">
        <v>10</v>
      </c>
      <c r="G3157" s="23" t="s">
        <v>180</v>
      </c>
      <c r="H3157">
        <v>0</v>
      </c>
      <c r="I3157">
        <v>0</v>
      </c>
      <c r="J3157" s="10">
        <v>0</v>
      </c>
      <c r="K3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157">
        <v>400</v>
      </c>
      <c r="M31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7">
        <v>5</v>
      </c>
      <c r="O3157" s="23" t="s">
        <v>225</v>
      </c>
      <c r="P3157">
        <v>50</v>
      </c>
      <c r="Q3157" s="23" t="s">
        <v>181</v>
      </c>
    </row>
    <row r="3158" spans="1:17" x14ac:dyDescent="0.25">
      <c r="A3158" s="23" t="s">
        <v>1146</v>
      </c>
      <c r="B3158" s="23" t="s">
        <v>1145</v>
      </c>
      <c r="C3158" s="23" t="s">
        <v>176</v>
      </c>
      <c r="D3158" s="23" t="s">
        <v>533</v>
      </c>
      <c r="E3158" s="23" t="s">
        <v>534</v>
      </c>
      <c r="F3158">
        <v>10</v>
      </c>
      <c r="G3158" s="23" t="s">
        <v>180</v>
      </c>
      <c r="H3158">
        <v>0</v>
      </c>
      <c r="I3158">
        <v>0</v>
      </c>
      <c r="J3158" s="10">
        <v>0</v>
      </c>
      <c r="K3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158">
        <v>400</v>
      </c>
      <c r="M31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8">
        <v>5</v>
      </c>
      <c r="O3158" s="23" t="s">
        <v>225</v>
      </c>
      <c r="P3158">
        <v>50</v>
      </c>
      <c r="Q3158" s="23" t="s">
        <v>181</v>
      </c>
    </row>
    <row r="3159" spans="1:17" x14ac:dyDescent="0.25">
      <c r="A3159" s="23" t="s">
        <v>1144</v>
      </c>
      <c r="B3159" s="23" t="s">
        <v>1145</v>
      </c>
      <c r="C3159" s="23" t="s">
        <v>176</v>
      </c>
      <c r="D3159" s="23" t="s">
        <v>354</v>
      </c>
      <c r="E3159" s="23" t="s">
        <v>355</v>
      </c>
      <c r="F3159">
        <v>11</v>
      </c>
      <c r="G3159" s="23" t="s">
        <v>177</v>
      </c>
      <c r="H3159">
        <v>0</v>
      </c>
      <c r="I3159">
        <v>491</v>
      </c>
      <c r="J3159" s="10">
        <v>50</v>
      </c>
      <c r="K3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159">
        <v>0</v>
      </c>
      <c r="M31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59">
        <v>10.65</v>
      </c>
      <c r="O3159" s="23" t="s">
        <v>883</v>
      </c>
      <c r="P3159">
        <v>117.15</v>
      </c>
      <c r="Q3159" s="23" t="s">
        <v>181</v>
      </c>
    </row>
    <row r="3160" spans="1:17" x14ac:dyDescent="0.25">
      <c r="A3160" s="23" t="s">
        <v>1146</v>
      </c>
      <c r="B3160" s="23" t="s">
        <v>1145</v>
      </c>
      <c r="C3160" s="23" t="s">
        <v>176</v>
      </c>
      <c r="D3160" s="23" t="s">
        <v>354</v>
      </c>
      <c r="E3160" s="23" t="s">
        <v>355</v>
      </c>
      <c r="F3160">
        <v>8</v>
      </c>
      <c r="G3160" s="23" t="s">
        <v>177</v>
      </c>
      <c r="H3160">
        <v>0</v>
      </c>
      <c r="I3160">
        <v>491</v>
      </c>
      <c r="J3160" s="10">
        <v>50</v>
      </c>
      <c r="K3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160">
        <v>0</v>
      </c>
      <c r="M31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0">
        <v>10.65</v>
      </c>
      <c r="O3160" s="23" t="s">
        <v>883</v>
      </c>
      <c r="P3160">
        <v>85.2</v>
      </c>
      <c r="Q3160" s="23" t="s">
        <v>181</v>
      </c>
    </row>
    <row r="3161" spans="1:17" x14ac:dyDescent="0.25">
      <c r="A3161" s="23" t="s">
        <v>1147</v>
      </c>
      <c r="B3161" s="23" t="s">
        <v>1145</v>
      </c>
      <c r="C3161" s="23" t="s">
        <v>176</v>
      </c>
      <c r="D3161" s="23" t="s">
        <v>698</v>
      </c>
      <c r="E3161" s="23" t="s">
        <v>699</v>
      </c>
      <c r="F3161">
        <v>1</v>
      </c>
      <c r="G3161" s="23" t="s">
        <v>177</v>
      </c>
      <c r="H3161">
        <v>0</v>
      </c>
      <c r="I3161">
        <v>7</v>
      </c>
      <c r="J3161" s="10">
        <v>4</v>
      </c>
      <c r="K3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161">
        <v>0</v>
      </c>
      <c r="M31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161">
        <v>2200</v>
      </c>
      <c r="O3161" s="23" t="s">
        <v>253</v>
      </c>
      <c r="P3161">
        <v>2200</v>
      </c>
      <c r="Q3161" s="23" t="s">
        <v>179</v>
      </c>
    </row>
    <row r="3162" spans="1:17" x14ac:dyDescent="0.25">
      <c r="A3162" s="23" t="s">
        <v>1148</v>
      </c>
      <c r="B3162" s="23" t="s">
        <v>1054</v>
      </c>
      <c r="C3162" s="23" t="s">
        <v>176</v>
      </c>
      <c r="D3162" s="23" t="s">
        <v>698</v>
      </c>
      <c r="E3162" s="23" t="s">
        <v>699</v>
      </c>
      <c r="F3162">
        <v>1</v>
      </c>
      <c r="G3162" s="23" t="s">
        <v>177</v>
      </c>
      <c r="H3162">
        <v>0</v>
      </c>
      <c r="I3162">
        <v>7</v>
      </c>
      <c r="J3162" s="10">
        <v>4</v>
      </c>
      <c r="K3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162">
        <v>0</v>
      </c>
      <c r="M31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162">
        <v>2200</v>
      </c>
      <c r="O3162" s="23" t="s">
        <v>253</v>
      </c>
      <c r="P3162">
        <v>2200</v>
      </c>
      <c r="Q3162" s="23" t="s">
        <v>179</v>
      </c>
    </row>
    <row r="3163" spans="1:17" x14ac:dyDescent="0.25">
      <c r="A3163" s="23" t="s">
        <v>1150</v>
      </c>
      <c r="B3163" s="23" t="s">
        <v>1145</v>
      </c>
      <c r="C3163" s="23" t="s">
        <v>176</v>
      </c>
      <c r="D3163" s="23" t="s">
        <v>533</v>
      </c>
      <c r="E3163" s="23" t="s">
        <v>534</v>
      </c>
      <c r="F3163">
        <v>10</v>
      </c>
      <c r="G3163" s="23" t="s">
        <v>180</v>
      </c>
      <c r="H3163">
        <v>0</v>
      </c>
      <c r="I3163">
        <v>0</v>
      </c>
      <c r="J3163" s="10">
        <v>0</v>
      </c>
      <c r="K3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163">
        <v>400</v>
      </c>
      <c r="M31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3">
        <v>5</v>
      </c>
      <c r="O3163" s="23" t="s">
        <v>225</v>
      </c>
      <c r="P3163">
        <v>50</v>
      </c>
      <c r="Q3163" s="23" t="s">
        <v>181</v>
      </c>
    </row>
    <row r="3164" spans="1:17" x14ac:dyDescent="0.25">
      <c r="A3164" s="23" t="s">
        <v>1150</v>
      </c>
      <c r="B3164" s="23" t="s">
        <v>1145</v>
      </c>
      <c r="C3164" s="23" t="s">
        <v>176</v>
      </c>
      <c r="D3164" s="23" t="s">
        <v>354</v>
      </c>
      <c r="E3164" s="23" t="s">
        <v>355</v>
      </c>
      <c r="F3164">
        <v>11</v>
      </c>
      <c r="G3164" s="23" t="s">
        <v>177</v>
      </c>
      <c r="H3164">
        <v>0</v>
      </c>
      <c r="I3164">
        <v>491</v>
      </c>
      <c r="J3164" s="10">
        <v>50</v>
      </c>
      <c r="K3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164">
        <v>0</v>
      </c>
      <c r="M31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4">
        <v>10.65</v>
      </c>
      <c r="O3164" s="23" t="s">
        <v>883</v>
      </c>
      <c r="P3164">
        <v>117.15</v>
      </c>
      <c r="Q3164" s="23" t="s">
        <v>181</v>
      </c>
    </row>
    <row r="3165" spans="1:17" x14ac:dyDescent="0.25">
      <c r="A3165" s="23" t="s">
        <v>1150</v>
      </c>
      <c r="B3165" s="23" t="s">
        <v>1145</v>
      </c>
      <c r="C3165" s="23" t="s">
        <v>176</v>
      </c>
      <c r="D3165" s="23" t="s">
        <v>146</v>
      </c>
      <c r="E3165" s="23" t="s">
        <v>147</v>
      </c>
      <c r="F3165">
        <v>3</v>
      </c>
      <c r="G3165" s="23" t="s">
        <v>177</v>
      </c>
      <c r="H3165">
        <v>0</v>
      </c>
      <c r="I3165">
        <v>0</v>
      </c>
      <c r="J3165" s="10">
        <v>-8.4376949871511897E-15</v>
      </c>
      <c r="K3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165">
        <v>4</v>
      </c>
      <c r="M31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165">
        <v>1041.6600000000001</v>
      </c>
      <c r="O3165" s="23" t="s">
        <v>224</v>
      </c>
      <c r="P3165">
        <v>3124.9800000000005</v>
      </c>
      <c r="Q3165" s="23" t="s">
        <v>182</v>
      </c>
    </row>
    <row r="3166" spans="1:17" x14ac:dyDescent="0.25">
      <c r="A3166" s="23" t="s">
        <v>1146</v>
      </c>
      <c r="B3166" s="23" t="s">
        <v>1145</v>
      </c>
      <c r="C3166" s="23" t="s">
        <v>176</v>
      </c>
      <c r="D3166" s="23" t="s">
        <v>140</v>
      </c>
      <c r="E3166" s="23" t="s">
        <v>141</v>
      </c>
      <c r="F3166">
        <v>0.5</v>
      </c>
      <c r="G3166" s="23" t="s">
        <v>177</v>
      </c>
      <c r="H3166">
        <v>0</v>
      </c>
      <c r="I3166">
        <v>0</v>
      </c>
      <c r="J3166" s="10">
        <v>6.1000000000000014</v>
      </c>
      <c r="K3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166">
        <v>5</v>
      </c>
      <c r="M31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166">
        <v>688.2</v>
      </c>
      <c r="O3166" s="23" t="s">
        <v>673</v>
      </c>
      <c r="P3166">
        <v>344.1</v>
      </c>
      <c r="Q3166" s="23" t="s">
        <v>185</v>
      </c>
    </row>
    <row r="3167" spans="1:17" x14ac:dyDescent="0.25">
      <c r="A3167" s="23" t="s">
        <v>1055</v>
      </c>
      <c r="B3167" s="23" t="s">
        <v>1056</v>
      </c>
      <c r="C3167" s="23" t="s">
        <v>176</v>
      </c>
      <c r="D3167" s="23" t="s">
        <v>1002</v>
      </c>
      <c r="E3167" s="23" t="s">
        <v>1003</v>
      </c>
      <c r="F3167">
        <v>1</v>
      </c>
      <c r="G3167" s="23" t="s">
        <v>177</v>
      </c>
      <c r="H3167">
        <v>1</v>
      </c>
      <c r="I3167">
        <v>5</v>
      </c>
      <c r="J3167" s="10">
        <v>4</v>
      </c>
      <c r="K3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167">
        <v>0</v>
      </c>
      <c r="M31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7">
        <v>5112.92</v>
      </c>
      <c r="O3167" s="23" t="s">
        <v>1004</v>
      </c>
      <c r="P3167">
        <v>5112.92</v>
      </c>
      <c r="Q3167" s="23" t="s">
        <v>181</v>
      </c>
    </row>
    <row r="3168" spans="1:17" x14ac:dyDescent="0.25">
      <c r="A3168" s="23" t="s">
        <v>1147</v>
      </c>
      <c r="B3168" s="23" t="s">
        <v>1145</v>
      </c>
      <c r="C3168" s="23" t="s">
        <v>176</v>
      </c>
      <c r="D3168" s="23" t="s">
        <v>767</v>
      </c>
      <c r="E3168" s="23" t="s">
        <v>768</v>
      </c>
      <c r="F3168">
        <v>6</v>
      </c>
      <c r="G3168" s="23" t="s">
        <v>177</v>
      </c>
      <c r="H3168">
        <v>0</v>
      </c>
      <c r="I3168">
        <v>0</v>
      </c>
      <c r="J3168" s="10">
        <v>0</v>
      </c>
      <c r="K3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168">
        <v>0</v>
      </c>
      <c r="M31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168">
        <v>0.7</v>
      </c>
      <c r="O3168" s="23" t="s">
        <v>221</v>
      </c>
      <c r="P3168">
        <v>4.1999999999999993</v>
      </c>
      <c r="Q3168" s="23" t="s">
        <v>222</v>
      </c>
    </row>
    <row r="3169" spans="1:17" x14ac:dyDescent="0.25">
      <c r="A3169" s="23" t="s">
        <v>1147</v>
      </c>
      <c r="B3169" s="23" t="s">
        <v>1145</v>
      </c>
      <c r="C3169" s="23" t="s">
        <v>176</v>
      </c>
      <c r="D3169" s="23" t="s">
        <v>596</v>
      </c>
      <c r="E3169" s="23" t="s">
        <v>597</v>
      </c>
      <c r="F3169">
        <v>1</v>
      </c>
      <c r="G3169" s="23" t="s">
        <v>177</v>
      </c>
      <c r="H3169">
        <v>0</v>
      </c>
      <c r="I3169">
        <v>20</v>
      </c>
      <c r="J3169" s="10">
        <v>1</v>
      </c>
      <c r="K3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69">
        <v>0</v>
      </c>
      <c r="M31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69">
        <v>4850.4399999999996</v>
      </c>
      <c r="O3169" s="23" t="s">
        <v>637</v>
      </c>
      <c r="P3169">
        <v>4850.4399999999996</v>
      </c>
      <c r="Q3169" s="23" t="s">
        <v>178</v>
      </c>
    </row>
    <row r="3170" spans="1:17" x14ac:dyDescent="0.25">
      <c r="A3170" s="23" t="s">
        <v>1180</v>
      </c>
      <c r="B3170" s="23" t="s">
        <v>1181</v>
      </c>
      <c r="C3170" s="23" t="s">
        <v>176</v>
      </c>
      <c r="D3170" s="23" t="s">
        <v>947</v>
      </c>
      <c r="E3170" s="23" t="s">
        <v>948</v>
      </c>
      <c r="F3170">
        <v>1</v>
      </c>
      <c r="G3170" s="23" t="s">
        <v>177</v>
      </c>
      <c r="H3170">
        <v>0</v>
      </c>
      <c r="I3170">
        <v>0</v>
      </c>
      <c r="J3170" s="10">
        <v>5</v>
      </c>
      <c r="K3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170">
        <v>2</v>
      </c>
      <c r="M31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3170">
        <v>3996</v>
      </c>
      <c r="O3170" s="23" t="s">
        <v>228</v>
      </c>
      <c r="P3170">
        <v>3996</v>
      </c>
      <c r="Q3170" s="23" t="s">
        <v>222</v>
      </c>
    </row>
    <row r="3171" spans="1:17" x14ac:dyDescent="0.25">
      <c r="A3171" s="23" t="s">
        <v>1148</v>
      </c>
      <c r="B3171" s="23" t="s">
        <v>1054</v>
      </c>
      <c r="C3171" s="23" t="s">
        <v>176</v>
      </c>
      <c r="D3171" s="23" t="s">
        <v>596</v>
      </c>
      <c r="E3171" s="23" t="s">
        <v>597</v>
      </c>
      <c r="F3171">
        <v>1</v>
      </c>
      <c r="G3171" s="23" t="s">
        <v>177</v>
      </c>
      <c r="H3171">
        <v>0</v>
      </c>
      <c r="I3171">
        <v>20</v>
      </c>
      <c r="J3171" s="10">
        <v>1</v>
      </c>
      <c r="K3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71">
        <v>0</v>
      </c>
      <c r="M31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1">
        <v>4850.4399999999996</v>
      </c>
      <c r="O3171" s="23" t="s">
        <v>637</v>
      </c>
      <c r="P3171">
        <v>4850.4399999999996</v>
      </c>
      <c r="Q3171" s="23" t="s">
        <v>178</v>
      </c>
    </row>
    <row r="3172" spans="1:17" x14ac:dyDescent="0.25">
      <c r="A3172" s="23" t="s">
        <v>1144</v>
      </c>
      <c r="B3172" s="23" t="s">
        <v>1145</v>
      </c>
      <c r="C3172" s="23" t="s">
        <v>176</v>
      </c>
      <c r="D3172" s="23" t="s">
        <v>596</v>
      </c>
      <c r="E3172" s="23" t="s">
        <v>597</v>
      </c>
      <c r="F3172">
        <v>1</v>
      </c>
      <c r="G3172" s="23" t="s">
        <v>177</v>
      </c>
      <c r="H3172">
        <v>0</v>
      </c>
      <c r="I3172">
        <v>20</v>
      </c>
      <c r="J3172" s="10">
        <v>1</v>
      </c>
      <c r="K3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72">
        <v>0</v>
      </c>
      <c r="M31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2">
        <v>4850.4399999999996</v>
      </c>
      <c r="O3172" s="23" t="s">
        <v>637</v>
      </c>
      <c r="P3172">
        <v>4850.4399999999996</v>
      </c>
      <c r="Q3172" s="23" t="s">
        <v>178</v>
      </c>
    </row>
    <row r="3173" spans="1:17" x14ac:dyDescent="0.25">
      <c r="A3173" s="23" t="s">
        <v>1146</v>
      </c>
      <c r="B3173" s="23" t="s">
        <v>1145</v>
      </c>
      <c r="C3173" s="23" t="s">
        <v>176</v>
      </c>
      <c r="D3173" s="23" t="s">
        <v>596</v>
      </c>
      <c r="E3173" s="23" t="s">
        <v>597</v>
      </c>
      <c r="F3173">
        <v>1</v>
      </c>
      <c r="G3173" s="23" t="s">
        <v>177</v>
      </c>
      <c r="H3173">
        <v>0</v>
      </c>
      <c r="I3173">
        <v>20</v>
      </c>
      <c r="J3173" s="10">
        <v>1</v>
      </c>
      <c r="K3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73">
        <v>0</v>
      </c>
      <c r="M31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3">
        <v>4850.4399999999996</v>
      </c>
      <c r="O3173" s="23" t="s">
        <v>637</v>
      </c>
      <c r="P3173">
        <v>4850.4399999999996</v>
      </c>
      <c r="Q3173" s="23" t="s">
        <v>178</v>
      </c>
    </row>
    <row r="3174" spans="1:17" x14ac:dyDescent="0.25">
      <c r="A3174" s="23" t="s">
        <v>1197</v>
      </c>
      <c r="B3174" s="23" t="s">
        <v>1198</v>
      </c>
      <c r="C3174" s="23" t="s">
        <v>176</v>
      </c>
      <c r="D3174" s="23" t="s">
        <v>93</v>
      </c>
      <c r="E3174" s="23" t="s">
        <v>94</v>
      </c>
      <c r="F3174">
        <v>4</v>
      </c>
      <c r="G3174" s="23" t="s">
        <v>177</v>
      </c>
      <c r="H3174">
        <v>0</v>
      </c>
      <c r="I3174">
        <v>105</v>
      </c>
      <c r="J3174" s="10">
        <v>56</v>
      </c>
      <c r="K3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74">
        <v>0</v>
      </c>
      <c r="M31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4">
        <v>72.599999999999994</v>
      </c>
      <c r="O3174" s="23" t="s">
        <v>242</v>
      </c>
      <c r="P3174">
        <v>290.39999999999998</v>
      </c>
      <c r="Q3174" s="23" t="s">
        <v>179</v>
      </c>
    </row>
    <row r="3175" spans="1:17" x14ac:dyDescent="0.25">
      <c r="A3175" s="23" t="s">
        <v>1098</v>
      </c>
      <c r="B3175" s="23" t="s">
        <v>1053</v>
      </c>
      <c r="C3175" s="23" t="s">
        <v>176</v>
      </c>
      <c r="D3175" s="23" t="s">
        <v>93</v>
      </c>
      <c r="E3175" s="23" t="s">
        <v>94</v>
      </c>
      <c r="F3175">
        <v>7</v>
      </c>
      <c r="G3175" s="23" t="s">
        <v>177</v>
      </c>
      <c r="H3175">
        <v>0</v>
      </c>
      <c r="I3175">
        <v>105</v>
      </c>
      <c r="J3175" s="10">
        <v>56</v>
      </c>
      <c r="K3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75">
        <v>0</v>
      </c>
      <c r="M31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5">
        <v>72.599999999999994</v>
      </c>
      <c r="O3175" s="23" t="s">
        <v>242</v>
      </c>
      <c r="P3175">
        <v>508.19999999999993</v>
      </c>
      <c r="Q3175" s="23" t="s">
        <v>179</v>
      </c>
    </row>
    <row r="3176" spans="1:17" x14ac:dyDescent="0.25">
      <c r="A3176" s="23" t="s">
        <v>1097</v>
      </c>
      <c r="B3176" s="23" t="s">
        <v>1095</v>
      </c>
      <c r="C3176" s="23" t="s">
        <v>176</v>
      </c>
      <c r="D3176" s="23" t="s">
        <v>847</v>
      </c>
      <c r="E3176" s="23" t="s">
        <v>848</v>
      </c>
      <c r="F3176">
        <v>3</v>
      </c>
      <c r="G3176" s="23" t="s">
        <v>183</v>
      </c>
      <c r="H3176">
        <v>0</v>
      </c>
      <c r="I3176">
        <v>0</v>
      </c>
      <c r="J3176" s="10">
        <v>-1.4210854715202004E-14</v>
      </c>
      <c r="K3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76">
        <v>0</v>
      </c>
      <c r="M31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76">
        <v>546.6</v>
      </c>
      <c r="O3176" s="23" t="s">
        <v>255</v>
      </c>
      <c r="P3176">
        <v>1639.8000000000002</v>
      </c>
      <c r="Q3176" s="23" t="s">
        <v>182</v>
      </c>
    </row>
    <row r="3177" spans="1:17" x14ac:dyDescent="0.25">
      <c r="A3177" s="23" t="s">
        <v>1143</v>
      </c>
      <c r="B3177" s="23" t="s">
        <v>1054</v>
      </c>
      <c r="C3177" s="23" t="s">
        <v>176</v>
      </c>
      <c r="D3177" s="23" t="s">
        <v>271</v>
      </c>
      <c r="E3177" s="23" t="s">
        <v>272</v>
      </c>
      <c r="F3177">
        <v>1</v>
      </c>
      <c r="G3177" s="23" t="s">
        <v>177</v>
      </c>
      <c r="H3177">
        <v>0</v>
      </c>
      <c r="I3177">
        <v>14</v>
      </c>
      <c r="J3177" s="10">
        <v>8</v>
      </c>
      <c r="K3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77">
        <v>0</v>
      </c>
      <c r="M31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7">
        <v>270</v>
      </c>
      <c r="O3177" s="23" t="s">
        <v>221</v>
      </c>
      <c r="P3177">
        <v>270</v>
      </c>
      <c r="Q3177" s="23" t="s">
        <v>222</v>
      </c>
    </row>
    <row r="3178" spans="1:17" x14ac:dyDescent="0.25">
      <c r="A3178" s="23" t="s">
        <v>1143</v>
      </c>
      <c r="B3178" s="23" t="s">
        <v>1054</v>
      </c>
      <c r="C3178" s="23" t="s">
        <v>176</v>
      </c>
      <c r="D3178" s="23" t="s">
        <v>955</v>
      </c>
      <c r="E3178" s="23" t="s">
        <v>956</v>
      </c>
      <c r="F3178">
        <v>1</v>
      </c>
      <c r="G3178" s="23" t="s">
        <v>177</v>
      </c>
      <c r="H3178">
        <v>0</v>
      </c>
      <c r="I3178">
        <v>1</v>
      </c>
      <c r="J3178" s="10">
        <v>0</v>
      </c>
      <c r="K3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178">
        <v>0</v>
      </c>
      <c r="M31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65075.75</v>
      </c>
      <c r="N3178">
        <v>65075.75</v>
      </c>
      <c r="O3178" s="23" t="s">
        <v>216</v>
      </c>
      <c r="P3178">
        <v>65075.75</v>
      </c>
      <c r="Q3178" s="23" t="s">
        <v>178</v>
      </c>
    </row>
    <row r="3179" spans="1:17" x14ac:dyDescent="0.25">
      <c r="A3179" s="23" t="s">
        <v>1142</v>
      </c>
      <c r="B3179" s="23" t="s">
        <v>1054</v>
      </c>
      <c r="C3179" s="23" t="s">
        <v>176</v>
      </c>
      <c r="D3179" s="23" t="s">
        <v>596</v>
      </c>
      <c r="E3179" s="23" t="s">
        <v>597</v>
      </c>
      <c r="F3179">
        <v>1</v>
      </c>
      <c r="G3179" s="23" t="s">
        <v>177</v>
      </c>
      <c r="H3179">
        <v>0</v>
      </c>
      <c r="I3179">
        <v>20</v>
      </c>
      <c r="J3179" s="10">
        <v>1</v>
      </c>
      <c r="K3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79">
        <v>0</v>
      </c>
      <c r="M31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79">
        <v>4850.4399999999996</v>
      </c>
      <c r="O3179" s="23" t="s">
        <v>637</v>
      </c>
      <c r="P3179">
        <v>4850.4399999999996</v>
      </c>
      <c r="Q3179" s="23" t="s">
        <v>178</v>
      </c>
    </row>
    <row r="3180" spans="1:17" x14ac:dyDescent="0.25">
      <c r="A3180" s="23" t="s">
        <v>1146</v>
      </c>
      <c r="B3180" s="23" t="s">
        <v>1145</v>
      </c>
      <c r="C3180" s="23" t="s">
        <v>176</v>
      </c>
      <c r="D3180" s="23" t="s">
        <v>775</v>
      </c>
      <c r="E3180" s="23" t="s">
        <v>776</v>
      </c>
      <c r="F3180">
        <v>3</v>
      </c>
      <c r="G3180" s="23" t="s">
        <v>183</v>
      </c>
      <c r="H3180">
        <v>0</v>
      </c>
      <c r="I3180">
        <v>0</v>
      </c>
      <c r="J3180" s="10">
        <v>0</v>
      </c>
      <c r="K3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180">
        <v>0</v>
      </c>
      <c r="M31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3180">
        <v>614.63</v>
      </c>
      <c r="O3180" s="23" t="s">
        <v>255</v>
      </c>
      <c r="P3180">
        <v>1843.8899999999999</v>
      </c>
      <c r="Q3180" s="23" t="s">
        <v>658</v>
      </c>
    </row>
    <row r="3181" spans="1:17" x14ac:dyDescent="0.25">
      <c r="A3181" s="23" t="s">
        <v>1146</v>
      </c>
      <c r="B3181" s="23" t="s">
        <v>1145</v>
      </c>
      <c r="C3181" s="23" t="s">
        <v>176</v>
      </c>
      <c r="D3181" s="23" t="s">
        <v>1170</v>
      </c>
      <c r="E3181" s="23" t="s">
        <v>1171</v>
      </c>
      <c r="F3181">
        <v>2</v>
      </c>
      <c r="G3181" s="23" t="s">
        <v>177</v>
      </c>
      <c r="H3181">
        <v>0</v>
      </c>
      <c r="I3181">
        <v>250</v>
      </c>
      <c r="J3181" s="10">
        <v>250</v>
      </c>
      <c r="K3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3181">
        <v>0</v>
      </c>
      <c r="M31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1">
        <v>1.08</v>
      </c>
      <c r="O3181" s="23" t="s">
        <v>827</v>
      </c>
      <c r="P3181">
        <v>2.16</v>
      </c>
      <c r="Q3181" s="23" t="s">
        <v>222</v>
      </c>
    </row>
    <row r="3182" spans="1:17" x14ac:dyDescent="0.25">
      <c r="A3182" s="23" t="s">
        <v>1144</v>
      </c>
      <c r="B3182" s="23" t="s">
        <v>1145</v>
      </c>
      <c r="C3182" s="23" t="s">
        <v>176</v>
      </c>
      <c r="D3182" s="23" t="s">
        <v>1170</v>
      </c>
      <c r="E3182" s="23" t="s">
        <v>1171</v>
      </c>
      <c r="F3182">
        <v>2</v>
      </c>
      <c r="G3182" s="23" t="s">
        <v>177</v>
      </c>
      <c r="H3182">
        <v>0</v>
      </c>
      <c r="I3182">
        <v>250</v>
      </c>
      <c r="J3182" s="10">
        <v>250</v>
      </c>
      <c r="K3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3182">
        <v>0</v>
      </c>
      <c r="M31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2">
        <v>1.08</v>
      </c>
      <c r="O3182" s="23" t="s">
        <v>827</v>
      </c>
      <c r="P3182">
        <v>2.16</v>
      </c>
      <c r="Q3182" s="23" t="s">
        <v>222</v>
      </c>
    </row>
    <row r="3183" spans="1:17" x14ac:dyDescent="0.25">
      <c r="A3183" s="23" t="s">
        <v>1062</v>
      </c>
      <c r="B3183" s="23" t="s">
        <v>1053</v>
      </c>
      <c r="C3183" s="23" t="s">
        <v>176</v>
      </c>
      <c r="D3183" s="23" t="s">
        <v>93</v>
      </c>
      <c r="E3183" s="23" t="s">
        <v>94</v>
      </c>
      <c r="F3183">
        <v>6</v>
      </c>
      <c r="G3183" s="23" t="s">
        <v>177</v>
      </c>
      <c r="H3183">
        <v>0</v>
      </c>
      <c r="I3183">
        <v>105</v>
      </c>
      <c r="J3183" s="10">
        <v>56</v>
      </c>
      <c r="K3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83">
        <v>0</v>
      </c>
      <c r="M31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3">
        <v>72.599999999999994</v>
      </c>
      <c r="O3183" s="23" t="s">
        <v>242</v>
      </c>
      <c r="P3183">
        <v>435.59999999999997</v>
      </c>
      <c r="Q3183" s="23" t="s">
        <v>179</v>
      </c>
    </row>
    <row r="3184" spans="1:17" x14ac:dyDescent="0.25">
      <c r="A3184" s="23" t="s">
        <v>1062</v>
      </c>
      <c r="B3184" s="23" t="s">
        <v>1053</v>
      </c>
      <c r="C3184" s="23" t="s">
        <v>176</v>
      </c>
      <c r="D3184" s="23" t="s">
        <v>847</v>
      </c>
      <c r="E3184" s="23" t="s">
        <v>848</v>
      </c>
      <c r="F3184">
        <v>5</v>
      </c>
      <c r="G3184" s="23" t="s">
        <v>183</v>
      </c>
      <c r="H3184">
        <v>0</v>
      </c>
      <c r="I3184">
        <v>0</v>
      </c>
      <c r="J3184" s="10">
        <v>-1.4210854715202004E-14</v>
      </c>
      <c r="K3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84">
        <v>0</v>
      </c>
      <c r="M31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84">
        <v>546.6</v>
      </c>
      <c r="O3184" s="23" t="s">
        <v>255</v>
      </c>
      <c r="P3184">
        <v>2733</v>
      </c>
      <c r="Q3184" s="23" t="s">
        <v>182</v>
      </c>
    </row>
    <row r="3185" spans="1:17" x14ac:dyDescent="0.25">
      <c r="A3185" s="23" t="s">
        <v>1062</v>
      </c>
      <c r="B3185" s="23" t="s">
        <v>1053</v>
      </c>
      <c r="C3185" s="23" t="s">
        <v>176</v>
      </c>
      <c r="D3185" s="23" t="s">
        <v>596</v>
      </c>
      <c r="E3185" s="23" t="s">
        <v>597</v>
      </c>
      <c r="F3185">
        <v>1</v>
      </c>
      <c r="G3185" s="23" t="s">
        <v>177</v>
      </c>
      <c r="H3185">
        <v>0</v>
      </c>
      <c r="I3185">
        <v>20</v>
      </c>
      <c r="J3185" s="10">
        <v>1</v>
      </c>
      <c r="K3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85">
        <v>0</v>
      </c>
      <c r="M31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5">
        <v>4850.4399999999996</v>
      </c>
      <c r="O3185" s="23" t="s">
        <v>637</v>
      </c>
      <c r="P3185">
        <v>4850.4399999999996</v>
      </c>
      <c r="Q3185" s="23" t="s">
        <v>178</v>
      </c>
    </row>
    <row r="3186" spans="1:17" x14ac:dyDescent="0.25">
      <c r="A3186" s="23" t="s">
        <v>1197</v>
      </c>
      <c r="B3186" s="23" t="s">
        <v>1198</v>
      </c>
      <c r="C3186" s="23" t="s">
        <v>176</v>
      </c>
      <c r="D3186" s="23" t="s">
        <v>596</v>
      </c>
      <c r="E3186" s="23" t="s">
        <v>597</v>
      </c>
      <c r="F3186">
        <v>1</v>
      </c>
      <c r="G3186" s="23" t="s">
        <v>177</v>
      </c>
      <c r="H3186">
        <v>0</v>
      </c>
      <c r="I3186">
        <v>20</v>
      </c>
      <c r="J3186" s="10">
        <v>1</v>
      </c>
      <c r="K3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86">
        <v>0</v>
      </c>
      <c r="M31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6">
        <v>4850.4399999999996</v>
      </c>
      <c r="O3186" s="23" t="s">
        <v>637</v>
      </c>
      <c r="P3186">
        <v>4850.4399999999996</v>
      </c>
      <c r="Q3186" s="23" t="s">
        <v>178</v>
      </c>
    </row>
    <row r="3187" spans="1:17" x14ac:dyDescent="0.25">
      <c r="A3187" s="23" t="s">
        <v>1098</v>
      </c>
      <c r="B3187" s="23" t="s">
        <v>1053</v>
      </c>
      <c r="C3187" s="23" t="s">
        <v>176</v>
      </c>
      <c r="D3187" s="23" t="s">
        <v>596</v>
      </c>
      <c r="E3187" s="23" t="s">
        <v>597</v>
      </c>
      <c r="F3187">
        <v>1</v>
      </c>
      <c r="G3187" s="23" t="s">
        <v>177</v>
      </c>
      <c r="H3187">
        <v>0</v>
      </c>
      <c r="I3187">
        <v>20</v>
      </c>
      <c r="J3187" s="10">
        <v>1</v>
      </c>
      <c r="K3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87">
        <v>0</v>
      </c>
      <c r="M31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7">
        <v>4850.4399999999996</v>
      </c>
      <c r="O3187" s="23" t="s">
        <v>637</v>
      </c>
      <c r="P3187">
        <v>4850.4399999999996</v>
      </c>
      <c r="Q3187" s="23" t="s">
        <v>178</v>
      </c>
    </row>
    <row r="3188" spans="1:17" x14ac:dyDescent="0.25">
      <c r="A3188" s="23" t="s">
        <v>1142</v>
      </c>
      <c r="B3188" s="23" t="s">
        <v>1054</v>
      </c>
      <c r="C3188" s="23" t="s">
        <v>176</v>
      </c>
      <c r="D3188" s="23" t="s">
        <v>1158</v>
      </c>
      <c r="E3188" s="23" t="s">
        <v>1159</v>
      </c>
      <c r="F3188">
        <v>14</v>
      </c>
      <c r="G3188" s="23" t="s">
        <v>177</v>
      </c>
      <c r="H3188">
        <v>0</v>
      </c>
      <c r="I3188">
        <v>0</v>
      </c>
      <c r="J3188" s="10">
        <v>0</v>
      </c>
      <c r="K3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56</v>
      </c>
      <c r="L3188">
        <v>0</v>
      </c>
      <c r="M31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8">
        <v>0</v>
      </c>
      <c r="O3188" s="23"/>
      <c r="P3188">
        <v>0</v>
      </c>
      <c r="Q3188" s="23" t="s">
        <v>181</v>
      </c>
    </row>
    <row r="3189" spans="1:17" x14ac:dyDescent="0.25">
      <c r="A3189" s="23" t="s">
        <v>1142</v>
      </c>
      <c r="B3189" s="23" t="s">
        <v>1054</v>
      </c>
      <c r="C3189" s="23" t="s">
        <v>176</v>
      </c>
      <c r="D3189" s="23" t="s">
        <v>93</v>
      </c>
      <c r="E3189" s="23" t="s">
        <v>94</v>
      </c>
      <c r="F3189">
        <v>4</v>
      </c>
      <c r="G3189" s="23" t="s">
        <v>177</v>
      </c>
      <c r="H3189">
        <v>0</v>
      </c>
      <c r="I3189">
        <v>105</v>
      </c>
      <c r="J3189" s="10">
        <v>56</v>
      </c>
      <c r="K3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89">
        <v>0</v>
      </c>
      <c r="M31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89">
        <v>72.599999999999994</v>
      </c>
      <c r="O3189" s="23" t="s">
        <v>242</v>
      </c>
      <c r="P3189">
        <v>290.39999999999998</v>
      </c>
      <c r="Q3189" s="23" t="s">
        <v>179</v>
      </c>
    </row>
    <row r="3190" spans="1:17" x14ac:dyDescent="0.25">
      <c r="A3190" s="23" t="s">
        <v>1096</v>
      </c>
      <c r="B3190" s="23" t="s">
        <v>1053</v>
      </c>
      <c r="C3190" s="23" t="s">
        <v>176</v>
      </c>
      <c r="D3190" s="23" t="s">
        <v>847</v>
      </c>
      <c r="E3190" s="23" t="s">
        <v>848</v>
      </c>
      <c r="F3190">
        <v>5</v>
      </c>
      <c r="G3190" s="23" t="s">
        <v>183</v>
      </c>
      <c r="H3190">
        <v>0</v>
      </c>
      <c r="I3190">
        <v>0</v>
      </c>
      <c r="J3190" s="10">
        <v>-1.4210854715202004E-14</v>
      </c>
      <c r="K3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90">
        <v>0</v>
      </c>
      <c r="M31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90">
        <v>546.6</v>
      </c>
      <c r="O3190" s="23" t="s">
        <v>255</v>
      </c>
      <c r="P3190">
        <v>2733</v>
      </c>
      <c r="Q3190" s="23" t="s">
        <v>182</v>
      </c>
    </row>
    <row r="3191" spans="1:17" x14ac:dyDescent="0.25">
      <c r="A3191" s="23" t="s">
        <v>1142</v>
      </c>
      <c r="B3191" s="23" t="s">
        <v>1054</v>
      </c>
      <c r="C3191" s="23" t="s">
        <v>176</v>
      </c>
      <c r="D3191" s="23" t="s">
        <v>847</v>
      </c>
      <c r="E3191" s="23" t="s">
        <v>848</v>
      </c>
      <c r="F3191">
        <v>2</v>
      </c>
      <c r="G3191" s="23" t="s">
        <v>183</v>
      </c>
      <c r="H3191">
        <v>0</v>
      </c>
      <c r="I3191">
        <v>0</v>
      </c>
      <c r="J3191" s="10">
        <v>-1.4210854715202004E-14</v>
      </c>
      <c r="K3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3191">
        <v>0</v>
      </c>
      <c r="M31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3191">
        <v>546.6</v>
      </c>
      <c r="O3191" s="23" t="s">
        <v>255</v>
      </c>
      <c r="P3191">
        <v>1093.2</v>
      </c>
      <c r="Q3191" s="23" t="s">
        <v>182</v>
      </c>
    </row>
    <row r="3192" spans="1:17" x14ac:dyDescent="0.25">
      <c r="A3192" s="23" t="s">
        <v>1057</v>
      </c>
      <c r="B3192" s="23" t="s">
        <v>1056</v>
      </c>
      <c r="C3192" s="23" t="s">
        <v>176</v>
      </c>
      <c r="D3192" s="23" t="s">
        <v>998</v>
      </c>
      <c r="E3192" s="23" t="s">
        <v>999</v>
      </c>
      <c r="F3192">
        <v>2</v>
      </c>
      <c r="G3192" s="23" t="s">
        <v>177</v>
      </c>
      <c r="H3192">
        <v>2</v>
      </c>
      <c r="I3192">
        <v>6</v>
      </c>
      <c r="J3192" s="10">
        <v>8</v>
      </c>
      <c r="K3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192">
        <v>0</v>
      </c>
      <c r="M31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2">
        <v>225</v>
      </c>
      <c r="O3192" s="23" t="s">
        <v>227</v>
      </c>
      <c r="P3192">
        <v>450</v>
      </c>
      <c r="Q3192" s="23" t="s">
        <v>181</v>
      </c>
    </row>
    <row r="3193" spans="1:17" x14ac:dyDescent="0.25">
      <c r="A3193" s="23" t="s">
        <v>1094</v>
      </c>
      <c r="B3193" s="23" t="s">
        <v>1095</v>
      </c>
      <c r="C3193" s="23" t="s">
        <v>176</v>
      </c>
      <c r="D3193" s="23" t="s">
        <v>271</v>
      </c>
      <c r="E3193" s="23" t="s">
        <v>272</v>
      </c>
      <c r="F3193">
        <v>1</v>
      </c>
      <c r="G3193" s="23" t="s">
        <v>177</v>
      </c>
      <c r="H3193">
        <v>0</v>
      </c>
      <c r="I3193">
        <v>14</v>
      </c>
      <c r="J3193" s="10">
        <v>8</v>
      </c>
      <c r="K3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193">
        <v>0</v>
      </c>
      <c r="M31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3">
        <v>270</v>
      </c>
      <c r="O3193" s="23" t="s">
        <v>221</v>
      </c>
      <c r="P3193">
        <v>270</v>
      </c>
      <c r="Q3193" s="23" t="s">
        <v>222</v>
      </c>
    </row>
    <row r="3194" spans="1:17" x14ac:dyDescent="0.25">
      <c r="A3194" s="23" t="s">
        <v>1143</v>
      </c>
      <c r="B3194" s="23" t="s">
        <v>1054</v>
      </c>
      <c r="C3194" s="23" t="s">
        <v>176</v>
      </c>
      <c r="D3194" s="23" t="s">
        <v>93</v>
      </c>
      <c r="E3194" s="23" t="s">
        <v>94</v>
      </c>
      <c r="F3194">
        <v>6</v>
      </c>
      <c r="G3194" s="23" t="s">
        <v>177</v>
      </c>
      <c r="H3194">
        <v>0</v>
      </c>
      <c r="I3194">
        <v>105</v>
      </c>
      <c r="J3194" s="10">
        <v>56</v>
      </c>
      <c r="K3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94">
        <v>0</v>
      </c>
      <c r="M31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4">
        <v>72.599999999999994</v>
      </c>
      <c r="O3194" s="23" t="s">
        <v>242</v>
      </c>
      <c r="P3194">
        <v>435.59999999999997</v>
      </c>
      <c r="Q3194" s="23" t="s">
        <v>179</v>
      </c>
    </row>
    <row r="3195" spans="1:17" x14ac:dyDescent="0.25">
      <c r="A3195" s="23" t="s">
        <v>1057</v>
      </c>
      <c r="B3195" s="23" t="s">
        <v>1056</v>
      </c>
      <c r="C3195" s="23" t="s">
        <v>176</v>
      </c>
      <c r="D3195" s="23" t="s">
        <v>93</v>
      </c>
      <c r="E3195" s="23" t="s">
        <v>94</v>
      </c>
      <c r="F3195">
        <v>6</v>
      </c>
      <c r="G3195" s="23" t="s">
        <v>177</v>
      </c>
      <c r="H3195">
        <v>0</v>
      </c>
      <c r="I3195">
        <v>105</v>
      </c>
      <c r="J3195" s="10">
        <v>56</v>
      </c>
      <c r="K3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195">
        <v>0</v>
      </c>
      <c r="M31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5">
        <v>72.599999999999994</v>
      </c>
      <c r="O3195" s="23" t="s">
        <v>242</v>
      </c>
      <c r="P3195">
        <v>435.59999999999997</v>
      </c>
      <c r="Q3195" s="23" t="s">
        <v>179</v>
      </c>
    </row>
    <row r="3196" spans="1:17" x14ac:dyDescent="0.25">
      <c r="A3196" s="23" t="s">
        <v>1096</v>
      </c>
      <c r="B3196" s="23" t="s">
        <v>1053</v>
      </c>
      <c r="C3196" s="23" t="s">
        <v>176</v>
      </c>
      <c r="D3196" s="23" t="s">
        <v>563</v>
      </c>
      <c r="E3196" s="23" t="s">
        <v>564</v>
      </c>
      <c r="F3196">
        <v>7</v>
      </c>
      <c r="G3196" s="23" t="s">
        <v>177</v>
      </c>
      <c r="H3196">
        <v>0</v>
      </c>
      <c r="I3196">
        <v>3000</v>
      </c>
      <c r="J3196" s="10">
        <v>0</v>
      </c>
      <c r="K3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196">
        <v>0</v>
      </c>
      <c r="M31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6">
        <v>0.7</v>
      </c>
      <c r="O3196" s="23" t="s">
        <v>242</v>
      </c>
      <c r="P3196">
        <v>4.8999999999999995</v>
      </c>
      <c r="Q3196" s="23" t="s">
        <v>181</v>
      </c>
    </row>
    <row r="3197" spans="1:17" x14ac:dyDescent="0.25">
      <c r="A3197" s="23" t="s">
        <v>1150</v>
      </c>
      <c r="B3197" s="23" t="s">
        <v>1145</v>
      </c>
      <c r="C3197" s="23" t="s">
        <v>176</v>
      </c>
      <c r="D3197" s="23" t="s">
        <v>627</v>
      </c>
      <c r="E3197" s="23" t="s">
        <v>628</v>
      </c>
      <c r="F3197">
        <v>2</v>
      </c>
      <c r="G3197" s="23" t="s">
        <v>177</v>
      </c>
      <c r="H3197">
        <v>0</v>
      </c>
      <c r="I3197">
        <v>9</v>
      </c>
      <c r="J3197" s="10">
        <v>20</v>
      </c>
      <c r="K3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197">
        <v>0</v>
      </c>
      <c r="M31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3197">
        <v>14946.25</v>
      </c>
      <c r="O3197" s="23" t="s">
        <v>626</v>
      </c>
      <c r="P3197">
        <v>29892.5</v>
      </c>
      <c r="Q3197" s="23" t="s">
        <v>179</v>
      </c>
    </row>
    <row r="3198" spans="1:17" x14ac:dyDescent="0.25">
      <c r="A3198" s="23" t="s">
        <v>1062</v>
      </c>
      <c r="B3198" s="23" t="s">
        <v>1053</v>
      </c>
      <c r="C3198" s="23" t="s">
        <v>176</v>
      </c>
      <c r="D3198" s="23" t="s">
        <v>527</v>
      </c>
      <c r="E3198" s="23" t="s">
        <v>528</v>
      </c>
      <c r="F3198">
        <v>1</v>
      </c>
      <c r="G3198" s="23" t="s">
        <v>180</v>
      </c>
      <c r="H3198">
        <v>0</v>
      </c>
      <c r="I3198">
        <v>20</v>
      </c>
      <c r="J3198" s="10">
        <v>2.6645352591003757E-15</v>
      </c>
      <c r="K3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198">
        <v>0</v>
      </c>
      <c r="M31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8">
        <v>38.33</v>
      </c>
      <c r="O3198" s="23" t="s">
        <v>256</v>
      </c>
      <c r="P3198">
        <v>38.33</v>
      </c>
      <c r="Q3198" s="23" t="s">
        <v>181</v>
      </c>
    </row>
    <row r="3199" spans="1:17" x14ac:dyDescent="0.25">
      <c r="A3199" s="23" t="s">
        <v>1098</v>
      </c>
      <c r="B3199" s="23" t="s">
        <v>1053</v>
      </c>
      <c r="C3199" s="23" t="s">
        <v>176</v>
      </c>
      <c r="D3199" s="23" t="s">
        <v>527</v>
      </c>
      <c r="E3199" s="23" t="s">
        <v>528</v>
      </c>
      <c r="F3199">
        <v>1</v>
      </c>
      <c r="G3199" s="23" t="s">
        <v>180</v>
      </c>
      <c r="H3199">
        <v>0</v>
      </c>
      <c r="I3199">
        <v>20</v>
      </c>
      <c r="J3199" s="10">
        <v>2.6645352591003757E-15</v>
      </c>
      <c r="K3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-10.4</v>
      </c>
      <c r="L3199">
        <v>0</v>
      </c>
      <c r="M31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199">
        <v>38.33</v>
      </c>
      <c r="O3199" s="23" t="s">
        <v>256</v>
      </c>
      <c r="P3199">
        <v>38.33</v>
      </c>
      <c r="Q3199" s="23" t="s">
        <v>181</v>
      </c>
    </row>
    <row r="3200" spans="1:17" x14ac:dyDescent="0.25">
      <c r="A3200" s="23" t="s">
        <v>1062</v>
      </c>
      <c r="B3200" s="23" t="s">
        <v>1053</v>
      </c>
      <c r="C3200" s="23" t="s">
        <v>176</v>
      </c>
      <c r="D3200" s="23" t="s">
        <v>674</v>
      </c>
      <c r="E3200" s="23" t="s">
        <v>675</v>
      </c>
      <c r="F3200">
        <v>7</v>
      </c>
      <c r="G3200" s="23" t="s">
        <v>177</v>
      </c>
      <c r="H3200">
        <v>0</v>
      </c>
      <c r="I3200">
        <v>150</v>
      </c>
      <c r="J3200" s="10">
        <v>78</v>
      </c>
      <c r="K3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00">
        <v>0</v>
      </c>
      <c r="M32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0">
        <v>20.83</v>
      </c>
      <c r="O3200" s="23" t="s">
        <v>227</v>
      </c>
      <c r="P3200">
        <v>145.81</v>
      </c>
      <c r="Q3200" s="23" t="s">
        <v>181</v>
      </c>
    </row>
    <row r="3201" spans="1:17" x14ac:dyDescent="0.25">
      <c r="A3201" s="23" t="s">
        <v>1098</v>
      </c>
      <c r="B3201" s="23" t="s">
        <v>1053</v>
      </c>
      <c r="C3201" s="23" t="s">
        <v>176</v>
      </c>
      <c r="D3201" s="23" t="s">
        <v>674</v>
      </c>
      <c r="E3201" s="23" t="s">
        <v>675</v>
      </c>
      <c r="F3201">
        <v>3</v>
      </c>
      <c r="G3201" s="23" t="s">
        <v>177</v>
      </c>
      <c r="H3201">
        <v>0</v>
      </c>
      <c r="I3201">
        <v>150</v>
      </c>
      <c r="J3201" s="10">
        <v>78</v>
      </c>
      <c r="K3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01">
        <v>0</v>
      </c>
      <c r="M32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1">
        <v>20.83</v>
      </c>
      <c r="O3201" s="23" t="s">
        <v>227</v>
      </c>
      <c r="P3201">
        <v>62.489999999999995</v>
      </c>
      <c r="Q3201" s="23" t="s">
        <v>181</v>
      </c>
    </row>
    <row r="3202" spans="1:17" x14ac:dyDescent="0.25">
      <c r="A3202" s="23" t="s">
        <v>1197</v>
      </c>
      <c r="B3202" s="23" t="s">
        <v>1198</v>
      </c>
      <c r="C3202" s="23" t="s">
        <v>176</v>
      </c>
      <c r="D3202" s="23" t="s">
        <v>674</v>
      </c>
      <c r="E3202" s="23" t="s">
        <v>675</v>
      </c>
      <c r="F3202">
        <v>6</v>
      </c>
      <c r="G3202" s="23" t="s">
        <v>177</v>
      </c>
      <c r="H3202">
        <v>0</v>
      </c>
      <c r="I3202">
        <v>150</v>
      </c>
      <c r="J3202" s="10">
        <v>78</v>
      </c>
      <c r="K3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02">
        <v>0</v>
      </c>
      <c r="M32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2">
        <v>20.83</v>
      </c>
      <c r="O3202" s="23" t="s">
        <v>227</v>
      </c>
      <c r="P3202">
        <v>124.97999999999999</v>
      </c>
      <c r="Q3202" s="23" t="s">
        <v>181</v>
      </c>
    </row>
    <row r="3203" spans="1:17" x14ac:dyDescent="0.25">
      <c r="A3203" s="23" t="s">
        <v>1197</v>
      </c>
      <c r="B3203" s="23" t="s">
        <v>1198</v>
      </c>
      <c r="C3203" s="23" t="s">
        <v>176</v>
      </c>
      <c r="D3203" s="23" t="s">
        <v>563</v>
      </c>
      <c r="E3203" s="23" t="s">
        <v>564</v>
      </c>
      <c r="F3203">
        <v>11</v>
      </c>
      <c r="G3203" s="23" t="s">
        <v>177</v>
      </c>
      <c r="H3203">
        <v>0</v>
      </c>
      <c r="I3203">
        <v>3000</v>
      </c>
      <c r="J3203" s="10">
        <v>0</v>
      </c>
      <c r="K3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03">
        <v>0</v>
      </c>
      <c r="M32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3">
        <v>0.7</v>
      </c>
      <c r="O3203" s="23" t="s">
        <v>242</v>
      </c>
      <c r="P3203">
        <v>7.6999999999999993</v>
      </c>
      <c r="Q3203" s="23" t="s">
        <v>181</v>
      </c>
    </row>
    <row r="3204" spans="1:17" x14ac:dyDescent="0.25">
      <c r="A3204" s="23" t="s">
        <v>1062</v>
      </c>
      <c r="B3204" s="23" t="s">
        <v>1053</v>
      </c>
      <c r="C3204" s="23" t="s">
        <v>176</v>
      </c>
      <c r="D3204" s="23" t="s">
        <v>563</v>
      </c>
      <c r="E3204" s="23" t="s">
        <v>564</v>
      </c>
      <c r="F3204">
        <v>7</v>
      </c>
      <c r="G3204" s="23" t="s">
        <v>177</v>
      </c>
      <c r="H3204">
        <v>0</v>
      </c>
      <c r="I3204">
        <v>3000</v>
      </c>
      <c r="J3204" s="10">
        <v>0</v>
      </c>
      <c r="K3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04">
        <v>0</v>
      </c>
      <c r="M32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4">
        <v>0.7</v>
      </c>
      <c r="O3204" s="23" t="s">
        <v>242</v>
      </c>
      <c r="P3204">
        <v>4.8999999999999995</v>
      </c>
      <c r="Q3204" s="23" t="s">
        <v>181</v>
      </c>
    </row>
    <row r="3205" spans="1:17" x14ac:dyDescent="0.25">
      <c r="A3205" s="23" t="s">
        <v>1062</v>
      </c>
      <c r="B3205" s="23" t="s">
        <v>1053</v>
      </c>
      <c r="C3205" s="23" t="s">
        <v>176</v>
      </c>
      <c r="D3205" s="23" t="s">
        <v>403</v>
      </c>
      <c r="E3205" s="23" t="s">
        <v>404</v>
      </c>
      <c r="F3205">
        <v>2</v>
      </c>
      <c r="G3205" s="23" t="s">
        <v>177</v>
      </c>
      <c r="H3205">
        <v>2</v>
      </c>
      <c r="I3205">
        <v>28</v>
      </c>
      <c r="J3205" s="10">
        <v>12</v>
      </c>
      <c r="K3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205">
        <v>0</v>
      </c>
      <c r="M32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5">
        <v>15</v>
      </c>
      <c r="O3205" s="23" t="s">
        <v>221</v>
      </c>
      <c r="P3205">
        <v>30</v>
      </c>
      <c r="Q3205" s="23" t="s">
        <v>222</v>
      </c>
    </row>
    <row r="3206" spans="1:17" x14ac:dyDescent="0.25">
      <c r="A3206" s="23" t="s">
        <v>1142</v>
      </c>
      <c r="B3206" s="23" t="s">
        <v>1054</v>
      </c>
      <c r="C3206" s="23" t="s">
        <v>176</v>
      </c>
      <c r="D3206" s="23" t="s">
        <v>403</v>
      </c>
      <c r="E3206" s="23" t="s">
        <v>404</v>
      </c>
      <c r="F3206">
        <v>1</v>
      </c>
      <c r="G3206" s="23" t="s">
        <v>177</v>
      </c>
      <c r="H3206">
        <v>0</v>
      </c>
      <c r="I3206">
        <v>28</v>
      </c>
      <c r="J3206" s="10">
        <v>12</v>
      </c>
      <c r="K3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206">
        <v>0</v>
      </c>
      <c r="M32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6">
        <v>15</v>
      </c>
      <c r="O3206" s="23" t="s">
        <v>221</v>
      </c>
      <c r="P3206">
        <v>15</v>
      </c>
      <c r="Q3206" s="23" t="s">
        <v>222</v>
      </c>
    </row>
    <row r="3207" spans="1:17" x14ac:dyDescent="0.25">
      <c r="A3207" s="23" t="s">
        <v>1142</v>
      </c>
      <c r="B3207" s="23" t="s">
        <v>1054</v>
      </c>
      <c r="C3207" s="23" t="s">
        <v>176</v>
      </c>
      <c r="D3207" s="23" t="s">
        <v>674</v>
      </c>
      <c r="E3207" s="23" t="s">
        <v>675</v>
      </c>
      <c r="F3207">
        <v>6</v>
      </c>
      <c r="G3207" s="23" t="s">
        <v>177</v>
      </c>
      <c r="H3207">
        <v>0</v>
      </c>
      <c r="I3207">
        <v>150</v>
      </c>
      <c r="J3207" s="10">
        <v>78</v>
      </c>
      <c r="K3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07">
        <v>0</v>
      </c>
      <c r="M32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7">
        <v>20.83</v>
      </c>
      <c r="O3207" s="23" t="s">
        <v>227</v>
      </c>
      <c r="P3207">
        <v>124.97999999999999</v>
      </c>
      <c r="Q3207" s="23" t="s">
        <v>181</v>
      </c>
    </row>
    <row r="3208" spans="1:17" x14ac:dyDescent="0.25">
      <c r="A3208" s="23" t="s">
        <v>1142</v>
      </c>
      <c r="B3208" s="23" t="s">
        <v>1054</v>
      </c>
      <c r="C3208" s="23" t="s">
        <v>176</v>
      </c>
      <c r="D3208" s="23" t="s">
        <v>563</v>
      </c>
      <c r="E3208" s="23" t="s">
        <v>564</v>
      </c>
      <c r="F3208">
        <v>7</v>
      </c>
      <c r="G3208" s="23" t="s">
        <v>177</v>
      </c>
      <c r="H3208">
        <v>0</v>
      </c>
      <c r="I3208">
        <v>3000</v>
      </c>
      <c r="J3208" s="10">
        <v>0</v>
      </c>
      <c r="K3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08">
        <v>0</v>
      </c>
      <c r="M32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8">
        <v>0.7</v>
      </c>
      <c r="O3208" s="23" t="s">
        <v>242</v>
      </c>
      <c r="P3208">
        <v>4.8999999999999995</v>
      </c>
      <c r="Q3208" s="23" t="s">
        <v>181</v>
      </c>
    </row>
    <row r="3209" spans="1:17" x14ac:dyDescent="0.25">
      <c r="A3209" s="23" t="s">
        <v>1143</v>
      </c>
      <c r="B3209" s="23" t="s">
        <v>1054</v>
      </c>
      <c r="C3209" s="23" t="s">
        <v>176</v>
      </c>
      <c r="D3209" s="23" t="s">
        <v>403</v>
      </c>
      <c r="E3209" s="23" t="s">
        <v>404</v>
      </c>
      <c r="F3209">
        <v>1</v>
      </c>
      <c r="G3209" s="23" t="s">
        <v>177</v>
      </c>
      <c r="H3209">
        <v>0</v>
      </c>
      <c r="I3209">
        <v>28</v>
      </c>
      <c r="J3209" s="10">
        <v>12</v>
      </c>
      <c r="K3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209">
        <v>0</v>
      </c>
      <c r="M32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09">
        <v>15</v>
      </c>
      <c r="O3209" s="23" t="s">
        <v>221</v>
      </c>
      <c r="P3209">
        <v>15</v>
      </c>
      <c r="Q3209" s="23" t="s">
        <v>222</v>
      </c>
    </row>
    <row r="3210" spans="1:17" x14ac:dyDescent="0.25">
      <c r="A3210" s="23" t="s">
        <v>1144</v>
      </c>
      <c r="B3210" s="23" t="s">
        <v>1145</v>
      </c>
      <c r="C3210" s="23" t="s">
        <v>176</v>
      </c>
      <c r="D3210" s="23" t="s">
        <v>627</v>
      </c>
      <c r="E3210" s="23" t="s">
        <v>628</v>
      </c>
      <c r="F3210">
        <v>2</v>
      </c>
      <c r="G3210" s="23" t="s">
        <v>177</v>
      </c>
      <c r="H3210">
        <v>0</v>
      </c>
      <c r="I3210">
        <v>9</v>
      </c>
      <c r="J3210" s="10">
        <v>20</v>
      </c>
      <c r="K3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210">
        <v>0</v>
      </c>
      <c r="M32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3210">
        <v>14946.25</v>
      </c>
      <c r="O3210" s="23" t="s">
        <v>626</v>
      </c>
      <c r="P3210">
        <v>29892.5</v>
      </c>
      <c r="Q3210" s="23" t="s">
        <v>179</v>
      </c>
    </row>
    <row r="3211" spans="1:17" x14ac:dyDescent="0.25">
      <c r="A3211" s="23" t="s">
        <v>1146</v>
      </c>
      <c r="B3211" s="23" t="s">
        <v>1145</v>
      </c>
      <c r="C3211" s="23" t="s">
        <v>176</v>
      </c>
      <c r="D3211" s="23" t="s">
        <v>627</v>
      </c>
      <c r="E3211" s="23" t="s">
        <v>628</v>
      </c>
      <c r="F3211">
        <v>2</v>
      </c>
      <c r="G3211" s="23" t="s">
        <v>177</v>
      </c>
      <c r="H3211">
        <v>0</v>
      </c>
      <c r="I3211">
        <v>9</v>
      </c>
      <c r="J3211" s="10">
        <v>20</v>
      </c>
      <c r="K3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211">
        <v>0</v>
      </c>
      <c r="M32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3211">
        <v>14946.25</v>
      </c>
      <c r="O3211" s="23" t="s">
        <v>626</v>
      </c>
      <c r="P3211">
        <v>29892.5</v>
      </c>
      <c r="Q3211" s="23" t="s">
        <v>179</v>
      </c>
    </row>
    <row r="3212" spans="1:17" x14ac:dyDescent="0.25">
      <c r="A3212" s="23" t="s">
        <v>1147</v>
      </c>
      <c r="B3212" s="23" t="s">
        <v>1145</v>
      </c>
      <c r="C3212" s="23" t="s">
        <v>176</v>
      </c>
      <c r="D3212" s="23" t="s">
        <v>661</v>
      </c>
      <c r="E3212" s="23" t="s">
        <v>662</v>
      </c>
      <c r="F3212">
        <v>1</v>
      </c>
      <c r="G3212" s="23" t="s">
        <v>186</v>
      </c>
      <c r="H3212">
        <v>0</v>
      </c>
      <c r="I3212">
        <v>0</v>
      </c>
      <c r="J3212" s="10">
        <v>0</v>
      </c>
      <c r="K3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12">
        <v>0</v>
      </c>
      <c r="M32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12">
        <v>80.98</v>
      </c>
      <c r="O3212" s="23" t="s">
        <v>224</v>
      </c>
      <c r="P3212">
        <v>80.98</v>
      </c>
      <c r="Q3212" s="23" t="s">
        <v>184</v>
      </c>
    </row>
    <row r="3213" spans="1:17" x14ac:dyDescent="0.25">
      <c r="A3213" s="23" t="s">
        <v>1143</v>
      </c>
      <c r="B3213" s="23" t="s">
        <v>1054</v>
      </c>
      <c r="C3213" s="23" t="s">
        <v>176</v>
      </c>
      <c r="D3213" s="23" t="s">
        <v>674</v>
      </c>
      <c r="E3213" s="23" t="s">
        <v>675</v>
      </c>
      <c r="F3213">
        <v>7</v>
      </c>
      <c r="G3213" s="23" t="s">
        <v>177</v>
      </c>
      <c r="H3213">
        <v>0</v>
      </c>
      <c r="I3213">
        <v>150</v>
      </c>
      <c r="J3213" s="10">
        <v>78</v>
      </c>
      <c r="K3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3213">
        <v>0</v>
      </c>
      <c r="M32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3">
        <v>20.83</v>
      </c>
      <c r="O3213" s="23" t="s">
        <v>227</v>
      </c>
      <c r="P3213">
        <v>145.81</v>
      </c>
      <c r="Q3213" s="23" t="s">
        <v>181</v>
      </c>
    </row>
    <row r="3214" spans="1:17" x14ac:dyDescent="0.25">
      <c r="A3214" s="23" t="s">
        <v>1143</v>
      </c>
      <c r="B3214" s="23" t="s">
        <v>1054</v>
      </c>
      <c r="C3214" s="23" t="s">
        <v>176</v>
      </c>
      <c r="D3214" s="23" t="s">
        <v>563</v>
      </c>
      <c r="E3214" s="23" t="s">
        <v>564</v>
      </c>
      <c r="F3214">
        <v>7</v>
      </c>
      <c r="G3214" s="23" t="s">
        <v>177</v>
      </c>
      <c r="H3214">
        <v>0</v>
      </c>
      <c r="I3214">
        <v>3000</v>
      </c>
      <c r="J3214" s="10">
        <v>0</v>
      </c>
      <c r="K3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3214">
        <v>0</v>
      </c>
      <c r="M32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14">
        <v>0.7</v>
      </c>
      <c r="O3214" s="23" t="s">
        <v>242</v>
      </c>
      <c r="P3214">
        <v>4.8999999999999995</v>
      </c>
      <c r="Q3214" s="23" t="s">
        <v>181</v>
      </c>
    </row>
    <row r="3215" spans="1:17" x14ac:dyDescent="0.25">
      <c r="A3215" s="23" t="s">
        <v>1150</v>
      </c>
      <c r="B3215" s="23" t="s">
        <v>1145</v>
      </c>
      <c r="C3215" s="23" t="s">
        <v>176</v>
      </c>
      <c r="D3215" s="23" t="s">
        <v>661</v>
      </c>
      <c r="E3215" s="23" t="s">
        <v>662</v>
      </c>
      <c r="F3215">
        <v>1</v>
      </c>
      <c r="G3215" s="23" t="s">
        <v>186</v>
      </c>
      <c r="H3215">
        <v>0</v>
      </c>
      <c r="I3215">
        <v>0</v>
      </c>
      <c r="J3215" s="10">
        <v>0</v>
      </c>
      <c r="K3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15">
        <v>0</v>
      </c>
      <c r="M32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15">
        <v>80.98</v>
      </c>
      <c r="O3215" s="23" t="s">
        <v>224</v>
      </c>
      <c r="P3215">
        <v>80.98</v>
      </c>
      <c r="Q3215" s="23" t="s">
        <v>184</v>
      </c>
    </row>
    <row r="3216" spans="1:17" x14ac:dyDescent="0.25">
      <c r="A3216" s="23" t="s">
        <v>1150</v>
      </c>
      <c r="B3216" s="23" t="s">
        <v>1145</v>
      </c>
      <c r="C3216" s="23" t="s">
        <v>176</v>
      </c>
      <c r="D3216" s="23" t="s">
        <v>663</v>
      </c>
      <c r="E3216" s="23" t="s">
        <v>664</v>
      </c>
      <c r="F3216">
        <v>18</v>
      </c>
      <c r="G3216" s="23" t="s">
        <v>186</v>
      </c>
      <c r="H3216">
        <v>0</v>
      </c>
      <c r="I3216">
        <v>63</v>
      </c>
      <c r="J3216" s="10">
        <v>142.05000000000001</v>
      </c>
      <c r="K3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3216">
        <v>0</v>
      </c>
      <c r="M32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3216">
        <v>1094.67</v>
      </c>
      <c r="O3216" s="23" t="s">
        <v>649</v>
      </c>
      <c r="P3216">
        <v>19704.060000000001</v>
      </c>
      <c r="Q3216" s="23" t="s">
        <v>184</v>
      </c>
    </row>
    <row r="3217" spans="1:17" x14ac:dyDescent="0.25">
      <c r="A3217" s="23" t="s">
        <v>1149</v>
      </c>
      <c r="B3217" s="23" t="s">
        <v>1145</v>
      </c>
      <c r="C3217" s="23" t="s">
        <v>176</v>
      </c>
      <c r="D3217" s="23" t="s">
        <v>661</v>
      </c>
      <c r="E3217" s="23" t="s">
        <v>662</v>
      </c>
      <c r="F3217">
        <v>1</v>
      </c>
      <c r="G3217" s="23" t="s">
        <v>186</v>
      </c>
      <c r="H3217">
        <v>0</v>
      </c>
      <c r="I3217">
        <v>0</v>
      </c>
      <c r="J3217" s="10">
        <v>0</v>
      </c>
      <c r="K3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17">
        <v>0</v>
      </c>
      <c r="M32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17">
        <v>80.98</v>
      </c>
      <c r="O3217" s="23" t="s">
        <v>224</v>
      </c>
      <c r="P3217">
        <v>80.98</v>
      </c>
      <c r="Q3217" s="23" t="s">
        <v>184</v>
      </c>
    </row>
    <row r="3218" spans="1:17" x14ac:dyDescent="0.25">
      <c r="A3218" s="23" t="s">
        <v>1146</v>
      </c>
      <c r="B3218" s="23" t="s">
        <v>1145</v>
      </c>
      <c r="C3218" s="23" t="s">
        <v>176</v>
      </c>
      <c r="D3218" s="23" t="s">
        <v>661</v>
      </c>
      <c r="E3218" s="23" t="s">
        <v>662</v>
      </c>
      <c r="F3218">
        <v>1</v>
      </c>
      <c r="G3218" s="23" t="s">
        <v>186</v>
      </c>
      <c r="H3218">
        <v>0</v>
      </c>
      <c r="I3218">
        <v>0</v>
      </c>
      <c r="J3218" s="10">
        <v>0</v>
      </c>
      <c r="K3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18">
        <v>0</v>
      </c>
      <c r="M32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18">
        <v>80.98</v>
      </c>
      <c r="O3218" s="23" t="s">
        <v>224</v>
      </c>
      <c r="P3218">
        <v>80.98</v>
      </c>
      <c r="Q3218" s="23" t="s">
        <v>184</v>
      </c>
    </row>
    <row r="3219" spans="1:17" x14ac:dyDescent="0.25">
      <c r="A3219" s="23" t="s">
        <v>1144</v>
      </c>
      <c r="B3219" s="23" t="s">
        <v>1145</v>
      </c>
      <c r="C3219" s="23" t="s">
        <v>176</v>
      </c>
      <c r="D3219" s="23" t="s">
        <v>661</v>
      </c>
      <c r="E3219" s="23" t="s">
        <v>662</v>
      </c>
      <c r="F3219">
        <v>1</v>
      </c>
      <c r="G3219" s="23" t="s">
        <v>186</v>
      </c>
      <c r="H3219">
        <v>0</v>
      </c>
      <c r="I3219">
        <v>0</v>
      </c>
      <c r="J3219" s="10">
        <v>0</v>
      </c>
      <c r="K3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3219">
        <v>0</v>
      </c>
      <c r="M32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3219">
        <v>80.98</v>
      </c>
      <c r="O3219" s="23" t="s">
        <v>224</v>
      </c>
      <c r="P3219">
        <v>80.98</v>
      </c>
      <c r="Q3219" s="23" t="s">
        <v>184</v>
      </c>
    </row>
    <row r="3220" spans="1:17" x14ac:dyDescent="0.25">
      <c r="A3220" s="23" t="s">
        <v>1149</v>
      </c>
      <c r="B3220" s="23" t="s">
        <v>1145</v>
      </c>
      <c r="C3220" s="23" t="s">
        <v>176</v>
      </c>
      <c r="D3220" s="23" t="s">
        <v>627</v>
      </c>
      <c r="E3220" s="23" t="s">
        <v>628</v>
      </c>
      <c r="F3220">
        <v>2</v>
      </c>
      <c r="G3220" s="23" t="s">
        <v>177</v>
      </c>
      <c r="H3220">
        <v>0</v>
      </c>
      <c r="I3220">
        <v>9</v>
      </c>
      <c r="J3220" s="10">
        <v>20</v>
      </c>
      <c r="K3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220">
        <v>0</v>
      </c>
      <c r="M32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3220">
        <v>14946.25</v>
      </c>
      <c r="O3220" s="23" t="s">
        <v>626</v>
      </c>
      <c r="P3220">
        <v>29892.5</v>
      </c>
      <c r="Q3220" s="23" t="s">
        <v>179</v>
      </c>
    </row>
    <row r="3221" spans="1:17" x14ac:dyDescent="0.25">
      <c r="A3221" s="23" t="s">
        <v>1100</v>
      </c>
      <c r="B3221" s="23" t="s">
        <v>1101</v>
      </c>
      <c r="C3221" s="23" t="s">
        <v>176</v>
      </c>
      <c r="D3221" s="23" t="s">
        <v>627</v>
      </c>
      <c r="E3221" s="23" t="s">
        <v>628</v>
      </c>
      <c r="F3221">
        <v>2</v>
      </c>
      <c r="G3221" s="23" t="s">
        <v>177</v>
      </c>
      <c r="H3221">
        <v>0</v>
      </c>
      <c r="I3221">
        <v>9</v>
      </c>
      <c r="J3221" s="10">
        <v>20</v>
      </c>
      <c r="K3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221">
        <v>0</v>
      </c>
      <c r="M32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3221">
        <v>14946.25</v>
      </c>
      <c r="O3221" s="23" t="s">
        <v>626</v>
      </c>
      <c r="P3221">
        <v>29892.5</v>
      </c>
      <c r="Q3221" s="23" t="s">
        <v>179</v>
      </c>
    </row>
    <row r="3222" spans="1:17" x14ac:dyDescent="0.25">
      <c r="A3222" s="23" t="s">
        <v>1055</v>
      </c>
      <c r="B3222" s="23" t="s">
        <v>1056</v>
      </c>
      <c r="C3222" s="23" t="s">
        <v>176</v>
      </c>
      <c r="D3222" s="23" t="s">
        <v>663</v>
      </c>
      <c r="E3222" s="23" t="s">
        <v>664</v>
      </c>
      <c r="F3222">
        <v>14</v>
      </c>
      <c r="G3222" s="23" t="s">
        <v>186</v>
      </c>
      <c r="H3222">
        <v>0</v>
      </c>
      <c r="I3222">
        <v>63</v>
      </c>
      <c r="J3222" s="10">
        <v>142.05000000000001</v>
      </c>
      <c r="K3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3222">
        <v>0</v>
      </c>
      <c r="M32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3222">
        <v>1094.67</v>
      </c>
      <c r="O3222" s="23" t="s">
        <v>649</v>
      </c>
      <c r="P3222">
        <v>15325.380000000001</v>
      </c>
      <c r="Q3222" s="23" t="s">
        <v>184</v>
      </c>
    </row>
    <row r="3223" spans="1:17" x14ac:dyDescent="0.25">
      <c r="A3223" s="23" t="s">
        <v>1058</v>
      </c>
      <c r="B3223" s="23" t="s">
        <v>1059</v>
      </c>
      <c r="C3223" s="23" t="s">
        <v>176</v>
      </c>
      <c r="D3223" s="23" t="s">
        <v>767</v>
      </c>
      <c r="E3223" s="23" t="s">
        <v>768</v>
      </c>
      <c r="F3223">
        <v>6</v>
      </c>
      <c r="G3223" s="23" t="s">
        <v>177</v>
      </c>
      <c r="H3223">
        <v>0</v>
      </c>
      <c r="I3223">
        <v>0</v>
      </c>
      <c r="J3223" s="10">
        <v>0</v>
      </c>
      <c r="K3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223">
        <v>0</v>
      </c>
      <c r="M32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223">
        <v>0.7</v>
      </c>
      <c r="O3223" s="23" t="s">
        <v>221</v>
      </c>
      <c r="P3223">
        <v>4.1999999999999993</v>
      </c>
      <c r="Q3223" s="23" t="s">
        <v>222</v>
      </c>
    </row>
    <row r="3224" spans="1:17" x14ac:dyDescent="0.25">
      <c r="A3224" s="23" t="s">
        <v>1147</v>
      </c>
      <c r="B3224" s="23" t="s">
        <v>1145</v>
      </c>
      <c r="C3224" s="23" t="s">
        <v>176</v>
      </c>
      <c r="D3224" s="23" t="s">
        <v>109</v>
      </c>
      <c r="E3224" s="23" t="s">
        <v>110</v>
      </c>
      <c r="F3224">
        <v>1</v>
      </c>
      <c r="G3224" s="23" t="s">
        <v>177</v>
      </c>
      <c r="H3224">
        <v>0</v>
      </c>
      <c r="I3224">
        <v>0</v>
      </c>
      <c r="J3224" s="10">
        <v>5.5699999999999843</v>
      </c>
      <c r="K3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224">
        <v>0</v>
      </c>
      <c r="M32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3224">
        <v>1416.67</v>
      </c>
      <c r="O3224" s="23" t="s">
        <v>224</v>
      </c>
      <c r="P3224">
        <v>1416.67</v>
      </c>
      <c r="Q3224" s="23" t="s">
        <v>182</v>
      </c>
    </row>
    <row r="3225" spans="1:17" x14ac:dyDescent="0.25">
      <c r="A3225" s="23" t="s">
        <v>1055</v>
      </c>
      <c r="B3225" s="23" t="s">
        <v>1056</v>
      </c>
      <c r="C3225" s="23" t="s">
        <v>176</v>
      </c>
      <c r="D3225" s="23" t="s">
        <v>121</v>
      </c>
      <c r="E3225" s="23" t="s">
        <v>312</v>
      </c>
      <c r="F3225">
        <v>2</v>
      </c>
      <c r="G3225" s="23" t="s">
        <v>177</v>
      </c>
      <c r="H3225">
        <v>0</v>
      </c>
      <c r="I3225">
        <v>24</v>
      </c>
      <c r="J3225" s="10">
        <v>18.499999999999972</v>
      </c>
      <c r="K3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3225">
        <v>0</v>
      </c>
      <c r="M32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3225">
        <v>120</v>
      </c>
      <c r="O3225" s="23" t="s">
        <v>242</v>
      </c>
      <c r="P3225">
        <v>240</v>
      </c>
      <c r="Q3225" s="23" t="s">
        <v>184</v>
      </c>
    </row>
    <row r="3226" spans="1:17" x14ac:dyDescent="0.25">
      <c r="A3226" s="23" t="s">
        <v>1147</v>
      </c>
      <c r="B3226" s="23" t="s">
        <v>1145</v>
      </c>
      <c r="C3226" s="23" t="s">
        <v>176</v>
      </c>
      <c r="D3226" s="23" t="s">
        <v>387</v>
      </c>
      <c r="E3226" s="23" t="s">
        <v>614</v>
      </c>
      <c r="F3226">
        <v>1</v>
      </c>
      <c r="G3226" s="23" t="s">
        <v>183</v>
      </c>
      <c r="H3226">
        <v>0</v>
      </c>
      <c r="I3226">
        <v>15.9</v>
      </c>
      <c r="J3226" s="10">
        <v>39.329999999999977</v>
      </c>
      <c r="K3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226">
        <v>11.895</v>
      </c>
      <c r="M32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6">
        <v>641.03</v>
      </c>
      <c r="O3226" s="23" t="s">
        <v>224</v>
      </c>
      <c r="P3226">
        <v>641.03</v>
      </c>
      <c r="Q3226" s="23" t="s">
        <v>182</v>
      </c>
    </row>
    <row r="3227" spans="1:17" x14ac:dyDescent="0.25">
      <c r="A3227" s="23" t="s">
        <v>1058</v>
      </c>
      <c r="B3227" s="23" t="s">
        <v>1059</v>
      </c>
      <c r="C3227" s="23" t="s">
        <v>176</v>
      </c>
      <c r="D3227" s="23" t="s">
        <v>837</v>
      </c>
      <c r="E3227" s="23" t="s">
        <v>838</v>
      </c>
      <c r="F3227">
        <v>120</v>
      </c>
      <c r="G3227" s="23" t="s">
        <v>180</v>
      </c>
      <c r="H3227">
        <v>0</v>
      </c>
      <c r="I3227">
        <v>0</v>
      </c>
      <c r="J3227" s="10">
        <v>0</v>
      </c>
      <c r="K3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227">
        <v>0</v>
      </c>
      <c r="M32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7">
        <v>0</v>
      </c>
      <c r="O3227" s="23"/>
      <c r="P3227">
        <v>0</v>
      </c>
      <c r="Q3227" s="23" t="s">
        <v>185</v>
      </c>
    </row>
    <row r="3228" spans="1:17" x14ac:dyDescent="0.25">
      <c r="A3228" s="23" t="s">
        <v>1055</v>
      </c>
      <c r="B3228" s="23" t="s">
        <v>1056</v>
      </c>
      <c r="C3228" s="23" t="s">
        <v>176</v>
      </c>
      <c r="D3228" s="23" t="s">
        <v>837</v>
      </c>
      <c r="E3228" s="23" t="s">
        <v>838</v>
      </c>
      <c r="F3228">
        <v>20</v>
      </c>
      <c r="G3228" s="23" t="s">
        <v>180</v>
      </c>
      <c r="H3228">
        <v>0</v>
      </c>
      <c r="I3228">
        <v>0</v>
      </c>
      <c r="J3228" s="10">
        <v>0</v>
      </c>
      <c r="K3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228">
        <v>0</v>
      </c>
      <c r="M32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8">
        <v>0</v>
      </c>
      <c r="O3228" s="23"/>
      <c r="P3228">
        <v>0</v>
      </c>
      <c r="Q3228" s="23" t="s">
        <v>185</v>
      </c>
    </row>
    <row r="3229" spans="1:17" x14ac:dyDescent="0.25">
      <c r="A3229" s="23" t="s">
        <v>1099</v>
      </c>
      <c r="B3229" s="23" t="s">
        <v>1056</v>
      </c>
      <c r="C3229" s="23" t="s">
        <v>176</v>
      </c>
      <c r="D3229" s="23" t="s">
        <v>837</v>
      </c>
      <c r="E3229" s="23" t="s">
        <v>838</v>
      </c>
      <c r="F3229">
        <v>20</v>
      </c>
      <c r="G3229" s="23" t="s">
        <v>180</v>
      </c>
      <c r="H3229">
        <v>0</v>
      </c>
      <c r="I3229">
        <v>0</v>
      </c>
      <c r="J3229" s="10">
        <v>0</v>
      </c>
      <c r="K3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229">
        <v>0</v>
      </c>
      <c r="M32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29">
        <v>0</v>
      </c>
      <c r="O3229" s="23"/>
      <c r="P3229">
        <v>0</v>
      </c>
      <c r="Q3229" s="23" t="s">
        <v>185</v>
      </c>
    </row>
    <row r="3230" spans="1:17" x14ac:dyDescent="0.25">
      <c r="A3230" s="23" t="s">
        <v>1058</v>
      </c>
      <c r="B3230" s="23" t="s">
        <v>1059</v>
      </c>
      <c r="C3230" s="23" t="s">
        <v>176</v>
      </c>
      <c r="D3230" s="23" t="s">
        <v>320</v>
      </c>
      <c r="E3230" s="23" t="s">
        <v>321</v>
      </c>
      <c r="F3230">
        <v>0.13</v>
      </c>
      <c r="G3230" s="23" t="s">
        <v>187</v>
      </c>
      <c r="H3230">
        <v>0</v>
      </c>
      <c r="I3230">
        <v>0</v>
      </c>
      <c r="J3230" s="10">
        <v>4.543000000000017</v>
      </c>
      <c r="K3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3230">
        <v>0</v>
      </c>
      <c r="M32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3230">
        <v>19500</v>
      </c>
      <c r="O3230" s="23" t="s">
        <v>763</v>
      </c>
      <c r="P3230">
        <v>2535</v>
      </c>
      <c r="Q3230" s="23" t="s">
        <v>182</v>
      </c>
    </row>
    <row r="3231" spans="1:17" x14ac:dyDescent="0.25">
      <c r="A3231" s="23" t="s">
        <v>1055</v>
      </c>
      <c r="B3231" s="23" t="s">
        <v>1056</v>
      </c>
      <c r="C3231" s="23" t="s">
        <v>176</v>
      </c>
      <c r="D3231" s="23" t="s">
        <v>320</v>
      </c>
      <c r="E3231" s="23" t="s">
        <v>321</v>
      </c>
      <c r="F3231">
        <v>0.105</v>
      </c>
      <c r="G3231" s="23" t="s">
        <v>187</v>
      </c>
      <c r="H3231">
        <v>0.105</v>
      </c>
      <c r="I3231">
        <v>0</v>
      </c>
      <c r="J3231" s="10">
        <v>4.543000000000017</v>
      </c>
      <c r="K3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3231">
        <v>0</v>
      </c>
      <c r="M32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3231">
        <v>19500</v>
      </c>
      <c r="O3231" s="23" t="s">
        <v>763</v>
      </c>
      <c r="P3231">
        <v>2047.5</v>
      </c>
      <c r="Q3231" s="23" t="s">
        <v>182</v>
      </c>
    </row>
    <row r="3232" spans="1:17" x14ac:dyDescent="0.25">
      <c r="A3232" s="23" t="s">
        <v>1100</v>
      </c>
      <c r="B3232" s="23" t="s">
        <v>1101</v>
      </c>
      <c r="C3232" s="23" t="s">
        <v>176</v>
      </c>
      <c r="D3232" s="23" t="s">
        <v>387</v>
      </c>
      <c r="E3232" s="23" t="s">
        <v>614</v>
      </c>
      <c r="F3232">
        <v>1</v>
      </c>
      <c r="G3232" s="23" t="s">
        <v>183</v>
      </c>
      <c r="H3232">
        <v>0</v>
      </c>
      <c r="I3232">
        <v>15.9</v>
      </c>
      <c r="J3232" s="10">
        <v>39.329999999999977</v>
      </c>
      <c r="K3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232">
        <v>11.895</v>
      </c>
      <c r="M32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2">
        <v>641.03</v>
      </c>
      <c r="O3232" s="23" t="s">
        <v>224</v>
      </c>
      <c r="P3232">
        <v>641.03</v>
      </c>
      <c r="Q3232" s="23" t="s">
        <v>182</v>
      </c>
    </row>
    <row r="3233" spans="1:17" x14ac:dyDescent="0.25">
      <c r="A3233" s="23" t="s">
        <v>1149</v>
      </c>
      <c r="B3233" s="23" t="s">
        <v>1145</v>
      </c>
      <c r="C3233" s="23" t="s">
        <v>176</v>
      </c>
      <c r="D3233" s="23" t="s">
        <v>203</v>
      </c>
      <c r="E3233" s="23" t="s">
        <v>204</v>
      </c>
      <c r="F3233">
        <v>0.10100000000000001</v>
      </c>
      <c r="G3233" s="23" t="s">
        <v>180</v>
      </c>
      <c r="H3233">
        <v>0</v>
      </c>
      <c r="I3233">
        <v>50</v>
      </c>
      <c r="J3233" s="10">
        <v>5.5511151231257827E-17</v>
      </c>
      <c r="K3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233">
        <v>0</v>
      </c>
      <c r="M32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3">
        <v>10.61</v>
      </c>
      <c r="O3233" s="23" t="s">
        <v>237</v>
      </c>
      <c r="P3233">
        <v>1.07161</v>
      </c>
      <c r="Q3233" s="23" t="s">
        <v>222</v>
      </c>
    </row>
    <row r="3234" spans="1:17" x14ac:dyDescent="0.25">
      <c r="A3234" s="23" t="s">
        <v>1144</v>
      </c>
      <c r="B3234" s="23" t="s">
        <v>1145</v>
      </c>
      <c r="C3234" s="23" t="s">
        <v>176</v>
      </c>
      <c r="D3234" s="23" t="s">
        <v>203</v>
      </c>
      <c r="E3234" s="23" t="s">
        <v>204</v>
      </c>
      <c r="F3234">
        <v>0.10100000000000001</v>
      </c>
      <c r="G3234" s="23" t="s">
        <v>180</v>
      </c>
      <c r="H3234">
        <v>0</v>
      </c>
      <c r="I3234">
        <v>50</v>
      </c>
      <c r="J3234" s="10">
        <v>5.5511151231257827E-17</v>
      </c>
      <c r="K3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234">
        <v>0</v>
      </c>
      <c r="M32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4">
        <v>10.61</v>
      </c>
      <c r="O3234" s="23" t="s">
        <v>237</v>
      </c>
      <c r="P3234">
        <v>1.07161</v>
      </c>
      <c r="Q3234" s="23" t="s">
        <v>222</v>
      </c>
    </row>
    <row r="3235" spans="1:17" x14ac:dyDescent="0.25">
      <c r="A3235" s="23" t="s">
        <v>1146</v>
      </c>
      <c r="B3235" s="23" t="s">
        <v>1145</v>
      </c>
      <c r="C3235" s="23" t="s">
        <v>176</v>
      </c>
      <c r="D3235" s="23" t="s">
        <v>203</v>
      </c>
      <c r="E3235" s="23" t="s">
        <v>204</v>
      </c>
      <c r="F3235">
        <v>0.10100000000000001</v>
      </c>
      <c r="G3235" s="23" t="s">
        <v>180</v>
      </c>
      <c r="H3235">
        <v>0</v>
      </c>
      <c r="I3235">
        <v>50</v>
      </c>
      <c r="J3235" s="10">
        <v>5.5511151231257827E-17</v>
      </c>
      <c r="K3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235">
        <v>0</v>
      </c>
      <c r="M32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5">
        <v>10.61</v>
      </c>
      <c r="O3235" s="23" t="s">
        <v>237</v>
      </c>
      <c r="P3235">
        <v>1.07161</v>
      </c>
      <c r="Q3235" s="23" t="s">
        <v>222</v>
      </c>
    </row>
    <row r="3236" spans="1:17" x14ac:dyDescent="0.25">
      <c r="A3236" s="23" t="s">
        <v>1146</v>
      </c>
      <c r="B3236" s="23" t="s">
        <v>1145</v>
      </c>
      <c r="C3236" s="23" t="s">
        <v>176</v>
      </c>
      <c r="D3236" s="23" t="s">
        <v>440</v>
      </c>
      <c r="E3236" s="23" t="s">
        <v>441</v>
      </c>
      <c r="F3236">
        <v>1</v>
      </c>
      <c r="G3236" s="23" t="s">
        <v>177</v>
      </c>
      <c r="H3236">
        <v>0</v>
      </c>
      <c r="I3236">
        <v>30</v>
      </c>
      <c r="J3236" s="10">
        <v>3</v>
      </c>
      <c r="K3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36">
        <v>0</v>
      </c>
      <c r="M32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6">
        <v>372.91</v>
      </c>
      <c r="O3236" s="23" t="s">
        <v>637</v>
      </c>
      <c r="P3236">
        <v>372.91</v>
      </c>
      <c r="Q3236" s="23" t="s">
        <v>179</v>
      </c>
    </row>
    <row r="3237" spans="1:17" x14ac:dyDescent="0.25">
      <c r="A3237" s="23" t="s">
        <v>1144</v>
      </c>
      <c r="B3237" s="23" t="s">
        <v>1145</v>
      </c>
      <c r="C3237" s="23" t="s">
        <v>176</v>
      </c>
      <c r="D3237" s="23" t="s">
        <v>444</v>
      </c>
      <c r="E3237" s="23" t="s">
        <v>445</v>
      </c>
      <c r="F3237">
        <v>1</v>
      </c>
      <c r="G3237" s="23" t="s">
        <v>177</v>
      </c>
      <c r="H3237">
        <v>0</v>
      </c>
      <c r="I3237">
        <v>27</v>
      </c>
      <c r="J3237" s="10">
        <v>3</v>
      </c>
      <c r="K3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237">
        <v>0</v>
      </c>
      <c r="M32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7">
        <v>372.91</v>
      </c>
      <c r="O3237" s="23" t="s">
        <v>637</v>
      </c>
      <c r="P3237">
        <v>372.91</v>
      </c>
      <c r="Q3237" s="23" t="s">
        <v>179</v>
      </c>
    </row>
    <row r="3238" spans="1:17" x14ac:dyDescent="0.25">
      <c r="A3238" s="23" t="s">
        <v>1146</v>
      </c>
      <c r="B3238" s="23" t="s">
        <v>1145</v>
      </c>
      <c r="C3238" s="23" t="s">
        <v>176</v>
      </c>
      <c r="D3238" s="23" t="s">
        <v>444</v>
      </c>
      <c r="E3238" s="23" t="s">
        <v>445</v>
      </c>
      <c r="F3238">
        <v>1</v>
      </c>
      <c r="G3238" s="23" t="s">
        <v>177</v>
      </c>
      <c r="H3238">
        <v>0</v>
      </c>
      <c r="I3238">
        <v>27</v>
      </c>
      <c r="J3238" s="10">
        <v>3</v>
      </c>
      <c r="K3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238">
        <v>0</v>
      </c>
      <c r="M32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8">
        <v>372.91</v>
      </c>
      <c r="O3238" s="23" t="s">
        <v>637</v>
      </c>
      <c r="P3238">
        <v>372.91</v>
      </c>
      <c r="Q3238" s="23" t="s">
        <v>179</v>
      </c>
    </row>
    <row r="3239" spans="1:17" x14ac:dyDescent="0.25">
      <c r="A3239" s="23" t="s">
        <v>1147</v>
      </c>
      <c r="B3239" s="23" t="s">
        <v>1145</v>
      </c>
      <c r="C3239" s="23" t="s">
        <v>176</v>
      </c>
      <c r="D3239" s="23" t="s">
        <v>440</v>
      </c>
      <c r="E3239" s="23" t="s">
        <v>441</v>
      </c>
      <c r="F3239">
        <v>1</v>
      </c>
      <c r="G3239" s="23" t="s">
        <v>177</v>
      </c>
      <c r="H3239">
        <v>0</v>
      </c>
      <c r="I3239">
        <v>30</v>
      </c>
      <c r="J3239" s="10">
        <v>3</v>
      </c>
      <c r="K3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39">
        <v>0</v>
      </c>
      <c r="M32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39">
        <v>372.91</v>
      </c>
      <c r="O3239" s="23" t="s">
        <v>637</v>
      </c>
      <c r="P3239">
        <v>372.91</v>
      </c>
      <c r="Q3239" s="23" t="s">
        <v>179</v>
      </c>
    </row>
    <row r="3240" spans="1:17" x14ac:dyDescent="0.25">
      <c r="A3240" s="23" t="s">
        <v>1148</v>
      </c>
      <c r="B3240" s="23" t="s">
        <v>1054</v>
      </c>
      <c r="C3240" s="23" t="s">
        <v>176</v>
      </c>
      <c r="D3240" s="23" t="s">
        <v>440</v>
      </c>
      <c r="E3240" s="23" t="s">
        <v>441</v>
      </c>
      <c r="F3240">
        <v>1</v>
      </c>
      <c r="G3240" s="23" t="s">
        <v>177</v>
      </c>
      <c r="H3240">
        <v>0</v>
      </c>
      <c r="I3240">
        <v>30</v>
      </c>
      <c r="J3240" s="10">
        <v>3</v>
      </c>
      <c r="K3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40">
        <v>0</v>
      </c>
      <c r="M32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0">
        <v>372.91</v>
      </c>
      <c r="O3240" s="23" t="s">
        <v>637</v>
      </c>
      <c r="P3240">
        <v>372.91</v>
      </c>
      <c r="Q3240" s="23" t="s">
        <v>179</v>
      </c>
    </row>
    <row r="3241" spans="1:17" x14ac:dyDescent="0.25">
      <c r="A3241" s="23" t="s">
        <v>1147</v>
      </c>
      <c r="B3241" s="23" t="s">
        <v>1145</v>
      </c>
      <c r="C3241" s="23" t="s">
        <v>176</v>
      </c>
      <c r="D3241" s="23" t="s">
        <v>444</v>
      </c>
      <c r="E3241" s="23" t="s">
        <v>445</v>
      </c>
      <c r="F3241">
        <v>1</v>
      </c>
      <c r="G3241" s="23" t="s">
        <v>177</v>
      </c>
      <c r="H3241">
        <v>0</v>
      </c>
      <c r="I3241">
        <v>27</v>
      </c>
      <c r="J3241" s="10">
        <v>3</v>
      </c>
      <c r="K3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241">
        <v>0</v>
      </c>
      <c r="M32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1">
        <v>372.91</v>
      </c>
      <c r="O3241" s="23" t="s">
        <v>637</v>
      </c>
      <c r="P3241">
        <v>372.91</v>
      </c>
      <c r="Q3241" s="23" t="s">
        <v>179</v>
      </c>
    </row>
    <row r="3242" spans="1:17" x14ac:dyDescent="0.25">
      <c r="A3242" s="23" t="s">
        <v>1149</v>
      </c>
      <c r="B3242" s="23" t="s">
        <v>1145</v>
      </c>
      <c r="C3242" s="23" t="s">
        <v>176</v>
      </c>
      <c r="D3242" s="23" t="s">
        <v>451</v>
      </c>
      <c r="E3242" s="23" t="s">
        <v>625</v>
      </c>
      <c r="F3242">
        <v>2</v>
      </c>
      <c r="G3242" s="23" t="s">
        <v>177</v>
      </c>
      <c r="H3242">
        <v>0</v>
      </c>
      <c r="I3242">
        <v>10</v>
      </c>
      <c r="J3242" s="10">
        <v>20</v>
      </c>
      <c r="K3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242">
        <v>0</v>
      </c>
      <c r="M32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3242">
        <v>14946.25</v>
      </c>
      <c r="O3242" s="23" t="s">
        <v>626</v>
      </c>
      <c r="P3242">
        <v>29892.5</v>
      </c>
      <c r="Q3242" s="23" t="s">
        <v>179</v>
      </c>
    </row>
    <row r="3243" spans="1:17" x14ac:dyDescent="0.25">
      <c r="A3243" s="23" t="s">
        <v>1149</v>
      </c>
      <c r="B3243" s="23" t="s">
        <v>1145</v>
      </c>
      <c r="C3243" s="23" t="s">
        <v>176</v>
      </c>
      <c r="D3243" s="23" t="s">
        <v>440</v>
      </c>
      <c r="E3243" s="23" t="s">
        <v>441</v>
      </c>
      <c r="F3243">
        <v>1</v>
      </c>
      <c r="G3243" s="23" t="s">
        <v>177</v>
      </c>
      <c r="H3243">
        <v>0</v>
      </c>
      <c r="I3243">
        <v>30</v>
      </c>
      <c r="J3243" s="10">
        <v>3</v>
      </c>
      <c r="K3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43">
        <v>0</v>
      </c>
      <c r="M32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3">
        <v>372.91</v>
      </c>
      <c r="O3243" s="23" t="s">
        <v>637</v>
      </c>
      <c r="P3243">
        <v>372.91</v>
      </c>
      <c r="Q3243" s="23" t="s">
        <v>179</v>
      </c>
    </row>
    <row r="3244" spans="1:17" x14ac:dyDescent="0.25">
      <c r="A3244" s="23" t="s">
        <v>1149</v>
      </c>
      <c r="B3244" s="23" t="s">
        <v>1145</v>
      </c>
      <c r="C3244" s="23" t="s">
        <v>176</v>
      </c>
      <c r="D3244" s="23" t="s">
        <v>444</v>
      </c>
      <c r="E3244" s="23" t="s">
        <v>445</v>
      </c>
      <c r="F3244">
        <v>1</v>
      </c>
      <c r="G3244" s="23" t="s">
        <v>177</v>
      </c>
      <c r="H3244">
        <v>0</v>
      </c>
      <c r="I3244">
        <v>27</v>
      </c>
      <c r="J3244" s="10">
        <v>3</v>
      </c>
      <c r="K3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244">
        <v>0</v>
      </c>
      <c r="M32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4">
        <v>372.91</v>
      </c>
      <c r="O3244" s="23" t="s">
        <v>637</v>
      </c>
      <c r="P3244">
        <v>372.91</v>
      </c>
      <c r="Q3244" s="23" t="s">
        <v>179</v>
      </c>
    </row>
    <row r="3245" spans="1:17" x14ac:dyDescent="0.25">
      <c r="A3245" s="23" t="s">
        <v>1098</v>
      </c>
      <c r="B3245" s="23" t="s">
        <v>1053</v>
      </c>
      <c r="C3245" s="23" t="s">
        <v>176</v>
      </c>
      <c r="D3245" s="23" t="s">
        <v>451</v>
      </c>
      <c r="E3245" s="23" t="s">
        <v>625</v>
      </c>
      <c r="F3245">
        <v>2</v>
      </c>
      <c r="G3245" s="23" t="s">
        <v>177</v>
      </c>
      <c r="H3245">
        <v>0</v>
      </c>
      <c r="I3245">
        <v>10</v>
      </c>
      <c r="J3245" s="10">
        <v>20</v>
      </c>
      <c r="K3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245">
        <v>0</v>
      </c>
      <c r="M32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3245">
        <v>14946.25</v>
      </c>
      <c r="O3245" s="23" t="s">
        <v>626</v>
      </c>
      <c r="P3245">
        <v>29892.5</v>
      </c>
      <c r="Q3245" s="23" t="s">
        <v>179</v>
      </c>
    </row>
    <row r="3246" spans="1:17" x14ac:dyDescent="0.25">
      <c r="A3246" s="23" t="s">
        <v>1197</v>
      </c>
      <c r="B3246" s="23" t="s">
        <v>1198</v>
      </c>
      <c r="C3246" s="23" t="s">
        <v>176</v>
      </c>
      <c r="D3246" s="23" t="s">
        <v>451</v>
      </c>
      <c r="E3246" s="23" t="s">
        <v>625</v>
      </c>
      <c r="F3246">
        <v>2</v>
      </c>
      <c r="G3246" s="23" t="s">
        <v>177</v>
      </c>
      <c r="H3246">
        <v>0</v>
      </c>
      <c r="I3246">
        <v>10</v>
      </c>
      <c r="J3246" s="10">
        <v>20</v>
      </c>
      <c r="K3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246">
        <v>0</v>
      </c>
      <c r="M32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3246">
        <v>14946.25</v>
      </c>
      <c r="O3246" s="23" t="s">
        <v>626</v>
      </c>
      <c r="P3246">
        <v>29892.5</v>
      </c>
      <c r="Q3246" s="23" t="s">
        <v>179</v>
      </c>
    </row>
    <row r="3247" spans="1:17" x14ac:dyDescent="0.25">
      <c r="A3247" s="23" t="s">
        <v>1197</v>
      </c>
      <c r="B3247" s="23" t="s">
        <v>1198</v>
      </c>
      <c r="C3247" s="23" t="s">
        <v>176</v>
      </c>
      <c r="D3247" s="23" t="s">
        <v>440</v>
      </c>
      <c r="E3247" s="23" t="s">
        <v>441</v>
      </c>
      <c r="F3247">
        <v>1</v>
      </c>
      <c r="G3247" s="23" t="s">
        <v>177</v>
      </c>
      <c r="H3247">
        <v>0</v>
      </c>
      <c r="I3247">
        <v>30</v>
      </c>
      <c r="J3247" s="10">
        <v>3</v>
      </c>
      <c r="K3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47">
        <v>0</v>
      </c>
      <c r="M32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7">
        <v>372.91</v>
      </c>
      <c r="O3247" s="23" t="s">
        <v>637</v>
      </c>
      <c r="P3247">
        <v>372.91</v>
      </c>
      <c r="Q3247" s="23" t="s">
        <v>179</v>
      </c>
    </row>
    <row r="3248" spans="1:17" x14ac:dyDescent="0.25">
      <c r="A3248" s="23" t="s">
        <v>1098</v>
      </c>
      <c r="B3248" s="23" t="s">
        <v>1053</v>
      </c>
      <c r="C3248" s="23" t="s">
        <v>176</v>
      </c>
      <c r="D3248" s="23" t="s">
        <v>440</v>
      </c>
      <c r="E3248" s="23" t="s">
        <v>441</v>
      </c>
      <c r="F3248">
        <v>1</v>
      </c>
      <c r="G3248" s="23" t="s">
        <v>177</v>
      </c>
      <c r="H3248">
        <v>0</v>
      </c>
      <c r="I3248">
        <v>30</v>
      </c>
      <c r="J3248" s="10">
        <v>3</v>
      </c>
      <c r="K3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48">
        <v>0</v>
      </c>
      <c r="M32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8">
        <v>372.91</v>
      </c>
      <c r="O3248" s="23" t="s">
        <v>637</v>
      </c>
      <c r="P3248">
        <v>372.91</v>
      </c>
      <c r="Q3248" s="23" t="s">
        <v>179</v>
      </c>
    </row>
    <row r="3249" spans="1:17" x14ac:dyDescent="0.25">
      <c r="A3249" s="23" t="s">
        <v>1098</v>
      </c>
      <c r="B3249" s="23" t="s">
        <v>1053</v>
      </c>
      <c r="C3249" s="23" t="s">
        <v>176</v>
      </c>
      <c r="D3249" s="23" t="s">
        <v>444</v>
      </c>
      <c r="E3249" s="23" t="s">
        <v>445</v>
      </c>
      <c r="F3249">
        <v>1</v>
      </c>
      <c r="G3249" s="23" t="s">
        <v>177</v>
      </c>
      <c r="H3249">
        <v>0</v>
      </c>
      <c r="I3249">
        <v>27</v>
      </c>
      <c r="J3249" s="10">
        <v>3</v>
      </c>
      <c r="K3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249">
        <v>0</v>
      </c>
      <c r="M32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49">
        <v>372.91</v>
      </c>
      <c r="O3249" s="23" t="s">
        <v>637</v>
      </c>
      <c r="P3249">
        <v>372.91</v>
      </c>
      <c r="Q3249" s="23" t="s">
        <v>179</v>
      </c>
    </row>
    <row r="3250" spans="1:17" x14ac:dyDescent="0.25">
      <c r="A3250" s="23" t="s">
        <v>1143</v>
      </c>
      <c r="B3250" s="23" t="s">
        <v>1054</v>
      </c>
      <c r="C3250" s="23" t="s">
        <v>176</v>
      </c>
      <c r="D3250" s="23" t="s">
        <v>427</v>
      </c>
      <c r="E3250" s="23" t="s">
        <v>428</v>
      </c>
      <c r="F3250">
        <v>1</v>
      </c>
      <c r="G3250" s="23" t="s">
        <v>177</v>
      </c>
      <c r="H3250">
        <v>0</v>
      </c>
      <c r="I3250">
        <v>4</v>
      </c>
      <c r="J3250" s="10">
        <v>8</v>
      </c>
      <c r="K3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250">
        <v>9</v>
      </c>
      <c r="M32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0">
        <v>266.39999999999998</v>
      </c>
      <c r="O3250" s="23" t="s">
        <v>228</v>
      </c>
      <c r="P3250">
        <v>266.39999999999998</v>
      </c>
      <c r="Q3250" s="23" t="s">
        <v>222</v>
      </c>
    </row>
    <row r="3251" spans="1:17" x14ac:dyDescent="0.25">
      <c r="A3251" s="23" t="s">
        <v>1142</v>
      </c>
      <c r="B3251" s="23" t="s">
        <v>1054</v>
      </c>
      <c r="C3251" s="23" t="s">
        <v>176</v>
      </c>
      <c r="D3251" s="23" t="s">
        <v>440</v>
      </c>
      <c r="E3251" s="23" t="s">
        <v>441</v>
      </c>
      <c r="F3251">
        <v>1</v>
      </c>
      <c r="G3251" s="23" t="s">
        <v>177</v>
      </c>
      <c r="H3251">
        <v>0</v>
      </c>
      <c r="I3251">
        <v>30</v>
      </c>
      <c r="J3251" s="10">
        <v>3</v>
      </c>
      <c r="K3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251">
        <v>0</v>
      </c>
      <c r="M32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1">
        <v>372.91</v>
      </c>
      <c r="O3251" s="23" t="s">
        <v>637</v>
      </c>
      <c r="P3251">
        <v>372.91</v>
      </c>
      <c r="Q3251" s="23" t="s">
        <v>179</v>
      </c>
    </row>
    <row r="3252" spans="1:17" x14ac:dyDescent="0.25">
      <c r="A3252" s="23" t="s">
        <v>1142</v>
      </c>
      <c r="B3252" s="23" t="s">
        <v>1054</v>
      </c>
      <c r="C3252" s="23" t="s">
        <v>176</v>
      </c>
      <c r="D3252" s="23" t="s">
        <v>741</v>
      </c>
      <c r="E3252" s="23" t="s">
        <v>742</v>
      </c>
      <c r="F3252">
        <v>1</v>
      </c>
      <c r="G3252" s="23" t="s">
        <v>177</v>
      </c>
      <c r="H3252">
        <v>0</v>
      </c>
      <c r="I3252">
        <v>19</v>
      </c>
      <c r="J3252" s="10">
        <v>15</v>
      </c>
      <c r="K3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252">
        <v>0</v>
      </c>
      <c r="M32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2">
        <v>41.67</v>
      </c>
      <c r="O3252" s="23" t="s">
        <v>668</v>
      </c>
      <c r="P3252">
        <v>41.67</v>
      </c>
      <c r="Q3252" s="23" t="s">
        <v>178</v>
      </c>
    </row>
    <row r="3253" spans="1:17" x14ac:dyDescent="0.25">
      <c r="A3253" s="23" t="s">
        <v>1146</v>
      </c>
      <c r="B3253" s="23" t="s">
        <v>1145</v>
      </c>
      <c r="C3253" s="23" t="s">
        <v>176</v>
      </c>
      <c r="D3253" s="23" t="s">
        <v>506</v>
      </c>
      <c r="E3253" s="23" t="s">
        <v>507</v>
      </c>
      <c r="F3253">
        <v>1</v>
      </c>
      <c r="G3253" s="23" t="s">
        <v>177</v>
      </c>
      <c r="H3253">
        <v>0</v>
      </c>
      <c r="I3253">
        <v>8</v>
      </c>
      <c r="J3253" s="10">
        <v>9</v>
      </c>
      <c r="K3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3253">
        <v>36</v>
      </c>
      <c r="M32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3">
        <v>101.4</v>
      </c>
      <c r="O3253" s="23" t="s">
        <v>1065</v>
      </c>
      <c r="P3253">
        <v>101.4</v>
      </c>
      <c r="Q3253" s="23" t="s">
        <v>222</v>
      </c>
    </row>
    <row r="3254" spans="1:17" x14ac:dyDescent="0.25">
      <c r="A3254" s="23" t="s">
        <v>1144</v>
      </c>
      <c r="B3254" s="23" t="s">
        <v>1145</v>
      </c>
      <c r="C3254" s="23" t="s">
        <v>176</v>
      </c>
      <c r="D3254" s="23" t="s">
        <v>506</v>
      </c>
      <c r="E3254" s="23" t="s">
        <v>507</v>
      </c>
      <c r="F3254">
        <v>1</v>
      </c>
      <c r="G3254" s="23" t="s">
        <v>177</v>
      </c>
      <c r="H3254">
        <v>0</v>
      </c>
      <c r="I3254">
        <v>8</v>
      </c>
      <c r="J3254" s="10">
        <v>9</v>
      </c>
      <c r="K3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3254">
        <v>36</v>
      </c>
      <c r="M32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4">
        <v>101.4</v>
      </c>
      <c r="O3254" s="23" t="s">
        <v>1065</v>
      </c>
      <c r="P3254">
        <v>101.4</v>
      </c>
      <c r="Q3254" s="23" t="s">
        <v>222</v>
      </c>
    </row>
    <row r="3255" spans="1:17" x14ac:dyDescent="0.25">
      <c r="A3255" s="23" t="s">
        <v>1149</v>
      </c>
      <c r="B3255" s="23" t="s">
        <v>1145</v>
      </c>
      <c r="C3255" s="23" t="s">
        <v>176</v>
      </c>
      <c r="D3255" s="23" t="s">
        <v>1160</v>
      </c>
      <c r="E3255" s="23" t="s">
        <v>1161</v>
      </c>
      <c r="F3255">
        <v>6</v>
      </c>
      <c r="G3255" s="23" t="s">
        <v>177</v>
      </c>
      <c r="H3255">
        <v>0</v>
      </c>
      <c r="I3255">
        <v>0</v>
      </c>
      <c r="J3255" s="10">
        <v>0</v>
      </c>
      <c r="K3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3255">
        <v>0</v>
      </c>
      <c r="M32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3255">
        <v>0.36</v>
      </c>
      <c r="O3255" s="23" t="s">
        <v>883</v>
      </c>
      <c r="P3255">
        <v>2.16</v>
      </c>
      <c r="Q3255" s="23" t="s">
        <v>181</v>
      </c>
    </row>
    <row r="3256" spans="1:17" x14ac:dyDescent="0.25">
      <c r="A3256" s="23" t="s">
        <v>1197</v>
      </c>
      <c r="B3256" s="23" t="s">
        <v>1198</v>
      </c>
      <c r="C3256" s="23" t="s">
        <v>176</v>
      </c>
      <c r="D3256" s="23" t="s">
        <v>26</v>
      </c>
      <c r="E3256" s="23" t="s">
        <v>27</v>
      </c>
      <c r="F3256">
        <v>1</v>
      </c>
      <c r="G3256" s="23" t="s">
        <v>177</v>
      </c>
      <c r="H3256">
        <v>0</v>
      </c>
      <c r="I3256">
        <v>24</v>
      </c>
      <c r="J3256" s="10">
        <v>4</v>
      </c>
      <c r="K3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256">
        <v>0</v>
      </c>
      <c r="M32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6">
        <v>625</v>
      </c>
      <c r="O3256" s="23" t="s">
        <v>227</v>
      </c>
      <c r="P3256">
        <v>625</v>
      </c>
      <c r="Q3256" s="23" t="s">
        <v>181</v>
      </c>
    </row>
    <row r="3257" spans="1:17" x14ac:dyDescent="0.25">
      <c r="A3257" s="23" t="s">
        <v>1197</v>
      </c>
      <c r="B3257" s="23" t="s">
        <v>1198</v>
      </c>
      <c r="C3257" s="23" t="s">
        <v>176</v>
      </c>
      <c r="D3257" s="23" t="s">
        <v>470</v>
      </c>
      <c r="E3257" s="23" t="s">
        <v>471</v>
      </c>
      <c r="F3257">
        <v>1</v>
      </c>
      <c r="G3257" s="23" t="s">
        <v>177</v>
      </c>
      <c r="H3257">
        <v>0</v>
      </c>
      <c r="I3257">
        <v>39</v>
      </c>
      <c r="J3257" s="10">
        <v>2</v>
      </c>
      <c r="K3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257">
        <v>0</v>
      </c>
      <c r="M32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7">
        <v>65</v>
      </c>
      <c r="O3257" s="23" t="s">
        <v>822</v>
      </c>
      <c r="P3257">
        <v>65</v>
      </c>
      <c r="Q3257" s="23" t="s">
        <v>179</v>
      </c>
    </row>
    <row r="3258" spans="1:17" x14ac:dyDescent="0.25">
      <c r="A3258" s="23" t="s">
        <v>1062</v>
      </c>
      <c r="B3258" s="23" t="s">
        <v>1053</v>
      </c>
      <c r="C3258" s="23" t="s">
        <v>176</v>
      </c>
      <c r="D3258" s="23" t="s">
        <v>470</v>
      </c>
      <c r="E3258" s="23" t="s">
        <v>471</v>
      </c>
      <c r="F3258">
        <v>1</v>
      </c>
      <c r="G3258" s="23" t="s">
        <v>177</v>
      </c>
      <c r="H3258">
        <v>0</v>
      </c>
      <c r="I3258">
        <v>39</v>
      </c>
      <c r="J3258" s="10">
        <v>2</v>
      </c>
      <c r="K3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258">
        <v>0</v>
      </c>
      <c r="M32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58">
        <v>65</v>
      </c>
      <c r="O3258" s="23" t="s">
        <v>822</v>
      </c>
      <c r="P3258">
        <v>65</v>
      </c>
      <c r="Q3258" s="23" t="s">
        <v>179</v>
      </c>
    </row>
    <row r="3259" spans="1:17" x14ac:dyDescent="0.25">
      <c r="A3259" s="23" t="s">
        <v>1197</v>
      </c>
      <c r="B3259" s="23" t="s">
        <v>1198</v>
      </c>
      <c r="C3259" s="23" t="s">
        <v>176</v>
      </c>
      <c r="D3259" s="23" t="s">
        <v>337</v>
      </c>
      <c r="E3259" s="23" t="s">
        <v>624</v>
      </c>
      <c r="F3259">
        <v>1</v>
      </c>
      <c r="G3259" s="23" t="s">
        <v>177</v>
      </c>
      <c r="H3259">
        <v>0</v>
      </c>
      <c r="I3259">
        <v>5</v>
      </c>
      <c r="J3259" s="10">
        <v>4</v>
      </c>
      <c r="K3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259">
        <v>0</v>
      </c>
      <c r="M32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3259">
        <v>1678.88</v>
      </c>
      <c r="O3259" s="23" t="s">
        <v>637</v>
      </c>
      <c r="P3259">
        <v>1678.88</v>
      </c>
      <c r="Q3259" s="23" t="s">
        <v>179</v>
      </c>
    </row>
    <row r="3260" spans="1:17" x14ac:dyDescent="0.25">
      <c r="A3260" s="23" t="s">
        <v>1150</v>
      </c>
      <c r="B3260" s="23" t="s">
        <v>1145</v>
      </c>
      <c r="C3260" s="23" t="s">
        <v>176</v>
      </c>
      <c r="D3260" s="23" t="s">
        <v>452</v>
      </c>
      <c r="E3260" s="23" t="s">
        <v>453</v>
      </c>
      <c r="F3260">
        <v>1</v>
      </c>
      <c r="G3260" s="23" t="s">
        <v>177</v>
      </c>
      <c r="H3260">
        <v>0</v>
      </c>
      <c r="I3260">
        <v>6</v>
      </c>
      <c r="J3260" s="10">
        <v>7</v>
      </c>
      <c r="K3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260">
        <v>6</v>
      </c>
      <c r="M32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3260">
        <v>1600</v>
      </c>
      <c r="O3260" s="23" t="s">
        <v>242</v>
      </c>
      <c r="P3260">
        <v>1600</v>
      </c>
      <c r="Q3260" s="23" t="s">
        <v>179</v>
      </c>
    </row>
    <row r="3261" spans="1:17" x14ac:dyDescent="0.25">
      <c r="A3261" s="23" t="s">
        <v>1150</v>
      </c>
      <c r="B3261" s="23" t="s">
        <v>1145</v>
      </c>
      <c r="C3261" s="23" t="s">
        <v>176</v>
      </c>
      <c r="D3261" s="23" t="s">
        <v>803</v>
      </c>
      <c r="E3261" s="23" t="s">
        <v>823</v>
      </c>
      <c r="F3261">
        <v>1</v>
      </c>
      <c r="G3261" s="23" t="s">
        <v>177</v>
      </c>
      <c r="H3261">
        <v>0</v>
      </c>
      <c r="I3261">
        <v>20.5</v>
      </c>
      <c r="J3261" s="10">
        <v>5</v>
      </c>
      <c r="K3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3261">
        <v>0</v>
      </c>
      <c r="M32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1">
        <v>175</v>
      </c>
      <c r="O3261" s="23" t="s">
        <v>218</v>
      </c>
      <c r="P3261">
        <v>175</v>
      </c>
      <c r="Q3261" s="23" t="s">
        <v>181</v>
      </c>
    </row>
    <row r="3262" spans="1:17" x14ac:dyDescent="0.25">
      <c r="A3262" s="23" t="s">
        <v>1150</v>
      </c>
      <c r="B3262" s="23" t="s">
        <v>1145</v>
      </c>
      <c r="C3262" s="23" t="s">
        <v>176</v>
      </c>
      <c r="D3262" s="23" t="s">
        <v>737</v>
      </c>
      <c r="E3262" s="23" t="s">
        <v>738</v>
      </c>
      <c r="F3262">
        <v>1</v>
      </c>
      <c r="G3262" s="23" t="s">
        <v>177</v>
      </c>
      <c r="H3262">
        <v>0</v>
      </c>
      <c r="I3262">
        <v>14</v>
      </c>
      <c r="J3262" s="10">
        <v>15</v>
      </c>
      <c r="K3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62">
        <v>0</v>
      </c>
      <c r="M32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2">
        <v>400</v>
      </c>
      <c r="O3262" s="23" t="s">
        <v>668</v>
      </c>
      <c r="P3262">
        <v>400</v>
      </c>
      <c r="Q3262" s="23" t="s">
        <v>178</v>
      </c>
    </row>
    <row r="3263" spans="1:17" x14ac:dyDescent="0.25">
      <c r="A3263" s="23" t="s">
        <v>1150</v>
      </c>
      <c r="B3263" s="23" t="s">
        <v>1145</v>
      </c>
      <c r="C3263" s="23" t="s">
        <v>176</v>
      </c>
      <c r="D3263" s="23" t="s">
        <v>884</v>
      </c>
      <c r="E3263" s="23" t="s">
        <v>885</v>
      </c>
      <c r="F3263">
        <v>9</v>
      </c>
      <c r="G3263" s="23" t="s">
        <v>180</v>
      </c>
      <c r="H3263">
        <v>0</v>
      </c>
      <c r="I3263">
        <v>480</v>
      </c>
      <c r="J3263" s="10">
        <v>0</v>
      </c>
      <c r="K3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3263">
        <v>0</v>
      </c>
      <c r="M32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3">
        <v>4</v>
      </c>
      <c r="O3263" s="23"/>
      <c r="P3263">
        <v>36</v>
      </c>
      <c r="Q3263" s="23" t="s">
        <v>182</v>
      </c>
    </row>
    <row r="3264" spans="1:17" x14ac:dyDescent="0.25">
      <c r="A3264" s="23" t="s">
        <v>1150</v>
      </c>
      <c r="B3264" s="23" t="s">
        <v>1145</v>
      </c>
      <c r="C3264" s="23" t="s">
        <v>176</v>
      </c>
      <c r="D3264" s="23" t="s">
        <v>211</v>
      </c>
      <c r="E3264" s="23" t="s">
        <v>212</v>
      </c>
      <c r="F3264">
        <v>1</v>
      </c>
      <c r="G3264" s="23" t="s">
        <v>177</v>
      </c>
      <c r="H3264">
        <v>0</v>
      </c>
      <c r="I3264">
        <v>23</v>
      </c>
      <c r="J3264" s="10">
        <v>8</v>
      </c>
      <c r="K3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3264">
        <v>40</v>
      </c>
      <c r="M32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4">
        <v>312</v>
      </c>
      <c r="O3264" s="23" t="s">
        <v>218</v>
      </c>
      <c r="P3264">
        <v>312</v>
      </c>
      <c r="Q3264" s="23" t="s">
        <v>178</v>
      </c>
    </row>
    <row r="3265" spans="1:17" x14ac:dyDescent="0.25">
      <c r="A3265" s="23" t="s">
        <v>1150</v>
      </c>
      <c r="B3265" s="23" t="s">
        <v>1145</v>
      </c>
      <c r="C3265" s="23" t="s">
        <v>176</v>
      </c>
      <c r="D3265" s="23" t="s">
        <v>219</v>
      </c>
      <c r="E3265" s="23" t="s">
        <v>220</v>
      </c>
      <c r="F3265">
        <v>2</v>
      </c>
      <c r="G3265" s="23" t="s">
        <v>177</v>
      </c>
      <c r="H3265">
        <v>0</v>
      </c>
      <c r="I3265">
        <v>288</v>
      </c>
      <c r="J3265" s="10">
        <v>94</v>
      </c>
      <c r="K3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65">
        <v>0</v>
      </c>
      <c r="M32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5">
        <v>4</v>
      </c>
      <c r="O3265" s="23" t="s">
        <v>221</v>
      </c>
      <c r="P3265">
        <v>8</v>
      </c>
      <c r="Q3265" s="23" t="s">
        <v>222</v>
      </c>
    </row>
    <row r="3266" spans="1:17" x14ac:dyDescent="0.25">
      <c r="A3266" s="23" t="s">
        <v>1150</v>
      </c>
      <c r="B3266" s="23" t="s">
        <v>1145</v>
      </c>
      <c r="C3266" s="23" t="s">
        <v>176</v>
      </c>
      <c r="D3266" s="23" t="s">
        <v>442</v>
      </c>
      <c r="E3266" s="23" t="s">
        <v>443</v>
      </c>
      <c r="F3266">
        <v>1</v>
      </c>
      <c r="G3266" s="23" t="s">
        <v>177</v>
      </c>
      <c r="H3266">
        <v>0</v>
      </c>
      <c r="I3266">
        <v>25</v>
      </c>
      <c r="J3266" s="10">
        <v>3</v>
      </c>
      <c r="K3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66">
        <v>0</v>
      </c>
      <c r="M32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6">
        <v>360.05</v>
      </c>
      <c r="O3266" s="23" t="s">
        <v>637</v>
      </c>
      <c r="P3266">
        <v>360.05</v>
      </c>
      <c r="Q3266" s="23" t="s">
        <v>179</v>
      </c>
    </row>
    <row r="3267" spans="1:17" x14ac:dyDescent="0.25">
      <c r="A3267" s="23" t="s">
        <v>1098</v>
      </c>
      <c r="B3267" s="23" t="s">
        <v>1053</v>
      </c>
      <c r="C3267" s="23" t="s">
        <v>176</v>
      </c>
      <c r="D3267" s="23" t="s">
        <v>679</v>
      </c>
      <c r="E3267" s="23" t="s">
        <v>680</v>
      </c>
      <c r="F3267">
        <v>15</v>
      </c>
      <c r="G3267" s="23" t="s">
        <v>177</v>
      </c>
      <c r="H3267">
        <v>0</v>
      </c>
      <c r="I3267">
        <v>350</v>
      </c>
      <c r="J3267" s="10">
        <v>210</v>
      </c>
      <c r="K3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3267">
        <v>0</v>
      </c>
      <c r="M32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7">
        <v>4</v>
      </c>
      <c r="O3267" s="23" t="s">
        <v>227</v>
      </c>
      <c r="P3267">
        <v>60</v>
      </c>
      <c r="Q3267" s="23" t="s">
        <v>181</v>
      </c>
    </row>
    <row r="3268" spans="1:17" x14ac:dyDescent="0.25">
      <c r="A3268" s="23" t="s">
        <v>1094</v>
      </c>
      <c r="B3268" s="23" t="s">
        <v>1095</v>
      </c>
      <c r="C3268" s="23" t="s">
        <v>176</v>
      </c>
      <c r="D3268" s="23" t="s">
        <v>447</v>
      </c>
      <c r="E3268" s="23" t="s">
        <v>448</v>
      </c>
      <c r="F3268">
        <v>1</v>
      </c>
      <c r="G3268" s="23" t="s">
        <v>177</v>
      </c>
      <c r="H3268">
        <v>0</v>
      </c>
      <c r="I3268">
        <v>15</v>
      </c>
      <c r="J3268" s="10">
        <v>11</v>
      </c>
      <c r="K3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68">
        <v>0</v>
      </c>
      <c r="M32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8">
        <v>237.5</v>
      </c>
      <c r="O3268" s="23" t="s">
        <v>629</v>
      </c>
      <c r="P3268">
        <v>237.5</v>
      </c>
      <c r="Q3268" s="23" t="s">
        <v>181</v>
      </c>
    </row>
    <row r="3269" spans="1:17" x14ac:dyDescent="0.25">
      <c r="A3269" s="23" t="s">
        <v>1096</v>
      </c>
      <c r="B3269" s="23" t="s">
        <v>1053</v>
      </c>
      <c r="C3269" s="23" t="s">
        <v>176</v>
      </c>
      <c r="D3269" s="23" t="s">
        <v>884</v>
      </c>
      <c r="E3269" s="23" t="s">
        <v>885</v>
      </c>
      <c r="F3269">
        <v>9</v>
      </c>
      <c r="G3269" s="23" t="s">
        <v>180</v>
      </c>
      <c r="H3269">
        <v>0</v>
      </c>
      <c r="I3269">
        <v>480</v>
      </c>
      <c r="J3269" s="10">
        <v>0</v>
      </c>
      <c r="K3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3269">
        <v>0</v>
      </c>
      <c r="M32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69">
        <v>4</v>
      </c>
      <c r="O3269" s="23"/>
      <c r="P3269">
        <v>36</v>
      </c>
      <c r="Q3269" s="23" t="s">
        <v>182</v>
      </c>
    </row>
    <row r="3270" spans="1:17" x14ac:dyDescent="0.25">
      <c r="A3270" s="23" t="s">
        <v>1143</v>
      </c>
      <c r="B3270" s="23" t="s">
        <v>1054</v>
      </c>
      <c r="C3270" s="23" t="s">
        <v>176</v>
      </c>
      <c r="D3270" s="23" t="s">
        <v>679</v>
      </c>
      <c r="E3270" s="23" t="s">
        <v>680</v>
      </c>
      <c r="F3270">
        <v>15</v>
      </c>
      <c r="G3270" s="23" t="s">
        <v>177</v>
      </c>
      <c r="H3270">
        <v>0</v>
      </c>
      <c r="I3270">
        <v>350</v>
      </c>
      <c r="J3270" s="10">
        <v>210</v>
      </c>
      <c r="K3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3270">
        <v>0</v>
      </c>
      <c r="M32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0">
        <v>4</v>
      </c>
      <c r="O3270" s="23" t="s">
        <v>227</v>
      </c>
      <c r="P3270">
        <v>60</v>
      </c>
      <c r="Q3270" s="23" t="s">
        <v>181</v>
      </c>
    </row>
    <row r="3271" spans="1:17" x14ac:dyDescent="0.25">
      <c r="A3271" s="23" t="s">
        <v>1143</v>
      </c>
      <c r="B3271" s="23" t="s">
        <v>1054</v>
      </c>
      <c r="C3271" s="23" t="s">
        <v>176</v>
      </c>
      <c r="D3271" s="23" t="s">
        <v>211</v>
      </c>
      <c r="E3271" s="23" t="s">
        <v>212</v>
      </c>
      <c r="F3271">
        <v>1</v>
      </c>
      <c r="G3271" s="23" t="s">
        <v>177</v>
      </c>
      <c r="H3271">
        <v>0</v>
      </c>
      <c r="I3271">
        <v>23</v>
      </c>
      <c r="J3271" s="10">
        <v>8</v>
      </c>
      <c r="K3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3271">
        <v>40</v>
      </c>
      <c r="M32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1">
        <v>312</v>
      </c>
      <c r="O3271" s="23" t="s">
        <v>218</v>
      </c>
      <c r="P3271">
        <v>312</v>
      </c>
      <c r="Q3271" s="23" t="s">
        <v>178</v>
      </c>
    </row>
    <row r="3272" spans="1:17" x14ac:dyDescent="0.25">
      <c r="A3272" s="23" t="s">
        <v>1096</v>
      </c>
      <c r="B3272" s="23" t="s">
        <v>1053</v>
      </c>
      <c r="C3272" s="23" t="s">
        <v>176</v>
      </c>
      <c r="D3272" s="23" t="s">
        <v>219</v>
      </c>
      <c r="E3272" s="23" t="s">
        <v>220</v>
      </c>
      <c r="F3272">
        <v>2</v>
      </c>
      <c r="G3272" s="23" t="s">
        <v>177</v>
      </c>
      <c r="H3272">
        <v>0</v>
      </c>
      <c r="I3272">
        <v>288</v>
      </c>
      <c r="J3272" s="10">
        <v>94</v>
      </c>
      <c r="K3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72">
        <v>0</v>
      </c>
      <c r="M32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2">
        <v>4</v>
      </c>
      <c r="O3272" s="23" t="s">
        <v>221</v>
      </c>
      <c r="P3272">
        <v>8</v>
      </c>
      <c r="Q3272" s="23" t="s">
        <v>222</v>
      </c>
    </row>
    <row r="3273" spans="1:17" x14ac:dyDescent="0.25">
      <c r="A3273" s="23" t="s">
        <v>1094</v>
      </c>
      <c r="B3273" s="23" t="s">
        <v>1095</v>
      </c>
      <c r="C3273" s="23" t="s">
        <v>176</v>
      </c>
      <c r="D3273" s="23" t="s">
        <v>442</v>
      </c>
      <c r="E3273" s="23" t="s">
        <v>443</v>
      </c>
      <c r="F3273">
        <v>1</v>
      </c>
      <c r="G3273" s="23" t="s">
        <v>177</v>
      </c>
      <c r="H3273">
        <v>0</v>
      </c>
      <c r="I3273">
        <v>25</v>
      </c>
      <c r="J3273" s="10">
        <v>3</v>
      </c>
      <c r="K3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73">
        <v>0</v>
      </c>
      <c r="M32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3">
        <v>360.05</v>
      </c>
      <c r="O3273" s="23" t="s">
        <v>637</v>
      </c>
      <c r="P3273">
        <v>360.05</v>
      </c>
      <c r="Q3273" s="23" t="s">
        <v>179</v>
      </c>
    </row>
    <row r="3274" spans="1:17" x14ac:dyDescent="0.25">
      <c r="A3274" s="23" t="s">
        <v>1096</v>
      </c>
      <c r="B3274" s="23" t="s">
        <v>1053</v>
      </c>
      <c r="C3274" s="23" t="s">
        <v>176</v>
      </c>
      <c r="D3274" s="23" t="s">
        <v>442</v>
      </c>
      <c r="E3274" s="23" t="s">
        <v>443</v>
      </c>
      <c r="F3274">
        <v>1</v>
      </c>
      <c r="G3274" s="23" t="s">
        <v>177</v>
      </c>
      <c r="H3274">
        <v>1</v>
      </c>
      <c r="I3274">
        <v>25</v>
      </c>
      <c r="J3274" s="10">
        <v>3</v>
      </c>
      <c r="K3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74">
        <v>0</v>
      </c>
      <c r="M32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4">
        <v>360.05</v>
      </c>
      <c r="O3274" s="23" t="s">
        <v>637</v>
      </c>
      <c r="P3274">
        <v>360.05</v>
      </c>
      <c r="Q3274" s="23" t="s">
        <v>179</v>
      </c>
    </row>
    <row r="3275" spans="1:17" x14ac:dyDescent="0.25">
      <c r="A3275" s="23" t="s">
        <v>1143</v>
      </c>
      <c r="B3275" s="23" t="s">
        <v>1054</v>
      </c>
      <c r="C3275" s="23" t="s">
        <v>176</v>
      </c>
      <c r="D3275" s="23" t="s">
        <v>442</v>
      </c>
      <c r="E3275" s="23" t="s">
        <v>443</v>
      </c>
      <c r="F3275">
        <v>1</v>
      </c>
      <c r="G3275" s="23" t="s">
        <v>177</v>
      </c>
      <c r="H3275">
        <v>0</v>
      </c>
      <c r="I3275">
        <v>25</v>
      </c>
      <c r="J3275" s="10">
        <v>3</v>
      </c>
      <c r="K3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75">
        <v>0</v>
      </c>
      <c r="M32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5">
        <v>360.05</v>
      </c>
      <c r="O3275" s="23" t="s">
        <v>637</v>
      </c>
      <c r="P3275">
        <v>360.05</v>
      </c>
      <c r="Q3275" s="23" t="s">
        <v>179</v>
      </c>
    </row>
    <row r="3276" spans="1:17" x14ac:dyDescent="0.25">
      <c r="A3276" s="23" t="s">
        <v>1150</v>
      </c>
      <c r="B3276" s="23" t="s">
        <v>1145</v>
      </c>
      <c r="C3276" s="23" t="s">
        <v>176</v>
      </c>
      <c r="D3276" s="23" t="s">
        <v>702</v>
      </c>
      <c r="E3276" s="23" t="s">
        <v>703</v>
      </c>
      <c r="F3276">
        <v>2</v>
      </c>
      <c r="G3276" s="23" t="s">
        <v>177</v>
      </c>
      <c r="H3276">
        <v>0</v>
      </c>
      <c r="I3276">
        <v>100</v>
      </c>
      <c r="J3276" s="10">
        <v>52</v>
      </c>
      <c r="K3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3276">
        <v>0</v>
      </c>
      <c r="M32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6">
        <v>1.1299999999999999</v>
      </c>
      <c r="O3276" s="23" t="s">
        <v>827</v>
      </c>
      <c r="P3276">
        <v>2.2599999999999998</v>
      </c>
      <c r="Q3276" s="23" t="s">
        <v>222</v>
      </c>
    </row>
    <row r="3277" spans="1:17" x14ac:dyDescent="0.25">
      <c r="A3277" s="23" t="s">
        <v>1097</v>
      </c>
      <c r="B3277" s="23" t="s">
        <v>1095</v>
      </c>
      <c r="C3277" s="23" t="s">
        <v>176</v>
      </c>
      <c r="D3277" s="23" t="s">
        <v>219</v>
      </c>
      <c r="E3277" s="23" t="s">
        <v>220</v>
      </c>
      <c r="F3277">
        <v>2</v>
      </c>
      <c r="G3277" s="23" t="s">
        <v>177</v>
      </c>
      <c r="H3277">
        <v>0</v>
      </c>
      <c r="I3277">
        <v>288</v>
      </c>
      <c r="J3277" s="10">
        <v>94</v>
      </c>
      <c r="K3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77">
        <v>0</v>
      </c>
      <c r="M32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7">
        <v>4</v>
      </c>
      <c r="O3277" s="23" t="s">
        <v>221</v>
      </c>
      <c r="P3277">
        <v>8</v>
      </c>
      <c r="Q3277" s="23" t="s">
        <v>222</v>
      </c>
    </row>
    <row r="3278" spans="1:17" x14ac:dyDescent="0.25">
      <c r="A3278" s="23" t="s">
        <v>1097</v>
      </c>
      <c r="B3278" s="23" t="s">
        <v>1095</v>
      </c>
      <c r="C3278" s="23" t="s">
        <v>176</v>
      </c>
      <c r="D3278" s="23" t="s">
        <v>442</v>
      </c>
      <c r="E3278" s="23" t="s">
        <v>443</v>
      </c>
      <c r="F3278">
        <v>1</v>
      </c>
      <c r="G3278" s="23" t="s">
        <v>177</v>
      </c>
      <c r="H3278">
        <v>0</v>
      </c>
      <c r="I3278">
        <v>25</v>
      </c>
      <c r="J3278" s="10">
        <v>3</v>
      </c>
      <c r="K3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78">
        <v>0</v>
      </c>
      <c r="M32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8">
        <v>360.05</v>
      </c>
      <c r="O3278" s="23" t="s">
        <v>637</v>
      </c>
      <c r="P3278">
        <v>360.05</v>
      </c>
      <c r="Q3278" s="23" t="s">
        <v>179</v>
      </c>
    </row>
    <row r="3279" spans="1:17" x14ac:dyDescent="0.25">
      <c r="A3279" s="23" t="s">
        <v>1143</v>
      </c>
      <c r="B3279" s="23" t="s">
        <v>1054</v>
      </c>
      <c r="C3279" s="23" t="s">
        <v>176</v>
      </c>
      <c r="D3279" s="23" t="s">
        <v>447</v>
      </c>
      <c r="E3279" s="23" t="s">
        <v>448</v>
      </c>
      <c r="F3279">
        <v>2</v>
      </c>
      <c r="G3279" s="23" t="s">
        <v>177</v>
      </c>
      <c r="H3279">
        <v>0</v>
      </c>
      <c r="I3279">
        <v>15</v>
      </c>
      <c r="J3279" s="10">
        <v>11</v>
      </c>
      <c r="K3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79">
        <v>0</v>
      </c>
      <c r="M32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79">
        <v>237.5</v>
      </c>
      <c r="O3279" s="23" t="s">
        <v>629</v>
      </c>
      <c r="P3279">
        <v>475</v>
      </c>
      <c r="Q3279" s="23" t="s">
        <v>181</v>
      </c>
    </row>
    <row r="3280" spans="1:17" x14ac:dyDescent="0.25">
      <c r="A3280" s="23" t="s">
        <v>1096</v>
      </c>
      <c r="B3280" s="23" t="s">
        <v>1053</v>
      </c>
      <c r="C3280" s="23" t="s">
        <v>176</v>
      </c>
      <c r="D3280" s="23" t="s">
        <v>679</v>
      </c>
      <c r="E3280" s="23" t="s">
        <v>680</v>
      </c>
      <c r="F3280">
        <v>15</v>
      </c>
      <c r="G3280" s="23" t="s">
        <v>177</v>
      </c>
      <c r="H3280">
        <v>0</v>
      </c>
      <c r="I3280">
        <v>350</v>
      </c>
      <c r="J3280" s="10">
        <v>210</v>
      </c>
      <c r="K3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3280">
        <v>0</v>
      </c>
      <c r="M32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0">
        <v>4</v>
      </c>
      <c r="O3280" s="23" t="s">
        <v>227</v>
      </c>
      <c r="P3280">
        <v>60</v>
      </c>
      <c r="Q3280" s="23" t="s">
        <v>181</v>
      </c>
    </row>
    <row r="3281" spans="1:17" x14ac:dyDescent="0.25">
      <c r="A3281" s="23" t="s">
        <v>1094</v>
      </c>
      <c r="B3281" s="23" t="s">
        <v>1095</v>
      </c>
      <c r="C3281" s="23" t="s">
        <v>176</v>
      </c>
      <c r="D3281" s="23" t="s">
        <v>219</v>
      </c>
      <c r="E3281" s="23" t="s">
        <v>220</v>
      </c>
      <c r="F3281">
        <v>2</v>
      </c>
      <c r="G3281" s="23" t="s">
        <v>177</v>
      </c>
      <c r="H3281">
        <v>0</v>
      </c>
      <c r="I3281">
        <v>288</v>
      </c>
      <c r="J3281" s="10">
        <v>94</v>
      </c>
      <c r="K3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81">
        <v>0</v>
      </c>
      <c r="M32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1">
        <v>4</v>
      </c>
      <c r="O3281" s="23" t="s">
        <v>221</v>
      </c>
      <c r="P3281">
        <v>8</v>
      </c>
      <c r="Q3281" s="23" t="s">
        <v>222</v>
      </c>
    </row>
    <row r="3282" spans="1:17" x14ac:dyDescent="0.25">
      <c r="A3282" s="23" t="s">
        <v>1143</v>
      </c>
      <c r="B3282" s="23" t="s">
        <v>1054</v>
      </c>
      <c r="C3282" s="23" t="s">
        <v>176</v>
      </c>
      <c r="D3282" s="23" t="s">
        <v>219</v>
      </c>
      <c r="E3282" s="23" t="s">
        <v>220</v>
      </c>
      <c r="F3282">
        <v>2</v>
      </c>
      <c r="G3282" s="23" t="s">
        <v>177</v>
      </c>
      <c r="H3282">
        <v>0</v>
      </c>
      <c r="I3282">
        <v>288</v>
      </c>
      <c r="J3282" s="10">
        <v>94</v>
      </c>
      <c r="K3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3282">
        <v>0</v>
      </c>
      <c r="M32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2">
        <v>4</v>
      </c>
      <c r="O3282" s="23" t="s">
        <v>221</v>
      </c>
      <c r="P3282">
        <v>8</v>
      </c>
      <c r="Q3282" s="23" t="s">
        <v>222</v>
      </c>
    </row>
    <row r="3283" spans="1:17" x14ac:dyDescent="0.25">
      <c r="A3283" s="23" t="s">
        <v>1197</v>
      </c>
      <c r="B3283" s="23" t="s">
        <v>1198</v>
      </c>
      <c r="C3283" s="23" t="s">
        <v>176</v>
      </c>
      <c r="D3283" s="23" t="s">
        <v>442</v>
      </c>
      <c r="E3283" s="23" t="s">
        <v>443</v>
      </c>
      <c r="F3283">
        <v>1</v>
      </c>
      <c r="G3283" s="23" t="s">
        <v>177</v>
      </c>
      <c r="H3283">
        <v>0</v>
      </c>
      <c r="I3283">
        <v>25</v>
      </c>
      <c r="J3283" s="10">
        <v>3</v>
      </c>
      <c r="K3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283">
        <v>0</v>
      </c>
      <c r="M32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3">
        <v>360.05</v>
      </c>
      <c r="O3283" s="23" t="s">
        <v>637</v>
      </c>
      <c r="P3283">
        <v>360.05</v>
      </c>
      <c r="Q3283" s="23" t="s">
        <v>179</v>
      </c>
    </row>
    <row r="3284" spans="1:17" x14ac:dyDescent="0.25">
      <c r="A3284" s="23" t="s">
        <v>1144</v>
      </c>
      <c r="B3284" s="23" t="s">
        <v>1145</v>
      </c>
      <c r="C3284" s="23" t="s">
        <v>176</v>
      </c>
      <c r="D3284" s="23" t="s">
        <v>988</v>
      </c>
      <c r="E3284" s="23" t="s">
        <v>989</v>
      </c>
      <c r="F3284">
        <v>1</v>
      </c>
      <c r="G3284" s="23" t="s">
        <v>177</v>
      </c>
      <c r="H3284">
        <v>0</v>
      </c>
      <c r="I3284">
        <v>2</v>
      </c>
      <c r="J3284" s="10">
        <v>1</v>
      </c>
      <c r="K3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284">
        <v>2</v>
      </c>
      <c r="M32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4">
        <v>41000</v>
      </c>
      <c r="O3284" s="23" t="s">
        <v>786</v>
      </c>
      <c r="P3284">
        <v>41000</v>
      </c>
      <c r="Q3284" s="23" t="s">
        <v>223</v>
      </c>
    </row>
    <row r="3285" spans="1:17" x14ac:dyDescent="0.25">
      <c r="A3285" s="23" t="s">
        <v>1149</v>
      </c>
      <c r="B3285" s="23" t="s">
        <v>1145</v>
      </c>
      <c r="C3285" s="23" t="s">
        <v>176</v>
      </c>
      <c r="D3285" s="23" t="s">
        <v>608</v>
      </c>
      <c r="E3285" s="23" t="s">
        <v>609</v>
      </c>
      <c r="F3285">
        <v>2</v>
      </c>
      <c r="G3285" s="23" t="s">
        <v>177</v>
      </c>
      <c r="H3285">
        <v>0</v>
      </c>
      <c r="I3285">
        <v>2</v>
      </c>
      <c r="J3285" s="10">
        <v>8</v>
      </c>
      <c r="K3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285">
        <v>0</v>
      </c>
      <c r="M32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3285">
        <v>56.58</v>
      </c>
      <c r="O3285" s="23" t="s">
        <v>637</v>
      </c>
      <c r="P3285">
        <v>113.16</v>
      </c>
      <c r="Q3285" s="23" t="s">
        <v>178</v>
      </c>
    </row>
    <row r="3286" spans="1:17" x14ac:dyDescent="0.25">
      <c r="A3286" s="23" t="s">
        <v>1144</v>
      </c>
      <c r="B3286" s="23" t="s">
        <v>1145</v>
      </c>
      <c r="C3286" s="23" t="s">
        <v>176</v>
      </c>
      <c r="D3286" s="23" t="s">
        <v>608</v>
      </c>
      <c r="E3286" s="23" t="s">
        <v>609</v>
      </c>
      <c r="F3286">
        <v>2</v>
      </c>
      <c r="G3286" s="23" t="s">
        <v>177</v>
      </c>
      <c r="H3286">
        <v>0</v>
      </c>
      <c r="I3286">
        <v>2</v>
      </c>
      <c r="J3286" s="10">
        <v>8</v>
      </c>
      <c r="K3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286">
        <v>0</v>
      </c>
      <c r="M32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3286">
        <v>56.58</v>
      </c>
      <c r="O3286" s="23" t="s">
        <v>637</v>
      </c>
      <c r="P3286">
        <v>113.16</v>
      </c>
      <c r="Q3286" s="23" t="s">
        <v>178</v>
      </c>
    </row>
    <row r="3287" spans="1:17" x14ac:dyDescent="0.25">
      <c r="A3287" s="23" t="s">
        <v>1144</v>
      </c>
      <c r="B3287" s="23" t="s">
        <v>1145</v>
      </c>
      <c r="C3287" s="23" t="s">
        <v>176</v>
      </c>
      <c r="D3287" s="23" t="s">
        <v>733</v>
      </c>
      <c r="E3287" s="23" t="s">
        <v>734</v>
      </c>
      <c r="F3287">
        <v>16</v>
      </c>
      <c r="G3287" s="23" t="s">
        <v>186</v>
      </c>
      <c r="H3287">
        <v>0</v>
      </c>
      <c r="I3287">
        <v>63</v>
      </c>
      <c r="J3287" s="10">
        <v>-1.4210854715202004E-14</v>
      </c>
      <c r="K3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3287">
        <v>0</v>
      </c>
      <c r="M32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3287">
        <v>1097.8900000000001</v>
      </c>
      <c r="O3287" s="23" t="s">
        <v>649</v>
      </c>
      <c r="P3287">
        <v>17566.240000000002</v>
      </c>
      <c r="Q3287" s="23" t="s">
        <v>184</v>
      </c>
    </row>
    <row r="3288" spans="1:17" x14ac:dyDescent="0.25">
      <c r="A3288" s="23" t="s">
        <v>1146</v>
      </c>
      <c r="B3288" s="23" t="s">
        <v>1145</v>
      </c>
      <c r="C3288" s="23" t="s">
        <v>176</v>
      </c>
      <c r="D3288" s="23" t="s">
        <v>717</v>
      </c>
      <c r="E3288" s="23" t="s">
        <v>718</v>
      </c>
      <c r="F3288">
        <v>0.2</v>
      </c>
      <c r="G3288" s="23" t="s">
        <v>180</v>
      </c>
      <c r="H3288">
        <v>0</v>
      </c>
      <c r="I3288">
        <v>200</v>
      </c>
      <c r="J3288" s="10">
        <v>85.649999999999977</v>
      </c>
      <c r="K3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3288">
        <v>0</v>
      </c>
      <c r="M32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8">
        <v>3.62</v>
      </c>
      <c r="O3288" s="23" t="s">
        <v>827</v>
      </c>
      <c r="P3288">
        <v>0.72400000000000009</v>
      </c>
      <c r="Q3288" s="23" t="s">
        <v>222</v>
      </c>
    </row>
    <row r="3289" spans="1:17" x14ac:dyDescent="0.25">
      <c r="A3289" s="23" t="s">
        <v>1144</v>
      </c>
      <c r="B3289" s="23" t="s">
        <v>1145</v>
      </c>
      <c r="C3289" s="23" t="s">
        <v>176</v>
      </c>
      <c r="D3289" s="23" t="s">
        <v>717</v>
      </c>
      <c r="E3289" s="23" t="s">
        <v>718</v>
      </c>
      <c r="F3289">
        <v>0.2</v>
      </c>
      <c r="G3289" s="23" t="s">
        <v>180</v>
      </c>
      <c r="H3289">
        <v>0</v>
      </c>
      <c r="I3289">
        <v>200</v>
      </c>
      <c r="J3289" s="10">
        <v>85.649999999999977</v>
      </c>
      <c r="K3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3289">
        <v>0</v>
      </c>
      <c r="M32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89">
        <v>3.62</v>
      </c>
      <c r="O3289" s="23" t="s">
        <v>827</v>
      </c>
      <c r="P3289">
        <v>0.72400000000000009</v>
      </c>
      <c r="Q3289" s="23" t="s">
        <v>222</v>
      </c>
    </row>
    <row r="3290" spans="1:17" x14ac:dyDescent="0.25">
      <c r="A3290" s="23" t="s">
        <v>1150</v>
      </c>
      <c r="B3290" s="23" t="s">
        <v>1145</v>
      </c>
      <c r="C3290" s="23" t="s">
        <v>176</v>
      </c>
      <c r="D3290" s="23" t="s">
        <v>591</v>
      </c>
      <c r="E3290" s="23" t="s">
        <v>592</v>
      </c>
      <c r="F3290">
        <v>1</v>
      </c>
      <c r="G3290" s="23" t="s">
        <v>177</v>
      </c>
      <c r="H3290">
        <v>0</v>
      </c>
      <c r="I3290">
        <v>6</v>
      </c>
      <c r="J3290" s="10">
        <v>8</v>
      </c>
      <c r="K3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290">
        <v>10</v>
      </c>
      <c r="M32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0">
        <v>583.77</v>
      </c>
      <c r="O3290" s="23" t="s">
        <v>593</v>
      </c>
      <c r="P3290">
        <v>583.77</v>
      </c>
      <c r="Q3290" s="23" t="s">
        <v>181</v>
      </c>
    </row>
    <row r="3291" spans="1:17" x14ac:dyDescent="0.25">
      <c r="A3291" s="23" t="s">
        <v>1150</v>
      </c>
      <c r="B3291" s="23" t="s">
        <v>1145</v>
      </c>
      <c r="C3291" s="23" t="s">
        <v>176</v>
      </c>
      <c r="D3291" s="23" t="s">
        <v>1162</v>
      </c>
      <c r="E3291" s="23" t="s">
        <v>1163</v>
      </c>
      <c r="F3291">
        <v>2</v>
      </c>
      <c r="G3291" s="23" t="s">
        <v>177</v>
      </c>
      <c r="H3291">
        <v>0</v>
      </c>
      <c r="I3291">
        <v>0</v>
      </c>
      <c r="J3291" s="10">
        <v>0</v>
      </c>
      <c r="K3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3291">
        <v>0</v>
      </c>
      <c r="M32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1">
        <v>0</v>
      </c>
      <c r="O3291" s="23"/>
      <c r="P3291">
        <v>0</v>
      </c>
      <c r="Q3291" s="23" t="s">
        <v>222</v>
      </c>
    </row>
    <row r="3292" spans="1:17" x14ac:dyDescent="0.25">
      <c r="A3292" s="23" t="s">
        <v>1150</v>
      </c>
      <c r="B3292" s="23" t="s">
        <v>1145</v>
      </c>
      <c r="C3292" s="23" t="s">
        <v>176</v>
      </c>
      <c r="D3292" s="23" t="s">
        <v>506</v>
      </c>
      <c r="E3292" s="23" t="s">
        <v>507</v>
      </c>
      <c r="F3292">
        <v>1</v>
      </c>
      <c r="G3292" s="23" t="s">
        <v>177</v>
      </c>
      <c r="H3292">
        <v>0</v>
      </c>
      <c r="I3292">
        <v>8</v>
      </c>
      <c r="J3292" s="10">
        <v>9</v>
      </c>
      <c r="K3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3292">
        <v>36</v>
      </c>
      <c r="M32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2">
        <v>101.4</v>
      </c>
      <c r="O3292" s="23" t="s">
        <v>1065</v>
      </c>
      <c r="P3292">
        <v>101.4</v>
      </c>
      <c r="Q3292" s="23" t="s">
        <v>222</v>
      </c>
    </row>
    <row r="3293" spans="1:17" x14ac:dyDescent="0.25">
      <c r="A3293" s="23" t="s">
        <v>1197</v>
      </c>
      <c r="B3293" s="23" t="s">
        <v>1198</v>
      </c>
      <c r="C3293" s="23" t="s">
        <v>176</v>
      </c>
      <c r="D3293" s="23" t="s">
        <v>452</v>
      </c>
      <c r="E3293" s="23" t="s">
        <v>453</v>
      </c>
      <c r="F3293">
        <v>1</v>
      </c>
      <c r="G3293" s="23" t="s">
        <v>177</v>
      </c>
      <c r="H3293">
        <v>0</v>
      </c>
      <c r="I3293">
        <v>6</v>
      </c>
      <c r="J3293" s="10">
        <v>7</v>
      </c>
      <c r="K3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293">
        <v>6</v>
      </c>
      <c r="M32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3293">
        <v>1600</v>
      </c>
      <c r="O3293" s="23" t="s">
        <v>242</v>
      </c>
      <c r="P3293">
        <v>1600</v>
      </c>
      <c r="Q3293" s="23" t="s">
        <v>179</v>
      </c>
    </row>
    <row r="3294" spans="1:17" x14ac:dyDescent="0.25">
      <c r="A3294" s="23" t="s">
        <v>1143</v>
      </c>
      <c r="B3294" s="23" t="s">
        <v>1054</v>
      </c>
      <c r="C3294" s="23" t="s">
        <v>176</v>
      </c>
      <c r="D3294" s="23" t="s">
        <v>470</v>
      </c>
      <c r="E3294" s="23" t="s">
        <v>471</v>
      </c>
      <c r="F3294">
        <v>1</v>
      </c>
      <c r="G3294" s="23" t="s">
        <v>177</v>
      </c>
      <c r="H3294">
        <v>0</v>
      </c>
      <c r="I3294">
        <v>39</v>
      </c>
      <c r="J3294" s="10">
        <v>2</v>
      </c>
      <c r="K3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294">
        <v>0</v>
      </c>
      <c r="M32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4">
        <v>65</v>
      </c>
      <c r="O3294" s="23" t="s">
        <v>822</v>
      </c>
      <c r="P3294">
        <v>65</v>
      </c>
      <c r="Q3294" s="23" t="s">
        <v>179</v>
      </c>
    </row>
    <row r="3295" spans="1:17" x14ac:dyDescent="0.25">
      <c r="A3295" s="23" t="s">
        <v>1094</v>
      </c>
      <c r="B3295" s="23" t="s">
        <v>1095</v>
      </c>
      <c r="C3295" s="23" t="s">
        <v>176</v>
      </c>
      <c r="D3295" s="23" t="s">
        <v>470</v>
      </c>
      <c r="E3295" s="23" t="s">
        <v>471</v>
      </c>
      <c r="F3295">
        <v>1</v>
      </c>
      <c r="G3295" s="23" t="s">
        <v>177</v>
      </c>
      <c r="H3295">
        <v>0</v>
      </c>
      <c r="I3295">
        <v>39</v>
      </c>
      <c r="J3295" s="10">
        <v>2</v>
      </c>
      <c r="K3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295">
        <v>0</v>
      </c>
      <c r="M32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5">
        <v>65</v>
      </c>
      <c r="O3295" s="23" t="s">
        <v>822</v>
      </c>
      <c r="P3295">
        <v>65</v>
      </c>
      <c r="Q3295" s="23" t="s">
        <v>179</v>
      </c>
    </row>
    <row r="3296" spans="1:17" x14ac:dyDescent="0.25">
      <c r="A3296" s="23" t="s">
        <v>1096</v>
      </c>
      <c r="B3296" s="23" t="s">
        <v>1053</v>
      </c>
      <c r="C3296" s="23" t="s">
        <v>176</v>
      </c>
      <c r="D3296" s="23" t="s">
        <v>470</v>
      </c>
      <c r="E3296" s="23" t="s">
        <v>471</v>
      </c>
      <c r="F3296">
        <v>1</v>
      </c>
      <c r="G3296" s="23" t="s">
        <v>177</v>
      </c>
      <c r="H3296">
        <v>0</v>
      </c>
      <c r="I3296">
        <v>39</v>
      </c>
      <c r="J3296" s="10">
        <v>2</v>
      </c>
      <c r="K3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296">
        <v>0</v>
      </c>
      <c r="M32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6">
        <v>65</v>
      </c>
      <c r="O3296" s="23" t="s">
        <v>822</v>
      </c>
      <c r="P3296">
        <v>65</v>
      </c>
      <c r="Q3296" s="23" t="s">
        <v>179</v>
      </c>
    </row>
    <row r="3297" spans="1:17" x14ac:dyDescent="0.25">
      <c r="A3297" s="23" t="s">
        <v>1057</v>
      </c>
      <c r="B3297" s="23" t="s">
        <v>1056</v>
      </c>
      <c r="C3297" s="23" t="s">
        <v>176</v>
      </c>
      <c r="D3297" s="23" t="s">
        <v>1017</v>
      </c>
      <c r="E3297" s="23" t="s">
        <v>1018</v>
      </c>
      <c r="F3297">
        <v>0.9</v>
      </c>
      <c r="G3297" s="23" t="s">
        <v>180</v>
      </c>
      <c r="H3297">
        <v>0</v>
      </c>
      <c r="I3297">
        <v>0</v>
      </c>
      <c r="J3297" s="10">
        <v>23.20000000000001</v>
      </c>
      <c r="K3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</v>
      </c>
      <c r="L3297">
        <v>0</v>
      </c>
      <c r="M32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360</v>
      </c>
      <c r="N3297">
        <v>200</v>
      </c>
      <c r="O3297" s="23" t="s">
        <v>1019</v>
      </c>
      <c r="P3297">
        <v>180</v>
      </c>
      <c r="Q3297" s="23" t="s">
        <v>178</v>
      </c>
    </row>
    <row r="3298" spans="1:17" x14ac:dyDescent="0.25">
      <c r="A3298" s="23" t="s">
        <v>1146</v>
      </c>
      <c r="B3298" s="23" t="s">
        <v>1145</v>
      </c>
      <c r="C3298" s="23" t="s">
        <v>176</v>
      </c>
      <c r="D3298" s="23" t="s">
        <v>683</v>
      </c>
      <c r="E3298" s="23" t="s">
        <v>684</v>
      </c>
      <c r="F3298">
        <v>2</v>
      </c>
      <c r="G3298" s="23" t="s">
        <v>177</v>
      </c>
      <c r="H3298">
        <v>0</v>
      </c>
      <c r="I3298">
        <v>34</v>
      </c>
      <c r="J3298" s="10">
        <v>27</v>
      </c>
      <c r="K3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298">
        <v>0</v>
      </c>
      <c r="M32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8">
        <v>500</v>
      </c>
      <c r="O3298" s="23" t="s">
        <v>585</v>
      </c>
      <c r="P3298">
        <v>1000</v>
      </c>
      <c r="Q3298" s="23" t="s">
        <v>178</v>
      </c>
    </row>
    <row r="3299" spans="1:17" x14ac:dyDescent="0.25">
      <c r="A3299" s="23" t="s">
        <v>1144</v>
      </c>
      <c r="B3299" s="23" t="s">
        <v>1145</v>
      </c>
      <c r="C3299" s="23" t="s">
        <v>176</v>
      </c>
      <c r="D3299" s="23" t="s">
        <v>683</v>
      </c>
      <c r="E3299" s="23" t="s">
        <v>684</v>
      </c>
      <c r="F3299">
        <v>2</v>
      </c>
      <c r="G3299" s="23" t="s">
        <v>177</v>
      </c>
      <c r="H3299">
        <v>0</v>
      </c>
      <c r="I3299">
        <v>34</v>
      </c>
      <c r="J3299" s="10">
        <v>27</v>
      </c>
      <c r="K3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299">
        <v>0</v>
      </c>
      <c r="M32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299">
        <v>500</v>
      </c>
      <c r="O3299" s="23" t="s">
        <v>585</v>
      </c>
      <c r="P3299">
        <v>1000</v>
      </c>
      <c r="Q3299" s="23" t="s">
        <v>178</v>
      </c>
    </row>
    <row r="3300" spans="1:17" x14ac:dyDescent="0.25">
      <c r="A3300" s="23" t="s">
        <v>1146</v>
      </c>
      <c r="B3300" s="23" t="s">
        <v>1145</v>
      </c>
      <c r="C3300" s="23" t="s">
        <v>176</v>
      </c>
      <c r="D3300" s="23" t="s">
        <v>685</v>
      </c>
      <c r="E3300" s="23" t="s">
        <v>686</v>
      </c>
      <c r="F3300">
        <v>1</v>
      </c>
      <c r="G3300" s="23" t="s">
        <v>177</v>
      </c>
      <c r="H3300">
        <v>0</v>
      </c>
      <c r="I3300">
        <v>23</v>
      </c>
      <c r="J3300" s="10">
        <v>17</v>
      </c>
      <c r="K3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00">
        <v>0</v>
      </c>
      <c r="M33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0">
        <v>750</v>
      </c>
      <c r="O3300" s="23" t="s">
        <v>585</v>
      </c>
      <c r="P3300">
        <v>750</v>
      </c>
      <c r="Q3300" s="23" t="s">
        <v>178</v>
      </c>
    </row>
    <row r="3301" spans="1:17" x14ac:dyDescent="0.25">
      <c r="A3301" s="23" t="s">
        <v>1144</v>
      </c>
      <c r="B3301" s="23" t="s">
        <v>1145</v>
      </c>
      <c r="C3301" s="23" t="s">
        <v>176</v>
      </c>
      <c r="D3301" s="23" t="s">
        <v>685</v>
      </c>
      <c r="E3301" s="23" t="s">
        <v>686</v>
      </c>
      <c r="F3301">
        <v>1</v>
      </c>
      <c r="G3301" s="23" t="s">
        <v>177</v>
      </c>
      <c r="H3301">
        <v>0</v>
      </c>
      <c r="I3301">
        <v>23</v>
      </c>
      <c r="J3301" s="10">
        <v>17</v>
      </c>
      <c r="K3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01">
        <v>0</v>
      </c>
      <c r="M33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1">
        <v>750</v>
      </c>
      <c r="O3301" s="23" t="s">
        <v>585</v>
      </c>
      <c r="P3301">
        <v>750</v>
      </c>
      <c r="Q3301" s="23" t="s">
        <v>178</v>
      </c>
    </row>
    <row r="3302" spans="1:17" x14ac:dyDescent="0.25">
      <c r="A3302" s="23" t="s">
        <v>1146</v>
      </c>
      <c r="B3302" s="23" t="s">
        <v>1145</v>
      </c>
      <c r="C3302" s="23" t="s">
        <v>176</v>
      </c>
      <c r="D3302" s="23" t="s">
        <v>1162</v>
      </c>
      <c r="E3302" s="23" t="s">
        <v>1163</v>
      </c>
      <c r="F3302">
        <v>2</v>
      </c>
      <c r="G3302" s="23" t="s">
        <v>177</v>
      </c>
      <c r="H3302">
        <v>0</v>
      </c>
      <c r="I3302">
        <v>0</v>
      </c>
      <c r="J3302" s="10">
        <v>0</v>
      </c>
      <c r="K3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3302">
        <v>0</v>
      </c>
      <c r="M33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2">
        <v>0</v>
      </c>
      <c r="O3302" s="23"/>
      <c r="P3302">
        <v>0</v>
      </c>
      <c r="Q3302" s="23" t="s">
        <v>222</v>
      </c>
    </row>
    <row r="3303" spans="1:17" x14ac:dyDescent="0.25">
      <c r="A3303" s="23" t="s">
        <v>1144</v>
      </c>
      <c r="B3303" s="23" t="s">
        <v>1145</v>
      </c>
      <c r="C3303" s="23" t="s">
        <v>176</v>
      </c>
      <c r="D3303" s="23" t="s">
        <v>1162</v>
      </c>
      <c r="E3303" s="23" t="s">
        <v>1163</v>
      </c>
      <c r="F3303">
        <v>2</v>
      </c>
      <c r="G3303" s="23" t="s">
        <v>177</v>
      </c>
      <c r="H3303">
        <v>0</v>
      </c>
      <c r="I3303">
        <v>0</v>
      </c>
      <c r="J3303" s="10">
        <v>0</v>
      </c>
      <c r="K3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3303">
        <v>0</v>
      </c>
      <c r="M33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3">
        <v>0</v>
      </c>
      <c r="O3303" s="23"/>
      <c r="P3303">
        <v>0</v>
      </c>
      <c r="Q3303" s="23" t="s">
        <v>222</v>
      </c>
    </row>
    <row r="3304" spans="1:17" x14ac:dyDescent="0.25">
      <c r="A3304" s="23" t="s">
        <v>1098</v>
      </c>
      <c r="B3304" s="23" t="s">
        <v>1053</v>
      </c>
      <c r="C3304" s="23" t="s">
        <v>176</v>
      </c>
      <c r="D3304" s="23" t="s">
        <v>470</v>
      </c>
      <c r="E3304" s="23" t="s">
        <v>471</v>
      </c>
      <c r="F3304">
        <v>1</v>
      </c>
      <c r="G3304" s="23" t="s">
        <v>177</v>
      </c>
      <c r="H3304">
        <v>0</v>
      </c>
      <c r="I3304">
        <v>39</v>
      </c>
      <c r="J3304" s="10">
        <v>2</v>
      </c>
      <c r="K3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304">
        <v>0</v>
      </c>
      <c r="M33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4">
        <v>65</v>
      </c>
      <c r="O3304" s="23" t="s">
        <v>822</v>
      </c>
      <c r="P3304">
        <v>65</v>
      </c>
      <c r="Q3304" s="23" t="s">
        <v>179</v>
      </c>
    </row>
    <row r="3305" spans="1:17" x14ac:dyDescent="0.25">
      <c r="A3305" s="23" t="s">
        <v>1146</v>
      </c>
      <c r="B3305" s="23" t="s">
        <v>1145</v>
      </c>
      <c r="C3305" s="23" t="s">
        <v>176</v>
      </c>
      <c r="D3305" s="23" t="s">
        <v>1160</v>
      </c>
      <c r="E3305" s="23" t="s">
        <v>1161</v>
      </c>
      <c r="F3305">
        <v>6</v>
      </c>
      <c r="G3305" s="23" t="s">
        <v>177</v>
      </c>
      <c r="H3305">
        <v>0</v>
      </c>
      <c r="I3305">
        <v>0</v>
      </c>
      <c r="J3305" s="10">
        <v>0</v>
      </c>
      <c r="K3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3305">
        <v>0</v>
      </c>
      <c r="M33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3305">
        <v>0.36</v>
      </c>
      <c r="O3305" s="23" t="s">
        <v>883</v>
      </c>
      <c r="P3305">
        <v>2.16</v>
      </c>
      <c r="Q3305" s="23" t="s">
        <v>181</v>
      </c>
    </row>
    <row r="3306" spans="1:17" x14ac:dyDescent="0.25">
      <c r="A3306" s="23" t="s">
        <v>1144</v>
      </c>
      <c r="B3306" s="23" t="s">
        <v>1145</v>
      </c>
      <c r="C3306" s="23" t="s">
        <v>176</v>
      </c>
      <c r="D3306" s="23" t="s">
        <v>1160</v>
      </c>
      <c r="E3306" s="23" t="s">
        <v>1161</v>
      </c>
      <c r="F3306">
        <v>6</v>
      </c>
      <c r="G3306" s="23" t="s">
        <v>177</v>
      </c>
      <c r="H3306">
        <v>0</v>
      </c>
      <c r="I3306">
        <v>0</v>
      </c>
      <c r="J3306" s="10">
        <v>0</v>
      </c>
      <c r="K3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3306">
        <v>0</v>
      </c>
      <c r="M33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3306">
        <v>0.36</v>
      </c>
      <c r="O3306" s="23" t="s">
        <v>883</v>
      </c>
      <c r="P3306">
        <v>2.16</v>
      </c>
      <c r="Q3306" s="23" t="s">
        <v>181</v>
      </c>
    </row>
    <row r="3307" spans="1:17" x14ac:dyDescent="0.25">
      <c r="A3307" s="23" t="s">
        <v>1142</v>
      </c>
      <c r="B3307" s="23" t="s">
        <v>1054</v>
      </c>
      <c r="C3307" s="23" t="s">
        <v>176</v>
      </c>
      <c r="D3307" s="23" t="s">
        <v>470</v>
      </c>
      <c r="E3307" s="23" t="s">
        <v>471</v>
      </c>
      <c r="F3307">
        <v>1</v>
      </c>
      <c r="G3307" s="23" t="s">
        <v>177</v>
      </c>
      <c r="H3307">
        <v>0</v>
      </c>
      <c r="I3307">
        <v>39</v>
      </c>
      <c r="J3307" s="10">
        <v>2</v>
      </c>
      <c r="K3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307">
        <v>0</v>
      </c>
      <c r="M33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7">
        <v>65</v>
      </c>
      <c r="O3307" s="23" t="s">
        <v>822</v>
      </c>
      <c r="P3307">
        <v>65</v>
      </c>
      <c r="Q3307" s="23" t="s">
        <v>179</v>
      </c>
    </row>
    <row r="3308" spans="1:17" x14ac:dyDescent="0.25">
      <c r="A3308" s="23" t="s">
        <v>1055</v>
      </c>
      <c r="B3308" s="23" t="s">
        <v>1056</v>
      </c>
      <c r="C3308" s="23" t="s">
        <v>176</v>
      </c>
      <c r="D3308" s="23" t="s">
        <v>345</v>
      </c>
      <c r="E3308" s="23" t="s">
        <v>346</v>
      </c>
      <c r="F3308">
        <v>1</v>
      </c>
      <c r="G3308" s="23" t="s">
        <v>177</v>
      </c>
      <c r="H3308">
        <v>0</v>
      </c>
      <c r="I3308">
        <v>228</v>
      </c>
      <c r="J3308" s="10">
        <v>4.6185277824406512E-14</v>
      </c>
      <c r="K3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308">
        <v>0</v>
      </c>
      <c r="M33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8">
        <v>6</v>
      </c>
      <c r="O3308" s="23" t="s">
        <v>347</v>
      </c>
      <c r="P3308">
        <v>6</v>
      </c>
      <c r="Q3308" s="23" t="s">
        <v>181</v>
      </c>
    </row>
    <row r="3309" spans="1:17" x14ac:dyDescent="0.25">
      <c r="A3309" s="23" t="s">
        <v>1099</v>
      </c>
      <c r="B3309" s="23" t="s">
        <v>1056</v>
      </c>
      <c r="C3309" s="23" t="s">
        <v>176</v>
      </c>
      <c r="D3309" s="23" t="s">
        <v>345</v>
      </c>
      <c r="E3309" s="23" t="s">
        <v>346</v>
      </c>
      <c r="F3309">
        <v>1</v>
      </c>
      <c r="G3309" s="23" t="s">
        <v>177</v>
      </c>
      <c r="H3309">
        <v>0</v>
      </c>
      <c r="I3309">
        <v>228</v>
      </c>
      <c r="J3309" s="10">
        <v>4.6185277824406512E-14</v>
      </c>
      <c r="K3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309">
        <v>0</v>
      </c>
      <c r="M33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09">
        <v>6</v>
      </c>
      <c r="O3309" s="23" t="s">
        <v>347</v>
      </c>
      <c r="P3309">
        <v>6</v>
      </c>
      <c r="Q3309" s="23" t="s">
        <v>181</v>
      </c>
    </row>
    <row r="3310" spans="1:17" x14ac:dyDescent="0.25">
      <c r="A3310" s="23" t="s">
        <v>1147</v>
      </c>
      <c r="B3310" s="23" t="s">
        <v>1145</v>
      </c>
      <c r="C3310" s="23" t="s">
        <v>176</v>
      </c>
      <c r="D3310" s="23" t="s">
        <v>419</v>
      </c>
      <c r="E3310" s="23" t="s">
        <v>1225</v>
      </c>
      <c r="F3310">
        <v>5</v>
      </c>
      <c r="G3310" s="23" t="s">
        <v>177</v>
      </c>
      <c r="H3310">
        <v>0</v>
      </c>
      <c r="I3310">
        <v>148</v>
      </c>
      <c r="J3310" s="10">
        <v>59</v>
      </c>
      <c r="K3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310">
        <v>0</v>
      </c>
      <c r="M33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0">
        <v>24.17</v>
      </c>
      <c r="O3310" s="23" t="s">
        <v>629</v>
      </c>
      <c r="P3310">
        <v>120.85000000000001</v>
      </c>
      <c r="Q3310" s="23" t="s">
        <v>181</v>
      </c>
    </row>
    <row r="3311" spans="1:17" x14ac:dyDescent="0.25">
      <c r="A3311" s="23" t="s">
        <v>1148</v>
      </c>
      <c r="B3311" s="23" t="s">
        <v>1054</v>
      </c>
      <c r="C3311" s="23" t="s">
        <v>176</v>
      </c>
      <c r="D3311" s="23" t="s">
        <v>419</v>
      </c>
      <c r="E3311" s="23" t="s">
        <v>1225</v>
      </c>
      <c r="F3311">
        <v>4</v>
      </c>
      <c r="G3311" s="23" t="s">
        <v>177</v>
      </c>
      <c r="H3311">
        <v>0</v>
      </c>
      <c r="I3311">
        <v>148</v>
      </c>
      <c r="J3311" s="10">
        <v>59</v>
      </c>
      <c r="K3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311">
        <v>0</v>
      </c>
      <c r="M33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1">
        <v>24.17</v>
      </c>
      <c r="O3311" s="23" t="s">
        <v>629</v>
      </c>
      <c r="P3311">
        <v>96.68</v>
      </c>
      <c r="Q3311" s="23" t="s">
        <v>181</v>
      </c>
    </row>
    <row r="3312" spans="1:17" x14ac:dyDescent="0.25">
      <c r="A3312" s="23" t="s">
        <v>1055</v>
      </c>
      <c r="B3312" s="23" t="s">
        <v>1056</v>
      </c>
      <c r="C3312" s="23" t="s">
        <v>176</v>
      </c>
      <c r="D3312" s="23" t="s">
        <v>419</v>
      </c>
      <c r="E3312" s="23" t="s">
        <v>1225</v>
      </c>
      <c r="F3312">
        <v>8</v>
      </c>
      <c r="G3312" s="23" t="s">
        <v>177</v>
      </c>
      <c r="H3312">
        <v>0</v>
      </c>
      <c r="I3312">
        <v>148</v>
      </c>
      <c r="J3312" s="10">
        <v>59</v>
      </c>
      <c r="K3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312">
        <v>0</v>
      </c>
      <c r="M33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2">
        <v>24.17</v>
      </c>
      <c r="O3312" s="23" t="s">
        <v>629</v>
      </c>
      <c r="P3312">
        <v>193.36</v>
      </c>
      <c r="Q3312" s="23" t="s">
        <v>181</v>
      </c>
    </row>
    <row r="3313" spans="1:17" x14ac:dyDescent="0.25">
      <c r="A3313" s="23" t="s">
        <v>1099</v>
      </c>
      <c r="B3313" s="23" t="s">
        <v>1056</v>
      </c>
      <c r="C3313" s="23" t="s">
        <v>176</v>
      </c>
      <c r="D3313" s="23" t="s">
        <v>419</v>
      </c>
      <c r="E3313" s="23" t="s">
        <v>1225</v>
      </c>
      <c r="F3313">
        <v>8</v>
      </c>
      <c r="G3313" s="23" t="s">
        <v>177</v>
      </c>
      <c r="H3313">
        <v>0</v>
      </c>
      <c r="I3313">
        <v>148</v>
      </c>
      <c r="J3313" s="10">
        <v>59</v>
      </c>
      <c r="K3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313">
        <v>0</v>
      </c>
      <c r="M33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3">
        <v>24.17</v>
      </c>
      <c r="O3313" s="23" t="s">
        <v>629</v>
      </c>
      <c r="P3313">
        <v>193.36</v>
      </c>
      <c r="Q3313" s="23" t="s">
        <v>181</v>
      </c>
    </row>
    <row r="3314" spans="1:17" x14ac:dyDescent="0.25">
      <c r="A3314" s="23" t="s">
        <v>1147</v>
      </c>
      <c r="B3314" s="23" t="s">
        <v>1145</v>
      </c>
      <c r="C3314" s="23" t="s">
        <v>176</v>
      </c>
      <c r="D3314" s="23" t="s">
        <v>105</v>
      </c>
      <c r="E3314" s="23" t="s">
        <v>106</v>
      </c>
      <c r="F3314">
        <v>5</v>
      </c>
      <c r="G3314" s="23" t="s">
        <v>177</v>
      </c>
      <c r="H3314">
        <v>0</v>
      </c>
      <c r="I3314">
        <v>39</v>
      </c>
      <c r="J3314" s="10">
        <v>36</v>
      </c>
      <c r="K3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314">
        <v>0</v>
      </c>
      <c r="M33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314">
        <v>105</v>
      </c>
      <c r="O3314" s="23" t="s">
        <v>626</v>
      </c>
      <c r="P3314">
        <v>525</v>
      </c>
      <c r="Q3314" s="23" t="s">
        <v>179</v>
      </c>
    </row>
    <row r="3315" spans="1:17" x14ac:dyDescent="0.25">
      <c r="A3315" s="23" t="s">
        <v>1148</v>
      </c>
      <c r="B3315" s="23" t="s">
        <v>1054</v>
      </c>
      <c r="C3315" s="23" t="s">
        <v>176</v>
      </c>
      <c r="D3315" s="23" t="s">
        <v>105</v>
      </c>
      <c r="E3315" s="23" t="s">
        <v>106</v>
      </c>
      <c r="F3315">
        <v>6</v>
      </c>
      <c r="G3315" s="23" t="s">
        <v>177</v>
      </c>
      <c r="H3315">
        <v>0</v>
      </c>
      <c r="I3315">
        <v>39</v>
      </c>
      <c r="J3315" s="10">
        <v>36</v>
      </c>
      <c r="K3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315">
        <v>0</v>
      </c>
      <c r="M33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315">
        <v>105</v>
      </c>
      <c r="O3315" s="23" t="s">
        <v>626</v>
      </c>
      <c r="P3315">
        <v>630</v>
      </c>
      <c r="Q3315" s="23" t="s">
        <v>179</v>
      </c>
    </row>
    <row r="3316" spans="1:17" x14ac:dyDescent="0.25">
      <c r="A3316" s="23" t="s">
        <v>1147</v>
      </c>
      <c r="B3316" s="23" t="s">
        <v>1145</v>
      </c>
      <c r="C3316" s="23" t="s">
        <v>176</v>
      </c>
      <c r="D3316" s="23" t="s">
        <v>379</v>
      </c>
      <c r="E3316" s="23" t="s">
        <v>380</v>
      </c>
      <c r="F3316">
        <v>2</v>
      </c>
      <c r="G3316" s="23" t="s">
        <v>177</v>
      </c>
      <c r="H3316">
        <v>0</v>
      </c>
      <c r="I3316">
        <v>50</v>
      </c>
      <c r="J3316" s="10">
        <v>33</v>
      </c>
      <c r="K3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316">
        <v>0</v>
      </c>
      <c r="M33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6">
        <v>72.599999999999994</v>
      </c>
      <c r="O3316" s="23" t="s">
        <v>242</v>
      </c>
      <c r="P3316">
        <v>145.19999999999999</v>
      </c>
      <c r="Q3316" s="23" t="s">
        <v>179</v>
      </c>
    </row>
    <row r="3317" spans="1:17" x14ac:dyDescent="0.25">
      <c r="A3317" s="23" t="s">
        <v>1098</v>
      </c>
      <c r="B3317" s="23" t="s">
        <v>1053</v>
      </c>
      <c r="C3317" s="23" t="s">
        <v>176</v>
      </c>
      <c r="D3317" s="23" t="s">
        <v>481</v>
      </c>
      <c r="E3317" s="23" t="s">
        <v>482</v>
      </c>
      <c r="F3317">
        <v>20</v>
      </c>
      <c r="G3317" s="23" t="s">
        <v>177</v>
      </c>
      <c r="H3317">
        <v>0</v>
      </c>
      <c r="I3317">
        <v>442</v>
      </c>
      <c r="J3317" s="10">
        <v>0</v>
      </c>
      <c r="K3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317">
        <v>0</v>
      </c>
      <c r="M33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7">
        <v>9.35</v>
      </c>
      <c r="O3317" s="23" t="s">
        <v>883</v>
      </c>
      <c r="P3317">
        <v>187</v>
      </c>
      <c r="Q3317" s="23" t="s">
        <v>181</v>
      </c>
    </row>
    <row r="3318" spans="1:17" x14ac:dyDescent="0.25">
      <c r="A3318" s="23" t="s">
        <v>1197</v>
      </c>
      <c r="B3318" s="23" t="s">
        <v>1198</v>
      </c>
      <c r="C3318" s="23" t="s">
        <v>176</v>
      </c>
      <c r="D3318" s="23" t="s">
        <v>481</v>
      </c>
      <c r="E3318" s="23" t="s">
        <v>482</v>
      </c>
      <c r="F3318">
        <v>16</v>
      </c>
      <c r="G3318" s="23" t="s">
        <v>177</v>
      </c>
      <c r="H3318">
        <v>0</v>
      </c>
      <c r="I3318">
        <v>442</v>
      </c>
      <c r="J3318" s="10">
        <v>0</v>
      </c>
      <c r="K3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318">
        <v>0</v>
      </c>
      <c r="M33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8">
        <v>9.35</v>
      </c>
      <c r="O3318" s="23" t="s">
        <v>883</v>
      </c>
      <c r="P3318">
        <v>149.6</v>
      </c>
      <c r="Q3318" s="23" t="s">
        <v>181</v>
      </c>
    </row>
    <row r="3319" spans="1:17" x14ac:dyDescent="0.25">
      <c r="A3319" s="23" t="s">
        <v>1098</v>
      </c>
      <c r="B3319" s="23" t="s">
        <v>1053</v>
      </c>
      <c r="C3319" s="23" t="s">
        <v>176</v>
      </c>
      <c r="D3319" s="23" t="s">
        <v>449</v>
      </c>
      <c r="E3319" s="23" t="s">
        <v>450</v>
      </c>
      <c r="F3319">
        <v>2</v>
      </c>
      <c r="G3319" s="23" t="s">
        <v>177</v>
      </c>
      <c r="H3319">
        <v>0</v>
      </c>
      <c r="I3319">
        <v>15</v>
      </c>
      <c r="J3319" s="10">
        <v>14</v>
      </c>
      <c r="K3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319">
        <v>15</v>
      </c>
      <c r="M33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19">
        <v>65.709999999999994</v>
      </c>
      <c r="O3319" s="23" t="s">
        <v>228</v>
      </c>
      <c r="P3319">
        <v>131.41999999999999</v>
      </c>
      <c r="Q3319" s="23" t="s">
        <v>222</v>
      </c>
    </row>
    <row r="3320" spans="1:17" x14ac:dyDescent="0.25">
      <c r="A3320" s="23" t="s">
        <v>1094</v>
      </c>
      <c r="B3320" s="23" t="s">
        <v>1095</v>
      </c>
      <c r="C3320" s="23" t="s">
        <v>176</v>
      </c>
      <c r="D3320" s="23" t="s">
        <v>449</v>
      </c>
      <c r="E3320" s="23" t="s">
        <v>450</v>
      </c>
      <c r="F3320">
        <v>2</v>
      </c>
      <c r="G3320" s="23" t="s">
        <v>177</v>
      </c>
      <c r="H3320">
        <v>0</v>
      </c>
      <c r="I3320">
        <v>15</v>
      </c>
      <c r="J3320" s="10">
        <v>14</v>
      </c>
      <c r="K3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320">
        <v>15</v>
      </c>
      <c r="M33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0">
        <v>65.709999999999994</v>
      </c>
      <c r="O3320" s="23" t="s">
        <v>228</v>
      </c>
      <c r="P3320">
        <v>131.41999999999999</v>
      </c>
      <c r="Q3320" s="23" t="s">
        <v>222</v>
      </c>
    </row>
    <row r="3321" spans="1:17" x14ac:dyDescent="0.25">
      <c r="A3321" s="23" t="s">
        <v>1150</v>
      </c>
      <c r="B3321" s="23" t="s">
        <v>1145</v>
      </c>
      <c r="C3321" s="23" t="s">
        <v>176</v>
      </c>
      <c r="D3321" s="23" t="s">
        <v>604</v>
      </c>
      <c r="E3321" s="23" t="s">
        <v>605</v>
      </c>
      <c r="F3321">
        <v>2</v>
      </c>
      <c r="G3321" s="23" t="s">
        <v>177</v>
      </c>
      <c r="H3321">
        <v>0</v>
      </c>
      <c r="I3321">
        <v>9</v>
      </c>
      <c r="J3321" s="10">
        <v>6</v>
      </c>
      <c r="K3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321">
        <v>0</v>
      </c>
      <c r="M33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3321">
        <v>75.61</v>
      </c>
      <c r="O3321" s="23" t="s">
        <v>637</v>
      </c>
      <c r="P3321">
        <v>151.22</v>
      </c>
      <c r="Q3321" s="23" t="s">
        <v>178</v>
      </c>
    </row>
    <row r="3322" spans="1:17" x14ac:dyDescent="0.25">
      <c r="A3322" s="23" t="s">
        <v>1146</v>
      </c>
      <c r="B3322" s="23" t="s">
        <v>1145</v>
      </c>
      <c r="C3322" s="23" t="s">
        <v>176</v>
      </c>
      <c r="D3322" s="23" t="s">
        <v>733</v>
      </c>
      <c r="E3322" s="23" t="s">
        <v>734</v>
      </c>
      <c r="F3322">
        <v>16</v>
      </c>
      <c r="G3322" s="23" t="s">
        <v>186</v>
      </c>
      <c r="H3322">
        <v>0</v>
      </c>
      <c r="I3322">
        <v>63</v>
      </c>
      <c r="J3322" s="10">
        <v>-1.4210854715202004E-14</v>
      </c>
      <c r="K3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3322">
        <v>0</v>
      </c>
      <c r="M33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3322">
        <v>1097.8900000000001</v>
      </c>
      <c r="O3322" s="23" t="s">
        <v>649</v>
      </c>
      <c r="P3322">
        <v>17566.240000000002</v>
      </c>
      <c r="Q3322" s="23" t="s">
        <v>184</v>
      </c>
    </row>
    <row r="3323" spans="1:17" x14ac:dyDescent="0.25">
      <c r="A3323" s="23" t="s">
        <v>1149</v>
      </c>
      <c r="B3323" s="23" t="s">
        <v>1145</v>
      </c>
      <c r="C3323" s="23" t="s">
        <v>176</v>
      </c>
      <c r="D3323" s="23" t="s">
        <v>733</v>
      </c>
      <c r="E3323" s="23" t="s">
        <v>734</v>
      </c>
      <c r="F3323">
        <v>16</v>
      </c>
      <c r="G3323" s="23" t="s">
        <v>186</v>
      </c>
      <c r="H3323">
        <v>0</v>
      </c>
      <c r="I3323">
        <v>63</v>
      </c>
      <c r="J3323" s="10">
        <v>-1.4210854715202004E-14</v>
      </c>
      <c r="K3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3323">
        <v>0</v>
      </c>
      <c r="M33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3323">
        <v>1097.8900000000001</v>
      </c>
      <c r="O3323" s="23" t="s">
        <v>649</v>
      </c>
      <c r="P3323">
        <v>17566.240000000002</v>
      </c>
      <c r="Q3323" s="23" t="s">
        <v>184</v>
      </c>
    </row>
    <row r="3324" spans="1:17" x14ac:dyDescent="0.25">
      <c r="A3324" s="23" t="s">
        <v>1150</v>
      </c>
      <c r="B3324" s="23" t="s">
        <v>1145</v>
      </c>
      <c r="C3324" s="23" t="s">
        <v>176</v>
      </c>
      <c r="D3324" s="23" t="s">
        <v>717</v>
      </c>
      <c r="E3324" s="23" t="s">
        <v>718</v>
      </c>
      <c r="F3324">
        <v>0.2</v>
      </c>
      <c r="G3324" s="23" t="s">
        <v>180</v>
      </c>
      <c r="H3324">
        <v>0</v>
      </c>
      <c r="I3324">
        <v>200</v>
      </c>
      <c r="J3324" s="10">
        <v>85.649999999999977</v>
      </c>
      <c r="K3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3324">
        <v>0</v>
      </c>
      <c r="M33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4">
        <v>3.62</v>
      </c>
      <c r="O3324" s="23" t="s">
        <v>827</v>
      </c>
      <c r="P3324">
        <v>0.72400000000000009</v>
      </c>
      <c r="Q3324" s="23" t="s">
        <v>222</v>
      </c>
    </row>
    <row r="3325" spans="1:17" x14ac:dyDescent="0.25">
      <c r="A3325" s="23" t="s">
        <v>1146</v>
      </c>
      <c r="B3325" s="23" t="s">
        <v>1145</v>
      </c>
      <c r="C3325" s="23" t="s">
        <v>176</v>
      </c>
      <c r="D3325" s="23" t="s">
        <v>604</v>
      </c>
      <c r="E3325" s="23" t="s">
        <v>605</v>
      </c>
      <c r="F3325">
        <v>2</v>
      </c>
      <c r="G3325" s="23" t="s">
        <v>177</v>
      </c>
      <c r="H3325">
        <v>0</v>
      </c>
      <c r="I3325">
        <v>9</v>
      </c>
      <c r="J3325" s="10">
        <v>6</v>
      </c>
      <c r="K3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325">
        <v>0</v>
      </c>
      <c r="M33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3325">
        <v>75.61</v>
      </c>
      <c r="O3325" s="23" t="s">
        <v>637</v>
      </c>
      <c r="P3325">
        <v>151.22</v>
      </c>
      <c r="Q3325" s="23" t="s">
        <v>178</v>
      </c>
    </row>
    <row r="3326" spans="1:17" x14ac:dyDescent="0.25">
      <c r="A3326" s="23" t="s">
        <v>1144</v>
      </c>
      <c r="B3326" s="23" t="s">
        <v>1145</v>
      </c>
      <c r="C3326" s="23" t="s">
        <v>176</v>
      </c>
      <c r="D3326" s="23" t="s">
        <v>604</v>
      </c>
      <c r="E3326" s="23" t="s">
        <v>605</v>
      </c>
      <c r="F3326">
        <v>2</v>
      </c>
      <c r="G3326" s="23" t="s">
        <v>177</v>
      </c>
      <c r="H3326">
        <v>0</v>
      </c>
      <c r="I3326">
        <v>9</v>
      </c>
      <c r="J3326" s="10">
        <v>6</v>
      </c>
      <c r="K3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326">
        <v>0</v>
      </c>
      <c r="M33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3326">
        <v>75.61</v>
      </c>
      <c r="O3326" s="23" t="s">
        <v>637</v>
      </c>
      <c r="P3326">
        <v>151.22</v>
      </c>
      <c r="Q3326" s="23" t="s">
        <v>178</v>
      </c>
    </row>
    <row r="3327" spans="1:17" x14ac:dyDescent="0.25">
      <c r="A3327" s="23" t="s">
        <v>1149</v>
      </c>
      <c r="B3327" s="23" t="s">
        <v>1145</v>
      </c>
      <c r="C3327" s="23" t="s">
        <v>176</v>
      </c>
      <c r="D3327" s="23" t="s">
        <v>717</v>
      </c>
      <c r="E3327" s="23" t="s">
        <v>718</v>
      </c>
      <c r="F3327">
        <v>0.2</v>
      </c>
      <c r="G3327" s="23" t="s">
        <v>180</v>
      </c>
      <c r="H3327">
        <v>0</v>
      </c>
      <c r="I3327">
        <v>200</v>
      </c>
      <c r="J3327" s="10">
        <v>85.649999999999977</v>
      </c>
      <c r="K3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3327">
        <v>0</v>
      </c>
      <c r="M33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27">
        <v>3.62</v>
      </c>
      <c r="O3327" s="23" t="s">
        <v>827</v>
      </c>
      <c r="P3327">
        <v>0.72400000000000009</v>
      </c>
      <c r="Q3327" s="23" t="s">
        <v>222</v>
      </c>
    </row>
    <row r="3328" spans="1:17" x14ac:dyDescent="0.25">
      <c r="A3328" s="23" t="s">
        <v>1058</v>
      </c>
      <c r="B3328" s="23" t="s">
        <v>1059</v>
      </c>
      <c r="C3328" s="23" t="s">
        <v>176</v>
      </c>
      <c r="D3328" s="23" t="s">
        <v>733</v>
      </c>
      <c r="E3328" s="23" t="s">
        <v>734</v>
      </c>
      <c r="F3328">
        <v>16</v>
      </c>
      <c r="G3328" s="23" t="s">
        <v>186</v>
      </c>
      <c r="H3328">
        <v>0</v>
      </c>
      <c r="I3328">
        <v>63</v>
      </c>
      <c r="J3328" s="10">
        <v>-1.4210854715202004E-14</v>
      </c>
      <c r="K3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3328">
        <v>0</v>
      </c>
      <c r="M33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3328">
        <v>1097.8900000000001</v>
      </c>
      <c r="O3328" s="23" t="s">
        <v>649</v>
      </c>
      <c r="P3328">
        <v>17566.240000000002</v>
      </c>
      <c r="Q3328" s="23" t="s">
        <v>184</v>
      </c>
    </row>
    <row r="3329" spans="1:17" x14ac:dyDescent="0.25">
      <c r="A3329" s="23" t="s">
        <v>1197</v>
      </c>
      <c r="B3329" s="23" t="s">
        <v>1198</v>
      </c>
      <c r="C3329" s="23" t="s">
        <v>176</v>
      </c>
      <c r="D3329" s="23" t="s">
        <v>970</v>
      </c>
      <c r="E3329" s="23" t="s">
        <v>971</v>
      </c>
      <c r="F3329">
        <v>0.36</v>
      </c>
      <c r="G3329" s="23" t="s">
        <v>183</v>
      </c>
      <c r="H3329">
        <v>0</v>
      </c>
      <c r="I3329">
        <v>0</v>
      </c>
      <c r="J3329" s="10">
        <v>30.760000000000009</v>
      </c>
      <c r="K3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3329">
        <v>0</v>
      </c>
      <c r="M33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3329">
        <v>1748.21</v>
      </c>
      <c r="O3329" s="23" t="s">
        <v>224</v>
      </c>
      <c r="P3329">
        <v>629.35559999999998</v>
      </c>
      <c r="Q3329" s="23" t="s">
        <v>182</v>
      </c>
    </row>
    <row r="3330" spans="1:17" x14ac:dyDescent="0.25">
      <c r="A3330" s="23" t="s">
        <v>1098</v>
      </c>
      <c r="B3330" s="23" t="s">
        <v>1053</v>
      </c>
      <c r="C3330" s="23" t="s">
        <v>176</v>
      </c>
      <c r="D3330" s="23" t="s">
        <v>604</v>
      </c>
      <c r="E3330" s="23" t="s">
        <v>605</v>
      </c>
      <c r="F3330">
        <v>2</v>
      </c>
      <c r="G3330" s="23" t="s">
        <v>177</v>
      </c>
      <c r="H3330">
        <v>0</v>
      </c>
      <c r="I3330">
        <v>9</v>
      </c>
      <c r="J3330" s="10">
        <v>6</v>
      </c>
      <c r="K3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330">
        <v>0</v>
      </c>
      <c r="M33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3330">
        <v>75.61</v>
      </c>
      <c r="O3330" s="23" t="s">
        <v>637</v>
      </c>
      <c r="P3330">
        <v>151.22</v>
      </c>
      <c r="Q3330" s="23" t="s">
        <v>178</v>
      </c>
    </row>
    <row r="3331" spans="1:17" x14ac:dyDescent="0.25">
      <c r="A3331" s="23" t="s">
        <v>1197</v>
      </c>
      <c r="B3331" s="23" t="s">
        <v>1198</v>
      </c>
      <c r="C3331" s="23" t="s">
        <v>176</v>
      </c>
      <c r="D3331" s="23" t="s">
        <v>604</v>
      </c>
      <c r="E3331" s="23" t="s">
        <v>605</v>
      </c>
      <c r="F3331">
        <v>2</v>
      </c>
      <c r="G3331" s="23" t="s">
        <v>177</v>
      </c>
      <c r="H3331">
        <v>0</v>
      </c>
      <c r="I3331">
        <v>9</v>
      </c>
      <c r="J3331" s="10">
        <v>6</v>
      </c>
      <c r="K3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3331">
        <v>0</v>
      </c>
      <c r="M33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3331">
        <v>75.61</v>
      </c>
      <c r="O3331" s="23" t="s">
        <v>637</v>
      </c>
      <c r="P3331">
        <v>151.22</v>
      </c>
      <c r="Q3331" s="23" t="s">
        <v>178</v>
      </c>
    </row>
    <row r="3332" spans="1:17" x14ac:dyDescent="0.25">
      <c r="A3332" s="23" t="s">
        <v>1098</v>
      </c>
      <c r="B3332" s="23" t="s">
        <v>1053</v>
      </c>
      <c r="C3332" s="23" t="s">
        <v>176</v>
      </c>
      <c r="D3332" s="23" t="s">
        <v>787</v>
      </c>
      <c r="E3332" s="23" t="s">
        <v>788</v>
      </c>
      <c r="F3332">
        <v>2.5</v>
      </c>
      <c r="G3332" s="23" t="s">
        <v>180</v>
      </c>
      <c r="H3332">
        <v>0</v>
      </c>
      <c r="I3332">
        <v>100</v>
      </c>
      <c r="J3332" s="10">
        <v>185.5</v>
      </c>
      <c r="K3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-88.5</v>
      </c>
      <c r="L3332">
        <v>0</v>
      </c>
      <c r="M33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2">
        <v>57.6</v>
      </c>
      <c r="O3332" s="23" t="s">
        <v>827</v>
      </c>
      <c r="P3332">
        <v>144</v>
      </c>
      <c r="Q3332" s="23" t="s">
        <v>222</v>
      </c>
    </row>
    <row r="3333" spans="1:17" x14ac:dyDescent="0.25">
      <c r="A3333" s="23" t="s">
        <v>1098</v>
      </c>
      <c r="B3333" s="23" t="s">
        <v>1053</v>
      </c>
      <c r="C3333" s="23" t="s">
        <v>176</v>
      </c>
      <c r="D3333" s="23" t="s">
        <v>733</v>
      </c>
      <c r="E3333" s="23" t="s">
        <v>734</v>
      </c>
      <c r="F3333">
        <v>14</v>
      </c>
      <c r="G3333" s="23" t="s">
        <v>186</v>
      </c>
      <c r="H3333">
        <v>0</v>
      </c>
      <c r="I3333">
        <v>63</v>
      </c>
      <c r="J3333" s="10">
        <v>-1.4210854715202004E-14</v>
      </c>
      <c r="K3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3333">
        <v>0</v>
      </c>
      <c r="M33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3333">
        <v>1097.8900000000001</v>
      </c>
      <c r="O3333" s="23" t="s">
        <v>649</v>
      </c>
      <c r="P3333">
        <v>15370.460000000001</v>
      </c>
      <c r="Q3333" s="23" t="s">
        <v>184</v>
      </c>
    </row>
    <row r="3334" spans="1:17" x14ac:dyDescent="0.25">
      <c r="A3334" s="23" t="s">
        <v>1100</v>
      </c>
      <c r="B3334" s="23" t="s">
        <v>1101</v>
      </c>
      <c r="C3334" s="23" t="s">
        <v>176</v>
      </c>
      <c r="D3334" s="23" t="s">
        <v>733</v>
      </c>
      <c r="E3334" s="23" t="s">
        <v>734</v>
      </c>
      <c r="F3334">
        <v>18</v>
      </c>
      <c r="G3334" s="23" t="s">
        <v>186</v>
      </c>
      <c r="H3334">
        <v>0</v>
      </c>
      <c r="I3334">
        <v>63</v>
      </c>
      <c r="J3334" s="10">
        <v>-1.4210854715202004E-14</v>
      </c>
      <c r="K3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3334">
        <v>0</v>
      </c>
      <c r="M33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3334">
        <v>1097.8900000000001</v>
      </c>
      <c r="O3334" s="23" t="s">
        <v>649</v>
      </c>
      <c r="P3334">
        <v>19762.02</v>
      </c>
      <c r="Q3334" s="23" t="s">
        <v>184</v>
      </c>
    </row>
    <row r="3335" spans="1:17" x14ac:dyDescent="0.25">
      <c r="A3335" s="23" t="s">
        <v>1055</v>
      </c>
      <c r="B3335" s="23" t="s">
        <v>1056</v>
      </c>
      <c r="C3335" s="23" t="s">
        <v>176</v>
      </c>
      <c r="D3335" s="23" t="s">
        <v>717</v>
      </c>
      <c r="E3335" s="23" t="s">
        <v>718</v>
      </c>
      <c r="F3335">
        <v>0.2</v>
      </c>
      <c r="G3335" s="23" t="s">
        <v>180</v>
      </c>
      <c r="H3335">
        <v>0</v>
      </c>
      <c r="I3335">
        <v>200</v>
      </c>
      <c r="J3335" s="10">
        <v>85.649999999999977</v>
      </c>
      <c r="K3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3335">
        <v>0</v>
      </c>
      <c r="M33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5">
        <v>3.62</v>
      </c>
      <c r="O3335" s="23" t="s">
        <v>827</v>
      </c>
      <c r="P3335">
        <v>0.72400000000000009</v>
      </c>
      <c r="Q3335" s="23" t="s">
        <v>222</v>
      </c>
    </row>
    <row r="3336" spans="1:17" x14ac:dyDescent="0.25">
      <c r="A3336" s="23" t="s">
        <v>1100</v>
      </c>
      <c r="B3336" s="23" t="s">
        <v>1101</v>
      </c>
      <c r="C3336" s="23" t="s">
        <v>176</v>
      </c>
      <c r="D3336" s="23" t="s">
        <v>717</v>
      </c>
      <c r="E3336" s="23" t="s">
        <v>718</v>
      </c>
      <c r="F3336">
        <v>0.2</v>
      </c>
      <c r="G3336" s="23" t="s">
        <v>180</v>
      </c>
      <c r="H3336">
        <v>0</v>
      </c>
      <c r="I3336">
        <v>200</v>
      </c>
      <c r="J3336" s="10">
        <v>85.649999999999977</v>
      </c>
      <c r="K3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3336">
        <v>0</v>
      </c>
      <c r="M33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6">
        <v>3.62</v>
      </c>
      <c r="O3336" s="23" t="s">
        <v>827</v>
      </c>
      <c r="P3336">
        <v>0.72400000000000009</v>
      </c>
      <c r="Q3336" s="23" t="s">
        <v>222</v>
      </c>
    </row>
    <row r="3337" spans="1:17" x14ac:dyDescent="0.25">
      <c r="A3337" s="23" t="s">
        <v>1097</v>
      </c>
      <c r="B3337" s="23" t="s">
        <v>1095</v>
      </c>
      <c r="C3337" s="23" t="s">
        <v>176</v>
      </c>
      <c r="D3337" s="23" t="s">
        <v>970</v>
      </c>
      <c r="E3337" s="23" t="s">
        <v>971</v>
      </c>
      <c r="F3337">
        <v>0.6</v>
      </c>
      <c r="G3337" s="23" t="s">
        <v>183</v>
      </c>
      <c r="H3337">
        <v>0</v>
      </c>
      <c r="I3337">
        <v>0</v>
      </c>
      <c r="J3337" s="10">
        <v>30.760000000000009</v>
      </c>
      <c r="K3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3337">
        <v>0</v>
      </c>
      <c r="M33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3337">
        <v>1748.21</v>
      </c>
      <c r="O3337" s="23" t="s">
        <v>224</v>
      </c>
      <c r="P3337">
        <v>1048.9259999999999</v>
      </c>
      <c r="Q3337" s="23" t="s">
        <v>182</v>
      </c>
    </row>
    <row r="3338" spans="1:17" x14ac:dyDescent="0.25">
      <c r="A3338" s="23" t="s">
        <v>1197</v>
      </c>
      <c r="B3338" s="23" t="s">
        <v>1198</v>
      </c>
      <c r="C3338" s="23" t="s">
        <v>176</v>
      </c>
      <c r="D3338" s="23" t="s">
        <v>1156</v>
      </c>
      <c r="E3338" s="23" t="s">
        <v>1157</v>
      </c>
      <c r="F3338">
        <v>2</v>
      </c>
      <c r="G3338" s="23" t="s">
        <v>177</v>
      </c>
      <c r="H3338">
        <v>0</v>
      </c>
      <c r="I3338">
        <v>0</v>
      </c>
      <c r="J3338" s="10">
        <v>0</v>
      </c>
      <c r="K3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3338">
        <v>0</v>
      </c>
      <c r="M33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3338">
        <v>0.88</v>
      </c>
      <c r="O3338" s="23" t="s">
        <v>636</v>
      </c>
      <c r="P3338">
        <v>1.76</v>
      </c>
      <c r="Q3338" s="23" t="s">
        <v>222</v>
      </c>
    </row>
    <row r="3339" spans="1:17" x14ac:dyDescent="0.25">
      <c r="A3339" s="23" t="s">
        <v>1150</v>
      </c>
      <c r="B3339" s="23" t="s">
        <v>1145</v>
      </c>
      <c r="C3339" s="23" t="s">
        <v>176</v>
      </c>
      <c r="D3339" s="23" t="s">
        <v>362</v>
      </c>
      <c r="E3339" s="23" t="s">
        <v>363</v>
      </c>
      <c r="F3339">
        <v>7.5</v>
      </c>
      <c r="G3339" s="23" t="s">
        <v>180</v>
      </c>
      <c r="H3339">
        <v>0</v>
      </c>
      <c r="I3339">
        <v>200</v>
      </c>
      <c r="J3339" s="10">
        <v>39.999999999999659</v>
      </c>
      <c r="K3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339">
        <v>0</v>
      </c>
      <c r="M33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39">
        <v>22.5</v>
      </c>
      <c r="O3339" s="23" t="s">
        <v>315</v>
      </c>
      <c r="P3339">
        <v>168.75</v>
      </c>
      <c r="Q3339" s="23" t="s">
        <v>179</v>
      </c>
    </row>
    <row r="3340" spans="1:17" x14ac:dyDescent="0.25">
      <c r="A3340" s="23" t="s">
        <v>1150</v>
      </c>
      <c r="B3340" s="23" t="s">
        <v>1145</v>
      </c>
      <c r="C3340" s="23" t="s">
        <v>176</v>
      </c>
      <c r="D3340" s="23" t="s">
        <v>144</v>
      </c>
      <c r="E3340" s="23" t="s">
        <v>145</v>
      </c>
      <c r="F3340">
        <v>2</v>
      </c>
      <c r="G3340" s="23" t="s">
        <v>177</v>
      </c>
      <c r="H3340">
        <v>0</v>
      </c>
      <c r="I3340">
        <v>0</v>
      </c>
      <c r="J3340" s="10">
        <v>64</v>
      </c>
      <c r="K3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340">
        <v>0</v>
      </c>
      <c r="M33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340">
        <v>6.87</v>
      </c>
      <c r="O3340" s="23" t="s">
        <v>827</v>
      </c>
      <c r="P3340">
        <v>13.74</v>
      </c>
      <c r="Q3340" s="23" t="s">
        <v>222</v>
      </c>
    </row>
    <row r="3341" spans="1:17" x14ac:dyDescent="0.25">
      <c r="A3341" s="23" t="s">
        <v>1144</v>
      </c>
      <c r="B3341" s="23" t="s">
        <v>1145</v>
      </c>
      <c r="C3341" s="23" t="s">
        <v>176</v>
      </c>
      <c r="D3341" s="23" t="s">
        <v>95</v>
      </c>
      <c r="E3341" s="23" t="s">
        <v>96</v>
      </c>
      <c r="F3341">
        <v>1</v>
      </c>
      <c r="G3341" s="23" t="s">
        <v>177</v>
      </c>
      <c r="H3341">
        <v>0</v>
      </c>
      <c r="I3341">
        <v>13</v>
      </c>
      <c r="J3341" s="10">
        <v>6</v>
      </c>
      <c r="K3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41">
        <v>0</v>
      </c>
      <c r="M33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1">
        <v>1145.83</v>
      </c>
      <c r="O3341" s="23" t="s">
        <v>249</v>
      </c>
      <c r="P3341">
        <v>1145.83</v>
      </c>
      <c r="Q3341" s="23" t="s">
        <v>178</v>
      </c>
    </row>
    <row r="3342" spans="1:17" x14ac:dyDescent="0.25">
      <c r="A3342" s="23" t="s">
        <v>1146</v>
      </c>
      <c r="B3342" s="23" t="s">
        <v>1145</v>
      </c>
      <c r="C3342" s="23" t="s">
        <v>176</v>
      </c>
      <c r="D3342" s="23" t="s">
        <v>144</v>
      </c>
      <c r="E3342" s="23" t="s">
        <v>145</v>
      </c>
      <c r="F3342">
        <v>2</v>
      </c>
      <c r="G3342" s="23" t="s">
        <v>177</v>
      </c>
      <c r="H3342">
        <v>0</v>
      </c>
      <c r="I3342">
        <v>0</v>
      </c>
      <c r="J3342" s="10">
        <v>64</v>
      </c>
      <c r="K3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342">
        <v>0</v>
      </c>
      <c r="M33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342">
        <v>6.87</v>
      </c>
      <c r="O3342" s="23" t="s">
        <v>827</v>
      </c>
      <c r="P3342">
        <v>13.74</v>
      </c>
      <c r="Q3342" s="23" t="s">
        <v>222</v>
      </c>
    </row>
    <row r="3343" spans="1:17" x14ac:dyDescent="0.25">
      <c r="A3343" s="23" t="s">
        <v>1144</v>
      </c>
      <c r="B3343" s="23" t="s">
        <v>1145</v>
      </c>
      <c r="C3343" s="23" t="s">
        <v>176</v>
      </c>
      <c r="D3343" s="23" t="s">
        <v>144</v>
      </c>
      <c r="E3343" s="23" t="s">
        <v>145</v>
      </c>
      <c r="F3343">
        <v>2</v>
      </c>
      <c r="G3343" s="23" t="s">
        <v>177</v>
      </c>
      <c r="H3343">
        <v>0</v>
      </c>
      <c r="I3343">
        <v>0</v>
      </c>
      <c r="J3343" s="10">
        <v>64</v>
      </c>
      <c r="K3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343">
        <v>0</v>
      </c>
      <c r="M33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343">
        <v>6.87</v>
      </c>
      <c r="O3343" s="23" t="s">
        <v>827</v>
      </c>
      <c r="P3343">
        <v>13.74</v>
      </c>
      <c r="Q3343" s="23" t="s">
        <v>222</v>
      </c>
    </row>
    <row r="3344" spans="1:17" x14ac:dyDescent="0.25">
      <c r="A3344" s="23" t="s">
        <v>1148</v>
      </c>
      <c r="B3344" s="23" t="s">
        <v>1054</v>
      </c>
      <c r="C3344" s="23" t="s">
        <v>176</v>
      </c>
      <c r="D3344" s="23" t="s">
        <v>379</v>
      </c>
      <c r="E3344" s="23" t="s">
        <v>380</v>
      </c>
      <c r="F3344">
        <v>1</v>
      </c>
      <c r="G3344" s="23" t="s">
        <v>177</v>
      </c>
      <c r="H3344">
        <v>0</v>
      </c>
      <c r="I3344">
        <v>50</v>
      </c>
      <c r="J3344" s="10">
        <v>33</v>
      </c>
      <c r="K3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344">
        <v>0</v>
      </c>
      <c r="M33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4">
        <v>72.599999999999994</v>
      </c>
      <c r="O3344" s="23" t="s">
        <v>242</v>
      </c>
      <c r="P3344">
        <v>72.599999999999994</v>
      </c>
      <c r="Q3344" s="23" t="s">
        <v>179</v>
      </c>
    </row>
    <row r="3345" spans="1:17" x14ac:dyDescent="0.25">
      <c r="A3345" s="23" t="s">
        <v>1144</v>
      </c>
      <c r="B3345" s="23" t="s">
        <v>1145</v>
      </c>
      <c r="C3345" s="23" t="s">
        <v>176</v>
      </c>
      <c r="D3345" s="23" t="s">
        <v>99</v>
      </c>
      <c r="E3345" s="23" t="s">
        <v>250</v>
      </c>
      <c r="F3345">
        <v>7</v>
      </c>
      <c r="G3345" s="23" t="s">
        <v>177</v>
      </c>
      <c r="H3345">
        <v>7</v>
      </c>
      <c r="I3345">
        <v>230</v>
      </c>
      <c r="J3345" s="10">
        <v>72</v>
      </c>
      <c r="K3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345">
        <v>0</v>
      </c>
      <c r="M33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5">
        <v>225</v>
      </c>
      <c r="O3345" s="23" t="s">
        <v>826</v>
      </c>
      <c r="P3345">
        <v>1575</v>
      </c>
      <c r="Q3345" s="23" t="s">
        <v>178</v>
      </c>
    </row>
    <row r="3346" spans="1:17" x14ac:dyDescent="0.25">
      <c r="A3346" s="23" t="s">
        <v>1149</v>
      </c>
      <c r="B3346" s="23" t="s">
        <v>1145</v>
      </c>
      <c r="C3346" s="23" t="s">
        <v>176</v>
      </c>
      <c r="D3346" s="23" t="s">
        <v>104</v>
      </c>
      <c r="E3346" s="23" t="s">
        <v>290</v>
      </c>
      <c r="F3346">
        <v>1</v>
      </c>
      <c r="G3346" s="23" t="s">
        <v>177</v>
      </c>
      <c r="H3346">
        <v>0</v>
      </c>
      <c r="I3346">
        <v>87</v>
      </c>
      <c r="J3346" s="10">
        <v>50.899999999999949</v>
      </c>
      <c r="K3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346">
        <v>0</v>
      </c>
      <c r="M33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6">
        <v>122.09</v>
      </c>
      <c r="O3346" s="23" t="s">
        <v>252</v>
      </c>
      <c r="P3346">
        <v>122.09</v>
      </c>
      <c r="Q3346" s="23" t="s">
        <v>181</v>
      </c>
    </row>
    <row r="3347" spans="1:17" x14ac:dyDescent="0.25">
      <c r="A3347" s="23" t="s">
        <v>1147</v>
      </c>
      <c r="B3347" s="23" t="s">
        <v>1145</v>
      </c>
      <c r="C3347" s="23" t="s">
        <v>198</v>
      </c>
      <c r="D3347" s="23" t="s">
        <v>794</v>
      </c>
      <c r="E3347" s="23" t="s">
        <v>795</v>
      </c>
      <c r="F3347">
        <v>1</v>
      </c>
      <c r="G3347" s="23" t="s">
        <v>177</v>
      </c>
      <c r="H3347">
        <v>0</v>
      </c>
      <c r="I3347">
        <v>26</v>
      </c>
      <c r="J3347" s="10">
        <v>3</v>
      </c>
      <c r="K3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347">
        <v>0</v>
      </c>
      <c r="M33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47">
        <v>2800</v>
      </c>
      <c r="O3347" s="23" t="s">
        <v>796</v>
      </c>
      <c r="P3347">
        <v>2800</v>
      </c>
      <c r="Q3347" s="23" t="s">
        <v>178</v>
      </c>
    </row>
    <row r="3348" spans="1:17" x14ac:dyDescent="0.25">
      <c r="A3348" s="23" t="s">
        <v>1058</v>
      </c>
      <c r="B3348" s="23" t="s">
        <v>1059</v>
      </c>
      <c r="C3348" s="23" t="s">
        <v>176</v>
      </c>
      <c r="D3348" s="23" t="s">
        <v>105</v>
      </c>
      <c r="E3348" s="23" t="s">
        <v>106</v>
      </c>
      <c r="F3348">
        <v>5</v>
      </c>
      <c r="G3348" s="23" t="s">
        <v>177</v>
      </c>
      <c r="H3348">
        <v>0</v>
      </c>
      <c r="I3348">
        <v>39</v>
      </c>
      <c r="J3348" s="10">
        <v>36</v>
      </c>
      <c r="K3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348">
        <v>0</v>
      </c>
      <c r="M33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348">
        <v>105</v>
      </c>
      <c r="O3348" s="23" t="s">
        <v>626</v>
      </c>
      <c r="P3348">
        <v>525</v>
      </c>
      <c r="Q3348" s="23" t="s">
        <v>179</v>
      </c>
    </row>
    <row r="3349" spans="1:17" x14ac:dyDescent="0.25">
      <c r="A3349" s="23" t="s">
        <v>1055</v>
      </c>
      <c r="B3349" s="23" t="s">
        <v>1056</v>
      </c>
      <c r="C3349" s="23" t="s">
        <v>176</v>
      </c>
      <c r="D3349" s="23" t="s">
        <v>105</v>
      </c>
      <c r="E3349" s="23" t="s">
        <v>106</v>
      </c>
      <c r="F3349">
        <v>5</v>
      </c>
      <c r="G3349" s="23" t="s">
        <v>177</v>
      </c>
      <c r="H3349">
        <v>0</v>
      </c>
      <c r="I3349">
        <v>39</v>
      </c>
      <c r="J3349" s="10">
        <v>36</v>
      </c>
      <c r="K3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349">
        <v>0</v>
      </c>
      <c r="M33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349">
        <v>105</v>
      </c>
      <c r="O3349" s="23" t="s">
        <v>626</v>
      </c>
      <c r="P3349">
        <v>525</v>
      </c>
      <c r="Q3349" s="23" t="s">
        <v>179</v>
      </c>
    </row>
    <row r="3350" spans="1:17" x14ac:dyDescent="0.25">
      <c r="A3350" s="23" t="s">
        <v>1099</v>
      </c>
      <c r="B3350" s="23" t="s">
        <v>1056</v>
      </c>
      <c r="C3350" s="23" t="s">
        <v>176</v>
      </c>
      <c r="D3350" s="23" t="s">
        <v>105</v>
      </c>
      <c r="E3350" s="23" t="s">
        <v>106</v>
      </c>
      <c r="F3350">
        <v>5</v>
      </c>
      <c r="G3350" s="23" t="s">
        <v>177</v>
      </c>
      <c r="H3350">
        <v>0</v>
      </c>
      <c r="I3350">
        <v>39</v>
      </c>
      <c r="J3350" s="10">
        <v>36</v>
      </c>
      <c r="K3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350">
        <v>0</v>
      </c>
      <c r="M33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350">
        <v>105</v>
      </c>
      <c r="O3350" s="23" t="s">
        <v>626</v>
      </c>
      <c r="P3350">
        <v>525</v>
      </c>
      <c r="Q3350" s="23" t="s">
        <v>179</v>
      </c>
    </row>
    <row r="3351" spans="1:17" x14ac:dyDescent="0.25">
      <c r="A3351" s="23" t="s">
        <v>1058</v>
      </c>
      <c r="B3351" s="23" t="s">
        <v>1059</v>
      </c>
      <c r="C3351" s="23" t="s">
        <v>176</v>
      </c>
      <c r="D3351" s="23" t="s">
        <v>379</v>
      </c>
      <c r="E3351" s="23" t="s">
        <v>380</v>
      </c>
      <c r="F3351">
        <v>2</v>
      </c>
      <c r="G3351" s="23" t="s">
        <v>177</v>
      </c>
      <c r="H3351">
        <v>0</v>
      </c>
      <c r="I3351">
        <v>50</v>
      </c>
      <c r="J3351" s="10">
        <v>33</v>
      </c>
      <c r="K3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351">
        <v>0</v>
      </c>
      <c r="M33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1">
        <v>72.599999999999994</v>
      </c>
      <c r="O3351" s="23" t="s">
        <v>242</v>
      </c>
      <c r="P3351">
        <v>145.19999999999999</v>
      </c>
      <c r="Q3351" s="23" t="s">
        <v>179</v>
      </c>
    </row>
    <row r="3352" spans="1:17" x14ac:dyDescent="0.25">
      <c r="A3352" s="23" t="s">
        <v>1055</v>
      </c>
      <c r="B3352" s="23" t="s">
        <v>1056</v>
      </c>
      <c r="C3352" s="23" t="s">
        <v>176</v>
      </c>
      <c r="D3352" s="23" t="s">
        <v>379</v>
      </c>
      <c r="E3352" s="23" t="s">
        <v>380</v>
      </c>
      <c r="F3352">
        <v>2</v>
      </c>
      <c r="G3352" s="23" t="s">
        <v>177</v>
      </c>
      <c r="H3352">
        <v>0</v>
      </c>
      <c r="I3352">
        <v>50</v>
      </c>
      <c r="J3352" s="10">
        <v>33</v>
      </c>
      <c r="K3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352">
        <v>0</v>
      </c>
      <c r="M33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2">
        <v>72.599999999999994</v>
      </c>
      <c r="O3352" s="23" t="s">
        <v>242</v>
      </c>
      <c r="P3352">
        <v>145.19999999999999</v>
      </c>
      <c r="Q3352" s="23" t="s">
        <v>179</v>
      </c>
    </row>
    <row r="3353" spans="1:17" x14ac:dyDescent="0.25">
      <c r="A3353" s="23" t="s">
        <v>1099</v>
      </c>
      <c r="B3353" s="23" t="s">
        <v>1056</v>
      </c>
      <c r="C3353" s="23" t="s">
        <v>176</v>
      </c>
      <c r="D3353" s="23" t="s">
        <v>379</v>
      </c>
      <c r="E3353" s="23" t="s">
        <v>380</v>
      </c>
      <c r="F3353">
        <v>2</v>
      </c>
      <c r="G3353" s="23" t="s">
        <v>177</v>
      </c>
      <c r="H3353">
        <v>0</v>
      </c>
      <c r="I3353">
        <v>50</v>
      </c>
      <c r="J3353" s="10">
        <v>33</v>
      </c>
      <c r="K3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353">
        <v>0</v>
      </c>
      <c r="M33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3">
        <v>72.599999999999994</v>
      </c>
      <c r="O3353" s="23" t="s">
        <v>242</v>
      </c>
      <c r="P3353">
        <v>145.19999999999999</v>
      </c>
      <c r="Q3353" s="23" t="s">
        <v>179</v>
      </c>
    </row>
    <row r="3354" spans="1:17" x14ac:dyDescent="0.25">
      <c r="A3354" s="23" t="s">
        <v>1149</v>
      </c>
      <c r="B3354" s="23" t="s">
        <v>1145</v>
      </c>
      <c r="C3354" s="23" t="s">
        <v>176</v>
      </c>
      <c r="D3354" s="23" t="s">
        <v>99</v>
      </c>
      <c r="E3354" s="23" t="s">
        <v>250</v>
      </c>
      <c r="F3354">
        <v>7</v>
      </c>
      <c r="G3354" s="23" t="s">
        <v>177</v>
      </c>
      <c r="H3354">
        <v>0</v>
      </c>
      <c r="I3354">
        <v>230</v>
      </c>
      <c r="J3354" s="10">
        <v>72</v>
      </c>
      <c r="K3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354">
        <v>0</v>
      </c>
      <c r="M33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4">
        <v>225</v>
      </c>
      <c r="O3354" s="23" t="s">
        <v>826</v>
      </c>
      <c r="P3354">
        <v>1575</v>
      </c>
      <c r="Q3354" s="23" t="s">
        <v>178</v>
      </c>
    </row>
    <row r="3355" spans="1:17" x14ac:dyDescent="0.25">
      <c r="A3355" s="23" t="s">
        <v>1144</v>
      </c>
      <c r="B3355" s="23" t="s">
        <v>1145</v>
      </c>
      <c r="C3355" s="23" t="s">
        <v>176</v>
      </c>
      <c r="D3355" s="23" t="s">
        <v>104</v>
      </c>
      <c r="E3355" s="23" t="s">
        <v>290</v>
      </c>
      <c r="F3355">
        <v>1</v>
      </c>
      <c r="G3355" s="23" t="s">
        <v>177</v>
      </c>
      <c r="H3355">
        <v>0</v>
      </c>
      <c r="I3355">
        <v>87</v>
      </c>
      <c r="J3355" s="10">
        <v>50.899999999999949</v>
      </c>
      <c r="K3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355">
        <v>0</v>
      </c>
      <c r="M33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5">
        <v>122.09</v>
      </c>
      <c r="O3355" s="23" t="s">
        <v>252</v>
      </c>
      <c r="P3355">
        <v>122.09</v>
      </c>
      <c r="Q3355" s="23" t="s">
        <v>181</v>
      </c>
    </row>
    <row r="3356" spans="1:17" x14ac:dyDescent="0.25">
      <c r="A3356" s="23" t="s">
        <v>1144</v>
      </c>
      <c r="B3356" s="23" t="s">
        <v>1145</v>
      </c>
      <c r="C3356" s="23" t="s">
        <v>176</v>
      </c>
      <c r="D3356" s="23" t="s">
        <v>142</v>
      </c>
      <c r="E3356" s="23" t="s">
        <v>143</v>
      </c>
      <c r="F3356">
        <v>16</v>
      </c>
      <c r="G3356" s="23" t="s">
        <v>177</v>
      </c>
      <c r="H3356">
        <v>0</v>
      </c>
      <c r="I3356">
        <v>150</v>
      </c>
      <c r="J3356" s="10">
        <v>0</v>
      </c>
      <c r="K3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356">
        <v>0</v>
      </c>
      <c r="M33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356">
        <v>27.75</v>
      </c>
      <c r="O3356" s="23" t="s">
        <v>743</v>
      </c>
      <c r="P3356">
        <v>444</v>
      </c>
      <c r="Q3356" s="23" t="s">
        <v>185</v>
      </c>
    </row>
    <row r="3357" spans="1:17" x14ac:dyDescent="0.25">
      <c r="A3357" s="23" t="s">
        <v>1146</v>
      </c>
      <c r="B3357" s="23" t="s">
        <v>1145</v>
      </c>
      <c r="C3357" s="23" t="s">
        <v>176</v>
      </c>
      <c r="D3357" s="23" t="s">
        <v>142</v>
      </c>
      <c r="E3357" s="23" t="s">
        <v>143</v>
      </c>
      <c r="F3357">
        <v>16</v>
      </c>
      <c r="G3357" s="23" t="s">
        <v>177</v>
      </c>
      <c r="H3357">
        <v>0</v>
      </c>
      <c r="I3357">
        <v>150</v>
      </c>
      <c r="J3357" s="10">
        <v>0</v>
      </c>
      <c r="K3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357">
        <v>0</v>
      </c>
      <c r="M33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357">
        <v>27.75</v>
      </c>
      <c r="O3357" s="23" t="s">
        <v>743</v>
      </c>
      <c r="P3357">
        <v>444</v>
      </c>
      <c r="Q3357" s="23" t="s">
        <v>185</v>
      </c>
    </row>
    <row r="3358" spans="1:17" x14ac:dyDescent="0.25">
      <c r="A3358" s="23" t="s">
        <v>1146</v>
      </c>
      <c r="B3358" s="23" t="s">
        <v>1145</v>
      </c>
      <c r="C3358" s="23" t="s">
        <v>176</v>
      </c>
      <c r="D3358" s="23" t="s">
        <v>5</v>
      </c>
      <c r="E3358" s="23" t="s">
        <v>6</v>
      </c>
      <c r="F3358">
        <v>4.0999999999999996</v>
      </c>
      <c r="G3358" s="23" t="s">
        <v>180</v>
      </c>
      <c r="H3358">
        <v>0</v>
      </c>
      <c r="I3358">
        <v>100</v>
      </c>
      <c r="J3358" s="10">
        <v>1.9999999999998863</v>
      </c>
      <c r="K3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358">
        <v>0</v>
      </c>
      <c r="M33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8">
        <v>111</v>
      </c>
      <c r="O3358" s="23" t="s">
        <v>827</v>
      </c>
      <c r="P3358">
        <v>455.09999999999997</v>
      </c>
      <c r="Q3358" s="23" t="s">
        <v>222</v>
      </c>
    </row>
    <row r="3359" spans="1:17" x14ac:dyDescent="0.25">
      <c r="A3359" s="23" t="s">
        <v>1150</v>
      </c>
      <c r="B3359" s="23" t="s">
        <v>1145</v>
      </c>
      <c r="C3359" s="23" t="s">
        <v>176</v>
      </c>
      <c r="D3359" s="23" t="s">
        <v>11</v>
      </c>
      <c r="E3359" s="23" t="s">
        <v>12</v>
      </c>
      <c r="F3359">
        <v>1</v>
      </c>
      <c r="G3359" s="23" t="s">
        <v>177</v>
      </c>
      <c r="H3359">
        <v>0</v>
      </c>
      <c r="I3359">
        <v>26</v>
      </c>
      <c r="J3359" s="10">
        <v>8</v>
      </c>
      <c r="K3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3359">
        <v>0</v>
      </c>
      <c r="M33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59">
        <v>368.07</v>
      </c>
      <c r="O3359" s="23" t="s">
        <v>590</v>
      </c>
      <c r="P3359">
        <v>368.07</v>
      </c>
      <c r="Q3359" s="23" t="s">
        <v>222</v>
      </c>
    </row>
    <row r="3360" spans="1:17" x14ac:dyDescent="0.25">
      <c r="A3360" s="23" t="s">
        <v>1197</v>
      </c>
      <c r="B3360" s="23" t="s">
        <v>1198</v>
      </c>
      <c r="C3360" s="23" t="s">
        <v>176</v>
      </c>
      <c r="D3360" s="23" t="s">
        <v>388</v>
      </c>
      <c r="E3360" s="23" t="s">
        <v>389</v>
      </c>
      <c r="F3360">
        <v>7</v>
      </c>
      <c r="G3360" s="23" t="s">
        <v>177</v>
      </c>
      <c r="H3360">
        <v>0</v>
      </c>
      <c r="I3360">
        <v>1100</v>
      </c>
      <c r="J3360" s="10">
        <v>780</v>
      </c>
      <c r="K3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3360">
        <v>0</v>
      </c>
      <c r="M33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0">
        <v>0.32</v>
      </c>
      <c r="O3360" s="23" t="s">
        <v>242</v>
      </c>
      <c r="P3360">
        <v>2.2400000000000002</v>
      </c>
      <c r="Q3360" s="23" t="s">
        <v>181</v>
      </c>
    </row>
    <row r="3361" spans="1:17" x14ac:dyDescent="0.25">
      <c r="A3361" s="23" t="s">
        <v>1098</v>
      </c>
      <c r="B3361" s="23" t="s">
        <v>1053</v>
      </c>
      <c r="C3361" s="23" t="s">
        <v>176</v>
      </c>
      <c r="D3361" s="23" t="s">
        <v>388</v>
      </c>
      <c r="E3361" s="23" t="s">
        <v>389</v>
      </c>
      <c r="F3361">
        <v>11</v>
      </c>
      <c r="G3361" s="23" t="s">
        <v>177</v>
      </c>
      <c r="H3361">
        <v>0</v>
      </c>
      <c r="I3361">
        <v>1100</v>
      </c>
      <c r="J3361" s="10">
        <v>780</v>
      </c>
      <c r="K3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3361">
        <v>0</v>
      </c>
      <c r="M33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1">
        <v>0.32</v>
      </c>
      <c r="O3361" s="23" t="s">
        <v>242</v>
      </c>
      <c r="P3361">
        <v>3.52</v>
      </c>
      <c r="Q3361" s="23" t="s">
        <v>181</v>
      </c>
    </row>
    <row r="3362" spans="1:17" x14ac:dyDescent="0.25">
      <c r="A3362" s="23" t="s">
        <v>1197</v>
      </c>
      <c r="B3362" s="23" t="s">
        <v>1198</v>
      </c>
      <c r="C3362" s="23" t="s">
        <v>176</v>
      </c>
      <c r="D3362" s="23" t="s">
        <v>99</v>
      </c>
      <c r="E3362" s="23" t="s">
        <v>250</v>
      </c>
      <c r="F3362">
        <v>7</v>
      </c>
      <c r="G3362" s="23" t="s">
        <v>177</v>
      </c>
      <c r="H3362">
        <v>0</v>
      </c>
      <c r="I3362">
        <v>230</v>
      </c>
      <c r="J3362" s="10">
        <v>72</v>
      </c>
      <c r="K3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362">
        <v>0</v>
      </c>
      <c r="M33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2">
        <v>225</v>
      </c>
      <c r="O3362" s="23" t="s">
        <v>826</v>
      </c>
      <c r="P3362">
        <v>1575</v>
      </c>
      <c r="Q3362" s="23" t="s">
        <v>178</v>
      </c>
    </row>
    <row r="3363" spans="1:17" x14ac:dyDescent="0.25">
      <c r="A3363" s="23" t="s">
        <v>1142</v>
      </c>
      <c r="B3363" s="23" t="s">
        <v>1054</v>
      </c>
      <c r="C3363" s="23" t="s">
        <v>176</v>
      </c>
      <c r="D3363" s="23" t="s">
        <v>337</v>
      </c>
      <c r="E3363" s="23" t="s">
        <v>624</v>
      </c>
      <c r="F3363">
        <v>1</v>
      </c>
      <c r="G3363" s="23" t="s">
        <v>177</v>
      </c>
      <c r="H3363">
        <v>0</v>
      </c>
      <c r="I3363">
        <v>5</v>
      </c>
      <c r="J3363" s="10">
        <v>4</v>
      </c>
      <c r="K3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363">
        <v>0</v>
      </c>
      <c r="M33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3363">
        <v>1678.88</v>
      </c>
      <c r="O3363" s="23" t="s">
        <v>637</v>
      </c>
      <c r="P3363">
        <v>1678.88</v>
      </c>
      <c r="Q3363" s="23" t="s">
        <v>179</v>
      </c>
    </row>
    <row r="3364" spans="1:17" x14ac:dyDescent="0.25">
      <c r="A3364" s="23" t="s">
        <v>1150</v>
      </c>
      <c r="B3364" s="23" t="s">
        <v>1145</v>
      </c>
      <c r="C3364" s="23" t="s">
        <v>176</v>
      </c>
      <c r="D3364" s="23" t="s">
        <v>683</v>
      </c>
      <c r="E3364" s="23" t="s">
        <v>684</v>
      </c>
      <c r="F3364">
        <v>2</v>
      </c>
      <c r="G3364" s="23" t="s">
        <v>177</v>
      </c>
      <c r="H3364">
        <v>0</v>
      </c>
      <c r="I3364">
        <v>34</v>
      </c>
      <c r="J3364" s="10">
        <v>27</v>
      </c>
      <c r="K3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64">
        <v>0</v>
      </c>
      <c r="M33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4">
        <v>500</v>
      </c>
      <c r="O3364" s="23" t="s">
        <v>585</v>
      </c>
      <c r="P3364">
        <v>1000</v>
      </c>
      <c r="Q3364" s="23" t="s">
        <v>178</v>
      </c>
    </row>
    <row r="3365" spans="1:17" x14ac:dyDescent="0.25">
      <c r="A3365" s="23" t="s">
        <v>1150</v>
      </c>
      <c r="B3365" s="23" t="s">
        <v>1145</v>
      </c>
      <c r="C3365" s="23" t="s">
        <v>176</v>
      </c>
      <c r="D3365" s="23" t="s">
        <v>685</v>
      </c>
      <c r="E3365" s="23" t="s">
        <v>686</v>
      </c>
      <c r="F3365">
        <v>1</v>
      </c>
      <c r="G3365" s="23" t="s">
        <v>177</v>
      </c>
      <c r="H3365">
        <v>0</v>
      </c>
      <c r="I3365">
        <v>23</v>
      </c>
      <c r="J3365" s="10">
        <v>17</v>
      </c>
      <c r="K3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65">
        <v>0</v>
      </c>
      <c r="M33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5">
        <v>750</v>
      </c>
      <c r="O3365" s="23" t="s">
        <v>585</v>
      </c>
      <c r="P3365">
        <v>750</v>
      </c>
      <c r="Q3365" s="23" t="s">
        <v>178</v>
      </c>
    </row>
    <row r="3366" spans="1:17" x14ac:dyDescent="0.25">
      <c r="A3366" s="23" t="s">
        <v>1097</v>
      </c>
      <c r="B3366" s="23" t="s">
        <v>1095</v>
      </c>
      <c r="C3366" s="23" t="s">
        <v>176</v>
      </c>
      <c r="D3366" s="23" t="s">
        <v>452</v>
      </c>
      <c r="E3366" s="23" t="s">
        <v>453</v>
      </c>
      <c r="F3366">
        <v>1</v>
      </c>
      <c r="G3366" s="23" t="s">
        <v>177</v>
      </c>
      <c r="H3366">
        <v>0</v>
      </c>
      <c r="I3366">
        <v>6</v>
      </c>
      <c r="J3366" s="10">
        <v>7</v>
      </c>
      <c r="K3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366">
        <v>6</v>
      </c>
      <c r="M33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3366">
        <v>1600</v>
      </c>
      <c r="O3366" s="23" t="s">
        <v>242</v>
      </c>
      <c r="P3366">
        <v>1600</v>
      </c>
      <c r="Q3366" s="23" t="s">
        <v>179</v>
      </c>
    </row>
    <row r="3367" spans="1:17" x14ac:dyDescent="0.25">
      <c r="A3367" s="23" t="s">
        <v>1057</v>
      </c>
      <c r="B3367" s="23" t="s">
        <v>1056</v>
      </c>
      <c r="C3367" s="23" t="s">
        <v>176</v>
      </c>
      <c r="D3367" s="23" t="s">
        <v>26</v>
      </c>
      <c r="E3367" s="23" t="s">
        <v>27</v>
      </c>
      <c r="F3367">
        <v>1</v>
      </c>
      <c r="G3367" s="23" t="s">
        <v>177</v>
      </c>
      <c r="H3367">
        <v>1</v>
      </c>
      <c r="I3367">
        <v>24</v>
      </c>
      <c r="J3367" s="10">
        <v>4</v>
      </c>
      <c r="K3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367">
        <v>0</v>
      </c>
      <c r="M33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7">
        <v>625</v>
      </c>
      <c r="O3367" s="23" t="s">
        <v>227</v>
      </c>
      <c r="P3367">
        <v>625</v>
      </c>
      <c r="Q3367" s="23" t="s">
        <v>181</v>
      </c>
    </row>
    <row r="3368" spans="1:17" x14ac:dyDescent="0.25">
      <c r="A3368" s="23" t="s">
        <v>1057</v>
      </c>
      <c r="B3368" s="23" t="s">
        <v>1056</v>
      </c>
      <c r="C3368" s="23" t="s">
        <v>176</v>
      </c>
      <c r="D3368" s="23" t="s">
        <v>470</v>
      </c>
      <c r="E3368" s="23" t="s">
        <v>471</v>
      </c>
      <c r="F3368">
        <v>1</v>
      </c>
      <c r="G3368" s="23" t="s">
        <v>177</v>
      </c>
      <c r="H3368">
        <v>0</v>
      </c>
      <c r="I3368">
        <v>39</v>
      </c>
      <c r="J3368" s="10">
        <v>2</v>
      </c>
      <c r="K3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3368">
        <v>0</v>
      </c>
      <c r="M33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68">
        <v>65</v>
      </c>
      <c r="O3368" s="23" t="s">
        <v>822</v>
      </c>
      <c r="P3368">
        <v>65</v>
      </c>
      <c r="Q3368" s="23" t="s">
        <v>179</v>
      </c>
    </row>
    <row r="3369" spans="1:17" x14ac:dyDescent="0.25">
      <c r="A3369" s="23" t="s">
        <v>1057</v>
      </c>
      <c r="B3369" s="23" t="s">
        <v>1056</v>
      </c>
      <c r="C3369" s="23" t="s">
        <v>176</v>
      </c>
      <c r="D3369" s="23" t="s">
        <v>337</v>
      </c>
      <c r="E3369" s="23" t="s">
        <v>624</v>
      </c>
      <c r="F3369">
        <v>1</v>
      </c>
      <c r="G3369" s="23" t="s">
        <v>177</v>
      </c>
      <c r="H3369">
        <v>0</v>
      </c>
      <c r="I3369">
        <v>5</v>
      </c>
      <c r="J3369" s="10">
        <v>4</v>
      </c>
      <c r="K3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369">
        <v>0</v>
      </c>
      <c r="M33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3369">
        <v>1678.88</v>
      </c>
      <c r="O3369" s="23" t="s">
        <v>637</v>
      </c>
      <c r="P3369">
        <v>1678.88</v>
      </c>
      <c r="Q3369" s="23" t="s">
        <v>179</v>
      </c>
    </row>
    <row r="3370" spans="1:17" x14ac:dyDescent="0.25">
      <c r="A3370" s="23" t="s">
        <v>1150</v>
      </c>
      <c r="B3370" s="23" t="s">
        <v>1145</v>
      </c>
      <c r="C3370" s="23" t="s">
        <v>176</v>
      </c>
      <c r="D3370" s="23" t="s">
        <v>1160</v>
      </c>
      <c r="E3370" s="23" t="s">
        <v>1161</v>
      </c>
      <c r="F3370">
        <v>6</v>
      </c>
      <c r="G3370" s="23" t="s">
        <v>177</v>
      </c>
      <c r="H3370">
        <v>0</v>
      </c>
      <c r="I3370">
        <v>0</v>
      </c>
      <c r="J3370" s="10">
        <v>0</v>
      </c>
      <c r="K3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3370">
        <v>0</v>
      </c>
      <c r="M33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3370">
        <v>0.36</v>
      </c>
      <c r="O3370" s="23" t="s">
        <v>883</v>
      </c>
      <c r="P3370">
        <v>2.16</v>
      </c>
      <c r="Q3370" s="23" t="s">
        <v>181</v>
      </c>
    </row>
    <row r="3371" spans="1:17" x14ac:dyDescent="0.25">
      <c r="A3371" s="23" t="s">
        <v>1149</v>
      </c>
      <c r="B3371" s="23" t="s">
        <v>1145</v>
      </c>
      <c r="C3371" s="23" t="s">
        <v>176</v>
      </c>
      <c r="D3371" s="23" t="s">
        <v>683</v>
      </c>
      <c r="E3371" s="23" t="s">
        <v>684</v>
      </c>
      <c r="F3371">
        <v>2</v>
      </c>
      <c r="G3371" s="23" t="s">
        <v>177</v>
      </c>
      <c r="H3371">
        <v>0</v>
      </c>
      <c r="I3371">
        <v>34</v>
      </c>
      <c r="J3371" s="10">
        <v>27</v>
      </c>
      <c r="K3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71">
        <v>0</v>
      </c>
      <c r="M33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1">
        <v>500</v>
      </c>
      <c r="O3371" s="23" t="s">
        <v>585</v>
      </c>
      <c r="P3371">
        <v>1000</v>
      </c>
      <c r="Q3371" s="23" t="s">
        <v>178</v>
      </c>
    </row>
    <row r="3372" spans="1:17" x14ac:dyDescent="0.25">
      <c r="A3372" s="23" t="s">
        <v>1149</v>
      </c>
      <c r="B3372" s="23" t="s">
        <v>1145</v>
      </c>
      <c r="C3372" s="23" t="s">
        <v>176</v>
      </c>
      <c r="D3372" s="23" t="s">
        <v>685</v>
      </c>
      <c r="E3372" s="23" t="s">
        <v>686</v>
      </c>
      <c r="F3372">
        <v>1</v>
      </c>
      <c r="G3372" s="23" t="s">
        <v>177</v>
      </c>
      <c r="H3372">
        <v>0</v>
      </c>
      <c r="I3372">
        <v>23</v>
      </c>
      <c r="J3372" s="10">
        <v>17</v>
      </c>
      <c r="K3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72">
        <v>0</v>
      </c>
      <c r="M33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2">
        <v>750</v>
      </c>
      <c r="O3372" s="23" t="s">
        <v>585</v>
      </c>
      <c r="P3372">
        <v>750</v>
      </c>
      <c r="Q3372" s="23" t="s">
        <v>178</v>
      </c>
    </row>
    <row r="3373" spans="1:17" x14ac:dyDescent="0.25">
      <c r="A3373" s="23" t="s">
        <v>1147</v>
      </c>
      <c r="B3373" s="23" t="s">
        <v>1145</v>
      </c>
      <c r="C3373" s="23" t="s">
        <v>176</v>
      </c>
      <c r="D3373" s="23" t="s">
        <v>683</v>
      </c>
      <c r="E3373" s="23" t="s">
        <v>684</v>
      </c>
      <c r="F3373">
        <v>2</v>
      </c>
      <c r="G3373" s="23" t="s">
        <v>177</v>
      </c>
      <c r="H3373">
        <v>0</v>
      </c>
      <c r="I3373">
        <v>34</v>
      </c>
      <c r="J3373" s="10">
        <v>27</v>
      </c>
      <c r="K3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73">
        <v>0</v>
      </c>
      <c r="M33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3">
        <v>500</v>
      </c>
      <c r="O3373" s="23" t="s">
        <v>585</v>
      </c>
      <c r="P3373">
        <v>1000</v>
      </c>
      <c r="Q3373" s="23" t="s">
        <v>178</v>
      </c>
    </row>
    <row r="3374" spans="1:17" x14ac:dyDescent="0.25">
      <c r="A3374" s="23" t="s">
        <v>1148</v>
      </c>
      <c r="B3374" s="23" t="s">
        <v>1054</v>
      </c>
      <c r="C3374" s="23" t="s">
        <v>176</v>
      </c>
      <c r="D3374" s="23" t="s">
        <v>683</v>
      </c>
      <c r="E3374" s="23" t="s">
        <v>684</v>
      </c>
      <c r="F3374">
        <v>2</v>
      </c>
      <c r="G3374" s="23" t="s">
        <v>177</v>
      </c>
      <c r="H3374">
        <v>0</v>
      </c>
      <c r="I3374">
        <v>34</v>
      </c>
      <c r="J3374" s="10">
        <v>27</v>
      </c>
      <c r="K3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74">
        <v>0</v>
      </c>
      <c r="M33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4">
        <v>500</v>
      </c>
      <c r="O3374" s="23" t="s">
        <v>585</v>
      </c>
      <c r="P3374">
        <v>1000</v>
      </c>
      <c r="Q3374" s="23" t="s">
        <v>178</v>
      </c>
    </row>
    <row r="3375" spans="1:17" x14ac:dyDescent="0.25">
      <c r="A3375" s="23" t="s">
        <v>1058</v>
      </c>
      <c r="B3375" s="23" t="s">
        <v>1059</v>
      </c>
      <c r="C3375" s="23" t="s">
        <v>176</v>
      </c>
      <c r="D3375" s="23" t="s">
        <v>685</v>
      </c>
      <c r="E3375" s="23" t="s">
        <v>686</v>
      </c>
      <c r="F3375">
        <v>1</v>
      </c>
      <c r="G3375" s="23" t="s">
        <v>177</v>
      </c>
      <c r="H3375">
        <v>0</v>
      </c>
      <c r="I3375">
        <v>23</v>
      </c>
      <c r="J3375" s="10">
        <v>17</v>
      </c>
      <c r="K3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75">
        <v>0</v>
      </c>
      <c r="M33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5">
        <v>750</v>
      </c>
      <c r="O3375" s="23" t="s">
        <v>585</v>
      </c>
      <c r="P3375">
        <v>750</v>
      </c>
      <c r="Q3375" s="23" t="s">
        <v>178</v>
      </c>
    </row>
    <row r="3376" spans="1:17" x14ac:dyDescent="0.25">
      <c r="A3376" s="23" t="s">
        <v>1099</v>
      </c>
      <c r="B3376" s="23" t="s">
        <v>1056</v>
      </c>
      <c r="C3376" s="23" t="s">
        <v>176</v>
      </c>
      <c r="D3376" s="23" t="s">
        <v>685</v>
      </c>
      <c r="E3376" s="23" t="s">
        <v>686</v>
      </c>
      <c r="F3376">
        <v>1</v>
      </c>
      <c r="G3376" s="23" t="s">
        <v>177</v>
      </c>
      <c r="H3376">
        <v>0</v>
      </c>
      <c r="I3376">
        <v>23</v>
      </c>
      <c r="J3376" s="10">
        <v>17</v>
      </c>
      <c r="K3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76">
        <v>0</v>
      </c>
      <c r="M33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6">
        <v>750</v>
      </c>
      <c r="O3376" s="23" t="s">
        <v>585</v>
      </c>
      <c r="P3376">
        <v>750</v>
      </c>
      <c r="Q3376" s="23" t="s">
        <v>178</v>
      </c>
    </row>
    <row r="3377" spans="1:17" x14ac:dyDescent="0.25">
      <c r="A3377" s="23" t="s">
        <v>1147</v>
      </c>
      <c r="B3377" s="23" t="s">
        <v>1145</v>
      </c>
      <c r="C3377" s="23" t="s">
        <v>176</v>
      </c>
      <c r="D3377" s="23" t="s">
        <v>685</v>
      </c>
      <c r="E3377" s="23" t="s">
        <v>686</v>
      </c>
      <c r="F3377">
        <v>1</v>
      </c>
      <c r="G3377" s="23" t="s">
        <v>177</v>
      </c>
      <c r="H3377">
        <v>0</v>
      </c>
      <c r="I3377">
        <v>23</v>
      </c>
      <c r="J3377" s="10">
        <v>17</v>
      </c>
      <c r="K3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77">
        <v>0</v>
      </c>
      <c r="M33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7">
        <v>750</v>
      </c>
      <c r="O3377" s="23" t="s">
        <v>585</v>
      </c>
      <c r="P3377">
        <v>750</v>
      </c>
      <c r="Q3377" s="23" t="s">
        <v>178</v>
      </c>
    </row>
    <row r="3378" spans="1:17" x14ac:dyDescent="0.25">
      <c r="A3378" s="23" t="s">
        <v>1148</v>
      </c>
      <c r="B3378" s="23" t="s">
        <v>1054</v>
      </c>
      <c r="C3378" s="23" t="s">
        <v>176</v>
      </c>
      <c r="D3378" s="23" t="s">
        <v>685</v>
      </c>
      <c r="E3378" s="23" t="s">
        <v>686</v>
      </c>
      <c r="F3378">
        <v>1</v>
      </c>
      <c r="G3378" s="23" t="s">
        <v>177</v>
      </c>
      <c r="H3378">
        <v>0</v>
      </c>
      <c r="I3378">
        <v>23</v>
      </c>
      <c r="J3378" s="10">
        <v>17</v>
      </c>
      <c r="K3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78">
        <v>0</v>
      </c>
      <c r="M33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78">
        <v>750</v>
      </c>
      <c r="O3378" s="23" t="s">
        <v>585</v>
      </c>
      <c r="P3378">
        <v>750</v>
      </c>
      <c r="Q3378" s="23" t="s">
        <v>178</v>
      </c>
    </row>
    <row r="3379" spans="1:17" x14ac:dyDescent="0.25">
      <c r="A3379" s="23" t="s">
        <v>1098</v>
      </c>
      <c r="B3379" s="23" t="s">
        <v>1053</v>
      </c>
      <c r="C3379" s="23" t="s">
        <v>176</v>
      </c>
      <c r="D3379" s="23" t="s">
        <v>452</v>
      </c>
      <c r="E3379" s="23" t="s">
        <v>453</v>
      </c>
      <c r="F3379">
        <v>2</v>
      </c>
      <c r="G3379" s="23" t="s">
        <v>177</v>
      </c>
      <c r="H3379">
        <v>0</v>
      </c>
      <c r="I3379">
        <v>6</v>
      </c>
      <c r="J3379" s="10">
        <v>7</v>
      </c>
      <c r="K3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379">
        <v>6</v>
      </c>
      <c r="M33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3379">
        <v>1600</v>
      </c>
      <c r="O3379" s="23" t="s">
        <v>242</v>
      </c>
      <c r="P3379">
        <v>3200</v>
      </c>
      <c r="Q3379" s="23" t="s">
        <v>179</v>
      </c>
    </row>
    <row r="3380" spans="1:17" x14ac:dyDescent="0.25">
      <c r="A3380" s="23" t="s">
        <v>1197</v>
      </c>
      <c r="B3380" s="23" t="s">
        <v>1198</v>
      </c>
      <c r="C3380" s="23" t="s">
        <v>176</v>
      </c>
      <c r="D3380" s="23" t="s">
        <v>803</v>
      </c>
      <c r="E3380" s="23" t="s">
        <v>823</v>
      </c>
      <c r="F3380">
        <v>1</v>
      </c>
      <c r="G3380" s="23" t="s">
        <v>177</v>
      </c>
      <c r="H3380">
        <v>0</v>
      </c>
      <c r="I3380">
        <v>20.5</v>
      </c>
      <c r="J3380" s="10">
        <v>5</v>
      </c>
      <c r="K3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3380">
        <v>0</v>
      </c>
      <c r="M33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0">
        <v>175</v>
      </c>
      <c r="O3380" s="23" t="s">
        <v>218</v>
      </c>
      <c r="P3380">
        <v>175</v>
      </c>
      <c r="Q3380" s="23" t="s">
        <v>181</v>
      </c>
    </row>
    <row r="3381" spans="1:17" x14ac:dyDescent="0.25">
      <c r="A3381" s="23" t="s">
        <v>1197</v>
      </c>
      <c r="B3381" s="23" t="s">
        <v>1198</v>
      </c>
      <c r="C3381" s="23" t="s">
        <v>176</v>
      </c>
      <c r="D3381" s="23" t="s">
        <v>591</v>
      </c>
      <c r="E3381" s="23" t="s">
        <v>592</v>
      </c>
      <c r="F3381">
        <v>1</v>
      </c>
      <c r="G3381" s="23" t="s">
        <v>177</v>
      </c>
      <c r="H3381">
        <v>0</v>
      </c>
      <c r="I3381">
        <v>6</v>
      </c>
      <c r="J3381" s="10">
        <v>8</v>
      </c>
      <c r="K3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381">
        <v>10</v>
      </c>
      <c r="M33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1">
        <v>583.77</v>
      </c>
      <c r="O3381" s="23" t="s">
        <v>593</v>
      </c>
      <c r="P3381">
        <v>583.77</v>
      </c>
      <c r="Q3381" s="23" t="s">
        <v>181</v>
      </c>
    </row>
    <row r="3382" spans="1:17" x14ac:dyDescent="0.25">
      <c r="A3382" s="23" t="s">
        <v>1055</v>
      </c>
      <c r="B3382" s="23" t="s">
        <v>1056</v>
      </c>
      <c r="C3382" s="23" t="s">
        <v>176</v>
      </c>
      <c r="D3382" s="23" t="s">
        <v>683</v>
      </c>
      <c r="E3382" s="23" t="s">
        <v>684</v>
      </c>
      <c r="F3382">
        <v>1</v>
      </c>
      <c r="G3382" s="23" t="s">
        <v>177</v>
      </c>
      <c r="H3382">
        <v>0</v>
      </c>
      <c r="I3382">
        <v>34</v>
      </c>
      <c r="J3382" s="10">
        <v>27</v>
      </c>
      <c r="K3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82">
        <v>0</v>
      </c>
      <c r="M33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2">
        <v>500</v>
      </c>
      <c r="O3382" s="23" t="s">
        <v>585</v>
      </c>
      <c r="P3382">
        <v>500</v>
      </c>
      <c r="Q3382" s="23" t="s">
        <v>178</v>
      </c>
    </row>
    <row r="3383" spans="1:17" x14ac:dyDescent="0.25">
      <c r="A3383" s="23" t="s">
        <v>1099</v>
      </c>
      <c r="B3383" s="23" t="s">
        <v>1056</v>
      </c>
      <c r="C3383" s="23" t="s">
        <v>176</v>
      </c>
      <c r="D3383" s="23" t="s">
        <v>683</v>
      </c>
      <c r="E3383" s="23" t="s">
        <v>684</v>
      </c>
      <c r="F3383">
        <v>2</v>
      </c>
      <c r="G3383" s="23" t="s">
        <v>177</v>
      </c>
      <c r="H3383">
        <v>0</v>
      </c>
      <c r="I3383">
        <v>34</v>
      </c>
      <c r="J3383" s="10">
        <v>27</v>
      </c>
      <c r="K3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83">
        <v>0</v>
      </c>
      <c r="M33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3">
        <v>500</v>
      </c>
      <c r="O3383" s="23" t="s">
        <v>585</v>
      </c>
      <c r="P3383">
        <v>1000</v>
      </c>
      <c r="Q3383" s="23" t="s">
        <v>178</v>
      </c>
    </row>
    <row r="3384" spans="1:17" x14ac:dyDescent="0.25">
      <c r="A3384" s="23" t="s">
        <v>1055</v>
      </c>
      <c r="B3384" s="23" t="s">
        <v>1056</v>
      </c>
      <c r="C3384" s="23" t="s">
        <v>176</v>
      </c>
      <c r="D3384" s="23" t="s">
        <v>685</v>
      </c>
      <c r="E3384" s="23" t="s">
        <v>686</v>
      </c>
      <c r="F3384">
        <v>1</v>
      </c>
      <c r="G3384" s="23" t="s">
        <v>177</v>
      </c>
      <c r="H3384">
        <v>0</v>
      </c>
      <c r="I3384">
        <v>23</v>
      </c>
      <c r="J3384" s="10">
        <v>17</v>
      </c>
      <c r="K3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384">
        <v>0</v>
      </c>
      <c r="M33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4">
        <v>750</v>
      </c>
      <c r="O3384" s="23" t="s">
        <v>585</v>
      </c>
      <c r="P3384">
        <v>750</v>
      </c>
      <c r="Q3384" s="23" t="s">
        <v>178</v>
      </c>
    </row>
    <row r="3385" spans="1:17" x14ac:dyDescent="0.25">
      <c r="A3385" s="23" t="s">
        <v>1197</v>
      </c>
      <c r="B3385" s="23" t="s">
        <v>1198</v>
      </c>
      <c r="C3385" s="23" t="s">
        <v>176</v>
      </c>
      <c r="D3385" s="23" t="s">
        <v>274</v>
      </c>
      <c r="E3385" s="23" t="s">
        <v>622</v>
      </c>
      <c r="F3385">
        <v>1</v>
      </c>
      <c r="G3385" s="23" t="s">
        <v>177</v>
      </c>
      <c r="H3385">
        <v>0</v>
      </c>
      <c r="I3385">
        <v>11</v>
      </c>
      <c r="J3385" s="10">
        <v>4</v>
      </c>
      <c r="K3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385">
        <v>0</v>
      </c>
      <c r="M33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5">
        <v>1678.88</v>
      </c>
      <c r="O3385" s="23" t="s">
        <v>637</v>
      </c>
      <c r="P3385">
        <v>1678.88</v>
      </c>
      <c r="Q3385" s="23" t="s">
        <v>179</v>
      </c>
    </row>
    <row r="3386" spans="1:17" x14ac:dyDescent="0.25">
      <c r="A3386" s="23" t="s">
        <v>1062</v>
      </c>
      <c r="B3386" s="23" t="s">
        <v>1053</v>
      </c>
      <c r="C3386" s="23" t="s">
        <v>176</v>
      </c>
      <c r="D3386" s="23" t="s">
        <v>803</v>
      </c>
      <c r="E3386" s="23" t="s">
        <v>823</v>
      </c>
      <c r="F3386">
        <v>1</v>
      </c>
      <c r="G3386" s="23" t="s">
        <v>177</v>
      </c>
      <c r="H3386">
        <v>0</v>
      </c>
      <c r="I3386">
        <v>20.5</v>
      </c>
      <c r="J3386" s="10">
        <v>5</v>
      </c>
      <c r="K3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3386">
        <v>0</v>
      </c>
      <c r="M33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6">
        <v>175</v>
      </c>
      <c r="O3386" s="23" t="s">
        <v>218</v>
      </c>
      <c r="P3386">
        <v>175</v>
      </c>
      <c r="Q3386" s="23" t="s">
        <v>181</v>
      </c>
    </row>
    <row r="3387" spans="1:17" x14ac:dyDescent="0.25">
      <c r="A3387" s="23" t="s">
        <v>1097</v>
      </c>
      <c r="B3387" s="23" t="s">
        <v>1095</v>
      </c>
      <c r="C3387" s="23" t="s">
        <v>176</v>
      </c>
      <c r="D3387" s="23" t="s">
        <v>803</v>
      </c>
      <c r="E3387" s="23" t="s">
        <v>823</v>
      </c>
      <c r="F3387">
        <v>1</v>
      </c>
      <c r="G3387" s="23" t="s">
        <v>177</v>
      </c>
      <c r="H3387">
        <v>0</v>
      </c>
      <c r="I3387">
        <v>20.5</v>
      </c>
      <c r="J3387" s="10">
        <v>5</v>
      </c>
      <c r="K3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3387">
        <v>0</v>
      </c>
      <c r="M33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7">
        <v>175</v>
      </c>
      <c r="O3387" s="23" t="s">
        <v>218</v>
      </c>
      <c r="P3387">
        <v>175</v>
      </c>
      <c r="Q3387" s="23" t="s">
        <v>181</v>
      </c>
    </row>
    <row r="3388" spans="1:17" x14ac:dyDescent="0.25">
      <c r="A3388" s="23" t="s">
        <v>1197</v>
      </c>
      <c r="B3388" s="23" t="s">
        <v>1198</v>
      </c>
      <c r="C3388" s="23" t="s">
        <v>176</v>
      </c>
      <c r="D3388" s="23" t="s">
        <v>737</v>
      </c>
      <c r="E3388" s="23" t="s">
        <v>738</v>
      </c>
      <c r="F3388">
        <v>1</v>
      </c>
      <c r="G3388" s="23" t="s">
        <v>177</v>
      </c>
      <c r="H3388">
        <v>0</v>
      </c>
      <c r="I3388">
        <v>14</v>
      </c>
      <c r="J3388" s="10">
        <v>15</v>
      </c>
      <c r="K3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388">
        <v>0</v>
      </c>
      <c r="M33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8">
        <v>400</v>
      </c>
      <c r="O3388" s="23" t="s">
        <v>668</v>
      </c>
      <c r="P3388">
        <v>400</v>
      </c>
      <c r="Q3388" s="23" t="s">
        <v>178</v>
      </c>
    </row>
    <row r="3389" spans="1:17" x14ac:dyDescent="0.25">
      <c r="A3389" s="23" t="s">
        <v>1098</v>
      </c>
      <c r="B3389" s="23" t="s">
        <v>1053</v>
      </c>
      <c r="C3389" s="23" t="s">
        <v>176</v>
      </c>
      <c r="D3389" s="23" t="s">
        <v>737</v>
      </c>
      <c r="E3389" s="23" t="s">
        <v>738</v>
      </c>
      <c r="F3389">
        <v>1</v>
      </c>
      <c r="G3389" s="23" t="s">
        <v>177</v>
      </c>
      <c r="H3389">
        <v>0</v>
      </c>
      <c r="I3389">
        <v>14</v>
      </c>
      <c r="J3389" s="10">
        <v>15</v>
      </c>
      <c r="K3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389">
        <v>0</v>
      </c>
      <c r="M33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89">
        <v>400</v>
      </c>
      <c r="O3389" s="23" t="s">
        <v>668</v>
      </c>
      <c r="P3389">
        <v>400</v>
      </c>
      <c r="Q3389" s="23" t="s">
        <v>178</v>
      </c>
    </row>
    <row r="3390" spans="1:17" x14ac:dyDescent="0.25">
      <c r="A3390" s="23" t="s">
        <v>1197</v>
      </c>
      <c r="B3390" s="23" t="s">
        <v>1198</v>
      </c>
      <c r="C3390" s="23" t="s">
        <v>176</v>
      </c>
      <c r="D3390" s="23" t="s">
        <v>1162</v>
      </c>
      <c r="E3390" s="23" t="s">
        <v>1163</v>
      </c>
      <c r="F3390">
        <v>2</v>
      </c>
      <c r="G3390" s="23" t="s">
        <v>177</v>
      </c>
      <c r="H3390">
        <v>0</v>
      </c>
      <c r="I3390">
        <v>0</v>
      </c>
      <c r="J3390" s="10">
        <v>0</v>
      </c>
      <c r="K3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3390">
        <v>0</v>
      </c>
      <c r="M33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0">
        <v>0</v>
      </c>
      <c r="O3390" s="23"/>
      <c r="P3390">
        <v>0</v>
      </c>
      <c r="Q3390" s="23" t="s">
        <v>222</v>
      </c>
    </row>
    <row r="3391" spans="1:17" x14ac:dyDescent="0.25">
      <c r="A3391" s="23" t="s">
        <v>1150</v>
      </c>
      <c r="B3391" s="23" t="s">
        <v>1145</v>
      </c>
      <c r="C3391" s="23" t="s">
        <v>176</v>
      </c>
      <c r="D3391" s="23" t="s">
        <v>741</v>
      </c>
      <c r="E3391" s="23" t="s">
        <v>742</v>
      </c>
      <c r="F3391">
        <v>1</v>
      </c>
      <c r="G3391" s="23" t="s">
        <v>177</v>
      </c>
      <c r="H3391">
        <v>0</v>
      </c>
      <c r="I3391">
        <v>19</v>
      </c>
      <c r="J3391" s="10">
        <v>15</v>
      </c>
      <c r="K3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391">
        <v>0</v>
      </c>
      <c r="M33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1">
        <v>41.67</v>
      </c>
      <c r="O3391" s="23" t="s">
        <v>668</v>
      </c>
      <c r="P3391">
        <v>41.67</v>
      </c>
      <c r="Q3391" s="23" t="s">
        <v>178</v>
      </c>
    </row>
    <row r="3392" spans="1:17" x14ac:dyDescent="0.25">
      <c r="A3392" s="23" t="s">
        <v>1094</v>
      </c>
      <c r="B3392" s="23" t="s">
        <v>1095</v>
      </c>
      <c r="C3392" s="23" t="s">
        <v>176</v>
      </c>
      <c r="D3392" s="23" t="s">
        <v>455</v>
      </c>
      <c r="E3392" s="23" t="s">
        <v>456</v>
      </c>
      <c r="F3392">
        <v>2</v>
      </c>
      <c r="G3392" s="23" t="s">
        <v>177</v>
      </c>
      <c r="H3392">
        <v>0</v>
      </c>
      <c r="I3392">
        <v>0</v>
      </c>
      <c r="J3392" s="10">
        <v>93</v>
      </c>
      <c r="K3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392">
        <v>0</v>
      </c>
      <c r="M33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392">
        <v>13.5</v>
      </c>
      <c r="O3392" s="23" t="s">
        <v>227</v>
      </c>
      <c r="P3392">
        <v>27</v>
      </c>
      <c r="Q3392" s="23" t="s">
        <v>181</v>
      </c>
    </row>
    <row r="3393" spans="1:17" x14ac:dyDescent="0.25">
      <c r="A3393" s="23" t="s">
        <v>1057</v>
      </c>
      <c r="B3393" s="23" t="s">
        <v>1056</v>
      </c>
      <c r="C3393" s="23" t="s">
        <v>176</v>
      </c>
      <c r="D3393" s="23" t="s">
        <v>455</v>
      </c>
      <c r="E3393" s="23" t="s">
        <v>456</v>
      </c>
      <c r="F3393">
        <v>1</v>
      </c>
      <c r="G3393" s="23" t="s">
        <v>177</v>
      </c>
      <c r="H3393">
        <v>0</v>
      </c>
      <c r="I3393">
        <v>0</v>
      </c>
      <c r="J3393" s="10">
        <v>93</v>
      </c>
      <c r="K3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393">
        <v>0</v>
      </c>
      <c r="M33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393">
        <v>13.5</v>
      </c>
      <c r="O3393" s="23" t="s">
        <v>227</v>
      </c>
      <c r="P3393">
        <v>13.5</v>
      </c>
      <c r="Q3393" s="23" t="s">
        <v>181</v>
      </c>
    </row>
    <row r="3394" spans="1:17" x14ac:dyDescent="0.25">
      <c r="A3394" s="23" t="s">
        <v>1142</v>
      </c>
      <c r="B3394" s="23" t="s">
        <v>1054</v>
      </c>
      <c r="C3394" s="23" t="s">
        <v>176</v>
      </c>
      <c r="D3394" s="23" t="s">
        <v>427</v>
      </c>
      <c r="E3394" s="23" t="s">
        <v>428</v>
      </c>
      <c r="F3394">
        <v>1</v>
      </c>
      <c r="G3394" s="23" t="s">
        <v>177</v>
      </c>
      <c r="H3394">
        <v>0</v>
      </c>
      <c r="I3394">
        <v>4</v>
      </c>
      <c r="J3394" s="10">
        <v>8</v>
      </c>
      <c r="K3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94">
        <v>9</v>
      </c>
      <c r="M33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4">
        <v>266.39999999999998</v>
      </c>
      <c r="O3394" s="23" t="s">
        <v>228</v>
      </c>
      <c r="P3394">
        <v>266.39999999999998</v>
      </c>
      <c r="Q3394" s="23" t="s">
        <v>222</v>
      </c>
    </row>
    <row r="3395" spans="1:17" x14ac:dyDescent="0.25">
      <c r="A3395" s="23" t="s">
        <v>1097</v>
      </c>
      <c r="B3395" s="23" t="s">
        <v>1095</v>
      </c>
      <c r="C3395" s="23" t="s">
        <v>176</v>
      </c>
      <c r="D3395" s="23" t="s">
        <v>440</v>
      </c>
      <c r="E3395" s="23" t="s">
        <v>441</v>
      </c>
      <c r="F3395">
        <v>1</v>
      </c>
      <c r="G3395" s="23" t="s">
        <v>177</v>
      </c>
      <c r="H3395">
        <v>0</v>
      </c>
      <c r="I3395">
        <v>30</v>
      </c>
      <c r="J3395" s="10">
        <v>3</v>
      </c>
      <c r="K3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395">
        <v>0</v>
      </c>
      <c r="M33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5">
        <v>372.91</v>
      </c>
      <c r="O3395" s="23" t="s">
        <v>637</v>
      </c>
      <c r="P3395">
        <v>372.91</v>
      </c>
      <c r="Q3395" s="23" t="s">
        <v>179</v>
      </c>
    </row>
    <row r="3396" spans="1:17" x14ac:dyDescent="0.25">
      <c r="A3396" s="23" t="s">
        <v>1097</v>
      </c>
      <c r="B3396" s="23" t="s">
        <v>1095</v>
      </c>
      <c r="C3396" s="23" t="s">
        <v>176</v>
      </c>
      <c r="D3396" s="23" t="s">
        <v>444</v>
      </c>
      <c r="E3396" s="23" t="s">
        <v>445</v>
      </c>
      <c r="F3396">
        <v>1</v>
      </c>
      <c r="G3396" s="23" t="s">
        <v>177</v>
      </c>
      <c r="H3396">
        <v>0</v>
      </c>
      <c r="I3396">
        <v>27</v>
      </c>
      <c r="J3396" s="10">
        <v>3</v>
      </c>
      <c r="K3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396">
        <v>0</v>
      </c>
      <c r="M33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6">
        <v>372.91</v>
      </c>
      <c r="O3396" s="23" t="s">
        <v>637</v>
      </c>
      <c r="P3396">
        <v>372.91</v>
      </c>
      <c r="Q3396" s="23" t="s">
        <v>179</v>
      </c>
    </row>
    <row r="3397" spans="1:17" x14ac:dyDescent="0.25">
      <c r="A3397" s="23" t="s">
        <v>1096</v>
      </c>
      <c r="B3397" s="23" t="s">
        <v>1053</v>
      </c>
      <c r="C3397" s="23" t="s">
        <v>176</v>
      </c>
      <c r="D3397" s="23" t="s">
        <v>455</v>
      </c>
      <c r="E3397" s="23" t="s">
        <v>456</v>
      </c>
      <c r="F3397">
        <v>5</v>
      </c>
      <c r="G3397" s="23" t="s">
        <v>177</v>
      </c>
      <c r="H3397">
        <v>0</v>
      </c>
      <c r="I3397">
        <v>0</v>
      </c>
      <c r="J3397" s="10">
        <v>93</v>
      </c>
      <c r="K3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397">
        <v>0</v>
      </c>
      <c r="M33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397">
        <v>13.5</v>
      </c>
      <c r="O3397" s="23" t="s">
        <v>227</v>
      </c>
      <c r="P3397">
        <v>67.5</v>
      </c>
      <c r="Q3397" s="23" t="s">
        <v>181</v>
      </c>
    </row>
    <row r="3398" spans="1:17" x14ac:dyDescent="0.25">
      <c r="A3398" s="23" t="s">
        <v>1094</v>
      </c>
      <c r="B3398" s="23" t="s">
        <v>1095</v>
      </c>
      <c r="C3398" s="23" t="s">
        <v>176</v>
      </c>
      <c r="D3398" s="23" t="s">
        <v>427</v>
      </c>
      <c r="E3398" s="23" t="s">
        <v>428</v>
      </c>
      <c r="F3398">
        <v>1</v>
      </c>
      <c r="G3398" s="23" t="s">
        <v>177</v>
      </c>
      <c r="H3398">
        <v>0</v>
      </c>
      <c r="I3398">
        <v>4</v>
      </c>
      <c r="J3398" s="10">
        <v>8</v>
      </c>
      <c r="K3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98">
        <v>9</v>
      </c>
      <c r="M33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8">
        <v>266.39999999999998</v>
      </c>
      <c r="O3398" s="23" t="s">
        <v>228</v>
      </c>
      <c r="P3398">
        <v>266.39999999999998</v>
      </c>
      <c r="Q3398" s="23" t="s">
        <v>222</v>
      </c>
    </row>
    <row r="3399" spans="1:17" x14ac:dyDescent="0.25">
      <c r="A3399" s="23" t="s">
        <v>1057</v>
      </c>
      <c r="B3399" s="23" t="s">
        <v>1056</v>
      </c>
      <c r="C3399" s="23" t="s">
        <v>176</v>
      </c>
      <c r="D3399" s="23" t="s">
        <v>427</v>
      </c>
      <c r="E3399" s="23" t="s">
        <v>428</v>
      </c>
      <c r="F3399">
        <v>1</v>
      </c>
      <c r="G3399" s="23" t="s">
        <v>177</v>
      </c>
      <c r="H3399">
        <v>1</v>
      </c>
      <c r="I3399">
        <v>4</v>
      </c>
      <c r="J3399" s="10">
        <v>8</v>
      </c>
      <c r="K3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399">
        <v>9</v>
      </c>
      <c r="M33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399">
        <v>266.39999999999998</v>
      </c>
      <c r="O3399" s="23" t="s">
        <v>228</v>
      </c>
      <c r="P3399">
        <v>266.39999999999998</v>
      </c>
      <c r="Q3399" s="23" t="s">
        <v>222</v>
      </c>
    </row>
    <row r="3400" spans="1:17" x14ac:dyDescent="0.25">
      <c r="A3400" s="23" t="s">
        <v>1057</v>
      </c>
      <c r="B3400" s="23" t="s">
        <v>1056</v>
      </c>
      <c r="C3400" s="23" t="s">
        <v>176</v>
      </c>
      <c r="D3400" s="23" t="s">
        <v>1231</v>
      </c>
      <c r="E3400" s="23" t="s">
        <v>1232</v>
      </c>
      <c r="F3400">
        <v>1</v>
      </c>
      <c r="G3400" s="23" t="s">
        <v>177</v>
      </c>
      <c r="H3400">
        <v>0</v>
      </c>
      <c r="I3400">
        <v>4</v>
      </c>
      <c r="J3400" s="10">
        <v>2</v>
      </c>
      <c r="K3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400">
        <v>0</v>
      </c>
      <c r="M34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0">
        <v>1802.17</v>
      </c>
      <c r="O3400" s="23" t="s">
        <v>635</v>
      </c>
      <c r="P3400">
        <v>1802.17</v>
      </c>
      <c r="Q3400" s="23" t="s">
        <v>179</v>
      </c>
    </row>
    <row r="3401" spans="1:17" x14ac:dyDescent="0.25">
      <c r="A3401" s="23" t="s">
        <v>1094</v>
      </c>
      <c r="B3401" s="23" t="s">
        <v>1095</v>
      </c>
      <c r="C3401" s="23" t="s">
        <v>176</v>
      </c>
      <c r="D3401" s="23" t="s">
        <v>451</v>
      </c>
      <c r="E3401" s="23" t="s">
        <v>625</v>
      </c>
      <c r="F3401">
        <v>2</v>
      </c>
      <c r="G3401" s="23" t="s">
        <v>177</v>
      </c>
      <c r="H3401">
        <v>0</v>
      </c>
      <c r="I3401">
        <v>10</v>
      </c>
      <c r="J3401" s="10">
        <v>20</v>
      </c>
      <c r="K3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401">
        <v>0</v>
      </c>
      <c r="M34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3401">
        <v>14946.25</v>
      </c>
      <c r="O3401" s="23" t="s">
        <v>626</v>
      </c>
      <c r="P3401">
        <v>29892.5</v>
      </c>
      <c r="Q3401" s="23" t="s">
        <v>179</v>
      </c>
    </row>
    <row r="3402" spans="1:17" x14ac:dyDescent="0.25">
      <c r="A3402" s="23" t="s">
        <v>1094</v>
      </c>
      <c r="B3402" s="23" t="s">
        <v>1095</v>
      </c>
      <c r="C3402" s="23" t="s">
        <v>176</v>
      </c>
      <c r="D3402" s="23" t="s">
        <v>440</v>
      </c>
      <c r="E3402" s="23" t="s">
        <v>441</v>
      </c>
      <c r="F3402">
        <v>1</v>
      </c>
      <c r="G3402" s="23" t="s">
        <v>177</v>
      </c>
      <c r="H3402">
        <v>0</v>
      </c>
      <c r="I3402">
        <v>30</v>
      </c>
      <c r="J3402" s="10">
        <v>3</v>
      </c>
      <c r="K3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402">
        <v>0</v>
      </c>
      <c r="M34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2">
        <v>372.91</v>
      </c>
      <c r="O3402" s="23" t="s">
        <v>637</v>
      </c>
      <c r="P3402">
        <v>372.91</v>
      </c>
      <c r="Q3402" s="23" t="s">
        <v>179</v>
      </c>
    </row>
    <row r="3403" spans="1:17" x14ac:dyDescent="0.25">
      <c r="A3403" s="23" t="s">
        <v>1143</v>
      </c>
      <c r="B3403" s="23" t="s">
        <v>1054</v>
      </c>
      <c r="C3403" s="23" t="s">
        <v>176</v>
      </c>
      <c r="D3403" s="23" t="s">
        <v>440</v>
      </c>
      <c r="E3403" s="23" t="s">
        <v>441</v>
      </c>
      <c r="F3403">
        <v>1</v>
      </c>
      <c r="G3403" s="23" t="s">
        <v>177</v>
      </c>
      <c r="H3403">
        <v>0</v>
      </c>
      <c r="I3403">
        <v>30</v>
      </c>
      <c r="J3403" s="10">
        <v>3</v>
      </c>
      <c r="K3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3403">
        <v>0</v>
      </c>
      <c r="M34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3">
        <v>372.91</v>
      </c>
      <c r="O3403" s="23" t="s">
        <v>637</v>
      </c>
      <c r="P3403">
        <v>372.91</v>
      </c>
      <c r="Q3403" s="23" t="s">
        <v>179</v>
      </c>
    </row>
    <row r="3404" spans="1:17" x14ac:dyDescent="0.25">
      <c r="A3404" s="23" t="s">
        <v>1143</v>
      </c>
      <c r="B3404" s="23" t="s">
        <v>1054</v>
      </c>
      <c r="C3404" s="23" t="s">
        <v>176</v>
      </c>
      <c r="D3404" s="23" t="s">
        <v>444</v>
      </c>
      <c r="E3404" s="23" t="s">
        <v>445</v>
      </c>
      <c r="F3404">
        <v>1</v>
      </c>
      <c r="G3404" s="23" t="s">
        <v>177</v>
      </c>
      <c r="H3404">
        <v>0</v>
      </c>
      <c r="I3404">
        <v>27</v>
      </c>
      <c r="J3404" s="10">
        <v>3</v>
      </c>
      <c r="K3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404">
        <v>0</v>
      </c>
      <c r="M34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4">
        <v>372.91</v>
      </c>
      <c r="O3404" s="23" t="s">
        <v>637</v>
      </c>
      <c r="P3404">
        <v>372.91</v>
      </c>
      <c r="Q3404" s="23" t="s">
        <v>179</v>
      </c>
    </row>
    <row r="3405" spans="1:17" x14ac:dyDescent="0.25">
      <c r="A3405" s="23" t="s">
        <v>1094</v>
      </c>
      <c r="B3405" s="23" t="s">
        <v>1095</v>
      </c>
      <c r="C3405" s="23" t="s">
        <v>176</v>
      </c>
      <c r="D3405" s="23" t="s">
        <v>444</v>
      </c>
      <c r="E3405" s="23" t="s">
        <v>445</v>
      </c>
      <c r="F3405">
        <v>1</v>
      </c>
      <c r="G3405" s="23" t="s">
        <v>177</v>
      </c>
      <c r="H3405">
        <v>0</v>
      </c>
      <c r="I3405">
        <v>27</v>
      </c>
      <c r="J3405" s="10">
        <v>3</v>
      </c>
      <c r="K3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405">
        <v>0</v>
      </c>
      <c r="M34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5">
        <v>372.91</v>
      </c>
      <c r="O3405" s="23" t="s">
        <v>637</v>
      </c>
      <c r="P3405">
        <v>372.91</v>
      </c>
      <c r="Q3405" s="23" t="s">
        <v>179</v>
      </c>
    </row>
    <row r="3406" spans="1:17" x14ac:dyDescent="0.25">
      <c r="A3406" s="23" t="s">
        <v>1057</v>
      </c>
      <c r="B3406" s="23" t="s">
        <v>1056</v>
      </c>
      <c r="C3406" s="23" t="s">
        <v>176</v>
      </c>
      <c r="D3406" s="23" t="s">
        <v>715</v>
      </c>
      <c r="E3406" s="23" t="s">
        <v>716</v>
      </c>
      <c r="F3406">
        <v>2</v>
      </c>
      <c r="G3406" s="23" t="s">
        <v>177</v>
      </c>
      <c r="H3406">
        <v>0</v>
      </c>
      <c r="I3406">
        <v>5</v>
      </c>
      <c r="J3406" s="10">
        <v>4</v>
      </c>
      <c r="K3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406">
        <v>0</v>
      </c>
      <c r="M34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3406">
        <v>400</v>
      </c>
      <c r="O3406" s="23" t="s">
        <v>216</v>
      </c>
      <c r="P3406">
        <v>800</v>
      </c>
      <c r="Q3406" s="23" t="s">
        <v>222</v>
      </c>
    </row>
    <row r="3407" spans="1:17" x14ac:dyDescent="0.25">
      <c r="A3407" s="23" t="s">
        <v>1146</v>
      </c>
      <c r="B3407" s="23" t="s">
        <v>1145</v>
      </c>
      <c r="C3407" s="23" t="s">
        <v>176</v>
      </c>
      <c r="D3407" s="23" t="s">
        <v>1166</v>
      </c>
      <c r="E3407" s="23" t="s">
        <v>1167</v>
      </c>
      <c r="F3407">
        <v>2</v>
      </c>
      <c r="G3407" s="23" t="s">
        <v>177</v>
      </c>
      <c r="H3407">
        <v>0</v>
      </c>
      <c r="I3407">
        <v>1000</v>
      </c>
      <c r="J3407" s="10">
        <v>1000</v>
      </c>
      <c r="K3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3407">
        <v>0</v>
      </c>
      <c r="M34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7">
        <v>0.28000000000000003</v>
      </c>
      <c r="O3407" s="23" t="s">
        <v>827</v>
      </c>
      <c r="P3407">
        <v>0.56000000000000005</v>
      </c>
      <c r="Q3407" s="23" t="s">
        <v>222</v>
      </c>
    </row>
    <row r="3408" spans="1:17" x14ac:dyDescent="0.25">
      <c r="A3408" s="23" t="s">
        <v>1142</v>
      </c>
      <c r="B3408" s="23" t="s">
        <v>1054</v>
      </c>
      <c r="C3408" s="23" t="s">
        <v>176</v>
      </c>
      <c r="D3408" s="23" t="s">
        <v>444</v>
      </c>
      <c r="E3408" s="23" t="s">
        <v>445</v>
      </c>
      <c r="F3408">
        <v>1</v>
      </c>
      <c r="G3408" s="23" t="s">
        <v>177</v>
      </c>
      <c r="H3408">
        <v>0</v>
      </c>
      <c r="I3408">
        <v>27</v>
      </c>
      <c r="J3408" s="10">
        <v>3</v>
      </c>
      <c r="K3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408">
        <v>0</v>
      </c>
      <c r="M34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8">
        <v>372.91</v>
      </c>
      <c r="O3408" s="23" t="s">
        <v>637</v>
      </c>
      <c r="P3408">
        <v>372.91</v>
      </c>
      <c r="Q3408" s="23" t="s">
        <v>179</v>
      </c>
    </row>
    <row r="3409" spans="1:17" x14ac:dyDescent="0.25">
      <c r="A3409" s="23" t="s">
        <v>1144</v>
      </c>
      <c r="B3409" s="23" t="s">
        <v>1145</v>
      </c>
      <c r="C3409" s="23" t="s">
        <v>176</v>
      </c>
      <c r="D3409" s="23" t="s">
        <v>741</v>
      </c>
      <c r="E3409" s="23" t="s">
        <v>742</v>
      </c>
      <c r="F3409">
        <v>1</v>
      </c>
      <c r="G3409" s="23" t="s">
        <v>177</v>
      </c>
      <c r="H3409">
        <v>0</v>
      </c>
      <c r="I3409">
        <v>19</v>
      </c>
      <c r="J3409" s="10">
        <v>15</v>
      </c>
      <c r="K3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09">
        <v>0</v>
      </c>
      <c r="M34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09">
        <v>41.67</v>
      </c>
      <c r="O3409" s="23" t="s">
        <v>668</v>
      </c>
      <c r="P3409">
        <v>41.67</v>
      </c>
      <c r="Q3409" s="23" t="s">
        <v>178</v>
      </c>
    </row>
    <row r="3410" spans="1:17" x14ac:dyDescent="0.25">
      <c r="A3410" s="23" t="s">
        <v>1150</v>
      </c>
      <c r="B3410" s="23" t="s">
        <v>1145</v>
      </c>
      <c r="C3410" s="23" t="s">
        <v>176</v>
      </c>
      <c r="D3410" s="23" t="s">
        <v>1166</v>
      </c>
      <c r="E3410" s="23" t="s">
        <v>1167</v>
      </c>
      <c r="F3410">
        <v>2</v>
      </c>
      <c r="G3410" s="23" t="s">
        <v>177</v>
      </c>
      <c r="H3410">
        <v>0</v>
      </c>
      <c r="I3410">
        <v>1000</v>
      </c>
      <c r="J3410" s="10">
        <v>1000</v>
      </c>
      <c r="K3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3410">
        <v>0</v>
      </c>
      <c r="M34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0">
        <v>0.28000000000000003</v>
      </c>
      <c r="O3410" s="23" t="s">
        <v>827</v>
      </c>
      <c r="P3410">
        <v>0.56000000000000005</v>
      </c>
      <c r="Q3410" s="23" t="s">
        <v>222</v>
      </c>
    </row>
    <row r="3411" spans="1:17" x14ac:dyDescent="0.25">
      <c r="A3411" s="23" t="s">
        <v>1144</v>
      </c>
      <c r="B3411" s="23" t="s">
        <v>1145</v>
      </c>
      <c r="C3411" s="23" t="s">
        <v>176</v>
      </c>
      <c r="D3411" s="23" t="s">
        <v>598</v>
      </c>
      <c r="E3411" s="23" t="s">
        <v>599</v>
      </c>
      <c r="F3411">
        <v>2</v>
      </c>
      <c r="G3411" s="23" t="s">
        <v>177</v>
      </c>
      <c r="H3411">
        <v>0</v>
      </c>
      <c r="I3411">
        <v>33</v>
      </c>
      <c r="J3411" s="10">
        <v>5</v>
      </c>
      <c r="K3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411">
        <v>0</v>
      </c>
      <c r="M34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1">
        <v>354.91</v>
      </c>
      <c r="O3411" s="23" t="s">
        <v>637</v>
      </c>
      <c r="P3411">
        <v>709.82</v>
      </c>
      <c r="Q3411" s="23" t="s">
        <v>178</v>
      </c>
    </row>
    <row r="3412" spans="1:17" x14ac:dyDescent="0.25">
      <c r="A3412" s="23" t="s">
        <v>1148</v>
      </c>
      <c r="B3412" s="23" t="s">
        <v>1054</v>
      </c>
      <c r="C3412" s="23" t="s">
        <v>176</v>
      </c>
      <c r="D3412" s="23" t="s">
        <v>741</v>
      </c>
      <c r="E3412" s="23" t="s">
        <v>742</v>
      </c>
      <c r="F3412">
        <v>1</v>
      </c>
      <c r="G3412" s="23" t="s">
        <v>177</v>
      </c>
      <c r="H3412">
        <v>0</v>
      </c>
      <c r="I3412">
        <v>19</v>
      </c>
      <c r="J3412" s="10">
        <v>15</v>
      </c>
      <c r="K3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12">
        <v>0</v>
      </c>
      <c r="M34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2">
        <v>41.67</v>
      </c>
      <c r="O3412" s="23" t="s">
        <v>668</v>
      </c>
      <c r="P3412">
        <v>41.67</v>
      </c>
      <c r="Q3412" s="23" t="s">
        <v>178</v>
      </c>
    </row>
    <row r="3413" spans="1:17" x14ac:dyDescent="0.25">
      <c r="A3413" s="23" t="s">
        <v>1143</v>
      </c>
      <c r="B3413" s="23" t="s">
        <v>1054</v>
      </c>
      <c r="C3413" s="23" t="s">
        <v>176</v>
      </c>
      <c r="D3413" s="23" t="s">
        <v>455</v>
      </c>
      <c r="E3413" s="23" t="s">
        <v>456</v>
      </c>
      <c r="F3413">
        <v>3</v>
      </c>
      <c r="G3413" s="23" t="s">
        <v>177</v>
      </c>
      <c r="H3413">
        <v>0</v>
      </c>
      <c r="I3413">
        <v>0</v>
      </c>
      <c r="J3413" s="10">
        <v>93</v>
      </c>
      <c r="K3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3413">
        <v>0</v>
      </c>
      <c r="M34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351</v>
      </c>
      <c r="N3413">
        <v>13.5</v>
      </c>
      <c r="O3413" s="23" t="s">
        <v>227</v>
      </c>
      <c r="P3413">
        <v>40.5</v>
      </c>
      <c r="Q3413" s="23" t="s">
        <v>181</v>
      </c>
    </row>
    <row r="3414" spans="1:17" x14ac:dyDescent="0.25">
      <c r="A3414" s="23" t="s">
        <v>1149</v>
      </c>
      <c r="B3414" s="23" t="s">
        <v>1145</v>
      </c>
      <c r="C3414" s="23" t="s">
        <v>176</v>
      </c>
      <c r="D3414" s="23" t="s">
        <v>741</v>
      </c>
      <c r="E3414" s="23" t="s">
        <v>742</v>
      </c>
      <c r="F3414">
        <v>1</v>
      </c>
      <c r="G3414" s="23" t="s">
        <v>177</v>
      </c>
      <c r="H3414">
        <v>0</v>
      </c>
      <c r="I3414">
        <v>19</v>
      </c>
      <c r="J3414" s="10">
        <v>15</v>
      </c>
      <c r="K3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14">
        <v>0</v>
      </c>
      <c r="M34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4">
        <v>41.67</v>
      </c>
      <c r="O3414" s="23" t="s">
        <v>668</v>
      </c>
      <c r="P3414">
        <v>41.67</v>
      </c>
      <c r="Q3414" s="23" t="s">
        <v>178</v>
      </c>
    </row>
    <row r="3415" spans="1:17" x14ac:dyDescent="0.25">
      <c r="A3415" s="23" t="s">
        <v>1146</v>
      </c>
      <c r="B3415" s="23" t="s">
        <v>1145</v>
      </c>
      <c r="C3415" s="23" t="s">
        <v>176</v>
      </c>
      <c r="D3415" s="23" t="s">
        <v>741</v>
      </c>
      <c r="E3415" s="23" t="s">
        <v>742</v>
      </c>
      <c r="F3415">
        <v>1</v>
      </c>
      <c r="G3415" s="23" t="s">
        <v>177</v>
      </c>
      <c r="H3415">
        <v>0</v>
      </c>
      <c r="I3415">
        <v>19</v>
      </c>
      <c r="J3415" s="10">
        <v>15</v>
      </c>
      <c r="K3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15">
        <v>0</v>
      </c>
      <c r="M34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5">
        <v>41.67</v>
      </c>
      <c r="O3415" s="23" t="s">
        <v>668</v>
      </c>
      <c r="P3415">
        <v>41.67</v>
      </c>
      <c r="Q3415" s="23" t="s">
        <v>178</v>
      </c>
    </row>
    <row r="3416" spans="1:17" x14ac:dyDescent="0.25">
      <c r="A3416" s="23" t="s">
        <v>1149</v>
      </c>
      <c r="B3416" s="23" t="s">
        <v>1145</v>
      </c>
      <c r="C3416" s="23" t="s">
        <v>176</v>
      </c>
      <c r="D3416" s="23" t="s">
        <v>598</v>
      </c>
      <c r="E3416" s="23" t="s">
        <v>599</v>
      </c>
      <c r="F3416">
        <v>2</v>
      </c>
      <c r="G3416" s="23" t="s">
        <v>177</v>
      </c>
      <c r="H3416">
        <v>0</v>
      </c>
      <c r="I3416">
        <v>33</v>
      </c>
      <c r="J3416" s="10">
        <v>5</v>
      </c>
      <c r="K3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416">
        <v>0</v>
      </c>
      <c r="M34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6">
        <v>354.91</v>
      </c>
      <c r="O3416" s="23" t="s">
        <v>637</v>
      </c>
      <c r="P3416">
        <v>709.82</v>
      </c>
      <c r="Q3416" s="23" t="s">
        <v>178</v>
      </c>
    </row>
    <row r="3417" spans="1:17" x14ac:dyDescent="0.25">
      <c r="A3417" s="23" t="s">
        <v>1146</v>
      </c>
      <c r="B3417" s="23" t="s">
        <v>1145</v>
      </c>
      <c r="C3417" s="23" t="s">
        <v>176</v>
      </c>
      <c r="D3417" s="23" t="s">
        <v>598</v>
      </c>
      <c r="E3417" s="23" t="s">
        <v>599</v>
      </c>
      <c r="F3417">
        <v>2</v>
      </c>
      <c r="G3417" s="23" t="s">
        <v>177</v>
      </c>
      <c r="H3417">
        <v>0</v>
      </c>
      <c r="I3417">
        <v>33</v>
      </c>
      <c r="J3417" s="10">
        <v>5</v>
      </c>
      <c r="K3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3417">
        <v>0</v>
      </c>
      <c r="M34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7">
        <v>354.91</v>
      </c>
      <c r="O3417" s="23" t="s">
        <v>637</v>
      </c>
      <c r="P3417">
        <v>709.82</v>
      </c>
      <c r="Q3417" s="23" t="s">
        <v>178</v>
      </c>
    </row>
    <row r="3418" spans="1:17" x14ac:dyDescent="0.25">
      <c r="A3418" s="23" t="s">
        <v>1099</v>
      </c>
      <c r="B3418" s="23" t="s">
        <v>1056</v>
      </c>
      <c r="C3418" s="23" t="s">
        <v>176</v>
      </c>
      <c r="D3418" s="23" t="s">
        <v>125</v>
      </c>
      <c r="E3418" s="23" t="s">
        <v>126</v>
      </c>
      <c r="F3418">
        <v>6</v>
      </c>
      <c r="G3418" s="23" t="s">
        <v>186</v>
      </c>
      <c r="H3418">
        <v>6</v>
      </c>
      <c r="I3418">
        <v>0</v>
      </c>
      <c r="J3418" s="10">
        <v>297.61000000000013</v>
      </c>
      <c r="K3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3418">
        <v>0</v>
      </c>
      <c r="M34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3418">
        <v>136.18</v>
      </c>
      <c r="O3418" s="23" t="s">
        <v>254</v>
      </c>
      <c r="P3418">
        <v>817.08</v>
      </c>
      <c r="Q3418" s="23" t="s">
        <v>184</v>
      </c>
    </row>
    <row r="3419" spans="1:17" x14ac:dyDescent="0.25">
      <c r="A3419" s="23" t="s">
        <v>1100</v>
      </c>
      <c r="B3419" s="23" t="s">
        <v>1101</v>
      </c>
      <c r="C3419" s="23" t="s">
        <v>176</v>
      </c>
      <c r="D3419" s="23" t="s">
        <v>523</v>
      </c>
      <c r="E3419" s="23" t="s">
        <v>524</v>
      </c>
      <c r="F3419">
        <v>2</v>
      </c>
      <c r="G3419" s="23" t="s">
        <v>177</v>
      </c>
      <c r="H3419">
        <v>0</v>
      </c>
      <c r="I3419">
        <v>235</v>
      </c>
      <c r="J3419" s="10">
        <v>2.2737367544323206E-13</v>
      </c>
      <c r="K3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419">
        <v>0</v>
      </c>
      <c r="M34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19">
        <v>15</v>
      </c>
      <c r="O3419" s="23" t="s">
        <v>227</v>
      </c>
      <c r="P3419">
        <v>30</v>
      </c>
      <c r="Q3419" s="23" t="s">
        <v>181</v>
      </c>
    </row>
    <row r="3420" spans="1:17" x14ac:dyDescent="0.25">
      <c r="A3420" s="23" t="s">
        <v>1100</v>
      </c>
      <c r="B3420" s="23" t="s">
        <v>1101</v>
      </c>
      <c r="C3420" s="23" t="s">
        <v>176</v>
      </c>
      <c r="D3420" s="23" t="s">
        <v>771</v>
      </c>
      <c r="E3420" s="23" t="s">
        <v>772</v>
      </c>
      <c r="F3420">
        <v>6</v>
      </c>
      <c r="G3420" s="23" t="s">
        <v>177</v>
      </c>
      <c r="H3420">
        <v>0</v>
      </c>
      <c r="I3420">
        <v>0</v>
      </c>
      <c r="J3420" s="10">
        <v>0</v>
      </c>
      <c r="K3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20">
        <v>0</v>
      </c>
      <c r="M34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3420">
        <v>0.66</v>
      </c>
      <c r="O3420" s="23" t="s">
        <v>221</v>
      </c>
      <c r="P3420">
        <v>3.96</v>
      </c>
      <c r="Q3420" s="23" t="s">
        <v>222</v>
      </c>
    </row>
    <row r="3421" spans="1:17" x14ac:dyDescent="0.25">
      <c r="A3421" s="23" t="s">
        <v>1100</v>
      </c>
      <c r="B3421" s="23" t="s">
        <v>1101</v>
      </c>
      <c r="C3421" s="23" t="s">
        <v>176</v>
      </c>
      <c r="D3421" s="23" t="s">
        <v>401</v>
      </c>
      <c r="E3421" s="23" t="s">
        <v>402</v>
      </c>
      <c r="F3421">
        <v>2</v>
      </c>
      <c r="G3421" s="23" t="s">
        <v>177</v>
      </c>
      <c r="H3421">
        <v>0</v>
      </c>
      <c r="I3421">
        <v>31</v>
      </c>
      <c r="J3421" s="10">
        <v>12</v>
      </c>
      <c r="K3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421">
        <v>0</v>
      </c>
      <c r="M34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1">
        <v>15</v>
      </c>
      <c r="O3421" s="23" t="s">
        <v>221</v>
      </c>
      <c r="P3421">
        <v>30</v>
      </c>
      <c r="Q3421" s="23" t="s">
        <v>222</v>
      </c>
    </row>
    <row r="3422" spans="1:17" x14ac:dyDescent="0.25">
      <c r="A3422" s="23" t="s">
        <v>1055</v>
      </c>
      <c r="B3422" s="23" t="s">
        <v>1056</v>
      </c>
      <c r="C3422" s="23" t="s">
        <v>176</v>
      </c>
      <c r="D3422" s="23" t="s">
        <v>281</v>
      </c>
      <c r="E3422" s="23" t="s">
        <v>319</v>
      </c>
      <c r="F3422">
        <v>1</v>
      </c>
      <c r="G3422" s="23" t="s">
        <v>177</v>
      </c>
      <c r="H3422">
        <v>0</v>
      </c>
      <c r="I3422">
        <v>27</v>
      </c>
      <c r="J3422" s="10">
        <v>4</v>
      </c>
      <c r="K3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422">
        <v>0</v>
      </c>
      <c r="M34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2">
        <v>290.62</v>
      </c>
      <c r="O3422" s="23" t="s">
        <v>637</v>
      </c>
      <c r="P3422">
        <v>290.62</v>
      </c>
      <c r="Q3422" s="23" t="s">
        <v>179</v>
      </c>
    </row>
    <row r="3423" spans="1:17" x14ac:dyDescent="0.25">
      <c r="A3423" s="23" t="s">
        <v>1150</v>
      </c>
      <c r="B3423" s="23" t="s">
        <v>1145</v>
      </c>
      <c r="C3423" s="23" t="s">
        <v>176</v>
      </c>
      <c r="D3423" s="23" t="s">
        <v>266</v>
      </c>
      <c r="E3423" s="23" t="s">
        <v>267</v>
      </c>
      <c r="F3423">
        <v>1</v>
      </c>
      <c r="G3423" s="23" t="s">
        <v>177</v>
      </c>
      <c r="H3423">
        <v>0</v>
      </c>
      <c r="I3423">
        <v>1</v>
      </c>
      <c r="J3423" s="10">
        <v>7</v>
      </c>
      <c r="K3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423">
        <v>0</v>
      </c>
      <c r="M34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423">
        <v>4633.34</v>
      </c>
      <c r="O3423" s="23" t="s">
        <v>215</v>
      </c>
      <c r="P3423">
        <v>4633.34</v>
      </c>
      <c r="Q3423" s="23" t="s">
        <v>178</v>
      </c>
    </row>
    <row r="3424" spans="1:17" x14ac:dyDescent="0.25">
      <c r="A3424" s="23" t="s">
        <v>1149</v>
      </c>
      <c r="B3424" s="23" t="s">
        <v>1145</v>
      </c>
      <c r="C3424" s="23" t="s">
        <v>176</v>
      </c>
      <c r="D3424" s="23" t="s">
        <v>278</v>
      </c>
      <c r="E3424" s="23" t="s">
        <v>316</v>
      </c>
      <c r="F3424">
        <v>1</v>
      </c>
      <c r="G3424" s="23" t="s">
        <v>177</v>
      </c>
      <c r="H3424">
        <v>0</v>
      </c>
      <c r="I3424">
        <v>28</v>
      </c>
      <c r="J3424" s="10">
        <v>4</v>
      </c>
      <c r="K3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3424">
        <v>0</v>
      </c>
      <c r="M34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4">
        <v>290.62</v>
      </c>
      <c r="O3424" s="23" t="s">
        <v>637</v>
      </c>
      <c r="P3424">
        <v>290.62</v>
      </c>
      <c r="Q3424" s="23" t="s">
        <v>179</v>
      </c>
    </row>
    <row r="3425" spans="1:17" x14ac:dyDescent="0.25">
      <c r="A3425" s="23" t="s">
        <v>1150</v>
      </c>
      <c r="B3425" s="23" t="s">
        <v>1145</v>
      </c>
      <c r="C3425" s="23" t="s">
        <v>176</v>
      </c>
      <c r="D3425" s="23" t="s">
        <v>771</v>
      </c>
      <c r="E3425" s="23" t="s">
        <v>772</v>
      </c>
      <c r="F3425">
        <v>6</v>
      </c>
      <c r="G3425" s="23" t="s">
        <v>177</v>
      </c>
      <c r="H3425">
        <v>0</v>
      </c>
      <c r="I3425">
        <v>0</v>
      </c>
      <c r="J3425" s="10">
        <v>0</v>
      </c>
      <c r="K3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25">
        <v>0</v>
      </c>
      <c r="M34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3425">
        <v>0.66</v>
      </c>
      <c r="O3425" s="23" t="s">
        <v>221</v>
      </c>
      <c r="P3425">
        <v>3.96</v>
      </c>
      <c r="Q3425" s="23" t="s">
        <v>222</v>
      </c>
    </row>
    <row r="3426" spans="1:17" x14ac:dyDescent="0.25">
      <c r="A3426" s="23" t="s">
        <v>1098</v>
      </c>
      <c r="B3426" s="23" t="s">
        <v>1053</v>
      </c>
      <c r="C3426" s="23" t="s">
        <v>176</v>
      </c>
      <c r="D3426" s="23" t="s">
        <v>438</v>
      </c>
      <c r="E3426" s="23" t="s">
        <v>439</v>
      </c>
      <c r="F3426">
        <v>1</v>
      </c>
      <c r="G3426" s="23" t="s">
        <v>177</v>
      </c>
      <c r="H3426">
        <v>0</v>
      </c>
      <c r="I3426">
        <v>26</v>
      </c>
      <c r="J3426" s="10">
        <v>3</v>
      </c>
      <c r="K3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426">
        <v>0</v>
      </c>
      <c r="M34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6">
        <v>360.05</v>
      </c>
      <c r="O3426" s="23" t="s">
        <v>637</v>
      </c>
      <c r="P3426">
        <v>360.05</v>
      </c>
      <c r="Q3426" s="23" t="s">
        <v>179</v>
      </c>
    </row>
    <row r="3427" spans="1:17" x14ac:dyDescent="0.25">
      <c r="A3427" s="23" t="s">
        <v>1143</v>
      </c>
      <c r="B3427" s="23" t="s">
        <v>1054</v>
      </c>
      <c r="C3427" s="23" t="s">
        <v>176</v>
      </c>
      <c r="D3427" s="23" t="s">
        <v>322</v>
      </c>
      <c r="E3427" s="23" t="s">
        <v>323</v>
      </c>
      <c r="F3427">
        <v>4.3499999999999996</v>
      </c>
      <c r="G3427" s="23" t="s">
        <v>177</v>
      </c>
      <c r="H3427">
        <v>0</v>
      </c>
      <c r="I3427">
        <v>84</v>
      </c>
      <c r="J3427" s="10">
        <v>195.90000000000006</v>
      </c>
      <c r="K3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3427">
        <v>0</v>
      </c>
      <c r="M34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7">
        <v>29</v>
      </c>
      <c r="O3427" s="23" t="s">
        <v>242</v>
      </c>
      <c r="P3427">
        <v>126.14999999999999</v>
      </c>
      <c r="Q3427" s="23" t="s">
        <v>181</v>
      </c>
    </row>
    <row r="3428" spans="1:17" x14ac:dyDescent="0.25">
      <c r="A3428" s="23" t="s">
        <v>1143</v>
      </c>
      <c r="B3428" s="23" t="s">
        <v>1054</v>
      </c>
      <c r="C3428" s="23" t="s">
        <v>176</v>
      </c>
      <c r="D3428" s="23" t="s">
        <v>566</v>
      </c>
      <c r="E3428" s="23" t="s">
        <v>567</v>
      </c>
      <c r="F3428">
        <v>2</v>
      </c>
      <c r="G3428" s="23" t="s">
        <v>177</v>
      </c>
      <c r="H3428">
        <v>0</v>
      </c>
      <c r="I3428">
        <v>26</v>
      </c>
      <c r="J3428" s="10">
        <v>46</v>
      </c>
      <c r="K3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28">
        <v>0</v>
      </c>
      <c r="M34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8">
        <v>12</v>
      </c>
      <c r="O3428" s="23" t="s">
        <v>227</v>
      </c>
      <c r="P3428">
        <v>24</v>
      </c>
      <c r="Q3428" s="23" t="s">
        <v>181</v>
      </c>
    </row>
    <row r="3429" spans="1:17" x14ac:dyDescent="0.25">
      <c r="A3429" s="23" t="s">
        <v>1057</v>
      </c>
      <c r="B3429" s="23" t="s">
        <v>1056</v>
      </c>
      <c r="C3429" s="23" t="s">
        <v>176</v>
      </c>
      <c r="D3429" s="23" t="s">
        <v>566</v>
      </c>
      <c r="E3429" s="23" t="s">
        <v>567</v>
      </c>
      <c r="F3429">
        <v>1</v>
      </c>
      <c r="G3429" s="23" t="s">
        <v>177</v>
      </c>
      <c r="H3429">
        <v>0</v>
      </c>
      <c r="I3429">
        <v>26</v>
      </c>
      <c r="J3429" s="10">
        <v>46</v>
      </c>
      <c r="K3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429">
        <v>0</v>
      </c>
      <c r="M34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29">
        <v>12</v>
      </c>
      <c r="O3429" s="23" t="s">
        <v>227</v>
      </c>
      <c r="P3429">
        <v>12</v>
      </c>
      <c r="Q3429" s="23" t="s">
        <v>181</v>
      </c>
    </row>
    <row r="3430" spans="1:17" x14ac:dyDescent="0.25">
      <c r="A3430" s="23" t="s">
        <v>1143</v>
      </c>
      <c r="B3430" s="23" t="s">
        <v>1054</v>
      </c>
      <c r="C3430" s="23" t="s">
        <v>176</v>
      </c>
      <c r="D3430" s="23" t="s">
        <v>957</v>
      </c>
      <c r="E3430" s="23" t="s">
        <v>958</v>
      </c>
      <c r="F3430">
        <v>1</v>
      </c>
      <c r="G3430" s="23" t="s">
        <v>177</v>
      </c>
      <c r="H3430">
        <v>0</v>
      </c>
      <c r="I3430">
        <v>0</v>
      </c>
      <c r="J3430" s="10">
        <v>1</v>
      </c>
      <c r="K3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430">
        <v>2</v>
      </c>
      <c r="M34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3430">
        <v>11481.54</v>
      </c>
      <c r="O3430" s="23" t="s">
        <v>228</v>
      </c>
      <c r="P3430">
        <v>11481.54</v>
      </c>
      <c r="Q3430" s="23" t="s">
        <v>222</v>
      </c>
    </row>
    <row r="3431" spans="1:17" x14ac:dyDescent="0.25">
      <c r="A3431" s="23" t="s">
        <v>1094</v>
      </c>
      <c r="B3431" s="23" t="s">
        <v>1095</v>
      </c>
      <c r="C3431" s="23" t="s">
        <v>176</v>
      </c>
      <c r="D3431" s="23" t="s">
        <v>1115</v>
      </c>
      <c r="E3431" s="23" t="s">
        <v>1116</v>
      </c>
      <c r="F3431">
        <v>13</v>
      </c>
      <c r="G3431" s="23" t="s">
        <v>183</v>
      </c>
      <c r="H3431">
        <v>0</v>
      </c>
      <c r="I3431">
        <v>0</v>
      </c>
      <c r="J3431" s="10">
        <v>36.529999999999987</v>
      </c>
      <c r="K3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3431">
        <v>0</v>
      </c>
      <c r="M34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3908.84</v>
      </c>
      <c r="N3431">
        <v>300.68</v>
      </c>
      <c r="O3431" s="23" t="s">
        <v>224</v>
      </c>
      <c r="P3431">
        <v>3908.84</v>
      </c>
      <c r="Q3431" s="23" t="s">
        <v>182</v>
      </c>
    </row>
    <row r="3432" spans="1:17" x14ac:dyDescent="0.25">
      <c r="A3432" s="23" t="s">
        <v>1143</v>
      </c>
      <c r="B3432" s="23" t="s">
        <v>1054</v>
      </c>
      <c r="C3432" s="23" t="s">
        <v>176</v>
      </c>
      <c r="D3432" s="23" t="s">
        <v>773</v>
      </c>
      <c r="E3432" s="23" t="s">
        <v>774</v>
      </c>
      <c r="F3432">
        <v>4</v>
      </c>
      <c r="G3432" s="23" t="s">
        <v>177</v>
      </c>
      <c r="H3432">
        <v>0</v>
      </c>
      <c r="I3432">
        <v>64.5</v>
      </c>
      <c r="J3432" s="10">
        <v>20</v>
      </c>
      <c r="K3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3432">
        <v>0</v>
      </c>
      <c r="M34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2">
        <v>200</v>
      </c>
      <c r="O3432" s="23" t="s">
        <v>249</v>
      </c>
      <c r="P3432">
        <v>800</v>
      </c>
      <c r="Q3432" s="23" t="s">
        <v>178</v>
      </c>
    </row>
    <row r="3433" spans="1:17" x14ac:dyDescent="0.25">
      <c r="A3433" s="23" t="s">
        <v>1057</v>
      </c>
      <c r="B3433" s="23" t="s">
        <v>1056</v>
      </c>
      <c r="C3433" s="23" t="s">
        <v>176</v>
      </c>
      <c r="D3433" s="23" t="s">
        <v>949</v>
      </c>
      <c r="E3433" s="23" t="s">
        <v>950</v>
      </c>
      <c r="F3433">
        <v>1</v>
      </c>
      <c r="G3433" s="23" t="s">
        <v>177</v>
      </c>
      <c r="H3433">
        <v>0</v>
      </c>
      <c r="I3433">
        <v>4</v>
      </c>
      <c r="J3433" s="10">
        <v>4</v>
      </c>
      <c r="K3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433">
        <v>0</v>
      </c>
      <c r="M34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3">
        <v>3256.79</v>
      </c>
      <c r="O3433" s="23" t="s">
        <v>635</v>
      </c>
      <c r="P3433">
        <v>3256.79</v>
      </c>
      <c r="Q3433" s="23" t="s">
        <v>178</v>
      </c>
    </row>
    <row r="3434" spans="1:17" x14ac:dyDescent="0.25">
      <c r="A3434" s="23" t="s">
        <v>1094</v>
      </c>
      <c r="B3434" s="23" t="s">
        <v>1095</v>
      </c>
      <c r="C3434" s="23" t="s">
        <v>176</v>
      </c>
      <c r="D3434" s="23" t="s">
        <v>411</v>
      </c>
      <c r="E3434" s="23" t="s">
        <v>412</v>
      </c>
      <c r="F3434">
        <v>0.01</v>
      </c>
      <c r="G3434" s="23" t="s">
        <v>413</v>
      </c>
      <c r="H3434">
        <v>0</v>
      </c>
      <c r="I3434">
        <v>150</v>
      </c>
      <c r="J3434" s="10">
        <v>0</v>
      </c>
      <c r="K3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3434">
        <v>0</v>
      </c>
      <c r="M34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4">
        <v>1.8</v>
      </c>
      <c r="O3434" s="23" t="s">
        <v>221</v>
      </c>
      <c r="P3434">
        <v>1.8000000000000002E-2</v>
      </c>
      <c r="Q3434" s="23" t="s">
        <v>181</v>
      </c>
    </row>
    <row r="3435" spans="1:17" x14ac:dyDescent="0.25">
      <c r="A3435" s="23" t="s">
        <v>1094</v>
      </c>
      <c r="B3435" s="23" t="s">
        <v>1095</v>
      </c>
      <c r="C3435" s="23" t="s">
        <v>176</v>
      </c>
      <c r="D3435" s="23" t="s">
        <v>438</v>
      </c>
      <c r="E3435" s="23" t="s">
        <v>439</v>
      </c>
      <c r="F3435">
        <v>1</v>
      </c>
      <c r="G3435" s="23" t="s">
        <v>177</v>
      </c>
      <c r="H3435">
        <v>0</v>
      </c>
      <c r="I3435">
        <v>26</v>
      </c>
      <c r="J3435" s="10">
        <v>3</v>
      </c>
      <c r="K3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435">
        <v>0</v>
      </c>
      <c r="M34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5">
        <v>360.05</v>
      </c>
      <c r="O3435" s="23" t="s">
        <v>637</v>
      </c>
      <c r="P3435">
        <v>360.05</v>
      </c>
      <c r="Q3435" s="23" t="s">
        <v>179</v>
      </c>
    </row>
    <row r="3436" spans="1:17" x14ac:dyDescent="0.25">
      <c r="A3436" s="23" t="s">
        <v>1150</v>
      </c>
      <c r="B3436" s="23" t="s">
        <v>1145</v>
      </c>
      <c r="C3436" s="23" t="s">
        <v>176</v>
      </c>
      <c r="D3436" s="23" t="s">
        <v>1164</v>
      </c>
      <c r="E3436" s="23" t="s">
        <v>1165</v>
      </c>
      <c r="F3436">
        <v>2</v>
      </c>
      <c r="G3436" s="23" t="s">
        <v>177</v>
      </c>
      <c r="H3436">
        <v>0</v>
      </c>
      <c r="I3436">
        <v>500</v>
      </c>
      <c r="J3436" s="10">
        <v>500</v>
      </c>
      <c r="K3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3436">
        <v>0</v>
      </c>
      <c r="M34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6">
        <v>0.55000000000000004</v>
      </c>
      <c r="O3436" s="23" t="s">
        <v>827</v>
      </c>
      <c r="P3436">
        <v>1.1000000000000001</v>
      </c>
      <c r="Q3436" s="23" t="s">
        <v>222</v>
      </c>
    </row>
    <row r="3437" spans="1:17" x14ac:dyDescent="0.25">
      <c r="A3437" s="23" t="s">
        <v>1150</v>
      </c>
      <c r="B3437" s="23" t="s">
        <v>1145</v>
      </c>
      <c r="C3437" s="23" t="s">
        <v>176</v>
      </c>
      <c r="D3437" s="23" t="s">
        <v>600</v>
      </c>
      <c r="E3437" s="23" t="s">
        <v>601</v>
      </c>
      <c r="F3437">
        <v>4</v>
      </c>
      <c r="G3437" s="23" t="s">
        <v>177</v>
      </c>
      <c r="H3437">
        <v>0</v>
      </c>
      <c r="I3437">
        <v>45</v>
      </c>
      <c r="J3437" s="10">
        <v>6</v>
      </c>
      <c r="K3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437">
        <v>0</v>
      </c>
      <c r="M34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7">
        <v>313.76</v>
      </c>
      <c r="O3437" s="23" t="s">
        <v>637</v>
      </c>
      <c r="P3437">
        <v>1255.04</v>
      </c>
      <c r="Q3437" s="23" t="s">
        <v>178</v>
      </c>
    </row>
    <row r="3438" spans="1:17" x14ac:dyDescent="0.25">
      <c r="A3438" s="23" t="s">
        <v>1150</v>
      </c>
      <c r="B3438" s="23" t="s">
        <v>1145</v>
      </c>
      <c r="C3438" s="23" t="s">
        <v>176</v>
      </c>
      <c r="D3438" s="23" t="s">
        <v>557</v>
      </c>
      <c r="E3438" s="23" t="s">
        <v>558</v>
      </c>
      <c r="F3438">
        <v>0.1</v>
      </c>
      <c r="G3438" s="23" t="s">
        <v>177</v>
      </c>
      <c r="H3438">
        <v>0</v>
      </c>
      <c r="I3438">
        <v>33</v>
      </c>
      <c r="J3438" s="10">
        <v>6.1</v>
      </c>
      <c r="K3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3438">
        <v>0</v>
      </c>
      <c r="M34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8">
        <v>25</v>
      </c>
      <c r="O3438" s="23" t="s">
        <v>242</v>
      </c>
      <c r="P3438">
        <v>2.5</v>
      </c>
      <c r="Q3438" s="23" t="s">
        <v>181</v>
      </c>
    </row>
    <row r="3439" spans="1:17" x14ac:dyDescent="0.25">
      <c r="A3439" s="23" t="s">
        <v>1058</v>
      </c>
      <c r="B3439" s="23" t="s">
        <v>1059</v>
      </c>
      <c r="C3439" s="23" t="s">
        <v>176</v>
      </c>
      <c r="D3439" s="23" t="s">
        <v>859</v>
      </c>
      <c r="E3439" s="23" t="s">
        <v>860</v>
      </c>
      <c r="F3439">
        <v>12</v>
      </c>
      <c r="G3439" s="23" t="s">
        <v>177</v>
      </c>
      <c r="H3439">
        <v>0</v>
      </c>
      <c r="I3439">
        <v>100</v>
      </c>
      <c r="J3439" s="10">
        <v>0</v>
      </c>
      <c r="K3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439">
        <v>0</v>
      </c>
      <c r="M34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39">
        <v>21.45</v>
      </c>
      <c r="O3439" s="23" t="s">
        <v>861</v>
      </c>
      <c r="P3439">
        <v>257.39999999999998</v>
      </c>
      <c r="Q3439" s="23" t="s">
        <v>181</v>
      </c>
    </row>
    <row r="3440" spans="1:17" x14ac:dyDescent="0.25">
      <c r="A3440" s="23" t="s">
        <v>1099</v>
      </c>
      <c r="B3440" s="23" t="s">
        <v>1056</v>
      </c>
      <c r="C3440" s="23" t="s">
        <v>176</v>
      </c>
      <c r="D3440" s="23" t="s">
        <v>859</v>
      </c>
      <c r="E3440" s="23" t="s">
        <v>860</v>
      </c>
      <c r="F3440">
        <v>12</v>
      </c>
      <c r="G3440" s="23" t="s">
        <v>177</v>
      </c>
      <c r="H3440">
        <v>0</v>
      </c>
      <c r="I3440">
        <v>100</v>
      </c>
      <c r="J3440" s="10">
        <v>0</v>
      </c>
      <c r="K3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3440">
        <v>0</v>
      </c>
      <c r="M34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0">
        <v>21.45</v>
      </c>
      <c r="O3440" s="23" t="s">
        <v>861</v>
      </c>
      <c r="P3440">
        <v>257.39999999999998</v>
      </c>
      <c r="Q3440" s="23" t="s">
        <v>181</v>
      </c>
    </row>
    <row r="3441" spans="1:17" x14ac:dyDescent="0.25">
      <c r="A3441" s="23" t="s">
        <v>1147</v>
      </c>
      <c r="B3441" s="23" t="s">
        <v>1145</v>
      </c>
      <c r="C3441" s="23" t="s">
        <v>176</v>
      </c>
      <c r="D3441" s="23" t="s">
        <v>1164</v>
      </c>
      <c r="E3441" s="23" t="s">
        <v>1165</v>
      </c>
      <c r="F3441">
        <v>2</v>
      </c>
      <c r="G3441" s="23" t="s">
        <v>177</v>
      </c>
      <c r="H3441">
        <v>0</v>
      </c>
      <c r="I3441">
        <v>500</v>
      </c>
      <c r="J3441" s="10">
        <v>500</v>
      </c>
      <c r="K3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3441">
        <v>0</v>
      </c>
      <c r="M34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1">
        <v>0.55000000000000004</v>
      </c>
      <c r="O3441" s="23" t="s">
        <v>827</v>
      </c>
      <c r="P3441">
        <v>1.1000000000000001</v>
      </c>
      <c r="Q3441" s="23" t="s">
        <v>222</v>
      </c>
    </row>
    <row r="3442" spans="1:17" x14ac:dyDescent="0.25">
      <c r="A3442" s="23" t="s">
        <v>1058</v>
      </c>
      <c r="B3442" s="23" t="s">
        <v>1059</v>
      </c>
      <c r="C3442" s="23" t="s">
        <v>176</v>
      </c>
      <c r="D3442" s="23" t="s">
        <v>600</v>
      </c>
      <c r="E3442" s="23" t="s">
        <v>601</v>
      </c>
      <c r="F3442">
        <v>4</v>
      </c>
      <c r="G3442" s="23" t="s">
        <v>177</v>
      </c>
      <c r="H3442">
        <v>0</v>
      </c>
      <c r="I3442">
        <v>45</v>
      </c>
      <c r="J3442" s="10">
        <v>6</v>
      </c>
      <c r="K3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442">
        <v>0</v>
      </c>
      <c r="M34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2">
        <v>313.76</v>
      </c>
      <c r="O3442" s="23" t="s">
        <v>637</v>
      </c>
      <c r="P3442">
        <v>1255.04</v>
      </c>
      <c r="Q3442" s="23" t="s">
        <v>178</v>
      </c>
    </row>
    <row r="3443" spans="1:17" x14ac:dyDescent="0.25">
      <c r="A3443" s="23" t="s">
        <v>1058</v>
      </c>
      <c r="B3443" s="23" t="s">
        <v>1059</v>
      </c>
      <c r="C3443" s="23" t="s">
        <v>176</v>
      </c>
      <c r="D3443" s="23" t="s">
        <v>557</v>
      </c>
      <c r="E3443" s="23" t="s">
        <v>558</v>
      </c>
      <c r="F3443">
        <v>0.1</v>
      </c>
      <c r="G3443" s="23" t="s">
        <v>177</v>
      </c>
      <c r="H3443">
        <v>0.1</v>
      </c>
      <c r="I3443">
        <v>33</v>
      </c>
      <c r="J3443" s="10">
        <v>6.1</v>
      </c>
      <c r="K3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3443">
        <v>0</v>
      </c>
      <c r="M34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3">
        <v>25</v>
      </c>
      <c r="O3443" s="23" t="s">
        <v>242</v>
      </c>
      <c r="P3443">
        <v>2.5</v>
      </c>
      <c r="Q3443" s="23" t="s">
        <v>181</v>
      </c>
    </row>
    <row r="3444" spans="1:17" x14ac:dyDescent="0.25">
      <c r="A3444" s="23" t="s">
        <v>1058</v>
      </c>
      <c r="B3444" s="23" t="s">
        <v>1059</v>
      </c>
      <c r="C3444" s="23" t="s">
        <v>176</v>
      </c>
      <c r="D3444" s="23" t="s">
        <v>751</v>
      </c>
      <c r="E3444" s="23" t="s">
        <v>752</v>
      </c>
      <c r="F3444">
        <v>12</v>
      </c>
      <c r="G3444" s="23" t="s">
        <v>177</v>
      </c>
      <c r="H3444">
        <v>0</v>
      </c>
      <c r="I3444">
        <v>0</v>
      </c>
      <c r="J3444" s="10">
        <v>0</v>
      </c>
      <c r="K3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444">
        <v>0</v>
      </c>
      <c r="M34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444">
        <v>1.75</v>
      </c>
      <c r="O3444" s="23" t="s">
        <v>242</v>
      </c>
      <c r="P3444">
        <v>21</v>
      </c>
      <c r="Q3444" s="23" t="s">
        <v>181</v>
      </c>
    </row>
    <row r="3445" spans="1:17" x14ac:dyDescent="0.25">
      <c r="A3445" s="23" t="s">
        <v>1100</v>
      </c>
      <c r="B3445" s="23" t="s">
        <v>1101</v>
      </c>
      <c r="C3445" s="23" t="s">
        <v>176</v>
      </c>
      <c r="D3445" s="23" t="s">
        <v>275</v>
      </c>
      <c r="E3445" s="23" t="s">
        <v>276</v>
      </c>
      <c r="F3445">
        <v>1</v>
      </c>
      <c r="G3445" s="23" t="s">
        <v>177</v>
      </c>
      <c r="H3445">
        <v>0</v>
      </c>
      <c r="I3445">
        <v>9</v>
      </c>
      <c r="J3445" s="10">
        <v>8</v>
      </c>
      <c r="K3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445">
        <v>0</v>
      </c>
      <c r="M34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3445">
        <v>487.56</v>
      </c>
      <c r="O3445" s="23" t="s">
        <v>277</v>
      </c>
      <c r="P3445">
        <v>487.56</v>
      </c>
      <c r="Q3445" s="23" t="s">
        <v>178</v>
      </c>
    </row>
    <row r="3446" spans="1:17" x14ac:dyDescent="0.25">
      <c r="A3446" s="23" t="s">
        <v>1147</v>
      </c>
      <c r="B3446" s="23" t="s">
        <v>1145</v>
      </c>
      <c r="C3446" s="23" t="s">
        <v>176</v>
      </c>
      <c r="D3446" s="23" t="s">
        <v>336</v>
      </c>
      <c r="E3446" s="23" t="s">
        <v>623</v>
      </c>
      <c r="F3446">
        <v>1</v>
      </c>
      <c r="G3446" s="23" t="s">
        <v>177</v>
      </c>
      <c r="H3446">
        <v>0</v>
      </c>
      <c r="I3446">
        <v>5</v>
      </c>
      <c r="J3446" s="10">
        <v>4</v>
      </c>
      <c r="K3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446">
        <v>0</v>
      </c>
      <c r="M34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3446">
        <v>1723.12</v>
      </c>
      <c r="O3446" s="23" t="s">
        <v>637</v>
      </c>
      <c r="P3446">
        <v>1723.12</v>
      </c>
      <c r="Q3446" s="23" t="s">
        <v>179</v>
      </c>
    </row>
    <row r="3447" spans="1:17" x14ac:dyDescent="0.25">
      <c r="A3447" s="23" t="s">
        <v>1150</v>
      </c>
      <c r="B3447" s="23" t="s">
        <v>1145</v>
      </c>
      <c r="C3447" s="23" t="s">
        <v>176</v>
      </c>
      <c r="D3447" s="23" t="s">
        <v>551</v>
      </c>
      <c r="E3447" s="23" t="s">
        <v>552</v>
      </c>
      <c r="F3447">
        <v>2</v>
      </c>
      <c r="G3447" s="23" t="s">
        <v>177</v>
      </c>
      <c r="H3447">
        <v>0</v>
      </c>
      <c r="I3447">
        <v>35</v>
      </c>
      <c r="J3447" s="10">
        <v>14</v>
      </c>
      <c r="K3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447">
        <v>15</v>
      </c>
      <c r="M34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7">
        <v>43.75</v>
      </c>
      <c r="O3447" s="23" t="s">
        <v>491</v>
      </c>
      <c r="P3447">
        <v>87.5</v>
      </c>
      <c r="Q3447" s="23" t="s">
        <v>181</v>
      </c>
    </row>
    <row r="3448" spans="1:17" x14ac:dyDescent="0.25">
      <c r="A3448" s="23" t="s">
        <v>1149</v>
      </c>
      <c r="B3448" s="23" t="s">
        <v>1145</v>
      </c>
      <c r="C3448" s="23" t="s">
        <v>176</v>
      </c>
      <c r="D3448" s="23" t="s">
        <v>409</v>
      </c>
      <c r="E3448" s="23" t="s">
        <v>410</v>
      </c>
      <c r="F3448">
        <v>14</v>
      </c>
      <c r="G3448" s="23" t="s">
        <v>177</v>
      </c>
      <c r="H3448">
        <v>0</v>
      </c>
      <c r="I3448">
        <v>2700</v>
      </c>
      <c r="J3448" s="10">
        <v>0</v>
      </c>
      <c r="K3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448">
        <v>0</v>
      </c>
      <c r="M34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8">
        <v>1.55</v>
      </c>
      <c r="O3448" s="23" t="s">
        <v>221</v>
      </c>
      <c r="P3448">
        <v>21.7</v>
      </c>
      <c r="Q3448" s="23" t="s">
        <v>222</v>
      </c>
    </row>
    <row r="3449" spans="1:17" x14ac:dyDescent="0.25">
      <c r="A3449" s="23" t="s">
        <v>1097</v>
      </c>
      <c r="B3449" s="23" t="s">
        <v>1095</v>
      </c>
      <c r="C3449" s="23" t="s">
        <v>176</v>
      </c>
      <c r="D3449" s="23" t="s">
        <v>334</v>
      </c>
      <c r="E3449" s="23" t="s">
        <v>335</v>
      </c>
      <c r="F3449">
        <v>1</v>
      </c>
      <c r="G3449" s="23" t="s">
        <v>177</v>
      </c>
      <c r="H3449">
        <v>0</v>
      </c>
      <c r="I3449">
        <v>25</v>
      </c>
      <c r="J3449" s="10">
        <v>18</v>
      </c>
      <c r="K3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449">
        <v>0</v>
      </c>
      <c r="M34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49">
        <v>225</v>
      </c>
      <c r="O3449" s="23" t="s">
        <v>227</v>
      </c>
      <c r="P3449">
        <v>225</v>
      </c>
      <c r="Q3449" s="23" t="s">
        <v>181</v>
      </c>
    </row>
    <row r="3450" spans="1:17" x14ac:dyDescent="0.25">
      <c r="A3450" s="23" t="s">
        <v>1148</v>
      </c>
      <c r="B3450" s="23" t="s">
        <v>1054</v>
      </c>
      <c r="C3450" s="23" t="s">
        <v>176</v>
      </c>
      <c r="D3450" s="23" t="s">
        <v>693</v>
      </c>
      <c r="E3450" s="23" t="s">
        <v>694</v>
      </c>
      <c r="F3450">
        <v>13</v>
      </c>
      <c r="G3450" s="23" t="s">
        <v>183</v>
      </c>
      <c r="H3450">
        <v>0</v>
      </c>
      <c r="I3450">
        <v>35.700000000000003</v>
      </c>
      <c r="J3450" s="10">
        <v>9.1250000000000568</v>
      </c>
      <c r="K3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450">
        <v>95.16</v>
      </c>
      <c r="M34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0">
        <v>300.55</v>
      </c>
      <c r="O3450" s="23" t="s">
        <v>224</v>
      </c>
      <c r="P3450">
        <v>3907.15</v>
      </c>
      <c r="Q3450" s="23" t="s">
        <v>182</v>
      </c>
    </row>
    <row r="3451" spans="1:17" x14ac:dyDescent="0.25">
      <c r="A3451" s="23" t="s">
        <v>1100</v>
      </c>
      <c r="B3451" s="23" t="s">
        <v>1101</v>
      </c>
      <c r="C3451" s="23" t="s">
        <v>176</v>
      </c>
      <c r="D3451" s="23" t="s">
        <v>751</v>
      </c>
      <c r="E3451" s="23" t="s">
        <v>752</v>
      </c>
      <c r="F3451">
        <v>12</v>
      </c>
      <c r="G3451" s="23" t="s">
        <v>177</v>
      </c>
      <c r="H3451">
        <v>0</v>
      </c>
      <c r="I3451">
        <v>0</v>
      </c>
      <c r="J3451" s="10">
        <v>0</v>
      </c>
      <c r="K3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451">
        <v>0</v>
      </c>
      <c r="M34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451">
        <v>1.75</v>
      </c>
      <c r="O3451" s="23" t="s">
        <v>242</v>
      </c>
      <c r="P3451">
        <v>21</v>
      </c>
      <c r="Q3451" s="23" t="s">
        <v>181</v>
      </c>
    </row>
    <row r="3452" spans="1:17" x14ac:dyDescent="0.25">
      <c r="A3452" s="23" t="s">
        <v>1150</v>
      </c>
      <c r="B3452" s="23" t="s">
        <v>1145</v>
      </c>
      <c r="C3452" s="23" t="s">
        <v>176</v>
      </c>
      <c r="D3452" s="23" t="s">
        <v>401</v>
      </c>
      <c r="E3452" s="23" t="s">
        <v>402</v>
      </c>
      <c r="F3452">
        <v>1</v>
      </c>
      <c r="G3452" s="23" t="s">
        <v>177</v>
      </c>
      <c r="H3452">
        <v>0</v>
      </c>
      <c r="I3452">
        <v>31</v>
      </c>
      <c r="J3452" s="10">
        <v>12</v>
      </c>
      <c r="K3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452">
        <v>0</v>
      </c>
      <c r="M34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2">
        <v>15</v>
      </c>
      <c r="O3452" s="23" t="s">
        <v>221</v>
      </c>
      <c r="P3452">
        <v>15</v>
      </c>
      <c r="Q3452" s="23" t="s">
        <v>222</v>
      </c>
    </row>
    <row r="3453" spans="1:17" x14ac:dyDescent="0.25">
      <c r="A3453" s="23" t="s">
        <v>1142</v>
      </c>
      <c r="B3453" s="23" t="s">
        <v>1054</v>
      </c>
      <c r="C3453" s="23" t="s">
        <v>176</v>
      </c>
      <c r="D3453" s="23" t="s">
        <v>125</v>
      </c>
      <c r="E3453" s="23" t="s">
        <v>126</v>
      </c>
      <c r="F3453">
        <v>7</v>
      </c>
      <c r="G3453" s="23" t="s">
        <v>186</v>
      </c>
      <c r="H3453">
        <v>0</v>
      </c>
      <c r="I3453">
        <v>0</v>
      </c>
      <c r="J3453" s="10">
        <v>297.61000000000013</v>
      </c>
      <c r="K3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3453">
        <v>0</v>
      </c>
      <c r="M34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3453">
        <v>136.18</v>
      </c>
      <c r="O3453" s="23" t="s">
        <v>254</v>
      </c>
      <c r="P3453">
        <v>953.26</v>
      </c>
      <c r="Q3453" s="23" t="s">
        <v>184</v>
      </c>
    </row>
    <row r="3454" spans="1:17" x14ac:dyDescent="0.25">
      <c r="A3454" s="23" t="s">
        <v>1142</v>
      </c>
      <c r="B3454" s="23" t="s">
        <v>1054</v>
      </c>
      <c r="C3454" s="23" t="s">
        <v>176</v>
      </c>
      <c r="D3454" s="23" t="s">
        <v>771</v>
      </c>
      <c r="E3454" s="23" t="s">
        <v>772</v>
      </c>
      <c r="F3454">
        <v>6</v>
      </c>
      <c r="G3454" s="23" t="s">
        <v>177</v>
      </c>
      <c r="H3454">
        <v>0</v>
      </c>
      <c r="I3454">
        <v>0</v>
      </c>
      <c r="J3454" s="10">
        <v>0</v>
      </c>
      <c r="K3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54">
        <v>0</v>
      </c>
      <c r="M34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3454">
        <v>0.66</v>
      </c>
      <c r="O3454" s="23" t="s">
        <v>221</v>
      </c>
      <c r="P3454">
        <v>3.96</v>
      </c>
      <c r="Q3454" s="23" t="s">
        <v>222</v>
      </c>
    </row>
    <row r="3455" spans="1:17" x14ac:dyDescent="0.25">
      <c r="A3455" s="23" t="s">
        <v>1142</v>
      </c>
      <c r="B3455" s="23" t="s">
        <v>1054</v>
      </c>
      <c r="C3455" s="23" t="s">
        <v>176</v>
      </c>
      <c r="D3455" s="23" t="s">
        <v>401</v>
      </c>
      <c r="E3455" s="23" t="s">
        <v>402</v>
      </c>
      <c r="F3455">
        <v>1</v>
      </c>
      <c r="G3455" s="23" t="s">
        <v>177</v>
      </c>
      <c r="H3455">
        <v>0</v>
      </c>
      <c r="I3455">
        <v>31</v>
      </c>
      <c r="J3455" s="10">
        <v>12</v>
      </c>
      <c r="K3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455">
        <v>0</v>
      </c>
      <c r="M34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5">
        <v>15</v>
      </c>
      <c r="O3455" s="23" t="s">
        <v>221</v>
      </c>
      <c r="P3455">
        <v>15</v>
      </c>
      <c r="Q3455" s="23" t="s">
        <v>222</v>
      </c>
    </row>
    <row r="3456" spans="1:17" x14ac:dyDescent="0.25">
      <c r="A3456" s="23" t="s">
        <v>1142</v>
      </c>
      <c r="B3456" s="23" t="s">
        <v>1054</v>
      </c>
      <c r="C3456" s="23" t="s">
        <v>176</v>
      </c>
      <c r="D3456" s="23" t="s">
        <v>278</v>
      </c>
      <c r="E3456" s="23" t="s">
        <v>316</v>
      </c>
      <c r="F3456">
        <v>1</v>
      </c>
      <c r="G3456" s="23" t="s">
        <v>177</v>
      </c>
      <c r="H3456">
        <v>0</v>
      </c>
      <c r="I3456">
        <v>28</v>
      </c>
      <c r="J3456" s="10">
        <v>4</v>
      </c>
      <c r="K3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3456">
        <v>0</v>
      </c>
      <c r="M34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56">
        <v>290.62</v>
      </c>
      <c r="O3456" s="23" t="s">
        <v>637</v>
      </c>
      <c r="P3456">
        <v>290.62</v>
      </c>
      <c r="Q3456" s="23" t="s">
        <v>179</v>
      </c>
    </row>
    <row r="3457" spans="1:17" x14ac:dyDescent="0.25">
      <c r="A3457" s="23" t="s">
        <v>1144</v>
      </c>
      <c r="B3457" s="23" t="s">
        <v>1145</v>
      </c>
      <c r="C3457" s="23" t="s">
        <v>176</v>
      </c>
      <c r="D3457" s="23" t="s">
        <v>266</v>
      </c>
      <c r="E3457" s="23" t="s">
        <v>267</v>
      </c>
      <c r="F3457">
        <v>1</v>
      </c>
      <c r="G3457" s="23" t="s">
        <v>177</v>
      </c>
      <c r="H3457">
        <v>0</v>
      </c>
      <c r="I3457">
        <v>1</v>
      </c>
      <c r="J3457" s="10">
        <v>7</v>
      </c>
      <c r="K3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457">
        <v>0</v>
      </c>
      <c r="M34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457">
        <v>4633.34</v>
      </c>
      <c r="O3457" s="23" t="s">
        <v>215</v>
      </c>
      <c r="P3457">
        <v>4633.34</v>
      </c>
      <c r="Q3457" s="23" t="s">
        <v>178</v>
      </c>
    </row>
    <row r="3458" spans="1:17" x14ac:dyDescent="0.25">
      <c r="A3458" s="23" t="s">
        <v>1146</v>
      </c>
      <c r="B3458" s="23" t="s">
        <v>1145</v>
      </c>
      <c r="C3458" s="23" t="s">
        <v>176</v>
      </c>
      <c r="D3458" s="23" t="s">
        <v>266</v>
      </c>
      <c r="E3458" s="23" t="s">
        <v>267</v>
      </c>
      <c r="F3458">
        <v>1</v>
      </c>
      <c r="G3458" s="23" t="s">
        <v>177</v>
      </c>
      <c r="H3458">
        <v>0</v>
      </c>
      <c r="I3458">
        <v>1</v>
      </c>
      <c r="J3458" s="10">
        <v>7</v>
      </c>
      <c r="K3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458">
        <v>0</v>
      </c>
      <c r="M34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458">
        <v>4633.34</v>
      </c>
      <c r="O3458" s="23" t="s">
        <v>215</v>
      </c>
      <c r="P3458">
        <v>4633.34</v>
      </c>
      <c r="Q3458" s="23" t="s">
        <v>178</v>
      </c>
    </row>
    <row r="3459" spans="1:17" x14ac:dyDescent="0.25">
      <c r="A3459" s="23" t="s">
        <v>1146</v>
      </c>
      <c r="B3459" s="23" t="s">
        <v>1145</v>
      </c>
      <c r="C3459" s="23" t="s">
        <v>176</v>
      </c>
      <c r="D3459" s="23" t="s">
        <v>771</v>
      </c>
      <c r="E3459" s="23" t="s">
        <v>772</v>
      </c>
      <c r="F3459">
        <v>6</v>
      </c>
      <c r="G3459" s="23" t="s">
        <v>177</v>
      </c>
      <c r="H3459">
        <v>0</v>
      </c>
      <c r="I3459">
        <v>0</v>
      </c>
      <c r="J3459" s="10">
        <v>0</v>
      </c>
      <c r="K3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59">
        <v>0</v>
      </c>
      <c r="M34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3459">
        <v>0.66</v>
      </c>
      <c r="O3459" s="23" t="s">
        <v>221</v>
      </c>
      <c r="P3459">
        <v>3.96</v>
      </c>
      <c r="Q3459" s="23" t="s">
        <v>222</v>
      </c>
    </row>
    <row r="3460" spans="1:17" x14ac:dyDescent="0.25">
      <c r="A3460" s="23" t="s">
        <v>1144</v>
      </c>
      <c r="B3460" s="23" t="s">
        <v>1145</v>
      </c>
      <c r="C3460" s="23" t="s">
        <v>176</v>
      </c>
      <c r="D3460" s="23" t="s">
        <v>771</v>
      </c>
      <c r="E3460" s="23" t="s">
        <v>772</v>
      </c>
      <c r="F3460">
        <v>6</v>
      </c>
      <c r="G3460" s="23" t="s">
        <v>177</v>
      </c>
      <c r="H3460">
        <v>0</v>
      </c>
      <c r="I3460">
        <v>0</v>
      </c>
      <c r="J3460" s="10">
        <v>0</v>
      </c>
      <c r="K3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460">
        <v>0</v>
      </c>
      <c r="M34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3460">
        <v>0.66</v>
      </c>
      <c r="O3460" s="23" t="s">
        <v>221</v>
      </c>
      <c r="P3460">
        <v>3.96</v>
      </c>
      <c r="Q3460" s="23" t="s">
        <v>222</v>
      </c>
    </row>
    <row r="3461" spans="1:17" x14ac:dyDescent="0.25">
      <c r="A3461" s="23" t="s">
        <v>1146</v>
      </c>
      <c r="B3461" s="23" t="s">
        <v>1145</v>
      </c>
      <c r="C3461" s="23" t="s">
        <v>176</v>
      </c>
      <c r="D3461" s="23" t="s">
        <v>281</v>
      </c>
      <c r="E3461" s="23" t="s">
        <v>319</v>
      </c>
      <c r="F3461">
        <v>1</v>
      </c>
      <c r="G3461" s="23" t="s">
        <v>177</v>
      </c>
      <c r="H3461">
        <v>0</v>
      </c>
      <c r="I3461">
        <v>27</v>
      </c>
      <c r="J3461" s="10">
        <v>4</v>
      </c>
      <c r="K3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461">
        <v>0</v>
      </c>
      <c r="M34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1">
        <v>290.62</v>
      </c>
      <c r="O3461" s="23" t="s">
        <v>637</v>
      </c>
      <c r="P3461">
        <v>290.62</v>
      </c>
      <c r="Q3461" s="23" t="s">
        <v>179</v>
      </c>
    </row>
    <row r="3462" spans="1:17" x14ac:dyDescent="0.25">
      <c r="A3462" s="23" t="s">
        <v>1143</v>
      </c>
      <c r="B3462" s="23" t="s">
        <v>1054</v>
      </c>
      <c r="C3462" s="23" t="s">
        <v>176</v>
      </c>
      <c r="D3462" s="23" t="s">
        <v>125</v>
      </c>
      <c r="E3462" s="23" t="s">
        <v>126</v>
      </c>
      <c r="F3462">
        <v>9.6300000000000008</v>
      </c>
      <c r="G3462" s="23" t="s">
        <v>186</v>
      </c>
      <c r="H3462">
        <v>0</v>
      </c>
      <c r="I3462">
        <v>0</v>
      </c>
      <c r="J3462" s="10">
        <v>297.61000000000013</v>
      </c>
      <c r="K3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3462">
        <v>0</v>
      </c>
      <c r="M34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3462">
        <v>136.18</v>
      </c>
      <c r="O3462" s="23" t="s">
        <v>254</v>
      </c>
      <c r="P3462">
        <v>1311.4134000000001</v>
      </c>
      <c r="Q3462" s="23" t="s">
        <v>184</v>
      </c>
    </row>
    <row r="3463" spans="1:17" x14ac:dyDescent="0.25">
      <c r="A3463" s="23" t="s">
        <v>1142</v>
      </c>
      <c r="B3463" s="23" t="s">
        <v>1054</v>
      </c>
      <c r="C3463" s="23" t="s">
        <v>176</v>
      </c>
      <c r="D3463" s="23" t="s">
        <v>266</v>
      </c>
      <c r="E3463" s="23" t="s">
        <v>267</v>
      </c>
      <c r="F3463">
        <v>1</v>
      </c>
      <c r="G3463" s="23" t="s">
        <v>177</v>
      </c>
      <c r="H3463">
        <v>0</v>
      </c>
      <c r="I3463">
        <v>1</v>
      </c>
      <c r="J3463" s="10">
        <v>7</v>
      </c>
      <c r="K3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463">
        <v>0</v>
      </c>
      <c r="M34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463">
        <v>4633.34</v>
      </c>
      <c r="O3463" s="23" t="s">
        <v>215</v>
      </c>
      <c r="P3463">
        <v>4633.34</v>
      </c>
      <c r="Q3463" s="23" t="s">
        <v>178</v>
      </c>
    </row>
    <row r="3464" spans="1:17" x14ac:dyDescent="0.25">
      <c r="A3464" s="23" t="s">
        <v>1094</v>
      </c>
      <c r="B3464" s="23" t="s">
        <v>1095</v>
      </c>
      <c r="C3464" s="23" t="s">
        <v>176</v>
      </c>
      <c r="D3464" s="23" t="s">
        <v>125</v>
      </c>
      <c r="E3464" s="23" t="s">
        <v>126</v>
      </c>
      <c r="F3464">
        <v>8.89</v>
      </c>
      <c r="G3464" s="23" t="s">
        <v>186</v>
      </c>
      <c r="H3464">
        <v>0</v>
      </c>
      <c r="I3464">
        <v>0</v>
      </c>
      <c r="J3464" s="10">
        <v>297.61000000000013</v>
      </c>
      <c r="K3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3464">
        <v>0</v>
      </c>
      <c r="M34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3464">
        <v>136.18</v>
      </c>
      <c r="O3464" s="23" t="s">
        <v>254</v>
      </c>
      <c r="P3464">
        <v>1210.6402</v>
      </c>
      <c r="Q3464" s="23" t="s">
        <v>184</v>
      </c>
    </row>
    <row r="3465" spans="1:17" x14ac:dyDescent="0.25">
      <c r="A3465" s="23" t="s">
        <v>1057</v>
      </c>
      <c r="B3465" s="23" t="s">
        <v>1056</v>
      </c>
      <c r="C3465" s="23" t="s">
        <v>176</v>
      </c>
      <c r="D3465" s="23" t="s">
        <v>523</v>
      </c>
      <c r="E3465" s="23" t="s">
        <v>524</v>
      </c>
      <c r="F3465">
        <v>2.46</v>
      </c>
      <c r="G3465" s="23" t="s">
        <v>177</v>
      </c>
      <c r="H3465">
        <v>0</v>
      </c>
      <c r="I3465">
        <v>235</v>
      </c>
      <c r="J3465" s="10">
        <v>2.2737367544323206E-13</v>
      </c>
      <c r="K3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465">
        <v>0</v>
      </c>
      <c r="M34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5">
        <v>15</v>
      </c>
      <c r="O3465" s="23" t="s">
        <v>227</v>
      </c>
      <c r="P3465">
        <v>36.9</v>
      </c>
      <c r="Q3465" s="23" t="s">
        <v>181</v>
      </c>
    </row>
    <row r="3466" spans="1:17" x14ac:dyDescent="0.25">
      <c r="A3466" s="23" t="s">
        <v>1143</v>
      </c>
      <c r="B3466" s="23" t="s">
        <v>1054</v>
      </c>
      <c r="C3466" s="23" t="s">
        <v>176</v>
      </c>
      <c r="D3466" s="23" t="s">
        <v>523</v>
      </c>
      <c r="E3466" s="23" t="s">
        <v>524</v>
      </c>
      <c r="F3466">
        <v>1.46</v>
      </c>
      <c r="G3466" s="23" t="s">
        <v>177</v>
      </c>
      <c r="H3466">
        <v>0</v>
      </c>
      <c r="I3466">
        <v>235</v>
      </c>
      <c r="J3466" s="10">
        <v>2.2737367544323206E-13</v>
      </c>
      <c r="K3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466">
        <v>0</v>
      </c>
      <c r="M34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6">
        <v>15</v>
      </c>
      <c r="O3466" s="23" t="s">
        <v>227</v>
      </c>
      <c r="P3466">
        <v>21.9</v>
      </c>
      <c r="Q3466" s="23" t="s">
        <v>181</v>
      </c>
    </row>
    <row r="3467" spans="1:17" x14ac:dyDescent="0.25">
      <c r="A3467" s="23" t="s">
        <v>1143</v>
      </c>
      <c r="B3467" s="23" t="s">
        <v>1054</v>
      </c>
      <c r="C3467" s="23" t="s">
        <v>176</v>
      </c>
      <c r="D3467" s="23" t="s">
        <v>401</v>
      </c>
      <c r="E3467" s="23" t="s">
        <v>402</v>
      </c>
      <c r="F3467">
        <v>1</v>
      </c>
      <c r="G3467" s="23" t="s">
        <v>177</v>
      </c>
      <c r="H3467">
        <v>0</v>
      </c>
      <c r="I3467">
        <v>31</v>
      </c>
      <c r="J3467" s="10">
        <v>12</v>
      </c>
      <c r="K3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467">
        <v>0</v>
      </c>
      <c r="M34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7">
        <v>15</v>
      </c>
      <c r="O3467" s="23" t="s">
        <v>221</v>
      </c>
      <c r="P3467">
        <v>15</v>
      </c>
      <c r="Q3467" s="23" t="s">
        <v>222</v>
      </c>
    </row>
    <row r="3468" spans="1:17" x14ac:dyDescent="0.25">
      <c r="A3468" s="23" t="s">
        <v>1057</v>
      </c>
      <c r="B3468" s="23" t="s">
        <v>1056</v>
      </c>
      <c r="C3468" s="23" t="s">
        <v>176</v>
      </c>
      <c r="D3468" s="23" t="s">
        <v>278</v>
      </c>
      <c r="E3468" s="23" t="s">
        <v>316</v>
      </c>
      <c r="F3468">
        <v>1</v>
      </c>
      <c r="G3468" s="23" t="s">
        <v>177</v>
      </c>
      <c r="H3468">
        <v>0</v>
      </c>
      <c r="I3468">
        <v>28</v>
      </c>
      <c r="J3468" s="10">
        <v>4</v>
      </c>
      <c r="K3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3468">
        <v>0</v>
      </c>
      <c r="M34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8">
        <v>290.62</v>
      </c>
      <c r="O3468" s="23" t="s">
        <v>637</v>
      </c>
      <c r="P3468">
        <v>290.62</v>
      </c>
      <c r="Q3468" s="23" t="s">
        <v>179</v>
      </c>
    </row>
    <row r="3469" spans="1:17" x14ac:dyDescent="0.25">
      <c r="A3469" s="23" t="s">
        <v>1062</v>
      </c>
      <c r="B3469" s="23" t="s">
        <v>1053</v>
      </c>
      <c r="C3469" s="23" t="s">
        <v>176</v>
      </c>
      <c r="D3469" s="23" t="s">
        <v>523</v>
      </c>
      <c r="E3469" s="23" t="s">
        <v>524</v>
      </c>
      <c r="F3469">
        <v>1.61</v>
      </c>
      <c r="G3469" s="23" t="s">
        <v>177</v>
      </c>
      <c r="H3469">
        <v>0</v>
      </c>
      <c r="I3469">
        <v>235</v>
      </c>
      <c r="J3469" s="10">
        <v>2.2737367544323206E-13</v>
      </c>
      <c r="K3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469">
        <v>0</v>
      </c>
      <c r="M34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69">
        <v>15</v>
      </c>
      <c r="O3469" s="23" t="s">
        <v>227</v>
      </c>
      <c r="P3469">
        <v>24.150000000000002</v>
      </c>
      <c r="Q3469" s="23" t="s">
        <v>181</v>
      </c>
    </row>
    <row r="3470" spans="1:17" x14ac:dyDescent="0.25">
      <c r="A3470" s="23" t="s">
        <v>1197</v>
      </c>
      <c r="B3470" s="23" t="s">
        <v>1198</v>
      </c>
      <c r="C3470" s="23" t="s">
        <v>176</v>
      </c>
      <c r="D3470" s="23" t="s">
        <v>266</v>
      </c>
      <c r="E3470" s="23" t="s">
        <v>267</v>
      </c>
      <c r="F3470">
        <v>1</v>
      </c>
      <c r="G3470" s="23" t="s">
        <v>177</v>
      </c>
      <c r="H3470">
        <v>0</v>
      </c>
      <c r="I3470">
        <v>1</v>
      </c>
      <c r="J3470" s="10">
        <v>7</v>
      </c>
      <c r="K3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470">
        <v>0</v>
      </c>
      <c r="M34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470">
        <v>4633.34</v>
      </c>
      <c r="O3470" s="23" t="s">
        <v>215</v>
      </c>
      <c r="P3470">
        <v>4633.34</v>
      </c>
      <c r="Q3470" s="23" t="s">
        <v>178</v>
      </c>
    </row>
    <row r="3471" spans="1:17" x14ac:dyDescent="0.25">
      <c r="A3471" s="23" t="s">
        <v>1062</v>
      </c>
      <c r="B3471" s="23" t="s">
        <v>1053</v>
      </c>
      <c r="C3471" s="23" t="s">
        <v>176</v>
      </c>
      <c r="D3471" s="23" t="s">
        <v>266</v>
      </c>
      <c r="E3471" s="23" t="s">
        <v>267</v>
      </c>
      <c r="F3471">
        <v>1</v>
      </c>
      <c r="G3471" s="23" t="s">
        <v>177</v>
      </c>
      <c r="H3471">
        <v>1</v>
      </c>
      <c r="I3471">
        <v>1</v>
      </c>
      <c r="J3471" s="10">
        <v>7</v>
      </c>
      <c r="K3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471">
        <v>0</v>
      </c>
      <c r="M34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471">
        <v>4633.34</v>
      </c>
      <c r="O3471" s="23" t="s">
        <v>215</v>
      </c>
      <c r="P3471">
        <v>4633.34</v>
      </c>
      <c r="Q3471" s="23" t="s">
        <v>178</v>
      </c>
    </row>
    <row r="3472" spans="1:17" x14ac:dyDescent="0.25">
      <c r="A3472" s="23" t="s">
        <v>1149</v>
      </c>
      <c r="B3472" s="23" t="s">
        <v>1145</v>
      </c>
      <c r="C3472" s="23" t="s">
        <v>176</v>
      </c>
      <c r="D3472" s="23" t="s">
        <v>142</v>
      </c>
      <c r="E3472" s="23" t="s">
        <v>143</v>
      </c>
      <c r="F3472">
        <v>16</v>
      </c>
      <c r="G3472" s="23" t="s">
        <v>177</v>
      </c>
      <c r="H3472">
        <v>0</v>
      </c>
      <c r="I3472">
        <v>150</v>
      </c>
      <c r="J3472" s="10">
        <v>0</v>
      </c>
      <c r="K3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472">
        <v>0</v>
      </c>
      <c r="M34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472">
        <v>27.75</v>
      </c>
      <c r="O3472" s="23" t="s">
        <v>743</v>
      </c>
      <c r="P3472">
        <v>444</v>
      </c>
      <c r="Q3472" s="23" t="s">
        <v>185</v>
      </c>
    </row>
    <row r="3473" spans="1:17" x14ac:dyDescent="0.25">
      <c r="A3473" s="23" t="s">
        <v>1144</v>
      </c>
      <c r="B3473" s="23" t="s">
        <v>1145</v>
      </c>
      <c r="C3473" s="23" t="s">
        <v>176</v>
      </c>
      <c r="D3473" s="23" t="s">
        <v>841</v>
      </c>
      <c r="E3473" s="23" t="s">
        <v>842</v>
      </c>
      <c r="F3473">
        <v>9</v>
      </c>
      <c r="G3473" s="23" t="s">
        <v>180</v>
      </c>
      <c r="H3473">
        <v>0</v>
      </c>
      <c r="I3473">
        <v>0</v>
      </c>
      <c r="J3473" s="10">
        <v>165</v>
      </c>
      <c r="K3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473">
        <v>400</v>
      </c>
      <c r="M34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3">
        <v>5</v>
      </c>
      <c r="O3473" s="23" t="s">
        <v>225</v>
      </c>
      <c r="P3473">
        <v>45</v>
      </c>
      <c r="Q3473" s="23" t="s">
        <v>181</v>
      </c>
    </row>
    <row r="3474" spans="1:17" x14ac:dyDescent="0.25">
      <c r="A3474" s="23" t="s">
        <v>1146</v>
      </c>
      <c r="B3474" s="23" t="s">
        <v>1145</v>
      </c>
      <c r="C3474" s="23" t="s">
        <v>176</v>
      </c>
      <c r="D3474" s="23" t="s">
        <v>841</v>
      </c>
      <c r="E3474" s="23" t="s">
        <v>842</v>
      </c>
      <c r="F3474">
        <v>5</v>
      </c>
      <c r="G3474" s="23" t="s">
        <v>180</v>
      </c>
      <c r="H3474">
        <v>0</v>
      </c>
      <c r="I3474">
        <v>0</v>
      </c>
      <c r="J3474" s="10">
        <v>165</v>
      </c>
      <c r="K3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474">
        <v>400</v>
      </c>
      <c r="M34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4">
        <v>5</v>
      </c>
      <c r="O3474" s="23" t="s">
        <v>225</v>
      </c>
      <c r="P3474">
        <v>25</v>
      </c>
      <c r="Q3474" s="23" t="s">
        <v>181</v>
      </c>
    </row>
    <row r="3475" spans="1:17" x14ac:dyDescent="0.25">
      <c r="A3475" s="23" t="s">
        <v>1144</v>
      </c>
      <c r="B3475" s="23" t="s">
        <v>1145</v>
      </c>
      <c r="C3475" s="23" t="s">
        <v>176</v>
      </c>
      <c r="D3475" s="23" t="s">
        <v>160</v>
      </c>
      <c r="E3475" s="23" t="s">
        <v>161</v>
      </c>
      <c r="F3475">
        <v>0.25</v>
      </c>
      <c r="G3475" s="23" t="s">
        <v>180</v>
      </c>
      <c r="H3475">
        <v>0</v>
      </c>
      <c r="I3475">
        <v>52</v>
      </c>
      <c r="J3475" s="10">
        <v>38.620000000000054</v>
      </c>
      <c r="K3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475">
        <v>0</v>
      </c>
      <c r="M34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5">
        <v>126.36</v>
      </c>
      <c r="O3475" s="23" t="s">
        <v>620</v>
      </c>
      <c r="P3475">
        <v>31.59</v>
      </c>
      <c r="Q3475" s="23" t="s">
        <v>179</v>
      </c>
    </row>
    <row r="3476" spans="1:17" x14ac:dyDescent="0.25">
      <c r="A3476" s="23" t="s">
        <v>1146</v>
      </c>
      <c r="B3476" s="23" t="s">
        <v>1145</v>
      </c>
      <c r="C3476" s="23" t="s">
        <v>176</v>
      </c>
      <c r="D3476" s="23" t="s">
        <v>160</v>
      </c>
      <c r="E3476" s="23" t="s">
        <v>161</v>
      </c>
      <c r="F3476">
        <v>0.25</v>
      </c>
      <c r="G3476" s="23" t="s">
        <v>180</v>
      </c>
      <c r="H3476">
        <v>0</v>
      </c>
      <c r="I3476">
        <v>52</v>
      </c>
      <c r="J3476" s="10">
        <v>38.620000000000054</v>
      </c>
      <c r="K3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476">
        <v>0</v>
      </c>
      <c r="M34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6">
        <v>126.36</v>
      </c>
      <c r="O3476" s="23" t="s">
        <v>620</v>
      </c>
      <c r="P3476">
        <v>31.59</v>
      </c>
      <c r="Q3476" s="23" t="s">
        <v>179</v>
      </c>
    </row>
    <row r="3477" spans="1:17" x14ac:dyDescent="0.25">
      <c r="A3477" s="23" t="s">
        <v>1149</v>
      </c>
      <c r="B3477" s="23" t="s">
        <v>1145</v>
      </c>
      <c r="C3477" s="23" t="s">
        <v>176</v>
      </c>
      <c r="D3477" s="23" t="s">
        <v>5</v>
      </c>
      <c r="E3477" s="23" t="s">
        <v>6</v>
      </c>
      <c r="F3477">
        <v>4.0999999999999996</v>
      </c>
      <c r="G3477" s="23" t="s">
        <v>180</v>
      </c>
      <c r="H3477">
        <v>0</v>
      </c>
      <c r="I3477">
        <v>100</v>
      </c>
      <c r="J3477" s="10">
        <v>1.9999999999998863</v>
      </c>
      <c r="K3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477">
        <v>0</v>
      </c>
      <c r="M34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77">
        <v>111</v>
      </c>
      <c r="O3477" s="23" t="s">
        <v>827</v>
      </c>
      <c r="P3477">
        <v>455.09999999999997</v>
      </c>
      <c r="Q3477" s="23" t="s">
        <v>222</v>
      </c>
    </row>
    <row r="3478" spans="1:17" x14ac:dyDescent="0.25">
      <c r="A3478" s="23" t="s">
        <v>1149</v>
      </c>
      <c r="B3478" s="23" t="s">
        <v>1145</v>
      </c>
      <c r="C3478" s="23" t="s">
        <v>176</v>
      </c>
      <c r="D3478" s="23" t="s">
        <v>7</v>
      </c>
      <c r="E3478" s="23" t="s">
        <v>8</v>
      </c>
      <c r="F3478">
        <v>1</v>
      </c>
      <c r="G3478" s="23" t="s">
        <v>177</v>
      </c>
      <c r="H3478">
        <v>0</v>
      </c>
      <c r="I3478">
        <v>3</v>
      </c>
      <c r="J3478" s="10">
        <v>7</v>
      </c>
      <c r="K3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478">
        <v>3</v>
      </c>
      <c r="M34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3478">
        <v>2477.52</v>
      </c>
      <c r="O3478" s="23" t="s">
        <v>228</v>
      </c>
      <c r="P3478">
        <v>2477.52</v>
      </c>
      <c r="Q3478" s="23" t="s">
        <v>222</v>
      </c>
    </row>
    <row r="3479" spans="1:17" x14ac:dyDescent="0.25">
      <c r="A3479" s="23" t="s">
        <v>1146</v>
      </c>
      <c r="B3479" s="23" t="s">
        <v>1145</v>
      </c>
      <c r="C3479" s="23" t="s">
        <v>176</v>
      </c>
      <c r="D3479" s="23" t="s">
        <v>7</v>
      </c>
      <c r="E3479" s="23" t="s">
        <v>8</v>
      </c>
      <c r="F3479">
        <v>1</v>
      </c>
      <c r="G3479" s="23" t="s">
        <v>177</v>
      </c>
      <c r="H3479">
        <v>0</v>
      </c>
      <c r="I3479">
        <v>3</v>
      </c>
      <c r="J3479" s="10">
        <v>7</v>
      </c>
      <c r="K3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479">
        <v>3</v>
      </c>
      <c r="M34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3479">
        <v>2477.52</v>
      </c>
      <c r="O3479" s="23" t="s">
        <v>228</v>
      </c>
      <c r="P3479">
        <v>2477.52</v>
      </c>
      <c r="Q3479" s="23" t="s">
        <v>222</v>
      </c>
    </row>
    <row r="3480" spans="1:17" x14ac:dyDescent="0.25">
      <c r="A3480" s="23" t="s">
        <v>1149</v>
      </c>
      <c r="B3480" s="23" t="s">
        <v>1145</v>
      </c>
      <c r="C3480" s="23" t="s">
        <v>176</v>
      </c>
      <c r="D3480" s="23" t="s">
        <v>9</v>
      </c>
      <c r="E3480" s="23" t="s">
        <v>10</v>
      </c>
      <c r="F3480">
        <v>4</v>
      </c>
      <c r="G3480" s="23" t="s">
        <v>177</v>
      </c>
      <c r="H3480">
        <v>0</v>
      </c>
      <c r="I3480">
        <v>19</v>
      </c>
      <c r="J3480" s="10">
        <v>32</v>
      </c>
      <c r="K3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480">
        <v>20</v>
      </c>
      <c r="M34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0">
        <v>72.819999999999993</v>
      </c>
      <c r="O3480" s="23" t="s">
        <v>228</v>
      </c>
      <c r="P3480">
        <v>291.27999999999997</v>
      </c>
      <c r="Q3480" s="23" t="s">
        <v>222</v>
      </c>
    </row>
    <row r="3481" spans="1:17" x14ac:dyDescent="0.25">
      <c r="A3481" s="23" t="s">
        <v>1146</v>
      </c>
      <c r="B3481" s="23" t="s">
        <v>1145</v>
      </c>
      <c r="C3481" s="23" t="s">
        <v>176</v>
      </c>
      <c r="D3481" s="23" t="s">
        <v>9</v>
      </c>
      <c r="E3481" s="23" t="s">
        <v>10</v>
      </c>
      <c r="F3481">
        <v>4</v>
      </c>
      <c r="G3481" s="23" t="s">
        <v>177</v>
      </c>
      <c r="H3481">
        <v>4</v>
      </c>
      <c r="I3481">
        <v>19</v>
      </c>
      <c r="J3481" s="10">
        <v>32</v>
      </c>
      <c r="K3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481">
        <v>20</v>
      </c>
      <c r="M34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1">
        <v>72.819999999999993</v>
      </c>
      <c r="O3481" s="23" t="s">
        <v>228</v>
      </c>
      <c r="P3481">
        <v>291.27999999999997</v>
      </c>
      <c r="Q3481" s="23" t="s">
        <v>222</v>
      </c>
    </row>
    <row r="3482" spans="1:17" x14ac:dyDescent="0.25">
      <c r="A3482" s="23" t="s">
        <v>1144</v>
      </c>
      <c r="B3482" s="23" t="s">
        <v>1145</v>
      </c>
      <c r="C3482" s="23" t="s">
        <v>176</v>
      </c>
      <c r="D3482" s="23" t="s">
        <v>11</v>
      </c>
      <c r="E3482" s="23" t="s">
        <v>12</v>
      </c>
      <c r="F3482">
        <v>1</v>
      </c>
      <c r="G3482" s="23" t="s">
        <v>177</v>
      </c>
      <c r="H3482">
        <v>0</v>
      </c>
      <c r="I3482">
        <v>26</v>
      </c>
      <c r="J3482" s="10">
        <v>8</v>
      </c>
      <c r="K3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3482">
        <v>0</v>
      </c>
      <c r="M34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2">
        <v>368.07</v>
      </c>
      <c r="O3482" s="23" t="s">
        <v>590</v>
      </c>
      <c r="P3482">
        <v>368.07</v>
      </c>
      <c r="Q3482" s="23" t="s">
        <v>222</v>
      </c>
    </row>
    <row r="3483" spans="1:17" x14ac:dyDescent="0.25">
      <c r="A3483" s="23" t="s">
        <v>1146</v>
      </c>
      <c r="B3483" s="23" t="s">
        <v>1145</v>
      </c>
      <c r="C3483" s="23" t="s">
        <v>176</v>
      </c>
      <c r="D3483" s="23" t="s">
        <v>205</v>
      </c>
      <c r="E3483" s="23" t="s">
        <v>206</v>
      </c>
      <c r="F3483">
        <v>0.5</v>
      </c>
      <c r="G3483" s="23" t="s">
        <v>177</v>
      </c>
      <c r="H3483">
        <v>0</v>
      </c>
      <c r="I3483">
        <v>100</v>
      </c>
      <c r="J3483" s="10">
        <v>41</v>
      </c>
      <c r="K3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483">
        <v>0</v>
      </c>
      <c r="M34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3">
        <v>60</v>
      </c>
      <c r="O3483" s="23" t="s">
        <v>221</v>
      </c>
      <c r="P3483">
        <v>30</v>
      </c>
      <c r="Q3483" s="23" t="s">
        <v>181</v>
      </c>
    </row>
    <row r="3484" spans="1:17" x14ac:dyDescent="0.25">
      <c r="A3484" s="23" t="s">
        <v>1144</v>
      </c>
      <c r="B3484" s="23" t="s">
        <v>1145</v>
      </c>
      <c r="C3484" s="23" t="s">
        <v>176</v>
      </c>
      <c r="D3484" s="23" t="s">
        <v>205</v>
      </c>
      <c r="E3484" s="23" t="s">
        <v>206</v>
      </c>
      <c r="F3484">
        <v>0.5</v>
      </c>
      <c r="G3484" s="23" t="s">
        <v>177</v>
      </c>
      <c r="H3484">
        <v>0</v>
      </c>
      <c r="I3484">
        <v>100</v>
      </c>
      <c r="J3484" s="10">
        <v>41</v>
      </c>
      <c r="K3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484">
        <v>0</v>
      </c>
      <c r="M34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4">
        <v>60</v>
      </c>
      <c r="O3484" s="23" t="s">
        <v>221</v>
      </c>
      <c r="P3484">
        <v>30</v>
      </c>
      <c r="Q3484" s="23" t="s">
        <v>181</v>
      </c>
    </row>
    <row r="3485" spans="1:17" x14ac:dyDescent="0.25">
      <c r="A3485" s="23" t="s">
        <v>1149</v>
      </c>
      <c r="B3485" s="23" t="s">
        <v>1145</v>
      </c>
      <c r="C3485" s="23" t="s">
        <v>176</v>
      </c>
      <c r="D3485" s="23" t="s">
        <v>207</v>
      </c>
      <c r="E3485" s="23" t="s">
        <v>282</v>
      </c>
      <c r="F3485">
        <v>0.5099999999999999</v>
      </c>
      <c r="G3485" s="23" t="s">
        <v>177</v>
      </c>
      <c r="H3485">
        <v>0</v>
      </c>
      <c r="I3485">
        <v>20</v>
      </c>
      <c r="J3485" s="10">
        <v>116.66400000000021</v>
      </c>
      <c r="K3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485">
        <v>0</v>
      </c>
      <c r="M34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5">
        <v>185</v>
      </c>
      <c r="O3485" s="23" t="s">
        <v>242</v>
      </c>
      <c r="P3485">
        <v>94.34999999999998</v>
      </c>
      <c r="Q3485" s="23" t="s">
        <v>181</v>
      </c>
    </row>
    <row r="3486" spans="1:17" x14ac:dyDescent="0.25">
      <c r="A3486" s="23" t="s">
        <v>1144</v>
      </c>
      <c r="B3486" s="23" t="s">
        <v>1145</v>
      </c>
      <c r="C3486" s="23" t="s">
        <v>176</v>
      </c>
      <c r="D3486" s="23" t="s">
        <v>207</v>
      </c>
      <c r="E3486" s="23" t="s">
        <v>282</v>
      </c>
      <c r="F3486">
        <v>1.51</v>
      </c>
      <c r="G3486" s="23" t="s">
        <v>177</v>
      </c>
      <c r="H3486">
        <v>0</v>
      </c>
      <c r="I3486">
        <v>20</v>
      </c>
      <c r="J3486" s="10">
        <v>116.66400000000021</v>
      </c>
      <c r="K3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486">
        <v>0</v>
      </c>
      <c r="M34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6">
        <v>185</v>
      </c>
      <c r="O3486" s="23" t="s">
        <v>242</v>
      </c>
      <c r="P3486">
        <v>279.35000000000002</v>
      </c>
      <c r="Q3486" s="23" t="s">
        <v>181</v>
      </c>
    </row>
    <row r="3487" spans="1:17" x14ac:dyDescent="0.25">
      <c r="A3487" s="23" t="s">
        <v>1150</v>
      </c>
      <c r="B3487" s="23" t="s">
        <v>1145</v>
      </c>
      <c r="C3487" s="23" t="s">
        <v>176</v>
      </c>
      <c r="D3487" s="23" t="s">
        <v>142</v>
      </c>
      <c r="E3487" s="23" t="s">
        <v>143</v>
      </c>
      <c r="F3487">
        <v>16</v>
      </c>
      <c r="G3487" s="23" t="s">
        <v>177</v>
      </c>
      <c r="H3487">
        <v>0</v>
      </c>
      <c r="I3487">
        <v>150</v>
      </c>
      <c r="J3487" s="10">
        <v>0</v>
      </c>
      <c r="K3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487">
        <v>0</v>
      </c>
      <c r="M34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487">
        <v>27.75</v>
      </c>
      <c r="O3487" s="23" t="s">
        <v>743</v>
      </c>
      <c r="P3487">
        <v>444</v>
      </c>
      <c r="Q3487" s="23" t="s">
        <v>185</v>
      </c>
    </row>
    <row r="3488" spans="1:17" x14ac:dyDescent="0.25">
      <c r="A3488" s="23" t="s">
        <v>1150</v>
      </c>
      <c r="B3488" s="23" t="s">
        <v>1145</v>
      </c>
      <c r="C3488" s="23" t="s">
        <v>176</v>
      </c>
      <c r="D3488" s="23" t="s">
        <v>841</v>
      </c>
      <c r="E3488" s="23" t="s">
        <v>842</v>
      </c>
      <c r="F3488">
        <v>9</v>
      </c>
      <c r="G3488" s="23" t="s">
        <v>180</v>
      </c>
      <c r="H3488">
        <v>0</v>
      </c>
      <c r="I3488">
        <v>0</v>
      </c>
      <c r="J3488" s="10">
        <v>165</v>
      </c>
      <c r="K3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488">
        <v>400</v>
      </c>
      <c r="M34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8">
        <v>5</v>
      </c>
      <c r="O3488" s="23" t="s">
        <v>225</v>
      </c>
      <c r="P3488">
        <v>45</v>
      </c>
      <c r="Q3488" s="23" t="s">
        <v>181</v>
      </c>
    </row>
    <row r="3489" spans="1:17" x14ac:dyDescent="0.25">
      <c r="A3489" s="23" t="s">
        <v>1097</v>
      </c>
      <c r="B3489" s="23" t="s">
        <v>1095</v>
      </c>
      <c r="C3489" s="23" t="s">
        <v>176</v>
      </c>
      <c r="D3489" s="23" t="s">
        <v>388</v>
      </c>
      <c r="E3489" s="23" t="s">
        <v>389</v>
      </c>
      <c r="F3489">
        <v>32</v>
      </c>
      <c r="G3489" s="23" t="s">
        <v>177</v>
      </c>
      <c r="H3489">
        <v>0</v>
      </c>
      <c r="I3489">
        <v>1100</v>
      </c>
      <c r="J3489" s="10">
        <v>780</v>
      </c>
      <c r="K3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3489">
        <v>0</v>
      </c>
      <c r="M34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89">
        <v>0.32</v>
      </c>
      <c r="O3489" s="23" t="s">
        <v>242</v>
      </c>
      <c r="P3489">
        <v>10.24</v>
      </c>
      <c r="Q3489" s="23" t="s">
        <v>181</v>
      </c>
    </row>
    <row r="3490" spans="1:17" x14ac:dyDescent="0.25">
      <c r="A3490" s="23" t="s">
        <v>1062</v>
      </c>
      <c r="B3490" s="23" t="s">
        <v>1053</v>
      </c>
      <c r="C3490" s="23" t="s">
        <v>176</v>
      </c>
      <c r="D3490" s="23" t="s">
        <v>388</v>
      </c>
      <c r="E3490" s="23" t="s">
        <v>389</v>
      </c>
      <c r="F3490">
        <v>26</v>
      </c>
      <c r="G3490" s="23" t="s">
        <v>177</v>
      </c>
      <c r="H3490">
        <v>0</v>
      </c>
      <c r="I3490">
        <v>1100</v>
      </c>
      <c r="J3490" s="10">
        <v>780</v>
      </c>
      <c r="K3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3490">
        <v>0</v>
      </c>
      <c r="M34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0">
        <v>0.32</v>
      </c>
      <c r="O3490" s="23" t="s">
        <v>242</v>
      </c>
      <c r="P3490">
        <v>8.32</v>
      </c>
      <c r="Q3490" s="23" t="s">
        <v>181</v>
      </c>
    </row>
    <row r="3491" spans="1:17" x14ac:dyDescent="0.25">
      <c r="A3491" s="23" t="s">
        <v>1062</v>
      </c>
      <c r="B3491" s="23" t="s">
        <v>1053</v>
      </c>
      <c r="C3491" s="23" t="s">
        <v>176</v>
      </c>
      <c r="D3491" s="23" t="s">
        <v>99</v>
      </c>
      <c r="E3491" s="23" t="s">
        <v>250</v>
      </c>
      <c r="F3491">
        <v>9</v>
      </c>
      <c r="G3491" s="23" t="s">
        <v>177</v>
      </c>
      <c r="H3491">
        <v>0</v>
      </c>
      <c r="I3491">
        <v>230</v>
      </c>
      <c r="J3491" s="10">
        <v>72</v>
      </c>
      <c r="K3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491">
        <v>0</v>
      </c>
      <c r="M34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1">
        <v>225</v>
      </c>
      <c r="O3491" s="23" t="s">
        <v>826</v>
      </c>
      <c r="P3491">
        <v>2025</v>
      </c>
      <c r="Q3491" s="23" t="s">
        <v>178</v>
      </c>
    </row>
    <row r="3492" spans="1:17" x14ac:dyDescent="0.25">
      <c r="A3492" s="23" t="s">
        <v>1197</v>
      </c>
      <c r="B3492" s="23" t="s">
        <v>1198</v>
      </c>
      <c r="C3492" s="23" t="s">
        <v>176</v>
      </c>
      <c r="D3492" s="23" t="s">
        <v>104</v>
      </c>
      <c r="E3492" s="23" t="s">
        <v>290</v>
      </c>
      <c r="F3492">
        <v>1</v>
      </c>
      <c r="G3492" s="23" t="s">
        <v>177</v>
      </c>
      <c r="H3492">
        <v>0</v>
      </c>
      <c r="I3492">
        <v>87</v>
      </c>
      <c r="J3492" s="10">
        <v>50.899999999999949</v>
      </c>
      <c r="K3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492">
        <v>0</v>
      </c>
      <c r="M34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2">
        <v>122.09</v>
      </c>
      <c r="O3492" s="23" t="s">
        <v>252</v>
      </c>
      <c r="P3492">
        <v>122.09</v>
      </c>
      <c r="Q3492" s="23" t="s">
        <v>181</v>
      </c>
    </row>
    <row r="3493" spans="1:17" x14ac:dyDescent="0.25">
      <c r="A3493" s="23" t="s">
        <v>1062</v>
      </c>
      <c r="B3493" s="23" t="s">
        <v>1053</v>
      </c>
      <c r="C3493" s="23" t="s">
        <v>176</v>
      </c>
      <c r="D3493" s="23" t="s">
        <v>142</v>
      </c>
      <c r="E3493" s="23" t="s">
        <v>143</v>
      </c>
      <c r="F3493">
        <v>21</v>
      </c>
      <c r="G3493" s="23" t="s">
        <v>177</v>
      </c>
      <c r="H3493">
        <v>0</v>
      </c>
      <c r="I3493">
        <v>150</v>
      </c>
      <c r="J3493" s="10">
        <v>0</v>
      </c>
      <c r="K3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493">
        <v>0</v>
      </c>
      <c r="M34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493">
        <v>27.75</v>
      </c>
      <c r="O3493" s="23" t="s">
        <v>743</v>
      </c>
      <c r="P3493">
        <v>582.75</v>
      </c>
      <c r="Q3493" s="23" t="s">
        <v>185</v>
      </c>
    </row>
    <row r="3494" spans="1:17" x14ac:dyDescent="0.25">
      <c r="A3494" s="23" t="s">
        <v>1197</v>
      </c>
      <c r="B3494" s="23" t="s">
        <v>1198</v>
      </c>
      <c r="C3494" s="23" t="s">
        <v>176</v>
      </c>
      <c r="D3494" s="23" t="s">
        <v>142</v>
      </c>
      <c r="E3494" s="23" t="s">
        <v>143</v>
      </c>
      <c r="F3494">
        <v>16</v>
      </c>
      <c r="G3494" s="23" t="s">
        <v>177</v>
      </c>
      <c r="H3494">
        <v>0</v>
      </c>
      <c r="I3494">
        <v>150</v>
      </c>
      <c r="J3494" s="10">
        <v>0</v>
      </c>
      <c r="K3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494">
        <v>0</v>
      </c>
      <c r="M34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494">
        <v>27.75</v>
      </c>
      <c r="O3494" s="23" t="s">
        <v>743</v>
      </c>
      <c r="P3494">
        <v>444</v>
      </c>
      <c r="Q3494" s="23" t="s">
        <v>185</v>
      </c>
    </row>
    <row r="3495" spans="1:17" x14ac:dyDescent="0.25">
      <c r="A3495" s="23" t="s">
        <v>1098</v>
      </c>
      <c r="B3495" s="23" t="s">
        <v>1053</v>
      </c>
      <c r="C3495" s="23" t="s">
        <v>176</v>
      </c>
      <c r="D3495" s="23" t="s">
        <v>142</v>
      </c>
      <c r="E3495" s="23" t="s">
        <v>143</v>
      </c>
      <c r="F3495">
        <v>21</v>
      </c>
      <c r="G3495" s="23" t="s">
        <v>177</v>
      </c>
      <c r="H3495">
        <v>0</v>
      </c>
      <c r="I3495">
        <v>150</v>
      </c>
      <c r="J3495" s="10">
        <v>0</v>
      </c>
      <c r="K3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495">
        <v>0</v>
      </c>
      <c r="M34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495">
        <v>27.75</v>
      </c>
      <c r="O3495" s="23" t="s">
        <v>743</v>
      </c>
      <c r="P3495">
        <v>582.75</v>
      </c>
      <c r="Q3495" s="23" t="s">
        <v>185</v>
      </c>
    </row>
    <row r="3496" spans="1:17" x14ac:dyDescent="0.25">
      <c r="A3496" s="23" t="s">
        <v>1097</v>
      </c>
      <c r="B3496" s="23" t="s">
        <v>1095</v>
      </c>
      <c r="C3496" s="23" t="s">
        <v>176</v>
      </c>
      <c r="D3496" s="23" t="s">
        <v>142</v>
      </c>
      <c r="E3496" s="23" t="s">
        <v>143</v>
      </c>
      <c r="F3496">
        <v>21</v>
      </c>
      <c r="G3496" s="23" t="s">
        <v>177</v>
      </c>
      <c r="H3496">
        <v>0</v>
      </c>
      <c r="I3496">
        <v>150</v>
      </c>
      <c r="J3496" s="10">
        <v>0</v>
      </c>
      <c r="K3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496">
        <v>0</v>
      </c>
      <c r="M34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496">
        <v>27.75</v>
      </c>
      <c r="O3496" s="23" t="s">
        <v>743</v>
      </c>
      <c r="P3496">
        <v>582.75</v>
      </c>
      <c r="Q3496" s="23" t="s">
        <v>185</v>
      </c>
    </row>
    <row r="3497" spans="1:17" x14ac:dyDescent="0.25">
      <c r="A3497" s="23" t="s">
        <v>1062</v>
      </c>
      <c r="B3497" s="23" t="s">
        <v>1053</v>
      </c>
      <c r="C3497" s="23" t="s">
        <v>176</v>
      </c>
      <c r="D3497" s="23" t="s">
        <v>841</v>
      </c>
      <c r="E3497" s="23" t="s">
        <v>842</v>
      </c>
      <c r="F3497">
        <v>5</v>
      </c>
      <c r="G3497" s="23" t="s">
        <v>180</v>
      </c>
      <c r="H3497">
        <v>0</v>
      </c>
      <c r="I3497">
        <v>0</v>
      </c>
      <c r="J3497" s="10">
        <v>165</v>
      </c>
      <c r="K3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497">
        <v>400</v>
      </c>
      <c r="M34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7">
        <v>5</v>
      </c>
      <c r="O3497" s="23" t="s">
        <v>225</v>
      </c>
      <c r="P3497">
        <v>25</v>
      </c>
      <c r="Q3497" s="23" t="s">
        <v>181</v>
      </c>
    </row>
    <row r="3498" spans="1:17" x14ac:dyDescent="0.25">
      <c r="A3498" s="23" t="s">
        <v>1097</v>
      </c>
      <c r="B3498" s="23" t="s">
        <v>1095</v>
      </c>
      <c r="C3498" s="23" t="s">
        <v>176</v>
      </c>
      <c r="D3498" s="23" t="s">
        <v>841</v>
      </c>
      <c r="E3498" s="23" t="s">
        <v>842</v>
      </c>
      <c r="F3498">
        <v>5</v>
      </c>
      <c r="G3498" s="23" t="s">
        <v>180</v>
      </c>
      <c r="H3498">
        <v>0</v>
      </c>
      <c r="I3498">
        <v>0</v>
      </c>
      <c r="J3498" s="10">
        <v>165</v>
      </c>
      <c r="K3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498">
        <v>400</v>
      </c>
      <c r="M34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8">
        <v>5</v>
      </c>
      <c r="O3498" s="23" t="s">
        <v>225</v>
      </c>
      <c r="P3498">
        <v>25</v>
      </c>
      <c r="Q3498" s="23" t="s">
        <v>181</v>
      </c>
    </row>
    <row r="3499" spans="1:17" x14ac:dyDescent="0.25">
      <c r="A3499" s="23" t="s">
        <v>1097</v>
      </c>
      <c r="B3499" s="23" t="s">
        <v>1095</v>
      </c>
      <c r="C3499" s="23" t="s">
        <v>176</v>
      </c>
      <c r="D3499" s="23" t="s">
        <v>160</v>
      </c>
      <c r="E3499" s="23" t="s">
        <v>161</v>
      </c>
      <c r="F3499">
        <v>0.23</v>
      </c>
      <c r="G3499" s="23" t="s">
        <v>180</v>
      </c>
      <c r="H3499">
        <v>0</v>
      </c>
      <c r="I3499">
        <v>52</v>
      </c>
      <c r="J3499" s="10">
        <v>38.620000000000054</v>
      </c>
      <c r="K3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499">
        <v>0</v>
      </c>
      <c r="M34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499">
        <v>126.36</v>
      </c>
      <c r="O3499" s="23" t="s">
        <v>620</v>
      </c>
      <c r="P3499">
        <v>29.062800000000003</v>
      </c>
      <c r="Q3499" s="23" t="s">
        <v>179</v>
      </c>
    </row>
    <row r="3500" spans="1:17" x14ac:dyDescent="0.25">
      <c r="A3500" s="23" t="s">
        <v>1062</v>
      </c>
      <c r="B3500" s="23" t="s">
        <v>1053</v>
      </c>
      <c r="C3500" s="23" t="s">
        <v>176</v>
      </c>
      <c r="D3500" s="23" t="s">
        <v>160</v>
      </c>
      <c r="E3500" s="23" t="s">
        <v>161</v>
      </c>
      <c r="F3500">
        <v>0.23</v>
      </c>
      <c r="G3500" s="23" t="s">
        <v>180</v>
      </c>
      <c r="H3500">
        <v>0</v>
      </c>
      <c r="I3500">
        <v>52</v>
      </c>
      <c r="J3500" s="10">
        <v>38.620000000000054</v>
      </c>
      <c r="K3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500">
        <v>0</v>
      </c>
      <c r="M35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0">
        <v>126.36</v>
      </c>
      <c r="O3500" s="23" t="s">
        <v>620</v>
      </c>
      <c r="P3500">
        <v>29.062800000000003</v>
      </c>
      <c r="Q3500" s="23" t="s">
        <v>179</v>
      </c>
    </row>
    <row r="3501" spans="1:17" x14ac:dyDescent="0.25">
      <c r="A3501" s="23" t="s">
        <v>1097</v>
      </c>
      <c r="B3501" s="23" t="s">
        <v>1095</v>
      </c>
      <c r="C3501" s="23" t="s">
        <v>176</v>
      </c>
      <c r="D3501" s="23" t="s">
        <v>5</v>
      </c>
      <c r="E3501" s="23" t="s">
        <v>6</v>
      </c>
      <c r="F3501">
        <v>1.6</v>
      </c>
      <c r="G3501" s="23" t="s">
        <v>180</v>
      </c>
      <c r="H3501">
        <v>0</v>
      </c>
      <c r="I3501">
        <v>100</v>
      </c>
      <c r="J3501" s="10">
        <v>1.9999999999998863</v>
      </c>
      <c r="K3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501">
        <v>0</v>
      </c>
      <c r="M35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1">
        <v>111</v>
      </c>
      <c r="O3501" s="23" t="s">
        <v>827</v>
      </c>
      <c r="P3501">
        <v>177.60000000000002</v>
      </c>
      <c r="Q3501" s="23" t="s">
        <v>222</v>
      </c>
    </row>
    <row r="3502" spans="1:17" x14ac:dyDescent="0.25">
      <c r="A3502" s="23" t="s">
        <v>1197</v>
      </c>
      <c r="B3502" s="23" t="s">
        <v>1198</v>
      </c>
      <c r="C3502" s="23" t="s">
        <v>176</v>
      </c>
      <c r="D3502" s="23" t="s">
        <v>5</v>
      </c>
      <c r="E3502" s="23" t="s">
        <v>6</v>
      </c>
      <c r="F3502">
        <v>4.0999999999999996</v>
      </c>
      <c r="G3502" s="23" t="s">
        <v>180</v>
      </c>
      <c r="H3502">
        <v>0</v>
      </c>
      <c r="I3502">
        <v>100</v>
      </c>
      <c r="J3502" s="10">
        <v>1.9999999999998863</v>
      </c>
      <c r="K3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502">
        <v>0</v>
      </c>
      <c r="M35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2">
        <v>111</v>
      </c>
      <c r="O3502" s="23" t="s">
        <v>827</v>
      </c>
      <c r="P3502">
        <v>455.09999999999997</v>
      </c>
      <c r="Q3502" s="23" t="s">
        <v>222</v>
      </c>
    </row>
    <row r="3503" spans="1:17" x14ac:dyDescent="0.25">
      <c r="A3503" s="23" t="s">
        <v>1098</v>
      </c>
      <c r="B3503" s="23" t="s">
        <v>1053</v>
      </c>
      <c r="C3503" s="23" t="s">
        <v>176</v>
      </c>
      <c r="D3503" s="23" t="s">
        <v>5</v>
      </c>
      <c r="E3503" s="23" t="s">
        <v>6</v>
      </c>
      <c r="F3503">
        <v>5.5</v>
      </c>
      <c r="G3503" s="23" t="s">
        <v>180</v>
      </c>
      <c r="H3503">
        <v>0</v>
      </c>
      <c r="I3503">
        <v>100</v>
      </c>
      <c r="J3503" s="10">
        <v>1.9999999999998863</v>
      </c>
      <c r="K3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503">
        <v>0</v>
      </c>
      <c r="M35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3">
        <v>111</v>
      </c>
      <c r="O3503" s="23" t="s">
        <v>827</v>
      </c>
      <c r="P3503">
        <v>610.5</v>
      </c>
      <c r="Q3503" s="23" t="s">
        <v>222</v>
      </c>
    </row>
    <row r="3504" spans="1:17" x14ac:dyDescent="0.25">
      <c r="A3504" s="23" t="s">
        <v>1097</v>
      </c>
      <c r="B3504" s="23" t="s">
        <v>1095</v>
      </c>
      <c r="C3504" s="23" t="s">
        <v>176</v>
      </c>
      <c r="D3504" s="23" t="s">
        <v>7</v>
      </c>
      <c r="E3504" s="23" t="s">
        <v>8</v>
      </c>
      <c r="F3504">
        <v>1</v>
      </c>
      <c r="G3504" s="23" t="s">
        <v>177</v>
      </c>
      <c r="H3504">
        <v>0</v>
      </c>
      <c r="I3504">
        <v>3</v>
      </c>
      <c r="J3504" s="10">
        <v>7</v>
      </c>
      <c r="K3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04">
        <v>3</v>
      </c>
      <c r="M35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3504">
        <v>2477.52</v>
      </c>
      <c r="O3504" s="23" t="s">
        <v>228</v>
      </c>
      <c r="P3504">
        <v>2477.52</v>
      </c>
      <c r="Q3504" s="23" t="s">
        <v>222</v>
      </c>
    </row>
    <row r="3505" spans="1:17" x14ac:dyDescent="0.25">
      <c r="A3505" s="23" t="s">
        <v>1098</v>
      </c>
      <c r="B3505" s="23" t="s">
        <v>1053</v>
      </c>
      <c r="C3505" s="23" t="s">
        <v>176</v>
      </c>
      <c r="D3505" s="23" t="s">
        <v>7</v>
      </c>
      <c r="E3505" s="23" t="s">
        <v>8</v>
      </c>
      <c r="F3505">
        <v>1</v>
      </c>
      <c r="G3505" s="23" t="s">
        <v>177</v>
      </c>
      <c r="H3505">
        <v>0</v>
      </c>
      <c r="I3505">
        <v>3</v>
      </c>
      <c r="J3505" s="10">
        <v>7</v>
      </c>
      <c r="K3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05">
        <v>3</v>
      </c>
      <c r="M35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3505">
        <v>2477.52</v>
      </c>
      <c r="O3505" s="23" t="s">
        <v>228</v>
      </c>
      <c r="P3505">
        <v>2477.52</v>
      </c>
      <c r="Q3505" s="23" t="s">
        <v>222</v>
      </c>
    </row>
    <row r="3506" spans="1:17" x14ac:dyDescent="0.25">
      <c r="A3506" s="23" t="s">
        <v>1097</v>
      </c>
      <c r="B3506" s="23" t="s">
        <v>1095</v>
      </c>
      <c r="C3506" s="23" t="s">
        <v>176</v>
      </c>
      <c r="D3506" s="23" t="s">
        <v>9</v>
      </c>
      <c r="E3506" s="23" t="s">
        <v>10</v>
      </c>
      <c r="F3506">
        <v>4</v>
      </c>
      <c r="G3506" s="23" t="s">
        <v>177</v>
      </c>
      <c r="H3506">
        <v>0</v>
      </c>
      <c r="I3506">
        <v>19</v>
      </c>
      <c r="J3506" s="10">
        <v>32</v>
      </c>
      <c r="K3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506">
        <v>20</v>
      </c>
      <c r="M35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6">
        <v>72.819999999999993</v>
      </c>
      <c r="O3506" s="23" t="s">
        <v>228</v>
      </c>
      <c r="P3506">
        <v>291.27999999999997</v>
      </c>
      <c r="Q3506" s="23" t="s">
        <v>222</v>
      </c>
    </row>
    <row r="3507" spans="1:17" x14ac:dyDescent="0.25">
      <c r="A3507" s="23" t="s">
        <v>1097</v>
      </c>
      <c r="B3507" s="23" t="s">
        <v>1095</v>
      </c>
      <c r="C3507" s="23" t="s">
        <v>176</v>
      </c>
      <c r="D3507" s="23" t="s">
        <v>205</v>
      </c>
      <c r="E3507" s="23" t="s">
        <v>206</v>
      </c>
      <c r="F3507">
        <v>1</v>
      </c>
      <c r="G3507" s="23" t="s">
        <v>177</v>
      </c>
      <c r="H3507">
        <v>0</v>
      </c>
      <c r="I3507">
        <v>100</v>
      </c>
      <c r="J3507" s="10">
        <v>41</v>
      </c>
      <c r="K3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507">
        <v>0</v>
      </c>
      <c r="M35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7">
        <v>60</v>
      </c>
      <c r="O3507" s="23" t="s">
        <v>221</v>
      </c>
      <c r="P3507">
        <v>60</v>
      </c>
      <c r="Q3507" s="23" t="s">
        <v>181</v>
      </c>
    </row>
    <row r="3508" spans="1:17" x14ac:dyDescent="0.25">
      <c r="A3508" s="23" t="s">
        <v>1055</v>
      </c>
      <c r="B3508" s="23" t="s">
        <v>1056</v>
      </c>
      <c r="C3508" s="23" t="s">
        <v>176</v>
      </c>
      <c r="D3508" s="23" t="s">
        <v>336</v>
      </c>
      <c r="E3508" s="23" t="s">
        <v>623</v>
      </c>
      <c r="F3508">
        <v>1</v>
      </c>
      <c r="G3508" s="23" t="s">
        <v>177</v>
      </c>
      <c r="H3508">
        <v>0</v>
      </c>
      <c r="I3508">
        <v>5</v>
      </c>
      <c r="J3508" s="10">
        <v>4</v>
      </c>
      <c r="K3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08">
        <v>0</v>
      </c>
      <c r="M35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3508">
        <v>1723.12</v>
      </c>
      <c r="O3508" s="23" t="s">
        <v>637</v>
      </c>
      <c r="P3508">
        <v>1723.12</v>
      </c>
      <c r="Q3508" s="23" t="s">
        <v>179</v>
      </c>
    </row>
    <row r="3509" spans="1:17" x14ac:dyDescent="0.25">
      <c r="A3509" s="23" t="s">
        <v>1100</v>
      </c>
      <c r="B3509" s="23" t="s">
        <v>1101</v>
      </c>
      <c r="C3509" s="23" t="s">
        <v>176</v>
      </c>
      <c r="D3509" s="23" t="s">
        <v>434</v>
      </c>
      <c r="E3509" s="23" t="s">
        <v>435</v>
      </c>
      <c r="F3509">
        <v>1</v>
      </c>
      <c r="G3509" s="23" t="s">
        <v>177</v>
      </c>
      <c r="H3509">
        <v>0</v>
      </c>
      <c r="I3509">
        <v>14</v>
      </c>
      <c r="J3509" s="10">
        <v>3</v>
      </c>
      <c r="K3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509">
        <v>0</v>
      </c>
      <c r="M35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09">
        <v>1678.88</v>
      </c>
      <c r="O3509" s="23" t="s">
        <v>637</v>
      </c>
      <c r="P3509">
        <v>1678.88</v>
      </c>
      <c r="Q3509" s="23" t="s">
        <v>179</v>
      </c>
    </row>
    <row r="3510" spans="1:17" x14ac:dyDescent="0.25">
      <c r="A3510" s="23" t="s">
        <v>1150</v>
      </c>
      <c r="B3510" s="23" t="s">
        <v>1145</v>
      </c>
      <c r="C3510" s="23" t="s">
        <v>176</v>
      </c>
      <c r="D3510" s="23" t="s">
        <v>409</v>
      </c>
      <c r="E3510" s="23" t="s">
        <v>410</v>
      </c>
      <c r="F3510">
        <v>14</v>
      </c>
      <c r="G3510" s="23" t="s">
        <v>177</v>
      </c>
      <c r="H3510">
        <v>0</v>
      </c>
      <c r="I3510">
        <v>2700</v>
      </c>
      <c r="J3510" s="10">
        <v>0</v>
      </c>
      <c r="K3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510">
        <v>0</v>
      </c>
      <c r="M35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0">
        <v>1.55</v>
      </c>
      <c r="O3510" s="23" t="s">
        <v>221</v>
      </c>
      <c r="P3510">
        <v>21.7</v>
      </c>
      <c r="Q3510" s="23" t="s">
        <v>222</v>
      </c>
    </row>
    <row r="3511" spans="1:17" x14ac:dyDescent="0.25">
      <c r="A3511" s="23" t="s">
        <v>1100</v>
      </c>
      <c r="B3511" s="23" t="s">
        <v>1101</v>
      </c>
      <c r="C3511" s="23" t="s">
        <v>176</v>
      </c>
      <c r="D3511" s="23" t="s">
        <v>693</v>
      </c>
      <c r="E3511" s="23" t="s">
        <v>694</v>
      </c>
      <c r="F3511">
        <v>15</v>
      </c>
      <c r="G3511" s="23" t="s">
        <v>183</v>
      </c>
      <c r="H3511">
        <v>0</v>
      </c>
      <c r="I3511">
        <v>35.700000000000003</v>
      </c>
      <c r="J3511" s="10">
        <v>9.1250000000000568</v>
      </c>
      <c r="K3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511">
        <v>95.16</v>
      </c>
      <c r="M35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1">
        <v>300.55</v>
      </c>
      <c r="O3511" s="23" t="s">
        <v>224</v>
      </c>
      <c r="P3511">
        <v>4508.25</v>
      </c>
      <c r="Q3511" s="23" t="s">
        <v>182</v>
      </c>
    </row>
    <row r="3512" spans="1:17" x14ac:dyDescent="0.25">
      <c r="A3512" s="23" t="s">
        <v>1147</v>
      </c>
      <c r="B3512" s="23" t="s">
        <v>1145</v>
      </c>
      <c r="C3512" s="23" t="s">
        <v>176</v>
      </c>
      <c r="D3512" s="23" t="s">
        <v>751</v>
      </c>
      <c r="E3512" s="23" t="s">
        <v>752</v>
      </c>
      <c r="F3512">
        <v>12</v>
      </c>
      <c r="G3512" s="23" t="s">
        <v>177</v>
      </c>
      <c r="H3512">
        <v>0</v>
      </c>
      <c r="I3512">
        <v>0</v>
      </c>
      <c r="J3512" s="10">
        <v>0</v>
      </c>
      <c r="K3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512">
        <v>0</v>
      </c>
      <c r="M35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512">
        <v>1.75</v>
      </c>
      <c r="O3512" s="23" t="s">
        <v>242</v>
      </c>
      <c r="P3512">
        <v>21</v>
      </c>
      <c r="Q3512" s="23" t="s">
        <v>181</v>
      </c>
    </row>
    <row r="3513" spans="1:17" x14ac:dyDescent="0.25">
      <c r="A3513" s="23" t="s">
        <v>1148</v>
      </c>
      <c r="B3513" s="23" t="s">
        <v>1054</v>
      </c>
      <c r="C3513" s="23" t="s">
        <v>176</v>
      </c>
      <c r="D3513" s="23" t="s">
        <v>275</v>
      </c>
      <c r="E3513" s="23" t="s">
        <v>276</v>
      </c>
      <c r="F3513">
        <v>1</v>
      </c>
      <c r="G3513" s="23" t="s">
        <v>177</v>
      </c>
      <c r="H3513">
        <v>0</v>
      </c>
      <c r="I3513">
        <v>9</v>
      </c>
      <c r="J3513" s="10">
        <v>8</v>
      </c>
      <c r="K3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3513">
        <v>0</v>
      </c>
      <c r="M35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3513">
        <v>487.56</v>
      </c>
      <c r="O3513" s="23" t="s">
        <v>277</v>
      </c>
      <c r="P3513">
        <v>487.56</v>
      </c>
      <c r="Q3513" s="23" t="s">
        <v>178</v>
      </c>
    </row>
    <row r="3514" spans="1:17" x14ac:dyDescent="0.25">
      <c r="A3514" s="23" t="s">
        <v>1148</v>
      </c>
      <c r="B3514" s="23" t="s">
        <v>1054</v>
      </c>
      <c r="C3514" s="23" t="s">
        <v>176</v>
      </c>
      <c r="D3514" s="23" t="s">
        <v>434</v>
      </c>
      <c r="E3514" s="23" t="s">
        <v>435</v>
      </c>
      <c r="F3514">
        <v>1</v>
      </c>
      <c r="G3514" s="23" t="s">
        <v>177</v>
      </c>
      <c r="H3514">
        <v>0</v>
      </c>
      <c r="I3514">
        <v>14</v>
      </c>
      <c r="J3514" s="10">
        <v>3</v>
      </c>
      <c r="K3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3514">
        <v>0</v>
      </c>
      <c r="M35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4">
        <v>1678.88</v>
      </c>
      <c r="O3514" s="23" t="s">
        <v>637</v>
      </c>
      <c r="P3514">
        <v>1678.88</v>
      </c>
      <c r="Q3514" s="23" t="s">
        <v>179</v>
      </c>
    </row>
    <row r="3515" spans="1:17" x14ac:dyDescent="0.25">
      <c r="A3515" s="23" t="s">
        <v>1149</v>
      </c>
      <c r="B3515" s="23" t="s">
        <v>1145</v>
      </c>
      <c r="C3515" s="23" t="s">
        <v>176</v>
      </c>
      <c r="D3515" s="23" t="s">
        <v>551</v>
      </c>
      <c r="E3515" s="23" t="s">
        <v>552</v>
      </c>
      <c r="F3515">
        <v>2</v>
      </c>
      <c r="G3515" s="23" t="s">
        <v>177</v>
      </c>
      <c r="H3515">
        <v>0</v>
      </c>
      <c r="I3515">
        <v>35</v>
      </c>
      <c r="J3515" s="10">
        <v>14</v>
      </c>
      <c r="K3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515">
        <v>15</v>
      </c>
      <c r="M35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5">
        <v>43.75</v>
      </c>
      <c r="O3515" s="23" t="s">
        <v>491</v>
      </c>
      <c r="P3515">
        <v>87.5</v>
      </c>
      <c r="Q3515" s="23" t="s">
        <v>181</v>
      </c>
    </row>
    <row r="3516" spans="1:17" x14ac:dyDescent="0.25">
      <c r="A3516" s="23" t="s">
        <v>1144</v>
      </c>
      <c r="B3516" s="23" t="s">
        <v>1145</v>
      </c>
      <c r="C3516" s="23" t="s">
        <v>176</v>
      </c>
      <c r="D3516" s="23" t="s">
        <v>409</v>
      </c>
      <c r="E3516" s="23" t="s">
        <v>410</v>
      </c>
      <c r="F3516">
        <v>14</v>
      </c>
      <c r="G3516" s="23" t="s">
        <v>177</v>
      </c>
      <c r="H3516">
        <v>0</v>
      </c>
      <c r="I3516">
        <v>2700</v>
      </c>
      <c r="J3516" s="10">
        <v>0</v>
      </c>
      <c r="K3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516">
        <v>0</v>
      </c>
      <c r="M35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6">
        <v>1.55</v>
      </c>
      <c r="O3516" s="23" t="s">
        <v>221</v>
      </c>
      <c r="P3516">
        <v>21.7</v>
      </c>
      <c r="Q3516" s="23" t="s">
        <v>222</v>
      </c>
    </row>
    <row r="3517" spans="1:17" x14ac:dyDescent="0.25">
      <c r="A3517" s="23" t="s">
        <v>1098</v>
      </c>
      <c r="B3517" s="23" t="s">
        <v>1053</v>
      </c>
      <c r="C3517" s="23" t="s">
        <v>176</v>
      </c>
      <c r="D3517" s="23" t="s">
        <v>943</v>
      </c>
      <c r="E3517" s="23" t="s">
        <v>944</v>
      </c>
      <c r="F3517">
        <v>1</v>
      </c>
      <c r="G3517" s="23" t="s">
        <v>177</v>
      </c>
      <c r="H3517">
        <v>0</v>
      </c>
      <c r="I3517">
        <v>0</v>
      </c>
      <c r="J3517" s="10">
        <v>0</v>
      </c>
      <c r="K3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3517">
        <v>0</v>
      </c>
      <c r="M35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3517">
        <v>38</v>
      </c>
      <c r="O3517" s="23" t="s">
        <v>242</v>
      </c>
      <c r="P3517">
        <v>38</v>
      </c>
      <c r="Q3517" s="23" t="s">
        <v>184</v>
      </c>
    </row>
    <row r="3518" spans="1:17" x14ac:dyDescent="0.25">
      <c r="A3518" s="23" t="s">
        <v>1097</v>
      </c>
      <c r="B3518" s="23" t="s">
        <v>1095</v>
      </c>
      <c r="C3518" s="23" t="s">
        <v>176</v>
      </c>
      <c r="D3518" s="23" t="s">
        <v>551</v>
      </c>
      <c r="E3518" s="23" t="s">
        <v>552</v>
      </c>
      <c r="F3518">
        <v>2</v>
      </c>
      <c r="G3518" s="23" t="s">
        <v>177</v>
      </c>
      <c r="H3518">
        <v>0</v>
      </c>
      <c r="I3518">
        <v>35</v>
      </c>
      <c r="J3518" s="10">
        <v>14</v>
      </c>
      <c r="K3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518">
        <v>15</v>
      </c>
      <c r="M35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8">
        <v>43.75</v>
      </c>
      <c r="O3518" s="23" t="s">
        <v>491</v>
      </c>
      <c r="P3518">
        <v>87.5</v>
      </c>
      <c r="Q3518" s="23" t="s">
        <v>181</v>
      </c>
    </row>
    <row r="3519" spans="1:17" x14ac:dyDescent="0.25">
      <c r="A3519" s="23" t="s">
        <v>1197</v>
      </c>
      <c r="B3519" s="23" t="s">
        <v>1198</v>
      </c>
      <c r="C3519" s="23" t="s">
        <v>176</v>
      </c>
      <c r="D3519" s="23" t="s">
        <v>100</v>
      </c>
      <c r="E3519" s="23" t="s">
        <v>101</v>
      </c>
      <c r="F3519">
        <v>35.28</v>
      </c>
      <c r="G3519" s="23" t="s">
        <v>186</v>
      </c>
      <c r="H3519">
        <v>0</v>
      </c>
      <c r="I3519">
        <v>289.7</v>
      </c>
      <c r="J3519" s="10">
        <v>148.12000000000032</v>
      </c>
      <c r="K3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519">
        <v>289.7</v>
      </c>
      <c r="M35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19">
        <v>96.37</v>
      </c>
      <c r="O3519" s="23" t="s">
        <v>491</v>
      </c>
      <c r="P3519">
        <v>3399.9336000000003</v>
      </c>
      <c r="Q3519" s="23" t="s">
        <v>184</v>
      </c>
    </row>
    <row r="3520" spans="1:17" x14ac:dyDescent="0.25">
      <c r="A3520" s="23" t="s">
        <v>1098</v>
      </c>
      <c r="B3520" s="23" t="s">
        <v>1053</v>
      </c>
      <c r="C3520" s="23" t="s">
        <v>176</v>
      </c>
      <c r="D3520" s="23" t="s">
        <v>100</v>
      </c>
      <c r="E3520" s="23" t="s">
        <v>101</v>
      </c>
      <c r="F3520">
        <v>32.92</v>
      </c>
      <c r="G3520" s="23" t="s">
        <v>186</v>
      </c>
      <c r="H3520">
        <v>32.92</v>
      </c>
      <c r="I3520">
        <v>289.7</v>
      </c>
      <c r="J3520" s="10">
        <v>148.12000000000032</v>
      </c>
      <c r="K3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520">
        <v>289.7</v>
      </c>
      <c r="M35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0">
        <v>96.37</v>
      </c>
      <c r="O3520" s="23" t="s">
        <v>491</v>
      </c>
      <c r="P3520">
        <v>3172.5004000000004</v>
      </c>
      <c r="Q3520" s="23" t="s">
        <v>184</v>
      </c>
    </row>
    <row r="3521" spans="1:17" x14ac:dyDescent="0.25">
      <c r="A3521" s="23" t="s">
        <v>1097</v>
      </c>
      <c r="B3521" s="23" t="s">
        <v>1095</v>
      </c>
      <c r="C3521" s="23" t="s">
        <v>176</v>
      </c>
      <c r="D3521" s="23" t="s">
        <v>102</v>
      </c>
      <c r="E3521" s="23" t="s">
        <v>103</v>
      </c>
      <c r="F3521">
        <v>2.9299999999999997</v>
      </c>
      <c r="G3521" s="23" t="s">
        <v>186</v>
      </c>
      <c r="H3521">
        <v>0</v>
      </c>
      <c r="I3521">
        <v>66</v>
      </c>
      <c r="J3521" s="10">
        <v>36.350000000000151</v>
      </c>
      <c r="K3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521">
        <v>0</v>
      </c>
      <c r="M35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1">
        <v>129.63</v>
      </c>
      <c r="O3521" s="23" t="s">
        <v>242</v>
      </c>
      <c r="P3521">
        <v>379.81589999999994</v>
      </c>
      <c r="Q3521" s="23" t="s">
        <v>184</v>
      </c>
    </row>
    <row r="3522" spans="1:17" x14ac:dyDescent="0.25">
      <c r="A3522" s="23" t="s">
        <v>1197</v>
      </c>
      <c r="B3522" s="23" t="s">
        <v>1198</v>
      </c>
      <c r="C3522" s="23" t="s">
        <v>176</v>
      </c>
      <c r="D3522" s="23" t="s">
        <v>102</v>
      </c>
      <c r="E3522" s="23" t="s">
        <v>103</v>
      </c>
      <c r="F3522">
        <v>4</v>
      </c>
      <c r="G3522" s="23" t="s">
        <v>186</v>
      </c>
      <c r="H3522">
        <v>0</v>
      </c>
      <c r="I3522">
        <v>66</v>
      </c>
      <c r="J3522" s="10">
        <v>36.350000000000151</v>
      </c>
      <c r="K3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522">
        <v>0</v>
      </c>
      <c r="M35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2">
        <v>129.63</v>
      </c>
      <c r="O3522" s="23" t="s">
        <v>242</v>
      </c>
      <c r="P3522">
        <v>518.52</v>
      </c>
      <c r="Q3522" s="23" t="s">
        <v>184</v>
      </c>
    </row>
    <row r="3523" spans="1:17" x14ac:dyDescent="0.25">
      <c r="A3523" s="23" t="s">
        <v>1097</v>
      </c>
      <c r="B3523" s="23" t="s">
        <v>1095</v>
      </c>
      <c r="C3523" s="23" t="s">
        <v>176</v>
      </c>
      <c r="D3523" s="23" t="s">
        <v>943</v>
      </c>
      <c r="E3523" s="23" t="s">
        <v>944</v>
      </c>
      <c r="F3523">
        <v>1</v>
      </c>
      <c r="G3523" s="23" t="s">
        <v>177</v>
      </c>
      <c r="H3523">
        <v>0</v>
      </c>
      <c r="I3523">
        <v>0</v>
      </c>
      <c r="J3523" s="10">
        <v>0</v>
      </c>
      <c r="K3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3523">
        <v>0</v>
      </c>
      <c r="M35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3523">
        <v>38</v>
      </c>
      <c r="O3523" s="23" t="s">
        <v>242</v>
      </c>
      <c r="P3523">
        <v>38</v>
      </c>
      <c r="Q3523" s="23" t="s">
        <v>184</v>
      </c>
    </row>
    <row r="3524" spans="1:17" x14ac:dyDescent="0.25">
      <c r="A3524" s="23" t="s">
        <v>1097</v>
      </c>
      <c r="B3524" s="23" t="s">
        <v>1095</v>
      </c>
      <c r="C3524" s="23" t="s">
        <v>176</v>
      </c>
      <c r="D3524" s="23" t="s">
        <v>501</v>
      </c>
      <c r="E3524" s="23" t="s">
        <v>502</v>
      </c>
      <c r="F3524">
        <v>1.5</v>
      </c>
      <c r="G3524" s="23" t="s">
        <v>180</v>
      </c>
      <c r="H3524">
        <v>0</v>
      </c>
      <c r="I3524">
        <v>0</v>
      </c>
      <c r="J3524" s="10">
        <v>27</v>
      </c>
      <c r="K3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524">
        <v>0</v>
      </c>
      <c r="M35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524">
        <v>13</v>
      </c>
      <c r="O3524" s="23"/>
      <c r="P3524">
        <v>19.5</v>
      </c>
      <c r="Q3524" s="23" t="s">
        <v>222</v>
      </c>
    </row>
    <row r="3525" spans="1:17" x14ac:dyDescent="0.25">
      <c r="A3525" s="23" t="s">
        <v>1097</v>
      </c>
      <c r="B3525" s="23" t="s">
        <v>1095</v>
      </c>
      <c r="C3525" s="23" t="s">
        <v>176</v>
      </c>
      <c r="D3525" s="23" t="s">
        <v>409</v>
      </c>
      <c r="E3525" s="23" t="s">
        <v>410</v>
      </c>
      <c r="F3525">
        <v>26</v>
      </c>
      <c r="G3525" s="23" t="s">
        <v>177</v>
      </c>
      <c r="H3525">
        <v>0</v>
      </c>
      <c r="I3525">
        <v>2700</v>
      </c>
      <c r="J3525" s="10">
        <v>0</v>
      </c>
      <c r="K3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525">
        <v>0</v>
      </c>
      <c r="M35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5">
        <v>1.55</v>
      </c>
      <c r="O3525" s="23" t="s">
        <v>221</v>
      </c>
      <c r="P3525">
        <v>40.300000000000004</v>
      </c>
      <c r="Q3525" s="23" t="s">
        <v>222</v>
      </c>
    </row>
    <row r="3526" spans="1:17" x14ac:dyDescent="0.25">
      <c r="A3526" s="23" t="s">
        <v>1097</v>
      </c>
      <c r="B3526" s="23" t="s">
        <v>1095</v>
      </c>
      <c r="C3526" s="23" t="s">
        <v>176</v>
      </c>
      <c r="D3526" s="23" t="s">
        <v>341</v>
      </c>
      <c r="E3526" s="23" t="s">
        <v>342</v>
      </c>
      <c r="F3526">
        <v>2.04</v>
      </c>
      <c r="G3526" s="23" t="s">
        <v>177</v>
      </c>
      <c r="H3526">
        <v>0</v>
      </c>
      <c r="I3526">
        <v>75</v>
      </c>
      <c r="J3526" s="10">
        <v>42.700000000000159</v>
      </c>
      <c r="K3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526">
        <v>0</v>
      </c>
      <c r="M35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6">
        <v>15</v>
      </c>
      <c r="O3526" s="23" t="s">
        <v>242</v>
      </c>
      <c r="P3526">
        <v>30.6</v>
      </c>
      <c r="Q3526" s="23" t="s">
        <v>181</v>
      </c>
    </row>
    <row r="3527" spans="1:17" x14ac:dyDescent="0.25">
      <c r="A3527" s="23" t="s">
        <v>1197</v>
      </c>
      <c r="B3527" s="23" t="s">
        <v>1198</v>
      </c>
      <c r="C3527" s="23" t="s">
        <v>176</v>
      </c>
      <c r="D3527" s="23" t="s">
        <v>341</v>
      </c>
      <c r="E3527" s="23" t="s">
        <v>342</v>
      </c>
      <c r="F3527">
        <v>2</v>
      </c>
      <c r="G3527" s="23" t="s">
        <v>177</v>
      </c>
      <c r="H3527">
        <v>0</v>
      </c>
      <c r="I3527">
        <v>75</v>
      </c>
      <c r="J3527" s="10">
        <v>42.700000000000159</v>
      </c>
      <c r="K3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527">
        <v>0</v>
      </c>
      <c r="M35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7">
        <v>15</v>
      </c>
      <c r="O3527" s="23" t="s">
        <v>242</v>
      </c>
      <c r="P3527">
        <v>30</v>
      </c>
      <c r="Q3527" s="23" t="s">
        <v>181</v>
      </c>
    </row>
    <row r="3528" spans="1:17" x14ac:dyDescent="0.25">
      <c r="A3528" s="23" t="s">
        <v>1197</v>
      </c>
      <c r="B3528" s="23" t="s">
        <v>1198</v>
      </c>
      <c r="C3528" s="23" t="s">
        <v>176</v>
      </c>
      <c r="D3528" s="23" t="s">
        <v>799</v>
      </c>
      <c r="E3528" s="23" t="s">
        <v>800</v>
      </c>
      <c r="F3528">
        <v>3</v>
      </c>
      <c r="G3528" s="23" t="s">
        <v>177</v>
      </c>
      <c r="H3528">
        <v>0</v>
      </c>
      <c r="I3528">
        <v>200</v>
      </c>
      <c r="J3528" s="10">
        <v>0</v>
      </c>
      <c r="K3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3528">
        <v>0</v>
      </c>
      <c r="M35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28">
        <v>10</v>
      </c>
      <c r="O3528" s="23" t="s">
        <v>227</v>
      </c>
      <c r="P3528">
        <v>30</v>
      </c>
      <c r="Q3528" s="23" t="s">
        <v>181</v>
      </c>
    </row>
    <row r="3529" spans="1:17" x14ac:dyDescent="0.25">
      <c r="A3529" s="23" t="s">
        <v>1097</v>
      </c>
      <c r="B3529" s="23" t="s">
        <v>1095</v>
      </c>
      <c r="C3529" s="23" t="s">
        <v>176</v>
      </c>
      <c r="D3529" s="23" t="s">
        <v>965</v>
      </c>
      <c r="E3529" s="23" t="s">
        <v>966</v>
      </c>
      <c r="F3529">
        <v>1</v>
      </c>
      <c r="G3529" s="23" t="s">
        <v>177</v>
      </c>
      <c r="H3529">
        <v>0</v>
      </c>
      <c r="I3529">
        <v>1</v>
      </c>
      <c r="J3529" s="10">
        <v>6</v>
      </c>
      <c r="K3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529">
        <v>0</v>
      </c>
      <c r="M35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529">
        <v>8424.67</v>
      </c>
      <c r="O3529" s="23" t="s">
        <v>635</v>
      </c>
      <c r="P3529">
        <v>8424.67</v>
      </c>
      <c r="Q3529" s="23" t="s">
        <v>178</v>
      </c>
    </row>
    <row r="3530" spans="1:17" x14ac:dyDescent="0.25">
      <c r="A3530" s="23" t="s">
        <v>1098</v>
      </c>
      <c r="B3530" s="23" t="s">
        <v>1053</v>
      </c>
      <c r="C3530" s="23" t="s">
        <v>176</v>
      </c>
      <c r="D3530" s="23" t="s">
        <v>693</v>
      </c>
      <c r="E3530" s="23" t="s">
        <v>694</v>
      </c>
      <c r="F3530">
        <v>15</v>
      </c>
      <c r="G3530" s="23" t="s">
        <v>183</v>
      </c>
      <c r="H3530">
        <v>0</v>
      </c>
      <c r="I3530">
        <v>35.700000000000003</v>
      </c>
      <c r="J3530" s="10">
        <v>9.1250000000000568</v>
      </c>
      <c r="K3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530">
        <v>95.16</v>
      </c>
      <c r="M35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0">
        <v>300.55</v>
      </c>
      <c r="O3530" s="23" t="s">
        <v>224</v>
      </c>
      <c r="P3530">
        <v>4508.25</v>
      </c>
      <c r="Q3530" s="23" t="s">
        <v>182</v>
      </c>
    </row>
    <row r="3531" spans="1:17" x14ac:dyDescent="0.25">
      <c r="A3531" s="23" t="s">
        <v>1142</v>
      </c>
      <c r="B3531" s="23" t="s">
        <v>1054</v>
      </c>
      <c r="C3531" s="23" t="s">
        <v>176</v>
      </c>
      <c r="D3531" s="23" t="s">
        <v>100</v>
      </c>
      <c r="E3531" s="23" t="s">
        <v>101</v>
      </c>
      <c r="F3531">
        <v>34.869999999999997</v>
      </c>
      <c r="G3531" s="23" t="s">
        <v>186</v>
      </c>
      <c r="H3531">
        <v>0</v>
      </c>
      <c r="I3531">
        <v>289.7</v>
      </c>
      <c r="J3531" s="10">
        <v>148.12000000000032</v>
      </c>
      <c r="K3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531">
        <v>289.7</v>
      </c>
      <c r="M35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1">
        <v>96.37</v>
      </c>
      <c r="O3531" s="23" t="s">
        <v>491</v>
      </c>
      <c r="P3531">
        <v>3360.4218999999998</v>
      </c>
      <c r="Q3531" s="23" t="s">
        <v>184</v>
      </c>
    </row>
    <row r="3532" spans="1:17" x14ac:dyDescent="0.25">
      <c r="A3532" s="23" t="s">
        <v>1057</v>
      </c>
      <c r="B3532" s="23" t="s">
        <v>1056</v>
      </c>
      <c r="C3532" s="23" t="s">
        <v>176</v>
      </c>
      <c r="D3532" s="23" t="s">
        <v>102</v>
      </c>
      <c r="E3532" s="23" t="s">
        <v>103</v>
      </c>
      <c r="F3532">
        <v>2.1</v>
      </c>
      <c r="G3532" s="23" t="s">
        <v>186</v>
      </c>
      <c r="H3532">
        <v>2.1</v>
      </c>
      <c r="I3532">
        <v>66</v>
      </c>
      <c r="J3532" s="10">
        <v>36.350000000000151</v>
      </c>
      <c r="K3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532">
        <v>0</v>
      </c>
      <c r="M35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2">
        <v>129.63</v>
      </c>
      <c r="O3532" s="23" t="s">
        <v>242</v>
      </c>
      <c r="P3532">
        <v>272.22300000000001</v>
      </c>
      <c r="Q3532" s="23" t="s">
        <v>184</v>
      </c>
    </row>
    <row r="3533" spans="1:17" x14ac:dyDescent="0.25">
      <c r="A3533" s="23" t="s">
        <v>1143</v>
      </c>
      <c r="B3533" s="23" t="s">
        <v>1054</v>
      </c>
      <c r="C3533" s="23" t="s">
        <v>176</v>
      </c>
      <c r="D3533" s="23" t="s">
        <v>102</v>
      </c>
      <c r="E3533" s="23" t="s">
        <v>103</v>
      </c>
      <c r="F3533">
        <v>3.2199999999999998</v>
      </c>
      <c r="G3533" s="23" t="s">
        <v>186</v>
      </c>
      <c r="H3533">
        <v>0</v>
      </c>
      <c r="I3533">
        <v>66</v>
      </c>
      <c r="J3533" s="10">
        <v>36.350000000000151</v>
      </c>
      <c r="K3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533">
        <v>0</v>
      </c>
      <c r="M35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3">
        <v>129.63</v>
      </c>
      <c r="O3533" s="23" t="s">
        <v>242</v>
      </c>
      <c r="P3533">
        <v>417.40859999999998</v>
      </c>
      <c r="Q3533" s="23" t="s">
        <v>184</v>
      </c>
    </row>
    <row r="3534" spans="1:17" x14ac:dyDescent="0.25">
      <c r="A3534" s="23" t="s">
        <v>1094</v>
      </c>
      <c r="B3534" s="23" t="s">
        <v>1095</v>
      </c>
      <c r="C3534" s="23" t="s">
        <v>176</v>
      </c>
      <c r="D3534" s="23" t="s">
        <v>943</v>
      </c>
      <c r="E3534" s="23" t="s">
        <v>944</v>
      </c>
      <c r="F3534">
        <v>1</v>
      </c>
      <c r="G3534" s="23" t="s">
        <v>177</v>
      </c>
      <c r="H3534">
        <v>0</v>
      </c>
      <c r="I3534">
        <v>0</v>
      </c>
      <c r="J3534" s="10">
        <v>0</v>
      </c>
      <c r="K3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3534">
        <v>0</v>
      </c>
      <c r="M35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3534">
        <v>38</v>
      </c>
      <c r="O3534" s="23" t="s">
        <v>242</v>
      </c>
      <c r="P3534">
        <v>38</v>
      </c>
      <c r="Q3534" s="23" t="s">
        <v>184</v>
      </c>
    </row>
    <row r="3535" spans="1:17" x14ac:dyDescent="0.25">
      <c r="A3535" s="23" t="s">
        <v>1148</v>
      </c>
      <c r="B3535" s="23" t="s">
        <v>1054</v>
      </c>
      <c r="C3535" s="23" t="s">
        <v>176</v>
      </c>
      <c r="D3535" s="23" t="s">
        <v>568</v>
      </c>
      <c r="E3535" s="23" t="s">
        <v>569</v>
      </c>
      <c r="F3535">
        <v>65</v>
      </c>
      <c r="G3535" s="23" t="s">
        <v>177</v>
      </c>
      <c r="H3535">
        <v>0</v>
      </c>
      <c r="I3535">
        <v>5000</v>
      </c>
      <c r="J3535" s="10">
        <v>0</v>
      </c>
      <c r="K3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535">
        <v>0</v>
      </c>
      <c r="M35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5">
        <v>0.6</v>
      </c>
      <c r="O3535" s="23" t="s">
        <v>242</v>
      </c>
      <c r="P3535">
        <v>39</v>
      </c>
      <c r="Q3535" s="23" t="s">
        <v>181</v>
      </c>
    </row>
    <row r="3536" spans="1:17" x14ac:dyDescent="0.25">
      <c r="A3536" s="23" t="s">
        <v>1149</v>
      </c>
      <c r="B3536" s="23" t="s">
        <v>1145</v>
      </c>
      <c r="C3536" s="23" t="s">
        <v>176</v>
      </c>
      <c r="D3536" s="23" t="s">
        <v>467</v>
      </c>
      <c r="E3536" s="23" t="s">
        <v>468</v>
      </c>
      <c r="F3536">
        <v>110</v>
      </c>
      <c r="G3536" s="23" t="s">
        <v>177</v>
      </c>
      <c r="H3536">
        <v>0</v>
      </c>
      <c r="I3536">
        <v>7500</v>
      </c>
      <c r="J3536" s="10">
        <v>0</v>
      </c>
      <c r="K3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36">
        <v>0</v>
      </c>
      <c r="M35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6">
        <v>0.8</v>
      </c>
      <c r="O3536" s="23" t="s">
        <v>827</v>
      </c>
      <c r="P3536">
        <v>88</v>
      </c>
      <c r="Q3536" s="23" t="s">
        <v>181</v>
      </c>
    </row>
    <row r="3537" spans="1:17" x14ac:dyDescent="0.25">
      <c r="A3537" s="23" t="s">
        <v>1055</v>
      </c>
      <c r="B3537" s="23" t="s">
        <v>1056</v>
      </c>
      <c r="C3537" s="23" t="s">
        <v>176</v>
      </c>
      <c r="D3537" s="23" t="s">
        <v>568</v>
      </c>
      <c r="E3537" s="23" t="s">
        <v>569</v>
      </c>
      <c r="F3537">
        <v>60</v>
      </c>
      <c r="G3537" s="23" t="s">
        <v>177</v>
      </c>
      <c r="H3537">
        <v>0</v>
      </c>
      <c r="I3537">
        <v>5000</v>
      </c>
      <c r="J3537" s="10">
        <v>0</v>
      </c>
      <c r="K3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537">
        <v>0</v>
      </c>
      <c r="M35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7">
        <v>0.6</v>
      </c>
      <c r="O3537" s="23" t="s">
        <v>242</v>
      </c>
      <c r="P3537">
        <v>36</v>
      </c>
      <c r="Q3537" s="23" t="s">
        <v>181</v>
      </c>
    </row>
    <row r="3538" spans="1:17" x14ac:dyDescent="0.25">
      <c r="A3538" s="23" t="s">
        <v>1100</v>
      </c>
      <c r="B3538" s="23" t="s">
        <v>1101</v>
      </c>
      <c r="C3538" s="23" t="s">
        <v>176</v>
      </c>
      <c r="D3538" s="23" t="s">
        <v>568</v>
      </c>
      <c r="E3538" s="23" t="s">
        <v>569</v>
      </c>
      <c r="F3538">
        <v>65</v>
      </c>
      <c r="G3538" s="23" t="s">
        <v>177</v>
      </c>
      <c r="H3538">
        <v>0</v>
      </c>
      <c r="I3538">
        <v>5000</v>
      </c>
      <c r="J3538" s="10">
        <v>0</v>
      </c>
      <c r="K3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538">
        <v>0</v>
      </c>
      <c r="M35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8">
        <v>0.6</v>
      </c>
      <c r="O3538" s="23" t="s">
        <v>242</v>
      </c>
      <c r="P3538">
        <v>39</v>
      </c>
      <c r="Q3538" s="23" t="s">
        <v>181</v>
      </c>
    </row>
    <row r="3539" spans="1:17" x14ac:dyDescent="0.25">
      <c r="A3539" s="23" t="s">
        <v>1058</v>
      </c>
      <c r="B3539" s="23" t="s">
        <v>1059</v>
      </c>
      <c r="C3539" s="23" t="s">
        <v>176</v>
      </c>
      <c r="D3539" s="23" t="s">
        <v>479</v>
      </c>
      <c r="E3539" s="23" t="s">
        <v>480</v>
      </c>
      <c r="F3539">
        <v>40</v>
      </c>
      <c r="G3539" s="23" t="s">
        <v>177</v>
      </c>
      <c r="H3539">
        <v>0</v>
      </c>
      <c r="I3539">
        <v>950</v>
      </c>
      <c r="J3539" s="10">
        <v>380</v>
      </c>
      <c r="K3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539">
        <v>0</v>
      </c>
      <c r="M35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39">
        <v>0.4</v>
      </c>
      <c r="O3539" s="23" t="s">
        <v>883</v>
      </c>
      <c r="P3539">
        <v>16</v>
      </c>
      <c r="Q3539" s="23" t="s">
        <v>181</v>
      </c>
    </row>
    <row r="3540" spans="1:17" x14ac:dyDescent="0.25">
      <c r="A3540" s="23" t="s">
        <v>1148</v>
      </c>
      <c r="B3540" s="23" t="s">
        <v>1054</v>
      </c>
      <c r="C3540" s="23" t="s">
        <v>176</v>
      </c>
      <c r="D3540" s="23" t="s">
        <v>479</v>
      </c>
      <c r="E3540" s="23" t="s">
        <v>480</v>
      </c>
      <c r="F3540">
        <v>50</v>
      </c>
      <c r="G3540" s="23" t="s">
        <v>177</v>
      </c>
      <c r="H3540">
        <v>0</v>
      </c>
      <c r="I3540">
        <v>950</v>
      </c>
      <c r="J3540" s="10">
        <v>380</v>
      </c>
      <c r="K3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540">
        <v>0</v>
      </c>
      <c r="M35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0">
        <v>0.4</v>
      </c>
      <c r="O3540" s="23" t="s">
        <v>883</v>
      </c>
      <c r="P3540">
        <v>20</v>
      </c>
      <c r="Q3540" s="23" t="s">
        <v>181</v>
      </c>
    </row>
    <row r="3541" spans="1:17" x14ac:dyDescent="0.25">
      <c r="A3541" s="23" t="s">
        <v>1149</v>
      </c>
      <c r="B3541" s="23" t="s">
        <v>1145</v>
      </c>
      <c r="C3541" s="23" t="s">
        <v>176</v>
      </c>
      <c r="D3541" s="23" t="s">
        <v>559</v>
      </c>
      <c r="E3541" s="23" t="s">
        <v>560</v>
      </c>
      <c r="F3541">
        <v>4.25</v>
      </c>
      <c r="G3541" s="23" t="s">
        <v>177</v>
      </c>
      <c r="H3541">
        <v>0</v>
      </c>
      <c r="I3541">
        <v>46</v>
      </c>
      <c r="J3541" s="10">
        <v>85.88</v>
      </c>
      <c r="K3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3541">
        <v>0</v>
      </c>
      <c r="M35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1">
        <v>55</v>
      </c>
      <c r="O3541" s="23" t="s">
        <v>242</v>
      </c>
      <c r="P3541">
        <v>233.75</v>
      </c>
      <c r="Q3541" s="23" t="s">
        <v>181</v>
      </c>
    </row>
    <row r="3542" spans="1:17" x14ac:dyDescent="0.25">
      <c r="A3542" s="23" t="s">
        <v>1097</v>
      </c>
      <c r="B3542" s="23" t="s">
        <v>1095</v>
      </c>
      <c r="C3542" s="23" t="s">
        <v>176</v>
      </c>
      <c r="D3542" s="23" t="s">
        <v>209</v>
      </c>
      <c r="E3542" s="23" t="s">
        <v>286</v>
      </c>
      <c r="F3542">
        <v>25</v>
      </c>
      <c r="G3542" s="23" t="s">
        <v>177</v>
      </c>
      <c r="H3542">
        <v>0</v>
      </c>
      <c r="I3542">
        <v>2600</v>
      </c>
      <c r="J3542" s="10">
        <v>292</v>
      </c>
      <c r="K3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3542">
        <v>0</v>
      </c>
      <c r="M35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2">
        <v>0.4</v>
      </c>
      <c r="O3542" s="23" t="s">
        <v>242</v>
      </c>
      <c r="P3542">
        <v>10</v>
      </c>
      <c r="Q3542" s="23" t="s">
        <v>181</v>
      </c>
    </row>
    <row r="3543" spans="1:17" x14ac:dyDescent="0.25">
      <c r="A3543" s="23" t="s">
        <v>1097</v>
      </c>
      <c r="B3543" s="23" t="s">
        <v>1095</v>
      </c>
      <c r="C3543" s="23" t="s">
        <v>176</v>
      </c>
      <c r="D3543" s="23" t="s">
        <v>749</v>
      </c>
      <c r="E3543" s="23" t="s">
        <v>750</v>
      </c>
      <c r="F3543">
        <v>4</v>
      </c>
      <c r="G3543" s="23" t="s">
        <v>177</v>
      </c>
      <c r="H3543">
        <v>0</v>
      </c>
      <c r="I3543">
        <v>250</v>
      </c>
      <c r="J3543" s="10">
        <v>0</v>
      </c>
      <c r="K3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3543">
        <v>0</v>
      </c>
      <c r="M35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3">
        <v>5.74</v>
      </c>
      <c r="O3543" s="23" t="s">
        <v>883</v>
      </c>
      <c r="P3543">
        <v>22.96</v>
      </c>
      <c r="Q3543" s="23" t="s">
        <v>181</v>
      </c>
    </row>
    <row r="3544" spans="1:17" x14ac:dyDescent="0.25">
      <c r="A3544" s="23" t="s">
        <v>1097</v>
      </c>
      <c r="B3544" s="23" t="s">
        <v>1095</v>
      </c>
      <c r="C3544" s="23" t="s">
        <v>176</v>
      </c>
      <c r="D3544" s="23" t="s">
        <v>95</v>
      </c>
      <c r="E3544" s="23" t="s">
        <v>96</v>
      </c>
      <c r="F3544">
        <v>1</v>
      </c>
      <c r="G3544" s="23" t="s">
        <v>177</v>
      </c>
      <c r="H3544">
        <v>0</v>
      </c>
      <c r="I3544">
        <v>13</v>
      </c>
      <c r="J3544" s="10">
        <v>6</v>
      </c>
      <c r="K3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544">
        <v>0</v>
      </c>
      <c r="M35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4">
        <v>1145.83</v>
      </c>
      <c r="O3544" s="23" t="s">
        <v>249</v>
      </c>
      <c r="P3544">
        <v>1145.83</v>
      </c>
      <c r="Q3544" s="23" t="s">
        <v>178</v>
      </c>
    </row>
    <row r="3545" spans="1:17" x14ac:dyDescent="0.25">
      <c r="A3545" s="23" t="s">
        <v>1058</v>
      </c>
      <c r="B3545" s="23" t="s">
        <v>1059</v>
      </c>
      <c r="C3545" s="23" t="s">
        <v>176</v>
      </c>
      <c r="D3545" s="23" t="s">
        <v>568</v>
      </c>
      <c r="E3545" s="23" t="s">
        <v>569</v>
      </c>
      <c r="F3545">
        <v>60</v>
      </c>
      <c r="G3545" s="23" t="s">
        <v>177</v>
      </c>
      <c r="H3545">
        <v>0</v>
      </c>
      <c r="I3545">
        <v>5000</v>
      </c>
      <c r="J3545" s="10">
        <v>0</v>
      </c>
      <c r="K3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545">
        <v>0</v>
      </c>
      <c r="M35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5">
        <v>0.6</v>
      </c>
      <c r="O3545" s="23" t="s">
        <v>242</v>
      </c>
      <c r="P3545">
        <v>36</v>
      </c>
      <c r="Q3545" s="23" t="s">
        <v>181</v>
      </c>
    </row>
    <row r="3546" spans="1:17" x14ac:dyDescent="0.25">
      <c r="A3546" s="23" t="s">
        <v>1150</v>
      </c>
      <c r="B3546" s="23" t="s">
        <v>1145</v>
      </c>
      <c r="C3546" s="23" t="s">
        <v>176</v>
      </c>
      <c r="D3546" s="23" t="s">
        <v>467</v>
      </c>
      <c r="E3546" s="23" t="s">
        <v>468</v>
      </c>
      <c r="F3546">
        <v>110</v>
      </c>
      <c r="G3546" s="23" t="s">
        <v>177</v>
      </c>
      <c r="H3546">
        <v>0</v>
      </c>
      <c r="I3546">
        <v>7500</v>
      </c>
      <c r="J3546" s="10">
        <v>0</v>
      </c>
      <c r="K3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46">
        <v>0</v>
      </c>
      <c r="M35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6">
        <v>0.8</v>
      </c>
      <c r="O3546" s="23" t="s">
        <v>827</v>
      </c>
      <c r="P3546">
        <v>88</v>
      </c>
      <c r="Q3546" s="23" t="s">
        <v>181</v>
      </c>
    </row>
    <row r="3547" spans="1:17" x14ac:dyDescent="0.25">
      <c r="A3547" s="23" t="s">
        <v>1150</v>
      </c>
      <c r="B3547" s="23" t="s">
        <v>1145</v>
      </c>
      <c r="C3547" s="23" t="s">
        <v>176</v>
      </c>
      <c r="D3547" s="23" t="s">
        <v>559</v>
      </c>
      <c r="E3547" s="23" t="s">
        <v>560</v>
      </c>
      <c r="F3547">
        <v>4.25</v>
      </c>
      <c r="G3547" s="23" t="s">
        <v>177</v>
      </c>
      <c r="H3547">
        <v>0</v>
      </c>
      <c r="I3547">
        <v>46</v>
      </c>
      <c r="J3547" s="10">
        <v>85.88</v>
      </c>
      <c r="K3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3547">
        <v>0</v>
      </c>
      <c r="M35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7">
        <v>55</v>
      </c>
      <c r="O3547" s="23" t="s">
        <v>242</v>
      </c>
      <c r="P3547">
        <v>233.75</v>
      </c>
      <c r="Q3547" s="23" t="s">
        <v>181</v>
      </c>
    </row>
    <row r="3548" spans="1:17" x14ac:dyDescent="0.25">
      <c r="A3548" s="23" t="s">
        <v>1150</v>
      </c>
      <c r="B3548" s="23" t="s">
        <v>1145</v>
      </c>
      <c r="C3548" s="23" t="s">
        <v>176</v>
      </c>
      <c r="D3548" s="23" t="s">
        <v>1154</v>
      </c>
      <c r="E3548" s="23" t="s">
        <v>1155</v>
      </c>
      <c r="F3548">
        <v>15</v>
      </c>
      <c r="G3548" s="23" t="s">
        <v>177</v>
      </c>
      <c r="H3548">
        <v>0</v>
      </c>
      <c r="I3548">
        <v>31</v>
      </c>
      <c r="J3548" s="10">
        <v>20</v>
      </c>
      <c r="K3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3548">
        <v>0</v>
      </c>
      <c r="M35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1225</v>
      </c>
      <c r="N3548">
        <v>87.5</v>
      </c>
      <c r="O3548" s="23" t="s">
        <v>629</v>
      </c>
      <c r="P3548">
        <v>1312.5</v>
      </c>
      <c r="Q3548" s="23" t="s">
        <v>181</v>
      </c>
    </row>
    <row r="3549" spans="1:17" x14ac:dyDescent="0.25">
      <c r="A3549" s="23" t="s">
        <v>1149</v>
      </c>
      <c r="B3549" s="23" t="s">
        <v>1145</v>
      </c>
      <c r="C3549" s="23" t="s">
        <v>176</v>
      </c>
      <c r="D3549" s="23" t="s">
        <v>362</v>
      </c>
      <c r="E3549" s="23" t="s">
        <v>363</v>
      </c>
      <c r="F3549">
        <v>7.5</v>
      </c>
      <c r="G3549" s="23" t="s">
        <v>180</v>
      </c>
      <c r="H3549">
        <v>0</v>
      </c>
      <c r="I3549">
        <v>200</v>
      </c>
      <c r="J3549" s="10">
        <v>39.999999999999659</v>
      </c>
      <c r="K3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549">
        <v>0</v>
      </c>
      <c r="M35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49">
        <v>22.5</v>
      </c>
      <c r="O3549" s="23" t="s">
        <v>315</v>
      </c>
      <c r="P3549">
        <v>168.75</v>
      </c>
      <c r="Q3549" s="23" t="s">
        <v>179</v>
      </c>
    </row>
    <row r="3550" spans="1:17" x14ac:dyDescent="0.25">
      <c r="A3550" s="23" t="s">
        <v>1144</v>
      </c>
      <c r="B3550" s="23" t="s">
        <v>1145</v>
      </c>
      <c r="C3550" s="23" t="s">
        <v>176</v>
      </c>
      <c r="D3550" s="23" t="s">
        <v>362</v>
      </c>
      <c r="E3550" s="23" t="s">
        <v>363</v>
      </c>
      <c r="F3550">
        <v>7.5</v>
      </c>
      <c r="G3550" s="23" t="s">
        <v>180</v>
      </c>
      <c r="H3550">
        <v>0</v>
      </c>
      <c r="I3550">
        <v>200</v>
      </c>
      <c r="J3550" s="10">
        <v>39.999999999999659</v>
      </c>
      <c r="K3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550">
        <v>0</v>
      </c>
      <c r="M35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0">
        <v>22.5</v>
      </c>
      <c r="O3550" s="23" t="s">
        <v>315</v>
      </c>
      <c r="P3550">
        <v>168.75</v>
      </c>
      <c r="Q3550" s="23" t="s">
        <v>179</v>
      </c>
    </row>
    <row r="3551" spans="1:17" x14ac:dyDescent="0.25">
      <c r="A3551" s="23" t="s">
        <v>1146</v>
      </c>
      <c r="B3551" s="23" t="s">
        <v>1145</v>
      </c>
      <c r="C3551" s="23" t="s">
        <v>176</v>
      </c>
      <c r="D3551" s="23" t="s">
        <v>362</v>
      </c>
      <c r="E3551" s="23" t="s">
        <v>363</v>
      </c>
      <c r="F3551">
        <v>7.5</v>
      </c>
      <c r="G3551" s="23" t="s">
        <v>180</v>
      </c>
      <c r="H3551">
        <v>0</v>
      </c>
      <c r="I3551">
        <v>200</v>
      </c>
      <c r="J3551" s="10">
        <v>39.999999999999659</v>
      </c>
      <c r="K3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551">
        <v>0</v>
      </c>
      <c r="M35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1">
        <v>22.5</v>
      </c>
      <c r="O3551" s="23" t="s">
        <v>315</v>
      </c>
      <c r="P3551">
        <v>168.75</v>
      </c>
      <c r="Q3551" s="23" t="s">
        <v>179</v>
      </c>
    </row>
    <row r="3552" spans="1:17" x14ac:dyDescent="0.25">
      <c r="A3552" s="23" t="s">
        <v>1144</v>
      </c>
      <c r="B3552" s="23" t="s">
        <v>1145</v>
      </c>
      <c r="C3552" s="23" t="s">
        <v>176</v>
      </c>
      <c r="D3552" s="23" t="s">
        <v>467</v>
      </c>
      <c r="E3552" s="23" t="s">
        <v>468</v>
      </c>
      <c r="F3552">
        <v>110</v>
      </c>
      <c r="G3552" s="23" t="s">
        <v>177</v>
      </c>
      <c r="H3552">
        <v>0</v>
      </c>
      <c r="I3552">
        <v>7500</v>
      </c>
      <c r="J3552" s="10">
        <v>0</v>
      </c>
      <c r="K3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52">
        <v>0</v>
      </c>
      <c r="M35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2">
        <v>0.8</v>
      </c>
      <c r="O3552" s="23" t="s">
        <v>827</v>
      </c>
      <c r="P3552">
        <v>88</v>
      </c>
      <c r="Q3552" s="23" t="s">
        <v>181</v>
      </c>
    </row>
    <row r="3553" spans="1:17" x14ac:dyDescent="0.25">
      <c r="A3553" s="23" t="s">
        <v>1147</v>
      </c>
      <c r="B3553" s="23" t="s">
        <v>1145</v>
      </c>
      <c r="C3553" s="23" t="s">
        <v>176</v>
      </c>
      <c r="D3553" s="23" t="s">
        <v>568</v>
      </c>
      <c r="E3553" s="23" t="s">
        <v>569</v>
      </c>
      <c r="F3553">
        <v>60</v>
      </c>
      <c r="G3553" s="23" t="s">
        <v>177</v>
      </c>
      <c r="H3553">
        <v>0</v>
      </c>
      <c r="I3553">
        <v>5000</v>
      </c>
      <c r="J3553" s="10">
        <v>0</v>
      </c>
      <c r="K3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553">
        <v>0</v>
      </c>
      <c r="M35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3">
        <v>0.6</v>
      </c>
      <c r="O3553" s="23" t="s">
        <v>242</v>
      </c>
      <c r="P3553">
        <v>36</v>
      </c>
      <c r="Q3553" s="23" t="s">
        <v>181</v>
      </c>
    </row>
    <row r="3554" spans="1:17" x14ac:dyDescent="0.25">
      <c r="A3554" s="23" t="s">
        <v>1099</v>
      </c>
      <c r="B3554" s="23" t="s">
        <v>1056</v>
      </c>
      <c r="C3554" s="23" t="s">
        <v>176</v>
      </c>
      <c r="D3554" s="23" t="s">
        <v>568</v>
      </c>
      <c r="E3554" s="23" t="s">
        <v>569</v>
      </c>
      <c r="F3554">
        <v>60</v>
      </c>
      <c r="G3554" s="23" t="s">
        <v>177</v>
      </c>
      <c r="H3554">
        <v>0</v>
      </c>
      <c r="I3554">
        <v>5000</v>
      </c>
      <c r="J3554" s="10">
        <v>0</v>
      </c>
      <c r="K3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3554">
        <v>0</v>
      </c>
      <c r="M35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4">
        <v>0.6</v>
      </c>
      <c r="O3554" s="23" t="s">
        <v>242</v>
      </c>
      <c r="P3554">
        <v>36</v>
      </c>
      <c r="Q3554" s="23" t="s">
        <v>181</v>
      </c>
    </row>
    <row r="3555" spans="1:17" x14ac:dyDescent="0.25">
      <c r="A3555" s="23" t="s">
        <v>1147</v>
      </c>
      <c r="B3555" s="23" t="s">
        <v>1145</v>
      </c>
      <c r="C3555" s="23" t="s">
        <v>176</v>
      </c>
      <c r="D3555" s="23" t="s">
        <v>479</v>
      </c>
      <c r="E3555" s="23" t="s">
        <v>480</v>
      </c>
      <c r="F3555">
        <v>40</v>
      </c>
      <c r="G3555" s="23" t="s">
        <v>177</v>
      </c>
      <c r="H3555">
        <v>0</v>
      </c>
      <c r="I3555">
        <v>950</v>
      </c>
      <c r="J3555" s="10">
        <v>380</v>
      </c>
      <c r="K3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3555">
        <v>0</v>
      </c>
      <c r="M35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5">
        <v>0.4</v>
      </c>
      <c r="O3555" s="23" t="s">
        <v>883</v>
      </c>
      <c r="P3555">
        <v>16</v>
      </c>
      <c r="Q3555" s="23" t="s">
        <v>181</v>
      </c>
    </row>
    <row r="3556" spans="1:17" x14ac:dyDescent="0.25">
      <c r="A3556" s="23" t="s">
        <v>1146</v>
      </c>
      <c r="B3556" s="23" t="s">
        <v>1145</v>
      </c>
      <c r="C3556" s="23" t="s">
        <v>176</v>
      </c>
      <c r="D3556" s="23" t="s">
        <v>467</v>
      </c>
      <c r="E3556" s="23" t="s">
        <v>468</v>
      </c>
      <c r="F3556">
        <v>110</v>
      </c>
      <c r="G3556" s="23" t="s">
        <v>177</v>
      </c>
      <c r="H3556">
        <v>0</v>
      </c>
      <c r="I3556">
        <v>7500</v>
      </c>
      <c r="J3556" s="10">
        <v>0</v>
      </c>
      <c r="K3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56">
        <v>0</v>
      </c>
      <c r="M35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6">
        <v>0.8</v>
      </c>
      <c r="O3556" s="23" t="s">
        <v>827</v>
      </c>
      <c r="P3556">
        <v>88</v>
      </c>
      <c r="Q3556" s="23" t="s">
        <v>181</v>
      </c>
    </row>
    <row r="3557" spans="1:17" x14ac:dyDescent="0.25">
      <c r="A3557" s="23" t="s">
        <v>1144</v>
      </c>
      <c r="B3557" s="23" t="s">
        <v>1145</v>
      </c>
      <c r="C3557" s="23" t="s">
        <v>176</v>
      </c>
      <c r="D3557" s="23" t="s">
        <v>559</v>
      </c>
      <c r="E3557" s="23" t="s">
        <v>560</v>
      </c>
      <c r="F3557">
        <v>4.25</v>
      </c>
      <c r="G3557" s="23" t="s">
        <v>177</v>
      </c>
      <c r="H3557">
        <v>0</v>
      </c>
      <c r="I3557">
        <v>46</v>
      </c>
      <c r="J3557" s="10">
        <v>85.88</v>
      </c>
      <c r="K3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3557">
        <v>0</v>
      </c>
      <c r="M35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7">
        <v>55</v>
      </c>
      <c r="O3557" s="23" t="s">
        <v>242</v>
      </c>
      <c r="P3557">
        <v>233.75</v>
      </c>
      <c r="Q3557" s="23" t="s">
        <v>181</v>
      </c>
    </row>
    <row r="3558" spans="1:17" x14ac:dyDescent="0.25">
      <c r="A3558" s="23" t="s">
        <v>1142</v>
      </c>
      <c r="B3558" s="23" t="s">
        <v>1054</v>
      </c>
      <c r="C3558" s="23" t="s">
        <v>176</v>
      </c>
      <c r="D3558" s="23" t="s">
        <v>362</v>
      </c>
      <c r="E3558" s="23" t="s">
        <v>363</v>
      </c>
      <c r="F3558">
        <v>7.5</v>
      </c>
      <c r="G3558" s="23" t="s">
        <v>180</v>
      </c>
      <c r="H3558">
        <v>0</v>
      </c>
      <c r="I3558">
        <v>200</v>
      </c>
      <c r="J3558" s="10">
        <v>39.999999999999659</v>
      </c>
      <c r="K3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558">
        <v>0</v>
      </c>
      <c r="M35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58">
        <v>22.5</v>
      </c>
      <c r="O3558" s="23" t="s">
        <v>315</v>
      </c>
      <c r="P3558">
        <v>168.75</v>
      </c>
      <c r="Q3558" s="23" t="s">
        <v>179</v>
      </c>
    </row>
    <row r="3559" spans="1:17" x14ac:dyDescent="0.25">
      <c r="A3559" s="23" t="s">
        <v>1142</v>
      </c>
      <c r="B3559" s="23" t="s">
        <v>1054</v>
      </c>
      <c r="C3559" s="23" t="s">
        <v>176</v>
      </c>
      <c r="D3559" s="23" t="s">
        <v>144</v>
      </c>
      <c r="E3559" s="23" t="s">
        <v>145</v>
      </c>
      <c r="F3559">
        <v>2</v>
      </c>
      <c r="G3559" s="23" t="s">
        <v>177</v>
      </c>
      <c r="H3559">
        <v>0</v>
      </c>
      <c r="I3559">
        <v>0</v>
      </c>
      <c r="J3559" s="10">
        <v>64</v>
      </c>
      <c r="K3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559">
        <v>0</v>
      </c>
      <c r="M35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559">
        <v>6.87</v>
      </c>
      <c r="O3559" s="23" t="s">
        <v>827</v>
      </c>
      <c r="P3559">
        <v>13.74</v>
      </c>
      <c r="Q3559" s="23" t="s">
        <v>222</v>
      </c>
    </row>
    <row r="3560" spans="1:17" x14ac:dyDescent="0.25">
      <c r="A3560" s="23" t="s">
        <v>1142</v>
      </c>
      <c r="B3560" s="23" t="s">
        <v>1054</v>
      </c>
      <c r="C3560" s="23" t="s">
        <v>176</v>
      </c>
      <c r="D3560" s="23" t="s">
        <v>467</v>
      </c>
      <c r="E3560" s="23" t="s">
        <v>468</v>
      </c>
      <c r="F3560">
        <v>110</v>
      </c>
      <c r="G3560" s="23" t="s">
        <v>177</v>
      </c>
      <c r="H3560">
        <v>0</v>
      </c>
      <c r="I3560">
        <v>7500</v>
      </c>
      <c r="J3560" s="10">
        <v>0</v>
      </c>
      <c r="K3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60">
        <v>0</v>
      </c>
      <c r="M35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0">
        <v>0.8</v>
      </c>
      <c r="O3560" s="23" t="s">
        <v>827</v>
      </c>
      <c r="P3560">
        <v>88</v>
      </c>
      <c r="Q3560" s="23" t="s">
        <v>181</v>
      </c>
    </row>
    <row r="3561" spans="1:17" x14ac:dyDescent="0.25">
      <c r="A3561" s="23" t="s">
        <v>1150</v>
      </c>
      <c r="B3561" s="23" t="s">
        <v>1145</v>
      </c>
      <c r="C3561" s="23" t="s">
        <v>176</v>
      </c>
      <c r="D3561" s="23" t="s">
        <v>1123</v>
      </c>
      <c r="E3561" s="23" t="s">
        <v>1124</v>
      </c>
      <c r="F3561">
        <v>1</v>
      </c>
      <c r="G3561" s="23" t="s">
        <v>177</v>
      </c>
      <c r="H3561">
        <v>0</v>
      </c>
      <c r="I3561">
        <v>4</v>
      </c>
      <c r="J3561" s="10">
        <v>0</v>
      </c>
      <c r="K3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561">
        <v>0</v>
      </c>
      <c r="M35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1">
        <v>3899.59</v>
      </c>
      <c r="O3561" s="23" t="s">
        <v>637</v>
      </c>
      <c r="P3561">
        <v>3899.59</v>
      </c>
      <c r="Q3561" s="23" t="s">
        <v>178</v>
      </c>
    </row>
    <row r="3562" spans="1:17" x14ac:dyDescent="0.25">
      <c r="A3562" s="23" t="s">
        <v>1197</v>
      </c>
      <c r="B3562" s="23" t="s">
        <v>1198</v>
      </c>
      <c r="C3562" s="23" t="s">
        <v>176</v>
      </c>
      <c r="D3562" s="23" t="s">
        <v>209</v>
      </c>
      <c r="E3562" s="23" t="s">
        <v>286</v>
      </c>
      <c r="F3562">
        <v>6</v>
      </c>
      <c r="G3562" s="23" t="s">
        <v>177</v>
      </c>
      <c r="H3562">
        <v>0</v>
      </c>
      <c r="I3562">
        <v>2600</v>
      </c>
      <c r="J3562" s="10">
        <v>292</v>
      </c>
      <c r="K3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3562">
        <v>0</v>
      </c>
      <c r="M35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2">
        <v>0.4</v>
      </c>
      <c r="O3562" s="23" t="s">
        <v>242</v>
      </c>
      <c r="P3562">
        <v>2.4000000000000004</v>
      </c>
      <c r="Q3562" s="23" t="s">
        <v>181</v>
      </c>
    </row>
    <row r="3563" spans="1:17" x14ac:dyDescent="0.25">
      <c r="A3563" s="23" t="s">
        <v>1097</v>
      </c>
      <c r="B3563" s="23" t="s">
        <v>1095</v>
      </c>
      <c r="C3563" s="23" t="s">
        <v>176</v>
      </c>
      <c r="D3563" s="23" t="s">
        <v>207</v>
      </c>
      <c r="E3563" s="23" t="s">
        <v>282</v>
      </c>
      <c r="F3563">
        <v>0.69</v>
      </c>
      <c r="G3563" s="23" t="s">
        <v>177</v>
      </c>
      <c r="H3563">
        <v>0</v>
      </c>
      <c r="I3563">
        <v>20</v>
      </c>
      <c r="J3563" s="10">
        <v>116.66400000000021</v>
      </c>
      <c r="K3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563">
        <v>0</v>
      </c>
      <c r="M35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3">
        <v>185</v>
      </c>
      <c r="O3563" s="23" t="s">
        <v>242</v>
      </c>
      <c r="P3563">
        <v>127.64999999999999</v>
      </c>
      <c r="Q3563" s="23" t="s">
        <v>181</v>
      </c>
    </row>
    <row r="3564" spans="1:17" x14ac:dyDescent="0.25">
      <c r="A3564" s="23" t="s">
        <v>1062</v>
      </c>
      <c r="B3564" s="23" t="s">
        <v>1053</v>
      </c>
      <c r="C3564" s="23" t="s">
        <v>176</v>
      </c>
      <c r="D3564" s="23" t="s">
        <v>207</v>
      </c>
      <c r="E3564" s="23" t="s">
        <v>282</v>
      </c>
      <c r="F3564">
        <v>0.80800000000000027</v>
      </c>
      <c r="G3564" s="23" t="s">
        <v>177</v>
      </c>
      <c r="H3564">
        <v>0.80800000000000027</v>
      </c>
      <c r="I3564">
        <v>20</v>
      </c>
      <c r="J3564" s="10">
        <v>116.66400000000021</v>
      </c>
      <c r="K3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564">
        <v>0</v>
      </c>
      <c r="M35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4">
        <v>185</v>
      </c>
      <c r="O3564" s="23" t="s">
        <v>242</v>
      </c>
      <c r="P3564">
        <v>149.48000000000005</v>
      </c>
      <c r="Q3564" s="23" t="s">
        <v>181</v>
      </c>
    </row>
    <row r="3565" spans="1:17" x14ac:dyDescent="0.25">
      <c r="A3565" s="23" t="s">
        <v>1097</v>
      </c>
      <c r="B3565" s="23" t="s">
        <v>1095</v>
      </c>
      <c r="C3565" s="23" t="s">
        <v>176</v>
      </c>
      <c r="D3565" s="23" t="s">
        <v>345</v>
      </c>
      <c r="E3565" s="23" t="s">
        <v>346</v>
      </c>
      <c r="F3565">
        <v>3</v>
      </c>
      <c r="G3565" s="23" t="s">
        <v>177</v>
      </c>
      <c r="H3565">
        <v>0</v>
      </c>
      <c r="I3565">
        <v>228</v>
      </c>
      <c r="J3565" s="10">
        <v>4.6185277824406512E-14</v>
      </c>
      <c r="K3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565">
        <v>0</v>
      </c>
      <c r="M35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5">
        <v>6</v>
      </c>
      <c r="O3565" s="23" t="s">
        <v>347</v>
      </c>
      <c r="P3565">
        <v>18</v>
      </c>
      <c r="Q3565" s="23" t="s">
        <v>181</v>
      </c>
    </row>
    <row r="3566" spans="1:17" x14ac:dyDescent="0.25">
      <c r="A3566" s="23" t="s">
        <v>1062</v>
      </c>
      <c r="B3566" s="23" t="s">
        <v>1053</v>
      </c>
      <c r="C3566" s="23" t="s">
        <v>176</v>
      </c>
      <c r="D3566" s="23" t="s">
        <v>345</v>
      </c>
      <c r="E3566" s="23" t="s">
        <v>346</v>
      </c>
      <c r="F3566">
        <v>2</v>
      </c>
      <c r="G3566" s="23" t="s">
        <v>177</v>
      </c>
      <c r="H3566">
        <v>0</v>
      </c>
      <c r="I3566">
        <v>228</v>
      </c>
      <c r="J3566" s="10">
        <v>4.6185277824406512E-14</v>
      </c>
      <c r="K3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566">
        <v>0</v>
      </c>
      <c r="M35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6">
        <v>6</v>
      </c>
      <c r="O3566" s="23" t="s">
        <v>347</v>
      </c>
      <c r="P3566">
        <v>12</v>
      </c>
      <c r="Q3566" s="23" t="s">
        <v>181</v>
      </c>
    </row>
    <row r="3567" spans="1:17" x14ac:dyDescent="0.25">
      <c r="A3567" s="23" t="s">
        <v>1098</v>
      </c>
      <c r="B3567" s="23" t="s">
        <v>1053</v>
      </c>
      <c r="C3567" s="23" t="s">
        <v>176</v>
      </c>
      <c r="D3567" s="23" t="s">
        <v>99</v>
      </c>
      <c r="E3567" s="23" t="s">
        <v>250</v>
      </c>
      <c r="F3567">
        <v>8</v>
      </c>
      <c r="G3567" s="23" t="s">
        <v>177</v>
      </c>
      <c r="H3567">
        <v>8</v>
      </c>
      <c r="I3567">
        <v>230</v>
      </c>
      <c r="J3567" s="10">
        <v>72</v>
      </c>
      <c r="K3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567">
        <v>0</v>
      </c>
      <c r="M35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7">
        <v>225</v>
      </c>
      <c r="O3567" s="23" t="s">
        <v>826</v>
      </c>
      <c r="P3567">
        <v>1800</v>
      </c>
      <c r="Q3567" s="23" t="s">
        <v>178</v>
      </c>
    </row>
    <row r="3568" spans="1:17" x14ac:dyDescent="0.25">
      <c r="A3568" s="23" t="s">
        <v>1097</v>
      </c>
      <c r="B3568" s="23" t="s">
        <v>1095</v>
      </c>
      <c r="C3568" s="23" t="s">
        <v>176</v>
      </c>
      <c r="D3568" s="23" t="s">
        <v>104</v>
      </c>
      <c r="E3568" s="23" t="s">
        <v>290</v>
      </c>
      <c r="F3568">
        <v>6.3</v>
      </c>
      <c r="G3568" s="23" t="s">
        <v>177</v>
      </c>
      <c r="H3568">
        <v>0</v>
      </c>
      <c r="I3568">
        <v>87</v>
      </c>
      <c r="J3568" s="10">
        <v>50.899999999999949</v>
      </c>
      <c r="K3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568">
        <v>0</v>
      </c>
      <c r="M35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8">
        <v>122.09</v>
      </c>
      <c r="O3568" s="23" t="s">
        <v>252</v>
      </c>
      <c r="P3568">
        <v>769.16700000000003</v>
      </c>
      <c r="Q3568" s="23" t="s">
        <v>181</v>
      </c>
    </row>
    <row r="3569" spans="1:17" x14ac:dyDescent="0.25">
      <c r="A3569" s="23" t="s">
        <v>1197</v>
      </c>
      <c r="B3569" s="23" t="s">
        <v>1198</v>
      </c>
      <c r="C3569" s="23" t="s">
        <v>176</v>
      </c>
      <c r="D3569" s="23" t="s">
        <v>841</v>
      </c>
      <c r="E3569" s="23" t="s">
        <v>842</v>
      </c>
      <c r="F3569">
        <v>9</v>
      </c>
      <c r="G3569" s="23" t="s">
        <v>180</v>
      </c>
      <c r="H3569">
        <v>0</v>
      </c>
      <c r="I3569">
        <v>0</v>
      </c>
      <c r="J3569" s="10">
        <v>165</v>
      </c>
      <c r="K3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569">
        <v>400</v>
      </c>
      <c r="M35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69">
        <v>5</v>
      </c>
      <c r="O3569" s="23" t="s">
        <v>225</v>
      </c>
      <c r="P3569">
        <v>45</v>
      </c>
      <c r="Q3569" s="23" t="s">
        <v>181</v>
      </c>
    </row>
    <row r="3570" spans="1:17" x14ac:dyDescent="0.25">
      <c r="A3570" s="23" t="s">
        <v>1197</v>
      </c>
      <c r="B3570" s="23" t="s">
        <v>1198</v>
      </c>
      <c r="C3570" s="23" t="s">
        <v>176</v>
      </c>
      <c r="D3570" s="23" t="s">
        <v>160</v>
      </c>
      <c r="E3570" s="23" t="s">
        <v>161</v>
      </c>
      <c r="F3570">
        <v>0.25</v>
      </c>
      <c r="G3570" s="23" t="s">
        <v>180</v>
      </c>
      <c r="H3570">
        <v>0</v>
      </c>
      <c r="I3570">
        <v>52</v>
      </c>
      <c r="J3570" s="10">
        <v>38.620000000000054</v>
      </c>
      <c r="K3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570">
        <v>0</v>
      </c>
      <c r="M35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0">
        <v>126.36</v>
      </c>
      <c r="O3570" s="23" t="s">
        <v>620</v>
      </c>
      <c r="P3570">
        <v>31.59</v>
      </c>
      <c r="Q3570" s="23" t="s">
        <v>179</v>
      </c>
    </row>
    <row r="3571" spans="1:17" x14ac:dyDescent="0.25">
      <c r="A3571" s="23" t="s">
        <v>1062</v>
      </c>
      <c r="B3571" s="23" t="s">
        <v>1053</v>
      </c>
      <c r="C3571" s="23" t="s">
        <v>176</v>
      </c>
      <c r="D3571" s="23" t="s">
        <v>5</v>
      </c>
      <c r="E3571" s="23" t="s">
        <v>6</v>
      </c>
      <c r="F3571">
        <v>6.6</v>
      </c>
      <c r="G3571" s="23" t="s">
        <v>180</v>
      </c>
      <c r="H3571">
        <v>0</v>
      </c>
      <c r="I3571">
        <v>100</v>
      </c>
      <c r="J3571" s="10">
        <v>1.9999999999998863</v>
      </c>
      <c r="K3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571">
        <v>0</v>
      </c>
      <c r="M35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1">
        <v>111</v>
      </c>
      <c r="O3571" s="23" t="s">
        <v>827</v>
      </c>
      <c r="P3571">
        <v>732.59999999999991</v>
      </c>
      <c r="Q3571" s="23" t="s">
        <v>222</v>
      </c>
    </row>
    <row r="3572" spans="1:17" x14ac:dyDescent="0.25">
      <c r="A3572" s="23" t="s">
        <v>1197</v>
      </c>
      <c r="B3572" s="23" t="s">
        <v>1198</v>
      </c>
      <c r="C3572" s="23" t="s">
        <v>176</v>
      </c>
      <c r="D3572" s="23" t="s">
        <v>11</v>
      </c>
      <c r="E3572" s="23" t="s">
        <v>12</v>
      </c>
      <c r="F3572">
        <v>1</v>
      </c>
      <c r="G3572" s="23" t="s">
        <v>177</v>
      </c>
      <c r="H3572">
        <v>0</v>
      </c>
      <c r="I3572">
        <v>26</v>
      </c>
      <c r="J3572" s="10">
        <v>8</v>
      </c>
      <c r="K3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3572">
        <v>0</v>
      </c>
      <c r="M35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2">
        <v>368.07</v>
      </c>
      <c r="O3572" s="23" t="s">
        <v>590</v>
      </c>
      <c r="P3572">
        <v>368.07</v>
      </c>
      <c r="Q3572" s="23" t="s">
        <v>222</v>
      </c>
    </row>
    <row r="3573" spans="1:17" x14ac:dyDescent="0.25">
      <c r="A3573" s="23" t="s">
        <v>1197</v>
      </c>
      <c r="B3573" s="23" t="s">
        <v>1198</v>
      </c>
      <c r="C3573" s="23" t="s">
        <v>176</v>
      </c>
      <c r="D3573" s="23" t="s">
        <v>205</v>
      </c>
      <c r="E3573" s="23" t="s">
        <v>206</v>
      </c>
      <c r="F3573">
        <v>0.5</v>
      </c>
      <c r="G3573" s="23" t="s">
        <v>177</v>
      </c>
      <c r="H3573">
        <v>0</v>
      </c>
      <c r="I3573">
        <v>100</v>
      </c>
      <c r="J3573" s="10">
        <v>41</v>
      </c>
      <c r="K3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573">
        <v>0</v>
      </c>
      <c r="M35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3">
        <v>60</v>
      </c>
      <c r="O3573" s="23" t="s">
        <v>221</v>
      </c>
      <c r="P3573">
        <v>30</v>
      </c>
      <c r="Q3573" s="23" t="s">
        <v>181</v>
      </c>
    </row>
    <row r="3574" spans="1:17" x14ac:dyDescent="0.25">
      <c r="A3574" s="23" t="s">
        <v>1197</v>
      </c>
      <c r="B3574" s="23" t="s">
        <v>1198</v>
      </c>
      <c r="C3574" s="23" t="s">
        <v>176</v>
      </c>
      <c r="D3574" s="23" t="s">
        <v>207</v>
      </c>
      <c r="E3574" s="23" t="s">
        <v>282</v>
      </c>
      <c r="F3574">
        <v>1.51</v>
      </c>
      <c r="G3574" s="23" t="s">
        <v>177</v>
      </c>
      <c r="H3574">
        <v>0</v>
      </c>
      <c r="I3574">
        <v>20</v>
      </c>
      <c r="J3574" s="10">
        <v>116.66400000000021</v>
      </c>
      <c r="K3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574">
        <v>0</v>
      </c>
      <c r="M35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4">
        <v>185</v>
      </c>
      <c r="O3574" s="23" t="s">
        <v>242</v>
      </c>
      <c r="P3574">
        <v>279.35000000000002</v>
      </c>
      <c r="Q3574" s="23" t="s">
        <v>181</v>
      </c>
    </row>
    <row r="3575" spans="1:17" x14ac:dyDescent="0.25">
      <c r="A3575" s="23" t="s">
        <v>1098</v>
      </c>
      <c r="B3575" s="23" t="s">
        <v>1053</v>
      </c>
      <c r="C3575" s="23" t="s">
        <v>176</v>
      </c>
      <c r="D3575" s="23" t="s">
        <v>207</v>
      </c>
      <c r="E3575" s="23" t="s">
        <v>282</v>
      </c>
      <c r="F3575">
        <v>0.7200000000000002</v>
      </c>
      <c r="G3575" s="23" t="s">
        <v>177</v>
      </c>
      <c r="H3575">
        <v>0.7200000000000002</v>
      </c>
      <c r="I3575">
        <v>20</v>
      </c>
      <c r="J3575" s="10">
        <v>116.66400000000021</v>
      </c>
      <c r="K3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575">
        <v>0</v>
      </c>
      <c r="M35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5">
        <v>185</v>
      </c>
      <c r="O3575" s="23" t="s">
        <v>242</v>
      </c>
      <c r="P3575">
        <v>133.20000000000005</v>
      </c>
      <c r="Q3575" s="23" t="s">
        <v>181</v>
      </c>
    </row>
    <row r="3576" spans="1:17" x14ac:dyDescent="0.25">
      <c r="A3576" s="23" t="s">
        <v>1098</v>
      </c>
      <c r="B3576" s="23" t="s">
        <v>1053</v>
      </c>
      <c r="C3576" s="23" t="s">
        <v>176</v>
      </c>
      <c r="D3576" s="23" t="s">
        <v>345</v>
      </c>
      <c r="E3576" s="23" t="s">
        <v>346</v>
      </c>
      <c r="F3576">
        <v>2</v>
      </c>
      <c r="G3576" s="23" t="s">
        <v>177</v>
      </c>
      <c r="H3576">
        <v>0</v>
      </c>
      <c r="I3576">
        <v>228</v>
      </c>
      <c r="J3576" s="10">
        <v>4.6185277824406512E-14</v>
      </c>
      <c r="K3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576">
        <v>0</v>
      </c>
      <c r="M35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6">
        <v>6</v>
      </c>
      <c r="O3576" s="23" t="s">
        <v>347</v>
      </c>
      <c r="P3576">
        <v>12</v>
      </c>
      <c r="Q3576" s="23" t="s">
        <v>181</v>
      </c>
    </row>
    <row r="3577" spans="1:17" x14ac:dyDescent="0.25">
      <c r="A3577" s="23" t="s">
        <v>1098</v>
      </c>
      <c r="B3577" s="23" t="s">
        <v>1053</v>
      </c>
      <c r="C3577" s="23" t="s">
        <v>176</v>
      </c>
      <c r="D3577" s="23" t="s">
        <v>419</v>
      </c>
      <c r="E3577" s="23" t="s">
        <v>1225</v>
      </c>
      <c r="F3577">
        <v>9</v>
      </c>
      <c r="G3577" s="23" t="s">
        <v>177</v>
      </c>
      <c r="H3577">
        <v>0</v>
      </c>
      <c r="I3577">
        <v>148</v>
      </c>
      <c r="J3577" s="10">
        <v>59</v>
      </c>
      <c r="K3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577">
        <v>0</v>
      </c>
      <c r="M35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7">
        <v>24.17</v>
      </c>
      <c r="O3577" s="23" t="s">
        <v>629</v>
      </c>
      <c r="P3577">
        <v>217.53000000000003</v>
      </c>
      <c r="Q3577" s="23" t="s">
        <v>181</v>
      </c>
    </row>
    <row r="3578" spans="1:17" x14ac:dyDescent="0.25">
      <c r="A3578" s="23" t="s">
        <v>1197</v>
      </c>
      <c r="B3578" s="23" t="s">
        <v>1198</v>
      </c>
      <c r="C3578" s="23" t="s">
        <v>176</v>
      </c>
      <c r="D3578" s="23" t="s">
        <v>345</v>
      </c>
      <c r="E3578" s="23" t="s">
        <v>346</v>
      </c>
      <c r="F3578">
        <v>2</v>
      </c>
      <c r="G3578" s="23" t="s">
        <v>177</v>
      </c>
      <c r="H3578">
        <v>0</v>
      </c>
      <c r="I3578">
        <v>228</v>
      </c>
      <c r="J3578" s="10">
        <v>4.6185277824406512E-14</v>
      </c>
      <c r="K3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578">
        <v>0</v>
      </c>
      <c r="M35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8">
        <v>6</v>
      </c>
      <c r="O3578" s="23" t="s">
        <v>347</v>
      </c>
      <c r="P3578">
        <v>12</v>
      </c>
      <c r="Q3578" s="23" t="s">
        <v>181</v>
      </c>
    </row>
    <row r="3579" spans="1:17" x14ac:dyDescent="0.25">
      <c r="A3579" s="23" t="s">
        <v>1062</v>
      </c>
      <c r="B3579" s="23" t="s">
        <v>1053</v>
      </c>
      <c r="C3579" s="23" t="s">
        <v>176</v>
      </c>
      <c r="D3579" s="23" t="s">
        <v>419</v>
      </c>
      <c r="E3579" s="23" t="s">
        <v>1225</v>
      </c>
      <c r="F3579">
        <v>9</v>
      </c>
      <c r="G3579" s="23" t="s">
        <v>177</v>
      </c>
      <c r="H3579">
        <v>0</v>
      </c>
      <c r="I3579">
        <v>148</v>
      </c>
      <c r="J3579" s="10">
        <v>59</v>
      </c>
      <c r="K3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579">
        <v>0</v>
      </c>
      <c r="M35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79">
        <v>24.17</v>
      </c>
      <c r="O3579" s="23" t="s">
        <v>629</v>
      </c>
      <c r="P3579">
        <v>217.53000000000003</v>
      </c>
      <c r="Q3579" s="23" t="s">
        <v>181</v>
      </c>
    </row>
    <row r="3580" spans="1:17" x14ac:dyDescent="0.25">
      <c r="A3580" s="23" t="s">
        <v>1197</v>
      </c>
      <c r="B3580" s="23" t="s">
        <v>1198</v>
      </c>
      <c r="C3580" s="23" t="s">
        <v>176</v>
      </c>
      <c r="D3580" s="23" t="s">
        <v>419</v>
      </c>
      <c r="E3580" s="23" t="s">
        <v>1225</v>
      </c>
      <c r="F3580">
        <v>5</v>
      </c>
      <c r="G3580" s="23" t="s">
        <v>177</v>
      </c>
      <c r="H3580">
        <v>0</v>
      </c>
      <c r="I3580">
        <v>148</v>
      </c>
      <c r="J3580" s="10">
        <v>59</v>
      </c>
      <c r="K3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580">
        <v>0</v>
      </c>
      <c r="M35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0">
        <v>24.17</v>
      </c>
      <c r="O3580" s="23" t="s">
        <v>629</v>
      </c>
      <c r="P3580">
        <v>120.85000000000001</v>
      </c>
      <c r="Q3580" s="23" t="s">
        <v>181</v>
      </c>
    </row>
    <row r="3581" spans="1:17" x14ac:dyDescent="0.25">
      <c r="A3581" s="23" t="s">
        <v>1097</v>
      </c>
      <c r="B3581" s="23" t="s">
        <v>1095</v>
      </c>
      <c r="C3581" s="23" t="s">
        <v>176</v>
      </c>
      <c r="D3581" s="23" t="s">
        <v>105</v>
      </c>
      <c r="E3581" s="23" t="s">
        <v>106</v>
      </c>
      <c r="F3581">
        <v>6</v>
      </c>
      <c r="G3581" s="23" t="s">
        <v>177</v>
      </c>
      <c r="H3581">
        <v>0</v>
      </c>
      <c r="I3581">
        <v>39</v>
      </c>
      <c r="J3581" s="10">
        <v>36</v>
      </c>
      <c r="K3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581">
        <v>0</v>
      </c>
      <c r="M35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581">
        <v>105</v>
      </c>
      <c r="O3581" s="23" t="s">
        <v>626</v>
      </c>
      <c r="P3581">
        <v>630</v>
      </c>
      <c r="Q3581" s="23" t="s">
        <v>179</v>
      </c>
    </row>
    <row r="3582" spans="1:17" x14ac:dyDescent="0.25">
      <c r="A3582" s="23" t="s">
        <v>1197</v>
      </c>
      <c r="B3582" s="23" t="s">
        <v>1198</v>
      </c>
      <c r="C3582" s="23" t="s">
        <v>176</v>
      </c>
      <c r="D3582" s="23" t="s">
        <v>105</v>
      </c>
      <c r="E3582" s="23" t="s">
        <v>106</v>
      </c>
      <c r="F3582">
        <v>5</v>
      </c>
      <c r="G3582" s="23" t="s">
        <v>177</v>
      </c>
      <c r="H3582">
        <v>0</v>
      </c>
      <c r="I3582">
        <v>39</v>
      </c>
      <c r="J3582" s="10">
        <v>36</v>
      </c>
      <c r="K3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582">
        <v>0</v>
      </c>
      <c r="M35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582">
        <v>105</v>
      </c>
      <c r="O3582" s="23" t="s">
        <v>626</v>
      </c>
      <c r="P3582">
        <v>525</v>
      </c>
      <c r="Q3582" s="23" t="s">
        <v>179</v>
      </c>
    </row>
    <row r="3583" spans="1:17" x14ac:dyDescent="0.25">
      <c r="A3583" s="23" t="s">
        <v>1098</v>
      </c>
      <c r="B3583" s="23" t="s">
        <v>1053</v>
      </c>
      <c r="C3583" s="23" t="s">
        <v>176</v>
      </c>
      <c r="D3583" s="23" t="s">
        <v>105</v>
      </c>
      <c r="E3583" s="23" t="s">
        <v>106</v>
      </c>
      <c r="F3583">
        <v>5</v>
      </c>
      <c r="G3583" s="23" t="s">
        <v>177</v>
      </c>
      <c r="H3583">
        <v>0</v>
      </c>
      <c r="I3583">
        <v>39</v>
      </c>
      <c r="J3583" s="10">
        <v>36</v>
      </c>
      <c r="K3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583">
        <v>0</v>
      </c>
      <c r="M35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583">
        <v>105</v>
      </c>
      <c r="O3583" s="23" t="s">
        <v>626</v>
      </c>
      <c r="P3583">
        <v>525</v>
      </c>
      <c r="Q3583" s="23" t="s">
        <v>179</v>
      </c>
    </row>
    <row r="3584" spans="1:17" x14ac:dyDescent="0.25">
      <c r="A3584" s="23" t="s">
        <v>1097</v>
      </c>
      <c r="B3584" s="23" t="s">
        <v>1095</v>
      </c>
      <c r="C3584" s="23" t="s">
        <v>176</v>
      </c>
      <c r="D3584" s="23" t="s">
        <v>379</v>
      </c>
      <c r="E3584" s="23" t="s">
        <v>380</v>
      </c>
      <c r="F3584">
        <v>1</v>
      </c>
      <c r="G3584" s="23" t="s">
        <v>177</v>
      </c>
      <c r="H3584">
        <v>0</v>
      </c>
      <c r="I3584">
        <v>50</v>
      </c>
      <c r="J3584" s="10">
        <v>33</v>
      </c>
      <c r="K3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584">
        <v>0</v>
      </c>
      <c r="M35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4">
        <v>72.599999999999994</v>
      </c>
      <c r="O3584" s="23" t="s">
        <v>242</v>
      </c>
      <c r="P3584">
        <v>72.599999999999994</v>
      </c>
      <c r="Q3584" s="23" t="s">
        <v>179</v>
      </c>
    </row>
    <row r="3585" spans="1:17" x14ac:dyDescent="0.25">
      <c r="A3585" s="23" t="s">
        <v>1197</v>
      </c>
      <c r="B3585" s="23" t="s">
        <v>1198</v>
      </c>
      <c r="C3585" s="23" t="s">
        <v>176</v>
      </c>
      <c r="D3585" s="23" t="s">
        <v>379</v>
      </c>
      <c r="E3585" s="23" t="s">
        <v>380</v>
      </c>
      <c r="F3585">
        <v>2</v>
      </c>
      <c r="G3585" s="23" t="s">
        <v>177</v>
      </c>
      <c r="H3585">
        <v>0</v>
      </c>
      <c r="I3585">
        <v>50</v>
      </c>
      <c r="J3585" s="10">
        <v>33</v>
      </c>
      <c r="K3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585">
        <v>0</v>
      </c>
      <c r="M35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5">
        <v>72.599999999999994</v>
      </c>
      <c r="O3585" s="23" t="s">
        <v>242</v>
      </c>
      <c r="P3585">
        <v>145.19999999999999</v>
      </c>
      <c r="Q3585" s="23" t="s">
        <v>179</v>
      </c>
    </row>
    <row r="3586" spans="1:17" x14ac:dyDescent="0.25">
      <c r="A3586" s="23" t="s">
        <v>1094</v>
      </c>
      <c r="B3586" s="23" t="s">
        <v>1095</v>
      </c>
      <c r="C3586" s="23" t="s">
        <v>176</v>
      </c>
      <c r="D3586" s="23" t="s">
        <v>99</v>
      </c>
      <c r="E3586" s="23" t="s">
        <v>250</v>
      </c>
      <c r="F3586">
        <v>5</v>
      </c>
      <c r="G3586" s="23" t="s">
        <v>177</v>
      </c>
      <c r="H3586">
        <v>0</v>
      </c>
      <c r="I3586">
        <v>230</v>
      </c>
      <c r="J3586" s="10">
        <v>72</v>
      </c>
      <c r="K3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586">
        <v>0</v>
      </c>
      <c r="M35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6">
        <v>225</v>
      </c>
      <c r="O3586" s="23" t="s">
        <v>826</v>
      </c>
      <c r="P3586">
        <v>1125</v>
      </c>
      <c r="Q3586" s="23" t="s">
        <v>178</v>
      </c>
    </row>
    <row r="3587" spans="1:17" x14ac:dyDescent="0.25">
      <c r="A3587" s="23" t="s">
        <v>1096</v>
      </c>
      <c r="B3587" s="23" t="s">
        <v>1053</v>
      </c>
      <c r="C3587" s="23" t="s">
        <v>176</v>
      </c>
      <c r="D3587" s="23" t="s">
        <v>104</v>
      </c>
      <c r="E3587" s="23" t="s">
        <v>290</v>
      </c>
      <c r="F3587">
        <v>6.8</v>
      </c>
      <c r="G3587" s="23" t="s">
        <v>177</v>
      </c>
      <c r="H3587">
        <v>0</v>
      </c>
      <c r="I3587">
        <v>87</v>
      </c>
      <c r="J3587" s="10">
        <v>50.899999999999949</v>
      </c>
      <c r="K3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587">
        <v>0</v>
      </c>
      <c r="M35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87">
        <v>122.09</v>
      </c>
      <c r="O3587" s="23" t="s">
        <v>252</v>
      </c>
      <c r="P3587">
        <v>830.21199999999999</v>
      </c>
      <c r="Q3587" s="23" t="s">
        <v>181</v>
      </c>
    </row>
    <row r="3588" spans="1:17" x14ac:dyDescent="0.25">
      <c r="A3588" s="23" t="s">
        <v>1094</v>
      </c>
      <c r="B3588" s="23" t="s">
        <v>1095</v>
      </c>
      <c r="C3588" s="23" t="s">
        <v>176</v>
      </c>
      <c r="D3588" s="23" t="s">
        <v>142</v>
      </c>
      <c r="E3588" s="23" t="s">
        <v>143</v>
      </c>
      <c r="F3588">
        <v>21</v>
      </c>
      <c r="G3588" s="23" t="s">
        <v>177</v>
      </c>
      <c r="H3588">
        <v>0</v>
      </c>
      <c r="I3588">
        <v>150</v>
      </c>
      <c r="J3588" s="10">
        <v>0</v>
      </c>
      <c r="K3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588">
        <v>0</v>
      </c>
      <c r="M35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588">
        <v>27.75</v>
      </c>
      <c r="O3588" s="23" t="s">
        <v>743</v>
      </c>
      <c r="P3588">
        <v>582.75</v>
      </c>
      <c r="Q3588" s="23" t="s">
        <v>185</v>
      </c>
    </row>
    <row r="3589" spans="1:17" x14ac:dyDescent="0.25">
      <c r="A3589" s="23" t="s">
        <v>1096</v>
      </c>
      <c r="B3589" s="23" t="s">
        <v>1053</v>
      </c>
      <c r="C3589" s="23" t="s">
        <v>176</v>
      </c>
      <c r="D3589" s="23" t="s">
        <v>142</v>
      </c>
      <c r="E3589" s="23" t="s">
        <v>143</v>
      </c>
      <c r="F3589">
        <v>21</v>
      </c>
      <c r="G3589" s="23" t="s">
        <v>177</v>
      </c>
      <c r="H3589">
        <v>0</v>
      </c>
      <c r="I3589">
        <v>150</v>
      </c>
      <c r="J3589" s="10">
        <v>0</v>
      </c>
      <c r="K3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589">
        <v>0</v>
      </c>
      <c r="M35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589">
        <v>27.75</v>
      </c>
      <c r="O3589" s="23" t="s">
        <v>743</v>
      </c>
      <c r="P3589">
        <v>582.75</v>
      </c>
      <c r="Q3589" s="23" t="s">
        <v>185</v>
      </c>
    </row>
    <row r="3590" spans="1:17" x14ac:dyDescent="0.25">
      <c r="A3590" s="23" t="s">
        <v>1062</v>
      </c>
      <c r="B3590" s="23" t="s">
        <v>1053</v>
      </c>
      <c r="C3590" s="23" t="s">
        <v>176</v>
      </c>
      <c r="D3590" s="23" t="s">
        <v>749</v>
      </c>
      <c r="E3590" s="23" t="s">
        <v>750</v>
      </c>
      <c r="F3590">
        <v>4</v>
      </c>
      <c r="G3590" s="23" t="s">
        <v>177</v>
      </c>
      <c r="H3590">
        <v>0</v>
      </c>
      <c r="I3590">
        <v>250</v>
      </c>
      <c r="J3590" s="10">
        <v>0</v>
      </c>
      <c r="K3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3590">
        <v>0</v>
      </c>
      <c r="M35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0">
        <v>5.74</v>
      </c>
      <c r="O3590" s="23" t="s">
        <v>883</v>
      </c>
      <c r="P3590">
        <v>22.96</v>
      </c>
      <c r="Q3590" s="23" t="s">
        <v>181</v>
      </c>
    </row>
    <row r="3591" spans="1:17" x14ac:dyDescent="0.25">
      <c r="A3591" s="23" t="s">
        <v>1197</v>
      </c>
      <c r="B3591" s="23" t="s">
        <v>1198</v>
      </c>
      <c r="C3591" s="23" t="s">
        <v>176</v>
      </c>
      <c r="D3591" s="23" t="s">
        <v>1045</v>
      </c>
      <c r="E3591" s="23" t="s">
        <v>1046</v>
      </c>
      <c r="F3591">
        <v>2</v>
      </c>
      <c r="G3591" s="23" t="s">
        <v>177</v>
      </c>
      <c r="H3591">
        <v>0</v>
      </c>
      <c r="I3591">
        <v>233</v>
      </c>
      <c r="J3591" s="10">
        <v>0</v>
      </c>
      <c r="K3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-225</v>
      </c>
      <c r="L3591">
        <v>0</v>
      </c>
      <c r="M35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1">
        <v>7</v>
      </c>
      <c r="O3591" s="23" t="s">
        <v>227</v>
      </c>
      <c r="P3591">
        <v>14</v>
      </c>
      <c r="Q3591" s="23" t="s">
        <v>181</v>
      </c>
    </row>
    <row r="3592" spans="1:17" x14ac:dyDescent="0.25">
      <c r="A3592" s="23" t="s">
        <v>1098</v>
      </c>
      <c r="B3592" s="23" t="s">
        <v>1053</v>
      </c>
      <c r="C3592" s="23" t="s">
        <v>176</v>
      </c>
      <c r="D3592" s="23" t="s">
        <v>95</v>
      </c>
      <c r="E3592" s="23" t="s">
        <v>96</v>
      </c>
      <c r="F3592">
        <v>1</v>
      </c>
      <c r="G3592" s="23" t="s">
        <v>177</v>
      </c>
      <c r="H3592">
        <v>0</v>
      </c>
      <c r="I3592">
        <v>13</v>
      </c>
      <c r="J3592" s="10">
        <v>6</v>
      </c>
      <c r="K3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592">
        <v>0</v>
      </c>
      <c r="M35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2">
        <v>1145.83</v>
      </c>
      <c r="O3592" s="23" t="s">
        <v>249</v>
      </c>
      <c r="P3592">
        <v>1145.83</v>
      </c>
      <c r="Q3592" s="23" t="s">
        <v>178</v>
      </c>
    </row>
    <row r="3593" spans="1:17" x14ac:dyDescent="0.25">
      <c r="A3593" s="23" t="s">
        <v>1197</v>
      </c>
      <c r="B3593" s="23" t="s">
        <v>1198</v>
      </c>
      <c r="C3593" s="23" t="s">
        <v>176</v>
      </c>
      <c r="D3593" s="23" t="s">
        <v>812</v>
      </c>
      <c r="E3593" s="23" t="s">
        <v>813</v>
      </c>
      <c r="F3593">
        <v>4</v>
      </c>
      <c r="G3593" s="23" t="s">
        <v>177</v>
      </c>
      <c r="H3593">
        <v>0</v>
      </c>
      <c r="I3593">
        <v>100</v>
      </c>
      <c r="J3593" s="10">
        <v>138</v>
      </c>
      <c r="K3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-84</v>
      </c>
      <c r="L3593">
        <v>0</v>
      </c>
      <c r="M35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3">
        <v>8</v>
      </c>
      <c r="O3593" s="23" t="s">
        <v>883</v>
      </c>
      <c r="P3593">
        <v>32</v>
      </c>
      <c r="Q3593" s="23" t="s">
        <v>179</v>
      </c>
    </row>
    <row r="3594" spans="1:17" x14ac:dyDescent="0.25">
      <c r="A3594" s="23" t="s">
        <v>1098</v>
      </c>
      <c r="B3594" s="23" t="s">
        <v>1053</v>
      </c>
      <c r="C3594" s="23" t="s">
        <v>176</v>
      </c>
      <c r="D3594" s="23" t="s">
        <v>362</v>
      </c>
      <c r="E3594" s="23" t="s">
        <v>363</v>
      </c>
      <c r="F3594">
        <v>5.65</v>
      </c>
      <c r="G3594" s="23" t="s">
        <v>180</v>
      </c>
      <c r="H3594">
        <v>0</v>
      </c>
      <c r="I3594">
        <v>200</v>
      </c>
      <c r="J3594" s="10">
        <v>39.999999999999659</v>
      </c>
      <c r="K3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594">
        <v>0</v>
      </c>
      <c r="M35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4">
        <v>22.5</v>
      </c>
      <c r="O3594" s="23" t="s">
        <v>315</v>
      </c>
      <c r="P3594">
        <v>127.12500000000001</v>
      </c>
      <c r="Q3594" s="23" t="s">
        <v>179</v>
      </c>
    </row>
    <row r="3595" spans="1:17" x14ac:dyDescent="0.25">
      <c r="A3595" s="23" t="s">
        <v>1197</v>
      </c>
      <c r="B3595" s="23" t="s">
        <v>1198</v>
      </c>
      <c r="C3595" s="23" t="s">
        <v>176</v>
      </c>
      <c r="D3595" s="23" t="s">
        <v>467</v>
      </c>
      <c r="E3595" s="23" t="s">
        <v>468</v>
      </c>
      <c r="F3595">
        <v>110</v>
      </c>
      <c r="G3595" s="23" t="s">
        <v>177</v>
      </c>
      <c r="H3595">
        <v>0</v>
      </c>
      <c r="I3595">
        <v>7500</v>
      </c>
      <c r="J3595" s="10">
        <v>0</v>
      </c>
      <c r="K3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95">
        <v>0</v>
      </c>
      <c r="M35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5">
        <v>0.8</v>
      </c>
      <c r="O3595" s="23" t="s">
        <v>827</v>
      </c>
      <c r="P3595">
        <v>88</v>
      </c>
      <c r="Q3595" s="23" t="s">
        <v>181</v>
      </c>
    </row>
    <row r="3596" spans="1:17" x14ac:dyDescent="0.25">
      <c r="A3596" s="23" t="s">
        <v>1098</v>
      </c>
      <c r="B3596" s="23" t="s">
        <v>1053</v>
      </c>
      <c r="C3596" s="23" t="s">
        <v>176</v>
      </c>
      <c r="D3596" s="23" t="s">
        <v>467</v>
      </c>
      <c r="E3596" s="23" t="s">
        <v>468</v>
      </c>
      <c r="F3596">
        <v>120</v>
      </c>
      <c r="G3596" s="23" t="s">
        <v>177</v>
      </c>
      <c r="H3596">
        <v>0</v>
      </c>
      <c r="I3596">
        <v>7500</v>
      </c>
      <c r="J3596" s="10">
        <v>0</v>
      </c>
      <c r="K3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596">
        <v>0</v>
      </c>
      <c r="M35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6">
        <v>0.8</v>
      </c>
      <c r="O3596" s="23" t="s">
        <v>827</v>
      </c>
      <c r="P3596">
        <v>96</v>
      </c>
      <c r="Q3596" s="23" t="s">
        <v>181</v>
      </c>
    </row>
    <row r="3597" spans="1:17" x14ac:dyDescent="0.25">
      <c r="A3597" s="23" t="s">
        <v>1197</v>
      </c>
      <c r="B3597" s="23" t="s">
        <v>1198</v>
      </c>
      <c r="C3597" s="23" t="s">
        <v>176</v>
      </c>
      <c r="D3597" s="23" t="s">
        <v>559</v>
      </c>
      <c r="E3597" s="23" t="s">
        <v>560</v>
      </c>
      <c r="F3597">
        <v>4.25</v>
      </c>
      <c r="G3597" s="23" t="s">
        <v>177</v>
      </c>
      <c r="H3597">
        <v>0</v>
      </c>
      <c r="I3597">
        <v>46</v>
      </c>
      <c r="J3597" s="10">
        <v>85.88</v>
      </c>
      <c r="K3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3597">
        <v>0</v>
      </c>
      <c r="M35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7">
        <v>55</v>
      </c>
      <c r="O3597" s="23" t="s">
        <v>242</v>
      </c>
      <c r="P3597">
        <v>233.75</v>
      </c>
      <c r="Q3597" s="23" t="s">
        <v>181</v>
      </c>
    </row>
    <row r="3598" spans="1:17" x14ac:dyDescent="0.25">
      <c r="A3598" s="23" t="s">
        <v>1144</v>
      </c>
      <c r="B3598" s="23" t="s">
        <v>1145</v>
      </c>
      <c r="C3598" s="23" t="s">
        <v>176</v>
      </c>
      <c r="D3598" s="23" t="s">
        <v>1123</v>
      </c>
      <c r="E3598" s="23" t="s">
        <v>1124</v>
      </c>
      <c r="F3598">
        <v>1</v>
      </c>
      <c r="G3598" s="23" t="s">
        <v>177</v>
      </c>
      <c r="H3598">
        <v>0</v>
      </c>
      <c r="I3598">
        <v>4</v>
      </c>
      <c r="J3598" s="10">
        <v>0</v>
      </c>
      <c r="K3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598">
        <v>0</v>
      </c>
      <c r="M35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598">
        <v>3899.59</v>
      </c>
      <c r="O3598" s="23" t="s">
        <v>637</v>
      </c>
      <c r="P3598">
        <v>3899.59</v>
      </c>
      <c r="Q3598" s="23" t="s">
        <v>178</v>
      </c>
    </row>
    <row r="3599" spans="1:17" x14ac:dyDescent="0.25">
      <c r="A3599" s="23" t="s">
        <v>1144</v>
      </c>
      <c r="B3599" s="23" t="s">
        <v>1145</v>
      </c>
      <c r="C3599" s="23" t="s">
        <v>176</v>
      </c>
      <c r="D3599" s="23" t="s">
        <v>1154</v>
      </c>
      <c r="E3599" s="23" t="s">
        <v>1155</v>
      </c>
      <c r="F3599">
        <v>15</v>
      </c>
      <c r="G3599" s="23" t="s">
        <v>177</v>
      </c>
      <c r="H3599">
        <v>0</v>
      </c>
      <c r="I3599">
        <v>31</v>
      </c>
      <c r="J3599" s="10">
        <v>20</v>
      </c>
      <c r="K3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3599">
        <v>0</v>
      </c>
      <c r="M35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1225</v>
      </c>
      <c r="N3599">
        <v>87.5</v>
      </c>
      <c r="O3599" s="23" t="s">
        <v>629</v>
      </c>
      <c r="P3599">
        <v>1312.5</v>
      </c>
      <c r="Q3599" s="23" t="s">
        <v>181</v>
      </c>
    </row>
    <row r="3600" spans="1:17" x14ac:dyDescent="0.25">
      <c r="A3600" s="23" t="s">
        <v>1062</v>
      </c>
      <c r="B3600" s="23" t="s">
        <v>1053</v>
      </c>
      <c r="C3600" s="23" t="s">
        <v>176</v>
      </c>
      <c r="D3600" s="23" t="s">
        <v>209</v>
      </c>
      <c r="E3600" s="23" t="s">
        <v>286</v>
      </c>
      <c r="F3600">
        <v>81</v>
      </c>
      <c r="G3600" s="23" t="s">
        <v>177</v>
      </c>
      <c r="H3600">
        <v>0</v>
      </c>
      <c r="I3600">
        <v>2600</v>
      </c>
      <c r="J3600" s="10">
        <v>292</v>
      </c>
      <c r="K3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3600">
        <v>0</v>
      </c>
      <c r="M36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0">
        <v>0.4</v>
      </c>
      <c r="O3600" s="23" t="s">
        <v>242</v>
      </c>
      <c r="P3600">
        <v>32.4</v>
      </c>
      <c r="Q3600" s="23" t="s">
        <v>181</v>
      </c>
    </row>
    <row r="3601" spans="1:17" x14ac:dyDescent="0.25">
      <c r="A3601" s="23" t="s">
        <v>1098</v>
      </c>
      <c r="B3601" s="23" t="s">
        <v>1053</v>
      </c>
      <c r="C3601" s="23" t="s">
        <v>176</v>
      </c>
      <c r="D3601" s="23" t="s">
        <v>749</v>
      </c>
      <c r="E3601" s="23" t="s">
        <v>750</v>
      </c>
      <c r="F3601">
        <v>4</v>
      </c>
      <c r="G3601" s="23" t="s">
        <v>177</v>
      </c>
      <c r="H3601">
        <v>0</v>
      </c>
      <c r="I3601">
        <v>250</v>
      </c>
      <c r="J3601" s="10">
        <v>0</v>
      </c>
      <c r="K3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3601">
        <v>0</v>
      </c>
      <c r="M36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1">
        <v>5.74</v>
      </c>
      <c r="O3601" s="23" t="s">
        <v>883</v>
      </c>
      <c r="P3601">
        <v>22.96</v>
      </c>
      <c r="Q3601" s="23" t="s">
        <v>181</v>
      </c>
    </row>
    <row r="3602" spans="1:17" x14ac:dyDescent="0.25">
      <c r="A3602" s="23" t="s">
        <v>1197</v>
      </c>
      <c r="B3602" s="23" t="s">
        <v>1198</v>
      </c>
      <c r="C3602" s="23" t="s">
        <v>176</v>
      </c>
      <c r="D3602" s="23" t="s">
        <v>95</v>
      </c>
      <c r="E3602" s="23" t="s">
        <v>96</v>
      </c>
      <c r="F3602">
        <v>1</v>
      </c>
      <c r="G3602" s="23" t="s">
        <v>177</v>
      </c>
      <c r="H3602">
        <v>0</v>
      </c>
      <c r="I3602">
        <v>13</v>
      </c>
      <c r="J3602" s="10">
        <v>6</v>
      </c>
      <c r="K3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602">
        <v>0</v>
      </c>
      <c r="M36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2">
        <v>1145.83</v>
      </c>
      <c r="O3602" s="23" t="s">
        <v>249</v>
      </c>
      <c r="P3602">
        <v>1145.83</v>
      </c>
      <c r="Q3602" s="23" t="s">
        <v>178</v>
      </c>
    </row>
    <row r="3603" spans="1:17" x14ac:dyDescent="0.25">
      <c r="A3603" s="23" t="s">
        <v>1097</v>
      </c>
      <c r="B3603" s="23" t="s">
        <v>1095</v>
      </c>
      <c r="C3603" s="23" t="s">
        <v>176</v>
      </c>
      <c r="D3603" s="23" t="s">
        <v>362</v>
      </c>
      <c r="E3603" s="23" t="s">
        <v>363</v>
      </c>
      <c r="F3603">
        <v>5.5</v>
      </c>
      <c r="G3603" s="23" t="s">
        <v>180</v>
      </c>
      <c r="H3603">
        <v>0</v>
      </c>
      <c r="I3603">
        <v>200</v>
      </c>
      <c r="J3603" s="10">
        <v>39.999999999999659</v>
      </c>
      <c r="K3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603">
        <v>0</v>
      </c>
      <c r="M36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3">
        <v>22.5</v>
      </c>
      <c r="O3603" s="23" t="s">
        <v>315</v>
      </c>
      <c r="P3603">
        <v>123.75</v>
      </c>
      <c r="Q3603" s="23" t="s">
        <v>179</v>
      </c>
    </row>
    <row r="3604" spans="1:17" x14ac:dyDescent="0.25">
      <c r="A3604" s="23" t="s">
        <v>1062</v>
      </c>
      <c r="B3604" s="23" t="s">
        <v>1053</v>
      </c>
      <c r="C3604" s="23" t="s">
        <v>176</v>
      </c>
      <c r="D3604" s="23" t="s">
        <v>362</v>
      </c>
      <c r="E3604" s="23" t="s">
        <v>363</v>
      </c>
      <c r="F3604">
        <v>10</v>
      </c>
      <c r="G3604" s="23" t="s">
        <v>180</v>
      </c>
      <c r="H3604">
        <v>0</v>
      </c>
      <c r="I3604">
        <v>200</v>
      </c>
      <c r="J3604" s="10">
        <v>39.999999999999659</v>
      </c>
      <c r="K3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604">
        <v>0</v>
      </c>
      <c r="M36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4">
        <v>22.5</v>
      </c>
      <c r="O3604" s="23" t="s">
        <v>315</v>
      </c>
      <c r="P3604">
        <v>225</v>
      </c>
      <c r="Q3604" s="23" t="s">
        <v>179</v>
      </c>
    </row>
    <row r="3605" spans="1:17" x14ac:dyDescent="0.25">
      <c r="A3605" s="23" t="s">
        <v>1062</v>
      </c>
      <c r="B3605" s="23" t="s">
        <v>1053</v>
      </c>
      <c r="C3605" s="23" t="s">
        <v>176</v>
      </c>
      <c r="D3605" s="23" t="s">
        <v>144</v>
      </c>
      <c r="E3605" s="23" t="s">
        <v>145</v>
      </c>
      <c r="F3605">
        <v>4</v>
      </c>
      <c r="G3605" s="23" t="s">
        <v>177</v>
      </c>
      <c r="H3605">
        <v>0</v>
      </c>
      <c r="I3605">
        <v>0</v>
      </c>
      <c r="J3605" s="10">
        <v>64</v>
      </c>
      <c r="K3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05">
        <v>0</v>
      </c>
      <c r="M36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05">
        <v>6.87</v>
      </c>
      <c r="O3605" s="23" t="s">
        <v>827</v>
      </c>
      <c r="P3605">
        <v>27.48</v>
      </c>
      <c r="Q3605" s="23" t="s">
        <v>222</v>
      </c>
    </row>
    <row r="3606" spans="1:17" x14ac:dyDescent="0.25">
      <c r="A3606" s="23" t="s">
        <v>1098</v>
      </c>
      <c r="B3606" s="23" t="s">
        <v>1053</v>
      </c>
      <c r="C3606" s="23" t="s">
        <v>176</v>
      </c>
      <c r="D3606" s="23" t="s">
        <v>144</v>
      </c>
      <c r="E3606" s="23" t="s">
        <v>145</v>
      </c>
      <c r="F3606">
        <v>2</v>
      </c>
      <c r="G3606" s="23" t="s">
        <v>177</v>
      </c>
      <c r="H3606">
        <v>0</v>
      </c>
      <c r="I3606">
        <v>0</v>
      </c>
      <c r="J3606" s="10">
        <v>64</v>
      </c>
      <c r="K3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06">
        <v>0</v>
      </c>
      <c r="M36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06">
        <v>6.87</v>
      </c>
      <c r="O3606" s="23" t="s">
        <v>827</v>
      </c>
      <c r="P3606">
        <v>13.74</v>
      </c>
      <c r="Q3606" s="23" t="s">
        <v>222</v>
      </c>
    </row>
    <row r="3607" spans="1:17" x14ac:dyDescent="0.25">
      <c r="A3607" s="23" t="s">
        <v>1197</v>
      </c>
      <c r="B3607" s="23" t="s">
        <v>1198</v>
      </c>
      <c r="C3607" s="23" t="s">
        <v>176</v>
      </c>
      <c r="D3607" s="23" t="s">
        <v>144</v>
      </c>
      <c r="E3607" s="23" t="s">
        <v>145</v>
      </c>
      <c r="F3607">
        <v>2</v>
      </c>
      <c r="G3607" s="23" t="s">
        <v>177</v>
      </c>
      <c r="H3607">
        <v>0</v>
      </c>
      <c r="I3607">
        <v>0</v>
      </c>
      <c r="J3607" s="10">
        <v>64</v>
      </c>
      <c r="K3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3607">
        <v>0</v>
      </c>
      <c r="M36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3607">
        <v>6.87</v>
      </c>
      <c r="O3607" s="23" t="s">
        <v>827</v>
      </c>
      <c r="P3607">
        <v>13.74</v>
      </c>
      <c r="Q3607" s="23" t="s">
        <v>222</v>
      </c>
    </row>
    <row r="3608" spans="1:17" x14ac:dyDescent="0.25">
      <c r="A3608" s="23" t="s">
        <v>1097</v>
      </c>
      <c r="B3608" s="23" t="s">
        <v>1095</v>
      </c>
      <c r="C3608" s="23" t="s">
        <v>176</v>
      </c>
      <c r="D3608" s="23" t="s">
        <v>467</v>
      </c>
      <c r="E3608" s="23" t="s">
        <v>468</v>
      </c>
      <c r="F3608">
        <v>80</v>
      </c>
      <c r="G3608" s="23" t="s">
        <v>177</v>
      </c>
      <c r="H3608">
        <v>0</v>
      </c>
      <c r="I3608">
        <v>7500</v>
      </c>
      <c r="J3608" s="10">
        <v>0</v>
      </c>
      <c r="K3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608">
        <v>0</v>
      </c>
      <c r="M36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8">
        <v>0.8</v>
      </c>
      <c r="O3608" s="23" t="s">
        <v>827</v>
      </c>
      <c r="P3608">
        <v>64</v>
      </c>
      <c r="Q3608" s="23" t="s">
        <v>181</v>
      </c>
    </row>
    <row r="3609" spans="1:17" x14ac:dyDescent="0.25">
      <c r="A3609" s="23" t="s">
        <v>1062</v>
      </c>
      <c r="B3609" s="23" t="s">
        <v>1053</v>
      </c>
      <c r="C3609" s="23" t="s">
        <v>176</v>
      </c>
      <c r="D3609" s="23" t="s">
        <v>467</v>
      </c>
      <c r="E3609" s="23" t="s">
        <v>468</v>
      </c>
      <c r="F3609">
        <v>80</v>
      </c>
      <c r="G3609" s="23" t="s">
        <v>177</v>
      </c>
      <c r="H3609">
        <v>0</v>
      </c>
      <c r="I3609">
        <v>7500</v>
      </c>
      <c r="J3609" s="10">
        <v>0</v>
      </c>
      <c r="K3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3609">
        <v>0</v>
      </c>
      <c r="M36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09">
        <v>0.8</v>
      </c>
      <c r="O3609" s="23" t="s">
        <v>827</v>
      </c>
      <c r="P3609">
        <v>64</v>
      </c>
      <c r="Q3609" s="23" t="s">
        <v>181</v>
      </c>
    </row>
    <row r="3610" spans="1:17" x14ac:dyDescent="0.25">
      <c r="A3610" s="23" t="s">
        <v>1097</v>
      </c>
      <c r="B3610" s="23" t="s">
        <v>1095</v>
      </c>
      <c r="C3610" s="23" t="s">
        <v>176</v>
      </c>
      <c r="D3610" s="23" t="s">
        <v>559</v>
      </c>
      <c r="E3610" s="23" t="s">
        <v>560</v>
      </c>
      <c r="F3610">
        <v>1</v>
      </c>
      <c r="G3610" s="23" t="s">
        <v>177</v>
      </c>
      <c r="H3610">
        <v>0</v>
      </c>
      <c r="I3610">
        <v>46</v>
      </c>
      <c r="J3610" s="10">
        <v>85.88</v>
      </c>
      <c r="K3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3610">
        <v>0</v>
      </c>
      <c r="M36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0">
        <v>55</v>
      </c>
      <c r="O3610" s="23" t="s">
        <v>242</v>
      </c>
      <c r="P3610">
        <v>55</v>
      </c>
      <c r="Q3610" s="23" t="s">
        <v>181</v>
      </c>
    </row>
    <row r="3611" spans="1:17" x14ac:dyDescent="0.25">
      <c r="A3611" s="23" t="s">
        <v>1098</v>
      </c>
      <c r="B3611" s="23" t="s">
        <v>1053</v>
      </c>
      <c r="C3611" s="23" t="s">
        <v>176</v>
      </c>
      <c r="D3611" s="23" t="s">
        <v>13</v>
      </c>
      <c r="E3611" s="23" t="s">
        <v>14</v>
      </c>
      <c r="F3611">
        <v>2</v>
      </c>
      <c r="G3611" s="23" t="s">
        <v>180</v>
      </c>
      <c r="H3611">
        <v>0</v>
      </c>
      <c r="I3611">
        <v>100</v>
      </c>
      <c r="J3611" s="10">
        <v>-4.5474735088646412E-13</v>
      </c>
      <c r="K3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-97</v>
      </c>
      <c r="L3611">
        <v>0</v>
      </c>
      <c r="M36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1">
        <v>24</v>
      </c>
      <c r="O3611" s="23" t="s">
        <v>636</v>
      </c>
      <c r="P3611">
        <v>48</v>
      </c>
      <c r="Q3611" s="23" t="s">
        <v>222</v>
      </c>
    </row>
    <row r="3612" spans="1:17" x14ac:dyDescent="0.25">
      <c r="A3612" s="23" t="s">
        <v>1096</v>
      </c>
      <c r="B3612" s="23" t="s">
        <v>1053</v>
      </c>
      <c r="C3612" s="23" t="s">
        <v>176</v>
      </c>
      <c r="D3612" s="23" t="s">
        <v>362</v>
      </c>
      <c r="E3612" s="23" t="s">
        <v>363</v>
      </c>
      <c r="F3612">
        <v>10</v>
      </c>
      <c r="G3612" s="23" t="s">
        <v>180</v>
      </c>
      <c r="H3612">
        <v>0</v>
      </c>
      <c r="I3612">
        <v>200</v>
      </c>
      <c r="J3612" s="10">
        <v>39.999999999999659</v>
      </c>
      <c r="K3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3612">
        <v>0</v>
      </c>
      <c r="M36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2">
        <v>22.5</v>
      </c>
      <c r="O3612" s="23" t="s">
        <v>315</v>
      </c>
      <c r="P3612">
        <v>225</v>
      </c>
      <c r="Q3612" s="23" t="s">
        <v>179</v>
      </c>
    </row>
    <row r="3613" spans="1:17" x14ac:dyDescent="0.25">
      <c r="A3613" s="23" t="s">
        <v>1099</v>
      </c>
      <c r="B3613" s="23" t="s">
        <v>1056</v>
      </c>
      <c r="C3613" s="23" t="s">
        <v>176</v>
      </c>
      <c r="D3613" s="23" t="s">
        <v>238</v>
      </c>
      <c r="E3613" s="23" t="s">
        <v>306</v>
      </c>
      <c r="F3613">
        <v>2</v>
      </c>
      <c r="G3613" s="23" t="s">
        <v>177</v>
      </c>
      <c r="H3613">
        <v>2</v>
      </c>
      <c r="I3613">
        <v>455</v>
      </c>
      <c r="J3613" s="10">
        <v>23</v>
      </c>
      <c r="K3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613">
        <v>0</v>
      </c>
      <c r="M36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3">
        <v>20</v>
      </c>
      <c r="O3613" s="23"/>
      <c r="P3613">
        <v>40</v>
      </c>
      <c r="Q3613" s="23" t="s">
        <v>222</v>
      </c>
    </row>
    <row r="3614" spans="1:17" x14ac:dyDescent="0.25">
      <c r="A3614" s="23" t="s">
        <v>1148</v>
      </c>
      <c r="B3614" s="23" t="s">
        <v>1054</v>
      </c>
      <c r="C3614" s="23" t="s">
        <v>176</v>
      </c>
      <c r="D3614" s="23" t="s">
        <v>430</v>
      </c>
      <c r="E3614" s="23" t="s">
        <v>431</v>
      </c>
      <c r="F3614">
        <v>1</v>
      </c>
      <c r="G3614" s="23" t="s">
        <v>177</v>
      </c>
      <c r="H3614">
        <v>0</v>
      </c>
      <c r="I3614">
        <v>12</v>
      </c>
      <c r="J3614" s="10">
        <v>3</v>
      </c>
      <c r="K3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614">
        <v>0</v>
      </c>
      <c r="M36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4">
        <v>1678.88</v>
      </c>
      <c r="O3614" s="23" t="s">
        <v>637</v>
      </c>
      <c r="P3614">
        <v>1678.88</v>
      </c>
      <c r="Q3614" s="23" t="s">
        <v>179</v>
      </c>
    </row>
    <row r="3615" spans="1:17" x14ac:dyDescent="0.25">
      <c r="A3615" s="23" t="s">
        <v>1146</v>
      </c>
      <c r="B3615" s="23" t="s">
        <v>1145</v>
      </c>
      <c r="C3615" s="23" t="s">
        <v>176</v>
      </c>
      <c r="D3615" s="23" t="s">
        <v>343</v>
      </c>
      <c r="E3615" s="23" t="s">
        <v>344</v>
      </c>
      <c r="F3615">
        <v>0.05</v>
      </c>
      <c r="G3615" s="23" t="s">
        <v>177</v>
      </c>
      <c r="H3615">
        <v>0</v>
      </c>
      <c r="I3615">
        <v>2</v>
      </c>
      <c r="J3615" s="10">
        <v>1.1657341758564144E-15</v>
      </c>
      <c r="K3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615">
        <v>0</v>
      </c>
      <c r="M36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5">
        <v>1400</v>
      </c>
      <c r="O3615" s="23" t="s">
        <v>218</v>
      </c>
      <c r="P3615">
        <v>70</v>
      </c>
      <c r="Q3615" s="23" t="s">
        <v>184</v>
      </c>
    </row>
    <row r="3616" spans="1:17" x14ac:dyDescent="0.25">
      <c r="A3616" s="23" t="s">
        <v>1144</v>
      </c>
      <c r="B3616" s="23" t="s">
        <v>1145</v>
      </c>
      <c r="C3616" s="23" t="s">
        <v>176</v>
      </c>
      <c r="D3616" s="23" t="s">
        <v>343</v>
      </c>
      <c r="E3616" s="23" t="s">
        <v>344</v>
      </c>
      <c r="F3616">
        <v>0.05</v>
      </c>
      <c r="G3616" s="23" t="s">
        <v>177</v>
      </c>
      <c r="H3616">
        <v>0</v>
      </c>
      <c r="I3616">
        <v>2</v>
      </c>
      <c r="J3616" s="10">
        <v>1.1657341758564144E-15</v>
      </c>
      <c r="K3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616">
        <v>0</v>
      </c>
      <c r="M36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6">
        <v>1400</v>
      </c>
      <c r="O3616" s="23" t="s">
        <v>218</v>
      </c>
      <c r="P3616">
        <v>70</v>
      </c>
      <c r="Q3616" s="23" t="s">
        <v>184</v>
      </c>
    </row>
    <row r="3617" spans="1:17" x14ac:dyDescent="0.25">
      <c r="A3617" s="23" t="s">
        <v>1057</v>
      </c>
      <c r="B3617" s="23" t="s">
        <v>1056</v>
      </c>
      <c r="C3617" s="23" t="s">
        <v>176</v>
      </c>
      <c r="D3617" s="23" t="s">
        <v>124</v>
      </c>
      <c r="E3617" s="23" t="s">
        <v>634</v>
      </c>
      <c r="F3617">
        <v>0.2</v>
      </c>
      <c r="G3617" s="23" t="s">
        <v>180</v>
      </c>
      <c r="H3617">
        <v>0</v>
      </c>
      <c r="I3617">
        <v>200</v>
      </c>
      <c r="J3617" s="10">
        <v>1.1368683772161603E-13</v>
      </c>
      <c r="K3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3617">
        <v>0</v>
      </c>
      <c r="M36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7">
        <v>2.89</v>
      </c>
      <c r="O3617" s="23" t="s">
        <v>827</v>
      </c>
      <c r="P3617">
        <v>0.57800000000000007</v>
      </c>
      <c r="Q3617" s="23" t="s">
        <v>222</v>
      </c>
    </row>
    <row r="3618" spans="1:17" x14ac:dyDescent="0.25">
      <c r="A3618" s="23" t="s">
        <v>1144</v>
      </c>
      <c r="B3618" s="23" t="s">
        <v>1145</v>
      </c>
      <c r="C3618" s="23" t="s">
        <v>176</v>
      </c>
      <c r="D3618" s="23" t="s">
        <v>517</v>
      </c>
      <c r="E3618" s="23" t="s">
        <v>518</v>
      </c>
      <c r="F3618">
        <v>1.5</v>
      </c>
      <c r="G3618" s="23" t="s">
        <v>177</v>
      </c>
      <c r="H3618">
        <v>0</v>
      </c>
      <c r="I3618">
        <v>91</v>
      </c>
      <c r="J3618" s="10">
        <v>17.799999999999994</v>
      </c>
      <c r="K3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618">
        <v>0</v>
      </c>
      <c r="M36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8">
        <v>85</v>
      </c>
      <c r="O3618" s="23" t="s">
        <v>347</v>
      </c>
      <c r="P3618">
        <v>127.5</v>
      </c>
      <c r="Q3618" s="23" t="s">
        <v>181</v>
      </c>
    </row>
    <row r="3619" spans="1:17" x14ac:dyDescent="0.25">
      <c r="A3619" s="23" t="s">
        <v>1146</v>
      </c>
      <c r="B3619" s="23" t="s">
        <v>1145</v>
      </c>
      <c r="C3619" s="23" t="s">
        <v>176</v>
      </c>
      <c r="D3619" s="23" t="s">
        <v>517</v>
      </c>
      <c r="E3619" s="23" t="s">
        <v>518</v>
      </c>
      <c r="F3619">
        <v>1.5</v>
      </c>
      <c r="G3619" s="23" t="s">
        <v>177</v>
      </c>
      <c r="H3619">
        <v>1.5</v>
      </c>
      <c r="I3619">
        <v>91</v>
      </c>
      <c r="J3619" s="10">
        <v>17.799999999999994</v>
      </c>
      <c r="K3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619">
        <v>0</v>
      </c>
      <c r="M36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19">
        <v>85</v>
      </c>
      <c r="O3619" s="23" t="s">
        <v>347</v>
      </c>
      <c r="P3619">
        <v>127.5</v>
      </c>
      <c r="Q3619" s="23" t="s">
        <v>181</v>
      </c>
    </row>
    <row r="3620" spans="1:17" x14ac:dyDescent="0.25">
      <c r="A3620" s="23" t="s">
        <v>1062</v>
      </c>
      <c r="B3620" s="23" t="s">
        <v>1053</v>
      </c>
      <c r="C3620" s="23" t="s">
        <v>176</v>
      </c>
      <c r="D3620" s="23" t="s">
        <v>992</v>
      </c>
      <c r="E3620" s="23" t="s">
        <v>993</v>
      </c>
      <c r="F3620">
        <v>16</v>
      </c>
      <c r="G3620" s="23" t="s">
        <v>177</v>
      </c>
      <c r="H3620">
        <v>0</v>
      </c>
      <c r="I3620">
        <v>1000</v>
      </c>
      <c r="J3620" s="10">
        <v>3505</v>
      </c>
      <c r="K3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-914</v>
      </c>
      <c r="L3620">
        <v>0</v>
      </c>
      <c r="M36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0">
        <v>0.63</v>
      </c>
      <c r="O3620" s="23" t="s">
        <v>883</v>
      </c>
      <c r="P3620">
        <v>10.08</v>
      </c>
      <c r="Q3620" s="23" t="s">
        <v>181</v>
      </c>
    </row>
    <row r="3621" spans="1:17" x14ac:dyDescent="0.25">
      <c r="A3621" s="23" t="s">
        <v>1062</v>
      </c>
      <c r="B3621" s="23" t="s">
        <v>1053</v>
      </c>
      <c r="C3621" s="23" t="s">
        <v>176</v>
      </c>
      <c r="D3621" s="23" t="s">
        <v>1068</v>
      </c>
      <c r="E3621" s="23" t="s">
        <v>1069</v>
      </c>
      <c r="F3621">
        <v>16</v>
      </c>
      <c r="G3621" s="23" t="s">
        <v>177</v>
      </c>
      <c r="H3621">
        <v>0</v>
      </c>
      <c r="I3621">
        <v>0</v>
      </c>
      <c r="J3621" s="10">
        <v>0</v>
      </c>
      <c r="K3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621">
        <v>0</v>
      </c>
      <c r="M36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1">
        <v>0</v>
      </c>
      <c r="O3621" s="23"/>
      <c r="P3621">
        <v>0</v>
      </c>
      <c r="Q3621" s="23" t="s">
        <v>181</v>
      </c>
    </row>
    <row r="3622" spans="1:17" x14ac:dyDescent="0.25">
      <c r="A3622" s="23" t="s">
        <v>1144</v>
      </c>
      <c r="B3622" s="23" t="s">
        <v>1145</v>
      </c>
      <c r="C3622" s="23" t="s">
        <v>176</v>
      </c>
      <c r="D3622" s="23" t="s">
        <v>140</v>
      </c>
      <c r="E3622" s="23" t="s">
        <v>141</v>
      </c>
      <c r="F3622">
        <v>1.5</v>
      </c>
      <c r="G3622" s="23" t="s">
        <v>177</v>
      </c>
      <c r="H3622">
        <v>0</v>
      </c>
      <c r="I3622">
        <v>0</v>
      </c>
      <c r="J3622" s="10">
        <v>6.1000000000000014</v>
      </c>
      <c r="K3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622">
        <v>5</v>
      </c>
      <c r="M36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622">
        <v>688.2</v>
      </c>
      <c r="O3622" s="23" t="s">
        <v>673</v>
      </c>
      <c r="P3622">
        <v>1032.3000000000002</v>
      </c>
      <c r="Q3622" s="23" t="s">
        <v>185</v>
      </c>
    </row>
    <row r="3623" spans="1:17" x14ac:dyDescent="0.25">
      <c r="A3623" s="23" t="s">
        <v>1100</v>
      </c>
      <c r="B3623" s="23" t="s">
        <v>1101</v>
      </c>
      <c r="C3623" s="23" t="s">
        <v>176</v>
      </c>
      <c r="D3623" s="23" t="s">
        <v>121</v>
      </c>
      <c r="E3623" s="23" t="s">
        <v>312</v>
      </c>
      <c r="F3623">
        <v>2</v>
      </c>
      <c r="G3623" s="23" t="s">
        <v>177</v>
      </c>
      <c r="H3623">
        <v>0</v>
      </c>
      <c r="I3623">
        <v>24</v>
      </c>
      <c r="J3623" s="10">
        <v>18.499999999999972</v>
      </c>
      <c r="K3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3623">
        <v>0</v>
      </c>
      <c r="M36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3623">
        <v>120</v>
      </c>
      <c r="O3623" s="23" t="s">
        <v>242</v>
      </c>
      <c r="P3623">
        <v>240</v>
      </c>
      <c r="Q3623" s="23" t="s">
        <v>184</v>
      </c>
    </row>
    <row r="3624" spans="1:17" x14ac:dyDescent="0.25">
      <c r="A3624" s="23" t="s">
        <v>1055</v>
      </c>
      <c r="B3624" s="23" t="s">
        <v>1056</v>
      </c>
      <c r="C3624" s="23" t="s">
        <v>176</v>
      </c>
      <c r="D3624" s="23" t="s">
        <v>387</v>
      </c>
      <c r="E3624" s="23" t="s">
        <v>614</v>
      </c>
      <c r="F3624">
        <v>1</v>
      </c>
      <c r="G3624" s="23" t="s">
        <v>183</v>
      </c>
      <c r="H3624">
        <v>0</v>
      </c>
      <c r="I3624">
        <v>15.9</v>
      </c>
      <c r="J3624" s="10">
        <v>39.329999999999977</v>
      </c>
      <c r="K3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624">
        <v>11.895</v>
      </c>
      <c r="M36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4">
        <v>641.03</v>
      </c>
      <c r="O3624" s="23" t="s">
        <v>224</v>
      </c>
      <c r="P3624">
        <v>641.03</v>
      </c>
      <c r="Q3624" s="23" t="s">
        <v>182</v>
      </c>
    </row>
    <row r="3625" spans="1:17" x14ac:dyDescent="0.25">
      <c r="A3625" s="23" t="s">
        <v>1100</v>
      </c>
      <c r="B3625" s="23" t="s">
        <v>1101</v>
      </c>
      <c r="C3625" s="23" t="s">
        <v>176</v>
      </c>
      <c r="D3625" s="23" t="s">
        <v>837</v>
      </c>
      <c r="E3625" s="23" t="s">
        <v>838</v>
      </c>
      <c r="F3625">
        <v>20</v>
      </c>
      <c r="G3625" s="23" t="s">
        <v>180</v>
      </c>
      <c r="H3625">
        <v>0</v>
      </c>
      <c r="I3625">
        <v>0</v>
      </c>
      <c r="J3625" s="10">
        <v>0</v>
      </c>
      <c r="K3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625">
        <v>0</v>
      </c>
      <c r="M36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5">
        <v>0</v>
      </c>
      <c r="O3625" s="23"/>
      <c r="P3625">
        <v>0</v>
      </c>
      <c r="Q3625" s="23" t="s">
        <v>185</v>
      </c>
    </row>
    <row r="3626" spans="1:17" x14ac:dyDescent="0.25">
      <c r="A3626" s="23" t="s">
        <v>1149</v>
      </c>
      <c r="B3626" s="23" t="s">
        <v>1145</v>
      </c>
      <c r="C3626" s="23" t="s">
        <v>176</v>
      </c>
      <c r="D3626" s="23" t="s">
        <v>517</v>
      </c>
      <c r="E3626" s="23" t="s">
        <v>518</v>
      </c>
      <c r="F3626">
        <v>1.5</v>
      </c>
      <c r="G3626" s="23" t="s">
        <v>177</v>
      </c>
      <c r="H3626">
        <v>0</v>
      </c>
      <c r="I3626">
        <v>91</v>
      </c>
      <c r="J3626" s="10">
        <v>17.799999999999994</v>
      </c>
      <c r="K3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626">
        <v>0</v>
      </c>
      <c r="M36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26">
        <v>85</v>
      </c>
      <c r="O3626" s="23" t="s">
        <v>347</v>
      </c>
      <c r="P3626">
        <v>127.5</v>
      </c>
      <c r="Q3626" s="23" t="s">
        <v>181</v>
      </c>
    </row>
    <row r="3627" spans="1:17" x14ac:dyDescent="0.25">
      <c r="A3627" s="23" t="s">
        <v>1149</v>
      </c>
      <c r="B3627" s="23" t="s">
        <v>1145</v>
      </c>
      <c r="C3627" s="23" t="s">
        <v>176</v>
      </c>
      <c r="D3627" s="23" t="s">
        <v>146</v>
      </c>
      <c r="E3627" s="23" t="s">
        <v>147</v>
      </c>
      <c r="F3627">
        <v>3</v>
      </c>
      <c r="G3627" s="23" t="s">
        <v>177</v>
      </c>
      <c r="H3627">
        <v>0</v>
      </c>
      <c r="I3627">
        <v>0</v>
      </c>
      <c r="J3627" s="10">
        <v>-8.4376949871511897E-15</v>
      </c>
      <c r="K3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27">
        <v>4</v>
      </c>
      <c r="M36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27">
        <v>1041.6600000000001</v>
      </c>
      <c r="O3627" s="23" t="s">
        <v>224</v>
      </c>
      <c r="P3627">
        <v>3124.9800000000005</v>
      </c>
      <c r="Q3627" s="23" t="s">
        <v>182</v>
      </c>
    </row>
    <row r="3628" spans="1:17" x14ac:dyDescent="0.25">
      <c r="A3628" s="23" t="s">
        <v>1146</v>
      </c>
      <c r="B3628" s="23" t="s">
        <v>1145</v>
      </c>
      <c r="C3628" s="23" t="s">
        <v>176</v>
      </c>
      <c r="D3628" s="23" t="s">
        <v>146</v>
      </c>
      <c r="E3628" s="23" t="s">
        <v>147</v>
      </c>
      <c r="F3628">
        <v>3</v>
      </c>
      <c r="G3628" s="23" t="s">
        <v>177</v>
      </c>
      <c r="H3628">
        <v>0</v>
      </c>
      <c r="I3628">
        <v>0</v>
      </c>
      <c r="J3628" s="10">
        <v>-8.4376949871511897E-15</v>
      </c>
      <c r="K3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28">
        <v>4</v>
      </c>
      <c r="M36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28">
        <v>1041.6600000000001</v>
      </c>
      <c r="O3628" s="23" t="s">
        <v>224</v>
      </c>
      <c r="P3628">
        <v>3124.9800000000005</v>
      </c>
      <c r="Q3628" s="23" t="s">
        <v>182</v>
      </c>
    </row>
    <row r="3629" spans="1:17" x14ac:dyDescent="0.25">
      <c r="A3629" s="23" t="s">
        <v>1150</v>
      </c>
      <c r="B3629" s="23" t="s">
        <v>1145</v>
      </c>
      <c r="C3629" s="23" t="s">
        <v>176</v>
      </c>
      <c r="D3629" s="23" t="s">
        <v>140</v>
      </c>
      <c r="E3629" s="23" t="s">
        <v>141</v>
      </c>
      <c r="F3629">
        <v>1.5</v>
      </c>
      <c r="G3629" s="23" t="s">
        <v>177</v>
      </c>
      <c r="H3629">
        <v>0</v>
      </c>
      <c r="I3629">
        <v>0</v>
      </c>
      <c r="J3629" s="10">
        <v>6.1000000000000014</v>
      </c>
      <c r="K3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629">
        <v>5</v>
      </c>
      <c r="M36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629">
        <v>688.2</v>
      </c>
      <c r="O3629" s="23" t="s">
        <v>673</v>
      </c>
      <c r="P3629">
        <v>1032.3000000000002</v>
      </c>
      <c r="Q3629" s="23" t="s">
        <v>185</v>
      </c>
    </row>
    <row r="3630" spans="1:17" x14ac:dyDescent="0.25">
      <c r="A3630" s="23" t="s">
        <v>1147</v>
      </c>
      <c r="B3630" s="23" t="s">
        <v>1145</v>
      </c>
      <c r="C3630" s="23" t="s">
        <v>176</v>
      </c>
      <c r="D3630" s="23" t="s">
        <v>121</v>
      </c>
      <c r="E3630" s="23" t="s">
        <v>312</v>
      </c>
      <c r="F3630">
        <v>1.5</v>
      </c>
      <c r="G3630" s="23" t="s">
        <v>177</v>
      </c>
      <c r="H3630">
        <v>0</v>
      </c>
      <c r="I3630">
        <v>24</v>
      </c>
      <c r="J3630" s="10">
        <v>18.499999999999972</v>
      </c>
      <c r="K3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3630">
        <v>0</v>
      </c>
      <c r="M36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3630">
        <v>120</v>
      </c>
      <c r="O3630" s="23" t="s">
        <v>242</v>
      </c>
      <c r="P3630">
        <v>180</v>
      </c>
      <c r="Q3630" s="23" t="s">
        <v>184</v>
      </c>
    </row>
    <row r="3631" spans="1:17" x14ac:dyDescent="0.25">
      <c r="A3631" s="23" t="s">
        <v>1148</v>
      </c>
      <c r="B3631" s="23" t="s">
        <v>1054</v>
      </c>
      <c r="C3631" s="23" t="s">
        <v>176</v>
      </c>
      <c r="D3631" s="23" t="s">
        <v>121</v>
      </c>
      <c r="E3631" s="23" t="s">
        <v>312</v>
      </c>
      <c r="F3631">
        <v>1.7</v>
      </c>
      <c r="G3631" s="23" t="s">
        <v>177</v>
      </c>
      <c r="H3631">
        <v>0</v>
      </c>
      <c r="I3631">
        <v>24</v>
      </c>
      <c r="J3631" s="10">
        <v>18.499999999999972</v>
      </c>
      <c r="K3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3631">
        <v>0</v>
      </c>
      <c r="M36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3631">
        <v>120</v>
      </c>
      <c r="O3631" s="23" t="s">
        <v>242</v>
      </c>
      <c r="P3631">
        <v>204</v>
      </c>
      <c r="Q3631" s="23" t="s">
        <v>184</v>
      </c>
    </row>
    <row r="3632" spans="1:17" x14ac:dyDescent="0.25">
      <c r="A3632" s="23" t="s">
        <v>1058</v>
      </c>
      <c r="B3632" s="23" t="s">
        <v>1059</v>
      </c>
      <c r="C3632" s="23" t="s">
        <v>176</v>
      </c>
      <c r="D3632" s="23" t="s">
        <v>387</v>
      </c>
      <c r="E3632" s="23" t="s">
        <v>614</v>
      </c>
      <c r="F3632">
        <v>1</v>
      </c>
      <c r="G3632" s="23" t="s">
        <v>183</v>
      </c>
      <c r="H3632">
        <v>0</v>
      </c>
      <c r="I3632">
        <v>15.9</v>
      </c>
      <c r="J3632" s="10">
        <v>39.329999999999977</v>
      </c>
      <c r="K3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632">
        <v>11.895</v>
      </c>
      <c r="M36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2">
        <v>641.03</v>
      </c>
      <c r="O3632" s="23" t="s">
        <v>224</v>
      </c>
      <c r="P3632">
        <v>641.03</v>
      </c>
      <c r="Q3632" s="23" t="s">
        <v>182</v>
      </c>
    </row>
    <row r="3633" spans="1:17" x14ac:dyDescent="0.25">
      <c r="A3633" s="23" t="s">
        <v>1148</v>
      </c>
      <c r="B3633" s="23" t="s">
        <v>1054</v>
      </c>
      <c r="C3633" s="23" t="s">
        <v>176</v>
      </c>
      <c r="D3633" s="23" t="s">
        <v>387</v>
      </c>
      <c r="E3633" s="23" t="s">
        <v>614</v>
      </c>
      <c r="F3633">
        <v>1</v>
      </c>
      <c r="G3633" s="23" t="s">
        <v>183</v>
      </c>
      <c r="H3633">
        <v>0</v>
      </c>
      <c r="I3633">
        <v>15.9</v>
      </c>
      <c r="J3633" s="10">
        <v>39.329999999999977</v>
      </c>
      <c r="K3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3633">
        <v>11.895</v>
      </c>
      <c r="M36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3">
        <v>641.03</v>
      </c>
      <c r="O3633" s="23" t="s">
        <v>224</v>
      </c>
      <c r="P3633">
        <v>641.03</v>
      </c>
      <c r="Q3633" s="23" t="s">
        <v>182</v>
      </c>
    </row>
    <row r="3634" spans="1:17" x14ac:dyDescent="0.25">
      <c r="A3634" s="23" t="s">
        <v>1147</v>
      </c>
      <c r="B3634" s="23" t="s">
        <v>1145</v>
      </c>
      <c r="C3634" s="23" t="s">
        <v>176</v>
      </c>
      <c r="D3634" s="23" t="s">
        <v>837</v>
      </c>
      <c r="E3634" s="23" t="s">
        <v>838</v>
      </c>
      <c r="F3634">
        <v>120</v>
      </c>
      <c r="G3634" s="23" t="s">
        <v>180</v>
      </c>
      <c r="H3634">
        <v>0</v>
      </c>
      <c r="I3634">
        <v>0</v>
      </c>
      <c r="J3634" s="10">
        <v>0</v>
      </c>
      <c r="K3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634">
        <v>0</v>
      </c>
      <c r="M36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4">
        <v>0</v>
      </c>
      <c r="O3634" s="23"/>
      <c r="P3634">
        <v>0</v>
      </c>
      <c r="Q3634" s="23" t="s">
        <v>185</v>
      </c>
    </row>
    <row r="3635" spans="1:17" x14ac:dyDescent="0.25">
      <c r="A3635" s="23" t="s">
        <v>1148</v>
      </c>
      <c r="B3635" s="23" t="s">
        <v>1054</v>
      </c>
      <c r="C3635" s="23" t="s">
        <v>176</v>
      </c>
      <c r="D3635" s="23" t="s">
        <v>837</v>
      </c>
      <c r="E3635" s="23" t="s">
        <v>838</v>
      </c>
      <c r="F3635">
        <v>120</v>
      </c>
      <c r="G3635" s="23" t="s">
        <v>180</v>
      </c>
      <c r="H3635">
        <v>0</v>
      </c>
      <c r="I3635">
        <v>0</v>
      </c>
      <c r="J3635" s="10">
        <v>0</v>
      </c>
      <c r="K3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3635">
        <v>0</v>
      </c>
      <c r="M36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5">
        <v>0</v>
      </c>
      <c r="O3635" s="23"/>
      <c r="P3635">
        <v>0</v>
      </c>
      <c r="Q3635" s="23" t="s">
        <v>185</v>
      </c>
    </row>
    <row r="3636" spans="1:17" x14ac:dyDescent="0.25">
      <c r="A3636" s="23" t="s">
        <v>1055</v>
      </c>
      <c r="B3636" s="23" t="s">
        <v>1056</v>
      </c>
      <c r="C3636" s="23" t="s">
        <v>176</v>
      </c>
      <c r="D3636" s="23" t="s">
        <v>953</v>
      </c>
      <c r="E3636" s="23" t="s">
        <v>954</v>
      </c>
      <c r="F3636">
        <v>2</v>
      </c>
      <c r="G3636" s="23" t="s">
        <v>177</v>
      </c>
      <c r="H3636">
        <v>0</v>
      </c>
      <c r="I3636">
        <v>48</v>
      </c>
      <c r="J3636" s="10">
        <v>2</v>
      </c>
      <c r="K3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</v>
      </c>
      <c r="L3636">
        <v>0</v>
      </c>
      <c r="M36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6">
        <v>428.46</v>
      </c>
      <c r="O3636" s="23" t="s">
        <v>637</v>
      </c>
      <c r="P3636">
        <v>856.92</v>
      </c>
      <c r="Q3636" s="23" t="s">
        <v>179</v>
      </c>
    </row>
    <row r="3637" spans="1:17" x14ac:dyDescent="0.25">
      <c r="A3637" s="23" t="s">
        <v>1147</v>
      </c>
      <c r="B3637" s="23" t="s">
        <v>1145</v>
      </c>
      <c r="C3637" s="23" t="s">
        <v>176</v>
      </c>
      <c r="D3637" s="23" t="s">
        <v>320</v>
      </c>
      <c r="E3637" s="23" t="s">
        <v>321</v>
      </c>
      <c r="F3637">
        <v>0.13</v>
      </c>
      <c r="G3637" s="23" t="s">
        <v>187</v>
      </c>
      <c r="H3637">
        <v>0</v>
      </c>
      <c r="I3637">
        <v>0</v>
      </c>
      <c r="J3637" s="10">
        <v>4.543000000000017</v>
      </c>
      <c r="K3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3637">
        <v>0</v>
      </c>
      <c r="M36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3637">
        <v>19500</v>
      </c>
      <c r="O3637" s="23" t="s">
        <v>763</v>
      </c>
      <c r="P3637">
        <v>2535</v>
      </c>
      <c r="Q3637" s="23" t="s">
        <v>182</v>
      </c>
    </row>
    <row r="3638" spans="1:17" x14ac:dyDescent="0.25">
      <c r="A3638" s="23" t="s">
        <v>1148</v>
      </c>
      <c r="B3638" s="23" t="s">
        <v>1054</v>
      </c>
      <c r="C3638" s="23" t="s">
        <v>176</v>
      </c>
      <c r="D3638" s="23" t="s">
        <v>320</v>
      </c>
      <c r="E3638" s="23" t="s">
        <v>321</v>
      </c>
      <c r="F3638">
        <v>0.124</v>
      </c>
      <c r="G3638" s="23" t="s">
        <v>187</v>
      </c>
      <c r="H3638">
        <v>0</v>
      </c>
      <c r="I3638">
        <v>0</v>
      </c>
      <c r="J3638" s="10">
        <v>4.543000000000017</v>
      </c>
      <c r="K3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3638">
        <v>0</v>
      </c>
      <c r="M36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3638">
        <v>19500</v>
      </c>
      <c r="O3638" s="23" t="s">
        <v>763</v>
      </c>
      <c r="P3638">
        <v>2418</v>
      </c>
      <c r="Q3638" s="23" t="s">
        <v>182</v>
      </c>
    </row>
    <row r="3639" spans="1:17" x14ac:dyDescent="0.25">
      <c r="A3639" s="23" t="s">
        <v>1098</v>
      </c>
      <c r="B3639" s="23" t="s">
        <v>1053</v>
      </c>
      <c r="C3639" s="23" t="s">
        <v>176</v>
      </c>
      <c r="D3639" s="23" t="s">
        <v>695</v>
      </c>
      <c r="E3639" s="23" t="s">
        <v>696</v>
      </c>
      <c r="F3639">
        <v>2</v>
      </c>
      <c r="G3639" s="23" t="s">
        <v>177</v>
      </c>
      <c r="H3639">
        <v>0</v>
      </c>
      <c r="I3639">
        <v>6</v>
      </c>
      <c r="J3639" s="10">
        <v>4</v>
      </c>
      <c r="K3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639">
        <v>0</v>
      </c>
      <c r="M36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39">
        <v>260</v>
      </c>
      <c r="O3639" s="23" t="s">
        <v>227</v>
      </c>
      <c r="P3639">
        <v>520</v>
      </c>
      <c r="Q3639" s="23" t="s">
        <v>181</v>
      </c>
    </row>
    <row r="3640" spans="1:17" x14ac:dyDescent="0.25">
      <c r="A3640" s="23" t="s">
        <v>1197</v>
      </c>
      <c r="B3640" s="23" t="s">
        <v>1198</v>
      </c>
      <c r="C3640" s="23" t="s">
        <v>176</v>
      </c>
      <c r="D3640" s="23" t="s">
        <v>203</v>
      </c>
      <c r="E3640" s="23" t="s">
        <v>204</v>
      </c>
      <c r="F3640">
        <v>0.10100000000000001</v>
      </c>
      <c r="G3640" s="23" t="s">
        <v>180</v>
      </c>
      <c r="H3640">
        <v>0</v>
      </c>
      <c r="I3640">
        <v>50</v>
      </c>
      <c r="J3640" s="10">
        <v>5.5511151231257827E-17</v>
      </c>
      <c r="K3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640">
        <v>0</v>
      </c>
      <c r="M36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0">
        <v>10.61</v>
      </c>
      <c r="O3640" s="23" t="s">
        <v>237</v>
      </c>
      <c r="P3640">
        <v>1.07161</v>
      </c>
      <c r="Q3640" s="23" t="s">
        <v>222</v>
      </c>
    </row>
    <row r="3641" spans="1:17" x14ac:dyDescent="0.25">
      <c r="A3641" s="23" t="s">
        <v>1098</v>
      </c>
      <c r="B3641" s="23" t="s">
        <v>1053</v>
      </c>
      <c r="C3641" s="23" t="s">
        <v>176</v>
      </c>
      <c r="D3641" s="23" t="s">
        <v>203</v>
      </c>
      <c r="E3641" s="23" t="s">
        <v>204</v>
      </c>
      <c r="F3641">
        <v>0.2</v>
      </c>
      <c r="G3641" s="23" t="s">
        <v>180</v>
      </c>
      <c r="H3641">
        <v>0</v>
      </c>
      <c r="I3641">
        <v>50</v>
      </c>
      <c r="J3641" s="10">
        <v>5.5511151231257827E-17</v>
      </c>
      <c r="K3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641">
        <v>0</v>
      </c>
      <c r="M36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1">
        <v>10.61</v>
      </c>
      <c r="O3641" s="23" t="s">
        <v>237</v>
      </c>
      <c r="P3641">
        <v>2.1219999999999999</v>
      </c>
      <c r="Q3641" s="23" t="s">
        <v>222</v>
      </c>
    </row>
    <row r="3642" spans="1:17" x14ac:dyDescent="0.25">
      <c r="A3642" s="23" t="s">
        <v>1197</v>
      </c>
      <c r="B3642" s="23" t="s">
        <v>1198</v>
      </c>
      <c r="C3642" s="23" t="s">
        <v>176</v>
      </c>
      <c r="D3642" s="23" t="s">
        <v>517</v>
      </c>
      <c r="E3642" s="23" t="s">
        <v>518</v>
      </c>
      <c r="F3642">
        <v>1.5</v>
      </c>
      <c r="G3642" s="23" t="s">
        <v>177</v>
      </c>
      <c r="H3642">
        <v>0</v>
      </c>
      <c r="I3642">
        <v>91</v>
      </c>
      <c r="J3642" s="10">
        <v>17.799999999999994</v>
      </c>
      <c r="K3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642">
        <v>0</v>
      </c>
      <c r="M36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2">
        <v>85</v>
      </c>
      <c r="O3642" s="23" t="s">
        <v>347</v>
      </c>
      <c r="P3642">
        <v>127.5</v>
      </c>
      <c r="Q3642" s="23" t="s">
        <v>181</v>
      </c>
    </row>
    <row r="3643" spans="1:17" x14ac:dyDescent="0.25">
      <c r="A3643" s="23" t="s">
        <v>1062</v>
      </c>
      <c r="B3643" s="23" t="s">
        <v>1053</v>
      </c>
      <c r="C3643" s="23" t="s">
        <v>176</v>
      </c>
      <c r="D3643" s="23" t="s">
        <v>146</v>
      </c>
      <c r="E3643" s="23" t="s">
        <v>147</v>
      </c>
      <c r="F3643">
        <v>2</v>
      </c>
      <c r="G3643" s="23" t="s">
        <v>177</v>
      </c>
      <c r="H3643">
        <v>0</v>
      </c>
      <c r="I3643">
        <v>0</v>
      </c>
      <c r="J3643" s="10">
        <v>-8.4376949871511897E-15</v>
      </c>
      <c r="K3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43">
        <v>4</v>
      </c>
      <c r="M36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43">
        <v>1041.6600000000001</v>
      </c>
      <c r="O3643" s="23" t="s">
        <v>224</v>
      </c>
      <c r="P3643">
        <v>2083.3200000000002</v>
      </c>
      <c r="Q3643" s="23" t="s">
        <v>182</v>
      </c>
    </row>
    <row r="3644" spans="1:17" x14ac:dyDescent="0.25">
      <c r="A3644" s="23" t="s">
        <v>1098</v>
      </c>
      <c r="B3644" s="23" t="s">
        <v>1053</v>
      </c>
      <c r="C3644" s="23" t="s">
        <v>176</v>
      </c>
      <c r="D3644" s="23" t="s">
        <v>146</v>
      </c>
      <c r="E3644" s="23" t="s">
        <v>147</v>
      </c>
      <c r="F3644">
        <v>5</v>
      </c>
      <c r="G3644" s="23" t="s">
        <v>177</v>
      </c>
      <c r="H3644">
        <v>0</v>
      </c>
      <c r="I3644">
        <v>0</v>
      </c>
      <c r="J3644" s="10">
        <v>-8.4376949871511897E-15</v>
      </c>
      <c r="K3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644">
        <v>4</v>
      </c>
      <c r="M36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644">
        <v>1041.6600000000001</v>
      </c>
      <c r="O3644" s="23" t="s">
        <v>224</v>
      </c>
      <c r="P3644">
        <v>5208.3</v>
      </c>
      <c r="Q3644" s="23" t="s">
        <v>182</v>
      </c>
    </row>
    <row r="3645" spans="1:17" x14ac:dyDescent="0.25">
      <c r="A3645" s="23" t="s">
        <v>1098</v>
      </c>
      <c r="B3645" s="23" t="s">
        <v>1053</v>
      </c>
      <c r="C3645" s="23" t="s">
        <v>176</v>
      </c>
      <c r="D3645" s="23" t="s">
        <v>555</v>
      </c>
      <c r="E3645" s="23" t="s">
        <v>556</v>
      </c>
      <c r="F3645">
        <v>10</v>
      </c>
      <c r="G3645" s="23" t="s">
        <v>177</v>
      </c>
      <c r="H3645">
        <v>0</v>
      </c>
      <c r="I3645">
        <v>2080</v>
      </c>
      <c r="J3645" s="10">
        <v>84</v>
      </c>
      <c r="K3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645">
        <v>0</v>
      </c>
      <c r="M36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5">
        <v>0.28999999999999998</v>
      </c>
      <c r="O3645" s="23"/>
      <c r="P3645">
        <v>2.9</v>
      </c>
      <c r="Q3645" s="23" t="s">
        <v>181</v>
      </c>
    </row>
    <row r="3646" spans="1:17" x14ac:dyDescent="0.25">
      <c r="A3646" s="23" t="s">
        <v>1062</v>
      </c>
      <c r="B3646" s="23" t="s">
        <v>1053</v>
      </c>
      <c r="C3646" s="23" t="s">
        <v>176</v>
      </c>
      <c r="D3646" s="23" t="s">
        <v>681</v>
      </c>
      <c r="E3646" s="23" t="s">
        <v>682</v>
      </c>
      <c r="F3646">
        <v>1</v>
      </c>
      <c r="G3646" s="23" t="s">
        <v>177</v>
      </c>
      <c r="H3646">
        <v>1</v>
      </c>
      <c r="I3646">
        <v>11</v>
      </c>
      <c r="J3646" s="10">
        <v>3</v>
      </c>
      <c r="K3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646">
        <v>0</v>
      </c>
      <c r="M36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6">
        <v>252</v>
      </c>
      <c r="O3646" s="23" t="s">
        <v>248</v>
      </c>
      <c r="P3646">
        <v>252</v>
      </c>
      <c r="Q3646" s="23" t="s">
        <v>181</v>
      </c>
    </row>
    <row r="3647" spans="1:17" x14ac:dyDescent="0.25">
      <c r="A3647" s="23" t="s">
        <v>1057</v>
      </c>
      <c r="B3647" s="23" t="s">
        <v>1056</v>
      </c>
      <c r="C3647" s="23" t="s">
        <v>176</v>
      </c>
      <c r="D3647" s="23" t="s">
        <v>501</v>
      </c>
      <c r="E3647" s="23" t="s">
        <v>502</v>
      </c>
      <c r="F3647">
        <v>4</v>
      </c>
      <c r="G3647" s="23" t="s">
        <v>180</v>
      </c>
      <c r="H3647">
        <v>0</v>
      </c>
      <c r="I3647">
        <v>0</v>
      </c>
      <c r="J3647" s="10">
        <v>27</v>
      </c>
      <c r="K3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647">
        <v>0</v>
      </c>
      <c r="M36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647">
        <v>13</v>
      </c>
      <c r="O3647" s="23"/>
      <c r="P3647">
        <v>52</v>
      </c>
      <c r="Q3647" s="23" t="s">
        <v>222</v>
      </c>
    </row>
    <row r="3648" spans="1:17" x14ac:dyDescent="0.25">
      <c r="A3648" s="23" t="s">
        <v>1143</v>
      </c>
      <c r="B3648" s="23" t="s">
        <v>1054</v>
      </c>
      <c r="C3648" s="23" t="s">
        <v>176</v>
      </c>
      <c r="D3648" s="23" t="s">
        <v>501</v>
      </c>
      <c r="E3648" s="23" t="s">
        <v>502</v>
      </c>
      <c r="F3648">
        <v>1.5</v>
      </c>
      <c r="G3648" s="23" t="s">
        <v>180</v>
      </c>
      <c r="H3648">
        <v>0</v>
      </c>
      <c r="I3648">
        <v>0</v>
      </c>
      <c r="J3648" s="10">
        <v>27</v>
      </c>
      <c r="K3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648">
        <v>0</v>
      </c>
      <c r="M36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648">
        <v>13</v>
      </c>
      <c r="O3648" s="23"/>
      <c r="P3648">
        <v>19.5</v>
      </c>
      <c r="Q3648" s="23" t="s">
        <v>222</v>
      </c>
    </row>
    <row r="3649" spans="1:17" x14ac:dyDescent="0.25">
      <c r="A3649" s="23" t="s">
        <v>1144</v>
      </c>
      <c r="B3649" s="23" t="s">
        <v>1145</v>
      </c>
      <c r="C3649" s="23" t="s">
        <v>176</v>
      </c>
      <c r="D3649" s="23" t="s">
        <v>551</v>
      </c>
      <c r="E3649" s="23" t="s">
        <v>552</v>
      </c>
      <c r="F3649">
        <v>2</v>
      </c>
      <c r="G3649" s="23" t="s">
        <v>177</v>
      </c>
      <c r="H3649">
        <v>0</v>
      </c>
      <c r="I3649">
        <v>35</v>
      </c>
      <c r="J3649" s="10">
        <v>14</v>
      </c>
      <c r="K3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649">
        <v>15</v>
      </c>
      <c r="M36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49">
        <v>43.75</v>
      </c>
      <c r="O3649" s="23" t="s">
        <v>491</v>
      </c>
      <c r="P3649">
        <v>87.5</v>
      </c>
      <c r="Q3649" s="23" t="s">
        <v>181</v>
      </c>
    </row>
    <row r="3650" spans="1:17" x14ac:dyDescent="0.25">
      <c r="A3650" s="23" t="s">
        <v>1146</v>
      </c>
      <c r="B3650" s="23" t="s">
        <v>1145</v>
      </c>
      <c r="C3650" s="23" t="s">
        <v>176</v>
      </c>
      <c r="D3650" s="23" t="s">
        <v>551</v>
      </c>
      <c r="E3650" s="23" t="s">
        <v>552</v>
      </c>
      <c r="F3650">
        <v>2</v>
      </c>
      <c r="G3650" s="23" t="s">
        <v>177</v>
      </c>
      <c r="H3650">
        <v>0</v>
      </c>
      <c r="I3650">
        <v>35</v>
      </c>
      <c r="J3650" s="10">
        <v>14</v>
      </c>
      <c r="K3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650">
        <v>15</v>
      </c>
      <c r="M36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0">
        <v>43.75</v>
      </c>
      <c r="O3650" s="23" t="s">
        <v>491</v>
      </c>
      <c r="P3650">
        <v>87.5</v>
      </c>
      <c r="Q3650" s="23" t="s">
        <v>181</v>
      </c>
    </row>
    <row r="3651" spans="1:17" x14ac:dyDescent="0.25">
      <c r="A3651" s="23" t="s">
        <v>1197</v>
      </c>
      <c r="B3651" s="23" t="s">
        <v>1198</v>
      </c>
      <c r="C3651" s="23" t="s">
        <v>176</v>
      </c>
      <c r="D3651" s="23" t="s">
        <v>97</v>
      </c>
      <c r="E3651" s="23" t="s">
        <v>98</v>
      </c>
      <c r="F3651">
        <v>1</v>
      </c>
      <c r="G3651" s="23" t="s">
        <v>177</v>
      </c>
      <c r="H3651">
        <v>0</v>
      </c>
      <c r="I3651">
        <v>0</v>
      </c>
      <c r="J3651" s="10">
        <v>5</v>
      </c>
      <c r="K3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651">
        <v>7</v>
      </c>
      <c r="M36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1">
        <v>1491.67</v>
      </c>
      <c r="O3651" s="23" t="s">
        <v>633</v>
      </c>
      <c r="P3651">
        <v>1491.67</v>
      </c>
      <c r="Q3651" s="23" t="s">
        <v>178</v>
      </c>
    </row>
    <row r="3652" spans="1:17" x14ac:dyDescent="0.25">
      <c r="A3652" s="23" t="s">
        <v>1062</v>
      </c>
      <c r="B3652" s="23" t="s">
        <v>1053</v>
      </c>
      <c r="C3652" s="23" t="s">
        <v>176</v>
      </c>
      <c r="D3652" s="23" t="s">
        <v>943</v>
      </c>
      <c r="E3652" s="23" t="s">
        <v>944</v>
      </c>
      <c r="F3652">
        <v>1</v>
      </c>
      <c r="G3652" s="23" t="s">
        <v>177</v>
      </c>
      <c r="H3652">
        <v>0</v>
      </c>
      <c r="I3652">
        <v>0</v>
      </c>
      <c r="J3652" s="10">
        <v>0</v>
      </c>
      <c r="K3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3652">
        <v>0</v>
      </c>
      <c r="M36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3652">
        <v>38</v>
      </c>
      <c r="O3652" s="23" t="s">
        <v>242</v>
      </c>
      <c r="P3652">
        <v>38</v>
      </c>
      <c r="Q3652" s="23" t="s">
        <v>184</v>
      </c>
    </row>
    <row r="3653" spans="1:17" x14ac:dyDescent="0.25">
      <c r="A3653" s="23" t="s">
        <v>1062</v>
      </c>
      <c r="B3653" s="23" t="s">
        <v>1053</v>
      </c>
      <c r="C3653" s="23" t="s">
        <v>176</v>
      </c>
      <c r="D3653" s="23" t="s">
        <v>501</v>
      </c>
      <c r="E3653" s="23" t="s">
        <v>502</v>
      </c>
      <c r="F3653">
        <v>1.5</v>
      </c>
      <c r="G3653" s="23" t="s">
        <v>180</v>
      </c>
      <c r="H3653">
        <v>0</v>
      </c>
      <c r="I3653">
        <v>0</v>
      </c>
      <c r="J3653" s="10">
        <v>27</v>
      </c>
      <c r="K3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653">
        <v>0</v>
      </c>
      <c r="M36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653">
        <v>13</v>
      </c>
      <c r="O3653" s="23"/>
      <c r="P3653">
        <v>19.5</v>
      </c>
      <c r="Q3653" s="23" t="s">
        <v>222</v>
      </c>
    </row>
    <row r="3654" spans="1:17" x14ac:dyDescent="0.25">
      <c r="A3654" s="23" t="s">
        <v>1146</v>
      </c>
      <c r="B3654" s="23" t="s">
        <v>1145</v>
      </c>
      <c r="C3654" s="23" t="s">
        <v>176</v>
      </c>
      <c r="D3654" s="23" t="s">
        <v>409</v>
      </c>
      <c r="E3654" s="23" t="s">
        <v>410</v>
      </c>
      <c r="F3654">
        <v>14</v>
      </c>
      <c r="G3654" s="23" t="s">
        <v>177</v>
      </c>
      <c r="H3654">
        <v>0</v>
      </c>
      <c r="I3654">
        <v>2700</v>
      </c>
      <c r="J3654" s="10">
        <v>0</v>
      </c>
      <c r="K3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654">
        <v>0</v>
      </c>
      <c r="M36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4">
        <v>1.55</v>
      </c>
      <c r="O3654" s="23" t="s">
        <v>221</v>
      </c>
      <c r="P3654">
        <v>21.7</v>
      </c>
      <c r="Q3654" s="23" t="s">
        <v>222</v>
      </c>
    </row>
    <row r="3655" spans="1:17" x14ac:dyDescent="0.25">
      <c r="A3655" s="23" t="s">
        <v>1097</v>
      </c>
      <c r="B3655" s="23" t="s">
        <v>1095</v>
      </c>
      <c r="C3655" s="23" t="s">
        <v>176</v>
      </c>
      <c r="D3655" s="23" t="s">
        <v>100</v>
      </c>
      <c r="E3655" s="23" t="s">
        <v>101</v>
      </c>
      <c r="F3655">
        <v>30.519999999999996</v>
      </c>
      <c r="G3655" s="23" t="s">
        <v>186</v>
      </c>
      <c r="H3655">
        <v>0</v>
      </c>
      <c r="I3655">
        <v>289.7</v>
      </c>
      <c r="J3655" s="10">
        <v>148.12000000000032</v>
      </c>
      <c r="K3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655">
        <v>289.7</v>
      </c>
      <c r="M36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5">
        <v>96.37</v>
      </c>
      <c r="O3655" s="23" t="s">
        <v>491</v>
      </c>
      <c r="P3655">
        <v>2941.2123999999999</v>
      </c>
      <c r="Q3655" s="23" t="s">
        <v>184</v>
      </c>
    </row>
    <row r="3656" spans="1:17" x14ac:dyDescent="0.25">
      <c r="A3656" s="23" t="s">
        <v>1062</v>
      </c>
      <c r="B3656" s="23" t="s">
        <v>1053</v>
      </c>
      <c r="C3656" s="23" t="s">
        <v>176</v>
      </c>
      <c r="D3656" s="23" t="s">
        <v>100</v>
      </c>
      <c r="E3656" s="23" t="s">
        <v>101</v>
      </c>
      <c r="F3656">
        <v>36.03</v>
      </c>
      <c r="G3656" s="23" t="s">
        <v>186</v>
      </c>
      <c r="H3656">
        <v>36.03</v>
      </c>
      <c r="I3656">
        <v>289.7</v>
      </c>
      <c r="J3656" s="10">
        <v>148.12000000000032</v>
      </c>
      <c r="K3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656">
        <v>289.7</v>
      </c>
      <c r="M36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6">
        <v>96.37</v>
      </c>
      <c r="O3656" s="23" t="s">
        <v>491</v>
      </c>
      <c r="P3656">
        <v>3472.2111000000004</v>
      </c>
      <c r="Q3656" s="23" t="s">
        <v>184</v>
      </c>
    </row>
    <row r="3657" spans="1:17" x14ac:dyDescent="0.25">
      <c r="A3657" s="23" t="s">
        <v>1098</v>
      </c>
      <c r="B3657" s="23" t="s">
        <v>1053</v>
      </c>
      <c r="C3657" s="23" t="s">
        <v>176</v>
      </c>
      <c r="D3657" s="23" t="s">
        <v>501</v>
      </c>
      <c r="E3657" s="23" t="s">
        <v>502</v>
      </c>
      <c r="F3657">
        <v>1.5</v>
      </c>
      <c r="G3657" s="23" t="s">
        <v>180</v>
      </c>
      <c r="H3657">
        <v>0</v>
      </c>
      <c r="I3657">
        <v>0</v>
      </c>
      <c r="J3657" s="10">
        <v>27</v>
      </c>
      <c r="K3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657">
        <v>0</v>
      </c>
      <c r="M36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657">
        <v>13</v>
      </c>
      <c r="O3657" s="23"/>
      <c r="P3657">
        <v>19.5</v>
      </c>
      <c r="Q3657" s="23" t="s">
        <v>222</v>
      </c>
    </row>
    <row r="3658" spans="1:17" x14ac:dyDescent="0.25">
      <c r="A3658" s="23" t="s">
        <v>1197</v>
      </c>
      <c r="B3658" s="23" t="s">
        <v>1198</v>
      </c>
      <c r="C3658" s="23" t="s">
        <v>176</v>
      </c>
      <c r="D3658" s="23" t="s">
        <v>551</v>
      </c>
      <c r="E3658" s="23" t="s">
        <v>552</v>
      </c>
      <c r="F3658">
        <v>2</v>
      </c>
      <c r="G3658" s="23" t="s">
        <v>177</v>
      </c>
      <c r="H3658">
        <v>0</v>
      </c>
      <c r="I3658">
        <v>35</v>
      </c>
      <c r="J3658" s="10">
        <v>14</v>
      </c>
      <c r="K3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658">
        <v>15</v>
      </c>
      <c r="M36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8">
        <v>43.75</v>
      </c>
      <c r="O3658" s="23" t="s">
        <v>491</v>
      </c>
      <c r="P3658">
        <v>87.5</v>
      </c>
      <c r="Q3658" s="23" t="s">
        <v>181</v>
      </c>
    </row>
    <row r="3659" spans="1:17" x14ac:dyDescent="0.25">
      <c r="A3659" s="23" t="s">
        <v>1098</v>
      </c>
      <c r="B3659" s="23" t="s">
        <v>1053</v>
      </c>
      <c r="C3659" s="23" t="s">
        <v>176</v>
      </c>
      <c r="D3659" s="23" t="s">
        <v>551</v>
      </c>
      <c r="E3659" s="23" t="s">
        <v>552</v>
      </c>
      <c r="F3659">
        <v>2</v>
      </c>
      <c r="G3659" s="23" t="s">
        <v>177</v>
      </c>
      <c r="H3659">
        <v>0</v>
      </c>
      <c r="I3659">
        <v>35</v>
      </c>
      <c r="J3659" s="10">
        <v>14</v>
      </c>
      <c r="K3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659">
        <v>15</v>
      </c>
      <c r="M36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59">
        <v>43.75</v>
      </c>
      <c r="O3659" s="23" t="s">
        <v>491</v>
      </c>
      <c r="P3659">
        <v>87.5</v>
      </c>
      <c r="Q3659" s="23" t="s">
        <v>181</v>
      </c>
    </row>
    <row r="3660" spans="1:17" x14ac:dyDescent="0.25">
      <c r="A3660" s="23" t="s">
        <v>1098</v>
      </c>
      <c r="B3660" s="23" t="s">
        <v>1053</v>
      </c>
      <c r="C3660" s="23" t="s">
        <v>176</v>
      </c>
      <c r="D3660" s="23" t="s">
        <v>341</v>
      </c>
      <c r="E3660" s="23" t="s">
        <v>342</v>
      </c>
      <c r="F3660">
        <v>2.19</v>
      </c>
      <c r="G3660" s="23" t="s">
        <v>177</v>
      </c>
      <c r="H3660">
        <v>0</v>
      </c>
      <c r="I3660">
        <v>75</v>
      </c>
      <c r="J3660" s="10">
        <v>42.700000000000159</v>
      </c>
      <c r="K3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660">
        <v>0</v>
      </c>
      <c r="M36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0">
        <v>15</v>
      </c>
      <c r="O3660" s="23" t="s">
        <v>242</v>
      </c>
      <c r="P3660">
        <v>32.85</v>
      </c>
      <c r="Q3660" s="23" t="s">
        <v>181</v>
      </c>
    </row>
    <row r="3661" spans="1:17" x14ac:dyDescent="0.25">
      <c r="A3661" s="23" t="s">
        <v>1197</v>
      </c>
      <c r="B3661" s="23" t="s">
        <v>1198</v>
      </c>
      <c r="C3661" s="23" t="s">
        <v>176</v>
      </c>
      <c r="D3661" s="23" t="s">
        <v>107</v>
      </c>
      <c r="E3661" s="23" t="s">
        <v>108</v>
      </c>
      <c r="F3661">
        <v>1</v>
      </c>
      <c r="G3661" s="23" t="s">
        <v>177</v>
      </c>
      <c r="H3661">
        <v>0</v>
      </c>
      <c r="I3661">
        <v>9</v>
      </c>
      <c r="J3661" s="10">
        <v>8</v>
      </c>
      <c r="K3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661">
        <v>5</v>
      </c>
      <c r="M36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1">
        <v>1200</v>
      </c>
      <c r="O3661" s="23" t="s">
        <v>218</v>
      </c>
      <c r="P3661">
        <v>1200</v>
      </c>
      <c r="Q3661" s="23" t="s">
        <v>179</v>
      </c>
    </row>
    <row r="3662" spans="1:17" x14ac:dyDescent="0.25">
      <c r="A3662" s="23" t="s">
        <v>1098</v>
      </c>
      <c r="B3662" s="23" t="s">
        <v>1053</v>
      </c>
      <c r="C3662" s="23" t="s">
        <v>176</v>
      </c>
      <c r="D3662" s="23" t="s">
        <v>751</v>
      </c>
      <c r="E3662" s="23" t="s">
        <v>752</v>
      </c>
      <c r="F3662">
        <v>16</v>
      </c>
      <c r="G3662" s="23" t="s">
        <v>177</v>
      </c>
      <c r="H3662">
        <v>0</v>
      </c>
      <c r="I3662">
        <v>0</v>
      </c>
      <c r="J3662" s="10">
        <v>0</v>
      </c>
      <c r="K3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662">
        <v>0</v>
      </c>
      <c r="M36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662">
        <v>1.75</v>
      </c>
      <c r="O3662" s="23" t="s">
        <v>242</v>
      </c>
      <c r="P3662">
        <v>28</v>
      </c>
      <c r="Q3662" s="23" t="s">
        <v>181</v>
      </c>
    </row>
    <row r="3663" spans="1:17" x14ac:dyDescent="0.25">
      <c r="A3663" s="23" t="s">
        <v>1197</v>
      </c>
      <c r="B3663" s="23" t="s">
        <v>1198</v>
      </c>
      <c r="C3663" s="23" t="s">
        <v>176</v>
      </c>
      <c r="D3663" s="23" t="s">
        <v>751</v>
      </c>
      <c r="E3663" s="23" t="s">
        <v>752</v>
      </c>
      <c r="F3663">
        <v>12</v>
      </c>
      <c r="G3663" s="23" t="s">
        <v>177</v>
      </c>
      <c r="H3663">
        <v>0</v>
      </c>
      <c r="I3663">
        <v>0</v>
      </c>
      <c r="J3663" s="10">
        <v>0</v>
      </c>
      <c r="K3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3663">
        <v>0</v>
      </c>
      <c r="M36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3663">
        <v>1.75</v>
      </c>
      <c r="O3663" s="23" t="s">
        <v>242</v>
      </c>
      <c r="P3663">
        <v>21</v>
      </c>
      <c r="Q3663" s="23" t="s">
        <v>181</v>
      </c>
    </row>
    <row r="3664" spans="1:17" x14ac:dyDescent="0.25">
      <c r="A3664" s="23" t="s">
        <v>1143</v>
      </c>
      <c r="B3664" s="23" t="s">
        <v>1054</v>
      </c>
      <c r="C3664" s="23" t="s">
        <v>176</v>
      </c>
      <c r="D3664" s="23" t="s">
        <v>100</v>
      </c>
      <c r="E3664" s="23" t="s">
        <v>101</v>
      </c>
      <c r="F3664">
        <v>32.92</v>
      </c>
      <c r="G3664" s="23" t="s">
        <v>186</v>
      </c>
      <c r="H3664">
        <v>0</v>
      </c>
      <c r="I3664">
        <v>289.7</v>
      </c>
      <c r="J3664" s="10">
        <v>148.12000000000032</v>
      </c>
      <c r="K3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664">
        <v>289.7</v>
      </c>
      <c r="M36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4">
        <v>96.37</v>
      </c>
      <c r="O3664" s="23" t="s">
        <v>491</v>
      </c>
      <c r="P3664">
        <v>3172.5004000000004</v>
      </c>
      <c r="Q3664" s="23" t="s">
        <v>184</v>
      </c>
    </row>
    <row r="3665" spans="1:17" x14ac:dyDescent="0.25">
      <c r="A3665" s="23" t="s">
        <v>1094</v>
      </c>
      <c r="B3665" s="23" t="s">
        <v>1095</v>
      </c>
      <c r="C3665" s="23" t="s">
        <v>176</v>
      </c>
      <c r="D3665" s="23" t="s">
        <v>100</v>
      </c>
      <c r="E3665" s="23" t="s">
        <v>101</v>
      </c>
      <c r="F3665">
        <v>30.519999999999996</v>
      </c>
      <c r="G3665" s="23" t="s">
        <v>186</v>
      </c>
      <c r="H3665">
        <v>0</v>
      </c>
      <c r="I3665">
        <v>289.7</v>
      </c>
      <c r="J3665" s="10">
        <v>148.12000000000032</v>
      </c>
      <c r="K3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3665">
        <v>289.7</v>
      </c>
      <c r="M36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5">
        <v>96.37</v>
      </c>
      <c r="O3665" s="23" t="s">
        <v>491</v>
      </c>
      <c r="P3665">
        <v>2941.2123999999999</v>
      </c>
      <c r="Q3665" s="23" t="s">
        <v>184</v>
      </c>
    </row>
    <row r="3666" spans="1:17" x14ac:dyDescent="0.25">
      <c r="A3666" s="23" t="s">
        <v>1094</v>
      </c>
      <c r="B3666" s="23" t="s">
        <v>1095</v>
      </c>
      <c r="C3666" s="23" t="s">
        <v>176</v>
      </c>
      <c r="D3666" s="23" t="s">
        <v>102</v>
      </c>
      <c r="E3666" s="23" t="s">
        <v>103</v>
      </c>
      <c r="F3666">
        <v>2.9299999999999997</v>
      </c>
      <c r="G3666" s="23" t="s">
        <v>186</v>
      </c>
      <c r="H3666">
        <v>0</v>
      </c>
      <c r="I3666">
        <v>66</v>
      </c>
      <c r="J3666" s="10">
        <v>36.350000000000151</v>
      </c>
      <c r="K3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666">
        <v>0</v>
      </c>
      <c r="M36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66">
        <v>129.63</v>
      </c>
      <c r="O3666" s="23" t="s">
        <v>242</v>
      </c>
      <c r="P3666">
        <v>379.81589999999994</v>
      </c>
      <c r="Q3666" s="23" t="s">
        <v>184</v>
      </c>
    </row>
    <row r="3667" spans="1:17" x14ac:dyDescent="0.25">
      <c r="A3667" s="23" t="s">
        <v>1143</v>
      </c>
      <c r="B3667" s="23" t="s">
        <v>1054</v>
      </c>
      <c r="C3667" s="23" t="s">
        <v>176</v>
      </c>
      <c r="D3667" s="23" t="s">
        <v>943</v>
      </c>
      <c r="E3667" s="23" t="s">
        <v>944</v>
      </c>
      <c r="F3667">
        <v>1</v>
      </c>
      <c r="G3667" s="23" t="s">
        <v>177</v>
      </c>
      <c r="H3667">
        <v>0</v>
      </c>
      <c r="I3667">
        <v>0</v>
      </c>
      <c r="J3667" s="10">
        <v>0</v>
      </c>
      <c r="K3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7.5</v>
      </c>
      <c r="L3667">
        <v>0</v>
      </c>
      <c r="M36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285</v>
      </c>
      <c r="N3667">
        <v>38</v>
      </c>
      <c r="O3667" s="23" t="s">
        <v>242</v>
      </c>
      <c r="P3667">
        <v>38</v>
      </c>
      <c r="Q3667" s="23" t="s">
        <v>184</v>
      </c>
    </row>
    <row r="3668" spans="1:17" x14ac:dyDescent="0.25">
      <c r="A3668" s="23" t="s">
        <v>1094</v>
      </c>
      <c r="B3668" s="23" t="s">
        <v>1095</v>
      </c>
      <c r="C3668" s="23" t="s">
        <v>176</v>
      </c>
      <c r="D3668" s="23" t="s">
        <v>501</v>
      </c>
      <c r="E3668" s="23" t="s">
        <v>502</v>
      </c>
      <c r="F3668">
        <v>1.5</v>
      </c>
      <c r="G3668" s="23" t="s">
        <v>180</v>
      </c>
      <c r="H3668">
        <v>0</v>
      </c>
      <c r="I3668">
        <v>0</v>
      </c>
      <c r="J3668" s="10">
        <v>27</v>
      </c>
      <c r="K3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668">
        <v>0</v>
      </c>
      <c r="M36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668">
        <v>13</v>
      </c>
      <c r="O3668" s="23"/>
      <c r="P3668">
        <v>19.5</v>
      </c>
      <c r="Q3668" s="23" t="s">
        <v>222</v>
      </c>
    </row>
    <row r="3669" spans="1:17" x14ac:dyDescent="0.25">
      <c r="A3669" s="23" t="s">
        <v>1096</v>
      </c>
      <c r="B3669" s="23" t="s">
        <v>1053</v>
      </c>
      <c r="C3669" s="23" t="s">
        <v>176</v>
      </c>
      <c r="D3669" s="23" t="s">
        <v>501</v>
      </c>
      <c r="E3669" s="23" t="s">
        <v>502</v>
      </c>
      <c r="F3669">
        <v>1.5</v>
      </c>
      <c r="G3669" s="23" t="s">
        <v>180</v>
      </c>
      <c r="H3669">
        <v>0</v>
      </c>
      <c r="I3669">
        <v>0</v>
      </c>
      <c r="J3669" s="10">
        <v>27</v>
      </c>
      <c r="K3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30.5</v>
      </c>
      <c r="L3669">
        <v>0</v>
      </c>
      <c r="M36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</v>
      </c>
      <c r="N3669">
        <v>13</v>
      </c>
      <c r="O3669" s="23"/>
      <c r="P3669">
        <v>19.5</v>
      </c>
      <c r="Q3669" s="23" t="s">
        <v>222</v>
      </c>
    </row>
    <row r="3670" spans="1:17" x14ac:dyDescent="0.25">
      <c r="A3670" s="23" t="s">
        <v>1057</v>
      </c>
      <c r="B3670" s="23" t="s">
        <v>1056</v>
      </c>
      <c r="C3670" s="23" t="s">
        <v>176</v>
      </c>
      <c r="D3670" s="23" t="s">
        <v>409</v>
      </c>
      <c r="E3670" s="23" t="s">
        <v>410</v>
      </c>
      <c r="F3670">
        <v>24</v>
      </c>
      <c r="G3670" s="23" t="s">
        <v>177</v>
      </c>
      <c r="H3670">
        <v>0</v>
      </c>
      <c r="I3670">
        <v>2700</v>
      </c>
      <c r="J3670" s="10">
        <v>0</v>
      </c>
      <c r="K3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670">
        <v>0</v>
      </c>
      <c r="M36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0">
        <v>1.55</v>
      </c>
      <c r="O3670" s="23" t="s">
        <v>221</v>
      </c>
      <c r="P3670">
        <v>37.200000000000003</v>
      </c>
      <c r="Q3670" s="23" t="s">
        <v>222</v>
      </c>
    </row>
    <row r="3671" spans="1:17" x14ac:dyDescent="0.25">
      <c r="A3671" s="23" t="s">
        <v>1096</v>
      </c>
      <c r="B3671" s="23" t="s">
        <v>1053</v>
      </c>
      <c r="C3671" s="23" t="s">
        <v>176</v>
      </c>
      <c r="D3671" s="23" t="s">
        <v>409</v>
      </c>
      <c r="E3671" s="23" t="s">
        <v>410</v>
      </c>
      <c r="F3671">
        <v>24</v>
      </c>
      <c r="G3671" s="23" t="s">
        <v>177</v>
      </c>
      <c r="H3671">
        <v>0</v>
      </c>
      <c r="I3671">
        <v>2700</v>
      </c>
      <c r="J3671" s="10">
        <v>0</v>
      </c>
      <c r="K3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671">
        <v>0</v>
      </c>
      <c r="M36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1">
        <v>1.55</v>
      </c>
      <c r="O3671" s="23" t="s">
        <v>221</v>
      </c>
      <c r="P3671">
        <v>37.200000000000003</v>
      </c>
      <c r="Q3671" s="23" t="s">
        <v>222</v>
      </c>
    </row>
    <row r="3672" spans="1:17" x14ac:dyDescent="0.25">
      <c r="A3672" s="23" t="s">
        <v>1094</v>
      </c>
      <c r="B3672" s="23" t="s">
        <v>1095</v>
      </c>
      <c r="C3672" s="23" t="s">
        <v>176</v>
      </c>
      <c r="D3672" s="23" t="s">
        <v>409</v>
      </c>
      <c r="E3672" s="23" t="s">
        <v>410</v>
      </c>
      <c r="F3672">
        <v>26</v>
      </c>
      <c r="G3672" s="23" t="s">
        <v>177</v>
      </c>
      <c r="H3672">
        <v>0</v>
      </c>
      <c r="I3672">
        <v>2700</v>
      </c>
      <c r="J3672" s="10">
        <v>0</v>
      </c>
      <c r="K3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672">
        <v>0</v>
      </c>
      <c r="M36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2">
        <v>1.55</v>
      </c>
      <c r="O3672" s="23" t="s">
        <v>221</v>
      </c>
      <c r="P3672">
        <v>40.300000000000004</v>
      </c>
      <c r="Q3672" s="23" t="s">
        <v>222</v>
      </c>
    </row>
    <row r="3673" spans="1:17" x14ac:dyDescent="0.25">
      <c r="A3673" s="23" t="s">
        <v>1062</v>
      </c>
      <c r="B3673" s="23" t="s">
        <v>1053</v>
      </c>
      <c r="C3673" s="23" t="s">
        <v>176</v>
      </c>
      <c r="D3673" s="23" t="s">
        <v>409</v>
      </c>
      <c r="E3673" s="23" t="s">
        <v>410</v>
      </c>
      <c r="F3673">
        <v>24</v>
      </c>
      <c r="G3673" s="23" t="s">
        <v>177</v>
      </c>
      <c r="H3673">
        <v>0</v>
      </c>
      <c r="I3673">
        <v>2700</v>
      </c>
      <c r="J3673" s="10">
        <v>0</v>
      </c>
      <c r="K3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673">
        <v>0</v>
      </c>
      <c r="M36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3">
        <v>1.55</v>
      </c>
      <c r="O3673" s="23" t="s">
        <v>221</v>
      </c>
      <c r="P3673">
        <v>37.200000000000003</v>
      </c>
      <c r="Q3673" s="23" t="s">
        <v>222</v>
      </c>
    </row>
    <row r="3674" spans="1:17" x14ac:dyDescent="0.25">
      <c r="A3674" s="23" t="s">
        <v>1057</v>
      </c>
      <c r="B3674" s="23" t="s">
        <v>1056</v>
      </c>
      <c r="C3674" s="23" t="s">
        <v>176</v>
      </c>
      <c r="D3674" s="23" t="s">
        <v>841</v>
      </c>
      <c r="E3674" s="23" t="s">
        <v>842</v>
      </c>
      <c r="F3674">
        <v>5</v>
      </c>
      <c r="G3674" s="23" t="s">
        <v>180</v>
      </c>
      <c r="H3674">
        <v>0</v>
      </c>
      <c r="I3674">
        <v>0</v>
      </c>
      <c r="J3674" s="10">
        <v>165</v>
      </c>
      <c r="K3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674">
        <v>400</v>
      </c>
      <c r="M36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4">
        <v>5</v>
      </c>
      <c r="O3674" s="23" t="s">
        <v>225</v>
      </c>
      <c r="P3674">
        <v>25</v>
      </c>
      <c r="Q3674" s="23" t="s">
        <v>181</v>
      </c>
    </row>
    <row r="3675" spans="1:17" x14ac:dyDescent="0.25">
      <c r="A3675" s="23" t="s">
        <v>1143</v>
      </c>
      <c r="B3675" s="23" t="s">
        <v>1054</v>
      </c>
      <c r="C3675" s="23" t="s">
        <v>176</v>
      </c>
      <c r="D3675" s="23" t="s">
        <v>841</v>
      </c>
      <c r="E3675" s="23" t="s">
        <v>842</v>
      </c>
      <c r="F3675">
        <v>5</v>
      </c>
      <c r="G3675" s="23" t="s">
        <v>180</v>
      </c>
      <c r="H3675">
        <v>0</v>
      </c>
      <c r="I3675">
        <v>0</v>
      </c>
      <c r="J3675" s="10">
        <v>165</v>
      </c>
      <c r="K3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675">
        <v>400</v>
      </c>
      <c r="M36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5">
        <v>5</v>
      </c>
      <c r="O3675" s="23" t="s">
        <v>225</v>
      </c>
      <c r="P3675">
        <v>25</v>
      </c>
      <c r="Q3675" s="23" t="s">
        <v>181</v>
      </c>
    </row>
    <row r="3676" spans="1:17" x14ac:dyDescent="0.25">
      <c r="A3676" s="23" t="s">
        <v>1149</v>
      </c>
      <c r="B3676" s="23" t="s">
        <v>1145</v>
      </c>
      <c r="C3676" s="23" t="s">
        <v>176</v>
      </c>
      <c r="D3676" s="23" t="s">
        <v>841</v>
      </c>
      <c r="E3676" s="23" t="s">
        <v>842</v>
      </c>
      <c r="F3676">
        <v>5</v>
      </c>
      <c r="G3676" s="23" t="s">
        <v>180</v>
      </c>
      <c r="H3676">
        <v>0</v>
      </c>
      <c r="I3676">
        <v>0</v>
      </c>
      <c r="J3676" s="10">
        <v>165</v>
      </c>
      <c r="K3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676">
        <v>400</v>
      </c>
      <c r="M36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6">
        <v>5</v>
      </c>
      <c r="O3676" s="23" t="s">
        <v>225</v>
      </c>
      <c r="P3676">
        <v>25</v>
      </c>
      <c r="Q3676" s="23" t="s">
        <v>181</v>
      </c>
    </row>
    <row r="3677" spans="1:17" x14ac:dyDescent="0.25">
      <c r="A3677" s="23" t="s">
        <v>1149</v>
      </c>
      <c r="B3677" s="23" t="s">
        <v>1145</v>
      </c>
      <c r="C3677" s="23" t="s">
        <v>176</v>
      </c>
      <c r="D3677" s="23" t="s">
        <v>160</v>
      </c>
      <c r="E3677" s="23" t="s">
        <v>161</v>
      </c>
      <c r="F3677">
        <v>0.25</v>
      </c>
      <c r="G3677" s="23" t="s">
        <v>180</v>
      </c>
      <c r="H3677">
        <v>0</v>
      </c>
      <c r="I3677">
        <v>52</v>
      </c>
      <c r="J3677" s="10">
        <v>38.620000000000054</v>
      </c>
      <c r="K3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77">
        <v>0</v>
      </c>
      <c r="M36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7">
        <v>126.36</v>
      </c>
      <c r="O3677" s="23" t="s">
        <v>620</v>
      </c>
      <c r="P3677">
        <v>31.59</v>
      </c>
      <c r="Q3677" s="23" t="s">
        <v>179</v>
      </c>
    </row>
    <row r="3678" spans="1:17" x14ac:dyDescent="0.25">
      <c r="A3678" s="23" t="s">
        <v>1150</v>
      </c>
      <c r="B3678" s="23" t="s">
        <v>1145</v>
      </c>
      <c r="C3678" s="23" t="s">
        <v>176</v>
      </c>
      <c r="D3678" s="23" t="s">
        <v>5</v>
      </c>
      <c r="E3678" s="23" t="s">
        <v>6</v>
      </c>
      <c r="F3678">
        <v>4.0999999999999996</v>
      </c>
      <c r="G3678" s="23" t="s">
        <v>180</v>
      </c>
      <c r="H3678">
        <v>0</v>
      </c>
      <c r="I3678">
        <v>100</v>
      </c>
      <c r="J3678" s="10">
        <v>1.9999999999998863</v>
      </c>
      <c r="K3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678">
        <v>0</v>
      </c>
      <c r="M36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8">
        <v>111</v>
      </c>
      <c r="O3678" s="23" t="s">
        <v>827</v>
      </c>
      <c r="P3678">
        <v>455.09999999999997</v>
      </c>
      <c r="Q3678" s="23" t="s">
        <v>222</v>
      </c>
    </row>
    <row r="3679" spans="1:17" x14ac:dyDescent="0.25">
      <c r="A3679" s="23" t="s">
        <v>1149</v>
      </c>
      <c r="B3679" s="23" t="s">
        <v>1145</v>
      </c>
      <c r="C3679" s="23" t="s">
        <v>176</v>
      </c>
      <c r="D3679" s="23" t="s">
        <v>205</v>
      </c>
      <c r="E3679" s="23" t="s">
        <v>206</v>
      </c>
      <c r="F3679">
        <v>0.5</v>
      </c>
      <c r="G3679" s="23" t="s">
        <v>177</v>
      </c>
      <c r="H3679">
        <v>0</v>
      </c>
      <c r="I3679">
        <v>100</v>
      </c>
      <c r="J3679" s="10">
        <v>41</v>
      </c>
      <c r="K3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679">
        <v>0</v>
      </c>
      <c r="M36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79">
        <v>60</v>
      </c>
      <c r="O3679" s="23" t="s">
        <v>221</v>
      </c>
      <c r="P3679">
        <v>30</v>
      </c>
      <c r="Q3679" s="23" t="s">
        <v>181</v>
      </c>
    </row>
    <row r="3680" spans="1:17" x14ac:dyDescent="0.25">
      <c r="A3680" s="23" t="s">
        <v>1097</v>
      </c>
      <c r="B3680" s="23" t="s">
        <v>1095</v>
      </c>
      <c r="C3680" s="23" t="s">
        <v>176</v>
      </c>
      <c r="D3680" s="23" t="s">
        <v>99</v>
      </c>
      <c r="E3680" s="23" t="s">
        <v>250</v>
      </c>
      <c r="F3680">
        <v>5</v>
      </c>
      <c r="G3680" s="23" t="s">
        <v>177</v>
      </c>
      <c r="H3680">
        <v>0</v>
      </c>
      <c r="I3680">
        <v>230</v>
      </c>
      <c r="J3680" s="10">
        <v>72</v>
      </c>
      <c r="K3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680">
        <v>0</v>
      </c>
      <c r="M36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0">
        <v>225</v>
      </c>
      <c r="O3680" s="23" t="s">
        <v>826</v>
      </c>
      <c r="P3680">
        <v>1125</v>
      </c>
      <c r="Q3680" s="23" t="s">
        <v>178</v>
      </c>
    </row>
    <row r="3681" spans="1:17" x14ac:dyDescent="0.25">
      <c r="A3681" s="23" t="s">
        <v>1150</v>
      </c>
      <c r="B3681" s="23" t="s">
        <v>1145</v>
      </c>
      <c r="C3681" s="23" t="s">
        <v>176</v>
      </c>
      <c r="D3681" s="23" t="s">
        <v>160</v>
      </c>
      <c r="E3681" s="23" t="s">
        <v>161</v>
      </c>
      <c r="F3681">
        <v>0.25</v>
      </c>
      <c r="G3681" s="23" t="s">
        <v>180</v>
      </c>
      <c r="H3681">
        <v>0</v>
      </c>
      <c r="I3681">
        <v>52</v>
      </c>
      <c r="J3681" s="10">
        <v>38.620000000000054</v>
      </c>
      <c r="K3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81">
        <v>0</v>
      </c>
      <c r="M36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1">
        <v>126.36</v>
      </c>
      <c r="O3681" s="23" t="s">
        <v>620</v>
      </c>
      <c r="P3681">
        <v>31.59</v>
      </c>
      <c r="Q3681" s="23" t="s">
        <v>179</v>
      </c>
    </row>
    <row r="3682" spans="1:17" x14ac:dyDescent="0.25">
      <c r="A3682" s="23" t="s">
        <v>1150</v>
      </c>
      <c r="B3682" s="23" t="s">
        <v>1145</v>
      </c>
      <c r="C3682" s="23" t="s">
        <v>176</v>
      </c>
      <c r="D3682" s="23" t="s">
        <v>205</v>
      </c>
      <c r="E3682" s="23" t="s">
        <v>206</v>
      </c>
      <c r="F3682">
        <v>0.5</v>
      </c>
      <c r="G3682" s="23" t="s">
        <v>177</v>
      </c>
      <c r="H3682">
        <v>0</v>
      </c>
      <c r="I3682">
        <v>100</v>
      </c>
      <c r="J3682" s="10">
        <v>41</v>
      </c>
      <c r="K3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682">
        <v>0</v>
      </c>
      <c r="M36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2">
        <v>60</v>
      </c>
      <c r="O3682" s="23" t="s">
        <v>221</v>
      </c>
      <c r="P3682">
        <v>30</v>
      </c>
      <c r="Q3682" s="23" t="s">
        <v>181</v>
      </c>
    </row>
    <row r="3683" spans="1:17" x14ac:dyDescent="0.25">
      <c r="A3683" s="23" t="s">
        <v>1150</v>
      </c>
      <c r="B3683" s="23" t="s">
        <v>1145</v>
      </c>
      <c r="C3683" s="23" t="s">
        <v>176</v>
      </c>
      <c r="D3683" s="23" t="s">
        <v>207</v>
      </c>
      <c r="E3683" s="23" t="s">
        <v>282</v>
      </c>
      <c r="F3683">
        <v>1.5099999999999998</v>
      </c>
      <c r="G3683" s="23" t="s">
        <v>177</v>
      </c>
      <c r="H3683">
        <v>0</v>
      </c>
      <c r="I3683">
        <v>20</v>
      </c>
      <c r="J3683" s="10">
        <v>116.66400000000021</v>
      </c>
      <c r="K3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683">
        <v>0</v>
      </c>
      <c r="M36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3">
        <v>185</v>
      </c>
      <c r="O3683" s="23" t="s">
        <v>242</v>
      </c>
      <c r="P3683">
        <v>279.34999999999997</v>
      </c>
      <c r="Q3683" s="23" t="s">
        <v>181</v>
      </c>
    </row>
    <row r="3684" spans="1:17" x14ac:dyDescent="0.25">
      <c r="A3684" s="23" t="s">
        <v>1098</v>
      </c>
      <c r="B3684" s="23" t="s">
        <v>1053</v>
      </c>
      <c r="C3684" s="23" t="s">
        <v>176</v>
      </c>
      <c r="D3684" s="23" t="s">
        <v>841</v>
      </c>
      <c r="E3684" s="23" t="s">
        <v>842</v>
      </c>
      <c r="F3684">
        <v>5</v>
      </c>
      <c r="G3684" s="23" t="s">
        <v>180</v>
      </c>
      <c r="H3684">
        <v>0</v>
      </c>
      <c r="I3684">
        <v>0</v>
      </c>
      <c r="J3684" s="10">
        <v>165</v>
      </c>
      <c r="K3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684">
        <v>400</v>
      </c>
      <c r="M36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4">
        <v>5</v>
      </c>
      <c r="O3684" s="23" t="s">
        <v>225</v>
      </c>
      <c r="P3684">
        <v>25</v>
      </c>
      <c r="Q3684" s="23" t="s">
        <v>181</v>
      </c>
    </row>
    <row r="3685" spans="1:17" x14ac:dyDescent="0.25">
      <c r="A3685" s="23" t="s">
        <v>1098</v>
      </c>
      <c r="B3685" s="23" t="s">
        <v>1053</v>
      </c>
      <c r="C3685" s="23" t="s">
        <v>176</v>
      </c>
      <c r="D3685" s="23" t="s">
        <v>160</v>
      </c>
      <c r="E3685" s="23" t="s">
        <v>161</v>
      </c>
      <c r="F3685">
        <v>0.23</v>
      </c>
      <c r="G3685" s="23" t="s">
        <v>180</v>
      </c>
      <c r="H3685">
        <v>0</v>
      </c>
      <c r="I3685">
        <v>52</v>
      </c>
      <c r="J3685" s="10">
        <v>38.620000000000054</v>
      </c>
      <c r="K3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85">
        <v>0</v>
      </c>
      <c r="M36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5">
        <v>126.36</v>
      </c>
      <c r="O3685" s="23" t="s">
        <v>620</v>
      </c>
      <c r="P3685">
        <v>29.062800000000003</v>
      </c>
      <c r="Q3685" s="23" t="s">
        <v>179</v>
      </c>
    </row>
    <row r="3686" spans="1:17" x14ac:dyDescent="0.25">
      <c r="A3686" s="23" t="s">
        <v>1142</v>
      </c>
      <c r="B3686" s="23" t="s">
        <v>1054</v>
      </c>
      <c r="C3686" s="23" t="s">
        <v>176</v>
      </c>
      <c r="D3686" s="23" t="s">
        <v>142</v>
      </c>
      <c r="E3686" s="23" t="s">
        <v>143</v>
      </c>
      <c r="F3686">
        <v>16</v>
      </c>
      <c r="G3686" s="23" t="s">
        <v>177</v>
      </c>
      <c r="H3686">
        <v>0</v>
      </c>
      <c r="I3686">
        <v>150</v>
      </c>
      <c r="J3686" s="10">
        <v>0</v>
      </c>
      <c r="K3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686">
        <v>0</v>
      </c>
      <c r="M36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686">
        <v>27.75</v>
      </c>
      <c r="O3686" s="23" t="s">
        <v>743</v>
      </c>
      <c r="P3686">
        <v>444</v>
      </c>
      <c r="Q3686" s="23" t="s">
        <v>185</v>
      </c>
    </row>
    <row r="3687" spans="1:17" x14ac:dyDescent="0.25">
      <c r="A3687" s="23" t="s">
        <v>1142</v>
      </c>
      <c r="B3687" s="23" t="s">
        <v>1054</v>
      </c>
      <c r="C3687" s="23" t="s">
        <v>176</v>
      </c>
      <c r="D3687" s="23" t="s">
        <v>841</v>
      </c>
      <c r="E3687" s="23" t="s">
        <v>842</v>
      </c>
      <c r="F3687">
        <v>5</v>
      </c>
      <c r="G3687" s="23" t="s">
        <v>180</v>
      </c>
      <c r="H3687">
        <v>0</v>
      </c>
      <c r="I3687">
        <v>0</v>
      </c>
      <c r="J3687" s="10">
        <v>165</v>
      </c>
      <c r="K3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687">
        <v>400</v>
      </c>
      <c r="M36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7">
        <v>5</v>
      </c>
      <c r="O3687" s="23" t="s">
        <v>225</v>
      </c>
      <c r="P3687">
        <v>25</v>
      </c>
      <c r="Q3687" s="23" t="s">
        <v>181</v>
      </c>
    </row>
    <row r="3688" spans="1:17" x14ac:dyDescent="0.25">
      <c r="A3688" s="23" t="s">
        <v>1142</v>
      </c>
      <c r="B3688" s="23" t="s">
        <v>1054</v>
      </c>
      <c r="C3688" s="23" t="s">
        <v>176</v>
      </c>
      <c r="D3688" s="23" t="s">
        <v>160</v>
      </c>
      <c r="E3688" s="23" t="s">
        <v>161</v>
      </c>
      <c r="F3688">
        <v>0.25</v>
      </c>
      <c r="G3688" s="23" t="s">
        <v>180</v>
      </c>
      <c r="H3688">
        <v>0</v>
      </c>
      <c r="I3688">
        <v>52</v>
      </c>
      <c r="J3688" s="10">
        <v>38.620000000000054</v>
      </c>
      <c r="K3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88">
        <v>0</v>
      </c>
      <c r="M36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8">
        <v>126.36</v>
      </c>
      <c r="O3688" s="23" t="s">
        <v>620</v>
      </c>
      <c r="P3688">
        <v>31.59</v>
      </c>
      <c r="Q3688" s="23" t="s">
        <v>179</v>
      </c>
    </row>
    <row r="3689" spans="1:17" x14ac:dyDescent="0.25">
      <c r="A3689" s="23" t="s">
        <v>1097</v>
      </c>
      <c r="B3689" s="23" t="s">
        <v>1095</v>
      </c>
      <c r="C3689" s="23" t="s">
        <v>176</v>
      </c>
      <c r="D3689" s="23" t="s">
        <v>419</v>
      </c>
      <c r="E3689" s="23" t="s">
        <v>1225</v>
      </c>
      <c r="F3689">
        <v>4</v>
      </c>
      <c r="G3689" s="23" t="s">
        <v>177</v>
      </c>
      <c r="H3689">
        <v>0</v>
      </c>
      <c r="I3689">
        <v>148</v>
      </c>
      <c r="J3689" s="10">
        <v>59</v>
      </c>
      <c r="K3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689">
        <v>0</v>
      </c>
      <c r="M36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89">
        <v>24.17</v>
      </c>
      <c r="O3689" s="23" t="s">
        <v>629</v>
      </c>
      <c r="P3689">
        <v>96.68</v>
      </c>
      <c r="Q3689" s="23" t="s">
        <v>181</v>
      </c>
    </row>
    <row r="3690" spans="1:17" x14ac:dyDescent="0.25">
      <c r="A3690" s="23" t="s">
        <v>1143</v>
      </c>
      <c r="B3690" s="23" t="s">
        <v>1054</v>
      </c>
      <c r="C3690" s="23" t="s">
        <v>176</v>
      </c>
      <c r="D3690" s="23" t="s">
        <v>99</v>
      </c>
      <c r="E3690" s="23" t="s">
        <v>250</v>
      </c>
      <c r="F3690">
        <v>6</v>
      </c>
      <c r="G3690" s="23" t="s">
        <v>177</v>
      </c>
      <c r="H3690">
        <v>0</v>
      </c>
      <c r="I3690">
        <v>230</v>
      </c>
      <c r="J3690" s="10">
        <v>72</v>
      </c>
      <c r="K3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3690">
        <v>0</v>
      </c>
      <c r="M36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0">
        <v>225</v>
      </c>
      <c r="O3690" s="23" t="s">
        <v>826</v>
      </c>
      <c r="P3690">
        <v>1350</v>
      </c>
      <c r="Q3690" s="23" t="s">
        <v>178</v>
      </c>
    </row>
    <row r="3691" spans="1:17" x14ac:dyDescent="0.25">
      <c r="A3691" s="23" t="s">
        <v>1142</v>
      </c>
      <c r="B3691" s="23" t="s">
        <v>1054</v>
      </c>
      <c r="C3691" s="23" t="s">
        <v>176</v>
      </c>
      <c r="D3691" s="23" t="s">
        <v>104</v>
      </c>
      <c r="E3691" s="23" t="s">
        <v>290</v>
      </c>
      <c r="F3691">
        <v>1</v>
      </c>
      <c r="G3691" s="23" t="s">
        <v>177</v>
      </c>
      <c r="H3691">
        <v>0</v>
      </c>
      <c r="I3691">
        <v>87</v>
      </c>
      <c r="J3691" s="10">
        <v>50.899999999999949</v>
      </c>
      <c r="K3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691">
        <v>0</v>
      </c>
      <c r="M36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1">
        <v>122.09</v>
      </c>
      <c r="O3691" s="23" t="s">
        <v>252</v>
      </c>
      <c r="P3691">
        <v>122.09</v>
      </c>
      <c r="Q3691" s="23" t="s">
        <v>181</v>
      </c>
    </row>
    <row r="3692" spans="1:17" x14ac:dyDescent="0.25">
      <c r="A3692" s="23" t="s">
        <v>1096</v>
      </c>
      <c r="B3692" s="23" t="s">
        <v>1053</v>
      </c>
      <c r="C3692" s="23" t="s">
        <v>176</v>
      </c>
      <c r="D3692" s="23" t="s">
        <v>841</v>
      </c>
      <c r="E3692" s="23" t="s">
        <v>842</v>
      </c>
      <c r="F3692">
        <v>5</v>
      </c>
      <c r="G3692" s="23" t="s">
        <v>180</v>
      </c>
      <c r="H3692">
        <v>0</v>
      </c>
      <c r="I3692">
        <v>0</v>
      </c>
      <c r="J3692" s="10">
        <v>165</v>
      </c>
      <c r="K3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692">
        <v>400</v>
      </c>
      <c r="M36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2">
        <v>5</v>
      </c>
      <c r="O3692" s="23" t="s">
        <v>225</v>
      </c>
      <c r="P3692">
        <v>25</v>
      </c>
      <c r="Q3692" s="23" t="s">
        <v>181</v>
      </c>
    </row>
    <row r="3693" spans="1:17" x14ac:dyDescent="0.25">
      <c r="A3693" s="23" t="s">
        <v>1096</v>
      </c>
      <c r="B3693" s="23" t="s">
        <v>1053</v>
      </c>
      <c r="C3693" s="23" t="s">
        <v>176</v>
      </c>
      <c r="D3693" s="23" t="s">
        <v>160</v>
      </c>
      <c r="E3693" s="23" t="s">
        <v>161</v>
      </c>
      <c r="F3693">
        <v>0.23</v>
      </c>
      <c r="G3693" s="23" t="s">
        <v>180</v>
      </c>
      <c r="H3693">
        <v>0</v>
      </c>
      <c r="I3693">
        <v>52</v>
      </c>
      <c r="J3693" s="10">
        <v>38.620000000000054</v>
      </c>
      <c r="K3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93">
        <v>0</v>
      </c>
      <c r="M36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3">
        <v>126.36</v>
      </c>
      <c r="O3693" s="23" t="s">
        <v>620</v>
      </c>
      <c r="P3693">
        <v>29.062800000000003</v>
      </c>
      <c r="Q3693" s="23" t="s">
        <v>179</v>
      </c>
    </row>
    <row r="3694" spans="1:17" x14ac:dyDescent="0.25">
      <c r="A3694" s="23" t="s">
        <v>1057</v>
      </c>
      <c r="B3694" s="23" t="s">
        <v>1056</v>
      </c>
      <c r="C3694" s="23" t="s">
        <v>176</v>
      </c>
      <c r="D3694" s="23" t="s">
        <v>5</v>
      </c>
      <c r="E3694" s="23" t="s">
        <v>6</v>
      </c>
      <c r="F3694">
        <v>5.0999999999999996</v>
      </c>
      <c r="G3694" s="23" t="s">
        <v>180</v>
      </c>
      <c r="H3694">
        <v>0</v>
      </c>
      <c r="I3694">
        <v>100</v>
      </c>
      <c r="J3694" s="10">
        <v>1.9999999999998863</v>
      </c>
      <c r="K3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694">
        <v>0</v>
      </c>
      <c r="M36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4">
        <v>111</v>
      </c>
      <c r="O3694" s="23" t="s">
        <v>827</v>
      </c>
      <c r="P3694">
        <v>566.09999999999991</v>
      </c>
      <c r="Q3694" s="23" t="s">
        <v>222</v>
      </c>
    </row>
    <row r="3695" spans="1:17" x14ac:dyDescent="0.25">
      <c r="A3695" s="23" t="s">
        <v>1143</v>
      </c>
      <c r="B3695" s="23" t="s">
        <v>1054</v>
      </c>
      <c r="C3695" s="23" t="s">
        <v>176</v>
      </c>
      <c r="D3695" s="23" t="s">
        <v>5</v>
      </c>
      <c r="E3695" s="23" t="s">
        <v>6</v>
      </c>
      <c r="F3695">
        <v>8</v>
      </c>
      <c r="G3695" s="23" t="s">
        <v>180</v>
      </c>
      <c r="H3695">
        <v>0</v>
      </c>
      <c r="I3695">
        <v>100</v>
      </c>
      <c r="J3695" s="10">
        <v>1.9999999999998863</v>
      </c>
      <c r="K3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695">
        <v>0</v>
      </c>
      <c r="M36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5">
        <v>111</v>
      </c>
      <c r="O3695" s="23" t="s">
        <v>827</v>
      </c>
      <c r="P3695">
        <v>888</v>
      </c>
      <c r="Q3695" s="23" t="s">
        <v>222</v>
      </c>
    </row>
    <row r="3696" spans="1:17" x14ac:dyDescent="0.25">
      <c r="A3696" s="23" t="s">
        <v>1143</v>
      </c>
      <c r="B3696" s="23" t="s">
        <v>1054</v>
      </c>
      <c r="C3696" s="23" t="s">
        <v>176</v>
      </c>
      <c r="D3696" s="23" t="s">
        <v>205</v>
      </c>
      <c r="E3696" s="23" t="s">
        <v>206</v>
      </c>
      <c r="F3696">
        <v>1</v>
      </c>
      <c r="G3696" s="23" t="s">
        <v>177</v>
      </c>
      <c r="H3696">
        <v>0</v>
      </c>
      <c r="I3696">
        <v>100</v>
      </c>
      <c r="J3696" s="10">
        <v>41</v>
      </c>
      <c r="K3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696">
        <v>0</v>
      </c>
      <c r="M36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6">
        <v>60</v>
      </c>
      <c r="O3696" s="23" t="s">
        <v>221</v>
      </c>
      <c r="P3696">
        <v>60</v>
      </c>
      <c r="Q3696" s="23" t="s">
        <v>181</v>
      </c>
    </row>
    <row r="3697" spans="1:17" x14ac:dyDescent="0.25">
      <c r="A3697" s="23" t="s">
        <v>1057</v>
      </c>
      <c r="B3697" s="23" t="s">
        <v>1056</v>
      </c>
      <c r="C3697" s="23" t="s">
        <v>176</v>
      </c>
      <c r="D3697" s="23" t="s">
        <v>160</v>
      </c>
      <c r="E3697" s="23" t="s">
        <v>161</v>
      </c>
      <c r="F3697">
        <v>0.25</v>
      </c>
      <c r="G3697" s="23" t="s">
        <v>180</v>
      </c>
      <c r="H3697">
        <v>0</v>
      </c>
      <c r="I3697">
        <v>52</v>
      </c>
      <c r="J3697" s="10">
        <v>38.620000000000054</v>
      </c>
      <c r="K3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97">
        <v>0</v>
      </c>
      <c r="M36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7">
        <v>126.36</v>
      </c>
      <c r="O3697" s="23" t="s">
        <v>620</v>
      </c>
      <c r="P3697">
        <v>31.59</v>
      </c>
      <c r="Q3697" s="23" t="s">
        <v>179</v>
      </c>
    </row>
    <row r="3698" spans="1:17" x14ac:dyDescent="0.25">
      <c r="A3698" s="23" t="s">
        <v>1143</v>
      </c>
      <c r="B3698" s="23" t="s">
        <v>1054</v>
      </c>
      <c r="C3698" s="23" t="s">
        <v>176</v>
      </c>
      <c r="D3698" s="23" t="s">
        <v>160</v>
      </c>
      <c r="E3698" s="23" t="s">
        <v>161</v>
      </c>
      <c r="F3698">
        <v>0.23</v>
      </c>
      <c r="G3698" s="23" t="s">
        <v>180</v>
      </c>
      <c r="H3698">
        <v>0</v>
      </c>
      <c r="I3698">
        <v>52</v>
      </c>
      <c r="J3698" s="10">
        <v>38.620000000000054</v>
      </c>
      <c r="K3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698">
        <v>0</v>
      </c>
      <c r="M36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8">
        <v>126.36</v>
      </c>
      <c r="O3698" s="23" t="s">
        <v>620</v>
      </c>
      <c r="P3698">
        <v>29.062800000000003</v>
      </c>
      <c r="Q3698" s="23" t="s">
        <v>179</v>
      </c>
    </row>
    <row r="3699" spans="1:17" x14ac:dyDescent="0.25">
      <c r="A3699" s="23" t="s">
        <v>1094</v>
      </c>
      <c r="B3699" s="23" t="s">
        <v>1095</v>
      </c>
      <c r="C3699" s="23" t="s">
        <v>176</v>
      </c>
      <c r="D3699" s="23" t="s">
        <v>5</v>
      </c>
      <c r="E3699" s="23" t="s">
        <v>6</v>
      </c>
      <c r="F3699">
        <v>1.6</v>
      </c>
      <c r="G3699" s="23" t="s">
        <v>180</v>
      </c>
      <c r="H3699">
        <v>0</v>
      </c>
      <c r="I3699">
        <v>100</v>
      </c>
      <c r="J3699" s="10">
        <v>1.9999999999998863</v>
      </c>
      <c r="K3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699">
        <v>0</v>
      </c>
      <c r="M36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699">
        <v>111</v>
      </c>
      <c r="O3699" s="23" t="s">
        <v>827</v>
      </c>
      <c r="P3699">
        <v>177.60000000000002</v>
      </c>
      <c r="Q3699" s="23" t="s">
        <v>222</v>
      </c>
    </row>
    <row r="3700" spans="1:17" x14ac:dyDescent="0.25">
      <c r="A3700" s="23" t="s">
        <v>1096</v>
      </c>
      <c r="B3700" s="23" t="s">
        <v>1053</v>
      </c>
      <c r="C3700" s="23" t="s">
        <v>176</v>
      </c>
      <c r="D3700" s="23" t="s">
        <v>5</v>
      </c>
      <c r="E3700" s="23" t="s">
        <v>6</v>
      </c>
      <c r="F3700">
        <v>7.1</v>
      </c>
      <c r="G3700" s="23" t="s">
        <v>180</v>
      </c>
      <c r="H3700">
        <v>0</v>
      </c>
      <c r="I3700">
        <v>100</v>
      </c>
      <c r="J3700" s="10">
        <v>1.9999999999998863</v>
      </c>
      <c r="K3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700">
        <v>0</v>
      </c>
      <c r="M37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0">
        <v>111</v>
      </c>
      <c r="O3700" s="23" t="s">
        <v>827</v>
      </c>
      <c r="P3700">
        <v>788.09999999999991</v>
      </c>
      <c r="Q3700" s="23" t="s">
        <v>222</v>
      </c>
    </row>
    <row r="3701" spans="1:17" x14ac:dyDescent="0.25">
      <c r="A3701" s="23" t="s">
        <v>1096</v>
      </c>
      <c r="B3701" s="23" t="s">
        <v>1053</v>
      </c>
      <c r="C3701" s="23" t="s">
        <v>176</v>
      </c>
      <c r="D3701" s="23" t="s">
        <v>9</v>
      </c>
      <c r="E3701" s="23" t="s">
        <v>10</v>
      </c>
      <c r="F3701">
        <v>4</v>
      </c>
      <c r="G3701" s="23" t="s">
        <v>177</v>
      </c>
      <c r="H3701">
        <v>4</v>
      </c>
      <c r="I3701">
        <v>19</v>
      </c>
      <c r="J3701" s="10">
        <v>32</v>
      </c>
      <c r="K3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01">
        <v>20</v>
      </c>
      <c r="M37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1">
        <v>72.819999999999993</v>
      </c>
      <c r="O3701" s="23" t="s">
        <v>228</v>
      </c>
      <c r="P3701">
        <v>291.27999999999997</v>
      </c>
      <c r="Q3701" s="23" t="s">
        <v>222</v>
      </c>
    </row>
    <row r="3702" spans="1:17" x14ac:dyDescent="0.25">
      <c r="A3702" s="23" t="s">
        <v>1062</v>
      </c>
      <c r="B3702" s="23" t="s">
        <v>1053</v>
      </c>
      <c r="C3702" s="23" t="s">
        <v>176</v>
      </c>
      <c r="D3702" s="23" t="s">
        <v>695</v>
      </c>
      <c r="E3702" s="23" t="s">
        <v>696</v>
      </c>
      <c r="F3702">
        <v>2</v>
      </c>
      <c r="G3702" s="23" t="s">
        <v>177</v>
      </c>
      <c r="H3702">
        <v>2</v>
      </c>
      <c r="I3702">
        <v>6</v>
      </c>
      <c r="J3702" s="10">
        <v>4</v>
      </c>
      <c r="K3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702">
        <v>0</v>
      </c>
      <c r="M37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2">
        <v>260</v>
      </c>
      <c r="O3702" s="23" t="s">
        <v>227</v>
      </c>
      <c r="P3702">
        <v>520</v>
      </c>
      <c r="Q3702" s="23" t="s">
        <v>181</v>
      </c>
    </row>
    <row r="3703" spans="1:17" x14ac:dyDescent="0.25">
      <c r="A3703" s="23" t="s">
        <v>1062</v>
      </c>
      <c r="B3703" s="23" t="s">
        <v>1053</v>
      </c>
      <c r="C3703" s="23" t="s">
        <v>176</v>
      </c>
      <c r="D3703" s="23" t="s">
        <v>203</v>
      </c>
      <c r="E3703" s="23" t="s">
        <v>204</v>
      </c>
      <c r="F3703">
        <v>0.30000000000000004</v>
      </c>
      <c r="G3703" s="23" t="s">
        <v>180</v>
      </c>
      <c r="H3703">
        <v>0</v>
      </c>
      <c r="I3703">
        <v>50</v>
      </c>
      <c r="J3703" s="10">
        <v>5.5511151231257827E-17</v>
      </c>
      <c r="K3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03">
        <v>0</v>
      </c>
      <c r="M37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3">
        <v>10.61</v>
      </c>
      <c r="O3703" s="23" t="s">
        <v>237</v>
      </c>
      <c r="P3703">
        <v>3.1830000000000003</v>
      </c>
      <c r="Q3703" s="23" t="s">
        <v>222</v>
      </c>
    </row>
    <row r="3704" spans="1:17" x14ac:dyDescent="0.25">
      <c r="A3704" s="23" t="s">
        <v>1098</v>
      </c>
      <c r="B3704" s="23" t="s">
        <v>1053</v>
      </c>
      <c r="C3704" s="23" t="s">
        <v>176</v>
      </c>
      <c r="D3704" s="23" t="s">
        <v>698</v>
      </c>
      <c r="E3704" s="23" t="s">
        <v>699</v>
      </c>
      <c r="F3704">
        <v>1</v>
      </c>
      <c r="G3704" s="23" t="s">
        <v>177</v>
      </c>
      <c r="H3704">
        <v>0</v>
      </c>
      <c r="I3704">
        <v>7</v>
      </c>
      <c r="J3704" s="10">
        <v>4</v>
      </c>
      <c r="K3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04">
        <v>0</v>
      </c>
      <c r="M37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04">
        <v>2200</v>
      </c>
      <c r="O3704" s="23" t="s">
        <v>253</v>
      </c>
      <c r="P3704">
        <v>2200</v>
      </c>
      <c r="Q3704" s="23" t="s">
        <v>179</v>
      </c>
    </row>
    <row r="3705" spans="1:17" x14ac:dyDescent="0.25">
      <c r="A3705" s="23" t="s">
        <v>1197</v>
      </c>
      <c r="B3705" s="23" t="s">
        <v>1198</v>
      </c>
      <c r="C3705" s="23" t="s">
        <v>176</v>
      </c>
      <c r="D3705" s="23" t="s">
        <v>698</v>
      </c>
      <c r="E3705" s="23" t="s">
        <v>699</v>
      </c>
      <c r="F3705">
        <v>1</v>
      </c>
      <c r="G3705" s="23" t="s">
        <v>177</v>
      </c>
      <c r="H3705">
        <v>0</v>
      </c>
      <c r="I3705">
        <v>7</v>
      </c>
      <c r="J3705" s="10">
        <v>4</v>
      </c>
      <c r="K3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05">
        <v>0</v>
      </c>
      <c r="M37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05">
        <v>2200</v>
      </c>
      <c r="O3705" s="23" t="s">
        <v>253</v>
      </c>
      <c r="P3705">
        <v>2200</v>
      </c>
      <c r="Q3705" s="23" t="s">
        <v>179</v>
      </c>
    </row>
    <row r="3706" spans="1:17" x14ac:dyDescent="0.25">
      <c r="A3706" s="23" t="s">
        <v>1142</v>
      </c>
      <c r="B3706" s="23" t="s">
        <v>1054</v>
      </c>
      <c r="C3706" s="23" t="s">
        <v>176</v>
      </c>
      <c r="D3706" s="23" t="s">
        <v>146</v>
      </c>
      <c r="E3706" s="23" t="s">
        <v>147</v>
      </c>
      <c r="F3706">
        <v>3</v>
      </c>
      <c r="G3706" s="23" t="s">
        <v>177</v>
      </c>
      <c r="H3706">
        <v>0</v>
      </c>
      <c r="I3706">
        <v>0</v>
      </c>
      <c r="J3706" s="10">
        <v>-8.4376949871511897E-15</v>
      </c>
      <c r="K3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06">
        <v>4</v>
      </c>
      <c r="M37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06">
        <v>1041.6600000000001</v>
      </c>
      <c r="O3706" s="23" t="s">
        <v>224</v>
      </c>
      <c r="P3706">
        <v>3124.9800000000005</v>
      </c>
      <c r="Q3706" s="23" t="s">
        <v>182</v>
      </c>
    </row>
    <row r="3707" spans="1:17" x14ac:dyDescent="0.25">
      <c r="A3707" s="23" t="s">
        <v>1057</v>
      </c>
      <c r="B3707" s="23" t="s">
        <v>1056</v>
      </c>
      <c r="C3707" s="23" t="s">
        <v>176</v>
      </c>
      <c r="D3707" s="23" t="s">
        <v>140</v>
      </c>
      <c r="E3707" s="23" t="s">
        <v>141</v>
      </c>
      <c r="F3707">
        <v>0.5</v>
      </c>
      <c r="G3707" s="23" t="s">
        <v>177</v>
      </c>
      <c r="H3707">
        <v>0</v>
      </c>
      <c r="I3707">
        <v>0</v>
      </c>
      <c r="J3707" s="10">
        <v>6.1000000000000014</v>
      </c>
      <c r="K3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707">
        <v>5</v>
      </c>
      <c r="M37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707">
        <v>688.2</v>
      </c>
      <c r="O3707" s="23" t="s">
        <v>673</v>
      </c>
      <c r="P3707">
        <v>344.1</v>
      </c>
      <c r="Q3707" s="23" t="s">
        <v>185</v>
      </c>
    </row>
    <row r="3708" spans="1:17" x14ac:dyDescent="0.25">
      <c r="A3708" s="23" t="s">
        <v>1150</v>
      </c>
      <c r="B3708" s="23" t="s">
        <v>1145</v>
      </c>
      <c r="C3708" s="23" t="s">
        <v>176</v>
      </c>
      <c r="D3708" s="23" t="s">
        <v>203</v>
      </c>
      <c r="E3708" s="23" t="s">
        <v>204</v>
      </c>
      <c r="F3708">
        <v>0.10100000000000001</v>
      </c>
      <c r="G3708" s="23" t="s">
        <v>180</v>
      </c>
      <c r="H3708">
        <v>0</v>
      </c>
      <c r="I3708">
        <v>50</v>
      </c>
      <c r="J3708" s="10">
        <v>5.5511151231257827E-17</v>
      </c>
      <c r="K3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08">
        <v>0</v>
      </c>
      <c r="M37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8">
        <v>10.61</v>
      </c>
      <c r="O3708" s="23" t="s">
        <v>237</v>
      </c>
      <c r="P3708">
        <v>1.07161</v>
      </c>
      <c r="Q3708" s="23" t="s">
        <v>222</v>
      </c>
    </row>
    <row r="3709" spans="1:17" x14ac:dyDescent="0.25">
      <c r="A3709" s="23" t="s">
        <v>1197</v>
      </c>
      <c r="B3709" s="23" t="s">
        <v>1198</v>
      </c>
      <c r="C3709" s="23" t="s">
        <v>176</v>
      </c>
      <c r="D3709" s="23" t="s">
        <v>533</v>
      </c>
      <c r="E3709" s="23" t="s">
        <v>534</v>
      </c>
      <c r="F3709">
        <v>10</v>
      </c>
      <c r="G3709" s="23" t="s">
        <v>180</v>
      </c>
      <c r="H3709">
        <v>0</v>
      </c>
      <c r="I3709">
        <v>0</v>
      </c>
      <c r="J3709" s="10">
        <v>0</v>
      </c>
      <c r="K3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709">
        <v>400</v>
      </c>
      <c r="M37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09">
        <v>5</v>
      </c>
      <c r="O3709" s="23" t="s">
        <v>225</v>
      </c>
      <c r="P3709">
        <v>50</v>
      </c>
      <c r="Q3709" s="23" t="s">
        <v>181</v>
      </c>
    </row>
    <row r="3710" spans="1:17" x14ac:dyDescent="0.25">
      <c r="A3710" s="23" t="s">
        <v>1098</v>
      </c>
      <c r="B3710" s="23" t="s">
        <v>1053</v>
      </c>
      <c r="C3710" s="23" t="s">
        <v>176</v>
      </c>
      <c r="D3710" s="23" t="s">
        <v>533</v>
      </c>
      <c r="E3710" s="23" t="s">
        <v>534</v>
      </c>
      <c r="F3710">
        <v>10</v>
      </c>
      <c r="G3710" s="23" t="s">
        <v>180</v>
      </c>
      <c r="H3710">
        <v>0</v>
      </c>
      <c r="I3710">
        <v>0</v>
      </c>
      <c r="J3710" s="10">
        <v>0</v>
      </c>
      <c r="K3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710">
        <v>400</v>
      </c>
      <c r="M37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0">
        <v>5</v>
      </c>
      <c r="O3710" s="23" t="s">
        <v>225</v>
      </c>
      <c r="P3710">
        <v>50</v>
      </c>
      <c r="Q3710" s="23" t="s">
        <v>181</v>
      </c>
    </row>
    <row r="3711" spans="1:17" x14ac:dyDescent="0.25">
      <c r="A3711" s="23" t="s">
        <v>1197</v>
      </c>
      <c r="B3711" s="23" t="s">
        <v>1198</v>
      </c>
      <c r="C3711" s="23" t="s">
        <v>176</v>
      </c>
      <c r="D3711" s="23" t="s">
        <v>354</v>
      </c>
      <c r="E3711" s="23" t="s">
        <v>355</v>
      </c>
      <c r="F3711">
        <v>8</v>
      </c>
      <c r="G3711" s="23" t="s">
        <v>177</v>
      </c>
      <c r="H3711">
        <v>0</v>
      </c>
      <c r="I3711">
        <v>491</v>
      </c>
      <c r="J3711" s="10">
        <v>50</v>
      </c>
      <c r="K3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711">
        <v>0</v>
      </c>
      <c r="M37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1">
        <v>10.65</v>
      </c>
      <c r="O3711" s="23" t="s">
        <v>883</v>
      </c>
      <c r="P3711">
        <v>85.2</v>
      </c>
      <c r="Q3711" s="23" t="s">
        <v>181</v>
      </c>
    </row>
    <row r="3712" spans="1:17" x14ac:dyDescent="0.25">
      <c r="A3712" s="23" t="s">
        <v>1098</v>
      </c>
      <c r="B3712" s="23" t="s">
        <v>1053</v>
      </c>
      <c r="C3712" s="23" t="s">
        <v>176</v>
      </c>
      <c r="D3712" s="23" t="s">
        <v>354</v>
      </c>
      <c r="E3712" s="23" t="s">
        <v>355</v>
      </c>
      <c r="F3712">
        <v>32</v>
      </c>
      <c r="G3712" s="23" t="s">
        <v>177</v>
      </c>
      <c r="H3712">
        <v>0</v>
      </c>
      <c r="I3712">
        <v>491</v>
      </c>
      <c r="J3712" s="10">
        <v>50</v>
      </c>
      <c r="K3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712">
        <v>0</v>
      </c>
      <c r="M37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2">
        <v>10.65</v>
      </c>
      <c r="O3712" s="23" t="s">
        <v>883</v>
      </c>
      <c r="P3712">
        <v>340.8</v>
      </c>
      <c r="Q3712" s="23" t="s">
        <v>181</v>
      </c>
    </row>
    <row r="3713" spans="1:17" x14ac:dyDescent="0.25">
      <c r="A3713" s="23" t="s">
        <v>1097</v>
      </c>
      <c r="B3713" s="23" t="s">
        <v>1095</v>
      </c>
      <c r="C3713" s="23" t="s">
        <v>176</v>
      </c>
      <c r="D3713" s="23" t="s">
        <v>146</v>
      </c>
      <c r="E3713" s="23" t="s">
        <v>147</v>
      </c>
      <c r="F3713">
        <v>5</v>
      </c>
      <c r="G3713" s="23" t="s">
        <v>177</v>
      </c>
      <c r="H3713">
        <v>0</v>
      </c>
      <c r="I3713">
        <v>0</v>
      </c>
      <c r="J3713" s="10">
        <v>-8.4376949871511897E-15</v>
      </c>
      <c r="K3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13">
        <v>4</v>
      </c>
      <c r="M37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13">
        <v>1041.6600000000001</v>
      </c>
      <c r="O3713" s="23" t="s">
        <v>224</v>
      </c>
      <c r="P3713">
        <v>5208.3</v>
      </c>
      <c r="Q3713" s="23" t="s">
        <v>182</v>
      </c>
    </row>
    <row r="3714" spans="1:17" x14ac:dyDescent="0.25">
      <c r="A3714" s="23" t="s">
        <v>1098</v>
      </c>
      <c r="B3714" s="23" t="s">
        <v>1053</v>
      </c>
      <c r="C3714" s="23" t="s">
        <v>176</v>
      </c>
      <c r="D3714" s="23" t="s">
        <v>140</v>
      </c>
      <c r="E3714" s="23" t="s">
        <v>141</v>
      </c>
      <c r="F3714">
        <v>1</v>
      </c>
      <c r="G3714" s="23" t="s">
        <v>177</v>
      </c>
      <c r="H3714">
        <v>0</v>
      </c>
      <c r="I3714">
        <v>0</v>
      </c>
      <c r="J3714" s="10">
        <v>6.1000000000000014</v>
      </c>
      <c r="K3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714">
        <v>5</v>
      </c>
      <c r="M37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714">
        <v>688.2</v>
      </c>
      <c r="O3714" s="23" t="s">
        <v>673</v>
      </c>
      <c r="P3714">
        <v>688.2</v>
      </c>
      <c r="Q3714" s="23" t="s">
        <v>185</v>
      </c>
    </row>
    <row r="3715" spans="1:17" x14ac:dyDescent="0.25">
      <c r="A3715" s="23" t="s">
        <v>1097</v>
      </c>
      <c r="B3715" s="23" t="s">
        <v>1095</v>
      </c>
      <c r="C3715" s="23" t="s">
        <v>176</v>
      </c>
      <c r="D3715" s="23" t="s">
        <v>140</v>
      </c>
      <c r="E3715" s="23" t="s">
        <v>141</v>
      </c>
      <c r="F3715">
        <v>1</v>
      </c>
      <c r="G3715" s="23" t="s">
        <v>177</v>
      </c>
      <c r="H3715">
        <v>0</v>
      </c>
      <c r="I3715">
        <v>0</v>
      </c>
      <c r="J3715" s="10">
        <v>6.1000000000000014</v>
      </c>
      <c r="K3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715">
        <v>5</v>
      </c>
      <c r="M37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715">
        <v>688.2</v>
      </c>
      <c r="O3715" s="23" t="s">
        <v>673</v>
      </c>
      <c r="P3715">
        <v>688.2</v>
      </c>
      <c r="Q3715" s="23" t="s">
        <v>185</v>
      </c>
    </row>
    <row r="3716" spans="1:17" x14ac:dyDescent="0.25">
      <c r="A3716" s="23" t="s">
        <v>1197</v>
      </c>
      <c r="B3716" s="23" t="s">
        <v>1198</v>
      </c>
      <c r="C3716" s="23" t="s">
        <v>176</v>
      </c>
      <c r="D3716" s="23" t="s">
        <v>140</v>
      </c>
      <c r="E3716" s="23" t="s">
        <v>141</v>
      </c>
      <c r="F3716">
        <v>1.5</v>
      </c>
      <c r="G3716" s="23" t="s">
        <v>177</v>
      </c>
      <c r="H3716">
        <v>0</v>
      </c>
      <c r="I3716">
        <v>0</v>
      </c>
      <c r="J3716" s="10">
        <v>6.1000000000000014</v>
      </c>
      <c r="K3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716">
        <v>5</v>
      </c>
      <c r="M37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716">
        <v>688.2</v>
      </c>
      <c r="O3716" s="23" t="s">
        <v>673</v>
      </c>
      <c r="P3716">
        <v>1032.3000000000002</v>
      </c>
      <c r="Q3716" s="23" t="s">
        <v>185</v>
      </c>
    </row>
    <row r="3717" spans="1:17" x14ac:dyDescent="0.25">
      <c r="A3717" s="23" t="s">
        <v>1150</v>
      </c>
      <c r="B3717" s="23" t="s">
        <v>1145</v>
      </c>
      <c r="C3717" s="23" t="s">
        <v>176</v>
      </c>
      <c r="D3717" s="23" t="s">
        <v>517</v>
      </c>
      <c r="E3717" s="23" t="s">
        <v>518</v>
      </c>
      <c r="F3717">
        <v>1.5</v>
      </c>
      <c r="G3717" s="23" t="s">
        <v>177</v>
      </c>
      <c r="H3717">
        <v>0</v>
      </c>
      <c r="I3717">
        <v>91</v>
      </c>
      <c r="J3717" s="10">
        <v>17.799999999999994</v>
      </c>
      <c r="K3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717">
        <v>0</v>
      </c>
      <c r="M37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7">
        <v>85</v>
      </c>
      <c r="O3717" s="23" t="s">
        <v>347</v>
      </c>
      <c r="P3717">
        <v>127.5</v>
      </c>
      <c r="Q3717" s="23" t="s">
        <v>181</v>
      </c>
    </row>
    <row r="3718" spans="1:17" x14ac:dyDescent="0.25">
      <c r="A3718" s="23" t="s">
        <v>1097</v>
      </c>
      <c r="B3718" s="23" t="s">
        <v>1095</v>
      </c>
      <c r="C3718" s="23" t="s">
        <v>176</v>
      </c>
      <c r="D3718" s="23" t="s">
        <v>533</v>
      </c>
      <c r="E3718" s="23" t="s">
        <v>534</v>
      </c>
      <c r="F3718">
        <v>10</v>
      </c>
      <c r="G3718" s="23" t="s">
        <v>180</v>
      </c>
      <c r="H3718">
        <v>0</v>
      </c>
      <c r="I3718">
        <v>0</v>
      </c>
      <c r="J3718" s="10">
        <v>0</v>
      </c>
      <c r="K3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718">
        <v>400</v>
      </c>
      <c r="M37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8">
        <v>5</v>
      </c>
      <c r="O3718" s="23" t="s">
        <v>225</v>
      </c>
      <c r="P3718">
        <v>50</v>
      </c>
      <c r="Q3718" s="23" t="s">
        <v>181</v>
      </c>
    </row>
    <row r="3719" spans="1:17" x14ac:dyDescent="0.25">
      <c r="A3719" s="23" t="s">
        <v>1062</v>
      </c>
      <c r="B3719" s="23" t="s">
        <v>1053</v>
      </c>
      <c r="C3719" s="23" t="s">
        <v>176</v>
      </c>
      <c r="D3719" s="23" t="s">
        <v>533</v>
      </c>
      <c r="E3719" s="23" t="s">
        <v>534</v>
      </c>
      <c r="F3719">
        <v>10</v>
      </c>
      <c r="G3719" s="23" t="s">
        <v>180</v>
      </c>
      <c r="H3719">
        <v>0</v>
      </c>
      <c r="I3719">
        <v>0</v>
      </c>
      <c r="J3719" s="10">
        <v>0</v>
      </c>
      <c r="K3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3719">
        <v>400</v>
      </c>
      <c r="M37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19">
        <v>5</v>
      </c>
      <c r="O3719" s="23" t="s">
        <v>225</v>
      </c>
      <c r="P3719">
        <v>50</v>
      </c>
      <c r="Q3719" s="23" t="s">
        <v>181</v>
      </c>
    </row>
    <row r="3720" spans="1:17" x14ac:dyDescent="0.25">
      <c r="A3720" s="23" t="s">
        <v>1097</v>
      </c>
      <c r="B3720" s="23" t="s">
        <v>1095</v>
      </c>
      <c r="C3720" s="23" t="s">
        <v>176</v>
      </c>
      <c r="D3720" s="23" t="s">
        <v>354</v>
      </c>
      <c r="E3720" s="23" t="s">
        <v>355</v>
      </c>
      <c r="F3720">
        <v>32</v>
      </c>
      <c r="G3720" s="23" t="s">
        <v>177</v>
      </c>
      <c r="H3720">
        <v>0</v>
      </c>
      <c r="I3720">
        <v>491</v>
      </c>
      <c r="J3720" s="10">
        <v>50</v>
      </c>
      <c r="K3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720">
        <v>0</v>
      </c>
      <c r="M37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0">
        <v>10.65</v>
      </c>
      <c r="O3720" s="23" t="s">
        <v>883</v>
      </c>
      <c r="P3720">
        <v>340.8</v>
      </c>
      <c r="Q3720" s="23" t="s">
        <v>181</v>
      </c>
    </row>
    <row r="3721" spans="1:17" x14ac:dyDescent="0.25">
      <c r="A3721" s="23" t="s">
        <v>1062</v>
      </c>
      <c r="B3721" s="23" t="s">
        <v>1053</v>
      </c>
      <c r="C3721" s="23" t="s">
        <v>176</v>
      </c>
      <c r="D3721" s="23" t="s">
        <v>354</v>
      </c>
      <c r="E3721" s="23" t="s">
        <v>355</v>
      </c>
      <c r="F3721">
        <v>15</v>
      </c>
      <c r="G3721" s="23" t="s">
        <v>177</v>
      </c>
      <c r="H3721">
        <v>0</v>
      </c>
      <c r="I3721">
        <v>491</v>
      </c>
      <c r="J3721" s="10">
        <v>50</v>
      </c>
      <c r="K3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-133</v>
      </c>
      <c r="L3721">
        <v>0</v>
      </c>
      <c r="M37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1">
        <v>10.65</v>
      </c>
      <c r="O3721" s="23" t="s">
        <v>883</v>
      </c>
      <c r="P3721">
        <v>159.75</v>
      </c>
      <c r="Q3721" s="23" t="s">
        <v>181</v>
      </c>
    </row>
    <row r="3722" spans="1:17" x14ac:dyDescent="0.25">
      <c r="A3722" s="23" t="s">
        <v>1197</v>
      </c>
      <c r="B3722" s="23" t="s">
        <v>1198</v>
      </c>
      <c r="C3722" s="23" t="s">
        <v>176</v>
      </c>
      <c r="D3722" s="23" t="s">
        <v>146</v>
      </c>
      <c r="E3722" s="23" t="s">
        <v>147</v>
      </c>
      <c r="F3722">
        <v>3</v>
      </c>
      <c r="G3722" s="23" t="s">
        <v>177</v>
      </c>
      <c r="H3722">
        <v>0</v>
      </c>
      <c r="I3722">
        <v>0</v>
      </c>
      <c r="J3722" s="10">
        <v>-8.4376949871511897E-15</v>
      </c>
      <c r="K3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22">
        <v>4</v>
      </c>
      <c r="M37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22">
        <v>1041.6600000000001</v>
      </c>
      <c r="O3722" s="23" t="s">
        <v>224</v>
      </c>
      <c r="P3722">
        <v>3124.9800000000005</v>
      </c>
      <c r="Q3722" s="23" t="s">
        <v>182</v>
      </c>
    </row>
    <row r="3723" spans="1:17" x14ac:dyDescent="0.25">
      <c r="A3723" s="23" t="s">
        <v>1094</v>
      </c>
      <c r="B3723" s="23" t="s">
        <v>1095</v>
      </c>
      <c r="C3723" s="23" t="s">
        <v>176</v>
      </c>
      <c r="D3723" s="23" t="s">
        <v>146</v>
      </c>
      <c r="E3723" s="23" t="s">
        <v>147</v>
      </c>
      <c r="F3723">
        <v>5</v>
      </c>
      <c r="G3723" s="23" t="s">
        <v>177</v>
      </c>
      <c r="H3723">
        <v>0</v>
      </c>
      <c r="I3723">
        <v>0</v>
      </c>
      <c r="J3723" s="10">
        <v>-8.4376949871511897E-15</v>
      </c>
      <c r="K3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23">
        <v>4</v>
      </c>
      <c r="M37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23">
        <v>1041.6600000000001</v>
      </c>
      <c r="O3723" s="23" t="s">
        <v>224</v>
      </c>
      <c r="P3723">
        <v>5208.3</v>
      </c>
      <c r="Q3723" s="23" t="s">
        <v>182</v>
      </c>
    </row>
    <row r="3724" spans="1:17" x14ac:dyDescent="0.25">
      <c r="A3724" s="23" t="s">
        <v>1096</v>
      </c>
      <c r="B3724" s="23" t="s">
        <v>1053</v>
      </c>
      <c r="C3724" s="23" t="s">
        <v>176</v>
      </c>
      <c r="D3724" s="23" t="s">
        <v>146</v>
      </c>
      <c r="E3724" s="23" t="s">
        <v>147</v>
      </c>
      <c r="F3724">
        <v>2</v>
      </c>
      <c r="G3724" s="23" t="s">
        <v>177</v>
      </c>
      <c r="H3724">
        <v>0</v>
      </c>
      <c r="I3724">
        <v>0</v>
      </c>
      <c r="J3724" s="10">
        <v>-8.4376949871511897E-15</v>
      </c>
      <c r="K3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24">
        <v>4</v>
      </c>
      <c r="M37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24">
        <v>1041.6600000000001</v>
      </c>
      <c r="O3724" s="23" t="s">
        <v>224</v>
      </c>
      <c r="P3724">
        <v>2083.3200000000002</v>
      </c>
      <c r="Q3724" s="23" t="s">
        <v>182</v>
      </c>
    </row>
    <row r="3725" spans="1:17" x14ac:dyDescent="0.25">
      <c r="A3725" s="23" t="s">
        <v>1142</v>
      </c>
      <c r="B3725" s="23" t="s">
        <v>1054</v>
      </c>
      <c r="C3725" s="23" t="s">
        <v>176</v>
      </c>
      <c r="D3725" s="23" t="s">
        <v>140</v>
      </c>
      <c r="E3725" s="23" t="s">
        <v>141</v>
      </c>
      <c r="F3725">
        <v>0.5</v>
      </c>
      <c r="G3725" s="23" t="s">
        <v>177</v>
      </c>
      <c r="H3725">
        <v>0</v>
      </c>
      <c r="I3725">
        <v>0</v>
      </c>
      <c r="J3725" s="10">
        <v>6.1000000000000014</v>
      </c>
      <c r="K3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725">
        <v>5</v>
      </c>
      <c r="M37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725">
        <v>688.2</v>
      </c>
      <c r="O3725" s="23" t="s">
        <v>673</v>
      </c>
      <c r="P3725">
        <v>344.1</v>
      </c>
      <c r="Q3725" s="23" t="s">
        <v>185</v>
      </c>
    </row>
    <row r="3726" spans="1:17" x14ac:dyDescent="0.25">
      <c r="A3726" s="23" t="s">
        <v>1143</v>
      </c>
      <c r="B3726" s="23" t="s">
        <v>1054</v>
      </c>
      <c r="C3726" s="23" t="s">
        <v>176</v>
      </c>
      <c r="D3726" s="23" t="s">
        <v>681</v>
      </c>
      <c r="E3726" s="23" t="s">
        <v>682</v>
      </c>
      <c r="F3726">
        <v>1</v>
      </c>
      <c r="G3726" s="23" t="s">
        <v>177</v>
      </c>
      <c r="H3726">
        <v>0</v>
      </c>
      <c r="I3726">
        <v>11</v>
      </c>
      <c r="J3726" s="10">
        <v>3</v>
      </c>
      <c r="K3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726">
        <v>0</v>
      </c>
      <c r="M37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6">
        <v>252</v>
      </c>
      <c r="O3726" s="23" t="s">
        <v>248</v>
      </c>
      <c r="P3726">
        <v>252</v>
      </c>
      <c r="Q3726" s="23" t="s">
        <v>181</v>
      </c>
    </row>
    <row r="3727" spans="1:17" x14ac:dyDescent="0.25">
      <c r="A3727" s="23" t="s">
        <v>1143</v>
      </c>
      <c r="B3727" s="23" t="s">
        <v>1054</v>
      </c>
      <c r="C3727" s="23" t="s">
        <v>176</v>
      </c>
      <c r="D3727" s="23" t="s">
        <v>695</v>
      </c>
      <c r="E3727" s="23" t="s">
        <v>696</v>
      </c>
      <c r="F3727">
        <v>4</v>
      </c>
      <c r="G3727" s="23" t="s">
        <v>177</v>
      </c>
      <c r="H3727">
        <v>0</v>
      </c>
      <c r="I3727">
        <v>6</v>
      </c>
      <c r="J3727" s="10">
        <v>4</v>
      </c>
      <c r="K3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727">
        <v>0</v>
      </c>
      <c r="M37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7">
        <v>260</v>
      </c>
      <c r="O3727" s="23" t="s">
        <v>227</v>
      </c>
      <c r="P3727">
        <v>1040</v>
      </c>
      <c r="Q3727" s="23" t="s">
        <v>181</v>
      </c>
    </row>
    <row r="3728" spans="1:17" x14ac:dyDescent="0.25">
      <c r="A3728" s="23" t="s">
        <v>1057</v>
      </c>
      <c r="B3728" s="23" t="s">
        <v>1056</v>
      </c>
      <c r="C3728" s="23" t="s">
        <v>176</v>
      </c>
      <c r="D3728" s="23" t="s">
        <v>203</v>
      </c>
      <c r="E3728" s="23" t="s">
        <v>204</v>
      </c>
      <c r="F3728">
        <v>0.10200000000000001</v>
      </c>
      <c r="G3728" s="23" t="s">
        <v>180</v>
      </c>
      <c r="H3728">
        <v>0</v>
      </c>
      <c r="I3728">
        <v>50</v>
      </c>
      <c r="J3728" s="10">
        <v>5.5511151231257827E-17</v>
      </c>
      <c r="K3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28">
        <v>0</v>
      </c>
      <c r="M37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8">
        <v>10.61</v>
      </c>
      <c r="O3728" s="23" t="s">
        <v>237</v>
      </c>
      <c r="P3728">
        <v>1.08222</v>
      </c>
      <c r="Q3728" s="23" t="s">
        <v>222</v>
      </c>
    </row>
    <row r="3729" spans="1:17" x14ac:dyDescent="0.25">
      <c r="A3729" s="23" t="s">
        <v>1097</v>
      </c>
      <c r="B3729" s="23" t="s">
        <v>1095</v>
      </c>
      <c r="C3729" s="23" t="s">
        <v>176</v>
      </c>
      <c r="D3729" s="23" t="s">
        <v>681</v>
      </c>
      <c r="E3729" s="23" t="s">
        <v>682</v>
      </c>
      <c r="F3729">
        <v>1</v>
      </c>
      <c r="G3729" s="23" t="s">
        <v>177</v>
      </c>
      <c r="H3729">
        <v>0</v>
      </c>
      <c r="I3729">
        <v>11</v>
      </c>
      <c r="J3729" s="10">
        <v>3</v>
      </c>
      <c r="K3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729">
        <v>0</v>
      </c>
      <c r="M37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29">
        <v>252</v>
      </c>
      <c r="O3729" s="23" t="s">
        <v>248</v>
      </c>
      <c r="P3729">
        <v>252</v>
      </c>
      <c r="Q3729" s="23" t="s">
        <v>181</v>
      </c>
    </row>
    <row r="3730" spans="1:17" x14ac:dyDescent="0.25">
      <c r="A3730" s="23" t="s">
        <v>1098</v>
      </c>
      <c r="B3730" s="23" t="s">
        <v>1053</v>
      </c>
      <c r="C3730" s="23" t="s">
        <v>176</v>
      </c>
      <c r="D3730" s="23" t="s">
        <v>681</v>
      </c>
      <c r="E3730" s="23" t="s">
        <v>682</v>
      </c>
      <c r="F3730">
        <v>1</v>
      </c>
      <c r="G3730" s="23" t="s">
        <v>177</v>
      </c>
      <c r="H3730">
        <v>0</v>
      </c>
      <c r="I3730">
        <v>11</v>
      </c>
      <c r="J3730" s="10">
        <v>3</v>
      </c>
      <c r="K3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730">
        <v>0</v>
      </c>
      <c r="M37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0">
        <v>252</v>
      </c>
      <c r="O3730" s="23" t="s">
        <v>248</v>
      </c>
      <c r="P3730">
        <v>252</v>
      </c>
      <c r="Q3730" s="23" t="s">
        <v>181</v>
      </c>
    </row>
    <row r="3731" spans="1:17" x14ac:dyDescent="0.25">
      <c r="A3731" s="23" t="s">
        <v>1097</v>
      </c>
      <c r="B3731" s="23" t="s">
        <v>1095</v>
      </c>
      <c r="C3731" s="23" t="s">
        <v>176</v>
      </c>
      <c r="D3731" s="23" t="s">
        <v>203</v>
      </c>
      <c r="E3731" s="23" t="s">
        <v>204</v>
      </c>
      <c r="F3731">
        <v>0.1</v>
      </c>
      <c r="G3731" s="23" t="s">
        <v>180</v>
      </c>
      <c r="H3731">
        <v>0</v>
      </c>
      <c r="I3731">
        <v>50</v>
      </c>
      <c r="J3731" s="10">
        <v>5.5511151231257827E-17</v>
      </c>
      <c r="K3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31">
        <v>0</v>
      </c>
      <c r="M37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1">
        <v>10.61</v>
      </c>
      <c r="O3731" s="23" t="s">
        <v>237</v>
      </c>
      <c r="P3731">
        <v>1.0609999999999999</v>
      </c>
      <c r="Q3731" s="23" t="s">
        <v>222</v>
      </c>
    </row>
    <row r="3732" spans="1:17" x14ac:dyDescent="0.25">
      <c r="A3732" s="23" t="s">
        <v>1097</v>
      </c>
      <c r="B3732" s="23" t="s">
        <v>1095</v>
      </c>
      <c r="C3732" s="23" t="s">
        <v>176</v>
      </c>
      <c r="D3732" s="23" t="s">
        <v>517</v>
      </c>
      <c r="E3732" s="23" t="s">
        <v>518</v>
      </c>
      <c r="F3732">
        <v>2</v>
      </c>
      <c r="G3732" s="23" t="s">
        <v>177</v>
      </c>
      <c r="H3732">
        <v>0</v>
      </c>
      <c r="I3732">
        <v>91</v>
      </c>
      <c r="J3732" s="10">
        <v>17.799999999999994</v>
      </c>
      <c r="K3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3732">
        <v>0</v>
      </c>
      <c r="M37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2">
        <v>85</v>
      </c>
      <c r="O3732" s="23" t="s">
        <v>347</v>
      </c>
      <c r="P3732">
        <v>170</v>
      </c>
      <c r="Q3732" s="23" t="s">
        <v>181</v>
      </c>
    </row>
    <row r="3733" spans="1:17" x14ac:dyDescent="0.25">
      <c r="A3733" s="23" t="s">
        <v>1197</v>
      </c>
      <c r="B3733" s="23" t="s">
        <v>1198</v>
      </c>
      <c r="C3733" s="23" t="s">
        <v>176</v>
      </c>
      <c r="D3733" s="23" t="s">
        <v>767</v>
      </c>
      <c r="E3733" s="23" t="s">
        <v>768</v>
      </c>
      <c r="F3733">
        <v>6</v>
      </c>
      <c r="G3733" s="23" t="s">
        <v>177</v>
      </c>
      <c r="H3733">
        <v>0</v>
      </c>
      <c r="I3733">
        <v>0</v>
      </c>
      <c r="J3733" s="10">
        <v>0</v>
      </c>
      <c r="K3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733">
        <v>0</v>
      </c>
      <c r="M37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3733">
        <v>0.7</v>
      </c>
      <c r="O3733" s="23" t="s">
        <v>221</v>
      </c>
      <c r="P3733">
        <v>4.1999999999999993</v>
      </c>
      <c r="Q3733" s="23" t="s">
        <v>222</v>
      </c>
    </row>
    <row r="3734" spans="1:17" x14ac:dyDescent="0.25">
      <c r="A3734" s="23" t="s">
        <v>1097</v>
      </c>
      <c r="B3734" s="23" t="s">
        <v>1095</v>
      </c>
      <c r="C3734" s="23" t="s">
        <v>176</v>
      </c>
      <c r="D3734" s="23" t="s">
        <v>698</v>
      </c>
      <c r="E3734" s="23" t="s">
        <v>699</v>
      </c>
      <c r="F3734">
        <v>1</v>
      </c>
      <c r="G3734" s="23" t="s">
        <v>177</v>
      </c>
      <c r="H3734">
        <v>0</v>
      </c>
      <c r="I3734">
        <v>7</v>
      </c>
      <c r="J3734" s="10">
        <v>4</v>
      </c>
      <c r="K3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34">
        <v>0</v>
      </c>
      <c r="M37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34">
        <v>2200</v>
      </c>
      <c r="O3734" s="23" t="s">
        <v>253</v>
      </c>
      <c r="P3734">
        <v>2200</v>
      </c>
      <c r="Q3734" s="23" t="s">
        <v>179</v>
      </c>
    </row>
    <row r="3735" spans="1:17" x14ac:dyDescent="0.25">
      <c r="A3735" s="23" t="s">
        <v>1143</v>
      </c>
      <c r="B3735" s="23" t="s">
        <v>1054</v>
      </c>
      <c r="C3735" s="23" t="s">
        <v>176</v>
      </c>
      <c r="D3735" s="23" t="s">
        <v>146</v>
      </c>
      <c r="E3735" s="23" t="s">
        <v>147</v>
      </c>
      <c r="F3735">
        <v>3</v>
      </c>
      <c r="G3735" s="23" t="s">
        <v>177</v>
      </c>
      <c r="H3735">
        <v>0</v>
      </c>
      <c r="I3735">
        <v>0</v>
      </c>
      <c r="J3735" s="10">
        <v>-8.4376949871511897E-15</v>
      </c>
      <c r="K3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3735">
        <v>4</v>
      </c>
      <c r="M37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3735">
        <v>1041.6600000000001</v>
      </c>
      <c r="O3735" s="23" t="s">
        <v>224</v>
      </c>
      <c r="P3735">
        <v>3124.9800000000005</v>
      </c>
      <c r="Q3735" s="23" t="s">
        <v>182</v>
      </c>
    </row>
    <row r="3736" spans="1:17" x14ac:dyDescent="0.25">
      <c r="A3736" s="23" t="s">
        <v>1094</v>
      </c>
      <c r="B3736" s="23" t="s">
        <v>1095</v>
      </c>
      <c r="C3736" s="23" t="s">
        <v>176</v>
      </c>
      <c r="D3736" s="23" t="s">
        <v>140</v>
      </c>
      <c r="E3736" s="23" t="s">
        <v>141</v>
      </c>
      <c r="F3736">
        <v>1</v>
      </c>
      <c r="G3736" s="23" t="s">
        <v>177</v>
      </c>
      <c r="H3736">
        <v>0</v>
      </c>
      <c r="I3736">
        <v>0</v>
      </c>
      <c r="J3736" s="10">
        <v>6.1000000000000014</v>
      </c>
      <c r="K3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8.8000000000000007</v>
      </c>
      <c r="L3736">
        <v>5</v>
      </c>
      <c r="M37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6056.1600000000008</v>
      </c>
      <c r="N3736">
        <v>688.2</v>
      </c>
      <c r="O3736" s="23" t="s">
        <v>673</v>
      </c>
      <c r="P3736">
        <v>688.2</v>
      </c>
      <c r="Q3736" s="23" t="s">
        <v>185</v>
      </c>
    </row>
    <row r="3737" spans="1:17" x14ac:dyDescent="0.25">
      <c r="A3737" s="23" t="s">
        <v>1057</v>
      </c>
      <c r="B3737" s="23" t="s">
        <v>1056</v>
      </c>
      <c r="C3737" s="23" t="s">
        <v>176</v>
      </c>
      <c r="D3737" s="23" t="s">
        <v>555</v>
      </c>
      <c r="E3737" s="23" t="s">
        <v>556</v>
      </c>
      <c r="F3737">
        <v>6</v>
      </c>
      <c r="G3737" s="23" t="s">
        <v>177</v>
      </c>
      <c r="H3737">
        <v>0</v>
      </c>
      <c r="I3737">
        <v>2080</v>
      </c>
      <c r="J3737" s="10">
        <v>84</v>
      </c>
      <c r="K3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-2052</v>
      </c>
      <c r="L3737">
        <v>0</v>
      </c>
      <c r="M37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7">
        <v>0.28999999999999998</v>
      </c>
      <c r="O3737" s="23"/>
      <c r="P3737">
        <v>1.7399999999999998</v>
      </c>
      <c r="Q3737" s="23" t="s">
        <v>181</v>
      </c>
    </row>
    <row r="3738" spans="1:17" x14ac:dyDescent="0.25">
      <c r="A3738" s="23" t="s">
        <v>1094</v>
      </c>
      <c r="B3738" s="23" t="s">
        <v>1095</v>
      </c>
      <c r="C3738" s="23" t="s">
        <v>176</v>
      </c>
      <c r="D3738" s="23" t="s">
        <v>681</v>
      </c>
      <c r="E3738" s="23" t="s">
        <v>682</v>
      </c>
      <c r="F3738">
        <v>1</v>
      </c>
      <c r="G3738" s="23" t="s">
        <v>177</v>
      </c>
      <c r="H3738">
        <v>0</v>
      </c>
      <c r="I3738">
        <v>11</v>
      </c>
      <c r="J3738" s="10">
        <v>3</v>
      </c>
      <c r="K3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738">
        <v>0</v>
      </c>
      <c r="M37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8">
        <v>252</v>
      </c>
      <c r="O3738" s="23" t="s">
        <v>248</v>
      </c>
      <c r="P3738">
        <v>252</v>
      </c>
      <c r="Q3738" s="23" t="s">
        <v>181</v>
      </c>
    </row>
    <row r="3739" spans="1:17" x14ac:dyDescent="0.25">
      <c r="A3739" s="23" t="s">
        <v>1143</v>
      </c>
      <c r="B3739" s="23" t="s">
        <v>1054</v>
      </c>
      <c r="C3739" s="23" t="s">
        <v>176</v>
      </c>
      <c r="D3739" s="23" t="s">
        <v>203</v>
      </c>
      <c r="E3739" s="23" t="s">
        <v>204</v>
      </c>
      <c r="F3739">
        <v>0.30000000000000004</v>
      </c>
      <c r="G3739" s="23" t="s">
        <v>180</v>
      </c>
      <c r="H3739">
        <v>0</v>
      </c>
      <c r="I3739">
        <v>50</v>
      </c>
      <c r="J3739" s="10">
        <v>5.5511151231257827E-17</v>
      </c>
      <c r="K3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39">
        <v>0</v>
      </c>
      <c r="M37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39">
        <v>10.61</v>
      </c>
      <c r="O3739" s="23" t="s">
        <v>237</v>
      </c>
      <c r="P3739">
        <v>3.1830000000000003</v>
      </c>
      <c r="Q3739" s="23" t="s">
        <v>222</v>
      </c>
    </row>
    <row r="3740" spans="1:17" x14ac:dyDescent="0.25">
      <c r="A3740" s="23" t="s">
        <v>1096</v>
      </c>
      <c r="B3740" s="23" t="s">
        <v>1053</v>
      </c>
      <c r="C3740" s="23" t="s">
        <v>176</v>
      </c>
      <c r="D3740" s="23" t="s">
        <v>695</v>
      </c>
      <c r="E3740" s="23" t="s">
        <v>696</v>
      </c>
      <c r="F3740">
        <v>2</v>
      </c>
      <c r="G3740" s="23" t="s">
        <v>177</v>
      </c>
      <c r="H3740">
        <v>2</v>
      </c>
      <c r="I3740">
        <v>6</v>
      </c>
      <c r="J3740" s="10">
        <v>4</v>
      </c>
      <c r="K3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740">
        <v>0</v>
      </c>
      <c r="M37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0">
        <v>260</v>
      </c>
      <c r="O3740" s="23" t="s">
        <v>227</v>
      </c>
      <c r="P3740">
        <v>520</v>
      </c>
      <c r="Q3740" s="23" t="s">
        <v>181</v>
      </c>
    </row>
    <row r="3741" spans="1:17" x14ac:dyDescent="0.25">
      <c r="A3741" s="23" t="s">
        <v>1096</v>
      </c>
      <c r="B3741" s="23" t="s">
        <v>1053</v>
      </c>
      <c r="C3741" s="23" t="s">
        <v>176</v>
      </c>
      <c r="D3741" s="23" t="s">
        <v>203</v>
      </c>
      <c r="E3741" s="23" t="s">
        <v>204</v>
      </c>
      <c r="F3741">
        <v>0.1</v>
      </c>
      <c r="G3741" s="23" t="s">
        <v>180</v>
      </c>
      <c r="H3741">
        <v>0</v>
      </c>
      <c r="I3741">
        <v>50</v>
      </c>
      <c r="J3741" s="10">
        <v>5.5511151231257827E-17</v>
      </c>
      <c r="K3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41">
        <v>0</v>
      </c>
      <c r="M37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1">
        <v>10.61</v>
      </c>
      <c r="O3741" s="23" t="s">
        <v>237</v>
      </c>
      <c r="P3741">
        <v>1.0609999999999999</v>
      </c>
      <c r="Q3741" s="23" t="s">
        <v>222</v>
      </c>
    </row>
    <row r="3742" spans="1:17" x14ac:dyDescent="0.25">
      <c r="A3742" s="23" t="s">
        <v>1094</v>
      </c>
      <c r="B3742" s="23" t="s">
        <v>1095</v>
      </c>
      <c r="C3742" s="23" t="s">
        <v>176</v>
      </c>
      <c r="D3742" s="23" t="s">
        <v>203</v>
      </c>
      <c r="E3742" s="23" t="s">
        <v>204</v>
      </c>
      <c r="F3742">
        <v>0.1</v>
      </c>
      <c r="G3742" s="23" t="s">
        <v>180</v>
      </c>
      <c r="H3742">
        <v>0</v>
      </c>
      <c r="I3742">
        <v>50</v>
      </c>
      <c r="J3742" s="10">
        <v>5.5511151231257827E-17</v>
      </c>
      <c r="K3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42">
        <v>0</v>
      </c>
      <c r="M37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2">
        <v>10.61</v>
      </c>
      <c r="O3742" s="23" t="s">
        <v>237</v>
      </c>
      <c r="P3742">
        <v>1.0609999999999999</v>
      </c>
      <c r="Q3742" s="23" t="s">
        <v>222</v>
      </c>
    </row>
    <row r="3743" spans="1:17" x14ac:dyDescent="0.25">
      <c r="A3743" s="23" t="s">
        <v>1094</v>
      </c>
      <c r="B3743" s="23" t="s">
        <v>1095</v>
      </c>
      <c r="C3743" s="23" t="s">
        <v>176</v>
      </c>
      <c r="D3743" s="23" t="s">
        <v>698</v>
      </c>
      <c r="E3743" s="23" t="s">
        <v>699</v>
      </c>
      <c r="F3743">
        <v>1</v>
      </c>
      <c r="G3743" s="23" t="s">
        <v>177</v>
      </c>
      <c r="H3743">
        <v>0</v>
      </c>
      <c r="I3743">
        <v>7</v>
      </c>
      <c r="J3743" s="10">
        <v>4</v>
      </c>
      <c r="K3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3743">
        <v>0</v>
      </c>
      <c r="M37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3743">
        <v>2200</v>
      </c>
      <c r="O3743" s="23" t="s">
        <v>253</v>
      </c>
      <c r="P3743">
        <v>2200</v>
      </c>
      <c r="Q3743" s="23" t="s">
        <v>179</v>
      </c>
    </row>
    <row r="3744" spans="1:17" x14ac:dyDescent="0.25">
      <c r="A3744" s="23" t="s">
        <v>1142</v>
      </c>
      <c r="B3744" s="23" t="s">
        <v>1054</v>
      </c>
      <c r="C3744" s="23" t="s">
        <v>176</v>
      </c>
      <c r="D3744" s="23" t="s">
        <v>203</v>
      </c>
      <c r="E3744" s="23" t="s">
        <v>204</v>
      </c>
      <c r="F3744">
        <v>0.10100000000000001</v>
      </c>
      <c r="G3744" s="23" t="s">
        <v>180</v>
      </c>
      <c r="H3744">
        <v>0</v>
      </c>
      <c r="I3744">
        <v>50</v>
      </c>
      <c r="J3744" s="10">
        <v>5.5511151231257827E-17</v>
      </c>
      <c r="K3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-47.386000000000003</v>
      </c>
      <c r="L3744">
        <v>0</v>
      </c>
      <c r="M37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4">
        <v>10.61</v>
      </c>
      <c r="O3744" s="23" t="s">
        <v>237</v>
      </c>
      <c r="P3744">
        <v>1.07161</v>
      </c>
      <c r="Q3744" s="23" t="s">
        <v>222</v>
      </c>
    </row>
    <row r="3745" spans="1:17" x14ac:dyDescent="0.25">
      <c r="A3745" s="23" t="s">
        <v>1142</v>
      </c>
      <c r="B3745" s="23" t="s">
        <v>1054</v>
      </c>
      <c r="C3745" s="23" t="s">
        <v>176</v>
      </c>
      <c r="D3745" s="23" t="s">
        <v>60</v>
      </c>
      <c r="E3745" s="23" t="s">
        <v>61</v>
      </c>
      <c r="F3745">
        <v>1</v>
      </c>
      <c r="G3745" s="23" t="s">
        <v>177</v>
      </c>
      <c r="H3745">
        <v>0</v>
      </c>
      <c r="I3745">
        <v>18</v>
      </c>
      <c r="J3745" s="10">
        <v>10</v>
      </c>
      <c r="K3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745">
        <v>0</v>
      </c>
      <c r="M37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5">
        <v>115.6</v>
      </c>
      <c r="O3745" s="23" t="s">
        <v>827</v>
      </c>
      <c r="P3745">
        <v>115.6</v>
      </c>
      <c r="Q3745" s="23" t="s">
        <v>222</v>
      </c>
    </row>
    <row r="3746" spans="1:17" x14ac:dyDescent="0.25">
      <c r="A3746" s="23" t="s">
        <v>1142</v>
      </c>
      <c r="B3746" s="23" t="s">
        <v>1054</v>
      </c>
      <c r="C3746" s="23" t="s">
        <v>176</v>
      </c>
      <c r="D3746" s="23" t="s">
        <v>407</v>
      </c>
      <c r="E3746" s="23" t="s">
        <v>408</v>
      </c>
      <c r="F3746">
        <v>2</v>
      </c>
      <c r="G3746" s="23" t="s">
        <v>177</v>
      </c>
      <c r="H3746">
        <v>0</v>
      </c>
      <c r="I3746">
        <v>35</v>
      </c>
      <c r="J3746" s="10">
        <v>61</v>
      </c>
      <c r="K3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46">
        <v>0</v>
      </c>
      <c r="M37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6">
        <v>19.07</v>
      </c>
      <c r="O3746" s="23" t="s">
        <v>827</v>
      </c>
      <c r="P3746">
        <v>38.14</v>
      </c>
      <c r="Q3746" s="23" t="s">
        <v>222</v>
      </c>
    </row>
    <row r="3747" spans="1:17" x14ac:dyDescent="0.25">
      <c r="A3747" s="23" t="s">
        <v>1144</v>
      </c>
      <c r="B3747" s="23" t="s">
        <v>1145</v>
      </c>
      <c r="C3747" s="23" t="s">
        <v>176</v>
      </c>
      <c r="D3747" s="23" t="s">
        <v>339</v>
      </c>
      <c r="E3747" s="23" t="s">
        <v>340</v>
      </c>
      <c r="F3747">
        <v>2.4700000000000002</v>
      </c>
      <c r="G3747" s="23" t="s">
        <v>186</v>
      </c>
      <c r="H3747">
        <v>0</v>
      </c>
      <c r="I3747">
        <v>0</v>
      </c>
      <c r="J3747" s="10">
        <v>154.95000000000007</v>
      </c>
      <c r="K3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747">
        <v>60</v>
      </c>
      <c r="M37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747">
        <v>194.75</v>
      </c>
      <c r="O3747" s="23" t="s">
        <v>491</v>
      </c>
      <c r="P3747">
        <v>481.03250000000003</v>
      </c>
      <c r="Q3747" s="23" t="s">
        <v>184</v>
      </c>
    </row>
    <row r="3748" spans="1:17" x14ac:dyDescent="0.25">
      <c r="A3748" s="23" t="s">
        <v>1146</v>
      </c>
      <c r="B3748" s="23" t="s">
        <v>1145</v>
      </c>
      <c r="C3748" s="23" t="s">
        <v>176</v>
      </c>
      <c r="D3748" s="23" t="s">
        <v>339</v>
      </c>
      <c r="E3748" s="23" t="s">
        <v>340</v>
      </c>
      <c r="F3748">
        <v>2.4700000000000002</v>
      </c>
      <c r="G3748" s="23" t="s">
        <v>186</v>
      </c>
      <c r="H3748">
        <v>2.4700000000000002</v>
      </c>
      <c r="I3748">
        <v>0</v>
      </c>
      <c r="J3748" s="10">
        <v>154.95000000000007</v>
      </c>
      <c r="K3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748">
        <v>60</v>
      </c>
      <c r="M37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748">
        <v>194.75</v>
      </c>
      <c r="O3748" s="23" t="s">
        <v>491</v>
      </c>
      <c r="P3748">
        <v>481.03250000000003</v>
      </c>
      <c r="Q3748" s="23" t="s">
        <v>184</v>
      </c>
    </row>
    <row r="3749" spans="1:17" x14ac:dyDescent="0.25">
      <c r="A3749" s="23" t="s">
        <v>1094</v>
      </c>
      <c r="B3749" s="23" t="s">
        <v>1095</v>
      </c>
      <c r="C3749" s="23" t="s">
        <v>176</v>
      </c>
      <c r="D3749" s="23" t="s">
        <v>60</v>
      </c>
      <c r="E3749" s="23" t="s">
        <v>61</v>
      </c>
      <c r="F3749">
        <v>1</v>
      </c>
      <c r="G3749" s="23" t="s">
        <v>177</v>
      </c>
      <c r="H3749">
        <v>0</v>
      </c>
      <c r="I3749">
        <v>18</v>
      </c>
      <c r="J3749" s="10">
        <v>10</v>
      </c>
      <c r="K3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749">
        <v>0</v>
      </c>
      <c r="M37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49">
        <v>115.6</v>
      </c>
      <c r="O3749" s="23" t="s">
        <v>827</v>
      </c>
      <c r="P3749">
        <v>115.6</v>
      </c>
      <c r="Q3749" s="23" t="s">
        <v>222</v>
      </c>
    </row>
    <row r="3750" spans="1:17" x14ac:dyDescent="0.25">
      <c r="A3750" s="23" t="s">
        <v>1094</v>
      </c>
      <c r="B3750" s="23" t="s">
        <v>1095</v>
      </c>
      <c r="C3750" s="23" t="s">
        <v>176</v>
      </c>
      <c r="D3750" s="23" t="s">
        <v>407</v>
      </c>
      <c r="E3750" s="23" t="s">
        <v>408</v>
      </c>
      <c r="F3750">
        <v>1</v>
      </c>
      <c r="G3750" s="23" t="s">
        <v>177</v>
      </c>
      <c r="H3750">
        <v>0</v>
      </c>
      <c r="I3750">
        <v>35</v>
      </c>
      <c r="J3750" s="10">
        <v>61</v>
      </c>
      <c r="K3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50">
        <v>0</v>
      </c>
      <c r="M37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0">
        <v>19.07</v>
      </c>
      <c r="O3750" s="23" t="s">
        <v>827</v>
      </c>
      <c r="P3750">
        <v>19.07</v>
      </c>
      <c r="Q3750" s="23" t="s">
        <v>222</v>
      </c>
    </row>
    <row r="3751" spans="1:17" x14ac:dyDescent="0.25">
      <c r="A3751" s="23" t="s">
        <v>1096</v>
      </c>
      <c r="B3751" s="23" t="s">
        <v>1053</v>
      </c>
      <c r="C3751" s="23" t="s">
        <v>176</v>
      </c>
      <c r="D3751" s="23" t="s">
        <v>407</v>
      </c>
      <c r="E3751" s="23" t="s">
        <v>408</v>
      </c>
      <c r="F3751">
        <v>1</v>
      </c>
      <c r="G3751" s="23" t="s">
        <v>177</v>
      </c>
      <c r="H3751">
        <v>0</v>
      </c>
      <c r="I3751">
        <v>35</v>
      </c>
      <c r="J3751" s="10">
        <v>61</v>
      </c>
      <c r="K3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751">
        <v>0</v>
      </c>
      <c r="M37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1">
        <v>19.07</v>
      </c>
      <c r="O3751" s="23" t="s">
        <v>827</v>
      </c>
      <c r="P3751">
        <v>19.07</v>
      </c>
      <c r="Q3751" s="23" t="s">
        <v>222</v>
      </c>
    </row>
    <row r="3752" spans="1:17" x14ac:dyDescent="0.25">
      <c r="A3752" s="23" t="s">
        <v>1142</v>
      </c>
      <c r="B3752" s="23" t="s">
        <v>1054</v>
      </c>
      <c r="C3752" s="23" t="s">
        <v>176</v>
      </c>
      <c r="D3752" s="23" t="s">
        <v>301</v>
      </c>
      <c r="E3752" s="23" t="s">
        <v>302</v>
      </c>
      <c r="F3752">
        <v>18</v>
      </c>
      <c r="G3752" s="23" t="s">
        <v>177</v>
      </c>
      <c r="H3752">
        <v>0</v>
      </c>
      <c r="I3752">
        <v>180</v>
      </c>
      <c r="J3752" s="10">
        <v>80</v>
      </c>
      <c r="K3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752">
        <v>0</v>
      </c>
      <c r="M37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752">
        <v>240</v>
      </c>
      <c r="O3752" s="23" t="s">
        <v>242</v>
      </c>
      <c r="P3752">
        <v>4320</v>
      </c>
      <c r="Q3752" s="23" t="s">
        <v>181</v>
      </c>
    </row>
    <row r="3753" spans="1:17" x14ac:dyDescent="0.25">
      <c r="A3753" s="23" t="s">
        <v>1143</v>
      </c>
      <c r="B3753" s="23" t="s">
        <v>1054</v>
      </c>
      <c r="C3753" s="23" t="s">
        <v>176</v>
      </c>
      <c r="D3753" s="23" t="s">
        <v>339</v>
      </c>
      <c r="E3753" s="23" t="s">
        <v>340</v>
      </c>
      <c r="F3753">
        <v>17.100000000000001</v>
      </c>
      <c r="G3753" s="23" t="s">
        <v>186</v>
      </c>
      <c r="H3753">
        <v>0</v>
      </c>
      <c r="I3753">
        <v>0</v>
      </c>
      <c r="J3753" s="10">
        <v>154.95000000000007</v>
      </c>
      <c r="K3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753">
        <v>60</v>
      </c>
      <c r="M37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753">
        <v>194.75</v>
      </c>
      <c r="O3753" s="23" t="s">
        <v>491</v>
      </c>
      <c r="P3753">
        <v>3330.2250000000004</v>
      </c>
      <c r="Q3753" s="23" t="s">
        <v>184</v>
      </c>
    </row>
    <row r="3754" spans="1:17" x14ac:dyDescent="0.25">
      <c r="A3754" s="23" t="s">
        <v>1057</v>
      </c>
      <c r="B3754" s="23" t="s">
        <v>1056</v>
      </c>
      <c r="C3754" s="23" t="s">
        <v>176</v>
      </c>
      <c r="D3754" s="23" t="s">
        <v>392</v>
      </c>
      <c r="E3754" s="23" t="s">
        <v>393</v>
      </c>
      <c r="F3754">
        <v>5.5</v>
      </c>
      <c r="G3754" s="23" t="s">
        <v>177</v>
      </c>
      <c r="H3754">
        <v>0</v>
      </c>
      <c r="I3754">
        <v>0</v>
      </c>
      <c r="J3754" s="10">
        <v>24.050000000000068</v>
      </c>
      <c r="K3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754">
        <v>34</v>
      </c>
      <c r="M37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754">
        <v>1691.67</v>
      </c>
      <c r="O3754" s="23" t="s">
        <v>224</v>
      </c>
      <c r="P3754">
        <v>9304.1850000000013</v>
      </c>
      <c r="Q3754" s="23" t="s">
        <v>182</v>
      </c>
    </row>
    <row r="3755" spans="1:17" x14ac:dyDescent="0.25">
      <c r="A3755" s="23" t="s">
        <v>1197</v>
      </c>
      <c r="B3755" s="23" t="s">
        <v>1198</v>
      </c>
      <c r="C3755" s="23" t="s">
        <v>176</v>
      </c>
      <c r="D3755" s="23" t="s">
        <v>619</v>
      </c>
      <c r="E3755" s="23" t="s">
        <v>828</v>
      </c>
      <c r="F3755">
        <v>1</v>
      </c>
      <c r="G3755" s="23" t="s">
        <v>177</v>
      </c>
      <c r="H3755">
        <v>0</v>
      </c>
      <c r="I3755">
        <v>37</v>
      </c>
      <c r="J3755" s="10">
        <v>2</v>
      </c>
      <c r="K3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755">
        <v>0</v>
      </c>
      <c r="M37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5">
        <v>82.6</v>
      </c>
      <c r="O3755" s="23" t="s">
        <v>822</v>
      </c>
      <c r="P3755">
        <v>82.6</v>
      </c>
      <c r="Q3755" s="23" t="s">
        <v>179</v>
      </c>
    </row>
    <row r="3756" spans="1:17" x14ac:dyDescent="0.25">
      <c r="A3756" s="23" t="s">
        <v>1143</v>
      </c>
      <c r="B3756" s="23" t="s">
        <v>1054</v>
      </c>
      <c r="C3756" s="23" t="s">
        <v>176</v>
      </c>
      <c r="D3756" s="23" t="s">
        <v>9</v>
      </c>
      <c r="E3756" s="23" t="s">
        <v>10</v>
      </c>
      <c r="F3756">
        <v>4</v>
      </c>
      <c r="G3756" s="23" t="s">
        <v>177</v>
      </c>
      <c r="H3756">
        <v>0</v>
      </c>
      <c r="I3756">
        <v>19</v>
      </c>
      <c r="J3756" s="10">
        <v>32</v>
      </c>
      <c r="K3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3756">
        <v>20</v>
      </c>
      <c r="M37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6">
        <v>72.819999999999993</v>
      </c>
      <c r="O3756" s="23" t="s">
        <v>228</v>
      </c>
      <c r="P3756">
        <v>291.27999999999997</v>
      </c>
      <c r="Q3756" s="23" t="s">
        <v>222</v>
      </c>
    </row>
    <row r="3757" spans="1:17" x14ac:dyDescent="0.25">
      <c r="A3757" s="23" t="s">
        <v>1057</v>
      </c>
      <c r="B3757" s="23" t="s">
        <v>1056</v>
      </c>
      <c r="C3757" s="23" t="s">
        <v>176</v>
      </c>
      <c r="D3757" s="23" t="s">
        <v>11</v>
      </c>
      <c r="E3757" s="23" t="s">
        <v>12</v>
      </c>
      <c r="F3757">
        <v>1</v>
      </c>
      <c r="G3757" s="23" t="s">
        <v>177</v>
      </c>
      <c r="H3757">
        <v>1</v>
      </c>
      <c r="I3757">
        <v>26</v>
      </c>
      <c r="J3757" s="10">
        <v>8</v>
      </c>
      <c r="K3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3757">
        <v>0</v>
      </c>
      <c r="M37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7">
        <v>368.07</v>
      </c>
      <c r="O3757" s="23" t="s">
        <v>590</v>
      </c>
      <c r="P3757">
        <v>368.07</v>
      </c>
      <c r="Q3757" s="23" t="s">
        <v>222</v>
      </c>
    </row>
    <row r="3758" spans="1:17" x14ac:dyDescent="0.25">
      <c r="A3758" s="23" t="s">
        <v>1057</v>
      </c>
      <c r="B3758" s="23" t="s">
        <v>1056</v>
      </c>
      <c r="C3758" s="23" t="s">
        <v>176</v>
      </c>
      <c r="D3758" s="23" t="s">
        <v>205</v>
      </c>
      <c r="E3758" s="23" t="s">
        <v>206</v>
      </c>
      <c r="F3758">
        <v>0.5</v>
      </c>
      <c r="G3758" s="23" t="s">
        <v>177</v>
      </c>
      <c r="H3758">
        <v>0</v>
      </c>
      <c r="I3758">
        <v>100</v>
      </c>
      <c r="J3758" s="10">
        <v>41</v>
      </c>
      <c r="K3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758">
        <v>0</v>
      </c>
      <c r="M37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8">
        <v>60</v>
      </c>
      <c r="O3758" s="23" t="s">
        <v>221</v>
      </c>
      <c r="P3758">
        <v>30</v>
      </c>
      <c r="Q3758" s="23" t="s">
        <v>181</v>
      </c>
    </row>
    <row r="3759" spans="1:17" x14ac:dyDescent="0.25">
      <c r="A3759" s="23" t="s">
        <v>1094</v>
      </c>
      <c r="B3759" s="23" t="s">
        <v>1095</v>
      </c>
      <c r="C3759" s="23" t="s">
        <v>176</v>
      </c>
      <c r="D3759" s="23" t="s">
        <v>205</v>
      </c>
      <c r="E3759" s="23" t="s">
        <v>206</v>
      </c>
      <c r="F3759">
        <v>1</v>
      </c>
      <c r="G3759" s="23" t="s">
        <v>177</v>
      </c>
      <c r="H3759">
        <v>0</v>
      </c>
      <c r="I3759">
        <v>100</v>
      </c>
      <c r="J3759" s="10">
        <v>41</v>
      </c>
      <c r="K3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3759">
        <v>0</v>
      </c>
      <c r="M37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59">
        <v>60</v>
      </c>
      <c r="O3759" s="23" t="s">
        <v>221</v>
      </c>
      <c r="P3759">
        <v>60</v>
      </c>
      <c r="Q3759" s="23" t="s">
        <v>181</v>
      </c>
    </row>
    <row r="3760" spans="1:17" x14ac:dyDescent="0.25">
      <c r="A3760" s="23" t="s">
        <v>1143</v>
      </c>
      <c r="B3760" s="23" t="s">
        <v>1054</v>
      </c>
      <c r="C3760" s="23" t="s">
        <v>176</v>
      </c>
      <c r="D3760" s="23" t="s">
        <v>207</v>
      </c>
      <c r="E3760" s="23" t="s">
        <v>282</v>
      </c>
      <c r="F3760">
        <v>0.71000000000000008</v>
      </c>
      <c r="G3760" s="23" t="s">
        <v>177</v>
      </c>
      <c r="H3760">
        <v>0</v>
      </c>
      <c r="I3760">
        <v>20</v>
      </c>
      <c r="J3760" s="10">
        <v>116.66400000000021</v>
      </c>
      <c r="K3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3760">
        <v>0</v>
      </c>
      <c r="M37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0">
        <v>185</v>
      </c>
      <c r="O3760" s="23" t="s">
        <v>242</v>
      </c>
      <c r="P3760">
        <v>131.35000000000002</v>
      </c>
      <c r="Q3760" s="23" t="s">
        <v>181</v>
      </c>
    </row>
    <row r="3761" spans="1:17" x14ac:dyDescent="0.25">
      <c r="A3761" s="23" t="s">
        <v>1096</v>
      </c>
      <c r="B3761" s="23" t="s">
        <v>1053</v>
      </c>
      <c r="C3761" s="23" t="s">
        <v>176</v>
      </c>
      <c r="D3761" s="23" t="s">
        <v>345</v>
      </c>
      <c r="E3761" s="23" t="s">
        <v>346</v>
      </c>
      <c r="F3761">
        <v>2</v>
      </c>
      <c r="G3761" s="23" t="s">
        <v>177</v>
      </c>
      <c r="H3761">
        <v>0</v>
      </c>
      <c r="I3761">
        <v>228</v>
      </c>
      <c r="J3761" s="10">
        <v>4.6185277824406512E-14</v>
      </c>
      <c r="K3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761">
        <v>0</v>
      </c>
      <c r="M37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1">
        <v>6</v>
      </c>
      <c r="O3761" s="23" t="s">
        <v>347</v>
      </c>
      <c r="P3761">
        <v>12</v>
      </c>
      <c r="Q3761" s="23" t="s">
        <v>181</v>
      </c>
    </row>
    <row r="3762" spans="1:17" x14ac:dyDescent="0.25">
      <c r="A3762" s="23" t="s">
        <v>1143</v>
      </c>
      <c r="B3762" s="23" t="s">
        <v>1054</v>
      </c>
      <c r="C3762" s="23" t="s">
        <v>176</v>
      </c>
      <c r="D3762" s="23" t="s">
        <v>345</v>
      </c>
      <c r="E3762" s="23" t="s">
        <v>346</v>
      </c>
      <c r="F3762">
        <v>2</v>
      </c>
      <c r="G3762" s="23" t="s">
        <v>177</v>
      </c>
      <c r="H3762">
        <v>0</v>
      </c>
      <c r="I3762">
        <v>228</v>
      </c>
      <c r="J3762" s="10">
        <v>4.6185277824406512E-14</v>
      </c>
      <c r="K3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762">
        <v>0</v>
      </c>
      <c r="M37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2">
        <v>6</v>
      </c>
      <c r="O3762" s="23" t="s">
        <v>347</v>
      </c>
      <c r="P3762">
        <v>12</v>
      </c>
      <c r="Q3762" s="23" t="s">
        <v>181</v>
      </c>
    </row>
    <row r="3763" spans="1:17" x14ac:dyDescent="0.25">
      <c r="A3763" s="23" t="s">
        <v>1096</v>
      </c>
      <c r="B3763" s="23" t="s">
        <v>1053</v>
      </c>
      <c r="C3763" s="23" t="s">
        <v>176</v>
      </c>
      <c r="D3763" s="23" t="s">
        <v>419</v>
      </c>
      <c r="E3763" s="23" t="s">
        <v>1225</v>
      </c>
      <c r="F3763">
        <v>9</v>
      </c>
      <c r="G3763" s="23" t="s">
        <v>177</v>
      </c>
      <c r="H3763">
        <v>0</v>
      </c>
      <c r="I3763">
        <v>148</v>
      </c>
      <c r="J3763" s="10">
        <v>59</v>
      </c>
      <c r="K3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763">
        <v>0</v>
      </c>
      <c r="M37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3">
        <v>24.17</v>
      </c>
      <c r="O3763" s="23" t="s">
        <v>629</v>
      </c>
      <c r="P3763">
        <v>217.53000000000003</v>
      </c>
      <c r="Q3763" s="23" t="s">
        <v>181</v>
      </c>
    </row>
    <row r="3764" spans="1:17" x14ac:dyDescent="0.25">
      <c r="A3764" s="23" t="s">
        <v>1094</v>
      </c>
      <c r="B3764" s="23" t="s">
        <v>1095</v>
      </c>
      <c r="C3764" s="23" t="s">
        <v>176</v>
      </c>
      <c r="D3764" s="23" t="s">
        <v>419</v>
      </c>
      <c r="E3764" s="23" t="s">
        <v>1225</v>
      </c>
      <c r="F3764">
        <v>4</v>
      </c>
      <c r="G3764" s="23" t="s">
        <v>177</v>
      </c>
      <c r="H3764">
        <v>0</v>
      </c>
      <c r="I3764">
        <v>148</v>
      </c>
      <c r="J3764" s="10">
        <v>59</v>
      </c>
      <c r="K3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3764">
        <v>0</v>
      </c>
      <c r="M37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4">
        <v>24.17</v>
      </c>
      <c r="O3764" s="23" t="s">
        <v>629</v>
      </c>
      <c r="P3764">
        <v>96.68</v>
      </c>
      <c r="Q3764" s="23" t="s">
        <v>181</v>
      </c>
    </row>
    <row r="3765" spans="1:17" x14ac:dyDescent="0.25">
      <c r="A3765" s="23" t="s">
        <v>1096</v>
      </c>
      <c r="B3765" s="23" t="s">
        <v>1053</v>
      </c>
      <c r="C3765" s="23" t="s">
        <v>176</v>
      </c>
      <c r="D3765" s="23" t="s">
        <v>105</v>
      </c>
      <c r="E3765" s="23" t="s">
        <v>106</v>
      </c>
      <c r="F3765">
        <v>7</v>
      </c>
      <c r="G3765" s="23" t="s">
        <v>177</v>
      </c>
      <c r="H3765">
        <v>0</v>
      </c>
      <c r="I3765">
        <v>39</v>
      </c>
      <c r="J3765" s="10">
        <v>36</v>
      </c>
      <c r="K3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765">
        <v>0</v>
      </c>
      <c r="M37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765">
        <v>105</v>
      </c>
      <c r="O3765" s="23" t="s">
        <v>626</v>
      </c>
      <c r="P3765">
        <v>735</v>
      </c>
      <c r="Q3765" s="23" t="s">
        <v>179</v>
      </c>
    </row>
    <row r="3766" spans="1:17" x14ac:dyDescent="0.25">
      <c r="A3766" s="23" t="s">
        <v>1094</v>
      </c>
      <c r="B3766" s="23" t="s">
        <v>1095</v>
      </c>
      <c r="C3766" s="23" t="s">
        <v>176</v>
      </c>
      <c r="D3766" s="23" t="s">
        <v>105</v>
      </c>
      <c r="E3766" s="23" t="s">
        <v>106</v>
      </c>
      <c r="F3766">
        <v>6</v>
      </c>
      <c r="G3766" s="23" t="s">
        <v>177</v>
      </c>
      <c r="H3766">
        <v>0</v>
      </c>
      <c r="I3766">
        <v>39</v>
      </c>
      <c r="J3766" s="10">
        <v>36</v>
      </c>
      <c r="K3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766">
        <v>0</v>
      </c>
      <c r="M37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766">
        <v>105</v>
      </c>
      <c r="O3766" s="23" t="s">
        <v>626</v>
      </c>
      <c r="P3766">
        <v>630</v>
      </c>
      <c r="Q3766" s="23" t="s">
        <v>179</v>
      </c>
    </row>
    <row r="3767" spans="1:17" x14ac:dyDescent="0.25">
      <c r="A3767" s="23" t="s">
        <v>1094</v>
      </c>
      <c r="B3767" s="23" t="s">
        <v>1095</v>
      </c>
      <c r="C3767" s="23" t="s">
        <v>176</v>
      </c>
      <c r="D3767" s="23" t="s">
        <v>379</v>
      </c>
      <c r="E3767" s="23" t="s">
        <v>380</v>
      </c>
      <c r="F3767">
        <v>1</v>
      </c>
      <c r="G3767" s="23" t="s">
        <v>177</v>
      </c>
      <c r="H3767">
        <v>0</v>
      </c>
      <c r="I3767">
        <v>50</v>
      </c>
      <c r="J3767" s="10">
        <v>33</v>
      </c>
      <c r="K3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767">
        <v>0</v>
      </c>
      <c r="M37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7">
        <v>72.599999999999994</v>
      </c>
      <c r="O3767" s="23" t="s">
        <v>242</v>
      </c>
      <c r="P3767">
        <v>72.599999999999994</v>
      </c>
      <c r="Q3767" s="23" t="s">
        <v>179</v>
      </c>
    </row>
    <row r="3768" spans="1:17" x14ac:dyDescent="0.25">
      <c r="A3768" s="23" t="s">
        <v>1149</v>
      </c>
      <c r="B3768" s="23" t="s">
        <v>1145</v>
      </c>
      <c r="C3768" s="23" t="s">
        <v>176</v>
      </c>
      <c r="D3768" s="23" t="s">
        <v>345</v>
      </c>
      <c r="E3768" s="23" t="s">
        <v>346</v>
      </c>
      <c r="F3768">
        <v>3</v>
      </c>
      <c r="G3768" s="23" t="s">
        <v>177</v>
      </c>
      <c r="H3768">
        <v>0</v>
      </c>
      <c r="I3768">
        <v>228</v>
      </c>
      <c r="J3768" s="10">
        <v>4.6185277824406512E-14</v>
      </c>
      <c r="K3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768">
        <v>0</v>
      </c>
      <c r="M37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8">
        <v>6</v>
      </c>
      <c r="O3768" s="23" t="s">
        <v>347</v>
      </c>
      <c r="P3768">
        <v>18</v>
      </c>
      <c r="Q3768" s="23" t="s">
        <v>181</v>
      </c>
    </row>
    <row r="3769" spans="1:17" x14ac:dyDescent="0.25">
      <c r="A3769" s="23" t="s">
        <v>1144</v>
      </c>
      <c r="B3769" s="23" t="s">
        <v>1145</v>
      </c>
      <c r="C3769" s="23" t="s">
        <v>176</v>
      </c>
      <c r="D3769" s="23" t="s">
        <v>345</v>
      </c>
      <c r="E3769" s="23" t="s">
        <v>346</v>
      </c>
      <c r="F3769">
        <v>3</v>
      </c>
      <c r="G3769" s="23" t="s">
        <v>177</v>
      </c>
      <c r="H3769">
        <v>0</v>
      </c>
      <c r="I3769">
        <v>228</v>
      </c>
      <c r="J3769" s="10">
        <v>4.6185277824406512E-14</v>
      </c>
      <c r="K3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3769">
        <v>0</v>
      </c>
      <c r="M37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69">
        <v>6</v>
      </c>
      <c r="O3769" s="23" t="s">
        <v>347</v>
      </c>
      <c r="P3769">
        <v>18</v>
      </c>
      <c r="Q3769" s="23" t="s">
        <v>181</v>
      </c>
    </row>
    <row r="3770" spans="1:17" x14ac:dyDescent="0.25">
      <c r="A3770" s="23" t="s">
        <v>1062</v>
      </c>
      <c r="B3770" s="23" t="s">
        <v>1053</v>
      </c>
      <c r="C3770" s="23" t="s">
        <v>176</v>
      </c>
      <c r="D3770" s="23" t="s">
        <v>105</v>
      </c>
      <c r="E3770" s="23" t="s">
        <v>106</v>
      </c>
      <c r="F3770">
        <v>7</v>
      </c>
      <c r="G3770" s="23" t="s">
        <v>177</v>
      </c>
      <c r="H3770">
        <v>0</v>
      </c>
      <c r="I3770">
        <v>39</v>
      </c>
      <c r="J3770" s="10">
        <v>36</v>
      </c>
      <c r="K3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3770">
        <v>0</v>
      </c>
      <c r="M37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3770">
        <v>105</v>
      </c>
      <c r="O3770" s="23" t="s">
        <v>626</v>
      </c>
      <c r="P3770">
        <v>735</v>
      </c>
      <c r="Q3770" s="23" t="s">
        <v>179</v>
      </c>
    </row>
    <row r="3771" spans="1:17" x14ac:dyDescent="0.25">
      <c r="A3771" s="23" t="s">
        <v>1062</v>
      </c>
      <c r="B3771" s="23" t="s">
        <v>1053</v>
      </c>
      <c r="C3771" s="23" t="s">
        <v>176</v>
      </c>
      <c r="D3771" s="23" t="s">
        <v>379</v>
      </c>
      <c r="E3771" s="23" t="s">
        <v>380</v>
      </c>
      <c r="F3771">
        <v>2</v>
      </c>
      <c r="G3771" s="23" t="s">
        <v>177</v>
      </c>
      <c r="H3771">
        <v>0</v>
      </c>
      <c r="I3771">
        <v>50</v>
      </c>
      <c r="J3771" s="10">
        <v>33</v>
      </c>
      <c r="K3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771">
        <v>0</v>
      </c>
      <c r="M37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1">
        <v>72.599999999999994</v>
      </c>
      <c r="O3771" s="23" t="s">
        <v>242</v>
      </c>
      <c r="P3771">
        <v>145.19999999999999</v>
      </c>
      <c r="Q3771" s="23" t="s">
        <v>179</v>
      </c>
    </row>
    <row r="3772" spans="1:17" x14ac:dyDescent="0.25">
      <c r="A3772" s="23" t="s">
        <v>1098</v>
      </c>
      <c r="B3772" s="23" t="s">
        <v>1053</v>
      </c>
      <c r="C3772" s="23" t="s">
        <v>176</v>
      </c>
      <c r="D3772" s="23" t="s">
        <v>379</v>
      </c>
      <c r="E3772" s="23" t="s">
        <v>380</v>
      </c>
      <c r="F3772">
        <v>2</v>
      </c>
      <c r="G3772" s="23" t="s">
        <v>177</v>
      </c>
      <c r="H3772">
        <v>0</v>
      </c>
      <c r="I3772">
        <v>50</v>
      </c>
      <c r="J3772" s="10">
        <v>33</v>
      </c>
      <c r="K3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3772">
        <v>0</v>
      </c>
      <c r="M37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2">
        <v>72.599999999999994</v>
      </c>
      <c r="O3772" s="23" t="s">
        <v>242</v>
      </c>
      <c r="P3772">
        <v>145.19999999999999</v>
      </c>
      <c r="Q3772" s="23" t="s">
        <v>179</v>
      </c>
    </row>
    <row r="3773" spans="1:17" x14ac:dyDescent="0.25">
      <c r="A3773" s="23" t="s">
        <v>1143</v>
      </c>
      <c r="B3773" s="23" t="s">
        <v>1054</v>
      </c>
      <c r="C3773" s="23" t="s">
        <v>176</v>
      </c>
      <c r="D3773" s="23" t="s">
        <v>104</v>
      </c>
      <c r="E3773" s="23" t="s">
        <v>290</v>
      </c>
      <c r="F3773">
        <v>4.5999999999999996</v>
      </c>
      <c r="G3773" s="23" t="s">
        <v>177</v>
      </c>
      <c r="H3773">
        <v>0</v>
      </c>
      <c r="I3773">
        <v>87</v>
      </c>
      <c r="J3773" s="10">
        <v>50.899999999999949</v>
      </c>
      <c r="K3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773">
        <v>0</v>
      </c>
      <c r="M37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3">
        <v>122.09</v>
      </c>
      <c r="O3773" s="23" t="s">
        <v>252</v>
      </c>
      <c r="P3773">
        <v>561.61399999999992</v>
      </c>
      <c r="Q3773" s="23" t="s">
        <v>181</v>
      </c>
    </row>
    <row r="3774" spans="1:17" x14ac:dyDescent="0.25">
      <c r="A3774" s="23" t="s">
        <v>1094</v>
      </c>
      <c r="B3774" s="23" t="s">
        <v>1095</v>
      </c>
      <c r="C3774" s="23" t="s">
        <v>176</v>
      </c>
      <c r="D3774" s="23" t="s">
        <v>104</v>
      </c>
      <c r="E3774" s="23" t="s">
        <v>290</v>
      </c>
      <c r="F3774">
        <v>6.3</v>
      </c>
      <c r="G3774" s="23" t="s">
        <v>177</v>
      </c>
      <c r="H3774">
        <v>0</v>
      </c>
      <c r="I3774">
        <v>87</v>
      </c>
      <c r="J3774" s="10">
        <v>50.899999999999949</v>
      </c>
      <c r="K3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3774">
        <v>0</v>
      </c>
      <c r="M37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4">
        <v>122.09</v>
      </c>
      <c r="O3774" s="23" t="s">
        <v>252</v>
      </c>
      <c r="P3774">
        <v>769.16700000000003</v>
      </c>
      <c r="Q3774" s="23" t="s">
        <v>181</v>
      </c>
    </row>
    <row r="3775" spans="1:17" x14ac:dyDescent="0.25">
      <c r="A3775" s="23" t="s">
        <v>1057</v>
      </c>
      <c r="B3775" s="23" t="s">
        <v>1056</v>
      </c>
      <c r="C3775" s="23" t="s">
        <v>176</v>
      </c>
      <c r="D3775" s="23" t="s">
        <v>142</v>
      </c>
      <c r="E3775" s="23" t="s">
        <v>143</v>
      </c>
      <c r="F3775">
        <v>16</v>
      </c>
      <c r="G3775" s="23" t="s">
        <v>177</v>
      </c>
      <c r="H3775">
        <v>0</v>
      </c>
      <c r="I3775">
        <v>150</v>
      </c>
      <c r="J3775" s="10">
        <v>0</v>
      </c>
      <c r="K3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775">
        <v>0</v>
      </c>
      <c r="M37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775">
        <v>27.75</v>
      </c>
      <c r="O3775" s="23" t="s">
        <v>743</v>
      </c>
      <c r="P3775">
        <v>444</v>
      </c>
      <c r="Q3775" s="23" t="s">
        <v>185</v>
      </c>
    </row>
    <row r="3776" spans="1:17" x14ac:dyDescent="0.25">
      <c r="A3776" s="23" t="s">
        <v>1143</v>
      </c>
      <c r="B3776" s="23" t="s">
        <v>1054</v>
      </c>
      <c r="C3776" s="23" t="s">
        <v>176</v>
      </c>
      <c r="D3776" s="23" t="s">
        <v>142</v>
      </c>
      <c r="E3776" s="23" t="s">
        <v>143</v>
      </c>
      <c r="F3776">
        <v>21</v>
      </c>
      <c r="G3776" s="23" t="s">
        <v>177</v>
      </c>
      <c r="H3776">
        <v>0</v>
      </c>
      <c r="I3776">
        <v>150</v>
      </c>
      <c r="J3776" s="10">
        <v>0</v>
      </c>
      <c r="K3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194</v>
      </c>
      <c r="L3776">
        <v>0</v>
      </c>
      <c r="M37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5383.5</v>
      </c>
      <c r="N3776">
        <v>27.75</v>
      </c>
      <c r="O3776" s="23" t="s">
        <v>743</v>
      </c>
      <c r="P3776">
        <v>582.75</v>
      </c>
      <c r="Q3776" s="23" t="s">
        <v>185</v>
      </c>
    </row>
    <row r="3777" spans="1:17" x14ac:dyDescent="0.25">
      <c r="A3777" s="23" t="s">
        <v>1094</v>
      </c>
      <c r="B3777" s="23" t="s">
        <v>1095</v>
      </c>
      <c r="C3777" s="23" t="s">
        <v>176</v>
      </c>
      <c r="D3777" s="23" t="s">
        <v>841</v>
      </c>
      <c r="E3777" s="23" t="s">
        <v>842</v>
      </c>
      <c r="F3777">
        <v>5</v>
      </c>
      <c r="G3777" s="23" t="s">
        <v>180</v>
      </c>
      <c r="H3777">
        <v>0</v>
      </c>
      <c r="I3777">
        <v>0</v>
      </c>
      <c r="J3777" s="10">
        <v>165</v>
      </c>
      <c r="K3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3777">
        <v>400</v>
      </c>
      <c r="M37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7">
        <v>5</v>
      </c>
      <c r="O3777" s="23" t="s">
        <v>225</v>
      </c>
      <c r="P3777">
        <v>25</v>
      </c>
      <c r="Q3777" s="23" t="s">
        <v>181</v>
      </c>
    </row>
    <row r="3778" spans="1:17" x14ac:dyDescent="0.25">
      <c r="A3778" s="23" t="s">
        <v>1094</v>
      </c>
      <c r="B3778" s="23" t="s">
        <v>1095</v>
      </c>
      <c r="C3778" s="23" t="s">
        <v>176</v>
      </c>
      <c r="D3778" s="23" t="s">
        <v>160</v>
      </c>
      <c r="E3778" s="23" t="s">
        <v>161</v>
      </c>
      <c r="F3778">
        <v>0.23</v>
      </c>
      <c r="G3778" s="23" t="s">
        <v>180</v>
      </c>
      <c r="H3778">
        <v>0</v>
      </c>
      <c r="I3778">
        <v>52</v>
      </c>
      <c r="J3778" s="10">
        <v>38.620000000000054</v>
      </c>
      <c r="K3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-47.39</v>
      </c>
      <c r="L3778">
        <v>0</v>
      </c>
      <c r="M37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8">
        <v>126.36</v>
      </c>
      <c r="O3778" s="23" t="s">
        <v>620</v>
      </c>
      <c r="P3778">
        <v>29.062800000000003</v>
      </c>
      <c r="Q3778" s="23" t="s">
        <v>179</v>
      </c>
    </row>
    <row r="3779" spans="1:17" x14ac:dyDescent="0.25">
      <c r="A3779" s="23" t="s">
        <v>1142</v>
      </c>
      <c r="B3779" s="23" t="s">
        <v>1054</v>
      </c>
      <c r="C3779" s="23" t="s">
        <v>176</v>
      </c>
      <c r="D3779" s="23" t="s">
        <v>5</v>
      </c>
      <c r="E3779" s="23" t="s">
        <v>6</v>
      </c>
      <c r="F3779">
        <v>4.0999999999999996</v>
      </c>
      <c r="G3779" s="23" t="s">
        <v>180</v>
      </c>
      <c r="H3779">
        <v>0</v>
      </c>
      <c r="I3779">
        <v>100</v>
      </c>
      <c r="J3779" s="10">
        <v>1.9999999999998863</v>
      </c>
      <c r="K3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3779">
        <v>0</v>
      </c>
      <c r="M37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79">
        <v>111</v>
      </c>
      <c r="O3779" s="23" t="s">
        <v>827</v>
      </c>
      <c r="P3779">
        <v>455.09999999999997</v>
      </c>
      <c r="Q3779" s="23" t="s">
        <v>222</v>
      </c>
    </row>
    <row r="3780" spans="1:17" x14ac:dyDescent="0.25">
      <c r="A3780" s="23" t="s">
        <v>1098</v>
      </c>
      <c r="B3780" s="23" t="s">
        <v>1053</v>
      </c>
      <c r="C3780" s="23" t="s">
        <v>176</v>
      </c>
      <c r="D3780" s="23" t="s">
        <v>266</v>
      </c>
      <c r="E3780" s="23" t="s">
        <v>267</v>
      </c>
      <c r="F3780">
        <v>1</v>
      </c>
      <c r="G3780" s="23" t="s">
        <v>177</v>
      </c>
      <c r="H3780">
        <v>0</v>
      </c>
      <c r="I3780">
        <v>1</v>
      </c>
      <c r="J3780" s="10">
        <v>7</v>
      </c>
      <c r="K3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780">
        <v>0</v>
      </c>
      <c r="M37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780">
        <v>4633.34</v>
      </c>
      <c r="O3780" s="23" t="s">
        <v>215</v>
      </c>
      <c r="P3780">
        <v>4633.34</v>
      </c>
      <c r="Q3780" s="23" t="s">
        <v>178</v>
      </c>
    </row>
    <row r="3781" spans="1:17" x14ac:dyDescent="0.25">
      <c r="A3781" s="23" t="s">
        <v>1197</v>
      </c>
      <c r="B3781" s="23" t="s">
        <v>1198</v>
      </c>
      <c r="C3781" s="23" t="s">
        <v>176</v>
      </c>
      <c r="D3781" s="23" t="s">
        <v>771</v>
      </c>
      <c r="E3781" s="23" t="s">
        <v>772</v>
      </c>
      <c r="F3781">
        <v>6</v>
      </c>
      <c r="G3781" s="23" t="s">
        <v>177</v>
      </c>
      <c r="H3781">
        <v>0</v>
      </c>
      <c r="I3781">
        <v>0</v>
      </c>
      <c r="J3781" s="10">
        <v>0</v>
      </c>
      <c r="K3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781">
        <v>0</v>
      </c>
      <c r="M37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35.64</v>
      </c>
      <c r="N3781">
        <v>0.66</v>
      </c>
      <c r="O3781" s="23" t="s">
        <v>221</v>
      </c>
      <c r="P3781">
        <v>3.96</v>
      </c>
      <c r="Q3781" s="23" t="s">
        <v>222</v>
      </c>
    </row>
    <row r="3782" spans="1:17" x14ac:dyDescent="0.25">
      <c r="A3782" s="23" t="s">
        <v>1197</v>
      </c>
      <c r="B3782" s="23" t="s">
        <v>1198</v>
      </c>
      <c r="C3782" s="23" t="s">
        <v>176</v>
      </c>
      <c r="D3782" s="23" t="s">
        <v>281</v>
      </c>
      <c r="E3782" s="23" t="s">
        <v>319</v>
      </c>
      <c r="F3782">
        <v>1</v>
      </c>
      <c r="G3782" s="23" t="s">
        <v>177</v>
      </c>
      <c r="H3782">
        <v>0</v>
      </c>
      <c r="I3782">
        <v>27</v>
      </c>
      <c r="J3782" s="10">
        <v>4</v>
      </c>
      <c r="K3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782">
        <v>0</v>
      </c>
      <c r="M37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2">
        <v>290.62</v>
      </c>
      <c r="O3782" s="23" t="s">
        <v>637</v>
      </c>
      <c r="P3782">
        <v>290.62</v>
      </c>
      <c r="Q3782" s="23" t="s">
        <v>179</v>
      </c>
    </row>
    <row r="3783" spans="1:17" x14ac:dyDescent="0.25">
      <c r="A3783" s="23" t="s">
        <v>1062</v>
      </c>
      <c r="B3783" s="23" t="s">
        <v>1053</v>
      </c>
      <c r="C3783" s="23" t="s">
        <v>176</v>
      </c>
      <c r="D3783" s="23" t="s">
        <v>432</v>
      </c>
      <c r="E3783" s="23" t="s">
        <v>433</v>
      </c>
      <c r="F3783">
        <v>1</v>
      </c>
      <c r="G3783" s="23" t="s">
        <v>177</v>
      </c>
      <c r="H3783">
        <v>1</v>
      </c>
      <c r="I3783">
        <v>10</v>
      </c>
      <c r="J3783" s="10">
        <v>3</v>
      </c>
      <c r="K3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783">
        <v>0</v>
      </c>
      <c r="M37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3">
        <v>1723.12</v>
      </c>
      <c r="O3783" s="23" t="s">
        <v>637</v>
      </c>
      <c r="P3783">
        <v>1723.12</v>
      </c>
      <c r="Q3783" s="23" t="s">
        <v>179</v>
      </c>
    </row>
    <row r="3784" spans="1:17" x14ac:dyDescent="0.25">
      <c r="A3784" s="23" t="s">
        <v>1197</v>
      </c>
      <c r="B3784" s="23" t="s">
        <v>1198</v>
      </c>
      <c r="C3784" s="23" t="s">
        <v>176</v>
      </c>
      <c r="D3784" s="23" t="s">
        <v>409</v>
      </c>
      <c r="E3784" s="23" t="s">
        <v>410</v>
      </c>
      <c r="F3784">
        <v>14</v>
      </c>
      <c r="G3784" s="23" t="s">
        <v>177</v>
      </c>
      <c r="H3784">
        <v>0</v>
      </c>
      <c r="I3784">
        <v>2700</v>
      </c>
      <c r="J3784" s="10">
        <v>0</v>
      </c>
      <c r="K3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784">
        <v>0</v>
      </c>
      <c r="M37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4">
        <v>1.55</v>
      </c>
      <c r="O3784" s="23" t="s">
        <v>221</v>
      </c>
      <c r="P3784">
        <v>21.7</v>
      </c>
      <c r="Q3784" s="23" t="s">
        <v>222</v>
      </c>
    </row>
    <row r="3785" spans="1:17" x14ac:dyDescent="0.25">
      <c r="A3785" s="23" t="s">
        <v>1098</v>
      </c>
      <c r="B3785" s="23" t="s">
        <v>1053</v>
      </c>
      <c r="C3785" s="23" t="s">
        <v>176</v>
      </c>
      <c r="D3785" s="23" t="s">
        <v>409</v>
      </c>
      <c r="E3785" s="23" t="s">
        <v>410</v>
      </c>
      <c r="F3785">
        <v>26</v>
      </c>
      <c r="G3785" s="23" t="s">
        <v>177</v>
      </c>
      <c r="H3785">
        <v>0</v>
      </c>
      <c r="I3785">
        <v>2700</v>
      </c>
      <c r="J3785" s="10">
        <v>0</v>
      </c>
      <c r="K3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785">
        <v>0</v>
      </c>
      <c r="M37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5">
        <v>1.55</v>
      </c>
      <c r="O3785" s="23" t="s">
        <v>221</v>
      </c>
      <c r="P3785">
        <v>40.300000000000004</v>
      </c>
      <c r="Q3785" s="23" t="s">
        <v>222</v>
      </c>
    </row>
    <row r="3786" spans="1:17" x14ac:dyDescent="0.25">
      <c r="A3786" s="23" t="s">
        <v>1098</v>
      </c>
      <c r="B3786" s="23" t="s">
        <v>1053</v>
      </c>
      <c r="C3786" s="23" t="s">
        <v>176</v>
      </c>
      <c r="D3786" s="23" t="s">
        <v>107</v>
      </c>
      <c r="E3786" s="23" t="s">
        <v>108</v>
      </c>
      <c r="F3786">
        <v>1</v>
      </c>
      <c r="G3786" s="23" t="s">
        <v>177</v>
      </c>
      <c r="H3786">
        <v>0</v>
      </c>
      <c r="I3786">
        <v>9</v>
      </c>
      <c r="J3786" s="10">
        <v>8</v>
      </c>
      <c r="K3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786">
        <v>5</v>
      </c>
      <c r="M37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6">
        <v>1200</v>
      </c>
      <c r="O3786" s="23" t="s">
        <v>218</v>
      </c>
      <c r="P3786">
        <v>1200</v>
      </c>
      <c r="Q3786" s="23" t="s">
        <v>179</v>
      </c>
    </row>
    <row r="3787" spans="1:17" x14ac:dyDescent="0.25">
      <c r="A3787" s="23" t="s">
        <v>1142</v>
      </c>
      <c r="B3787" s="23" t="s">
        <v>1054</v>
      </c>
      <c r="C3787" s="23" t="s">
        <v>176</v>
      </c>
      <c r="D3787" s="23" t="s">
        <v>102</v>
      </c>
      <c r="E3787" s="23" t="s">
        <v>103</v>
      </c>
      <c r="F3787">
        <v>4</v>
      </c>
      <c r="G3787" s="23" t="s">
        <v>186</v>
      </c>
      <c r="H3787">
        <v>0</v>
      </c>
      <c r="I3787">
        <v>66</v>
      </c>
      <c r="J3787" s="10">
        <v>36.350000000000151</v>
      </c>
      <c r="K3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3787">
        <v>0</v>
      </c>
      <c r="M37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7">
        <v>129.63</v>
      </c>
      <c r="O3787" s="23" t="s">
        <v>242</v>
      </c>
      <c r="P3787">
        <v>518.52</v>
      </c>
      <c r="Q3787" s="23" t="s">
        <v>184</v>
      </c>
    </row>
    <row r="3788" spans="1:17" x14ac:dyDescent="0.25">
      <c r="A3788" s="23" t="s">
        <v>1142</v>
      </c>
      <c r="B3788" s="23" t="s">
        <v>1054</v>
      </c>
      <c r="C3788" s="23" t="s">
        <v>176</v>
      </c>
      <c r="D3788" s="23" t="s">
        <v>551</v>
      </c>
      <c r="E3788" s="23" t="s">
        <v>552</v>
      </c>
      <c r="F3788">
        <v>2</v>
      </c>
      <c r="G3788" s="23" t="s">
        <v>177</v>
      </c>
      <c r="H3788">
        <v>0</v>
      </c>
      <c r="I3788">
        <v>35</v>
      </c>
      <c r="J3788" s="10">
        <v>14</v>
      </c>
      <c r="K3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788">
        <v>15</v>
      </c>
      <c r="M37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8">
        <v>43.75</v>
      </c>
      <c r="O3788" s="23" t="s">
        <v>491</v>
      </c>
      <c r="P3788">
        <v>87.5</v>
      </c>
      <c r="Q3788" s="23" t="s">
        <v>181</v>
      </c>
    </row>
    <row r="3789" spans="1:17" x14ac:dyDescent="0.25">
      <c r="A3789" s="23" t="s">
        <v>1096</v>
      </c>
      <c r="B3789" s="23" t="s">
        <v>1053</v>
      </c>
      <c r="C3789" s="23" t="s">
        <v>176</v>
      </c>
      <c r="D3789" s="23" t="s">
        <v>551</v>
      </c>
      <c r="E3789" s="23" t="s">
        <v>552</v>
      </c>
      <c r="F3789">
        <v>2</v>
      </c>
      <c r="G3789" s="23" t="s">
        <v>177</v>
      </c>
      <c r="H3789">
        <v>2</v>
      </c>
      <c r="I3789">
        <v>35</v>
      </c>
      <c r="J3789" s="10">
        <v>14</v>
      </c>
      <c r="K3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789">
        <v>15</v>
      </c>
      <c r="M37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89">
        <v>43.75</v>
      </c>
      <c r="O3789" s="23" t="s">
        <v>491</v>
      </c>
      <c r="P3789">
        <v>87.5</v>
      </c>
      <c r="Q3789" s="23" t="s">
        <v>181</v>
      </c>
    </row>
    <row r="3790" spans="1:17" x14ac:dyDescent="0.25">
      <c r="A3790" s="23" t="s">
        <v>1143</v>
      </c>
      <c r="B3790" s="23" t="s">
        <v>1054</v>
      </c>
      <c r="C3790" s="23" t="s">
        <v>176</v>
      </c>
      <c r="D3790" s="23" t="s">
        <v>551</v>
      </c>
      <c r="E3790" s="23" t="s">
        <v>552</v>
      </c>
      <c r="F3790">
        <v>2</v>
      </c>
      <c r="G3790" s="23" t="s">
        <v>177</v>
      </c>
      <c r="H3790">
        <v>0</v>
      </c>
      <c r="I3790">
        <v>35</v>
      </c>
      <c r="J3790" s="10">
        <v>14</v>
      </c>
      <c r="K3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790">
        <v>15</v>
      </c>
      <c r="M37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0">
        <v>43.75</v>
      </c>
      <c r="O3790" s="23" t="s">
        <v>491</v>
      </c>
      <c r="P3790">
        <v>87.5</v>
      </c>
      <c r="Q3790" s="23" t="s">
        <v>181</v>
      </c>
    </row>
    <row r="3791" spans="1:17" x14ac:dyDescent="0.25">
      <c r="A3791" s="23" t="s">
        <v>1142</v>
      </c>
      <c r="B3791" s="23" t="s">
        <v>1054</v>
      </c>
      <c r="C3791" s="23" t="s">
        <v>176</v>
      </c>
      <c r="D3791" s="23" t="s">
        <v>409</v>
      </c>
      <c r="E3791" s="23" t="s">
        <v>410</v>
      </c>
      <c r="F3791">
        <v>14</v>
      </c>
      <c r="G3791" s="23" t="s">
        <v>177</v>
      </c>
      <c r="H3791">
        <v>0</v>
      </c>
      <c r="I3791">
        <v>2700</v>
      </c>
      <c r="J3791" s="10">
        <v>0</v>
      </c>
      <c r="K3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791">
        <v>0</v>
      </c>
      <c r="M37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1">
        <v>1.55</v>
      </c>
      <c r="O3791" s="23" t="s">
        <v>221</v>
      </c>
      <c r="P3791">
        <v>21.7</v>
      </c>
      <c r="Q3791" s="23" t="s">
        <v>222</v>
      </c>
    </row>
    <row r="3792" spans="1:17" x14ac:dyDescent="0.25">
      <c r="A3792" s="23" t="s">
        <v>1144</v>
      </c>
      <c r="B3792" s="23" t="s">
        <v>1145</v>
      </c>
      <c r="C3792" s="23" t="s">
        <v>176</v>
      </c>
      <c r="D3792" s="23" t="s">
        <v>341</v>
      </c>
      <c r="E3792" s="23" t="s">
        <v>342</v>
      </c>
      <c r="F3792">
        <v>2</v>
      </c>
      <c r="G3792" s="23" t="s">
        <v>177</v>
      </c>
      <c r="H3792">
        <v>0</v>
      </c>
      <c r="I3792">
        <v>75</v>
      </c>
      <c r="J3792" s="10">
        <v>42.700000000000159</v>
      </c>
      <c r="K3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792">
        <v>0</v>
      </c>
      <c r="M37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2">
        <v>15</v>
      </c>
      <c r="O3792" s="23" t="s">
        <v>242</v>
      </c>
      <c r="P3792">
        <v>30</v>
      </c>
      <c r="Q3792" s="23" t="s">
        <v>181</v>
      </c>
    </row>
    <row r="3793" spans="1:17" x14ac:dyDescent="0.25">
      <c r="A3793" s="23" t="s">
        <v>1144</v>
      </c>
      <c r="B3793" s="23" t="s">
        <v>1145</v>
      </c>
      <c r="C3793" s="23" t="s">
        <v>176</v>
      </c>
      <c r="D3793" s="23" t="s">
        <v>799</v>
      </c>
      <c r="E3793" s="23" t="s">
        <v>800</v>
      </c>
      <c r="F3793">
        <v>3</v>
      </c>
      <c r="G3793" s="23" t="s">
        <v>177</v>
      </c>
      <c r="H3793">
        <v>0</v>
      </c>
      <c r="I3793">
        <v>200</v>
      </c>
      <c r="J3793" s="10">
        <v>0</v>
      </c>
      <c r="K3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3793">
        <v>0</v>
      </c>
      <c r="M37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3">
        <v>10</v>
      </c>
      <c r="O3793" s="23" t="s">
        <v>227</v>
      </c>
      <c r="P3793">
        <v>30</v>
      </c>
      <c r="Q3793" s="23" t="s">
        <v>181</v>
      </c>
    </row>
    <row r="3794" spans="1:17" x14ac:dyDescent="0.25">
      <c r="A3794" s="23" t="s">
        <v>1097</v>
      </c>
      <c r="B3794" s="23" t="s">
        <v>1095</v>
      </c>
      <c r="C3794" s="23" t="s">
        <v>176</v>
      </c>
      <c r="D3794" s="23" t="s">
        <v>107</v>
      </c>
      <c r="E3794" s="23" t="s">
        <v>108</v>
      </c>
      <c r="F3794">
        <v>1</v>
      </c>
      <c r="G3794" s="23" t="s">
        <v>177</v>
      </c>
      <c r="H3794">
        <v>0</v>
      </c>
      <c r="I3794">
        <v>9</v>
      </c>
      <c r="J3794" s="10">
        <v>8</v>
      </c>
      <c r="K3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794">
        <v>5</v>
      </c>
      <c r="M37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4">
        <v>1200</v>
      </c>
      <c r="O3794" s="23" t="s">
        <v>218</v>
      </c>
      <c r="P3794">
        <v>1200</v>
      </c>
      <c r="Q3794" s="23" t="s">
        <v>179</v>
      </c>
    </row>
    <row r="3795" spans="1:17" x14ac:dyDescent="0.25">
      <c r="A3795" s="23" t="s">
        <v>1097</v>
      </c>
      <c r="B3795" s="23" t="s">
        <v>1095</v>
      </c>
      <c r="C3795" s="23" t="s">
        <v>176</v>
      </c>
      <c r="D3795" s="23" t="s">
        <v>693</v>
      </c>
      <c r="E3795" s="23" t="s">
        <v>694</v>
      </c>
      <c r="F3795">
        <v>13</v>
      </c>
      <c r="G3795" s="23" t="s">
        <v>183</v>
      </c>
      <c r="H3795">
        <v>0</v>
      </c>
      <c r="I3795">
        <v>35.700000000000003</v>
      </c>
      <c r="J3795" s="10">
        <v>9.1250000000000568</v>
      </c>
      <c r="K3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795">
        <v>95.16</v>
      </c>
      <c r="M37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5">
        <v>300.55</v>
      </c>
      <c r="O3795" s="23" t="s">
        <v>224</v>
      </c>
      <c r="P3795">
        <v>3907.15</v>
      </c>
      <c r="Q3795" s="23" t="s">
        <v>182</v>
      </c>
    </row>
    <row r="3796" spans="1:17" x14ac:dyDescent="0.25">
      <c r="A3796" s="23" t="s">
        <v>1197</v>
      </c>
      <c r="B3796" s="23" t="s">
        <v>1198</v>
      </c>
      <c r="C3796" s="23" t="s">
        <v>176</v>
      </c>
      <c r="D3796" s="23" t="s">
        <v>693</v>
      </c>
      <c r="E3796" s="23" t="s">
        <v>694</v>
      </c>
      <c r="F3796">
        <v>15</v>
      </c>
      <c r="G3796" s="23" t="s">
        <v>183</v>
      </c>
      <c r="H3796">
        <v>0</v>
      </c>
      <c r="I3796">
        <v>35.700000000000003</v>
      </c>
      <c r="J3796" s="10">
        <v>9.1250000000000568</v>
      </c>
      <c r="K3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3796">
        <v>95.16</v>
      </c>
      <c r="M37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6">
        <v>300.55</v>
      </c>
      <c r="O3796" s="23" t="s">
        <v>224</v>
      </c>
      <c r="P3796">
        <v>4508.25</v>
      </c>
      <c r="Q3796" s="23" t="s">
        <v>182</v>
      </c>
    </row>
    <row r="3797" spans="1:17" x14ac:dyDescent="0.25">
      <c r="A3797" s="23" t="s">
        <v>1143</v>
      </c>
      <c r="B3797" s="23" t="s">
        <v>1054</v>
      </c>
      <c r="C3797" s="23" t="s">
        <v>176</v>
      </c>
      <c r="D3797" s="23" t="s">
        <v>990</v>
      </c>
      <c r="E3797" s="23" t="s">
        <v>991</v>
      </c>
      <c r="F3797">
        <v>1.2</v>
      </c>
      <c r="G3797" s="23" t="s">
        <v>180</v>
      </c>
      <c r="H3797">
        <v>0</v>
      </c>
      <c r="I3797">
        <v>0</v>
      </c>
      <c r="J3797" s="10">
        <v>50</v>
      </c>
      <c r="K3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1.2</v>
      </c>
      <c r="L3797">
        <v>0</v>
      </c>
      <c r="M37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112.848</v>
      </c>
      <c r="N3797">
        <v>94.04</v>
      </c>
      <c r="O3797" s="23" t="s">
        <v>697</v>
      </c>
      <c r="P3797">
        <v>112.848</v>
      </c>
      <c r="Q3797" s="23" t="s">
        <v>179</v>
      </c>
    </row>
    <row r="3798" spans="1:17" x14ac:dyDescent="0.25">
      <c r="A3798" s="23" t="s">
        <v>1094</v>
      </c>
      <c r="B3798" s="23" t="s">
        <v>1095</v>
      </c>
      <c r="C3798" s="23" t="s">
        <v>176</v>
      </c>
      <c r="D3798" s="23" t="s">
        <v>551</v>
      </c>
      <c r="E3798" s="23" t="s">
        <v>552</v>
      </c>
      <c r="F3798">
        <v>2</v>
      </c>
      <c r="G3798" s="23" t="s">
        <v>177</v>
      </c>
      <c r="H3798">
        <v>0</v>
      </c>
      <c r="I3798">
        <v>35</v>
      </c>
      <c r="J3798" s="10">
        <v>14</v>
      </c>
      <c r="K3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3798">
        <v>15</v>
      </c>
      <c r="M37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8">
        <v>43.75</v>
      </c>
      <c r="O3798" s="23" t="s">
        <v>491</v>
      </c>
      <c r="P3798">
        <v>87.5</v>
      </c>
      <c r="Q3798" s="23" t="s">
        <v>181</v>
      </c>
    </row>
    <row r="3799" spans="1:17" x14ac:dyDescent="0.25">
      <c r="A3799" s="23" t="s">
        <v>1143</v>
      </c>
      <c r="B3799" s="23" t="s">
        <v>1054</v>
      </c>
      <c r="C3799" s="23" t="s">
        <v>176</v>
      </c>
      <c r="D3799" s="23" t="s">
        <v>409</v>
      </c>
      <c r="E3799" s="23" t="s">
        <v>410</v>
      </c>
      <c r="F3799">
        <v>26</v>
      </c>
      <c r="G3799" s="23" t="s">
        <v>177</v>
      </c>
      <c r="H3799">
        <v>0</v>
      </c>
      <c r="I3799">
        <v>2700</v>
      </c>
      <c r="J3799" s="10">
        <v>0</v>
      </c>
      <c r="K3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-2314</v>
      </c>
      <c r="L3799">
        <v>0</v>
      </c>
      <c r="M37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799">
        <v>1.55</v>
      </c>
      <c r="O3799" s="23" t="s">
        <v>221</v>
      </c>
      <c r="P3799">
        <v>40.300000000000004</v>
      </c>
      <c r="Q3799" s="23" t="s">
        <v>222</v>
      </c>
    </row>
    <row r="3800" spans="1:17" x14ac:dyDescent="0.25">
      <c r="A3800" s="23" t="s">
        <v>1143</v>
      </c>
      <c r="B3800" s="23" t="s">
        <v>1054</v>
      </c>
      <c r="C3800" s="23" t="s">
        <v>176</v>
      </c>
      <c r="D3800" s="23" t="s">
        <v>341</v>
      </c>
      <c r="E3800" s="23" t="s">
        <v>342</v>
      </c>
      <c r="F3800">
        <v>2.19</v>
      </c>
      <c r="G3800" s="23" t="s">
        <v>177</v>
      </c>
      <c r="H3800">
        <v>0</v>
      </c>
      <c r="I3800">
        <v>75</v>
      </c>
      <c r="J3800" s="10">
        <v>42.700000000000159</v>
      </c>
      <c r="K3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3800">
        <v>0</v>
      </c>
      <c r="M38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0">
        <v>15</v>
      </c>
      <c r="O3800" s="23" t="s">
        <v>242</v>
      </c>
      <c r="P3800">
        <v>32.85</v>
      </c>
      <c r="Q3800" s="23" t="s">
        <v>181</v>
      </c>
    </row>
    <row r="3801" spans="1:17" x14ac:dyDescent="0.25">
      <c r="A3801" s="23" t="s">
        <v>1094</v>
      </c>
      <c r="B3801" s="23" t="s">
        <v>1095</v>
      </c>
      <c r="C3801" s="23" t="s">
        <v>176</v>
      </c>
      <c r="D3801" s="23" t="s">
        <v>965</v>
      </c>
      <c r="E3801" s="23" t="s">
        <v>966</v>
      </c>
      <c r="F3801">
        <v>1</v>
      </c>
      <c r="G3801" s="23" t="s">
        <v>177</v>
      </c>
      <c r="H3801">
        <v>0</v>
      </c>
      <c r="I3801">
        <v>1</v>
      </c>
      <c r="J3801" s="10">
        <v>6</v>
      </c>
      <c r="K3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801">
        <v>0</v>
      </c>
      <c r="M38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3801">
        <v>8424.67</v>
      </c>
      <c r="O3801" s="23" t="s">
        <v>635</v>
      </c>
      <c r="P3801">
        <v>8424.67</v>
      </c>
      <c r="Q3801" s="23" t="s">
        <v>178</v>
      </c>
    </row>
    <row r="3802" spans="1:17" x14ac:dyDescent="0.25">
      <c r="A3802" s="23" t="s">
        <v>1094</v>
      </c>
      <c r="B3802" s="23" t="s">
        <v>1095</v>
      </c>
      <c r="C3802" s="23" t="s">
        <v>176</v>
      </c>
      <c r="D3802" s="23" t="s">
        <v>107</v>
      </c>
      <c r="E3802" s="23" t="s">
        <v>108</v>
      </c>
      <c r="F3802">
        <v>1</v>
      </c>
      <c r="G3802" s="23" t="s">
        <v>177</v>
      </c>
      <c r="H3802">
        <v>0</v>
      </c>
      <c r="I3802">
        <v>9</v>
      </c>
      <c r="J3802" s="10">
        <v>8</v>
      </c>
      <c r="K3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02">
        <v>5</v>
      </c>
      <c r="M38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2">
        <v>1200</v>
      </c>
      <c r="O3802" s="23" t="s">
        <v>218</v>
      </c>
      <c r="P3802">
        <v>1200</v>
      </c>
      <c r="Q3802" s="23" t="s">
        <v>179</v>
      </c>
    </row>
    <row r="3803" spans="1:17" x14ac:dyDescent="0.25">
      <c r="A3803" s="23" t="s">
        <v>1149</v>
      </c>
      <c r="B3803" s="23" t="s">
        <v>1145</v>
      </c>
      <c r="C3803" s="23" t="s">
        <v>176</v>
      </c>
      <c r="D3803" s="23" t="s">
        <v>107</v>
      </c>
      <c r="E3803" s="23" t="s">
        <v>108</v>
      </c>
      <c r="F3803">
        <v>1</v>
      </c>
      <c r="G3803" s="23" t="s">
        <v>177</v>
      </c>
      <c r="H3803">
        <v>0</v>
      </c>
      <c r="I3803">
        <v>9</v>
      </c>
      <c r="J3803" s="10">
        <v>8</v>
      </c>
      <c r="K3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803">
        <v>5</v>
      </c>
      <c r="M38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3">
        <v>1200</v>
      </c>
      <c r="O3803" s="23" t="s">
        <v>218</v>
      </c>
      <c r="P3803">
        <v>1200</v>
      </c>
      <c r="Q3803" s="23" t="s">
        <v>179</v>
      </c>
    </row>
    <row r="3804" spans="1:17" x14ac:dyDescent="0.25">
      <c r="A3804" s="23" t="s">
        <v>1143</v>
      </c>
      <c r="B3804" s="23" t="s">
        <v>1054</v>
      </c>
      <c r="C3804" s="23" t="s">
        <v>176</v>
      </c>
      <c r="D3804" s="23" t="s">
        <v>617</v>
      </c>
      <c r="E3804" s="23" t="s">
        <v>618</v>
      </c>
      <c r="F3804">
        <v>1</v>
      </c>
      <c r="G3804" s="23" t="s">
        <v>177</v>
      </c>
      <c r="H3804">
        <v>0</v>
      </c>
      <c r="I3804">
        <v>114</v>
      </c>
      <c r="J3804" s="10">
        <v>0</v>
      </c>
      <c r="K3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-109</v>
      </c>
      <c r="L3804">
        <v>0</v>
      </c>
      <c r="M38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4">
        <v>10</v>
      </c>
      <c r="O3804" s="23"/>
      <c r="P3804">
        <v>10</v>
      </c>
      <c r="Q3804" s="23" t="s">
        <v>179</v>
      </c>
    </row>
    <row r="3805" spans="1:17" x14ac:dyDescent="0.25">
      <c r="A3805" s="23" t="s">
        <v>1057</v>
      </c>
      <c r="B3805" s="23" t="s">
        <v>1056</v>
      </c>
      <c r="C3805" s="23" t="s">
        <v>176</v>
      </c>
      <c r="D3805" s="23" t="s">
        <v>1021</v>
      </c>
      <c r="E3805" s="23" t="s">
        <v>1022</v>
      </c>
      <c r="F3805">
        <v>16</v>
      </c>
      <c r="G3805" s="23" t="s">
        <v>177</v>
      </c>
      <c r="H3805">
        <v>0</v>
      </c>
      <c r="I3805">
        <v>0</v>
      </c>
      <c r="J3805" s="10">
        <v>0</v>
      </c>
      <c r="K3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805">
        <v>0</v>
      </c>
      <c r="M38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14.4</v>
      </c>
      <c r="N3805">
        <v>0.45</v>
      </c>
      <c r="O3805" s="23" t="s">
        <v>217</v>
      </c>
      <c r="P3805">
        <v>7.2</v>
      </c>
      <c r="Q3805" s="23" t="s">
        <v>181</v>
      </c>
    </row>
    <row r="3806" spans="1:17" x14ac:dyDescent="0.25">
      <c r="A3806" s="23" t="s">
        <v>1143</v>
      </c>
      <c r="B3806" s="23" t="s">
        <v>1054</v>
      </c>
      <c r="C3806" s="23" t="s">
        <v>176</v>
      </c>
      <c r="D3806" s="23" t="s">
        <v>243</v>
      </c>
      <c r="E3806" s="23" t="s">
        <v>244</v>
      </c>
      <c r="F3806">
        <v>1.35</v>
      </c>
      <c r="G3806" s="23" t="s">
        <v>177</v>
      </c>
      <c r="H3806">
        <v>0</v>
      </c>
      <c r="I3806">
        <v>49</v>
      </c>
      <c r="J3806" s="10">
        <v>1.599999999999973</v>
      </c>
      <c r="K3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806">
        <v>0</v>
      </c>
      <c r="M38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6">
        <v>60</v>
      </c>
      <c r="O3806" s="23" t="s">
        <v>491</v>
      </c>
      <c r="P3806">
        <v>81</v>
      </c>
      <c r="Q3806" s="23" t="s">
        <v>181</v>
      </c>
    </row>
    <row r="3807" spans="1:17" x14ac:dyDescent="0.25">
      <c r="A3807" s="23" t="s">
        <v>1142</v>
      </c>
      <c r="B3807" s="23" t="s">
        <v>1054</v>
      </c>
      <c r="C3807" s="23" t="s">
        <v>176</v>
      </c>
      <c r="D3807" s="23" t="s">
        <v>243</v>
      </c>
      <c r="E3807" s="23" t="s">
        <v>244</v>
      </c>
      <c r="F3807">
        <v>1</v>
      </c>
      <c r="G3807" s="23" t="s">
        <v>177</v>
      </c>
      <c r="H3807">
        <v>0</v>
      </c>
      <c r="I3807">
        <v>49</v>
      </c>
      <c r="J3807" s="10">
        <v>1.599999999999973</v>
      </c>
      <c r="K3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3807">
        <v>0</v>
      </c>
      <c r="M38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7">
        <v>60</v>
      </c>
      <c r="O3807" s="23" t="s">
        <v>491</v>
      </c>
      <c r="P3807">
        <v>60</v>
      </c>
      <c r="Q3807" s="23" t="s">
        <v>181</v>
      </c>
    </row>
    <row r="3808" spans="1:17" x14ac:dyDescent="0.25">
      <c r="A3808" s="23" t="s">
        <v>1094</v>
      </c>
      <c r="B3808" s="23" t="s">
        <v>1095</v>
      </c>
      <c r="C3808" s="23" t="s">
        <v>176</v>
      </c>
      <c r="D3808" s="23" t="s">
        <v>268</v>
      </c>
      <c r="E3808" s="23" t="s">
        <v>269</v>
      </c>
      <c r="F3808">
        <v>2</v>
      </c>
      <c r="G3808" s="23" t="s">
        <v>177</v>
      </c>
      <c r="H3808">
        <v>0</v>
      </c>
      <c r="I3808">
        <v>30</v>
      </c>
      <c r="J3808" s="10">
        <v>0</v>
      </c>
      <c r="K3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808">
        <v>0</v>
      </c>
      <c r="M38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8">
        <v>60</v>
      </c>
      <c r="O3808" s="23" t="s">
        <v>227</v>
      </c>
      <c r="P3808">
        <v>120</v>
      </c>
      <c r="Q3808" s="23" t="s">
        <v>181</v>
      </c>
    </row>
    <row r="3809" spans="1:17" x14ac:dyDescent="0.25">
      <c r="A3809" s="23" t="s">
        <v>1143</v>
      </c>
      <c r="B3809" s="23" t="s">
        <v>1054</v>
      </c>
      <c r="C3809" s="23" t="s">
        <v>176</v>
      </c>
      <c r="D3809" s="23" t="s">
        <v>268</v>
      </c>
      <c r="E3809" s="23" t="s">
        <v>269</v>
      </c>
      <c r="F3809">
        <v>8</v>
      </c>
      <c r="G3809" s="23" t="s">
        <v>177</v>
      </c>
      <c r="H3809">
        <v>0</v>
      </c>
      <c r="I3809">
        <v>30</v>
      </c>
      <c r="J3809" s="10">
        <v>0</v>
      </c>
      <c r="K3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809">
        <v>0</v>
      </c>
      <c r="M38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09">
        <v>60</v>
      </c>
      <c r="O3809" s="23" t="s">
        <v>227</v>
      </c>
      <c r="P3809">
        <v>480</v>
      </c>
      <c r="Q3809" s="23" t="s">
        <v>181</v>
      </c>
    </row>
    <row r="3810" spans="1:17" x14ac:dyDescent="0.25">
      <c r="A3810" s="23" t="s">
        <v>1097</v>
      </c>
      <c r="B3810" s="23" t="s">
        <v>1095</v>
      </c>
      <c r="C3810" s="23" t="s">
        <v>176</v>
      </c>
      <c r="D3810" s="23" t="s">
        <v>268</v>
      </c>
      <c r="E3810" s="23" t="s">
        <v>269</v>
      </c>
      <c r="F3810">
        <v>2</v>
      </c>
      <c r="G3810" s="23" t="s">
        <v>177</v>
      </c>
      <c r="H3810">
        <v>0</v>
      </c>
      <c r="I3810">
        <v>30</v>
      </c>
      <c r="J3810" s="10">
        <v>0</v>
      </c>
      <c r="K3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810">
        <v>0</v>
      </c>
      <c r="M38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0">
        <v>60</v>
      </c>
      <c r="O3810" s="23" t="s">
        <v>227</v>
      </c>
      <c r="P3810">
        <v>120</v>
      </c>
      <c r="Q3810" s="23" t="s">
        <v>181</v>
      </c>
    </row>
    <row r="3811" spans="1:17" x14ac:dyDescent="0.25">
      <c r="A3811" s="23" t="s">
        <v>1094</v>
      </c>
      <c r="B3811" s="23" t="s">
        <v>1095</v>
      </c>
      <c r="C3811" s="23" t="s">
        <v>176</v>
      </c>
      <c r="D3811" s="23" t="s">
        <v>124</v>
      </c>
      <c r="E3811" s="23" t="s">
        <v>634</v>
      </c>
      <c r="F3811">
        <v>0.2</v>
      </c>
      <c r="G3811" s="23" t="s">
        <v>180</v>
      </c>
      <c r="H3811">
        <v>0</v>
      </c>
      <c r="I3811">
        <v>200</v>
      </c>
      <c r="J3811" s="10">
        <v>1.1368683772161603E-13</v>
      </c>
      <c r="K3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3811">
        <v>0</v>
      </c>
      <c r="M38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1">
        <v>2.89</v>
      </c>
      <c r="O3811" s="23" t="s">
        <v>827</v>
      </c>
      <c r="P3811">
        <v>0.57800000000000007</v>
      </c>
      <c r="Q3811" s="23" t="s">
        <v>222</v>
      </c>
    </row>
    <row r="3812" spans="1:17" x14ac:dyDescent="0.25">
      <c r="A3812" s="23" t="s">
        <v>1094</v>
      </c>
      <c r="B3812" s="23" t="s">
        <v>1095</v>
      </c>
      <c r="C3812" s="23" t="s">
        <v>176</v>
      </c>
      <c r="D3812" s="23" t="s">
        <v>238</v>
      </c>
      <c r="E3812" s="23" t="s">
        <v>306</v>
      </c>
      <c r="F3812">
        <v>2</v>
      </c>
      <c r="G3812" s="23" t="s">
        <v>177</v>
      </c>
      <c r="H3812">
        <v>0</v>
      </c>
      <c r="I3812">
        <v>455</v>
      </c>
      <c r="J3812" s="10">
        <v>23</v>
      </c>
      <c r="K3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12">
        <v>0</v>
      </c>
      <c r="M38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2">
        <v>20</v>
      </c>
      <c r="O3812" s="23"/>
      <c r="P3812">
        <v>40</v>
      </c>
      <c r="Q3812" s="23" t="s">
        <v>222</v>
      </c>
    </row>
    <row r="3813" spans="1:17" x14ac:dyDescent="0.25">
      <c r="A3813" s="23" t="s">
        <v>1057</v>
      </c>
      <c r="B3813" s="23" t="s">
        <v>1056</v>
      </c>
      <c r="C3813" s="23" t="s">
        <v>176</v>
      </c>
      <c r="D3813" s="23" t="s">
        <v>963</v>
      </c>
      <c r="E3813" s="23" t="s">
        <v>964</v>
      </c>
      <c r="F3813">
        <v>4</v>
      </c>
      <c r="G3813" s="23" t="s">
        <v>177</v>
      </c>
      <c r="H3813">
        <v>0</v>
      </c>
      <c r="I3813">
        <v>40</v>
      </c>
      <c r="J3813" s="10">
        <v>0</v>
      </c>
      <c r="K3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3813">
        <v>0</v>
      </c>
      <c r="M38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3">
        <v>33</v>
      </c>
      <c r="O3813" s="23" t="s">
        <v>227</v>
      </c>
      <c r="P3813">
        <v>132</v>
      </c>
      <c r="Q3813" s="23" t="s">
        <v>181</v>
      </c>
    </row>
    <row r="3814" spans="1:17" x14ac:dyDescent="0.25">
      <c r="A3814" s="23" t="s">
        <v>1094</v>
      </c>
      <c r="B3814" s="23" t="s">
        <v>1095</v>
      </c>
      <c r="C3814" s="23" t="s">
        <v>176</v>
      </c>
      <c r="D3814" s="23" t="s">
        <v>430</v>
      </c>
      <c r="E3814" s="23" t="s">
        <v>431</v>
      </c>
      <c r="F3814">
        <v>1</v>
      </c>
      <c r="G3814" s="23" t="s">
        <v>177</v>
      </c>
      <c r="H3814">
        <v>0</v>
      </c>
      <c r="I3814">
        <v>12</v>
      </c>
      <c r="J3814" s="10">
        <v>3</v>
      </c>
      <c r="K3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814">
        <v>0</v>
      </c>
      <c r="M38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4">
        <v>1678.88</v>
      </c>
      <c r="O3814" s="23" t="s">
        <v>637</v>
      </c>
      <c r="P3814">
        <v>1678.88</v>
      </c>
      <c r="Q3814" s="23" t="s">
        <v>179</v>
      </c>
    </row>
    <row r="3815" spans="1:17" x14ac:dyDescent="0.25">
      <c r="A3815" s="23" t="s">
        <v>1150</v>
      </c>
      <c r="B3815" s="23" t="s">
        <v>1145</v>
      </c>
      <c r="C3815" s="23" t="s">
        <v>176</v>
      </c>
      <c r="D3815" s="23" t="s">
        <v>348</v>
      </c>
      <c r="E3815" s="23" t="s">
        <v>349</v>
      </c>
      <c r="F3815">
        <v>0.1</v>
      </c>
      <c r="G3815" s="23" t="s">
        <v>177</v>
      </c>
      <c r="H3815">
        <v>0</v>
      </c>
      <c r="I3815">
        <v>2</v>
      </c>
      <c r="J3815" s="10">
        <v>3.2474023470285829E-15</v>
      </c>
      <c r="K3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15">
        <v>0</v>
      </c>
      <c r="M38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15">
        <v>2778</v>
      </c>
      <c r="O3815" s="23" t="s">
        <v>218</v>
      </c>
      <c r="P3815">
        <v>277.8</v>
      </c>
      <c r="Q3815" s="23" t="s">
        <v>184</v>
      </c>
    </row>
    <row r="3816" spans="1:17" x14ac:dyDescent="0.25">
      <c r="A3816" s="23" t="s">
        <v>1057</v>
      </c>
      <c r="B3816" s="23" t="s">
        <v>1056</v>
      </c>
      <c r="C3816" s="23" t="s">
        <v>176</v>
      </c>
      <c r="D3816" s="23" t="s">
        <v>373</v>
      </c>
      <c r="E3816" s="23" t="s">
        <v>374</v>
      </c>
      <c r="F3816">
        <v>6</v>
      </c>
      <c r="G3816" s="23" t="s">
        <v>177</v>
      </c>
      <c r="H3816">
        <v>0</v>
      </c>
      <c r="I3816">
        <v>85</v>
      </c>
      <c r="J3816" s="10">
        <v>34</v>
      </c>
      <c r="K3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3816">
        <v>40</v>
      </c>
      <c r="M38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6">
        <v>74</v>
      </c>
      <c r="O3816" s="23" t="s">
        <v>822</v>
      </c>
      <c r="P3816">
        <v>444</v>
      </c>
      <c r="Q3816" s="23" t="s">
        <v>179</v>
      </c>
    </row>
    <row r="3817" spans="1:17" x14ac:dyDescent="0.25">
      <c r="A3817" s="23" t="s">
        <v>1096</v>
      </c>
      <c r="B3817" s="23" t="s">
        <v>1053</v>
      </c>
      <c r="C3817" s="23" t="s">
        <v>176</v>
      </c>
      <c r="D3817" s="23" t="s">
        <v>373</v>
      </c>
      <c r="E3817" s="23" t="s">
        <v>374</v>
      </c>
      <c r="F3817">
        <v>6</v>
      </c>
      <c r="G3817" s="23" t="s">
        <v>177</v>
      </c>
      <c r="H3817">
        <v>0</v>
      </c>
      <c r="I3817">
        <v>85</v>
      </c>
      <c r="J3817" s="10">
        <v>34</v>
      </c>
      <c r="K3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3817">
        <v>40</v>
      </c>
      <c r="M38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7">
        <v>74</v>
      </c>
      <c r="O3817" s="23" t="s">
        <v>822</v>
      </c>
      <c r="P3817">
        <v>444</v>
      </c>
      <c r="Q3817" s="23" t="s">
        <v>179</v>
      </c>
    </row>
    <row r="3818" spans="1:17" x14ac:dyDescent="0.25">
      <c r="A3818" s="23" t="s">
        <v>1143</v>
      </c>
      <c r="B3818" s="23" t="s">
        <v>1054</v>
      </c>
      <c r="C3818" s="23" t="s">
        <v>176</v>
      </c>
      <c r="D3818" s="23" t="s">
        <v>373</v>
      </c>
      <c r="E3818" s="23" t="s">
        <v>374</v>
      </c>
      <c r="F3818">
        <v>8</v>
      </c>
      <c r="G3818" s="23" t="s">
        <v>177</v>
      </c>
      <c r="H3818">
        <v>0</v>
      </c>
      <c r="I3818">
        <v>85</v>
      </c>
      <c r="J3818" s="10">
        <v>34</v>
      </c>
      <c r="K3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3818">
        <v>40</v>
      </c>
      <c r="M38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8">
        <v>74</v>
      </c>
      <c r="O3818" s="23" t="s">
        <v>822</v>
      </c>
      <c r="P3818">
        <v>592</v>
      </c>
      <c r="Q3818" s="23" t="s">
        <v>179</v>
      </c>
    </row>
    <row r="3819" spans="1:17" x14ac:dyDescent="0.25">
      <c r="A3819" s="23" t="s">
        <v>1143</v>
      </c>
      <c r="B3819" s="23" t="s">
        <v>1054</v>
      </c>
      <c r="C3819" s="23" t="s">
        <v>176</v>
      </c>
      <c r="D3819" s="23" t="s">
        <v>124</v>
      </c>
      <c r="E3819" s="23" t="s">
        <v>634</v>
      </c>
      <c r="F3819">
        <v>0.44999999999999996</v>
      </c>
      <c r="G3819" s="23" t="s">
        <v>180</v>
      </c>
      <c r="H3819">
        <v>0</v>
      </c>
      <c r="I3819">
        <v>200</v>
      </c>
      <c r="J3819" s="10">
        <v>1.1368683772161603E-13</v>
      </c>
      <c r="K3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3819">
        <v>0</v>
      </c>
      <c r="M38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19">
        <v>2.89</v>
      </c>
      <c r="O3819" s="23" t="s">
        <v>827</v>
      </c>
      <c r="P3819">
        <v>1.3005</v>
      </c>
      <c r="Q3819" s="23" t="s">
        <v>222</v>
      </c>
    </row>
    <row r="3820" spans="1:17" x14ac:dyDescent="0.25">
      <c r="A3820" s="23" t="s">
        <v>1142</v>
      </c>
      <c r="B3820" s="23" t="s">
        <v>1054</v>
      </c>
      <c r="C3820" s="23" t="s">
        <v>176</v>
      </c>
      <c r="D3820" s="23" t="s">
        <v>124</v>
      </c>
      <c r="E3820" s="23" t="s">
        <v>634</v>
      </c>
      <c r="F3820">
        <v>0.2</v>
      </c>
      <c r="G3820" s="23" t="s">
        <v>180</v>
      </c>
      <c r="H3820">
        <v>0</v>
      </c>
      <c r="I3820">
        <v>200</v>
      </c>
      <c r="J3820" s="10">
        <v>1.1368683772161603E-13</v>
      </c>
      <c r="K3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3820">
        <v>0</v>
      </c>
      <c r="M38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0">
        <v>2.89</v>
      </c>
      <c r="O3820" s="23" t="s">
        <v>827</v>
      </c>
      <c r="P3820">
        <v>0.57800000000000007</v>
      </c>
      <c r="Q3820" s="23" t="s">
        <v>222</v>
      </c>
    </row>
    <row r="3821" spans="1:17" x14ac:dyDescent="0.25">
      <c r="A3821" s="23" t="s">
        <v>1096</v>
      </c>
      <c r="B3821" s="23" t="s">
        <v>1053</v>
      </c>
      <c r="C3821" s="23" t="s">
        <v>176</v>
      </c>
      <c r="D3821" s="23" t="s">
        <v>124</v>
      </c>
      <c r="E3821" s="23" t="s">
        <v>634</v>
      </c>
      <c r="F3821">
        <v>0.2</v>
      </c>
      <c r="G3821" s="23" t="s">
        <v>180</v>
      </c>
      <c r="H3821">
        <v>0</v>
      </c>
      <c r="I3821">
        <v>200</v>
      </c>
      <c r="J3821" s="10">
        <v>1.1368683772161603E-13</v>
      </c>
      <c r="K3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3821">
        <v>0</v>
      </c>
      <c r="M38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1">
        <v>2.89</v>
      </c>
      <c r="O3821" s="23" t="s">
        <v>827</v>
      </c>
      <c r="P3821">
        <v>0.57800000000000007</v>
      </c>
      <c r="Q3821" s="23" t="s">
        <v>222</v>
      </c>
    </row>
    <row r="3822" spans="1:17" x14ac:dyDescent="0.25">
      <c r="A3822" s="23" t="s">
        <v>1142</v>
      </c>
      <c r="B3822" s="23" t="s">
        <v>1054</v>
      </c>
      <c r="C3822" s="23" t="s">
        <v>176</v>
      </c>
      <c r="D3822" s="23" t="s">
        <v>238</v>
      </c>
      <c r="E3822" s="23" t="s">
        <v>306</v>
      </c>
      <c r="F3822">
        <v>2</v>
      </c>
      <c r="G3822" s="23" t="s">
        <v>177</v>
      </c>
      <c r="H3822">
        <v>0</v>
      </c>
      <c r="I3822">
        <v>455</v>
      </c>
      <c r="J3822" s="10">
        <v>23</v>
      </c>
      <c r="K3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22">
        <v>0</v>
      </c>
      <c r="M38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2">
        <v>20</v>
      </c>
      <c r="O3822" s="23"/>
      <c r="P3822">
        <v>40</v>
      </c>
      <c r="Q3822" s="23" t="s">
        <v>222</v>
      </c>
    </row>
    <row r="3823" spans="1:17" x14ac:dyDescent="0.25">
      <c r="A3823" s="23" t="s">
        <v>1143</v>
      </c>
      <c r="B3823" s="23" t="s">
        <v>1054</v>
      </c>
      <c r="C3823" s="23" t="s">
        <v>176</v>
      </c>
      <c r="D3823" s="23" t="s">
        <v>238</v>
      </c>
      <c r="E3823" s="23" t="s">
        <v>306</v>
      </c>
      <c r="F3823">
        <v>2</v>
      </c>
      <c r="G3823" s="23" t="s">
        <v>177</v>
      </c>
      <c r="H3823">
        <v>0</v>
      </c>
      <c r="I3823">
        <v>455</v>
      </c>
      <c r="J3823" s="10">
        <v>23</v>
      </c>
      <c r="K3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3823">
        <v>0</v>
      </c>
      <c r="M38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3">
        <v>20</v>
      </c>
      <c r="O3823" s="23"/>
      <c r="P3823">
        <v>40</v>
      </c>
      <c r="Q3823" s="23" t="s">
        <v>222</v>
      </c>
    </row>
    <row r="3824" spans="1:17" x14ac:dyDescent="0.25">
      <c r="A3824" s="23" t="s">
        <v>1057</v>
      </c>
      <c r="B3824" s="23" t="s">
        <v>1056</v>
      </c>
      <c r="C3824" s="23" t="s">
        <v>176</v>
      </c>
      <c r="D3824" s="23" t="s">
        <v>721</v>
      </c>
      <c r="E3824" s="23" t="s">
        <v>722</v>
      </c>
      <c r="F3824">
        <v>2</v>
      </c>
      <c r="G3824" s="23" t="s">
        <v>177</v>
      </c>
      <c r="H3824">
        <v>0</v>
      </c>
      <c r="I3824">
        <v>200</v>
      </c>
      <c r="J3824" s="10">
        <v>88</v>
      </c>
      <c r="K3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3824">
        <v>0</v>
      </c>
      <c r="M38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4">
        <v>10</v>
      </c>
      <c r="O3824" s="23" t="s">
        <v>227</v>
      </c>
      <c r="P3824">
        <v>20</v>
      </c>
      <c r="Q3824" s="23" t="s">
        <v>181</v>
      </c>
    </row>
    <row r="3825" spans="1:17" x14ac:dyDescent="0.25">
      <c r="A3825" s="23" t="s">
        <v>1149</v>
      </c>
      <c r="B3825" s="23" t="s">
        <v>1145</v>
      </c>
      <c r="C3825" s="23" t="s">
        <v>176</v>
      </c>
      <c r="D3825" s="23" t="s">
        <v>348</v>
      </c>
      <c r="E3825" s="23" t="s">
        <v>349</v>
      </c>
      <c r="F3825">
        <v>0.1</v>
      </c>
      <c r="G3825" s="23" t="s">
        <v>177</v>
      </c>
      <c r="H3825">
        <v>0</v>
      </c>
      <c r="I3825">
        <v>2</v>
      </c>
      <c r="J3825" s="10">
        <v>3.2474023470285829E-15</v>
      </c>
      <c r="K3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25">
        <v>0</v>
      </c>
      <c r="M38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25">
        <v>2778</v>
      </c>
      <c r="O3825" s="23" t="s">
        <v>218</v>
      </c>
      <c r="P3825">
        <v>277.8</v>
      </c>
      <c r="Q3825" s="23" t="s">
        <v>184</v>
      </c>
    </row>
    <row r="3826" spans="1:17" x14ac:dyDescent="0.25">
      <c r="A3826" s="23" t="s">
        <v>1150</v>
      </c>
      <c r="B3826" s="23" t="s">
        <v>1145</v>
      </c>
      <c r="C3826" s="23" t="s">
        <v>176</v>
      </c>
      <c r="D3826" s="23" t="s">
        <v>343</v>
      </c>
      <c r="E3826" s="23" t="s">
        <v>344</v>
      </c>
      <c r="F3826">
        <v>0.05</v>
      </c>
      <c r="G3826" s="23" t="s">
        <v>177</v>
      </c>
      <c r="H3826">
        <v>0</v>
      </c>
      <c r="I3826">
        <v>2</v>
      </c>
      <c r="J3826" s="10">
        <v>1.1657341758564144E-15</v>
      </c>
      <c r="K3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826">
        <v>0</v>
      </c>
      <c r="M38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6">
        <v>1400</v>
      </c>
      <c r="O3826" s="23" t="s">
        <v>218</v>
      </c>
      <c r="P3826">
        <v>70</v>
      </c>
      <c r="Q3826" s="23" t="s">
        <v>184</v>
      </c>
    </row>
    <row r="3827" spans="1:17" x14ac:dyDescent="0.25">
      <c r="A3827" s="23" t="s">
        <v>1142</v>
      </c>
      <c r="B3827" s="23" t="s">
        <v>1054</v>
      </c>
      <c r="C3827" s="23" t="s">
        <v>176</v>
      </c>
      <c r="D3827" s="23" t="s">
        <v>373</v>
      </c>
      <c r="E3827" s="23" t="s">
        <v>374</v>
      </c>
      <c r="F3827">
        <v>6</v>
      </c>
      <c r="G3827" s="23" t="s">
        <v>177</v>
      </c>
      <c r="H3827">
        <v>0</v>
      </c>
      <c r="I3827">
        <v>85</v>
      </c>
      <c r="J3827" s="10">
        <v>34</v>
      </c>
      <c r="K3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3827">
        <v>40</v>
      </c>
      <c r="M38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7">
        <v>74</v>
      </c>
      <c r="O3827" s="23" t="s">
        <v>822</v>
      </c>
      <c r="P3827">
        <v>444</v>
      </c>
      <c r="Q3827" s="23" t="s">
        <v>179</v>
      </c>
    </row>
    <row r="3828" spans="1:17" x14ac:dyDescent="0.25">
      <c r="A3828" s="23" t="s">
        <v>1142</v>
      </c>
      <c r="B3828" s="23" t="s">
        <v>1054</v>
      </c>
      <c r="C3828" s="23" t="s">
        <v>176</v>
      </c>
      <c r="D3828" s="23" t="s">
        <v>343</v>
      </c>
      <c r="E3828" s="23" t="s">
        <v>344</v>
      </c>
      <c r="F3828">
        <v>0.05</v>
      </c>
      <c r="G3828" s="23" t="s">
        <v>177</v>
      </c>
      <c r="H3828">
        <v>0</v>
      </c>
      <c r="I3828">
        <v>2</v>
      </c>
      <c r="J3828" s="10">
        <v>1.1657341758564144E-15</v>
      </c>
      <c r="K3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828">
        <v>0</v>
      </c>
      <c r="M38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28">
        <v>1400</v>
      </c>
      <c r="O3828" s="23" t="s">
        <v>218</v>
      </c>
      <c r="P3828">
        <v>70</v>
      </c>
      <c r="Q3828" s="23" t="s">
        <v>184</v>
      </c>
    </row>
    <row r="3829" spans="1:17" x14ac:dyDescent="0.25">
      <c r="A3829" s="23" t="s">
        <v>1098</v>
      </c>
      <c r="B3829" s="23" t="s">
        <v>1053</v>
      </c>
      <c r="C3829" s="23" t="s">
        <v>176</v>
      </c>
      <c r="D3829" s="23" t="s">
        <v>348</v>
      </c>
      <c r="E3829" s="23" t="s">
        <v>349</v>
      </c>
      <c r="F3829">
        <v>1.05</v>
      </c>
      <c r="G3829" s="23" t="s">
        <v>177</v>
      </c>
      <c r="H3829">
        <v>0</v>
      </c>
      <c r="I3829">
        <v>2</v>
      </c>
      <c r="J3829" s="10">
        <v>3.2474023470285829E-15</v>
      </c>
      <c r="K3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29">
        <v>0</v>
      </c>
      <c r="M38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29">
        <v>2778</v>
      </c>
      <c r="O3829" s="23" t="s">
        <v>218</v>
      </c>
      <c r="P3829">
        <v>2916.9</v>
      </c>
      <c r="Q3829" s="23" t="s">
        <v>184</v>
      </c>
    </row>
    <row r="3830" spans="1:17" x14ac:dyDescent="0.25">
      <c r="A3830" s="23" t="s">
        <v>1098</v>
      </c>
      <c r="B3830" s="23" t="s">
        <v>1053</v>
      </c>
      <c r="C3830" s="23" t="s">
        <v>176</v>
      </c>
      <c r="D3830" s="23" t="s">
        <v>343</v>
      </c>
      <c r="E3830" s="23" t="s">
        <v>344</v>
      </c>
      <c r="F3830">
        <v>0.1</v>
      </c>
      <c r="G3830" s="23" t="s">
        <v>177</v>
      </c>
      <c r="H3830">
        <v>0</v>
      </c>
      <c r="I3830">
        <v>2</v>
      </c>
      <c r="J3830" s="10">
        <v>1.1657341758564144E-15</v>
      </c>
      <c r="K3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830">
        <v>0</v>
      </c>
      <c r="M38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0">
        <v>1400</v>
      </c>
      <c r="O3830" s="23" t="s">
        <v>218</v>
      </c>
      <c r="P3830">
        <v>140</v>
      </c>
      <c r="Q3830" s="23" t="s">
        <v>184</v>
      </c>
    </row>
    <row r="3831" spans="1:17" x14ac:dyDescent="0.25">
      <c r="A3831" s="23" t="s">
        <v>1098</v>
      </c>
      <c r="B3831" s="23" t="s">
        <v>1053</v>
      </c>
      <c r="C3831" s="23" t="s">
        <v>176</v>
      </c>
      <c r="D3831" s="23" t="s">
        <v>511</v>
      </c>
      <c r="E3831" s="23" t="s">
        <v>512</v>
      </c>
      <c r="F3831">
        <v>2</v>
      </c>
      <c r="G3831" s="23" t="s">
        <v>177</v>
      </c>
      <c r="H3831">
        <v>0</v>
      </c>
      <c r="I3831">
        <v>0</v>
      </c>
      <c r="J3831" s="10">
        <v>14</v>
      </c>
      <c r="K3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831">
        <v>0</v>
      </c>
      <c r="M38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831">
        <v>6.87</v>
      </c>
      <c r="O3831" s="23" t="s">
        <v>827</v>
      </c>
      <c r="P3831">
        <v>13.74</v>
      </c>
      <c r="Q3831" s="23" t="s">
        <v>222</v>
      </c>
    </row>
    <row r="3832" spans="1:17" x14ac:dyDescent="0.25">
      <c r="A3832" s="23" t="s">
        <v>1150</v>
      </c>
      <c r="B3832" s="23" t="s">
        <v>1145</v>
      </c>
      <c r="C3832" s="23" t="s">
        <v>176</v>
      </c>
      <c r="D3832" s="23" t="s">
        <v>503</v>
      </c>
      <c r="E3832" s="23" t="s">
        <v>504</v>
      </c>
      <c r="F3832">
        <v>2</v>
      </c>
      <c r="G3832" s="23" t="s">
        <v>177</v>
      </c>
      <c r="H3832">
        <v>0</v>
      </c>
      <c r="I3832">
        <v>115</v>
      </c>
      <c r="J3832" s="10">
        <v>2</v>
      </c>
      <c r="K3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832">
        <v>0</v>
      </c>
      <c r="M38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2">
        <v>0.44</v>
      </c>
      <c r="O3832" s="23" t="s">
        <v>505</v>
      </c>
      <c r="P3832">
        <v>0.88</v>
      </c>
      <c r="Q3832" s="23" t="s">
        <v>222</v>
      </c>
    </row>
    <row r="3833" spans="1:17" x14ac:dyDescent="0.25">
      <c r="A3833" s="23" t="s">
        <v>1144</v>
      </c>
      <c r="B3833" s="23" t="s">
        <v>1145</v>
      </c>
      <c r="C3833" s="23" t="s">
        <v>176</v>
      </c>
      <c r="D3833" s="23" t="s">
        <v>348</v>
      </c>
      <c r="E3833" s="23" t="s">
        <v>349</v>
      </c>
      <c r="F3833">
        <v>0.1</v>
      </c>
      <c r="G3833" s="23" t="s">
        <v>177</v>
      </c>
      <c r="H3833">
        <v>0</v>
      </c>
      <c r="I3833">
        <v>2</v>
      </c>
      <c r="J3833" s="10">
        <v>3.2474023470285829E-15</v>
      </c>
      <c r="K3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33">
        <v>0</v>
      </c>
      <c r="M38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33">
        <v>2778</v>
      </c>
      <c r="O3833" s="23" t="s">
        <v>218</v>
      </c>
      <c r="P3833">
        <v>277.8</v>
      </c>
      <c r="Q3833" s="23" t="s">
        <v>184</v>
      </c>
    </row>
    <row r="3834" spans="1:17" x14ac:dyDescent="0.25">
      <c r="A3834" s="23" t="s">
        <v>1146</v>
      </c>
      <c r="B3834" s="23" t="s">
        <v>1145</v>
      </c>
      <c r="C3834" s="23" t="s">
        <v>176</v>
      </c>
      <c r="D3834" s="23" t="s">
        <v>348</v>
      </c>
      <c r="E3834" s="23" t="s">
        <v>349</v>
      </c>
      <c r="F3834">
        <v>0.05</v>
      </c>
      <c r="G3834" s="23" t="s">
        <v>177</v>
      </c>
      <c r="H3834">
        <v>0</v>
      </c>
      <c r="I3834">
        <v>2</v>
      </c>
      <c r="J3834" s="10">
        <v>3.2474023470285829E-15</v>
      </c>
      <c r="K3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34">
        <v>0</v>
      </c>
      <c r="M38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34">
        <v>2778</v>
      </c>
      <c r="O3834" s="23" t="s">
        <v>218</v>
      </c>
      <c r="P3834">
        <v>138.9</v>
      </c>
      <c r="Q3834" s="23" t="s">
        <v>184</v>
      </c>
    </row>
    <row r="3835" spans="1:17" x14ac:dyDescent="0.25">
      <c r="A3835" s="23" t="s">
        <v>1149</v>
      </c>
      <c r="B3835" s="23" t="s">
        <v>1145</v>
      </c>
      <c r="C3835" s="23" t="s">
        <v>176</v>
      </c>
      <c r="D3835" s="23" t="s">
        <v>343</v>
      </c>
      <c r="E3835" s="23" t="s">
        <v>344</v>
      </c>
      <c r="F3835">
        <v>0.05</v>
      </c>
      <c r="G3835" s="23" t="s">
        <v>177</v>
      </c>
      <c r="H3835">
        <v>0</v>
      </c>
      <c r="I3835">
        <v>2</v>
      </c>
      <c r="J3835" s="10">
        <v>1.1657341758564144E-15</v>
      </c>
      <c r="K3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835">
        <v>0</v>
      </c>
      <c r="M38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5">
        <v>1400</v>
      </c>
      <c r="O3835" s="23" t="s">
        <v>218</v>
      </c>
      <c r="P3835">
        <v>70</v>
      </c>
      <c r="Q3835" s="23" t="s">
        <v>184</v>
      </c>
    </row>
    <row r="3836" spans="1:17" x14ac:dyDescent="0.25">
      <c r="A3836" s="23" t="s">
        <v>1094</v>
      </c>
      <c r="B3836" s="23" t="s">
        <v>1095</v>
      </c>
      <c r="C3836" s="23" t="s">
        <v>176</v>
      </c>
      <c r="D3836" s="23" t="s">
        <v>373</v>
      </c>
      <c r="E3836" s="23" t="s">
        <v>374</v>
      </c>
      <c r="F3836">
        <v>5</v>
      </c>
      <c r="G3836" s="23" t="s">
        <v>177</v>
      </c>
      <c r="H3836">
        <v>0</v>
      </c>
      <c r="I3836">
        <v>85</v>
      </c>
      <c r="J3836" s="10">
        <v>34</v>
      </c>
      <c r="K3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3836">
        <v>40</v>
      </c>
      <c r="M38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6">
        <v>74</v>
      </c>
      <c r="O3836" s="23" t="s">
        <v>822</v>
      </c>
      <c r="P3836">
        <v>370</v>
      </c>
      <c r="Q3836" s="23" t="s">
        <v>179</v>
      </c>
    </row>
    <row r="3837" spans="1:17" x14ac:dyDescent="0.25">
      <c r="A3837" s="23" t="s">
        <v>1142</v>
      </c>
      <c r="B3837" s="23" t="s">
        <v>1054</v>
      </c>
      <c r="C3837" s="23" t="s">
        <v>176</v>
      </c>
      <c r="D3837" s="23" t="s">
        <v>348</v>
      </c>
      <c r="E3837" s="23" t="s">
        <v>349</v>
      </c>
      <c r="F3837">
        <v>0.1</v>
      </c>
      <c r="G3837" s="23" t="s">
        <v>177</v>
      </c>
      <c r="H3837">
        <v>0</v>
      </c>
      <c r="I3837">
        <v>2</v>
      </c>
      <c r="J3837" s="10">
        <v>3.2474023470285829E-15</v>
      </c>
      <c r="K3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37">
        <v>0</v>
      </c>
      <c r="M38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37">
        <v>2778</v>
      </c>
      <c r="O3837" s="23" t="s">
        <v>218</v>
      </c>
      <c r="P3837">
        <v>277.8</v>
      </c>
      <c r="Q3837" s="23" t="s">
        <v>184</v>
      </c>
    </row>
    <row r="3838" spans="1:17" x14ac:dyDescent="0.25">
      <c r="A3838" s="23" t="s">
        <v>1096</v>
      </c>
      <c r="B3838" s="23" t="s">
        <v>1053</v>
      </c>
      <c r="C3838" s="23" t="s">
        <v>176</v>
      </c>
      <c r="D3838" s="23" t="s">
        <v>348</v>
      </c>
      <c r="E3838" s="23" t="s">
        <v>349</v>
      </c>
      <c r="F3838">
        <v>0.1</v>
      </c>
      <c r="G3838" s="23" t="s">
        <v>177</v>
      </c>
      <c r="H3838">
        <v>0</v>
      </c>
      <c r="I3838">
        <v>2</v>
      </c>
      <c r="J3838" s="10">
        <v>3.2474023470285829E-15</v>
      </c>
      <c r="K3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38">
        <v>0</v>
      </c>
      <c r="M38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38">
        <v>2778</v>
      </c>
      <c r="O3838" s="23" t="s">
        <v>218</v>
      </c>
      <c r="P3838">
        <v>277.8</v>
      </c>
      <c r="Q3838" s="23" t="s">
        <v>184</v>
      </c>
    </row>
    <row r="3839" spans="1:17" x14ac:dyDescent="0.25">
      <c r="A3839" s="23" t="s">
        <v>1098</v>
      </c>
      <c r="B3839" s="23" t="s">
        <v>1053</v>
      </c>
      <c r="C3839" s="23" t="s">
        <v>176</v>
      </c>
      <c r="D3839" s="23" t="s">
        <v>619</v>
      </c>
      <c r="E3839" s="23" t="s">
        <v>828</v>
      </c>
      <c r="F3839">
        <v>2</v>
      </c>
      <c r="G3839" s="23" t="s">
        <v>177</v>
      </c>
      <c r="H3839">
        <v>0</v>
      </c>
      <c r="I3839">
        <v>37</v>
      </c>
      <c r="J3839" s="10">
        <v>2</v>
      </c>
      <c r="K3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39">
        <v>0</v>
      </c>
      <c r="M38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39">
        <v>82.6</v>
      </c>
      <c r="O3839" s="23" t="s">
        <v>822</v>
      </c>
      <c r="P3839">
        <v>165.2</v>
      </c>
      <c r="Q3839" s="23" t="s">
        <v>179</v>
      </c>
    </row>
    <row r="3840" spans="1:17" x14ac:dyDescent="0.25">
      <c r="A3840" s="23" t="s">
        <v>1197</v>
      </c>
      <c r="B3840" s="23" t="s">
        <v>1198</v>
      </c>
      <c r="C3840" s="23" t="s">
        <v>176</v>
      </c>
      <c r="D3840" s="23" t="s">
        <v>1140</v>
      </c>
      <c r="E3840" s="23" t="s">
        <v>1141</v>
      </c>
      <c r="F3840">
        <v>1</v>
      </c>
      <c r="G3840" s="23" t="s">
        <v>177</v>
      </c>
      <c r="H3840">
        <v>0</v>
      </c>
      <c r="I3840">
        <v>0</v>
      </c>
      <c r="J3840" s="10">
        <v>0</v>
      </c>
      <c r="K3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3840">
        <v>0</v>
      </c>
      <c r="M38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0">
        <v>0</v>
      </c>
      <c r="O3840" s="23"/>
      <c r="P3840">
        <v>0</v>
      </c>
      <c r="Q3840" s="23" t="s">
        <v>178</v>
      </c>
    </row>
    <row r="3841" spans="1:17" x14ac:dyDescent="0.25">
      <c r="A3841" s="23" t="s">
        <v>1144</v>
      </c>
      <c r="B3841" s="23" t="s">
        <v>1145</v>
      </c>
      <c r="C3841" s="23" t="s">
        <v>176</v>
      </c>
      <c r="D3841" s="23" t="s">
        <v>392</v>
      </c>
      <c r="E3841" s="23" t="s">
        <v>393</v>
      </c>
      <c r="F3841">
        <v>10</v>
      </c>
      <c r="G3841" s="23" t="s">
        <v>177</v>
      </c>
      <c r="H3841">
        <v>0</v>
      </c>
      <c r="I3841">
        <v>0</v>
      </c>
      <c r="J3841" s="10">
        <v>24.050000000000068</v>
      </c>
      <c r="K3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841">
        <v>34</v>
      </c>
      <c r="M38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841">
        <v>1691.67</v>
      </c>
      <c r="O3841" s="23" t="s">
        <v>224</v>
      </c>
      <c r="P3841">
        <v>16916.7</v>
      </c>
      <c r="Q3841" s="23" t="s">
        <v>182</v>
      </c>
    </row>
    <row r="3842" spans="1:17" x14ac:dyDescent="0.25">
      <c r="A3842" s="23" t="s">
        <v>1146</v>
      </c>
      <c r="B3842" s="23" t="s">
        <v>1145</v>
      </c>
      <c r="C3842" s="23" t="s">
        <v>176</v>
      </c>
      <c r="D3842" s="23" t="s">
        <v>392</v>
      </c>
      <c r="E3842" s="23" t="s">
        <v>393</v>
      </c>
      <c r="F3842">
        <v>10</v>
      </c>
      <c r="G3842" s="23" t="s">
        <v>177</v>
      </c>
      <c r="H3842">
        <v>0</v>
      </c>
      <c r="I3842">
        <v>0</v>
      </c>
      <c r="J3842" s="10">
        <v>24.050000000000068</v>
      </c>
      <c r="K3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842">
        <v>34</v>
      </c>
      <c r="M38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842">
        <v>1691.67</v>
      </c>
      <c r="O3842" s="23" t="s">
        <v>224</v>
      </c>
      <c r="P3842">
        <v>16916.7</v>
      </c>
      <c r="Q3842" s="23" t="s">
        <v>182</v>
      </c>
    </row>
    <row r="3843" spans="1:17" x14ac:dyDescent="0.25">
      <c r="A3843" s="23" t="s">
        <v>1144</v>
      </c>
      <c r="B3843" s="23" t="s">
        <v>1145</v>
      </c>
      <c r="C3843" s="23" t="s">
        <v>176</v>
      </c>
      <c r="D3843" s="23" t="s">
        <v>509</v>
      </c>
      <c r="E3843" s="23" t="s">
        <v>510</v>
      </c>
      <c r="F3843">
        <v>1</v>
      </c>
      <c r="G3843" s="23" t="s">
        <v>177</v>
      </c>
      <c r="H3843">
        <v>0</v>
      </c>
      <c r="I3843">
        <v>6</v>
      </c>
      <c r="J3843" s="10">
        <v>9</v>
      </c>
      <c r="K3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843">
        <v>7</v>
      </c>
      <c r="M38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3">
        <v>1535.25</v>
      </c>
      <c r="O3843" s="23" t="s">
        <v>508</v>
      </c>
      <c r="P3843">
        <v>1535.25</v>
      </c>
      <c r="Q3843" s="23" t="s">
        <v>222</v>
      </c>
    </row>
    <row r="3844" spans="1:17" x14ac:dyDescent="0.25">
      <c r="A3844" s="23" t="s">
        <v>1146</v>
      </c>
      <c r="B3844" s="23" t="s">
        <v>1145</v>
      </c>
      <c r="C3844" s="23" t="s">
        <v>176</v>
      </c>
      <c r="D3844" s="23" t="s">
        <v>509</v>
      </c>
      <c r="E3844" s="23" t="s">
        <v>510</v>
      </c>
      <c r="F3844">
        <v>1</v>
      </c>
      <c r="G3844" s="23" t="s">
        <v>177</v>
      </c>
      <c r="H3844">
        <v>0</v>
      </c>
      <c r="I3844">
        <v>6</v>
      </c>
      <c r="J3844" s="10">
        <v>9</v>
      </c>
      <c r="K3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844">
        <v>7</v>
      </c>
      <c r="M38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4">
        <v>1535.25</v>
      </c>
      <c r="O3844" s="23" t="s">
        <v>508</v>
      </c>
      <c r="P3844">
        <v>1535.25</v>
      </c>
      <c r="Q3844" s="23" t="s">
        <v>222</v>
      </c>
    </row>
    <row r="3845" spans="1:17" x14ac:dyDescent="0.25">
      <c r="A3845" s="23" t="s">
        <v>1150</v>
      </c>
      <c r="B3845" s="23" t="s">
        <v>1145</v>
      </c>
      <c r="C3845" s="23" t="s">
        <v>176</v>
      </c>
      <c r="D3845" s="23" t="s">
        <v>793</v>
      </c>
      <c r="E3845" s="23" t="s">
        <v>137</v>
      </c>
      <c r="F3845">
        <v>8</v>
      </c>
      <c r="G3845" s="23" t="s">
        <v>177</v>
      </c>
      <c r="H3845">
        <v>0</v>
      </c>
      <c r="I3845">
        <v>524</v>
      </c>
      <c r="J3845" s="10">
        <v>352</v>
      </c>
      <c r="K3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845">
        <v>0</v>
      </c>
      <c r="M38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5">
        <v>8.1</v>
      </c>
      <c r="O3845" s="23" t="s">
        <v>505</v>
      </c>
      <c r="P3845">
        <v>64.8</v>
      </c>
      <c r="Q3845" s="23" t="s">
        <v>222</v>
      </c>
    </row>
    <row r="3846" spans="1:17" x14ac:dyDescent="0.25">
      <c r="A3846" s="23" t="s">
        <v>1143</v>
      </c>
      <c r="B3846" s="23" t="s">
        <v>1054</v>
      </c>
      <c r="C3846" s="23" t="s">
        <v>176</v>
      </c>
      <c r="D3846" s="23" t="s">
        <v>60</v>
      </c>
      <c r="E3846" s="23" t="s">
        <v>61</v>
      </c>
      <c r="F3846">
        <v>1</v>
      </c>
      <c r="G3846" s="23" t="s">
        <v>177</v>
      </c>
      <c r="H3846">
        <v>0</v>
      </c>
      <c r="I3846">
        <v>18</v>
      </c>
      <c r="J3846" s="10">
        <v>10</v>
      </c>
      <c r="K3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846">
        <v>0</v>
      </c>
      <c r="M38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6">
        <v>115.6</v>
      </c>
      <c r="O3846" s="23" t="s">
        <v>827</v>
      </c>
      <c r="P3846">
        <v>115.6</v>
      </c>
      <c r="Q3846" s="23" t="s">
        <v>222</v>
      </c>
    </row>
    <row r="3847" spans="1:17" x14ac:dyDescent="0.25">
      <c r="A3847" s="23" t="s">
        <v>1057</v>
      </c>
      <c r="B3847" s="23" t="s">
        <v>1056</v>
      </c>
      <c r="C3847" s="23" t="s">
        <v>176</v>
      </c>
      <c r="D3847" s="23" t="s">
        <v>619</v>
      </c>
      <c r="E3847" s="23" t="s">
        <v>828</v>
      </c>
      <c r="F3847">
        <v>1</v>
      </c>
      <c r="G3847" s="23" t="s">
        <v>177</v>
      </c>
      <c r="H3847">
        <v>0</v>
      </c>
      <c r="I3847">
        <v>37</v>
      </c>
      <c r="J3847" s="10">
        <v>2</v>
      </c>
      <c r="K3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47">
        <v>0</v>
      </c>
      <c r="M38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7">
        <v>82.6</v>
      </c>
      <c r="O3847" s="23" t="s">
        <v>822</v>
      </c>
      <c r="P3847">
        <v>82.6</v>
      </c>
      <c r="Q3847" s="23" t="s">
        <v>179</v>
      </c>
    </row>
    <row r="3848" spans="1:17" x14ac:dyDescent="0.25">
      <c r="A3848" s="23" t="s">
        <v>1143</v>
      </c>
      <c r="B3848" s="23" t="s">
        <v>1054</v>
      </c>
      <c r="C3848" s="23" t="s">
        <v>176</v>
      </c>
      <c r="D3848" s="23" t="s">
        <v>619</v>
      </c>
      <c r="E3848" s="23" t="s">
        <v>828</v>
      </c>
      <c r="F3848">
        <v>1</v>
      </c>
      <c r="G3848" s="23" t="s">
        <v>177</v>
      </c>
      <c r="H3848">
        <v>0</v>
      </c>
      <c r="I3848">
        <v>37</v>
      </c>
      <c r="J3848" s="10">
        <v>2</v>
      </c>
      <c r="K3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48">
        <v>0</v>
      </c>
      <c r="M38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8">
        <v>82.6</v>
      </c>
      <c r="O3848" s="23" t="s">
        <v>822</v>
      </c>
      <c r="P3848">
        <v>82.6</v>
      </c>
      <c r="Q3848" s="23" t="s">
        <v>179</v>
      </c>
    </row>
    <row r="3849" spans="1:17" x14ac:dyDescent="0.25">
      <c r="A3849" s="23" t="s">
        <v>1094</v>
      </c>
      <c r="B3849" s="23" t="s">
        <v>1095</v>
      </c>
      <c r="C3849" s="23" t="s">
        <v>176</v>
      </c>
      <c r="D3849" s="23" t="s">
        <v>619</v>
      </c>
      <c r="E3849" s="23" t="s">
        <v>828</v>
      </c>
      <c r="F3849">
        <v>1</v>
      </c>
      <c r="G3849" s="23" t="s">
        <v>177</v>
      </c>
      <c r="H3849">
        <v>0</v>
      </c>
      <c r="I3849">
        <v>37</v>
      </c>
      <c r="J3849" s="10">
        <v>2</v>
      </c>
      <c r="K3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49">
        <v>0</v>
      </c>
      <c r="M38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49">
        <v>82.6</v>
      </c>
      <c r="O3849" s="23" t="s">
        <v>822</v>
      </c>
      <c r="P3849">
        <v>82.6</v>
      </c>
      <c r="Q3849" s="23" t="s">
        <v>179</v>
      </c>
    </row>
    <row r="3850" spans="1:17" x14ac:dyDescent="0.25">
      <c r="A3850" s="23" t="s">
        <v>1057</v>
      </c>
      <c r="B3850" s="23" t="s">
        <v>1056</v>
      </c>
      <c r="C3850" s="23" t="s">
        <v>176</v>
      </c>
      <c r="D3850" s="23" t="s">
        <v>974</v>
      </c>
      <c r="E3850" s="23" t="s">
        <v>975</v>
      </c>
      <c r="F3850">
        <v>5</v>
      </c>
      <c r="G3850" s="23" t="s">
        <v>177</v>
      </c>
      <c r="H3850">
        <v>0</v>
      </c>
      <c r="I3850">
        <v>0</v>
      </c>
      <c r="J3850" s="10">
        <v>0</v>
      </c>
      <c r="K3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3850">
        <v>0</v>
      </c>
      <c r="M38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6.6000000000000005</v>
      </c>
      <c r="N3850">
        <v>0.66</v>
      </c>
      <c r="O3850" s="23"/>
      <c r="P3850">
        <v>3.3000000000000003</v>
      </c>
      <c r="Q3850" s="23" t="s">
        <v>181</v>
      </c>
    </row>
    <row r="3851" spans="1:17" x14ac:dyDescent="0.25">
      <c r="A3851" s="23" t="s">
        <v>1143</v>
      </c>
      <c r="B3851" s="23" t="s">
        <v>1054</v>
      </c>
      <c r="C3851" s="23" t="s">
        <v>176</v>
      </c>
      <c r="D3851" s="23" t="s">
        <v>301</v>
      </c>
      <c r="E3851" s="23" t="s">
        <v>302</v>
      </c>
      <c r="F3851">
        <v>12.5</v>
      </c>
      <c r="G3851" s="23" t="s">
        <v>177</v>
      </c>
      <c r="H3851">
        <v>0</v>
      </c>
      <c r="I3851">
        <v>180</v>
      </c>
      <c r="J3851" s="10">
        <v>80</v>
      </c>
      <c r="K3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851">
        <v>0</v>
      </c>
      <c r="M38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851">
        <v>240</v>
      </c>
      <c r="O3851" s="23" t="s">
        <v>242</v>
      </c>
      <c r="P3851">
        <v>3000</v>
      </c>
      <c r="Q3851" s="23" t="s">
        <v>181</v>
      </c>
    </row>
    <row r="3852" spans="1:17" x14ac:dyDescent="0.25">
      <c r="A3852" s="23" t="s">
        <v>1094</v>
      </c>
      <c r="B3852" s="23" t="s">
        <v>1095</v>
      </c>
      <c r="C3852" s="23" t="s">
        <v>176</v>
      </c>
      <c r="D3852" s="23" t="s">
        <v>339</v>
      </c>
      <c r="E3852" s="23" t="s">
        <v>340</v>
      </c>
      <c r="F3852">
        <v>16.66</v>
      </c>
      <c r="G3852" s="23" t="s">
        <v>186</v>
      </c>
      <c r="H3852">
        <v>0</v>
      </c>
      <c r="I3852">
        <v>0</v>
      </c>
      <c r="J3852" s="10">
        <v>154.95000000000007</v>
      </c>
      <c r="K3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852">
        <v>60</v>
      </c>
      <c r="M38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852">
        <v>194.75</v>
      </c>
      <c r="O3852" s="23" t="s">
        <v>491</v>
      </c>
      <c r="P3852">
        <v>3244.5349999999999</v>
      </c>
      <c r="Q3852" s="23" t="s">
        <v>184</v>
      </c>
    </row>
    <row r="3853" spans="1:17" x14ac:dyDescent="0.25">
      <c r="A3853" s="23" t="s">
        <v>1142</v>
      </c>
      <c r="B3853" s="23" t="s">
        <v>1054</v>
      </c>
      <c r="C3853" s="23" t="s">
        <v>176</v>
      </c>
      <c r="D3853" s="23" t="s">
        <v>339</v>
      </c>
      <c r="E3853" s="23" t="s">
        <v>340</v>
      </c>
      <c r="F3853">
        <v>2.4700000000000002</v>
      </c>
      <c r="G3853" s="23" t="s">
        <v>186</v>
      </c>
      <c r="H3853">
        <v>0</v>
      </c>
      <c r="I3853">
        <v>0</v>
      </c>
      <c r="J3853" s="10">
        <v>154.95000000000007</v>
      </c>
      <c r="K3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853">
        <v>60</v>
      </c>
      <c r="M38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853">
        <v>194.75</v>
      </c>
      <c r="O3853" s="23" t="s">
        <v>491</v>
      </c>
      <c r="P3853">
        <v>481.03250000000003</v>
      </c>
      <c r="Q3853" s="23" t="s">
        <v>184</v>
      </c>
    </row>
    <row r="3854" spans="1:17" x14ac:dyDescent="0.25">
      <c r="A3854" s="23" t="s">
        <v>1142</v>
      </c>
      <c r="B3854" s="23" t="s">
        <v>1054</v>
      </c>
      <c r="C3854" s="23" t="s">
        <v>176</v>
      </c>
      <c r="D3854" s="23" t="s">
        <v>392</v>
      </c>
      <c r="E3854" s="23" t="s">
        <v>393</v>
      </c>
      <c r="F3854">
        <v>10</v>
      </c>
      <c r="G3854" s="23" t="s">
        <v>177</v>
      </c>
      <c r="H3854">
        <v>0</v>
      </c>
      <c r="I3854">
        <v>0</v>
      </c>
      <c r="J3854" s="10">
        <v>24.050000000000068</v>
      </c>
      <c r="K3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854">
        <v>34</v>
      </c>
      <c r="M38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854">
        <v>1691.67</v>
      </c>
      <c r="O3854" s="23" t="s">
        <v>224</v>
      </c>
      <c r="P3854">
        <v>16916.7</v>
      </c>
      <c r="Q3854" s="23" t="s">
        <v>182</v>
      </c>
    </row>
    <row r="3855" spans="1:17" x14ac:dyDescent="0.25">
      <c r="A3855" s="23" t="s">
        <v>1097</v>
      </c>
      <c r="B3855" s="23" t="s">
        <v>1095</v>
      </c>
      <c r="C3855" s="23" t="s">
        <v>176</v>
      </c>
      <c r="D3855" s="23" t="s">
        <v>619</v>
      </c>
      <c r="E3855" s="23" t="s">
        <v>828</v>
      </c>
      <c r="F3855">
        <v>1</v>
      </c>
      <c r="G3855" s="23" t="s">
        <v>177</v>
      </c>
      <c r="H3855">
        <v>0</v>
      </c>
      <c r="I3855">
        <v>37</v>
      </c>
      <c r="J3855" s="10">
        <v>2</v>
      </c>
      <c r="K3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55">
        <v>0</v>
      </c>
      <c r="M38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5">
        <v>82.6</v>
      </c>
      <c r="O3855" s="23" t="s">
        <v>822</v>
      </c>
      <c r="P3855">
        <v>82.6</v>
      </c>
      <c r="Q3855" s="23" t="s">
        <v>179</v>
      </c>
    </row>
    <row r="3856" spans="1:17" x14ac:dyDescent="0.25">
      <c r="A3856" s="23" t="s">
        <v>1062</v>
      </c>
      <c r="B3856" s="23" t="s">
        <v>1053</v>
      </c>
      <c r="C3856" s="23" t="s">
        <v>176</v>
      </c>
      <c r="D3856" s="23" t="s">
        <v>793</v>
      </c>
      <c r="E3856" s="23" t="s">
        <v>137</v>
      </c>
      <c r="F3856">
        <v>8</v>
      </c>
      <c r="G3856" s="23" t="s">
        <v>177</v>
      </c>
      <c r="H3856">
        <v>0</v>
      </c>
      <c r="I3856">
        <v>524</v>
      </c>
      <c r="J3856" s="10">
        <v>352</v>
      </c>
      <c r="K3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856">
        <v>0</v>
      </c>
      <c r="M38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6">
        <v>8.1</v>
      </c>
      <c r="O3856" s="23" t="s">
        <v>505</v>
      </c>
      <c r="P3856">
        <v>64.8</v>
      </c>
      <c r="Q3856" s="23" t="s">
        <v>222</v>
      </c>
    </row>
    <row r="3857" spans="1:17" x14ac:dyDescent="0.25">
      <c r="A3857" s="23" t="s">
        <v>1097</v>
      </c>
      <c r="B3857" s="23" t="s">
        <v>1095</v>
      </c>
      <c r="C3857" s="23" t="s">
        <v>176</v>
      </c>
      <c r="D3857" s="23" t="s">
        <v>793</v>
      </c>
      <c r="E3857" s="23" t="s">
        <v>137</v>
      </c>
      <c r="F3857">
        <v>8</v>
      </c>
      <c r="G3857" s="23" t="s">
        <v>177</v>
      </c>
      <c r="H3857">
        <v>0</v>
      </c>
      <c r="I3857">
        <v>524</v>
      </c>
      <c r="J3857" s="10">
        <v>352</v>
      </c>
      <c r="K3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857">
        <v>0</v>
      </c>
      <c r="M38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7">
        <v>8.1</v>
      </c>
      <c r="O3857" s="23" t="s">
        <v>505</v>
      </c>
      <c r="P3857">
        <v>64.8</v>
      </c>
      <c r="Q3857" s="23" t="s">
        <v>222</v>
      </c>
    </row>
    <row r="3858" spans="1:17" x14ac:dyDescent="0.25">
      <c r="A3858" s="23" t="s">
        <v>1142</v>
      </c>
      <c r="B3858" s="23" t="s">
        <v>1054</v>
      </c>
      <c r="C3858" s="23" t="s">
        <v>176</v>
      </c>
      <c r="D3858" s="23" t="s">
        <v>619</v>
      </c>
      <c r="E3858" s="23" t="s">
        <v>828</v>
      </c>
      <c r="F3858">
        <v>1</v>
      </c>
      <c r="G3858" s="23" t="s">
        <v>177</v>
      </c>
      <c r="H3858">
        <v>0</v>
      </c>
      <c r="I3858">
        <v>37</v>
      </c>
      <c r="J3858" s="10">
        <v>2</v>
      </c>
      <c r="K3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58">
        <v>0</v>
      </c>
      <c r="M38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8">
        <v>82.6</v>
      </c>
      <c r="O3858" s="23" t="s">
        <v>822</v>
      </c>
      <c r="P3858">
        <v>82.6</v>
      </c>
      <c r="Q3858" s="23" t="s">
        <v>179</v>
      </c>
    </row>
    <row r="3859" spans="1:17" x14ac:dyDescent="0.25">
      <c r="A3859" s="23" t="s">
        <v>1096</v>
      </c>
      <c r="B3859" s="23" t="s">
        <v>1053</v>
      </c>
      <c r="C3859" s="23" t="s">
        <v>176</v>
      </c>
      <c r="D3859" s="23" t="s">
        <v>619</v>
      </c>
      <c r="E3859" s="23" t="s">
        <v>828</v>
      </c>
      <c r="F3859">
        <v>1</v>
      </c>
      <c r="G3859" s="23" t="s">
        <v>177</v>
      </c>
      <c r="H3859">
        <v>0</v>
      </c>
      <c r="I3859">
        <v>37</v>
      </c>
      <c r="J3859" s="10">
        <v>2</v>
      </c>
      <c r="K3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59">
        <v>0</v>
      </c>
      <c r="M38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59">
        <v>82.6</v>
      </c>
      <c r="O3859" s="23" t="s">
        <v>822</v>
      </c>
      <c r="P3859">
        <v>82.6</v>
      </c>
      <c r="Q3859" s="23" t="s">
        <v>179</v>
      </c>
    </row>
    <row r="3860" spans="1:17" x14ac:dyDescent="0.25">
      <c r="A3860" s="23" t="s">
        <v>1062</v>
      </c>
      <c r="B3860" s="23" t="s">
        <v>1053</v>
      </c>
      <c r="C3860" s="23" t="s">
        <v>176</v>
      </c>
      <c r="D3860" s="23" t="s">
        <v>619</v>
      </c>
      <c r="E3860" s="23" t="s">
        <v>828</v>
      </c>
      <c r="F3860">
        <v>1</v>
      </c>
      <c r="G3860" s="23" t="s">
        <v>177</v>
      </c>
      <c r="H3860">
        <v>0</v>
      </c>
      <c r="I3860">
        <v>37</v>
      </c>
      <c r="J3860" s="10">
        <v>2</v>
      </c>
      <c r="K3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3860">
        <v>0</v>
      </c>
      <c r="M38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0">
        <v>82.6</v>
      </c>
      <c r="O3860" s="23" t="s">
        <v>822</v>
      </c>
      <c r="P3860">
        <v>82.6</v>
      </c>
      <c r="Q3860" s="23" t="s">
        <v>179</v>
      </c>
    </row>
    <row r="3861" spans="1:17" x14ac:dyDescent="0.25">
      <c r="A3861" s="23" t="s">
        <v>1197</v>
      </c>
      <c r="B3861" s="23" t="s">
        <v>1198</v>
      </c>
      <c r="C3861" s="23" t="s">
        <v>176</v>
      </c>
      <c r="D3861" s="23" t="s">
        <v>301</v>
      </c>
      <c r="E3861" s="23" t="s">
        <v>302</v>
      </c>
      <c r="F3861">
        <v>26</v>
      </c>
      <c r="G3861" s="23" t="s">
        <v>177</v>
      </c>
      <c r="H3861">
        <v>0</v>
      </c>
      <c r="I3861">
        <v>180</v>
      </c>
      <c r="J3861" s="10">
        <v>80</v>
      </c>
      <c r="K3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861">
        <v>0</v>
      </c>
      <c r="M38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861">
        <v>240</v>
      </c>
      <c r="O3861" s="23" t="s">
        <v>242</v>
      </c>
      <c r="P3861">
        <v>6240</v>
      </c>
      <c r="Q3861" s="23" t="s">
        <v>181</v>
      </c>
    </row>
    <row r="3862" spans="1:17" x14ac:dyDescent="0.25">
      <c r="A3862" s="23" t="s">
        <v>1098</v>
      </c>
      <c r="B3862" s="23" t="s">
        <v>1053</v>
      </c>
      <c r="C3862" s="23" t="s">
        <v>176</v>
      </c>
      <c r="D3862" s="23" t="s">
        <v>301</v>
      </c>
      <c r="E3862" s="23" t="s">
        <v>302</v>
      </c>
      <c r="F3862">
        <v>12.5</v>
      </c>
      <c r="G3862" s="23" t="s">
        <v>177</v>
      </c>
      <c r="H3862">
        <v>0</v>
      </c>
      <c r="I3862">
        <v>180</v>
      </c>
      <c r="J3862" s="10">
        <v>80</v>
      </c>
      <c r="K3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862">
        <v>0</v>
      </c>
      <c r="M38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862">
        <v>240</v>
      </c>
      <c r="O3862" s="23" t="s">
        <v>242</v>
      </c>
      <c r="P3862">
        <v>3000</v>
      </c>
      <c r="Q3862" s="23" t="s">
        <v>181</v>
      </c>
    </row>
    <row r="3863" spans="1:17" x14ac:dyDescent="0.25">
      <c r="A3863" s="23" t="s">
        <v>1197</v>
      </c>
      <c r="B3863" s="23" t="s">
        <v>1198</v>
      </c>
      <c r="C3863" s="23" t="s">
        <v>176</v>
      </c>
      <c r="D3863" s="23" t="s">
        <v>509</v>
      </c>
      <c r="E3863" s="23" t="s">
        <v>510</v>
      </c>
      <c r="F3863">
        <v>1</v>
      </c>
      <c r="G3863" s="23" t="s">
        <v>177</v>
      </c>
      <c r="H3863">
        <v>0</v>
      </c>
      <c r="I3863">
        <v>6</v>
      </c>
      <c r="J3863" s="10">
        <v>9</v>
      </c>
      <c r="K3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863">
        <v>7</v>
      </c>
      <c r="M38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3">
        <v>1535.25</v>
      </c>
      <c r="O3863" s="23" t="s">
        <v>508</v>
      </c>
      <c r="P3863">
        <v>1535.25</v>
      </c>
      <c r="Q3863" s="23" t="s">
        <v>222</v>
      </c>
    </row>
    <row r="3864" spans="1:17" x14ac:dyDescent="0.25">
      <c r="A3864" s="23" t="s">
        <v>1098</v>
      </c>
      <c r="B3864" s="23" t="s">
        <v>1053</v>
      </c>
      <c r="C3864" s="23" t="s">
        <v>176</v>
      </c>
      <c r="D3864" s="23" t="s">
        <v>509</v>
      </c>
      <c r="E3864" s="23" t="s">
        <v>510</v>
      </c>
      <c r="F3864">
        <v>1</v>
      </c>
      <c r="G3864" s="23" t="s">
        <v>177</v>
      </c>
      <c r="H3864">
        <v>0</v>
      </c>
      <c r="I3864">
        <v>6</v>
      </c>
      <c r="J3864" s="10">
        <v>9</v>
      </c>
      <c r="K3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864">
        <v>7</v>
      </c>
      <c r="M38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4">
        <v>1535.25</v>
      </c>
      <c r="O3864" s="23" t="s">
        <v>508</v>
      </c>
      <c r="P3864">
        <v>1535.25</v>
      </c>
      <c r="Q3864" s="23" t="s">
        <v>222</v>
      </c>
    </row>
    <row r="3865" spans="1:17" x14ac:dyDescent="0.25">
      <c r="A3865" s="23" t="s">
        <v>1149</v>
      </c>
      <c r="B3865" s="23" t="s">
        <v>1145</v>
      </c>
      <c r="C3865" s="23" t="s">
        <v>176</v>
      </c>
      <c r="D3865" s="23" t="s">
        <v>392</v>
      </c>
      <c r="E3865" s="23" t="s">
        <v>393</v>
      </c>
      <c r="F3865">
        <v>10</v>
      </c>
      <c r="G3865" s="23" t="s">
        <v>177</v>
      </c>
      <c r="H3865">
        <v>0</v>
      </c>
      <c r="I3865">
        <v>0</v>
      </c>
      <c r="J3865" s="10">
        <v>24.050000000000068</v>
      </c>
      <c r="K3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865">
        <v>34</v>
      </c>
      <c r="M38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865">
        <v>1691.67</v>
      </c>
      <c r="O3865" s="23" t="s">
        <v>224</v>
      </c>
      <c r="P3865">
        <v>16916.7</v>
      </c>
      <c r="Q3865" s="23" t="s">
        <v>182</v>
      </c>
    </row>
    <row r="3866" spans="1:17" x14ac:dyDescent="0.25">
      <c r="A3866" s="23" t="s">
        <v>1197</v>
      </c>
      <c r="B3866" s="23" t="s">
        <v>1198</v>
      </c>
      <c r="C3866" s="23" t="s">
        <v>176</v>
      </c>
      <c r="D3866" s="23" t="s">
        <v>831</v>
      </c>
      <c r="E3866" s="23" t="s">
        <v>832</v>
      </c>
      <c r="F3866">
        <v>4</v>
      </c>
      <c r="G3866" s="23" t="s">
        <v>180</v>
      </c>
      <c r="H3866">
        <v>0</v>
      </c>
      <c r="I3866">
        <v>100</v>
      </c>
      <c r="J3866" s="10">
        <v>0</v>
      </c>
      <c r="K3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66">
        <v>214.64</v>
      </c>
      <c r="M38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6">
        <v>50.81</v>
      </c>
      <c r="O3866" s="23" t="s">
        <v>833</v>
      </c>
      <c r="P3866">
        <v>203.24</v>
      </c>
      <c r="Q3866" s="23" t="s">
        <v>185</v>
      </c>
    </row>
    <row r="3867" spans="1:17" x14ac:dyDescent="0.25">
      <c r="A3867" s="23" t="s">
        <v>1150</v>
      </c>
      <c r="B3867" s="23" t="s">
        <v>1145</v>
      </c>
      <c r="C3867" s="23" t="s">
        <v>176</v>
      </c>
      <c r="D3867" s="23" t="s">
        <v>446</v>
      </c>
      <c r="E3867" s="23" t="s">
        <v>630</v>
      </c>
      <c r="F3867">
        <v>4</v>
      </c>
      <c r="G3867" s="23" t="s">
        <v>177</v>
      </c>
      <c r="H3867">
        <v>0</v>
      </c>
      <c r="I3867">
        <v>115</v>
      </c>
      <c r="J3867" s="10">
        <v>28</v>
      </c>
      <c r="K3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67">
        <v>0</v>
      </c>
      <c r="M38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7">
        <v>250</v>
      </c>
      <c r="O3867" s="23" t="s">
        <v>629</v>
      </c>
      <c r="P3867">
        <v>1000</v>
      </c>
      <c r="Q3867" s="23" t="s">
        <v>181</v>
      </c>
    </row>
    <row r="3868" spans="1:17" x14ac:dyDescent="0.25">
      <c r="A3868" s="23" t="s">
        <v>1149</v>
      </c>
      <c r="B3868" s="23" t="s">
        <v>1145</v>
      </c>
      <c r="C3868" s="23" t="s">
        <v>176</v>
      </c>
      <c r="D3868" s="23" t="s">
        <v>831</v>
      </c>
      <c r="E3868" s="23" t="s">
        <v>832</v>
      </c>
      <c r="F3868">
        <v>4</v>
      </c>
      <c r="G3868" s="23" t="s">
        <v>180</v>
      </c>
      <c r="H3868">
        <v>0</v>
      </c>
      <c r="I3868">
        <v>100</v>
      </c>
      <c r="J3868" s="10">
        <v>0</v>
      </c>
      <c r="K3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68">
        <v>214.64</v>
      </c>
      <c r="M38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8">
        <v>50.81</v>
      </c>
      <c r="O3868" s="23" t="s">
        <v>833</v>
      </c>
      <c r="P3868">
        <v>203.24</v>
      </c>
      <c r="Q3868" s="23" t="s">
        <v>185</v>
      </c>
    </row>
    <row r="3869" spans="1:17" x14ac:dyDescent="0.25">
      <c r="A3869" s="23" t="s">
        <v>1142</v>
      </c>
      <c r="B3869" s="23" t="s">
        <v>1054</v>
      </c>
      <c r="C3869" s="23" t="s">
        <v>176</v>
      </c>
      <c r="D3869" s="23" t="s">
        <v>377</v>
      </c>
      <c r="E3869" s="23" t="s">
        <v>378</v>
      </c>
      <c r="F3869">
        <v>3</v>
      </c>
      <c r="G3869" s="23" t="s">
        <v>177</v>
      </c>
      <c r="H3869">
        <v>0</v>
      </c>
      <c r="I3869">
        <v>38</v>
      </c>
      <c r="J3869" s="10">
        <v>25</v>
      </c>
      <c r="K3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869">
        <v>20</v>
      </c>
      <c r="M38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69">
        <v>245</v>
      </c>
      <c r="O3869" s="23" t="s">
        <v>822</v>
      </c>
      <c r="P3869">
        <v>735</v>
      </c>
      <c r="Q3869" s="23" t="s">
        <v>179</v>
      </c>
    </row>
    <row r="3870" spans="1:17" x14ac:dyDescent="0.25">
      <c r="A3870" s="23" t="s">
        <v>1096</v>
      </c>
      <c r="B3870" s="23" t="s">
        <v>1053</v>
      </c>
      <c r="C3870" s="23" t="s">
        <v>176</v>
      </c>
      <c r="D3870" s="23" t="s">
        <v>377</v>
      </c>
      <c r="E3870" s="23" t="s">
        <v>378</v>
      </c>
      <c r="F3870">
        <v>3</v>
      </c>
      <c r="G3870" s="23" t="s">
        <v>177</v>
      </c>
      <c r="H3870">
        <v>0</v>
      </c>
      <c r="I3870">
        <v>38</v>
      </c>
      <c r="J3870" s="10">
        <v>25</v>
      </c>
      <c r="K3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870">
        <v>20</v>
      </c>
      <c r="M38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0">
        <v>245</v>
      </c>
      <c r="O3870" s="23" t="s">
        <v>822</v>
      </c>
      <c r="P3870">
        <v>735</v>
      </c>
      <c r="Q3870" s="23" t="s">
        <v>179</v>
      </c>
    </row>
    <row r="3871" spans="1:17" x14ac:dyDescent="0.25">
      <c r="A3871" s="23" t="s">
        <v>1096</v>
      </c>
      <c r="B3871" s="23" t="s">
        <v>1053</v>
      </c>
      <c r="C3871" s="23" t="s">
        <v>176</v>
      </c>
      <c r="D3871" s="23" t="s">
        <v>268</v>
      </c>
      <c r="E3871" s="23" t="s">
        <v>269</v>
      </c>
      <c r="F3871">
        <v>2</v>
      </c>
      <c r="G3871" s="23" t="s">
        <v>177</v>
      </c>
      <c r="H3871">
        <v>0</v>
      </c>
      <c r="I3871">
        <v>30</v>
      </c>
      <c r="J3871" s="10">
        <v>0</v>
      </c>
      <c r="K3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871">
        <v>0</v>
      </c>
      <c r="M38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1">
        <v>60</v>
      </c>
      <c r="O3871" s="23" t="s">
        <v>227</v>
      </c>
      <c r="P3871">
        <v>120</v>
      </c>
      <c r="Q3871" s="23" t="s">
        <v>181</v>
      </c>
    </row>
    <row r="3872" spans="1:17" x14ac:dyDescent="0.25">
      <c r="A3872" s="23" t="s">
        <v>1142</v>
      </c>
      <c r="B3872" s="23" t="s">
        <v>1054</v>
      </c>
      <c r="C3872" s="23" t="s">
        <v>176</v>
      </c>
      <c r="D3872" s="23" t="s">
        <v>279</v>
      </c>
      <c r="E3872" s="23" t="s">
        <v>317</v>
      </c>
      <c r="F3872">
        <v>1</v>
      </c>
      <c r="G3872" s="23" t="s">
        <v>177</v>
      </c>
      <c r="H3872">
        <v>0</v>
      </c>
      <c r="I3872">
        <v>27</v>
      </c>
      <c r="J3872" s="10">
        <v>4</v>
      </c>
      <c r="K3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872">
        <v>0</v>
      </c>
      <c r="M38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2">
        <v>287.01</v>
      </c>
      <c r="O3872" s="23" t="s">
        <v>637</v>
      </c>
      <c r="P3872">
        <v>287.01</v>
      </c>
      <c r="Q3872" s="23" t="s">
        <v>179</v>
      </c>
    </row>
    <row r="3873" spans="1:17" x14ac:dyDescent="0.25">
      <c r="A3873" s="23" t="s">
        <v>1142</v>
      </c>
      <c r="B3873" s="23" t="s">
        <v>1054</v>
      </c>
      <c r="C3873" s="23" t="s">
        <v>176</v>
      </c>
      <c r="D3873" s="23" t="s">
        <v>280</v>
      </c>
      <c r="E3873" s="23" t="s">
        <v>318</v>
      </c>
      <c r="F3873">
        <v>1</v>
      </c>
      <c r="G3873" s="23" t="s">
        <v>177</v>
      </c>
      <c r="H3873">
        <v>0</v>
      </c>
      <c r="I3873">
        <v>27</v>
      </c>
      <c r="J3873" s="10">
        <v>4</v>
      </c>
      <c r="K3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873">
        <v>0</v>
      </c>
      <c r="M38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3">
        <v>287.01</v>
      </c>
      <c r="O3873" s="23" t="s">
        <v>637</v>
      </c>
      <c r="P3873">
        <v>287.01</v>
      </c>
      <c r="Q3873" s="23" t="s">
        <v>179</v>
      </c>
    </row>
    <row r="3874" spans="1:17" x14ac:dyDescent="0.25">
      <c r="A3874" s="23" t="s">
        <v>1062</v>
      </c>
      <c r="B3874" s="23" t="s">
        <v>1053</v>
      </c>
      <c r="C3874" s="23" t="s">
        <v>176</v>
      </c>
      <c r="D3874" s="23" t="s">
        <v>268</v>
      </c>
      <c r="E3874" s="23" t="s">
        <v>269</v>
      </c>
      <c r="F3874">
        <v>2</v>
      </c>
      <c r="G3874" s="23" t="s">
        <v>177</v>
      </c>
      <c r="H3874">
        <v>0</v>
      </c>
      <c r="I3874">
        <v>30</v>
      </c>
      <c r="J3874" s="10">
        <v>0</v>
      </c>
      <c r="K3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3874">
        <v>0</v>
      </c>
      <c r="M38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4">
        <v>60</v>
      </c>
      <c r="O3874" s="23" t="s">
        <v>227</v>
      </c>
      <c r="P3874">
        <v>120</v>
      </c>
      <c r="Q3874" s="23" t="s">
        <v>181</v>
      </c>
    </row>
    <row r="3875" spans="1:17" x14ac:dyDescent="0.25">
      <c r="A3875" s="23" t="s">
        <v>1197</v>
      </c>
      <c r="B3875" s="23" t="s">
        <v>1198</v>
      </c>
      <c r="C3875" s="23" t="s">
        <v>176</v>
      </c>
      <c r="D3875" s="23" t="s">
        <v>279</v>
      </c>
      <c r="E3875" s="23" t="s">
        <v>317</v>
      </c>
      <c r="F3875">
        <v>1</v>
      </c>
      <c r="G3875" s="23" t="s">
        <v>177</v>
      </c>
      <c r="H3875">
        <v>0</v>
      </c>
      <c r="I3875">
        <v>27</v>
      </c>
      <c r="J3875" s="10">
        <v>4</v>
      </c>
      <c r="K3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875">
        <v>0</v>
      </c>
      <c r="M38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5">
        <v>287.01</v>
      </c>
      <c r="O3875" s="23" t="s">
        <v>637</v>
      </c>
      <c r="P3875">
        <v>287.01</v>
      </c>
      <c r="Q3875" s="23" t="s">
        <v>179</v>
      </c>
    </row>
    <row r="3876" spans="1:17" x14ac:dyDescent="0.25">
      <c r="A3876" s="23" t="s">
        <v>1197</v>
      </c>
      <c r="B3876" s="23" t="s">
        <v>1198</v>
      </c>
      <c r="C3876" s="23" t="s">
        <v>176</v>
      </c>
      <c r="D3876" s="23" t="s">
        <v>280</v>
      </c>
      <c r="E3876" s="23" t="s">
        <v>318</v>
      </c>
      <c r="F3876">
        <v>1</v>
      </c>
      <c r="G3876" s="23" t="s">
        <v>177</v>
      </c>
      <c r="H3876">
        <v>0</v>
      </c>
      <c r="I3876">
        <v>27</v>
      </c>
      <c r="J3876" s="10">
        <v>4</v>
      </c>
      <c r="K3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876">
        <v>0</v>
      </c>
      <c r="M38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6">
        <v>287.01</v>
      </c>
      <c r="O3876" s="23" t="s">
        <v>637</v>
      </c>
      <c r="P3876">
        <v>287.01</v>
      </c>
      <c r="Q3876" s="23" t="s">
        <v>179</v>
      </c>
    </row>
    <row r="3877" spans="1:17" x14ac:dyDescent="0.25">
      <c r="A3877" s="23" t="s">
        <v>1197</v>
      </c>
      <c r="B3877" s="23" t="s">
        <v>1198</v>
      </c>
      <c r="C3877" s="23" t="s">
        <v>176</v>
      </c>
      <c r="D3877" s="23" t="s">
        <v>446</v>
      </c>
      <c r="E3877" s="23" t="s">
        <v>630</v>
      </c>
      <c r="F3877">
        <v>4</v>
      </c>
      <c r="G3877" s="23" t="s">
        <v>177</v>
      </c>
      <c r="H3877">
        <v>0</v>
      </c>
      <c r="I3877">
        <v>115</v>
      </c>
      <c r="J3877" s="10">
        <v>28</v>
      </c>
      <c r="K3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77">
        <v>0</v>
      </c>
      <c r="M38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77">
        <v>250</v>
      </c>
      <c r="O3877" s="23" t="s">
        <v>629</v>
      </c>
      <c r="P3877">
        <v>1000</v>
      </c>
      <c r="Q3877" s="23" t="s">
        <v>181</v>
      </c>
    </row>
    <row r="3878" spans="1:17" x14ac:dyDescent="0.25">
      <c r="A3878" s="23" t="s">
        <v>1197</v>
      </c>
      <c r="B3878" s="23" t="s">
        <v>1198</v>
      </c>
      <c r="C3878" s="23" t="s">
        <v>176</v>
      </c>
      <c r="D3878" s="23" t="s">
        <v>845</v>
      </c>
      <c r="E3878" s="23" t="s">
        <v>846</v>
      </c>
      <c r="F3878">
        <v>3</v>
      </c>
      <c r="G3878" s="23" t="s">
        <v>177</v>
      </c>
      <c r="H3878">
        <v>0</v>
      </c>
      <c r="I3878">
        <v>42</v>
      </c>
      <c r="J3878" s="10">
        <v>20</v>
      </c>
      <c r="K3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78">
        <v>0</v>
      </c>
      <c r="M38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878">
        <v>348.7</v>
      </c>
      <c r="O3878" s="23" t="s">
        <v>637</v>
      </c>
      <c r="P3878">
        <v>1046.0999999999999</v>
      </c>
      <c r="Q3878" s="23" t="s">
        <v>178</v>
      </c>
    </row>
    <row r="3879" spans="1:17" x14ac:dyDescent="0.25">
      <c r="A3879" s="23" t="s">
        <v>1098</v>
      </c>
      <c r="B3879" s="23" t="s">
        <v>1053</v>
      </c>
      <c r="C3879" s="23" t="s">
        <v>176</v>
      </c>
      <c r="D3879" s="23" t="s">
        <v>845</v>
      </c>
      <c r="E3879" s="23" t="s">
        <v>846</v>
      </c>
      <c r="F3879">
        <v>3</v>
      </c>
      <c r="G3879" s="23" t="s">
        <v>177</v>
      </c>
      <c r="H3879">
        <v>0</v>
      </c>
      <c r="I3879">
        <v>42</v>
      </c>
      <c r="J3879" s="10">
        <v>20</v>
      </c>
      <c r="K3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79">
        <v>0</v>
      </c>
      <c r="M38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879">
        <v>348.7</v>
      </c>
      <c r="O3879" s="23" t="s">
        <v>637</v>
      </c>
      <c r="P3879">
        <v>1046.0999999999999</v>
      </c>
      <c r="Q3879" s="23" t="s">
        <v>178</v>
      </c>
    </row>
    <row r="3880" spans="1:17" x14ac:dyDescent="0.25">
      <c r="A3880" s="23" t="s">
        <v>1057</v>
      </c>
      <c r="B3880" s="23" t="s">
        <v>1056</v>
      </c>
      <c r="C3880" s="23" t="s">
        <v>176</v>
      </c>
      <c r="D3880" s="23" t="s">
        <v>280</v>
      </c>
      <c r="E3880" s="23" t="s">
        <v>318</v>
      </c>
      <c r="F3880">
        <v>1</v>
      </c>
      <c r="G3880" s="23" t="s">
        <v>177</v>
      </c>
      <c r="H3880">
        <v>0</v>
      </c>
      <c r="I3880">
        <v>27</v>
      </c>
      <c r="J3880" s="10">
        <v>4</v>
      </c>
      <c r="K3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880">
        <v>0</v>
      </c>
      <c r="M38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0">
        <v>287.01</v>
      </c>
      <c r="O3880" s="23" t="s">
        <v>637</v>
      </c>
      <c r="P3880">
        <v>287.01</v>
      </c>
      <c r="Q3880" s="23" t="s">
        <v>179</v>
      </c>
    </row>
    <row r="3881" spans="1:17" x14ac:dyDescent="0.25">
      <c r="A3881" s="23" t="s">
        <v>1197</v>
      </c>
      <c r="B3881" s="23" t="s">
        <v>1198</v>
      </c>
      <c r="C3881" s="23" t="s">
        <v>176</v>
      </c>
      <c r="D3881" s="23" t="s">
        <v>769</v>
      </c>
      <c r="E3881" s="23" t="s">
        <v>770</v>
      </c>
      <c r="F3881">
        <v>6</v>
      </c>
      <c r="G3881" s="23" t="s">
        <v>177</v>
      </c>
      <c r="H3881">
        <v>0</v>
      </c>
      <c r="I3881">
        <v>0</v>
      </c>
      <c r="J3881" s="10">
        <v>0</v>
      </c>
      <c r="K3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3881">
        <v>0</v>
      </c>
      <c r="M38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67.5</v>
      </c>
      <c r="N3881">
        <v>1.25</v>
      </c>
      <c r="O3881" s="23" t="s">
        <v>221</v>
      </c>
      <c r="P3881">
        <v>7.5</v>
      </c>
      <c r="Q3881" s="23" t="s">
        <v>222</v>
      </c>
    </row>
    <row r="3882" spans="1:17" x14ac:dyDescent="0.25">
      <c r="A3882" s="23" t="s">
        <v>1097</v>
      </c>
      <c r="B3882" s="23" t="s">
        <v>1095</v>
      </c>
      <c r="C3882" s="23" t="s">
        <v>176</v>
      </c>
      <c r="D3882" s="23" t="s">
        <v>446</v>
      </c>
      <c r="E3882" s="23" t="s">
        <v>630</v>
      </c>
      <c r="F3882">
        <v>2</v>
      </c>
      <c r="G3882" s="23" t="s">
        <v>177</v>
      </c>
      <c r="H3882">
        <v>0</v>
      </c>
      <c r="I3882">
        <v>115</v>
      </c>
      <c r="J3882" s="10">
        <v>28</v>
      </c>
      <c r="K3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82">
        <v>0</v>
      </c>
      <c r="M38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2">
        <v>250</v>
      </c>
      <c r="O3882" s="23" t="s">
        <v>629</v>
      </c>
      <c r="P3882">
        <v>500</v>
      </c>
      <c r="Q3882" s="23" t="s">
        <v>181</v>
      </c>
    </row>
    <row r="3883" spans="1:17" x14ac:dyDescent="0.25">
      <c r="A3883" s="23" t="s">
        <v>1097</v>
      </c>
      <c r="B3883" s="23" t="s">
        <v>1095</v>
      </c>
      <c r="C3883" s="23" t="s">
        <v>176</v>
      </c>
      <c r="D3883" s="23" t="s">
        <v>845</v>
      </c>
      <c r="E3883" s="23" t="s">
        <v>846</v>
      </c>
      <c r="F3883">
        <v>4</v>
      </c>
      <c r="G3883" s="23" t="s">
        <v>177</v>
      </c>
      <c r="H3883">
        <v>0</v>
      </c>
      <c r="I3883">
        <v>42</v>
      </c>
      <c r="J3883" s="10">
        <v>20</v>
      </c>
      <c r="K3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83">
        <v>0</v>
      </c>
      <c r="M38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883">
        <v>348.7</v>
      </c>
      <c r="O3883" s="23" t="s">
        <v>637</v>
      </c>
      <c r="P3883">
        <v>1394.8</v>
      </c>
      <c r="Q3883" s="23" t="s">
        <v>178</v>
      </c>
    </row>
    <row r="3884" spans="1:17" x14ac:dyDescent="0.25">
      <c r="A3884" s="23" t="s">
        <v>1097</v>
      </c>
      <c r="B3884" s="23" t="s">
        <v>1095</v>
      </c>
      <c r="C3884" s="23" t="s">
        <v>176</v>
      </c>
      <c r="D3884" s="23" t="s">
        <v>831</v>
      </c>
      <c r="E3884" s="23" t="s">
        <v>832</v>
      </c>
      <c r="F3884">
        <v>5</v>
      </c>
      <c r="G3884" s="23" t="s">
        <v>180</v>
      </c>
      <c r="H3884">
        <v>0</v>
      </c>
      <c r="I3884">
        <v>100</v>
      </c>
      <c r="J3884" s="10">
        <v>0</v>
      </c>
      <c r="K3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84">
        <v>214.64</v>
      </c>
      <c r="M38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4">
        <v>50.81</v>
      </c>
      <c r="O3884" s="23" t="s">
        <v>833</v>
      </c>
      <c r="P3884">
        <v>254.05</v>
      </c>
      <c r="Q3884" s="23" t="s">
        <v>185</v>
      </c>
    </row>
    <row r="3885" spans="1:17" x14ac:dyDescent="0.25">
      <c r="A3885" s="23" t="s">
        <v>1197</v>
      </c>
      <c r="B3885" s="23" t="s">
        <v>1198</v>
      </c>
      <c r="C3885" s="23" t="s">
        <v>176</v>
      </c>
      <c r="D3885" s="23" t="s">
        <v>1033</v>
      </c>
      <c r="E3885" s="23" t="s">
        <v>1034</v>
      </c>
      <c r="F3885">
        <v>1</v>
      </c>
      <c r="G3885" s="23" t="s">
        <v>177</v>
      </c>
      <c r="H3885">
        <v>0</v>
      </c>
      <c r="I3885">
        <v>19</v>
      </c>
      <c r="J3885" s="10">
        <v>4</v>
      </c>
      <c r="K3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885">
        <v>0</v>
      </c>
      <c r="M38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5">
        <v>85</v>
      </c>
      <c r="O3885" s="23" t="s">
        <v>822</v>
      </c>
      <c r="P3885">
        <v>85</v>
      </c>
      <c r="Q3885" s="23" t="s">
        <v>179</v>
      </c>
    </row>
    <row r="3886" spans="1:17" x14ac:dyDescent="0.25">
      <c r="A3886" s="23" t="s">
        <v>1149</v>
      </c>
      <c r="B3886" s="23" t="s">
        <v>1145</v>
      </c>
      <c r="C3886" s="23" t="s">
        <v>176</v>
      </c>
      <c r="D3886" s="23" t="s">
        <v>446</v>
      </c>
      <c r="E3886" s="23" t="s">
        <v>630</v>
      </c>
      <c r="F3886">
        <v>4</v>
      </c>
      <c r="G3886" s="23" t="s">
        <v>177</v>
      </c>
      <c r="H3886">
        <v>0</v>
      </c>
      <c r="I3886">
        <v>115</v>
      </c>
      <c r="J3886" s="10">
        <v>28</v>
      </c>
      <c r="K3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86">
        <v>0</v>
      </c>
      <c r="M38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6">
        <v>250</v>
      </c>
      <c r="O3886" s="23" t="s">
        <v>629</v>
      </c>
      <c r="P3886">
        <v>1000</v>
      </c>
      <c r="Q3886" s="23" t="s">
        <v>181</v>
      </c>
    </row>
    <row r="3887" spans="1:17" x14ac:dyDescent="0.25">
      <c r="A3887" s="23" t="s">
        <v>1146</v>
      </c>
      <c r="B3887" s="23" t="s">
        <v>1145</v>
      </c>
      <c r="C3887" s="23" t="s">
        <v>176</v>
      </c>
      <c r="D3887" s="23" t="s">
        <v>446</v>
      </c>
      <c r="E3887" s="23" t="s">
        <v>630</v>
      </c>
      <c r="F3887">
        <v>4</v>
      </c>
      <c r="G3887" s="23" t="s">
        <v>177</v>
      </c>
      <c r="H3887">
        <v>0</v>
      </c>
      <c r="I3887">
        <v>115</v>
      </c>
      <c r="J3887" s="10">
        <v>28</v>
      </c>
      <c r="K3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87">
        <v>0</v>
      </c>
      <c r="M38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7">
        <v>250</v>
      </c>
      <c r="O3887" s="23" t="s">
        <v>629</v>
      </c>
      <c r="P3887">
        <v>1000</v>
      </c>
      <c r="Q3887" s="23" t="s">
        <v>181</v>
      </c>
    </row>
    <row r="3888" spans="1:17" x14ac:dyDescent="0.25">
      <c r="A3888" s="23" t="s">
        <v>1144</v>
      </c>
      <c r="B3888" s="23" t="s">
        <v>1145</v>
      </c>
      <c r="C3888" s="23" t="s">
        <v>176</v>
      </c>
      <c r="D3888" s="23" t="s">
        <v>446</v>
      </c>
      <c r="E3888" s="23" t="s">
        <v>630</v>
      </c>
      <c r="F3888">
        <v>4</v>
      </c>
      <c r="G3888" s="23" t="s">
        <v>177</v>
      </c>
      <c r="H3888">
        <v>0</v>
      </c>
      <c r="I3888">
        <v>115</v>
      </c>
      <c r="J3888" s="10">
        <v>28</v>
      </c>
      <c r="K3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888">
        <v>0</v>
      </c>
      <c r="M38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88">
        <v>250</v>
      </c>
      <c r="O3888" s="23" t="s">
        <v>629</v>
      </c>
      <c r="P3888">
        <v>1000</v>
      </c>
      <c r="Q3888" s="23" t="s">
        <v>181</v>
      </c>
    </row>
    <row r="3889" spans="1:17" x14ac:dyDescent="0.25">
      <c r="A3889" s="23" t="s">
        <v>1149</v>
      </c>
      <c r="B3889" s="23" t="s">
        <v>1145</v>
      </c>
      <c r="C3889" s="23" t="s">
        <v>176</v>
      </c>
      <c r="D3889" s="23" t="s">
        <v>845</v>
      </c>
      <c r="E3889" s="23" t="s">
        <v>846</v>
      </c>
      <c r="F3889">
        <v>3</v>
      </c>
      <c r="G3889" s="23" t="s">
        <v>177</v>
      </c>
      <c r="H3889">
        <v>0</v>
      </c>
      <c r="I3889">
        <v>42</v>
      </c>
      <c r="J3889" s="10">
        <v>20</v>
      </c>
      <c r="K3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889">
        <v>0</v>
      </c>
      <c r="M38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889">
        <v>348.7</v>
      </c>
      <c r="O3889" s="23" t="s">
        <v>637</v>
      </c>
      <c r="P3889">
        <v>1046.0999999999999</v>
      </c>
      <c r="Q3889" s="23" t="s">
        <v>178</v>
      </c>
    </row>
    <row r="3890" spans="1:17" x14ac:dyDescent="0.25">
      <c r="A3890" s="23" t="s">
        <v>1150</v>
      </c>
      <c r="B3890" s="23" t="s">
        <v>1145</v>
      </c>
      <c r="C3890" s="23" t="s">
        <v>176</v>
      </c>
      <c r="D3890" s="23" t="s">
        <v>831</v>
      </c>
      <c r="E3890" s="23" t="s">
        <v>832</v>
      </c>
      <c r="F3890">
        <v>4</v>
      </c>
      <c r="G3890" s="23" t="s">
        <v>180</v>
      </c>
      <c r="H3890">
        <v>0</v>
      </c>
      <c r="I3890">
        <v>100</v>
      </c>
      <c r="J3890" s="10">
        <v>0</v>
      </c>
      <c r="K3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890">
        <v>214.64</v>
      </c>
      <c r="M38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0">
        <v>50.81</v>
      </c>
      <c r="O3890" s="23" t="s">
        <v>833</v>
      </c>
      <c r="P3890">
        <v>203.24</v>
      </c>
      <c r="Q3890" s="23" t="s">
        <v>185</v>
      </c>
    </row>
    <row r="3891" spans="1:17" x14ac:dyDescent="0.25">
      <c r="A3891" s="23" t="s">
        <v>1149</v>
      </c>
      <c r="B3891" s="23" t="s">
        <v>1145</v>
      </c>
      <c r="C3891" s="23" t="s">
        <v>176</v>
      </c>
      <c r="D3891" s="23" t="s">
        <v>1033</v>
      </c>
      <c r="E3891" s="23" t="s">
        <v>1034</v>
      </c>
      <c r="F3891">
        <v>1</v>
      </c>
      <c r="G3891" s="23" t="s">
        <v>177</v>
      </c>
      <c r="H3891">
        <v>0</v>
      </c>
      <c r="I3891">
        <v>19</v>
      </c>
      <c r="J3891" s="10">
        <v>4</v>
      </c>
      <c r="K3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891">
        <v>0</v>
      </c>
      <c r="M38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1">
        <v>85</v>
      </c>
      <c r="O3891" s="23" t="s">
        <v>822</v>
      </c>
      <c r="P3891">
        <v>85</v>
      </c>
      <c r="Q3891" s="23" t="s">
        <v>179</v>
      </c>
    </row>
    <row r="3892" spans="1:17" x14ac:dyDescent="0.25">
      <c r="A3892" s="23" t="s">
        <v>1096</v>
      </c>
      <c r="B3892" s="23" t="s">
        <v>1053</v>
      </c>
      <c r="C3892" s="23" t="s">
        <v>176</v>
      </c>
      <c r="D3892" s="23" t="s">
        <v>343</v>
      </c>
      <c r="E3892" s="23" t="s">
        <v>344</v>
      </c>
      <c r="F3892">
        <v>0.1</v>
      </c>
      <c r="G3892" s="23" t="s">
        <v>177</v>
      </c>
      <c r="H3892">
        <v>0</v>
      </c>
      <c r="I3892">
        <v>2</v>
      </c>
      <c r="J3892" s="10">
        <v>1.1657341758564144E-15</v>
      </c>
      <c r="K3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892">
        <v>0</v>
      </c>
      <c r="M38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2">
        <v>1400</v>
      </c>
      <c r="O3892" s="23" t="s">
        <v>218</v>
      </c>
      <c r="P3892">
        <v>140</v>
      </c>
      <c r="Q3892" s="23" t="s">
        <v>184</v>
      </c>
    </row>
    <row r="3893" spans="1:17" x14ac:dyDescent="0.25">
      <c r="A3893" s="23" t="s">
        <v>1057</v>
      </c>
      <c r="B3893" s="23" t="s">
        <v>1056</v>
      </c>
      <c r="C3893" s="23" t="s">
        <v>176</v>
      </c>
      <c r="D3893" s="23" t="s">
        <v>348</v>
      </c>
      <c r="E3893" s="23" t="s">
        <v>349</v>
      </c>
      <c r="F3893">
        <v>0.5</v>
      </c>
      <c r="G3893" s="23" t="s">
        <v>177</v>
      </c>
      <c r="H3893">
        <v>0</v>
      </c>
      <c r="I3893">
        <v>2</v>
      </c>
      <c r="J3893" s="10">
        <v>3.2474023470285829E-15</v>
      </c>
      <c r="K3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93">
        <v>0</v>
      </c>
      <c r="M38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93">
        <v>2778</v>
      </c>
      <c r="O3893" s="23" t="s">
        <v>218</v>
      </c>
      <c r="P3893">
        <v>1389</v>
      </c>
      <c r="Q3893" s="23" t="s">
        <v>184</v>
      </c>
    </row>
    <row r="3894" spans="1:17" x14ac:dyDescent="0.25">
      <c r="A3894" s="23" t="s">
        <v>1143</v>
      </c>
      <c r="B3894" s="23" t="s">
        <v>1054</v>
      </c>
      <c r="C3894" s="23" t="s">
        <v>176</v>
      </c>
      <c r="D3894" s="23" t="s">
        <v>348</v>
      </c>
      <c r="E3894" s="23" t="s">
        <v>349</v>
      </c>
      <c r="F3894">
        <v>0.1</v>
      </c>
      <c r="G3894" s="23" t="s">
        <v>177</v>
      </c>
      <c r="H3894">
        <v>0</v>
      </c>
      <c r="I3894">
        <v>2</v>
      </c>
      <c r="J3894" s="10">
        <v>3.2474023470285829E-15</v>
      </c>
      <c r="K3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94">
        <v>0</v>
      </c>
      <c r="M38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94">
        <v>2778</v>
      </c>
      <c r="O3894" s="23" t="s">
        <v>218</v>
      </c>
      <c r="P3894">
        <v>277.8</v>
      </c>
      <c r="Q3894" s="23" t="s">
        <v>184</v>
      </c>
    </row>
    <row r="3895" spans="1:17" x14ac:dyDescent="0.25">
      <c r="A3895" s="23" t="s">
        <v>1143</v>
      </c>
      <c r="B3895" s="23" t="s">
        <v>1054</v>
      </c>
      <c r="C3895" s="23" t="s">
        <v>176</v>
      </c>
      <c r="D3895" s="23" t="s">
        <v>343</v>
      </c>
      <c r="E3895" s="23" t="s">
        <v>344</v>
      </c>
      <c r="F3895">
        <v>0.1</v>
      </c>
      <c r="G3895" s="23" t="s">
        <v>177</v>
      </c>
      <c r="H3895">
        <v>0</v>
      </c>
      <c r="I3895">
        <v>2</v>
      </c>
      <c r="J3895" s="10">
        <v>1.1657341758564144E-15</v>
      </c>
      <c r="K3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895">
        <v>0</v>
      </c>
      <c r="M38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5">
        <v>1400</v>
      </c>
      <c r="O3895" s="23" t="s">
        <v>218</v>
      </c>
      <c r="P3895">
        <v>140</v>
      </c>
      <c r="Q3895" s="23" t="s">
        <v>184</v>
      </c>
    </row>
    <row r="3896" spans="1:17" x14ac:dyDescent="0.25">
      <c r="A3896" s="23" t="s">
        <v>1197</v>
      </c>
      <c r="B3896" s="23" t="s">
        <v>1198</v>
      </c>
      <c r="C3896" s="23" t="s">
        <v>176</v>
      </c>
      <c r="D3896" s="23" t="s">
        <v>801</v>
      </c>
      <c r="E3896" s="23" t="s">
        <v>802</v>
      </c>
      <c r="F3896">
        <v>3</v>
      </c>
      <c r="G3896" s="23" t="s">
        <v>177</v>
      </c>
      <c r="H3896">
        <v>0</v>
      </c>
      <c r="I3896">
        <v>400</v>
      </c>
      <c r="J3896" s="10">
        <v>0</v>
      </c>
      <c r="K3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-388</v>
      </c>
      <c r="L3896">
        <v>0</v>
      </c>
      <c r="M38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6">
        <v>10</v>
      </c>
      <c r="O3896" s="23" t="s">
        <v>227</v>
      </c>
      <c r="P3896">
        <v>30</v>
      </c>
      <c r="Q3896" s="23" t="s">
        <v>181</v>
      </c>
    </row>
    <row r="3897" spans="1:17" x14ac:dyDescent="0.25">
      <c r="A3897" s="23" t="s">
        <v>1097</v>
      </c>
      <c r="B3897" s="23" t="s">
        <v>1095</v>
      </c>
      <c r="C3897" s="23" t="s">
        <v>176</v>
      </c>
      <c r="D3897" s="23" t="s">
        <v>430</v>
      </c>
      <c r="E3897" s="23" t="s">
        <v>431</v>
      </c>
      <c r="F3897">
        <v>1</v>
      </c>
      <c r="G3897" s="23" t="s">
        <v>177</v>
      </c>
      <c r="H3897">
        <v>0</v>
      </c>
      <c r="I3897">
        <v>12</v>
      </c>
      <c r="J3897" s="10">
        <v>3</v>
      </c>
      <c r="K3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897">
        <v>0</v>
      </c>
      <c r="M38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897">
        <v>1678.88</v>
      </c>
      <c r="O3897" s="23" t="s">
        <v>637</v>
      </c>
      <c r="P3897">
        <v>1678.88</v>
      </c>
      <c r="Q3897" s="23" t="s">
        <v>179</v>
      </c>
    </row>
    <row r="3898" spans="1:17" x14ac:dyDescent="0.25">
      <c r="A3898" s="23" t="s">
        <v>1062</v>
      </c>
      <c r="B3898" s="23" t="s">
        <v>1053</v>
      </c>
      <c r="C3898" s="23" t="s">
        <v>176</v>
      </c>
      <c r="D3898" s="23" t="s">
        <v>348</v>
      </c>
      <c r="E3898" s="23" t="s">
        <v>349</v>
      </c>
      <c r="F3898">
        <v>0.1</v>
      </c>
      <c r="G3898" s="23" t="s">
        <v>177</v>
      </c>
      <c r="H3898">
        <v>0</v>
      </c>
      <c r="I3898">
        <v>2</v>
      </c>
      <c r="J3898" s="10">
        <v>3.2474023470285829E-15</v>
      </c>
      <c r="K3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98">
        <v>0</v>
      </c>
      <c r="M38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98">
        <v>2778</v>
      </c>
      <c r="O3898" s="23" t="s">
        <v>218</v>
      </c>
      <c r="P3898">
        <v>277.8</v>
      </c>
      <c r="Q3898" s="23" t="s">
        <v>184</v>
      </c>
    </row>
    <row r="3899" spans="1:17" x14ac:dyDescent="0.25">
      <c r="A3899" s="23" t="s">
        <v>1097</v>
      </c>
      <c r="B3899" s="23" t="s">
        <v>1095</v>
      </c>
      <c r="C3899" s="23" t="s">
        <v>176</v>
      </c>
      <c r="D3899" s="23" t="s">
        <v>348</v>
      </c>
      <c r="E3899" s="23" t="s">
        <v>349</v>
      </c>
      <c r="F3899">
        <v>0.1</v>
      </c>
      <c r="G3899" s="23" t="s">
        <v>177</v>
      </c>
      <c r="H3899">
        <v>0</v>
      </c>
      <c r="I3899">
        <v>2</v>
      </c>
      <c r="J3899" s="10">
        <v>3.2474023470285829E-15</v>
      </c>
      <c r="K3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899">
        <v>0</v>
      </c>
      <c r="M38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899">
        <v>2778</v>
      </c>
      <c r="O3899" s="23" t="s">
        <v>218</v>
      </c>
      <c r="P3899">
        <v>277.8</v>
      </c>
      <c r="Q3899" s="23" t="s">
        <v>184</v>
      </c>
    </row>
    <row r="3900" spans="1:17" x14ac:dyDescent="0.25">
      <c r="A3900" s="23" t="s">
        <v>1062</v>
      </c>
      <c r="B3900" s="23" t="s">
        <v>1053</v>
      </c>
      <c r="C3900" s="23" t="s">
        <v>176</v>
      </c>
      <c r="D3900" s="23" t="s">
        <v>343</v>
      </c>
      <c r="E3900" s="23" t="s">
        <v>344</v>
      </c>
      <c r="F3900">
        <v>0.1</v>
      </c>
      <c r="G3900" s="23" t="s">
        <v>177</v>
      </c>
      <c r="H3900">
        <v>0</v>
      </c>
      <c r="I3900">
        <v>2</v>
      </c>
      <c r="J3900" s="10">
        <v>1.1657341758564144E-15</v>
      </c>
      <c r="K3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900">
        <v>0</v>
      </c>
      <c r="M39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0">
        <v>1400</v>
      </c>
      <c r="O3900" s="23" t="s">
        <v>218</v>
      </c>
      <c r="P3900">
        <v>140</v>
      </c>
      <c r="Q3900" s="23" t="s">
        <v>184</v>
      </c>
    </row>
    <row r="3901" spans="1:17" x14ac:dyDescent="0.25">
      <c r="A3901" s="23" t="s">
        <v>1097</v>
      </c>
      <c r="B3901" s="23" t="s">
        <v>1095</v>
      </c>
      <c r="C3901" s="23" t="s">
        <v>176</v>
      </c>
      <c r="D3901" s="23" t="s">
        <v>343</v>
      </c>
      <c r="E3901" s="23" t="s">
        <v>344</v>
      </c>
      <c r="F3901">
        <v>0.1</v>
      </c>
      <c r="G3901" s="23" t="s">
        <v>177</v>
      </c>
      <c r="H3901">
        <v>0</v>
      </c>
      <c r="I3901">
        <v>2</v>
      </c>
      <c r="J3901" s="10">
        <v>1.1657341758564144E-15</v>
      </c>
      <c r="K3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901">
        <v>0</v>
      </c>
      <c r="M39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1">
        <v>1400</v>
      </c>
      <c r="O3901" s="23" t="s">
        <v>218</v>
      </c>
      <c r="P3901">
        <v>140</v>
      </c>
      <c r="Q3901" s="23" t="s">
        <v>184</v>
      </c>
    </row>
    <row r="3902" spans="1:17" x14ac:dyDescent="0.25">
      <c r="A3902" s="23" t="s">
        <v>1062</v>
      </c>
      <c r="B3902" s="23" t="s">
        <v>1053</v>
      </c>
      <c r="C3902" s="23" t="s">
        <v>176</v>
      </c>
      <c r="D3902" s="23" t="s">
        <v>503</v>
      </c>
      <c r="E3902" s="23" t="s">
        <v>504</v>
      </c>
      <c r="F3902">
        <v>2</v>
      </c>
      <c r="G3902" s="23" t="s">
        <v>177</v>
      </c>
      <c r="H3902">
        <v>0</v>
      </c>
      <c r="I3902">
        <v>115</v>
      </c>
      <c r="J3902" s="10">
        <v>2</v>
      </c>
      <c r="K3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02">
        <v>0</v>
      </c>
      <c r="M39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2">
        <v>0.44</v>
      </c>
      <c r="O3902" s="23" t="s">
        <v>505</v>
      </c>
      <c r="P3902">
        <v>0.88</v>
      </c>
      <c r="Q3902" s="23" t="s">
        <v>222</v>
      </c>
    </row>
    <row r="3903" spans="1:17" x14ac:dyDescent="0.25">
      <c r="A3903" s="23" t="s">
        <v>1097</v>
      </c>
      <c r="B3903" s="23" t="s">
        <v>1095</v>
      </c>
      <c r="C3903" s="23" t="s">
        <v>176</v>
      </c>
      <c r="D3903" s="23" t="s">
        <v>503</v>
      </c>
      <c r="E3903" s="23" t="s">
        <v>504</v>
      </c>
      <c r="F3903">
        <v>2</v>
      </c>
      <c r="G3903" s="23" t="s">
        <v>177</v>
      </c>
      <c r="H3903">
        <v>0</v>
      </c>
      <c r="I3903">
        <v>115</v>
      </c>
      <c r="J3903" s="10">
        <v>2</v>
      </c>
      <c r="K3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03">
        <v>0</v>
      </c>
      <c r="M39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3">
        <v>0.44</v>
      </c>
      <c r="O3903" s="23" t="s">
        <v>505</v>
      </c>
      <c r="P3903">
        <v>0.88</v>
      </c>
      <c r="Q3903" s="23" t="s">
        <v>222</v>
      </c>
    </row>
    <row r="3904" spans="1:17" x14ac:dyDescent="0.25">
      <c r="A3904" s="23" t="s">
        <v>1197</v>
      </c>
      <c r="B3904" s="23" t="s">
        <v>1198</v>
      </c>
      <c r="C3904" s="23" t="s">
        <v>176</v>
      </c>
      <c r="D3904" s="23" t="s">
        <v>503</v>
      </c>
      <c r="E3904" s="23" t="s">
        <v>504</v>
      </c>
      <c r="F3904">
        <v>2</v>
      </c>
      <c r="G3904" s="23" t="s">
        <v>177</v>
      </c>
      <c r="H3904">
        <v>0</v>
      </c>
      <c r="I3904">
        <v>115</v>
      </c>
      <c r="J3904" s="10">
        <v>2</v>
      </c>
      <c r="K3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04">
        <v>0</v>
      </c>
      <c r="M39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4">
        <v>0.44</v>
      </c>
      <c r="O3904" s="23" t="s">
        <v>505</v>
      </c>
      <c r="P3904">
        <v>0.88</v>
      </c>
      <c r="Q3904" s="23" t="s">
        <v>222</v>
      </c>
    </row>
    <row r="3905" spans="1:17" x14ac:dyDescent="0.25">
      <c r="A3905" s="23" t="s">
        <v>1197</v>
      </c>
      <c r="B3905" s="23" t="s">
        <v>1198</v>
      </c>
      <c r="C3905" s="23" t="s">
        <v>176</v>
      </c>
      <c r="D3905" s="23" t="s">
        <v>986</v>
      </c>
      <c r="E3905" s="23" t="s">
        <v>987</v>
      </c>
      <c r="F3905">
        <v>2.5</v>
      </c>
      <c r="G3905" s="23" t="s">
        <v>186</v>
      </c>
      <c r="H3905">
        <v>0</v>
      </c>
      <c r="I3905">
        <v>139</v>
      </c>
      <c r="J3905" s="10">
        <v>45.500000000000043</v>
      </c>
      <c r="K3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3905">
        <v>0</v>
      </c>
      <c r="M39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5">
        <v>233.95</v>
      </c>
      <c r="O3905" s="23" t="s">
        <v>491</v>
      </c>
      <c r="P3905">
        <v>584.875</v>
      </c>
      <c r="Q3905" s="23" t="s">
        <v>184</v>
      </c>
    </row>
    <row r="3906" spans="1:17" x14ac:dyDescent="0.25">
      <c r="A3906" s="23" t="s">
        <v>1143</v>
      </c>
      <c r="B3906" s="23" t="s">
        <v>1054</v>
      </c>
      <c r="C3906" s="23" t="s">
        <v>176</v>
      </c>
      <c r="D3906" s="23" t="s">
        <v>430</v>
      </c>
      <c r="E3906" s="23" t="s">
        <v>431</v>
      </c>
      <c r="F3906">
        <v>1</v>
      </c>
      <c r="G3906" s="23" t="s">
        <v>177</v>
      </c>
      <c r="H3906">
        <v>0</v>
      </c>
      <c r="I3906">
        <v>12</v>
      </c>
      <c r="J3906" s="10">
        <v>3</v>
      </c>
      <c r="K3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906">
        <v>0</v>
      </c>
      <c r="M39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6">
        <v>1678.88</v>
      </c>
      <c r="O3906" s="23" t="s">
        <v>637</v>
      </c>
      <c r="P3906">
        <v>1678.88</v>
      </c>
      <c r="Q3906" s="23" t="s">
        <v>179</v>
      </c>
    </row>
    <row r="3907" spans="1:17" x14ac:dyDescent="0.25">
      <c r="A3907" s="23" t="s">
        <v>1094</v>
      </c>
      <c r="B3907" s="23" t="s">
        <v>1095</v>
      </c>
      <c r="C3907" s="23" t="s">
        <v>176</v>
      </c>
      <c r="D3907" s="23" t="s">
        <v>348</v>
      </c>
      <c r="E3907" s="23" t="s">
        <v>349</v>
      </c>
      <c r="F3907">
        <v>0.1</v>
      </c>
      <c r="G3907" s="23" t="s">
        <v>177</v>
      </c>
      <c r="H3907">
        <v>0</v>
      </c>
      <c r="I3907">
        <v>2</v>
      </c>
      <c r="J3907" s="10">
        <v>3.2474023470285829E-15</v>
      </c>
      <c r="K3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907">
        <v>0</v>
      </c>
      <c r="M39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907">
        <v>2778</v>
      </c>
      <c r="O3907" s="23" t="s">
        <v>218</v>
      </c>
      <c r="P3907">
        <v>277.8</v>
      </c>
      <c r="Q3907" s="23" t="s">
        <v>184</v>
      </c>
    </row>
    <row r="3908" spans="1:17" x14ac:dyDescent="0.25">
      <c r="A3908" s="23" t="s">
        <v>1094</v>
      </c>
      <c r="B3908" s="23" t="s">
        <v>1095</v>
      </c>
      <c r="C3908" s="23" t="s">
        <v>176</v>
      </c>
      <c r="D3908" s="23" t="s">
        <v>343</v>
      </c>
      <c r="E3908" s="23" t="s">
        <v>344</v>
      </c>
      <c r="F3908">
        <v>0.1</v>
      </c>
      <c r="G3908" s="23" t="s">
        <v>177</v>
      </c>
      <c r="H3908">
        <v>0</v>
      </c>
      <c r="I3908">
        <v>2</v>
      </c>
      <c r="J3908" s="10">
        <v>1.1657341758564144E-15</v>
      </c>
      <c r="K3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908">
        <v>0</v>
      </c>
      <c r="M39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8">
        <v>1400</v>
      </c>
      <c r="O3908" s="23" t="s">
        <v>218</v>
      </c>
      <c r="P3908">
        <v>140</v>
      </c>
      <c r="Q3908" s="23" t="s">
        <v>184</v>
      </c>
    </row>
    <row r="3909" spans="1:17" x14ac:dyDescent="0.25">
      <c r="A3909" s="23" t="s">
        <v>1197</v>
      </c>
      <c r="B3909" s="23" t="s">
        <v>1198</v>
      </c>
      <c r="C3909" s="23" t="s">
        <v>176</v>
      </c>
      <c r="D3909" s="23" t="s">
        <v>343</v>
      </c>
      <c r="E3909" s="23" t="s">
        <v>344</v>
      </c>
      <c r="F3909">
        <v>0.05</v>
      </c>
      <c r="G3909" s="23" t="s">
        <v>177</v>
      </c>
      <c r="H3909">
        <v>0</v>
      </c>
      <c r="I3909">
        <v>2</v>
      </c>
      <c r="J3909" s="10">
        <v>1.1657341758564144E-15</v>
      </c>
      <c r="K3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3909">
        <v>0</v>
      </c>
      <c r="M39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09">
        <v>1400</v>
      </c>
      <c r="O3909" s="23" t="s">
        <v>218</v>
      </c>
      <c r="P3909">
        <v>70</v>
      </c>
      <c r="Q3909" s="23" t="s">
        <v>184</v>
      </c>
    </row>
    <row r="3910" spans="1:17" x14ac:dyDescent="0.25">
      <c r="A3910" s="23" t="s">
        <v>1062</v>
      </c>
      <c r="B3910" s="23" t="s">
        <v>1053</v>
      </c>
      <c r="C3910" s="23" t="s">
        <v>176</v>
      </c>
      <c r="D3910" s="23" t="s">
        <v>511</v>
      </c>
      <c r="E3910" s="23" t="s">
        <v>512</v>
      </c>
      <c r="F3910">
        <v>2</v>
      </c>
      <c r="G3910" s="23" t="s">
        <v>177</v>
      </c>
      <c r="H3910">
        <v>0</v>
      </c>
      <c r="I3910">
        <v>0</v>
      </c>
      <c r="J3910" s="10">
        <v>14</v>
      </c>
      <c r="K3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910">
        <v>0</v>
      </c>
      <c r="M39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910">
        <v>6.87</v>
      </c>
      <c r="O3910" s="23" t="s">
        <v>827</v>
      </c>
      <c r="P3910">
        <v>13.74</v>
      </c>
      <c r="Q3910" s="23" t="s">
        <v>222</v>
      </c>
    </row>
    <row r="3911" spans="1:17" x14ac:dyDescent="0.25">
      <c r="A3911" s="23" t="s">
        <v>1097</v>
      </c>
      <c r="B3911" s="23" t="s">
        <v>1095</v>
      </c>
      <c r="C3911" s="23" t="s">
        <v>176</v>
      </c>
      <c r="D3911" s="23" t="s">
        <v>511</v>
      </c>
      <c r="E3911" s="23" t="s">
        <v>512</v>
      </c>
      <c r="F3911">
        <v>2</v>
      </c>
      <c r="G3911" s="23" t="s">
        <v>177</v>
      </c>
      <c r="H3911">
        <v>0</v>
      </c>
      <c r="I3911">
        <v>0</v>
      </c>
      <c r="J3911" s="10">
        <v>14</v>
      </c>
      <c r="K3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3911">
        <v>0</v>
      </c>
      <c r="M39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3911">
        <v>6.87</v>
      </c>
      <c r="O3911" s="23" t="s">
        <v>827</v>
      </c>
      <c r="P3911">
        <v>13.74</v>
      </c>
      <c r="Q3911" s="23" t="s">
        <v>222</v>
      </c>
    </row>
    <row r="3912" spans="1:17" x14ac:dyDescent="0.25">
      <c r="A3912" s="23" t="s">
        <v>1149</v>
      </c>
      <c r="B3912" s="23" t="s">
        <v>1145</v>
      </c>
      <c r="C3912" s="23" t="s">
        <v>176</v>
      </c>
      <c r="D3912" s="23" t="s">
        <v>503</v>
      </c>
      <c r="E3912" s="23" t="s">
        <v>504</v>
      </c>
      <c r="F3912">
        <v>2</v>
      </c>
      <c r="G3912" s="23" t="s">
        <v>177</v>
      </c>
      <c r="H3912">
        <v>0</v>
      </c>
      <c r="I3912">
        <v>115</v>
      </c>
      <c r="J3912" s="10">
        <v>2</v>
      </c>
      <c r="K3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12">
        <v>0</v>
      </c>
      <c r="M39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2">
        <v>0.44</v>
      </c>
      <c r="O3912" s="23" t="s">
        <v>505</v>
      </c>
      <c r="P3912">
        <v>0.88</v>
      </c>
      <c r="Q3912" s="23" t="s">
        <v>222</v>
      </c>
    </row>
    <row r="3913" spans="1:17" x14ac:dyDescent="0.25">
      <c r="A3913" s="23" t="s">
        <v>1149</v>
      </c>
      <c r="B3913" s="23" t="s">
        <v>1145</v>
      </c>
      <c r="C3913" s="23" t="s">
        <v>176</v>
      </c>
      <c r="D3913" s="23" t="s">
        <v>986</v>
      </c>
      <c r="E3913" s="23" t="s">
        <v>987</v>
      </c>
      <c r="F3913">
        <v>2.5</v>
      </c>
      <c r="G3913" s="23" t="s">
        <v>186</v>
      </c>
      <c r="H3913">
        <v>0</v>
      </c>
      <c r="I3913">
        <v>139</v>
      </c>
      <c r="J3913" s="10">
        <v>45.500000000000043</v>
      </c>
      <c r="K3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3913">
        <v>0</v>
      </c>
      <c r="M39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3">
        <v>233.95</v>
      </c>
      <c r="O3913" s="23" t="s">
        <v>491</v>
      </c>
      <c r="P3913">
        <v>584.875</v>
      </c>
      <c r="Q3913" s="23" t="s">
        <v>184</v>
      </c>
    </row>
    <row r="3914" spans="1:17" x14ac:dyDescent="0.25">
      <c r="A3914" s="23" t="s">
        <v>1055</v>
      </c>
      <c r="B3914" s="23" t="s">
        <v>1056</v>
      </c>
      <c r="C3914" s="23" t="s">
        <v>176</v>
      </c>
      <c r="D3914" s="23" t="s">
        <v>348</v>
      </c>
      <c r="E3914" s="23" t="s">
        <v>349</v>
      </c>
      <c r="F3914">
        <v>0.5</v>
      </c>
      <c r="G3914" s="23" t="s">
        <v>177</v>
      </c>
      <c r="H3914">
        <v>0</v>
      </c>
      <c r="I3914">
        <v>2</v>
      </c>
      <c r="J3914" s="10">
        <v>3.2474023470285829E-15</v>
      </c>
      <c r="K3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3914">
        <v>0</v>
      </c>
      <c r="M39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3914">
        <v>2778</v>
      </c>
      <c r="O3914" s="23" t="s">
        <v>218</v>
      </c>
      <c r="P3914">
        <v>1389</v>
      </c>
      <c r="Q3914" s="23" t="s">
        <v>184</v>
      </c>
    </row>
    <row r="3915" spans="1:17" x14ac:dyDescent="0.25">
      <c r="A3915" s="23" t="s">
        <v>1147</v>
      </c>
      <c r="B3915" s="23" t="s">
        <v>1145</v>
      </c>
      <c r="C3915" s="23" t="s">
        <v>176</v>
      </c>
      <c r="D3915" s="23" t="s">
        <v>503</v>
      </c>
      <c r="E3915" s="23" t="s">
        <v>504</v>
      </c>
      <c r="F3915">
        <v>2</v>
      </c>
      <c r="G3915" s="23" t="s">
        <v>177</v>
      </c>
      <c r="H3915">
        <v>0</v>
      </c>
      <c r="I3915">
        <v>115</v>
      </c>
      <c r="J3915" s="10">
        <v>2</v>
      </c>
      <c r="K3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15">
        <v>0</v>
      </c>
      <c r="M39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5">
        <v>0.44</v>
      </c>
      <c r="O3915" s="23" t="s">
        <v>505</v>
      </c>
      <c r="P3915">
        <v>0.88</v>
      </c>
      <c r="Q3915" s="23" t="s">
        <v>222</v>
      </c>
    </row>
    <row r="3916" spans="1:17" x14ac:dyDescent="0.25">
      <c r="A3916" s="23" t="s">
        <v>1099</v>
      </c>
      <c r="B3916" s="23" t="s">
        <v>1056</v>
      </c>
      <c r="C3916" s="23" t="s">
        <v>176</v>
      </c>
      <c r="D3916" s="23" t="s">
        <v>503</v>
      </c>
      <c r="E3916" s="23" t="s">
        <v>504</v>
      </c>
      <c r="F3916">
        <v>2</v>
      </c>
      <c r="G3916" s="23" t="s">
        <v>177</v>
      </c>
      <c r="H3916">
        <v>0</v>
      </c>
      <c r="I3916">
        <v>115</v>
      </c>
      <c r="J3916" s="10">
        <v>2</v>
      </c>
      <c r="K3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16">
        <v>0</v>
      </c>
      <c r="M39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6">
        <v>0.44</v>
      </c>
      <c r="O3916" s="23" t="s">
        <v>505</v>
      </c>
      <c r="P3916">
        <v>0.88</v>
      </c>
      <c r="Q3916" s="23" t="s">
        <v>222</v>
      </c>
    </row>
    <row r="3917" spans="1:17" x14ac:dyDescent="0.25">
      <c r="A3917" s="23" t="s">
        <v>1147</v>
      </c>
      <c r="B3917" s="23" t="s">
        <v>1145</v>
      </c>
      <c r="C3917" s="23" t="s">
        <v>176</v>
      </c>
      <c r="D3917" s="23" t="s">
        <v>986</v>
      </c>
      <c r="E3917" s="23" t="s">
        <v>987</v>
      </c>
      <c r="F3917">
        <v>2.5</v>
      </c>
      <c r="G3917" s="23" t="s">
        <v>186</v>
      </c>
      <c r="H3917">
        <v>0</v>
      </c>
      <c r="I3917">
        <v>139</v>
      </c>
      <c r="J3917" s="10">
        <v>45.500000000000043</v>
      </c>
      <c r="K3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3917">
        <v>0</v>
      </c>
      <c r="M39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7">
        <v>233.95</v>
      </c>
      <c r="O3917" s="23" t="s">
        <v>491</v>
      </c>
      <c r="P3917">
        <v>584.875</v>
      </c>
      <c r="Q3917" s="23" t="s">
        <v>184</v>
      </c>
    </row>
    <row r="3918" spans="1:17" x14ac:dyDescent="0.25">
      <c r="A3918" s="23" t="s">
        <v>1098</v>
      </c>
      <c r="B3918" s="23" t="s">
        <v>1053</v>
      </c>
      <c r="C3918" s="23" t="s">
        <v>176</v>
      </c>
      <c r="D3918" s="23" t="s">
        <v>430</v>
      </c>
      <c r="E3918" s="23" t="s">
        <v>431</v>
      </c>
      <c r="F3918">
        <v>1</v>
      </c>
      <c r="G3918" s="23" t="s">
        <v>177</v>
      </c>
      <c r="H3918">
        <v>0</v>
      </c>
      <c r="I3918">
        <v>12</v>
      </c>
      <c r="J3918" s="10">
        <v>3</v>
      </c>
      <c r="K3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3918">
        <v>0</v>
      </c>
      <c r="M39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8">
        <v>1678.88</v>
      </c>
      <c r="O3918" s="23" t="s">
        <v>637</v>
      </c>
      <c r="P3918">
        <v>1678.88</v>
      </c>
      <c r="Q3918" s="23" t="s">
        <v>179</v>
      </c>
    </row>
    <row r="3919" spans="1:17" x14ac:dyDescent="0.25">
      <c r="A3919" s="23" t="s">
        <v>1098</v>
      </c>
      <c r="B3919" s="23" t="s">
        <v>1053</v>
      </c>
      <c r="C3919" s="23" t="s">
        <v>176</v>
      </c>
      <c r="D3919" s="23" t="s">
        <v>503</v>
      </c>
      <c r="E3919" s="23" t="s">
        <v>504</v>
      </c>
      <c r="F3919">
        <v>2</v>
      </c>
      <c r="G3919" s="23" t="s">
        <v>177</v>
      </c>
      <c r="H3919">
        <v>0</v>
      </c>
      <c r="I3919">
        <v>115</v>
      </c>
      <c r="J3919" s="10">
        <v>2</v>
      </c>
      <c r="K3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3919">
        <v>0</v>
      </c>
      <c r="M39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19">
        <v>0.44</v>
      </c>
      <c r="O3919" s="23" t="s">
        <v>505</v>
      </c>
      <c r="P3919">
        <v>0.88</v>
      </c>
      <c r="Q3919" s="23" t="s">
        <v>222</v>
      </c>
    </row>
    <row r="3920" spans="1:17" x14ac:dyDescent="0.25">
      <c r="A3920" s="23" t="s">
        <v>1146</v>
      </c>
      <c r="B3920" s="23" t="s">
        <v>1145</v>
      </c>
      <c r="C3920" s="23" t="s">
        <v>176</v>
      </c>
      <c r="D3920" s="23" t="s">
        <v>1033</v>
      </c>
      <c r="E3920" s="23" t="s">
        <v>1034</v>
      </c>
      <c r="F3920">
        <v>1</v>
      </c>
      <c r="G3920" s="23" t="s">
        <v>177</v>
      </c>
      <c r="H3920">
        <v>0</v>
      </c>
      <c r="I3920">
        <v>19</v>
      </c>
      <c r="J3920" s="10">
        <v>4</v>
      </c>
      <c r="K3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20">
        <v>0</v>
      </c>
      <c r="M39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0">
        <v>85</v>
      </c>
      <c r="O3920" s="23" t="s">
        <v>822</v>
      </c>
      <c r="P3920">
        <v>85</v>
      </c>
      <c r="Q3920" s="23" t="s">
        <v>179</v>
      </c>
    </row>
    <row r="3921" spans="1:17" x14ac:dyDescent="0.25">
      <c r="A3921" s="23" t="s">
        <v>1144</v>
      </c>
      <c r="B3921" s="23" t="s">
        <v>1145</v>
      </c>
      <c r="C3921" s="23" t="s">
        <v>176</v>
      </c>
      <c r="D3921" s="23" t="s">
        <v>1033</v>
      </c>
      <c r="E3921" s="23" t="s">
        <v>1034</v>
      </c>
      <c r="F3921">
        <v>1</v>
      </c>
      <c r="G3921" s="23" t="s">
        <v>177</v>
      </c>
      <c r="H3921">
        <v>0</v>
      </c>
      <c r="I3921">
        <v>19</v>
      </c>
      <c r="J3921" s="10">
        <v>4</v>
      </c>
      <c r="K3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21">
        <v>0</v>
      </c>
      <c r="M39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1">
        <v>85</v>
      </c>
      <c r="O3921" s="23" t="s">
        <v>822</v>
      </c>
      <c r="P3921">
        <v>85</v>
      </c>
      <c r="Q3921" s="23" t="s">
        <v>179</v>
      </c>
    </row>
    <row r="3922" spans="1:17" x14ac:dyDescent="0.25">
      <c r="A3922" s="23" t="s">
        <v>1148</v>
      </c>
      <c r="B3922" s="23" t="s">
        <v>1054</v>
      </c>
      <c r="C3922" s="23" t="s">
        <v>176</v>
      </c>
      <c r="D3922" s="23" t="s">
        <v>446</v>
      </c>
      <c r="E3922" s="23" t="s">
        <v>630</v>
      </c>
      <c r="F3922">
        <v>2</v>
      </c>
      <c r="G3922" s="23" t="s">
        <v>177</v>
      </c>
      <c r="H3922">
        <v>0</v>
      </c>
      <c r="I3922">
        <v>115</v>
      </c>
      <c r="J3922" s="10">
        <v>28</v>
      </c>
      <c r="K3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922">
        <v>0</v>
      </c>
      <c r="M39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2">
        <v>250</v>
      </c>
      <c r="O3922" s="23" t="s">
        <v>629</v>
      </c>
      <c r="P3922">
        <v>500</v>
      </c>
      <c r="Q3922" s="23" t="s">
        <v>181</v>
      </c>
    </row>
    <row r="3923" spans="1:17" x14ac:dyDescent="0.25">
      <c r="A3923" s="23" t="s">
        <v>1197</v>
      </c>
      <c r="B3923" s="23" t="s">
        <v>1198</v>
      </c>
      <c r="C3923" s="23" t="s">
        <v>176</v>
      </c>
      <c r="D3923" s="23" t="s">
        <v>818</v>
      </c>
      <c r="E3923" s="23" t="s">
        <v>819</v>
      </c>
      <c r="F3923">
        <v>1</v>
      </c>
      <c r="G3923" s="23" t="s">
        <v>177</v>
      </c>
      <c r="H3923">
        <v>0</v>
      </c>
      <c r="I3923">
        <v>4</v>
      </c>
      <c r="J3923" s="10">
        <v>3</v>
      </c>
      <c r="K3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3923">
        <v>0</v>
      </c>
      <c r="M39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3">
        <v>200</v>
      </c>
      <c r="O3923" s="23" t="s">
        <v>697</v>
      </c>
      <c r="P3923">
        <v>200</v>
      </c>
      <c r="Q3923" s="23" t="s">
        <v>179</v>
      </c>
    </row>
    <row r="3924" spans="1:17" x14ac:dyDescent="0.25">
      <c r="A3924" s="23" t="s">
        <v>1098</v>
      </c>
      <c r="B3924" s="23" t="s">
        <v>1053</v>
      </c>
      <c r="C3924" s="23" t="s">
        <v>176</v>
      </c>
      <c r="D3924" s="23" t="s">
        <v>446</v>
      </c>
      <c r="E3924" s="23" t="s">
        <v>630</v>
      </c>
      <c r="F3924">
        <v>4</v>
      </c>
      <c r="G3924" s="23" t="s">
        <v>177</v>
      </c>
      <c r="H3924">
        <v>0</v>
      </c>
      <c r="I3924">
        <v>115</v>
      </c>
      <c r="J3924" s="10">
        <v>28</v>
      </c>
      <c r="K3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924">
        <v>0</v>
      </c>
      <c r="M39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4">
        <v>250</v>
      </c>
      <c r="O3924" s="23" t="s">
        <v>629</v>
      </c>
      <c r="P3924">
        <v>1000</v>
      </c>
      <c r="Q3924" s="23" t="s">
        <v>181</v>
      </c>
    </row>
    <row r="3925" spans="1:17" x14ac:dyDescent="0.25">
      <c r="A3925" s="23" t="s">
        <v>1062</v>
      </c>
      <c r="B3925" s="23" t="s">
        <v>1053</v>
      </c>
      <c r="C3925" s="23" t="s">
        <v>176</v>
      </c>
      <c r="D3925" s="23" t="s">
        <v>831</v>
      </c>
      <c r="E3925" s="23" t="s">
        <v>832</v>
      </c>
      <c r="F3925">
        <v>5.5</v>
      </c>
      <c r="G3925" s="23" t="s">
        <v>180</v>
      </c>
      <c r="H3925">
        <v>0</v>
      </c>
      <c r="I3925">
        <v>100</v>
      </c>
      <c r="J3925" s="10">
        <v>0</v>
      </c>
      <c r="K3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25">
        <v>214.64</v>
      </c>
      <c r="M39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5">
        <v>50.81</v>
      </c>
      <c r="O3925" s="23" t="s">
        <v>833</v>
      </c>
      <c r="P3925">
        <v>279.45500000000004</v>
      </c>
      <c r="Q3925" s="23" t="s">
        <v>185</v>
      </c>
    </row>
    <row r="3926" spans="1:17" x14ac:dyDescent="0.25">
      <c r="A3926" s="23" t="s">
        <v>1098</v>
      </c>
      <c r="B3926" s="23" t="s">
        <v>1053</v>
      </c>
      <c r="C3926" s="23" t="s">
        <v>176</v>
      </c>
      <c r="D3926" s="23" t="s">
        <v>831</v>
      </c>
      <c r="E3926" s="23" t="s">
        <v>832</v>
      </c>
      <c r="F3926">
        <v>4</v>
      </c>
      <c r="G3926" s="23" t="s">
        <v>180</v>
      </c>
      <c r="H3926">
        <v>0</v>
      </c>
      <c r="I3926">
        <v>100</v>
      </c>
      <c r="J3926" s="10">
        <v>0</v>
      </c>
      <c r="K3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26">
        <v>214.64</v>
      </c>
      <c r="M39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6">
        <v>50.81</v>
      </c>
      <c r="O3926" s="23" t="s">
        <v>833</v>
      </c>
      <c r="P3926">
        <v>203.24</v>
      </c>
      <c r="Q3926" s="23" t="s">
        <v>185</v>
      </c>
    </row>
    <row r="3927" spans="1:17" x14ac:dyDescent="0.25">
      <c r="A3927" s="23" t="s">
        <v>1144</v>
      </c>
      <c r="B3927" s="23" t="s">
        <v>1145</v>
      </c>
      <c r="C3927" s="23" t="s">
        <v>176</v>
      </c>
      <c r="D3927" s="23" t="s">
        <v>845</v>
      </c>
      <c r="E3927" s="23" t="s">
        <v>846</v>
      </c>
      <c r="F3927">
        <v>3</v>
      </c>
      <c r="G3927" s="23" t="s">
        <v>177</v>
      </c>
      <c r="H3927">
        <v>0</v>
      </c>
      <c r="I3927">
        <v>42</v>
      </c>
      <c r="J3927" s="10">
        <v>20</v>
      </c>
      <c r="K3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27">
        <v>0</v>
      </c>
      <c r="M39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927">
        <v>348.7</v>
      </c>
      <c r="O3927" s="23" t="s">
        <v>637</v>
      </c>
      <c r="P3927">
        <v>1046.0999999999999</v>
      </c>
      <c r="Q3927" s="23" t="s">
        <v>178</v>
      </c>
    </row>
    <row r="3928" spans="1:17" x14ac:dyDescent="0.25">
      <c r="A3928" s="23" t="s">
        <v>1150</v>
      </c>
      <c r="B3928" s="23" t="s">
        <v>1145</v>
      </c>
      <c r="C3928" s="23" t="s">
        <v>176</v>
      </c>
      <c r="D3928" s="23" t="s">
        <v>845</v>
      </c>
      <c r="E3928" s="23" t="s">
        <v>846</v>
      </c>
      <c r="F3928">
        <v>3</v>
      </c>
      <c r="G3928" s="23" t="s">
        <v>177</v>
      </c>
      <c r="H3928">
        <v>0</v>
      </c>
      <c r="I3928">
        <v>42</v>
      </c>
      <c r="J3928" s="10">
        <v>20</v>
      </c>
      <c r="K3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28">
        <v>0</v>
      </c>
      <c r="M39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928">
        <v>348.7</v>
      </c>
      <c r="O3928" s="23" t="s">
        <v>637</v>
      </c>
      <c r="P3928">
        <v>1046.0999999999999</v>
      </c>
      <c r="Q3928" s="23" t="s">
        <v>178</v>
      </c>
    </row>
    <row r="3929" spans="1:17" x14ac:dyDescent="0.25">
      <c r="A3929" s="23" t="s">
        <v>1058</v>
      </c>
      <c r="B3929" s="23" t="s">
        <v>1059</v>
      </c>
      <c r="C3929" s="23" t="s">
        <v>176</v>
      </c>
      <c r="D3929" s="23" t="s">
        <v>843</v>
      </c>
      <c r="E3929" s="23" t="s">
        <v>844</v>
      </c>
      <c r="F3929">
        <v>1</v>
      </c>
      <c r="G3929" s="23" t="s">
        <v>177</v>
      </c>
      <c r="H3929">
        <v>0</v>
      </c>
      <c r="I3929">
        <v>6</v>
      </c>
      <c r="J3929" s="10">
        <v>0</v>
      </c>
      <c r="K3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929">
        <v>0</v>
      </c>
      <c r="M39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29">
        <v>749.17</v>
      </c>
      <c r="O3929" s="23" t="s">
        <v>668</v>
      </c>
      <c r="P3929">
        <v>749.17</v>
      </c>
      <c r="Q3929" s="23" t="s">
        <v>678</v>
      </c>
    </row>
    <row r="3930" spans="1:17" x14ac:dyDescent="0.25">
      <c r="A3930" s="23" t="s">
        <v>1055</v>
      </c>
      <c r="B3930" s="23" t="s">
        <v>1056</v>
      </c>
      <c r="C3930" s="23" t="s">
        <v>176</v>
      </c>
      <c r="D3930" s="23" t="s">
        <v>845</v>
      </c>
      <c r="E3930" s="23" t="s">
        <v>846</v>
      </c>
      <c r="F3930">
        <v>3</v>
      </c>
      <c r="G3930" s="23" t="s">
        <v>177</v>
      </c>
      <c r="H3930">
        <v>3</v>
      </c>
      <c r="I3930">
        <v>42</v>
      </c>
      <c r="J3930" s="10">
        <v>20</v>
      </c>
      <c r="K3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30">
        <v>0</v>
      </c>
      <c r="M39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930">
        <v>348.7</v>
      </c>
      <c r="O3930" s="23" t="s">
        <v>637</v>
      </c>
      <c r="P3930">
        <v>1046.0999999999999</v>
      </c>
      <c r="Q3930" s="23" t="s">
        <v>178</v>
      </c>
    </row>
    <row r="3931" spans="1:17" x14ac:dyDescent="0.25">
      <c r="A3931" s="23" t="s">
        <v>1146</v>
      </c>
      <c r="B3931" s="23" t="s">
        <v>1145</v>
      </c>
      <c r="C3931" s="23" t="s">
        <v>176</v>
      </c>
      <c r="D3931" s="23" t="s">
        <v>845</v>
      </c>
      <c r="E3931" s="23" t="s">
        <v>846</v>
      </c>
      <c r="F3931">
        <v>3</v>
      </c>
      <c r="G3931" s="23" t="s">
        <v>177</v>
      </c>
      <c r="H3931">
        <v>0</v>
      </c>
      <c r="I3931">
        <v>42</v>
      </c>
      <c r="J3931" s="10">
        <v>20</v>
      </c>
      <c r="K3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31">
        <v>0</v>
      </c>
      <c r="M39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931">
        <v>348.7</v>
      </c>
      <c r="O3931" s="23" t="s">
        <v>637</v>
      </c>
      <c r="P3931">
        <v>1046.0999999999999</v>
      </c>
      <c r="Q3931" s="23" t="s">
        <v>178</v>
      </c>
    </row>
    <row r="3932" spans="1:17" x14ac:dyDescent="0.25">
      <c r="A3932" s="23" t="s">
        <v>1147</v>
      </c>
      <c r="B3932" s="23" t="s">
        <v>1145</v>
      </c>
      <c r="C3932" s="23" t="s">
        <v>176</v>
      </c>
      <c r="D3932" s="23" t="s">
        <v>446</v>
      </c>
      <c r="E3932" s="23" t="s">
        <v>630</v>
      </c>
      <c r="F3932">
        <v>4</v>
      </c>
      <c r="G3932" s="23" t="s">
        <v>177</v>
      </c>
      <c r="H3932">
        <v>0</v>
      </c>
      <c r="I3932">
        <v>115</v>
      </c>
      <c r="J3932" s="10">
        <v>28</v>
      </c>
      <c r="K3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3932">
        <v>0</v>
      </c>
      <c r="M39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2">
        <v>250</v>
      </c>
      <c r="O3932" s="23" t="s">
        <v>629</v>
      </c>
      <c r="P3932">
        <v>1000</v>
      </c>
      <c r="Q3932" s="23" t="s">
        <v>181</v>
      </c>
    </row>
    <row r="3933" spans="1:17" x14ac:dyDescent="0.25">
      <c r="A3933" s="23" t="s">
        <v>1147</v>
      </c>
      <c r="B3933" s="23" t="s">
        <v>1145</v>
      </c>
      <c r="C3933" s="23" t="s">
        <v>176</v>
      </c>
      <c r="D3933" s="23" t="s">
        <v>831</v>
      </c>
      <c r="E3933" s="23" t="s">
        <v>832</v>
      </c>
      <c r="F3933">
        <v>4</v>
      </c>
      <c r="G3933" s="23" t="s">
        <v>180</v>
      </c>
      <c r="H3933">
        <v>0</v>
      </c>
      <c r="I3933">
        <v>100</v>
      </c>
      <c r="J3933" s="10">
        <v>0</v>
      </c>
      <c r="K3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33">
        <v>214.64</v>
      </c>
      <c r="M39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3">
        <v>50.81</v>
      </c>
      <c r="O3933" s="23" t="s">
        <v>833</v>
      </c>
      <c r="P3933">
        <v>203.24</v>
      </c>
      <c r="Q3933" s="23" t="s">
        <v>185</v>
      </c>
    </row>
    <row r="3934" spans="1:17" x14ac:dyDescent="0.25">
      <c r="A3934" s="23" t="s">
        <v>1147</v>
      </c>
      <c r="B3934" s="23" t="s">
        <v>1145</v>
      </c>
      <c r="C3934" s="23" t="s">
        <v>176</v>
      </c>
      <c r="D3934" s="23" t="s">
        <v>1033</v>
      </c>
      <c r="E3934" s="23" t="s">
        <v>1034</v>
      </c>
      <c r="F3934">
        <v>1</v>
      </c>
      <c r="G3934" s="23" t="s">
        <v>177</v>
      </c>
      <c r="H3934">
        <v>0</v>
      </c>
      <c r="I3934">
        <v>19</v>
      </c>
      <c r="J3934" s="10">
        <v>4</v>
      </c>
      <c r="K3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34">
        <v>0</v>
      </c>
      <c r="M39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4">
        <v>85</v>
      </c>
      <c r="O3934" s="23" t="s">
        <v>822</v>
      </c>
      <c r="P3934">
        <v>85</v>
      </c>
      <c r="Q3934" s="23" t="s">
        <v>179</v>
      </c>
    </row>
    <row r="3935" spans="1:17" x14ac:dyDescent="0.25">
      <c r="A3935" s="23" t="s">
        <v>1147</v>
      </c>
      <c r="B3935" s="23" t="s">
        <v>1145</v>
      </c>
      <c r="C3935" s="23" t="s">
        <v>176</v>
      </c>
      <c r="D3935" s="23" t="s">
        <v>135</v>
      </c>
      <c r="E3935" s="23" t="s">
        <v>136</v>
      </c>
      <c r="F3935">
        <v>9</v>
      </c>
      <c r="G3935" s="23" t="s">
        <v>180</v>
      </c>
      <c r="H3935">
        <v>0</v>
      </c>
      <c r="I3935">
        <v>60</v>
      </c>
      <c r="J3935" s="10">
        <v>52</v>
      </c>
      <c r="K3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3935">
        <v>80</v>
      </c>
      <c r="M39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3935">
        <v>49</v>
      </c>
      <c r="O3935" s="23" t="s">
        <v>673</v>
      </c>
      <c r="P3935">
        <v>441</v>
      </c>
      <c r="Q3935" s="23" t="s">
        <v>185</v>
      </c>
    </row>
    <row r="3936" spans="1:17" x14ac:dyDescent="0.25">
      <c r="A3936" s="23" t="s">
        <v>1100</v>
      </c>
      <c r="B3936" s="23" t="s">
        <v>1101</v>
      </c>
      <c r="C3936" s="23" t="s">
        <v>176</v>
      </c>
      <c r="D3936" s="23" t="s">
        <v>158</v>
      </c>
      <c r="E3936" s="23" t="s">
        <v>159</v>
      </c>
      <c r="F3936">
        <v>1</v>
      </c>
      <c r="G3936" s="23" t="s">
        <v>177</v>
      </c>
      <c r="H3936">
        <v>0</v>
      </c>
      <c r="I3936">
        <v>4</v>
      </c>
      <c r="J3936" s="10">
        <v>22</v>
      </c>
      <c r="K3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3936">
        <v>20</v>
      </c>
      <c r="M39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6">
        <v>65</v>
      </c>
      <c r="O3936" s="23" t="s">
        <v>762</v>
      </c>
      <c r="P3936">
        <v>65</v>
      </c>
      <c r="Q3936" s="23" t="s">
        <v>179</v>
      </c>
    </row>
    <row r="3937" spans="1:17" x14ac:dyDescent="0.25">
      <c r="A3937" s="23" t="s">
        <v>1144</v>
      </c>
      <c r="B3937" s="23" t="s">
        <v>1145</v>
      </c>
      <c r="C3937" s="23" t="s">
        <v>176</v>
      </c>
      <c r="D3937" s="23" t="s">
        <v>831</v>
      </c>
      <c r="E3937" s="23" t="s">
        <v>832</v>
      </c>
      <c r="F3937">
        <v>4</v>
      </c>
      <c r="G3937" s="23" t="s">
        <v>180</v>
      </c>
      <c r="H3937">
        <v>0</v>
      </c>
      <c r="I3937">
        <v>100</v>
      </c>
      <c r="J3937" s="10">
        <v>0</v>
      </c>
      <c r="K3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37">
        <v>214.64</v>
      </c>
      <c r="M39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7">
        <v>50.81</v>
      </c>
      <c r="O3937" s="23" t="s">
        <v>833</v>
      </c>
      <c r="P3937">
        <v>203.24</v>
      </c>
      <c r="Q3937" s="23" t="s">
        <v>185</v>
      </c>
    </row>
    <row r="3938" spans="1:17" x14ac:dyDescent="0.25">
      <c r="A3938" s="23" t="s">
        <v>1146</v>
      </c>
      <c r="B3938" s="23" t="s">
        <v>1145</v>
      </c>
      <c r="C3938" s="23" t="s">
        <v>176</v>
      </c>
      <c r="D3938" s="23" t="s">
        <v>831</v>
      </c>
      <c r="E3938" s="23" t="s">
        <v>832</v>
      </c>
      <c r="F3938">
        <v>4</v>
      </c>
      <c r="G3938" s="23" t="s">
        <v>180</v>
      </c>
      <c r="H3938">
        <v>0</v>
      </c>
      <c r="I3938">
        <v>100</v>
      </c>
      <c r="J3938" s="10">
        <v>0</v>
      </c>
      <c r="K3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38">
        <v>214.64</v>
      </c>
      <c r="M39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8">
        <v>50.81</v>
      </c>
      <c r="O3938" s="23" t="s">
        <v>833</v>
      </c>
      <c r="P3938">
        <v>203.24</v>
      </c>
      <c r="Q3938" s="23" t="s">
        <v>185</v>
      </c>
    </row>
    <row r="3939" spans="1:17" x14ac:dyDescent="0.25">
      <c r="A3939" s="23" t="s">
        <v>1150</v>
      </c>
      <c r="B3939" s="23" t="s">
        <v>1145</v>
      </c>
      <c r="C3939" s="23" t="s">
        <v>176</v>
      </c>
      <c r="D3939" s="23" t="s">
        <v>1033</v>
      </c>
      <c r="E3939" s="23" t="s">
        <v>1034</v>
      </c>
      <c r="F3939">
        <v>1</v>
      </c>
      <c r="G3939" s="23" t="s">
        <v>177</v>
      </c>
      <c r="H3939">
        <v>0</v>
      </c>
      <c r="I3939">
        <v>19</v>
      </c>
      <c r="J3939" s="10">
        <v>4</v>
      </c>
      <c r="K3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39">
        <v>0</v>
      </c>
      <c r="M39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39">
        <v>85</v>
      </c>
      <c r="O3939" s="23" t="s">
        <v>822</v>
      </c>
      <c r="P3939">
        <v>85</v>
      </c>
      <c r="Q3939" s="23" t="s">
        <v>179</v>
      </c>
    </row>
    <row r="3940" spans="1:17" x14ac:dyDescent="0.25">
      <c r="A3940" s="23" t="s">
        <v>1058</v>
      </c>
      <c r="B3940" s="23" t="s">
        <v>1059</v>
      </c>
      <c r="C3940" s="23" t="s">
        <v>176</v>
      </c>
      <c r="D3940" s="23" t="s">
        <v>878</v>
      </c>
      <c r="E3940" s="23" t="s">
        <v>879</v>
      </c>
      <c r="F3940">
        <v>2</v>
      </c>
      <c r="G3940" s="23" t="s">
        <v>177</v>
      </c>
      <c r="H3940">
        <v>2</v>
      </c>
      <c r="I3940">
        <v>4</v>
      </c>
      <c r="J3940" s="10">
        <v>12</v>
      </c>
      <c r="K3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940">
        <v>0</v>
      </c>
      <c r="M39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0">
        <v>1028.73</v>
      </c>
      <c r="O3940" s="23" t="s">
        <v>637</v>
      </c>
      <c r="P3940">
        <v>2057.46</v>
      </c>
      <c r="Q3940" s="23" t="s">
        <v>179</v>
      </c>
    </row>
    <row r="3941" spans="1:17" x14ac:dyDescent="0.25">
      <c r="A3941" s="23" t="s">
        <v>1058</v>
      </c>
      <c r="B3941" s="23" t="s">
        <v>1059</v>
      </c>
      <c r="C3941" s="23" t="s">
        <v>176</v>
      </c>
      <c r="D3941" s="23" t="s">
        <v>845</v>
      </c>
      <c r="E3941" s="23" t="s">
        <v>846</v>
      </c>
      <c r="F3941">
        <v>3</v>
      </c>
      <c r="G3941" s="23" t="s">
        <v>177</v>
      </c>
      <c r="H3941">
        <v>3</v>
      </c>
      <c r="I3941">
        <v>42</v>
      </c>
      <c r="J3941" s="10">
        <v>20</v>
      </c>
      <c r="K3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41">
        <v>0</v>
      </c>
      <c r="M39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941">
        <v>348.7</v>
      </c>
      <c r="O3941" s="23" t="s">
        <v>637</v>
      </c>
      <c r="P3941">
        <v>1046.0999999999999</v>
      </c>
      <c r="Q3941" s="23" t="s">
        <v>178</v>
      </c>
    </row>
    <row r="3942" spans="1:17" x14ac:dyDescent="0.25">
      <c r="A3942" s="23" t="s">
        <v>1100</v>
      </c>
      <c r="B3942" s="23" t="s">
        <v>1101</v>
      </c>
      <c r="C3942" s="23" t="s">
        <v>176</v>
      </c>
      <c r="D3942" s="23" t="s">
        <v>845</v>
      </c>
      <c r="E3942" s="23" t="s">
        <v>846</v>
      </c>
      <c r="F3942">
        <v>3</v>
      </c>
      <c r="G3942" s="23" t="s">
        <v>177</v>
      </c>
      <c r="H3942">
        <v>0</v>
      </c>
      <c r="I3942">
        <v>42</v>
      </c>
      <c r="J3942" s="10">
        <v>20</v>
      </c>
      <c r="K3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3942">
        <v>0</v>
      </c>
      <c r="M39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3942">
        <v>348.7</v>
      </c>
      <c r="O3942" s="23" t="s">
        <v>637</v>
      </c>
      <c r="P3942">
        <v>1046.0999999999999</v>
      </c>
      <c r="Q3942" s="23" t="s">
        <v>178</v>
      </c>
    </row>
    <row r="3943" spans="1:17" x14ac:dyDescent="0.25">
      <c r="A3943" s="23" t="s">
        <v>1055</v>
      </c>
      <c r="B3943" s="23" t="s">
        <v>1056</v>
      </c>
      <c r="C3943" s="23" t="s">
        <v>176</v>
      </c>
      <c r="D3943" s="23" t="s">
        <v>831</v>
      </c>
      <c r="E3943" s="23" t="s">
        <v>832</v>
      </c>
      <c r="F3943">
        <v>5</v>
      </c>
      <c r="G3943" s="23" t="s">
        <v>180</v>
      </c>
      <c r="H3943">
        <v>0</v>
      </c>
      <c r="I3943">
        <v>100</v>
      </c>
      <c r="J3943" s="10">
        <v>0</v>
      </c>
      <c r="K3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43">
        <v>214.64</v>
      </c>
      <c r="M39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3">
        <v>50.81</v>
      </c>
      <c r="O3943" s="23" t="s">
        <v>833</v>
      </c>
      <c r="P3943">
        <v>254.05</v>
      </c>
      <c r="Q3943" s="23" t="s">
        <v>185</v>
      </c>
    </row>
    <row r="3944" spans="1:17" x14ac:dyDescent="0.25">
      <c r="A3944" s="23" t="s">
        <v>1148</v>
      </c>
      <c r="B3944" s="23" t="s">
        <v>1054</v>
      </c>
      <c r="C3944" s="23" t="s">
        <v>176</v>
      </c>
      <c r="D3944" s="23" t="s">
        <v>831</v>
      </c>
      <c r="E3944" s="23" t="s">
        <v>832</v>
      </c>
      <c r="F3944">
        <v>5</v>
      </c>
      <c r="G3944" s="23" t="s">
        <v>180</v>
      </c>
      <c r="H3944">
        <v>0</v>
      </c>
      <c r="I3944">
        <v>100</v>
      </c>
      <c r="J3944" s="10">
        <v>0</v>
      </c>
      <c r="K3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44">
        <v>214.64</v>
      </c>
      <c r="M39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4">
        <v>50.81</v>
      </c>
      <c r="O3944" s="23" t="s">
        <v>833</v>
      </c>
      <c r="P3944">
        <v>254.05</v>
      </c>
      <c r="Q3944" s="23" t="s">
        <v>185</v>
      </c>
    </row>
    <row r="3945" spans="1:17" x14ac:dyDescent="0.25">
      <c r="A3945" s="23" t="s">
        <v>1099</v>
      </c>
      <c r="B3945" s="23" t="s">
        <v>1056</v>
      </c>
      <c r="C3945" s="23" t="s">
        <v>176</v>
      </c>
      <c r="D3945" s="23" t="s">
        <v>831</v>
      </c>
      <c r="E3945" s="23" t="s">
        <v>832</v>
      </c>
      <c r="F3945">
        <v>5</v>
      </c>
      <c r="G3945" s="23" t="s">
        <v>180</v>
      </c>
      <c r="H3945">
        <v>0</v>
      </c>
      <c r="I3945">
        <v>100</v>
      </c>
      <c r="J3945" s="10">
        <v>0</v>
      </c>
      <c r="K3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3945">
        <v>214.64</v>
      </c>
      <c r="M39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5">
        <v>50.81</v>
      </c>
      <c r="O3945" s="23" t="s">
        <v>833</v>
      </c>
      <c r="P3945">
        <v>254.05</v>
      </c>
      <c r="Q3945" s="23" t="s">
        <v>185</v>
      </c>
    </row>
    <row r="3946" spans="1:17" x14ac:dyDescent="0.25">
      <c r="A3946" s="23" t="s">
        <v>1150</v>
      </c>
      <c r="B3946" s="23" t="s">
        <v>1145</v>
      </c>
      <c r="C3946" s="23" t="s">
        <v>176</v>
      </c>
      <c r="D3946" s="23" t="s">
        <v>392</v>
      </c>
      <c r="E3946" s="23" t="s">
        <v>393</v>
      </c>
      <c r="F3946">
        <v>10</v>
      </c>
      <c r="G3946" s="23" t="s">
        <v>177</v>
      </c>
      <c r="H3946">
        <v>0</v>
      </c>
      <c r="I3946">
        <v>0</v>
      </c>
      <c r="J3946" s="10">
        <v>24.050000000000068</v>
      </c>
      <c r="K3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46">
        <v>34</v>
      </c>
      <c r="M39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46">
        <v>1691.67</v>
      </c>
      <c r="O3946" s="23" t="s">
        <v>224</v>
      </c>
      <c r="P3946">
        <v>16916.7</v>
      </c>
      <c r="Q3946" s="23" t="s">
        <v>182</v>
      </c>
    </row>
    <row r="3947" spans="1:17" x14ac:dyDescent="0.25">
      <c r="A3947" s="23" t="s">
        <v>1150</v>
      </c>
      <c r="B3947" s="23" t="s">
        <v>1145</v>
      </c>
      <c r="C3947" s="23" t="s">
        <v>176</v>
      </c>
      <c r="D3947" s="23" t="s">
        <v>509</v>
      </c>
      <c r="E3947" s="23" t="s">
        <v>510</v>
      </c>
      <c r="F3947">
        <v>1</v>
      </c>
      <c r="G3947" s="23" t="s">
        <v>177</v>
      </c>
      <c r="H3947">
        <v>0</v>
      </c>
      <c r="I3947">
        <v>6</v>
      </c>
      <c r="J3947" s="10">
        <v>9</v>
      </c>
      <c r="K3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947">
        <v>7</v>
      </c>
      <c r="M39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7">
        <v>1535.25</v>
      </c>
      <c r="O3947" s="23" t="s">
        <v>508</v>
      </c>
      <c r="P3947">
        <v>1535.25</v>
      </c>
      <c r="Q3947" s="23" t="s">
        <v>222</v>
      </c>
    </row>
    <row r="3948" spans="1:17" x14ac:dyDescent="0.25">
      <c r="A3948" s="23" t="s">
        <v>1144</v>
      </c>
      <c r="B3948" s="23" t="s">
        <v>1145</v>
      </c>
      <c r="C3948" s="23" t="s">
        <v>176</v>
      </c>
      <c r="D3948" s="23" t="s">
        <v>793</v>
      </c>
      <c r="E3948" s="23" t="s">
        <v>137</v>
      </c>
      <c r="F3948">
        <v>8</v>
      </c>
      <c r="G3948" s="23" t="s">
        <v>177</v>
      </c>
      <c r="H3948">
        <v>0</v>
      </c>
      <c r="I3948">
        <v>524</v>
      </c>
      <c r="J3948" s="10">
        <v>352</v>
      </c>
      <c r="K3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48">
        <v>0</v>
      </c>
      <c r="M39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8">
        <v>8.1</v>
      </c>
      <c r="O3948" s="23" t="s">
        <v>505</v>
      </c>
      <c r="P3948">
        <v>64.8</v>
      </c>
      <c r="Q3948" s="23" t="s">
        <v>222</v>
      </c>
    </row>
    <row r="3949" spans="1:17" x14ac:dyDescent="0.25">
      <c r="A3949" s="23" t="s">
        <v>1146</v>
      </c>
      <c r="B3949" s="23" t="s">
        <v>1145</v>
      </c>
      <c r="C3949" s="23" t="s">
        <v>176</v>
      </c>
      <c r="D3949" s="23" t="s">
        <v>793</v>
      </c>
      <c r="E3949" s="23" t="s">
        <v>137</v>
      </c>
      <c r="F3949">
        <v>8</v>
      </c>
      <c r="G3949" s="23" t="s">
        <v>177</v>
      </c>
      <c r="H3949">
        <v>0</v>
      </c>
      <c r="I3949">
        <v>524</v>
      </c>
      <c r="J3949" s="10">
        <v>352</v>
      </c>
      <c r="K3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49">
        <v>0</v>
      </c>
      <c r="M39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49">
        <v>8.1</v>
      </c>
      <c r="O3949" s="23" t="s">
        <v>505</v>
      </c>
      <c r="P3949">
        <v>64.8</v>
      </c>
      <c r="Q3949" s="23" t="s">
        <v>222</v>
      </c>
    </row>
    <row r="3950" spans="1:17" x14ac:dyDescent="0.25">
      <c r="A3950" s="23" t="s">
        <v>1058</v>
      </c>
      <c r="B3950" s="23" t="s">
        <v>1059</v>
      </c>
      <c r="C3950" s="23" t="s">
        <v>176</v>
      </c>
      <c r="D3950" s="23" t="s">
        <v>392</v>
      </c>
      <c r="E3950" s="23" t="s">
        <v>393</v>
      </c>
      <c r="F3950">
        <v>10</v>
      </c>
      <c r="G3950" s="23" t="s">
        <v>177</v>
      </c>
      <c r="H3950">
        <v>0</v>
      </c>
      <c r="I3950">
        <v>0</v>
      </c>
      <c r="J3950" s="10">
        <v>24.050000000000068</v>
      </c>
      <c r="K3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50">
        <v>34</v>
      </c>
      <c r="M39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50">
        <v>1691.67</v>
      </c>
      <c r="O3950" s="23" t="s">
        <v>224</v>
      </c>
      <c r="P3950">
        <v>16916.7</v>
      </c>
      <c r="Q3950" s="23" t="s">
        <v>182</v>
      </c>
    </row>
    <row r="3951" spans="1:17" x14ac:dyDescent="0.25">
      <c r="A3951" s="23" t="s">
        <v>1197</v>
      </c>
      <c r="B3951" s="23" t="s">
        <v>1198</v>
      </c>
      <c r="C3951" s="23" t="s">
        <v>176</v>
      </c>
      <c r="D3951" s="23" t="s">
        <v>938</v>
      </c>
      <c r="E3951" s="23" t="s">
        <v>939</v>
      </c>
      <c r="F3951">
        <v>4</v>
      </c>
      <c r="G3951" s="23" t="s">
        <v>177</v>
      </c>
      <c r="H3951">
        <v>0</v>
      </c>
      <c r="I3951">
        <v>0</v>
      </c>
      <c r="J3951" s="10">
        <v>4</v>
      </c>
      <c r="K3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3951">
        <v>0</v>
      </c>
      <c r="M39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1440</v>
      </c>
      <c r="N3951">
        <v>90</v>
      </c>
      <c r="O3951" s="23" t="s">
        <v>940</v>
      </c>
      <c r="P3951">
        <v>360</v>
      </c>
      <c r="Q3951" s="23" t="s">
        <v>223</v>
      </c>
    </row>
    <row r="3952" spans="1:17" x14ac:dyDescent="0.25">
      <c r="A3952" s="23" t="s">
        <v>1097</v>
      </c>
      <c r="B3952" s="23" t="s">
        <v>1095</v>
      </c>
      <c r="C3952" s="23" t="s">
        <v>176</v>
      </c>
      <c r="D3952" s="23" t="s">
        <v>301</v>
      </c>
      <c r="E3952" s="23" t="s">
        <v>302</v>
      </c>
      <c r="F3952">
        <v>9.5</v>
      </c>
      <c r="G3952" s="23" t="s">
        <v>177</v>
      </c>
      <c r="H3952">
        <v>0</v>
      </c>
      <c r="I3952">
        <v>180</v>
      </c>
      <c r="J3952" s="10">
        <v>80</v>
      </c>
      <c r="K3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3952">
        <v>0</v>
      </c>
      <c r="M39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3952">
        <v>240</v>
      </c>
      <c r="O3952" s="23" t="s">
        <v>242</v>
      </c>
      <c r="P3952">
        <v>2280</v>
      </c>
      <c r="Q3952" s="23" t="s">
        <v>181</v>
      </c>
    </row>
    <row r="3953" spans="1:17" x14ac:dyDescent="0.25">
      <c r="A3953" s="23" t="s">
        <v>1197</v>
      </c>
      <c r="B3953" s="23" t="s">
        <v>1198</v>
      </c>
      <c r="C3953" s="23" t="s">
        <v>176</v>
      </c>
      <c r="D3953" s="23" t="s">
        <v>339</v>
      </c>
      <c r="E3953" s="23" t="s">
        <v>340</v>
      </c>
      <c r="F3953">
        <v>2.4700000000000002</v>
      </c>
      <c r="G3953" s="23" t="s">
        <v>186</v>
      </c>
      <c r="H3953">
        <v>0</v>
      </c>
      <c r="I3953">
        <v>0</v>
      </c>
      <c r="J3953" s="10">
        <v>154.95000000000007</v>
      </c>
      <c r="K3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953">
        <v>60</v>
      </c>
      <c r="M39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953">
        <v>194.75</v>
      </c>
      <c r="O3953" s="23" t="s">
        <v>491</v>
      </c>
      <c r="P3953">
        <v>481.03250000000003</v>
      </c>
      <c r="Q3953" s="23" t="s">
        <v>184</v>
      </c>
    </row>
    <row r="3954" spans="1:17" x14ac:dyDescent="0.25">
      <c r="A3954" s="23" t="s">
        <v>1097</v>
      </c>
      <c r="B3954" s="23" t="s">
        <v>1095</v>
      </c>
      <c r="C3954" s="23" t="s">
        <v>176</v>
      </c>
      <c r="D3954" s="23" t="s">
        <v>339</v>
      </c>
      <c r="E3954" s="23" t="s">
        <v>340</v>
      </c>
      <c r="F3954">
        <v>16.66</v>
      </c>
      <c r="G3954" s="23" t="s">
        <v>186</v>
      </c>
      <c r="H3954">
        <v>0</v>
      </c>
      <c r="I3954">
        <v>0</v>
      </c>
      <c r="J3954" s="10">
        <v>154.95000000000007</v>
      </c>
      <c r="K3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954">
        <v>60</v>
      </c>
      <c r="M39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954">
        <v>194.75</v>
      </c>
      <c r="O3954" s="23" t="s">
        <v>491</v>
      </c>
      <c r="P3954">
        <v>3244.5349999999999</v>
      </c>
      <c r="Q3954" s="23" t="s">
        <v>184</v>
      </c>
    </row>
    <row r="3955" spans="1:17" x14ac:dyDescent="0.25">
      <c r="A3955" s="23" t="s">
        <v>1197</v>
      </c>
      <c r="B3955" s="23" t="s">
        <v>1198</v>
      </c>
      <c r="C3955" s="23" t="s">
        <v>176</v>
      </c>
      <c r="D3955" s="23" t="s">
        <v>392</v>
      </c>
      <c r="E3955" s="23" t="s">
        <v>393</v>
      </c>
      <c r="F3955">
        <v>10</v>
      </c>
      <c r="G3955" s="23" t="s">
        <v>177</v>
      </c>
      <c r="H3955">
        <v>0</v>
      </c>
      <c r="I3955">
        <v>0</v>
      </c>
      <c r="J3955" s="10">
        <v>24.050000000000068</v>
      </c>
      <c r="K3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55">
        <v>34</v>
      </c>
      <c r="M39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55">
        <v>1691.67</v>
      </c>
      <c r="O3955" s="23" t="s">
        <v>224</v>
      </c>
      <c r="P3955">
        <v>16916.7</v>
      </c>
      <c r="Q3955" s="23" t="s">
        <v>182</v>
      </c>
    </row>
    <row r="3956" spans="1:17" x14ac:dyDescent="0.25">
      <c r="A3956" s="23" t="s">
        <v>1098</v>
      </c>
      <c r="B3956" s="23" t="s">
        <v>1053</v>
      </c>
      <c r="C3956" s="23" t="s">
        <v>176</v>
      </c>
      <c r="D3956" s="23" t="s">
        <v>392</v>
      </c>
      <c r="E3956" s="23" t="s">
        <v>393</v>
      </c>
      <c r="F3956">
        <v>10</v>
      </c>
      <c r="G3956" s="23" t="s">
        <v>177</v>
      </c>
      <c r="H3956">
        <v>0</v>
      </c>
      <c r="I3956">
        <v>0</v>
      </c>
      <c r="J3956" s="10">
        <v>24.050000000000068</v>
      </c>
      <c r="K3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56">
        <v>34</v>
      </c>
      <c r="M39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56">
        <v>1691.67</v>
      </c>
      <c r="O3956" s="23" t="s">
        <v>224</v>
      </c>
      <c r="P3956">
        <v>16916.7</v>
      </c>
      <c r="Q3956" s="23" t="s">
        <v>182</v>
      </c>
    </row>
    <row r="3957" spans="1:17" x14ac:dyDescent="0.25">
      <c r="A3957" s="23" t="s">
        <v>1097</v>
      </c>
      <c r="B3957" s="23" t="s">
        <v>1095</v>
      </c>
      <c r="C3957" s="23" t="s">
        <v>176</v>
      </c>
      <c r="D3957" s="23" t="s">
        <v>509</v>
      </c>
      <c r="E3957" s="23" t="s">
        <v>510</v>
      </c>
      <c r="F3957">
        <v>1</v>
      </c>
      <c r="G3957" s="23" t="s">
        <v>177</v>
      </c>
      <c r="H3957">
        <v>0</v>
      </c>
      <c r="I3957">
        <v>6</v>
      </c>
      <c r="J3957" s="10">
        <v>9</v>
      </c>
      <c r="K3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957">
        <v>7</v>
      </c>
      <c r="M39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7">
        <v>1535.25</v>
      </c>
      <c r="O3957" s="23" t="s">
        <v>508</v>
      </c>
      <c r="P3957">
        <v>1535.25</v>
      </c>
      <c r="Q3957" s="23" t="s">
        <v>222</v>
      </c>
    </row>
    <row r="3958" spans="1:17" x14ac:dyDescent="0.25">
      <c r="A3958" s="23" t="s">
        <v>1197</v>
      </c>
      <c r="B3958" s="23" t="s">
        <v>1198</v>
      </c>
      <c r="C3958" s="23" t="s">
        <v>176</v>
      </c>
      <c r="D3958" s="23" t="s">
        <v>793</v>
      </c>
      <c r="E3958" s="23" t="s">
        <v>137</v>
      </c>
      <c r="F3958">
        <v>8</v>
      </c>
      <c r="G3958" s="23" t="s">
        <v>177</v>
      </c>
      <c r="H3958">
        <v>0</v>
      </c>
      <c r="I3958">
        <v>524</v>
      </c>
      <c r="J3958" s="10">
        <v>352</v>
      </c>
      <c r="K3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58">
        <v>0</v>
      </c>
      <c r="M39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8">
        <v>8.1</v>
      </c>
      <c r="O3958" s="23" t="s">
        <v>505</v>
      </c>
      <c r="P3958">
        <v>64.8</v>
      </c>
      <c r="Q3958" s="23" t="s">
        <v>222</v>
      </c>
    </row>
    <row r="3959" spans="1:17" x14ac:dyDescent="0.25">
      <c r="A3959" s="23" t="s">
        <v>1098</v>
      </c>
      <c r="B3959" s="23" t="s">
        <v>1053</v>
      </c>
      <c r="C3959" s="23" t="s">
        <v>176</v>
      </c>
      <c r="D3959" s="23" t="s">
        <v>793</v>
      </c>
      <c r="E3959" s="23" t="s">
        <v>137</v>
      </c>
      <c r="F3959">
        <v>6</v>
      </c>
      <c r="G3959" s="23" t="s">
        <v>177</v>
      </c>
      <c r="H3959">
        <v>0</v>
      </c>
      <c r="I3959">
        <v>524</v>
      </c>
      <c r="J3959" s="10">
        <v>352</v>
      </c>
      <c r="K3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59">
        <v>0</v>
      </c>
      <c r="M39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59">
        <v>8.1</v>
      </c>
      <c r="O3959" s="23" t="s">
        <v>505</v>
      </c>
      <c r="P3959">
        <v>48.599999999999994</v>
      </c>
      <c r="Q3959" s="23" t="s">
        <v>222</v>
      </c>
    </row>
    <row r="3960" spans="1:17" x14ac:dyDescent="0.25">
      <c r="A3960" s="23" t="s">
        <v>1149</v>
      </c>
      <c r="B3960" s="23" t="s">
        <v>1145</v>
      </c>
      <c r="C3960" s="23" t="s">
        <v>176</v>
      </c>
      <c r="D3960" s="23" t="s">
        <v>509</v>
      </c>
      <c r="E3960" s="23" t="s">
        <v>510</v>
      </c>
      <c r="F3960">
        <v>1</v>
      </c>
      <c r="G3960" s="23" t="s">
        <v>177</v>
      </c>
      <c r="H3960">
        <v>0</v>
      </c>
      <c r="I3960">
        <v>6</v>
      </c>
      <c r="J3960" s="10">
        <v>9</v>
      </c>
      <c r="K3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960">
        <v>7</v>
      </c>
      <c r="M39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0">
        <v>1535.25</v>
      </c>
      <c r="O3960" s="23" t="s">
        <v>508</v>
      </c>
      <c r="P3960">
        <v>1535.25</v>
      </c>
      <c r="Q3960" s="23" t="s">
        <v>222</v>
      </c>
    </row>
    <row r="3961" spans="1:17" x14ac:dyDescent="0.25">
      <c r="A3961" s="23" t="s">
        <v>1149</v>
      </c>
      <c r="B3961" s="23" t="s">
        <v>1145</v>
      </c>
      <c r="C3961" s="23" t="s">
        <v>176</v>
      </c>
      <c r="D3961" s="23" t="s">
        <v>793</v>
      </c>
      <c r="E3961" s="23" t="s">
        <v>137</v>
      </c>
      <c r="F3961">
        <v>8</v>
      </c>
      <c r="G3961" s="23" t="s">
        <v>177</v>
      </c>
      <c r="H3961">
        <v>0</v>
      </c>
      <c r="I3961">
        <v>524</v>
      </c>
      <c r="J3961" s="10">
        <v>352</v>
      </c>
      <c r="K3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61">
        <v>0</v>
      </c>
      <c r="M39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1">
        <v>8.1</v>
      </c>
      <c r="O3961" s="23" t="s">
        <v>505</v>
      </c>
      <c r="P3961">
        <v>64.8</v>
      </c>
      <c r="Q3961" s="23" t="s">
        <v>222</v>
      </c>
    </row>
    <row r="3962" spans="1:17" x14ac:dyDescent="0.25">
      <c r="A3962" s="23" t="s">
        <v>1100</v>
      </c>
      <c r="B3962" s="23" t="s">
        <v>1101</v>
      </c>
      <c r="C3962" s="23" t="s">
        <v>176</v>
      </c>
      <c r="D3962" s="23" t="s">
        <v>392</v>
      </c>
      <c r="E3962" s="23" t="s">
        <v>393</v>
      </c>
      <c r="F3962">
        <v>10</v>
      </c>
      <c r="G3962" s="23" t="s">
        <v>177</v>
      </c>
      <c r="H3962">
        <v>0</v>
      </c>
      <c r="I3962">
        <v>0</v>
      </c>
      <c r="J3962" s="10">
        <v>24.050000000000068</v>
      </c>
      <c r="K3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62">
        <v>34</v>
      </c>
      <c r="M39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62">
        <v>1691.67</v>
      </c>
      <c r="O3962" s="23" t="s">
        <v>224</v>
      </c>
      <c r="P3962">
        <v>16916.7</v>
      </c>
      <c r="Q3962" s="23" t="s">
        <v>182</v>
      </c>
    </row>
    <row r="3963" spans="1:17" x14ac:dyDescent="0.25">
      <c r="A3963" s="23" t="s">
        <v>1147</v>
      </c>
      <c r="B3963" s="23" t="s">
        <v>1145</v>
      </c>
      <c r="C3963" s="23" t="s">
        <v>176</v>
      </c>
      <c r="D3963" s="23" t="s">
        <v>509</v>
      </c>
      <c r="E3963" s="23" t="s">
        <v>510</v>
      </c>
      <c r="F3963">
        <v>1</v>
      </c>
      <c r="G3963" s="23" t="s">
        <v>177</v>
      </c>
      <c r="H3963">
        <v>0</v>
      </c>
      <c r="I3963">
        <v>6</v>
      </c>
      <c r="J3963" s="10">
        <v>9</v>
      </c>
      <c r="K3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963">
        <v>7</v>
      </c>
      <c r="M39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3">
        <v>1535.25</v>
      </c>
      <c r="O3963" s="23" t="s">
        <v>508</v>
      </c>
      <c r="P3963">
        <v>1535.25</v>
      </c>
      <c r="Q3963" s="23" t="s">
        <v>222</v>
      </c>
    </row>
    <row r="3964" spans="1:17" x14ac:dyDescent="0.25">
      <c r="A3964" s="23" t="s">
        <v>1100</v>
      </c>
      <c r="B3964" s="23" t="s">
        <v>1101</v>
      </c>
      <c r="C3964" s="23" t="s">
        <v>176</v>
      </c>
      <c r="D3964" s="23" t="s">
        <v>793</v>
      </c>
      <c r="E3964" s="23" t="s">
        <v>137</v>
      </c>
      <c r="F3964">
        <v>8</v>
      </c>
      <c r="G3964" s="23" t="s">
        <v>177</v>
      </c>
      <c r="H3964">
        <v>0</v>
      </c>
      <c r="I3964">
        <v>524</v>
      </c>
      <c r="J3964" s="10">
        <v>352</v>
      </c>
      <c r="K3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64">
        <v>0</v>
      </c>
      <c r="M39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4">
        <v>8.1</v>
      </c>
      <c r="O3964" s="23" t="s">
        <v>505</v>
      </c>
      <c r="P3964">
        <v>64.8</v>
      </c>
      <c r="Q3964" s="23" t="s">
        <v>222</v>
      </c>
    </row>
    <row r="3965" spans="1:17" x14ac:dyDescent="0.25">
      <c r="A3965" s="23" t="s">
        <v>1148</v>
      </c>
      <c r="B3965" s="23" t="s">
        <v>1054</v>
      </c>
      <c r="C3965" s="23" t="s">
        <v>176</v>
      </c>
      <c r="D3965" s="23" t="s">
        <v>339</v>
      </c>
      <c r="E3965" s="23" t="s">
        <v>340</v>
      </c>
      <c r="F3965">
        <v>16.66</v>
      </c>
      <c r="G3965" s="23" t="s">
        <v>186</v>
      </c>
      <c r="H3965">
        <v>0</v>
      </c>
      <c r="I3965">
        <v>0</v>
      </c>
      <c r="J3965" s="10">
        <v>154.95000000000007</v>
      </c>
      <c r="K3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965">
        <v>60</v>
      </c>
      <c r="M39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965">
        <v>194.75</v>
      </c>
      <c r="O3965" s="23" t="s">
        <v>491</v>
      </c>
      <c r="P3965">
        <v>3244.5349999999999</v>
      </c>
      <c r="Q3965" s="23" t="s">
        <v>184</v>
      </c>
    </row>
    <row r="3966" spans="1:17" x14ac:dyDescent="0.25">
      <c r="A3966" s="23" t="s">
        <v>1147</v>
      </c>
      <c r="B3966" s="23" t="s">
        <v>1145</v>
      </c>
      <c r="C3966" s="23" t="s">
        <v>176</v>
      </c>
      <c r="D3966" s="23" t="s">
        <v>339</v>
      </c>
      <c r="E3966" s="23" t="s">
        <v>340</v>
      </c>
      <c r="F3966">
        <v>2.4700000000000002</v>
      </c>
      <c r="G3966" s="23" t="s">
        <v>186</v>
      </c>
      <c r="H3966">
        <v>0</v>
      </c>
      <c r="I3966">
        <v>0</v>
      </c>
      <c r="J3966" s="10">
        <v>154.95000000000007</v>
      </c>
      <c r="K3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3966">
        <v>60</v>
      </c>
      <c r="M39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3966">
        <v>194.75</v>
      </c>
      <c r="O3966" s="23" t="s">
        <v>491</v>
      </c>
      <c r="P3966">
        <v>481.03250000000003</v>
      </c>
      <c r="Q3966" s="23" t="s">
        <v>184</v>
      </c>
    </row>
    <row r="3967" spans="1:17" x14ac:dyDescent="0.25">
      <c r="A3967" s="23" t="s">
        <v>1147</v>
      </c>
      <c r="B3967" s="23" t="s">
        <v>1145</v>
      </c>
      <c r="C3967" s="23" t="s">
        <v>176</v>
      </c>
      <c r="D3967" s="23" t="s">
        <v>392</v>
      </c>
      <c r="E3967" s="23" t="s">
        <v>393</v>
      </c>
      <c r="F3967">
        <v>10</v>
      </c>
      <c r="G3967" s="23" t="s">
        <v>177</v>
      </c>
      <c r="H3967">
        <v>0</v>
      </c>
      <c r="I3967">
        <v>0</v>
      </c>
      <c r="J3967" s="10">
        <v>24.050000000000068</v>
      </c>
      <c r="K3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67">
        <v>34</v>
      </c>
      <c r="M39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67">
        <v>1691.67</v>
      </c>
      <c r="O3967" s="23" t="s">
        <v>224</v>
      </c>
      <c r="P3967">
        <v>16916.7</v>
      </c>
      <c r="Q3967" s="23" t="s">
        <v>182</v>
      </c>
    </row>
    <row r="3968" spans="1:17" x14ac:dyDescent="0.25">
      <c r="A3968" s="23" t="s">
        <v>1148</v>
      </c>
      <c r="B3968" s="23" t="s">
        <v>1054</v>
      </c>
      <c r="C3968" s="23" t="s">
        <v>176</v>
      </c>
      <c r="D3968" s="23" t="s">
        <v>392</v>
      </c>
      <c r="E3968" s="23" t="s">
        <v>393</v>
      </c>
      <c r="F3968">
        <v>16.240000000000002</v>
      </c>
      <c r="G3968" s="23" t="s">
        <v>177</v>
      </c>
      <c r="H3968">
        <v>0</v>
      </c>
      <c r="I3968">
        <v>0</v>
      </c>
      <c r="J3968" s="10">
        <v>24.050000000000068</v>
      </c>
      <c r="K3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3968">
        <v>34</v>
      </c>
      <c r="M39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3968">
        <v>1691.67</v>
      </c>
      <c r="O3968" s="23" t="s">
        <v>224</v>
      </c>
      <c r="P3968">
        <v>27472.720800000003</v>
      </c>
      <c r="Q3968" s="23" t="s">
        <v>182</v>
      </c>
    </row>
    <row r="3969" spans="1:17" x14ac:dyDescent="0.25">
      <c r="A3969" s="23" t="s">
        <v>1100</v>
      </c>
      <c r="B3969" s="23" t="s">
        <v>1101</v>
      </c>
      <c r="C3969" s="23" t="s">
        <v>176</v>
      </c>
      <c r="D3969" s="23" t="s">
        <v>509</v>
      </c>
      <c r="E3969" s="23" t="s">
        <v>510</v>
      </c>
      <c r="F3969">
        <v>1</v>
      </c>
      <c r="G3969" s="23" t="s">
        <v>177</v>
      </c>
      <c r="H3969">
        <v>0</v>
      </c>
      <c r="I3969">
        <v>6</v>
      </c>
      <c r="J3969" s="10">
        <v>9</v>
      </c>
      <c r="K3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3969">
        <v>7</v>
      </c>
      <c r="M39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69">
        <v>1535.25</v>
      </c>
      <c r="O3969" s="23" t="s">
        <v>508</v>
      </c>
      <c r="P3969">
        <v>1535.25</v>
      </c>
      <c r="Q3969" s="23" t="s">
        <v>222</v>
      </c>
    </row>
    <row r="3970" spans="1:17" x14ac:dyDescent="0.25">
      <c r="A3970" s="23" t="s">
        <v>1147</v>
      </c>
      <c r="B3970" s="23" t="s">
        <v>1145</v>
      </c>
      <c r="C3970" s="23" t="s">
        <v>176</v>
      </c>
      <c r="D3970" s="23" t="s">
        <v>793</v>
      </c>
      <c r="E3970" s="23" t="s">
        <v>137</v>
      </c>
      <c r="F3970">
        <v>8</v>
      </c>
      <c r="G3970" s="23" t="s">
        <v>177</v>
      </c>
      <c r="H3970">
        <v>0</v>
      </c>
      <c r="I3970">
        <v>524</v>
      </c>
      <c r="J3970" s="10">
        <v>352</v>
      </c>
      <c r="K3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70">
        <v>0</v>
      </c>
      <c r="M39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0">
        <v>8.1</v>
      </c>
      <c r="O3970" s="23" t="s">
        <v>505</v>
      </c>
      <c r="P3970">
        <v>64.8</v>
      </c>
      <c r="Q3970" s="23" t="s">
        <v>222</v>
      </c>
    </row>
    <row r="3971" spans="1:17" x14ac:dyDescent="0.25">
      <c r="A3971" s="23" t="s">
        <v>1148</v>
      </c>
      <c r="B3971" s="23" t="s">
        <v>1054</v>
      </c>
      <c r="C3971" s="23" t="s">
        <v>176</v>
      </c>
      <c r="D3971" s="23" t="s">
        <v>793</v>
      </c>
      <c r="E3971" s="23" t="s">
        <v>137</v>
      </c>
      <c r="F3971">
        <v>8</v>
      </c>
      <c r="G3971" s="23" t="s">
        <v>177</v>
      </c>
      <c r="H3971">
        <v>0</v>
      </c>
      <c r="I3971">
        <v>524</v>
      </c>
      <c r="J3971" s="10">
        <v>352</v>
      </c>
      <c r="K3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71">
        <v>0</v>
      </c>
      <c r="M39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1">
        <v>8.1</v>
      </c>
      <c r="O3971" s="23" t="s">
        <v>505</v>
      </c>
      <c r="P3971">
        <v>64.8</v>
      </c>
      <c r="Q3971" s="23" t="s">
        <v>222</v>
      </c>
    </row>
    <row r="3972" spans="1:17" x14ac:dyDescent="0.25">
      <c r="A3972" s="23" t="s">
        <v>1099</v>
      </c>
      <c r="B3972" s="23" t="s">
        <v>1056</v>
      </c>
      <c r="C3972" s="23" t="s">
        <v>176</v>
      </c>
      <c r="D3972" s="23" t="s">
        <v>793</v>
      </c>
      <c r="E3972" s="23" t="s">
        <v>137</v>
      </c>
      <c r="F3972">
        <v>8</v>
      </c>
      <c r="G3972" s="23" t="s">
        <v>177</v>
      </c>
      <c r="H3972">
        <v>0</v>
      </c>
      <c r="I3972">
        <v>524</v>
      </c>
      <c r="J3972" s="10">
        <v>352</v>
      </c>
      <c r="K3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3972">
        <v>0</v>
      </c>
      <c r="M39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2">
        <v>8.1</v>
      </c>
      <c r="O3972" s="23" t="s">
        <v>505</v>
      </c>
      <c r="P3972">
        <v>64.8</v>
      </c>
      <c r="Q3972" s="23" t="s">
        <v>222</v>
      </c>
    </row>
    <row r="3973" spans="1:17" x14ac:dyDescent="0.25">
      <c r="A3973" s="23" t="s">
        <v>1058</v>
      </c>
      <c r="B3973" s="23" t="s">
        <v>1059</v>
      </c>
      <c r="C3973" s="23" t="s">
        <v>176</v>
      </c>
      <c r="D3973" s="23" t="s">
        <v>871</v>
      </c>
      <c r="E3973" s="23" t="s">
        <v>872</v>
      </c>
      <c r="F3973">
        <v>4</v>
      </c>
      <c r="G3973" s="23" t="s">
        <v>177</v>
      </c>
      <c r="H3973">
        <v>0</v>
      </c>
      <c r="I3973">
        <v>0</v>
      </c>
      <c r="J3973" s="10">
        <v>8</v>
      </c>
      <c r="K3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-60</v>
      </c>
      <c r="L3973">
        <v>72</v>
      </c>
      <c r="M39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3">
        <v>5265.79</v>
      </c>
      <c r="O3973" s="23" t="s">
        <v>873</v>
      </c>
      <c r="P3973">
        <v>21063.16</v>
      </c>
      <c r="Q3973" s="23" t="s">
        <v>179</v>
      </c>
    </row>
    <row r="3974" spans="1:17" x14ac:dyDescent="0.25">
      <c r="A3974" s="23" t="s">
        <v>1097</v>
      </c>
      <c r="B3974" s="23" t="s">
        <v>1095</v>
      </c>
      <c r="C3974" s="23" t="s">
        <v>176</v>
      </c>
      <c r="D3974" s="23" t="s">
        <v>432</v>
      </c>
      <c r="E3974" s="23" t="s">
        <v>433</v>
      </c>
      <c r="F3974">
        <v>1</v>
      </c>
      <c r="G3974" s="23" t="s">
        <v>177</v>
      </c>
      <c r="H3974">
        <v>0</v>
      </c>
      <c r="I3974">
        <v>10</v>
      </c>
      <c r="J3974" s="10">
        <v>3</v>
      </c>
      <c r="K3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974">
        <v>0</v>
      </c>
      <c r="M39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4">
        <v>1723.12</v>
      </c>
      <c r="O3974" s="23" t="s">
        <v>637</v>
      </c>
      <c r="P3974">
        <v>1723.12</v>
      </c>
      <c r="Q3974" s="23" t="s">
        <v>179</v>
      </c>
    </row>
    <row r="3975" spans="1:17" x14ac:dyDescent="0.25">
      <c r="A3975" s="23" t="s">
        <v>1097</v>
      </c>
      <c r="B3975" s="23" t="s">
        <v>1095</v>
      </c>
      <c r="C3975" s="23" t="s">
        <v>176</v>
      </c>
      <c r="D3975" s="23" t="s">
        <v>1127</v>
      </c>
      <c r="E3975" s="23" t="s">
        <v>1128</v>
      </c>
      <c r="F3975">
        <v>2</v>
      </c>
      <c r="G3975" s="23" t="s">
        <v>180</v>
      </c>
      <c r="H3975">
        <v>0</v>
      </c>
      <c r="I3975">
        <v>60</v>
      </c>
      <c r="J3975" s="10">
        <v>50</v>
      </c>
      <c r="K3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3975">
        <v>0</v>
      </c>
      <c r="M39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5">
        <v>265</v>
      </c>
      <c r="O3975" s="23" t="s">
        <v>746</v>
      </c>
      <c r="P3975">
        <v>530</v>
      </c>
      <c r="Q3975" s="23" t="s">
        <v>185</v>
      </c>
    </row>
    <row r="3976" spans="1:17" x14ac:dyDescent="0.25">
      <c r="A3976" s="23" t="s">
        <v>1062</v>
      </c>
      <c r="B3976" s="23" t="s">
        <v>1053</v>
      </c>
      <c r="C3976" s="23" t="s">
        <v>176</v>
      </c>
      <c r="D3976" s="23" t="s">
        <v>581</v>
      </c>
      <c r="E3976" s="23" t="s">
        <v>582</v>
      </c>
      <c r="F3976">
        <v>35.25</v>
      </c>
      <c r="G3976" s="23" t="s">
        <v>186</v>
      </c>
      <c r="H3976">
        <v>35.25</v>
      </c>
      <c r="I3976">
        <v>140</v>
      </c>
      <c r="J3976" s="10">
        <v>139.95999999999989</v>
      </c>
      <c r="K3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3976">
        <v>80</v>
      </c>
      <c r="M39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6">
        <v>164.09</v>
      </c>
      <c r="O3976" s="23" t="s">
        <v>491</v>
      </c>
      <c r="P3976">
        <v>5784.1724999999997</v>
      </c>
      <c r="Q3976" s="23" t="s">
        <v>184</v>
      </c>
    </row>
    <row r="3977" spans="1:17" x14ac:dyDescent="0.25">
      <c r="A3977" s="23" t="s">
        <v>1197</v>
      </c>
      <c r="B3977" s="23" t="s">
        <v>1198</v>
      </c>
      <c r="C3977" s="23" t="s">
        <v>176</v>
      </c>
      <c r="D3977" s="23" t="s">
        <v>581</v>
      </c>
      <c r="E3977" s="23" t="s">
        <v>582</v>
      </c>
      <c r="F3977">
        <v>18.8</v>
      </c>
      <c r="G3977" s="23" t="s">
        <v>186</v>
      </c>
      <c r="H3977">
        <v>0</v>
      </c>
      <c r="I3977">
        <v>140</v>
      </c>
      <c r="J3977" s="10">
        <v>139.95999999999989</v>
      </c>
      <c r="K3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3977">
        <v>80</v>
      </c>
      <c r="M39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7">
        <v>164.09</v>
      </c>
      <c r="O3977" s="23" t="s">
        <v>491</v>
      </c>
      <c r="P3977">
        <v>3084.8920000000003</v>
      </c>
      <c r="Q3977" s="23" t="s">
        <v>184</v>
      </c>
    </row>
    <row r="3978" spans="1:17" x14ac:dyDescent="0.25">
      <c r="A3978" s="23" t="s">
        <v>1097</v>
      </c>
      <c r="B3978" s="23" t="s">
        <v>1095</v>
      </c>
      <c r="C3978" s="23" t="s">
        <v>176</v>
      </c>
      <c r="D3978" s="23" t="s">
        <v>981</v>
      </c>
      <c r="E3978" s="23" t="s">
        <v>982</v>
      </c>
      <c r="F3978">
        <v>1</v>
      </c>
      <c r="G3978" s="23" t="s">
        <v>177</v>
      </c>
      <c r="H3978">
        <v>0</v>
      </c>
      <c r="I3978">
        <v>4</v>
      </c>
      <c r="J3978" s="10">
        <v>0</v>
      </c>
      <c r="K3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3978">
        <v>0</v>
      </c>
      <c r="M39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8">
        <v>3017.33</v>
      </c>
      <c r="O3978" s="23" t="s">
        <v>983</v>
      </c>
      <c r="P3978">
        <v>3017.33</v>
      </c>
      <c r="Q3978" s="23" t="s">
        <v>178</v>
      </c>
    </row>
    <row r="3979" spans="1:17" x14ac:dyDescent="0.25">
      <c r="A3979" s="23" t="s">
        <v>1097</v>
      </c>
      <c r="B3979" s="23" t="s">
        <v>1095</v>
      </c>
      <c r="C3979" s="23" t="s">
        <v>176</v>
      </c>
      <c r="D3979" s="23" t="s">
        <v>690</v>
      </c>
      <c r="E3979" s="23" t="s">
        <v>691</v>
      </c>
      <c r="F3979">
        <v>1</v>
      </c>
      <c r="G3979" s="23" t="s">
        <v>177</v>
      </c>
      <c r="H3979">
        <v>0</v>
      </c>
      <c r="I3979">
        <v>25</v>
      </c>
      <c r="J3979" s="10">
        <v>3</v>
      </c>
      <c r="K3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79">
        <v>0</v>
      </c>
      <c r="M39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79">
        <v>871.93</v>
      </c>
      <c r="O3979" s="23" t="s">
        <v>692</v>
      </c>
      <c r="P3979">
        <v>871.93</v>
      </c>
      <c r="Q3979" s="23" t="s">
        <v>178</v>
      </c>
    </row>
    <row r="3980" spans="1:17" x14ac:dyDescent="0.25">
      <c r="A3980" s="23" t="s">
        <v>1097</v>
      </c>
      <c r="B3980" s="23" t="s">
        <v>1095</v>
      </c>
      <c r="C3980" s="23" t="s">
        <v>176</v>
      </c>
      <c r="D3980" s="23" t="s">
        <v>1077</v>
      </c>
      <c r="E3980" s="23" t="s">
        <v>1078</v>
      </c>
      <c r="F3980">
        <v>1</v>
      </c>
      <c r="G3980" s="23" t="s">
        <v>177</v>
      </c>
      <c r="H3980">
        <v>0</v>
      </c>
      <c r="I3980">
        <v>4</v>
      </c>
      <c r="J3980" s="10">
        <v>7</v>
      </c>
      <c r="K3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980">
        <v>10</v>
      </c>
      <c r="M39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0">
        <v>3097.63</v>
      </c>
      <c r="O3980" s="23" t="s">
        <v>593</v>
      </c>
      <c r="P3980">
        <v>3097.63</v>
      </c>
      <c r="Q3980" s="23" t="s">
        <v>179</v>
      </c>
    </row>
    <row r="3981" spans="1:17" x14ac:dyDescent="0.25">
      <c r="A3981" s="23" t="s">
        <v>1197</v>
      </c>
      <c r="B3981" s="23" t="s">
        <v>1198</v>
      </c>
      <c r="C3981" s="23" t="s">
        <v>176</v>
      </c>
      <c r="D3981" s="23" t="s">
        <v>1077</v>
      </c>
      <c r="E3981" s="23" t="s">
        <v>1078</v>
      </c>
      <c r="F3981">
        <v>1</v>
      </c>
      <c r="G3981" s="23" t="s">
        <v>177</v>
      </c>
      <c r="H3981">
        <v>0</v>
      </c>
      <c r="I3981">
        <v>4</v>
      </c>
      <c r="J3981" s="10">
        <v>7</v>
      </c>
      <c r="K3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981">
        <v>10</v>
      </c>
      <c r="M39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1">
        <v>3097.63</v>
      </c>
      <c r="O3981" s="23" t="s">
        <v>593</v>
      </c>
      <c r="P3981">
        <v>3097.63</v>
      </c>
      <c r="Q3981" s="23" t="s">
        <v>179</v>
      </c>
    </row>
    <row r="3982" spans="1:17" x14ac:dyDescent="0.25">
      <c r="A3982" s="23" t="s">
        <v>1144</v>
      </c>
      <c r="B3982" s="23" t="s">
        <v>1145</v>
      </c>
      <c r="C3982" s="23" t="s">
        <v>176</v>
      </c>
      <c r="D3982" s="23" t="s">
        <v>700</v>
      </c>
      <c r="E3982" s="23" t="s">
        <v>701</v>
      </c>
      <c r="F3982">
        <v>1</v>
      </c>
      <c r="G3982" s="23" t="s">
        <v>177</v>
      </c>
      <c r="H3982">
        <v>0</v>
      </c>
      <c r="I3982">
        <v>136</v>
      </c>
      <c r="J3982" s="10">
        <v>6</v>
      </c>
      <c r="K3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982">
        <v>0</v>
      </c>
      <c r="M39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2">
        <v>39.6</v>
      </c>
      <c r="O3982" s="23" t="s">
        <v>221</v>
      </c>
      <c r="P3982">
        <v>39.6</v>
      </c>
      <c r="Q3982" s="23" t="s">
        <v>222</v>
      </c>
    </row>
    <row r="3983" spans="1:17" x14ac:dyDescent="0.25">
      <c r="A3983" s="23" t="s">
        <v>1146</v>
      </c>
      <c r="B3983" s="23" t="s">
        <v>1145</v>
      </c>
      <c r="C3983" s="23" t="s">
        <v>176</v>
      </c>
      <c r="D3983" s="23" t="s">
        <v>700</v>
      </c>
      <c r="E3983" s="23" t="s">
        <v>701</v>
      </c>
      <c r="F3983">
        <v>1</v>
      </c>
      <c r="G3983" s="23" t="s">
        <v>177</v>
      </c>
      <c r="H3983">
        <v>0</v>
      </c>
      <c r="I3983">
        <v>136</v>
      </c>
      <c r="J3983" s="10">
        <v>6</v>
      </c>
      <c r="K3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3983">
        <v>0</v>
      </c>
      <c r="M39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3">
        <v>39.6</v>
      </c>
      <c r="O3983" s="23" t="s">
        <v>221</v>
      </c>
      <c r="P3983">
        <v>39.6</v>
      </c>
      <c r="Q3983" s="23" t="s">
        <v>222</v>
      </c>
    </row>
    <row r="3984" spans="1:17" x14ac:dyDescent="0.25">
      <c r="A3984" s="23" t="s">
        <v>1149</v>
      </c>
      <c r="B3984" s="23" t="s">
        <v>1145</v>
      </c>
      <c r="C3984" s="23" t="s">
        <v>176</v>
      </c>
      <c r="D3984" s="23" t="s">
        <v>581</v>
      </c>
      <c r="E3984" s="23" t="s">
        <v>582</v>
      </c>
      <c r="F3984">
        <v>18.8</v>
      </c>
      <c r="G3984" s="23" t="s">
        <v>186</v>
      </c>
      <c r="H3984">
        <v>0</v>
      </c>
      <c r="I3984">
        <v>140</v>
      </c>
      <c r="J3984" s="10">
        <v>139.95999999999989</v>
      </c>
      <c r="K3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3984">
        <v>80</v>
      </c>
      <c r="M39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4">
        <v>164.09</v>
      </c>
      <c r="O3984" s="23" t="s">
        <v>491</v>
      </c>
      <c r="P3984">
        <v>3084.8920000000003</v>
      </c>
      <c r="Q3984" s="23" t="s">
        <v>184</v>
      </c>
    </row>
    <row r="3985" spans="1:17" x14ac:dyDescent="0.25">
      <c r="A3985" s="23" t="s">
        <v>1149</v>
      </c>
      <c r="B3985" s="23" t="s">
        <v>1145</v>
      </c>
      <c r="C3985" s="23" t="s">
        <v>176</v>
      </c>
      <c r="D3985" s="23" t="s">
        <v>1077</v>
      </c>
      <c r="E3985" s="23" t="s">
        <v>1078</v>
      </c>
      <c r="F3985">
        <v>1</v>
      </c>
      <c r="G3985" s="23" t="s">
        <v>177</v>
      </c>
      <c r="H3985">
        <v>0</v>
      </c>
      <c r="I3985">
        <v>4</v>
      </c>
      <c r="J3985" s="10">
        <v>7</v>
      </c>
      <c r="K3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985">
        <v>10</v>
      </c>
      <c r="M39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5">
        <v>3097.63</v>
      </c>
      <c r="O3985" s="23" t="s">
        <v>593</v>
      </c>
      <c r="P3985">
        <v>3097.63</v>
      </c>
      <c r="Q3985" s="23" t="s">
        <v>179</v>
      </c>
    </row>
    <row r="3986" spans="1:17" x14ac:dyDescent="0.25">
      <c r="A3986" s="23" t="s">
        <v>1146</v>
      </c>
      <c r="B3986" s="23" t="s">
        <v>1145</v>
      </c>
      <c r="C3986" s="23" t="s">
        <v>176</v>
      </c>
      <c r="D3986" s="23" t="s">
        <v>1077</v>
      </c>
      <c r="E3986" s="23" t="s">
        <v>1078</v>
      </c>
      <c r="F3986">
        <v>1</v>
      </c>
      <c r="G3986" s="23" t="s">
        <v>177</v>
      </c>
      <c r="H3986">
        <v>0</v>
      </c>
      <c r="I3986">
        <v>4</v>
      </c>
      <c r="J3986" s="10">
        <v>7</v>
      </c>
      <c r="K3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986">
        <v>10</v>
      </c>
      <c r="M39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6">
        <v>3097.63</v>
      </c>
      <c r="O3986" s="23" t="s">
        <v>593</v>
      </c>
      <c r="P3986">
        <v>3097.63</v>
      </c>
      <c r="Q3986" s="23" t="s">
        <v>179</v>
      </c>
    </row>
    <row r="3987" spans="1:17" x14ac:dyDescent="0.25">
      <c r="A3987" s="23" t="s">
        <v>1096</v>
      </c>
      <c r="B3987" s="23" t="s">
        <v>1053</v>
      </c>
      <c r="C3987" s="23" t="s">
        <v>176</v>
      </c>
      <c r="D3987" s="23" t="s">
        <v>523</v>
      </c>
      <c r="E3987" s="23" t="s">
        <v>524</v>
      </c>
      <c r="F3987">
        <v>1.61</v>
      </c>
      <c r="G3987" s="23" t="s">
        <v>177</v>
      </c>
      <c r="H3987">
        <v>0</v>
      </c>
      <c r="I3987">
        <v>235</v>
      </c>
      <c r="J3987" s="10">
        <v>2.2737367544323206E-13</v>
      </c>
      <c r="K3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987">
        <v>0</v>
      </c>
      <c r="M39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87">
        <v>15</v>
      </c>
      <c r="O3987" s="23" t="s">
        <v>227</v>
      </c>
      <c r="P3987">
        <v>24.150000000000002</v>
      </c>
      <c r="Q3987" s="23" t="s">
        <v>181</v>
      </c>
    </row>
    <row r="3988" spans="1:17" x14ac:dyDescent="0.25">
      <c r="A3988" s="23" t="s">
        <v>1143</v>
      </c>
      <c r="B3988" s="23" t="s">
        <v>1054</v>
      </c>
      <c r="C3988" s="23" t="s">
        <v>176</v>
      </c>
      <c r="D3988" s="23" t="s">
        <v>266</v>
      </c>
      <c r="E3988" s="23" t="s">
        <v>267</v>
      </c>
      <c r="F3988">
        <v>1</v>
      </c>
      <c r="G3988" s="23" t="s">
        <v>177</v>
      </c>
      <c r="H3988">
        <v>0</v>
      </c>
      <c r="I3988">
        <v>1</v>
      </c>
      <c r="J3988" s="10">
        <v>7</v>
      </c>
      <c r="K3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988">
        <v>0</v>
      </c>
      <c r="M39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988">
        <v>4633.34</v>
      </c>
      <c r="O3988" s="23" t="s">
        <v>215</v>
      </c>
      <c r="P3988">
        <v>4633.34</v>
      </c>
      <c r="Q3988" s="23" t="s">
        <v>178</v>
      </c>
    </row>
    <row r="3989" spans="1:17" x14ac:dyDescent="0.25">
      <c r="A3989" s="23" t="s">
        <v>1094</v>
      </c>
      <c r="B3989" s="23" t="s">
        <v>1095</v>
      </c>
      <c r="C3989" s="23" t="s">
        <v>176</v>
      </c>
      <c r="D3989" s="23" t="s">
        <v>266</v>
      </c>
      <c r="E3989" s="23" t="s">
        <v>267</v>
      </c>
      <c r="F3989">
        <v>1</v>
      </c>
      <c r="G3989" s="23" t="s">
        <v>177</v>
      </c>
      <c r="H3989">
        <v>0</v>
      </c>
      <c r="I3989">
        <v>1</v>
      </c>
      <c r="J3989" s="10">
        <v>7</v>
      </c>
      <c r="K3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989">
        <v>0</v>
      </c>
      <c r="M39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989">
        <v>4633.34</v>
      </c>
      <c r="O3989" s="23" t="s">
        <v>215</v>
      </c>
      <c r="P3989">
        <v>4633.34</v>
      </c>
      <c r="Q3989" s="23" t="s">
        <v>178</v>
      </c>
    </row>
    <row r="3990" spans="1:17" x14ac:dyDescent="0.25">
      <c r="A3990" s="23" t="s">
        <v>1057</v>
      </c>
      <c r="B3990" s="23" t="s">
        <v>1056</v>
      </c>
      <c r="C3990" s="23" t="s">
        <v>176</v>
      </c>
      <c r="D3990" s="23" t="s">
        <v>401</v>
      </c>
      <c r="E3990" s="23" t="s">
        <v>402</v>
      </c>
      <c r="F3990">
        <v>2</v>
      </c>
      <c r="G3990" s="23" t="s">
        <v>177</v>
      </c>
      <c r="H3990">
        <v>2</v>
      </c>
      <c r="I3990">
        <v>31</v>
      </c>
      <c r="J3990" s="10">
        <v>12</v>
      </c>
      <c r="K3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990">
        <v>0</v>
      </c>
      <c r="M39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0">
        <v>15</v>
      </c>
      <c r="O3990" s="23" t="s">
        <v>221</v>
      </c>
      <c r="P3990">
        <v>30</v>
      </c>
      <c r="Q3990" s="23" t="s">
        <v>222</v>
      </c>
    </row>
    <row r="3991" spans="1:17" x14ac:dyDescent="0.25">
      <c r="A3991" s="23" t="s">
        <v>1057</v>
      </c>
      <c r="B3991" s="23" t="s">
        <v>1056</v>
      </c>
      <c r="C3991" s="23" t="s">
        <v>176</v>
      </c>
      <c r="D3991" s="23" t="s">
        <v>281</v>
      </c>
      <c r="E3991" s="23" t="s">
        <v>319</v>
      </c>
      <c r="F3991">
        <v>1</v>
      </c>
      <c r="G3991" s="23" t="s">
        <v>177</v>
      </c>
      <c r="H3991">
        <v>0</v>
      </c>
      <c r="I3991">
        <v>27</v>
      </c>
      <c r="J3991" s="10">
        <v>4</v>
      </c>
      <c r="K3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3991">
        <v>0</v>
      </c>
      <c r="M39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1">
        <v>290.62</v>
      </c>
      <c r="O3991" s="23" t="s">
        <v>637</v>
      </c>
      <c r="P3991">
        <v>290.62</v>
      </c>
      <c r="Q3991" s="23" t="s">
        <v>179</v>
      </c>
    </row>
    <row r="3992" spans="1:17" x14ac:dyDescent="0.25">
      <c r="A3992" s="23" t="s">
        <v>1096</v>
      </c>
      <c r="B3992" s="23" t="s">
        <v>1053</v>
      </c>
      <c r="C3992" s="23" t="s">
        <v>176</v>
      </c>
      <c r="D3992" s="23" t="s">
        <v>432</v>
      </c>
      <c r="E3992" s="23" t="s">
        <v>433</v>
      </c>
      <c r="F3992">
        <v>1</v>
      </c>
      <c r="G3992" s="23" t="s">
        <v>177</v>
      </c>
      <c r="H3992">
        <v>1</v>
      </c>
      <c r="I3992">
        <v>10</v>
      </c>
      <c r="J3992" s="10">
        <v>3</v>
      </c>
      <c r="K3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992">
        <v>0</v>
      </c>
      <c r="M39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2">
        <v>1723.12</v>
      </c>
      <c r="O3992" s="23" t="s">
        <v>637</v>
      </c>
      <c r="P3992">
        <v>1723.12</v>
      </c>
      <c r="Q3992" s="23" t="s">
        <v>179</v>
      </c>
    </row>
    <row r="3993" spans="1:17" x14ac:dyDescent="0.25">
      <c r="A3993" s="23" t="s">
        <v>1143</v>
      </c>
      <c r="B3993" s="23" t="s">
        <v>1054</v>
      </c>
      <c r="C3993" s="23" t="s">
        <v>176</v>
      </c>
      <c r="D3993" s="23" t="s">
        <v>432</v>
      </c>
      <c r="E3993" s="23" t="s">
        <v>433</v>
      </c>
      <c r="F3993">
        <v>1</v>
      </c>
      <c r="G3993" s="23" t="s">
        <v>177</v>
      </c>
      <c r="H3993">
        <v>0</v>
      </c>
      <c r="I3993">
        <v>10</v>
      </c>
      <c r="J3993" s="10">
        <v>3</v>
      </c>
      <c r="K3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993">
        <v>0</v>
      </c>
      <c r="M39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3">
        <v>1723.12</v>
      </c>
      <c r="O3993" s="23" t="s">
        <v>637</v>
      </c>
      <c r="P3993">
        <v>1723.12</v>
      </c>
      <c r="Q3993" s="23" t="s">
        <v>179</v>
      </c>
    </row>
    <row r="3994" spans="1:17" x14ac:dyDescent="0.25">
      <c r="A3994" s="23" t="s">
        <v>1097</v>
      </c>
      <c r="B3994" s="23" t="s">
        <v>1095</v>
      </c>
      <c r="C3994" s="23" t="s">
        <v>176</v>
      </c>
      <c r="D3994" s="23" t="s">
        <v>266</v>
      </c>
      <c r="E3994" s="23" t="s">
        <v>267</v>
      </c>
      <c r="F3994">
        <v>1</v>
      </c>
      <c r="G3994" s="23" t="s">
        <v>177</v>
      </c>
      <c r="H3994">
        <v>0</v>
      </c>
      <c r="I3994">
        <v>1</v>
      </c>
      <c r="J3994" s="10">
        <v>7</v>
      </c>
      <c r="K3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3994">
        <v>0</v>
      </c>
      <c r="M39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3994">
        <v>4633.34</v>
      </c>
      <c r="O3994" s="23" t="s">
        <v>215</v>
      </c>
      <c r="P3994">
        <v>4633.34</v>
      </c>
      <c r="Q3994" s="23" t="s">
        <v>178</v>
      </c>
    </row>
    <row r="3995" spans="1:17" x14ac:dyDescent="0.25">
      <c r="A3995" s="23" t="s">
        <v>1098</v>
      </c>
      <c r="B3995" s="23" t="s">
        <v>1053</v>
      </c>
      <c r="C3995" s="23" t="s">
        <v>176</v>
      </c>
      <c r="D3995" s="23" t="s">
        <v>523</v>
      </c>
      <c r="E3995" s="23" t="s">
        <v>524</v>
      </c>
      <c r="F3995">
        <v>3</v>
      </c>
      <c r="G3995" s="23" t="s">
        <v>177</v>
      </c>
      <c r="H3995">
        <v>0</v>
      </c>
      <c r="I3995">
        <v>235</v>
      </c>
      <c r="J3995" s="10">
        <v>2.2737367544323206E-13</v>
      </c>
      <c r="K3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-215.94</v>
      </c>
      <c r="L3995">
        <v>0</v>
      </c>
      <c r="M39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5">
        <v>15</v>
      </c>
      <c r="O3995" s="23" t="s">
        <v>227</v>
      </c>
      <c r="P3995">
        <v>45</v>
      </c>
      <c r="Q3995" s="23" t="s">
        <v>181</v>
      </c>
    </row>
    <row r="3996" spans="1:17" x14ac:dyDescent="0.25">
      <c r="A3996" s="23" t="s">
        <v>1098</v>
      </c>
      <c r="B3996" s="23" t="s">
        <v>1053</v>
      </c>
      <c r="C3996" s="23" t="s">
        <v>176</v>
      </c>
      <c r="D3996" s="23" t="s">
        <v>432</v>
      </c>
      <c r="E3996" s="23" t="s">
        <v>433</v>
      </c>
      <c r="F3996">
        <v>1</v>
      </c>
      <c r="G3996" s="23" t="s">
        <v>177</v>
      </c>
      <c r="H3996">
        <v>0</v>
      </c>
      <c r="I3996">
        <v>10</v>
      </c>
      <c r="J3996" s="10">
        <v>3</v>
      </c>
      <c r="K3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3996">
        <v>0</v>
      </c>
      <c r="M39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6">
        <v>1723.12</v>
      </c>
      <c r="O3996" s="23" t="s">
        <v>637</v>
      </c>
      <c r="P3996">
        <v>1723.12</v>
      </c>
      <c r="Q3996" s="23" t="s">
        <v>179</v>
      </c>
    </row>
    <row r="3997" spans="1:17" x14ac:dyDescent="0.25">
      <c r="A3997" s="23" t="s">
        <v>1098</v>
      </c>
      <c r="B3997" s="23" t="s">
        <v>1053</v>
      </c>
      <c r="C3997" s="23" t="s">
        <v>176</v>
      </c>
      <c r="D3997" s="23" t="s">
        <v>690</v>
      </c>
      <c r="E3997" s="23" t="s">
        <v>691</v>
      </c>
      <c r="F3997">
        <v>1</v>
      </c>
      <c r="G3997" s="23" t="s">
        <v>177</v>
      </c>
      <c r="H3997">
        <v>0</v>
      </c>
      <c r="I3997">
        <v>25</v>
      </c>
      <c r="J3997" s="10">
        <v>3</v>
      </c>
      <c r="K3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97">
        <v>0</v>
      </c>
      <c r="M39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7">
        <v>871.93</v>
      </c>
      <c r="O3997" s="23" t="s">
        <v>692</v>
      </c>
      <c r="P3997">
        <v>871.93</v>
      </c>
      <c r="Q3997" s="23" t="s">
        <v>178</v>
      </c>
    </row>
    <row r="3998" spans="1:17" x14ac:dyDescent="0.25">
      <c r="A3998" s="23" t="s">
        <v>1197</v>
      </c>
      <c r="B3998" s="23" t="s">
        <v>1198</v>
      </c>
      <c r="C3998" s="23" t="s">
        <v>176</v>
      </c>
      <c r="D3998" s="23" t="s">
        <v>690</v>
      </c>
      <c r="E3998" s="23" t="s">
        <v>691</v>
      </c>
      <c r="F3998">
        <v>1</v>
      </c>
      <c r="G3998" s="23" t="s">
        <v>177</v>
      </c>
      <c r="H3998">
        <v>0</v>
      </c>
      <c r="I3998">
        <v>25</v>
      </c>
      <c r="J3998" s="10">
        <v>3</v>
      </c>
      <c r="K3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3998">
        <v>0</v>
      </c>
      <c r="M39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8">
        <v>871.93</v>
      </c>
      <c r="O3998" s="23" t="s">
        <v>692</v>
      </c>
      <c r="P3998">
        <v>871.93</v>
      </c>
      <c r="Q3998" s="23" t="s">
        <v>178</v>
      </c>
    </row>
    <row r="3999" spans="1:17" x14ac:dyDescent="0.25">
      <c r="A3999" s="23" t="s">
        <v>1098</v>
      </c>
      <c r="B3999" s="23" t="s">
        <v>1053</v>
      </c>
      <c r="C3999" s="23" t="s">
        <v>176</v>
      </c>
      <c r="D3999" s="23" t="s">
        <v>1077</v>
      </c>
      <c r="E3999" s="23" t="s">
        <v>1078</v>
      </c>
      <c r="F3999">
        <v>1</v>
      </c>
      <c r="G3999" s="23" t="s">
        <v>177</v>
      </c>
      <c r="H3999">
        <v>0</v>
      </c>
      <c r="I3999">
        <v>4</v>
      </c>
      <c r="J3999" s="10">
        <v>7</v>
      </c>
      <c r="K3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3999">
        <v>10</v>
      </c>
      <c r="M39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3999">
        <v>3097.63</v>
      </c>
      <c r="O3999" s="23" t="s">
        <v>593</v>
      </c>
      <c r="P3999">
        <v>3097.63</v>
      </c>
      <c r="Q3999" s="23" t="s">
        <v>179</v>
      </c>
    </row>
    <row r="4000" spans="1:17" x14ac:dyDescent="0.25">
      <c r="A4000" s="23" t="s">
        <v>1142</v>
      </c>
      <c r="B4000" s="23" t="s">
        <v>1054</v>
      </c>
      <c r="C4000" s="23" t="s">
        <v>176</v>
      </c>
      <c r="D4000" s="23" t="s">
        <v>281</v>
      </c>
      <c r="E4000" s="23" t="s">
        <v>319</v>
      </c>
      <c r="F4000">
        <v>1</v>
      </c>
      <c r="G4000" s="23" t="s">
        <v>177</v>
      </c>
      <c r="H4000">
        <v>0</v>
      </c>
      <c r="I4000">
        <v>27</v>
      </c>
      <c r="J4000" s="10">
        <v>4</v>
      </c>
      <c r="K4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000">
        <v>0</v>
      </c>
      <c r="M40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0">
        <v>290.62</v>
      </c>
      <c r="O4000" s="23" t="s">
        <v>637</v>
      </c>
      <c r="P4000">
        <v>290.62</v>
      </c>
      <c r="Q4000" s="23" t="s">
        <v>179</v>
      </c>
    </row>
    <row r="4001" spans="1:17" x14ac:dyDescent="0.25">
      <c r="A4001" s="23" t="s">
        <v>1094</v>
      </c>
      <c r="B4001" s="23" t="s">
        <v>1095</v>
      </c>
      <c r="C4001" s="23" t="s">
        <v>176</v>
      </c>
      <c r="D4001" s="23" t="s">
        <v>432</v>
      </c>
      <c r="E4001" s="23" t="s">
        <v>433</v>
      </c>
      <c r="F4001">
        <v>1</v>
      </c>
      <c r="G4001" s="23" t="s">
        <v>177</v>
      </c>
      <c r="H4001">
        <v>0</v>
      </c>
      <c r="I4001">
        <v>10</v>
      </c>
      <c r="J4001" s="10">
        <v>3</v>
      </c>
      <c r="K4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001">
        <v>0</v>
      </c>
      <c r="M40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1">
        <v>1723.12</v>
      </c>
      <c r="O4001" s="23" t="s">
        <v>637</v>
      </c>
      <c r="P4001">
        <v>1723.12</v>
      </c>
      <c r="Q4001" s="23" t="s">
        <v>179</v>
      </c>
    </row>
    <row r="4002" spans="1:17" x14ac:dyDescent="0.25">
      <c r="A4002" s="23" t="s">
        <v>1098</v>
      </c>
      <c r="B4002" s="23" t="s">
        <v>1053</v>
      </c>
      <c r="C4002" s="23" t="s">
        <v>176</v>
      </c>
      <c r="D4002" s="23" t="s">
        <v>401</v>
      </c>
      <c r="E4002" s="23" t="s">
        <v>402</v>
      </c>
      <c r="F4002">
        <v>1</v>
      </c>
      <c r="G4002" s="23" t="s">
        <v>177</v>
      </c>
      <c r="H4002">
        <v>0</v>
      </c>
      <c r="I4002">
        <v>31</v>
      </c>
      <c r="J4002" s="10">
        <v>12</v>
      </c>
      <c r="K4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002">
        <v>0</v>
      </c>
      <c r="M40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2">
        <v>15</v>
      </c>
      <c r="O4002" s="23" t="s">
        <v>221</v>
      </c>
      <c r="P4002">
        <v>15</v>
      </c>
      <c r="Q4002" s="23" t="s">
        <v>222</v>
      </c>
    </row>
    <row r="4003" spans="1:17" x14ac:dyDescent="0.25">
      <c r="A4003" s="23" t="s">
        <v>1197</v>
      </c>
      <c r="B4003" s="23" t="s">
        <v>1198</v>
      </c>
      <c r="C4003" s="23" t="s">
        <v>176</v>
      </c>
      <c r="D4003" s="23" t="s">
        <v>401</v>
      </c>
      <c r="E4003" s="23" t="s">
        <v>402</v>
      </c>
      <c r="F4003">
        <v>1</v>
      </c>
      <c r="G4003" s="23" t="s">
        <v>177</v>
      </c>
      <c r="H4003">
        <v>0</v>
      </c>
      <c r="I4003">
        <v>31</v>
      </c>
      <c r="J4003" s="10">
        <v>12</v>
      </c>
      <c r="K4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003">
        <v>0</v>
      </c>
      <c r="M40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3">
        <v>15</v>
      </c>
      <c r="O4003" s="23" t="s">
        <v>221</v>
      </c>
      <c r="P4003">
        <v>15</v>
      </c>
      <c r="Q4003" s="23" t="s">
        <v>222</v>
      </c>
    </row>
    <row r="4004" spans="1:17" x14ac:dyDescent="0.25">
      <c r="A4004" s="23" t="s">
        <v>1197</v>
      </c>
      <c r="B4004" s="23" t="s">
        <v>1198</v>
      </c>
      <c r="C4004" s="23" t="s">
        <v>176</v>
      </c>
      <c r="D4004" s="23" t="s">
        <v>278</v>
      </c>
      <c r="E4004" s="23" t="s">
        <v>316</v>
      </c>
      <c r="F4004">
        <v>1</v>
      </c>
      <c r="G4004" s="23" t="s">
        <v>177</v>
      </c>
      <c r="H4004">
        <v>0</v>
      </c>
      <c r="I4004">
        <v>28</v>
      </c>
      <c r="J4004" s="10">
        <v>4</v>
      </c>
      <c r="K4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4004">
        <v>0</v>
      </c>
      <c r="M40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4">
        <v>290.62</v>
      </c>
      <c r="O4004" s="23" t="s">
        <v>637</v>
      </c>
      <c r="P4004">
        <v>290.62</v>
      </c>
      <c r="Q4004" s="23" t="s">
        <v>179</v>
      </c>
    </row>
    <row r="4005" spans="1:17" x14ac:dyDescent="0.25">
      <c r="A4005" s="23" t="s">
        <v>1197</v>
      </c>
      <c r="B4005" s="23" t="s">
        <v>1198</v>
      </c>
      <c r="C4005" s="23" t="s">
        <v>176</v>
      </c>
      <c r="D4005" s="23" t="s">
        <v>700</v>
      </c>
      <c r="E4005" s="23" t="s">
        <v>701</v>
      </c>
      <c r="F4005">
        <v>1</v>
      </c>
      <c r="G4005" s="23" t="s">
        <v>177</v>
      </c>
      <c r="H4005">
        <v>0</v>
      </c>
      <c r="I4005">
        <v>136</v>
      </c>
      <c r="J4005" s="10">
        <v>6</v>
      </c>
      <c r="K4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05">
        <v>0</v>
      </c>
      <c r="M40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5">
        <v>39.6</v>
      </c>
      <c r="O4005" s="23" t="s">
        <v>221</v>
      </c>
      <c r="P4005">
        <v>39.6</v>
      </c>
      <c r="Q4005" s="23" t="s">
        <v>222</v>
      </c>
    </row>
    <row r="4006" spans="1:17" x14ac:dyDescent="0.25">
      <c r="A4006" s="23" t="s">
        <v>1098</v>
      </c>
      <c r="B4006" s="23" t="s">
        <v>1053</v>
      </c>
      <c r="C4006" s="23" t="s">
        <v>176</v>
      </c>
      <c r="D4006" s="23" t="s">
        <v>700</v>
      </c>
      <c r="E4006" s="23" t="s">
        <v>701</v>
      </c>
      <c r="F4006">
        <v>1</v>
      </c>
      <c r="G4006" s="23" t="s">
        <v>177</v>
      </c>
      <c r="H4006">
        <v>0</v>
      </c>
      <c r="I4006">
        <v>136</v>
      </c>
      <c r="J4006" s="10">
        <v>6</v>
      </c>
      <c r="K4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06">
        <v>0</v>
      </c>
      <c r="M40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6">
        <v>39.6</v>
      </c>
      <c r="O4006" s="23" t="s">
        <v>221</v>
      </c>
      <c r="P4006">
        <v>39.6</v>
      </c>
      <c r="Q4006" s="23" t="s">
        <v>222</v>
      </c>
    </row>
    <row r="4007" spans="1:17" x14ac:dyDescent="0.25">
      <c r="A4007" s="23" t="s">
        <v>1197</v>
      </c>
      <c r="B4007" s="23" t="s">
        <v>1198</v>
      </c>
      <c r="C4007" s="23" t="s">
        <v>176</v>
      </c>
      <c r="D4007" s="23" t="s">
        <v>731</v>
      </c>
      <c r="E4007" s="23" t="s">
        <v>732</v>
      </c>
      <c r="F4007">
        <v>2</v>
      </c>
      <c r="G4007" s="23" t="s">
        <v>177</v>
      </c>
      <c r="H4007">
        <v>0</v>
      </c>
      <c r="I4007">
        <v>265</v>
      </c>
      <c r="J4007" s="10">
        <v>94</v>
      </c>
      <c r="K4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007">
        <v>0</v>
      </c>
      <c r="M40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7">
        <v>4</v>
      </c>
      <c r="O4007" s="23" t="s">
        <v>221</v>
      </c>
      <c r="P4007">
        <v>8</v>
      </c>
      <c r="Q4007" s="23" t="s">
        <v>222</v>
      </c>
    </row>
    <row r="4008" spans="1:17" x14ac:dyDescent="0.25">
      <c r="A4008" s="23" t="s">
        <v>1197</v>
      </c>
      <c r="B4008" s="23" t="s">
        <v>1198</v>
      </c>
      <c r="C4008" s="23" t="s">
        <v>176</v>
      </c>
      <c r="D4008" s="23" t="s">
        <v>1083</v>
      </c>
      <c r="E4008" s="23" t="s">
        <v>1084</v>
      </c>
      <c r="F4008">
        <v>2</v>
      </c>
      <c r="G4008" s="23" t="s">
        <v>177</v>
      </c>
      <c r="H4008">
        <v>0</v>
      </c>
      <c r="I4008">
        <v>16</v>
      </c>
      <c r="J4008" s="10">
        <v>14</v>
      </c>
      <c r="K4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08">
        <v>20</v>
      </c>
      <c r="M40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8">
        <v>194</v>
      </c>
      <c r="O4008" s="23" t="s">
        <v>218</v>
      </c>
      <c r="P4008">
        <v>388</v>
      </c>
      <c r="Q4008" s="23" t="s">
        <v>178</v>
      </c>
    </row>
    <row r="4009" spans="1:17" x14ac:dyDescent="0.25">
      <c r="A4009" s="23" t="s">
        <v>1098</v>
      </c>
      <c r="B4009" s="23" t="s">
        <v>1053</v>
      </c>
      <c r="C4009" s="23" t="s">
        <v>176</v>
      </c>
      <c r="D4009" s="23" t="s">
        <v>1083</v>
      </c>
      <c r="E4009" s="23" t="s">
        <v>1084</v>
      </c>
      <c r="F4009">
        <v>2</v>
      </c>
      <c r="G4009" s="23" t="s">
        <v>177</v>
      </c>
      <c r="H4009">
        <v>0</v>
      </c>
      <c r="I4009">
        <v>16</v>
      </c>
      <c r="J4009" s="10">
        <v>14</v>
      </c>
      <c r="K4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09">
        <v>20</v>
      </c>
      <c r="M40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09">
        <v>194</v>
      </c>
      <c r="O4009" s="23" t="s">
        <v>218</v>
      </c>
      <c r="P4009">
        <v>388</v>
      </c>
      <c r="Q4009" s="23" t="s">
        <v>178</v>
      </c>
    </row>
    <row r="4010" spans="1:17" x14ac:dyDescent="0.25">
      <c r="A4010" s="23" t="s">
        <v>1150</v>
      </c>
      <c r="B4010" s="23" t="s">
        <v>1145</v>
      </c>
      <c r="C4010" s="23" t="s">
        <v>176</v>
      </c>
      <c r="D4010" s="23" t="s">
        <v>700</v>
      </c>
      <c r="E4010" s="23" t="s">
        <v>701</v>
      </c>
      <c r="F4010">
        <v>1</v>
      </c>
      <c r="G4010" s="23" t="s">
        <v>177</v>
      </c>
      <c r="H4010">
        <v>0</v>
      </c>
      <c r="I4010">
        <v>136</v>
      </c>
      <c r="J4010" s="10">
        <v>6</v>
      </c>
      <c r="K4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10">
        <v>0</v>
      </c>
      <c r="M40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0">
        <v>39.6</v>
      </c>
      <c r="O4010" s="23" t="s">
        <v>221</v>
      </c>
      <c r="P4010">
        <v>39.6</v>
      </c>
      <c r="Q4010" s="23" t="s">
        <v>222</v>
      </c>
    </row>
    <row r="4011" spans="1:17" x14ac:dyDescent="0.25">
      <c r="A4011" s="23" t="s">
        <v>1150</v>
      </c>
      <c r="B4011" s="23" t="s">
        <v>1145</v>
      </c>
      <c r="C4011" s="23" t="s">
        <v>176</v>
      </c>
      <c r="D4011" s="23" t="s">
        <v>581</v>
      </c>
      <c r="E4011" s="23" t="s">
        <v>582</v>
      </c>
      <c r="F4011">
        <v>18.8</v>
      </c>
      <c r="G4011" s="23" t="s">
        <v>186</v>
      </c>
      <c r="H4011">
        <v>0</v>
      </c>
      <c r="I4011">
        <v>140</v>
      </c>
      <c r="J4011" s="10">
        <v>139.95999999999989</v>
      </c>
      <c r="K4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011">
        <v>80</v>
      </c>
      <c r="M40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1">
        <v>164.09</v>
      </c>
      <c r="O4011" s="23" t="s">
        <v>491</v>
      </c>
      <c r="P4011">
        <v>3084.8920000000003</v>
      </c>
      <c r="Q4011" s="23" t="s">
        <v>184</v>
      </c>
    </row>
    <row r="4012" spans="1:17" x14ac:dyDescent="0.25">
      <c r="A4012" s="23" t="s">
        <v>1149</v>
      </c>
      <c r="B4012" s="23" t="s">
        <v>1145</v>
      </c>
      <c r="C4012" s="23" t="s">
        <v>176</v>
      </c>
      <c r="D4012" s="23" t="s">
        <v>690</v>
      </c>
      <c r="E4012" s="23" t="s">
        <v>691</v>
      </c>
      <c r="F4012">
        <v>1</v>
      </c>
      <c r="G4012" s="23" t="s">
        <v>177</v>
      </c>
      <c r="H4012">
        <v>0</v>
      </c>
      <c r="I4012">
        <v>25</v>
      </c>
      <c r="J4012" s="10">
        <v>3</v>
      </c>
      <c r="K4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12">
        <v>0</v>
      </c>
      <c r="M40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2">
        <v>871.93</v>
      </c>
      <c r="O4012" s="23" t="s">
        <v>692</v>
      </c>
      <c r="P4012">
        <v>871.93</v>
      </c>
      <c r="Q4012" s="23" t="s">
        <v>178</v>
      </c>
    </row>
    <row r="4013" spans="1:17" x14ac:dyDescent="0.25">
      <c r="A4013" s="23" t="s">
        <v>1150</v>
      </c>
      <c r="B4013" s="23" t="s">
        <v>1145</v>
      </c>
      <c r="C4013" s="23" t="s">
        <v>176</v>
      </c>
      <c r="D4013" s="23" t="s">
        <v>1077</v>
      </c>
      <c r="E4013" s="23" t="s">
        <v>1078</v>
      </c>
      <c r="F4013">
        <v>1</v>
      </c>
      <c r="G4013" s="23" t="s">
        <v>177</v>
      </c>
      <c r="H4013">
        <v>0</v>
      </c>
      <c r="I4013">
        <v>4</v>
      </c>
      <c r="J4013" s="10">
        <v>7</v>
      </c>
      <c r="K4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013">
        <v>10</v>
      </c>
      <c r="M40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3">
        <v>3097.63</v>
      </c>
      <c r="O4013" s="23" t="s">
        <v>593</v>
      </c>
      <c r="P4013">
        <v>3097.63</v>
      </c>
      <c r="Q4013" s="23" t="s">
        <v>179</v>
      </c>
    </row>
    <row r="4014" spans="1:17" x14ac:dyDescent="0.25">
      <c r="A4014" s="23" t="s">
        <v>1147</v>
      </c>
      <c r="B4014" s="23" t="s">
        <v>1145</v>
      </c>
      <c r="C4014" s="23" t="s">
        <v>176</v>
      </c>
      <c r="D4014" s="23" t="s">
        <v>690</v>
      </c>
      <c r="E4014" s="23" t="s">
        <v>691</v>
      </c>
      <c r="F4014">
        <v>1</v>
      </c>
      <c r="G4014" s="23" t="s">
        <v>177</v>
      </c>
      <c r="H4014">
        <v>0</v>
      </c>
      <c r="I4014">
        <v>25</v>
      </c>
      <c r="J4014" s="10">
        <v>3</v>
      </c>
      <c r="K4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14">
        <v>0</v>
      </c>
      <c r="M40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4">
        <v>871.93</v>
      </c>
      <c r="O4014" s="23" t="s">
        <v>692</v>
      </c>
      <c r="P4014">
        <v>871.93</v>
      </c>
      <c r="Q4014" s="23" t="s">
        <v>178</v>
      </c>
    </row>
    <row r="4015" spans="1:17" x14ac:dyDescent="0.25">
      <c r="A4015" s="23" t="s">
        <v>1197</v>
      </c>
      <c r="B4015" s="23" t="s">
        <v>1198</v>
      </c>
      <c r="C4015" s="23" t="s">
        <v>176</v>
      </c>
      <c r="D4015" s="23" t="s">
        <v>1127</v>
      </c>
      <c r="E4015" s="23" t="s">
        <v>1128</v>
      </c>
      <c r="F4015">
        <v>0.5</v>
      </c>
      <c r="G4015" s="23" t="s">
        <v>180</v>
      </c>
      <c r="H4015">
        <v>0</v>
      </c>
      <c r="I4015">
        <v>60</v>
      </c>
      <c r="J4015" s="10">
        <v>50</v>
      </c>
      <c r="K4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4015">
        <v>0</v>
      </c>
      <c r="M40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5">
        <v>265</v>
      </c>
      <c r="O4015" s="23" t="s">
        <v>746</v>
      </c>
      <c r="P4015">
        <v>132.5</v>
      </c>
      <c r="Q4015" s="23" t="s">
        <v>185</v>
      </c>
    </row>
    <row r="4016" spans="1:17" x14ac:dyDescent="0.25">
      <c r="A4016" s="23" t="s">
        <v>1097</v>
      </c>
      <c r="B4016" s="23" t="s">
        <v>1095</v>
      </c>
      <c r="C4016" s="23" t="s">
        <v>176</v>
      </c>
      <c r="D4016" s="23" t="s">
        <v>581</v>
      </c>
      <c r="E4016" s="23" t="s">
        <v>582</v>
      </c>
      <c r="F4016">
        <v>22.3</v>
      </c>
      <c r="G4016" s="23" t="s">
        <v>186</v>
      </c>
      <c r="H4016">
        <v>0</v>
      </c>
      <c r="I4016">
        <v>140</v>
      </c>
      <c r="J4016" s="10">
        <v>139.95999999999989</v>
      </c>
      <c r="K4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016">
        <v>80</v>
      </c>
      <c r="M40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6">
        <v>164.09</v>
      </c>
      <c r="O4016" s="23" t="s">
        <v>491</v>
      </c>
      <c r="P4016">
        <v>3659.2070000000003</v>
      </c>
      <c r="Q4016" s="23" t="s">
        <v>184</v>
      </c>
    </row>
    <row r="4017" spans="1:17" x14ac:dyDescent="0.25">
      <c r="A4017" s="23" t="s">
        <v>1149</v>
      </c>
      <c r="B4017" s="23" t="s">
        <v>1145</v>
      </c>
      <c r="C4017" s="23" t="s">
        <v>176</v>
      </c>
      <c r="D4017" s="23" t="s">
        <v>700</v>
      </c>
      <c r="E4017" s="23" t="s">
        <v>701</v>
      </c>
      <c r="F4017">
        <v>1</v>
      </c>
      <c r="G4017" s="23" t="s">
        <v>177</v>
      </c>
      <c r="H4017">
        <v>0</v>
      </c>
      <c r="I4017">
        <v>136</v>
      </c>
      <c r="J4017" s="10">
        <v>6</v>
      </c>
      <c r="K4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17">
        <v>0</v>
      </c>
      <c r="M40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7">
        <v>39.6</v>
      </c>
      <c r="O4017" s="23" t="s">
        <v>221</v>
      </c>
      <c r="P4017">
        <v>39.6</v>
      </c>
      <c r="Q4017" s="23" t="s">
        <v>222</v>
      </c>
    </row>
    <row r="4018" spans="1:17" x14ac:dyDescent="0.25">
      <c r="A4018" s="23" t="s">
        <v>1146</v>
      </c>
      <c r="B4018" s="23" t="s">
        <v>1145</v>
      </c>
      <c r="C4018" s="23" t="s">
        <v>176</v>
      </c>
      <c r="D4018" s="23" t="s">
        <v>690</v>
      </c>
      <c r="E4018" s="23" t="s">
        <v>691</v>
      </c>
      <c r="F4018">
        <v>1</v>
      </c>
      <c r="G4018" s="23" t="s">
        <v>177</v>
      </c>
      <c r="H4018">
        <v>0</v>
      </c>
      <c r="I4018">
        <v>25</v>
      </c>
      <c r="J4018" s="10">
        <v>3</v>
      </c>
      <c r="K4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18">
        <v>0</v>
      </c>
      <c r="M40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8">
        <v>871.93</v>
      </c>
      <c r="O4018" s="23" t="s">
        <v>692</v>
      </c>
      <c r="P4018">
        <v>871.93</v>
      </c>
      <c r="Q4018" s="23" t="s">
        <v>178</v>
      </c>
    </row>
    <row r="4019" spans="1:17" x14ac:dyDescent="0.25">
      <c r="A4019" s="23" t="s">
        <v>1144</v>
      </c>
      <c r="B4019" s="23" t="s">
        <v>1145</v>
      </c>
      <c r="C4019" s="23" t="s">
        <v>176</v>
      </c>
      <c r="D4019" s="23" t="s">
        <v>690</v>
      </c>
      <c r="E4019" s="23" t="s">
        <v>691</v>
      </c>
      <c r="F4019">
        <v>1</v>
      </c>
      <c r="G4019" s="23" t="s">
        <v>177</v>
      </c>
      <c r="H4019">
        <v>0</v>
      </c>
      <c r="I4019">
        <v>25</v>
      </c>
      <c r="J4019" s="10">
        <v>3</v>
      </c>
      <c r="K4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19">
        <v>0</v>
      </c>
      <c r="M40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19">
        <v>871.93</v>
      </c>
      <c r="O4019" s="23" t="s">
        <v>692</v>
      </c>
      <c r="P4019">
        <v>871.93</v>
      </c>
      <c r="Q4019" s="23" t="s">
        <v>178</v>
      </c>
    </row>
    <row r="4020" spans="1:17" x14ac:dyDescent="0.25">
      <c r="A4020" s="23" t="s">
        <v>1144</v>
      </c>
      <c r="B4020" s="23" t="s">
        <v>1145</v>
      </c>
      <c r="C4020" s="23" t="s">
        <v>176</v>
      </c>
      <c r="D4020" s="23" t="s">
        <v>581</v>
      </c>
      <c r="E4020" s="23" t="s">
        <v>582</v>
      </c>
      <c r="F4020">
        <v>18.8</v>
      </c>
      <c r="G4020" s="23" t="s">
        <v>186</v>
      </c>
      <c r="H4020">
        <v>0</v>
      </c>
      <c r="I4020">
        <v>140</v>
      </c>
      <c r="J4020" s="10">
        <v>139.95999999999989</v>
      </c>
      <c r="K4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020">
        <v>80</v>
      </c>
      <c r="M40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0">
        <v>164.09</v>
      </c>
      <c r="O4020" s="23" t="s">
        <v>491</v>
      </c>
      <c r="P4020">
        <v>3084.8920000000003</v>
      </c>
      <c r="Q4020" s="23" t="s">
        <v>184</v>
      </c>
    </row>
    <row r="4021" spans="1:17" x14ac:dyDescent="0.25">
      <c r="A4021" s="23" t="s">
        <v>1150</v>
      </c>
      <c r="B4021" s="23" t="s">
        <v>1145</v>
      </c>
      <c r="C4021" s="23" t="s">
        <v>176</v>
      </c>
      <c r="D4021" s="23" t="s">
        <v>690</v>
      </c>
      <c r="E4021" s="23" t="s">
        <v>691</v>
      </c>
      <c r="F4021">
        <v>1</v>
      </c>
      <c r="G4021" s="23" t="s">
        <v>177</v>
      </c>
      <c r="H4021">
        <v>0</v>
      </c>
      <c r="I4021">
        <v>25</v>
      </c>
      <c r="J4021" s="10">
        <v>3</v>
      </c>
      <c r="K4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21">
        <v>0</v>
      </c>
      <c r="M40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1">
        <v>871.93</v>
      </c>
      <c r="O4021" s="23" t="s">
        <v>692</v>
      </c>
      <c r="P4021">
        <v>871.93</v>
      </c>
      <c r="Q4021" s="23" t="s">
        <v>178</v>
      </c>
    </row>
    <row r="4022" spans="1:17" x14ac:dyDescent="0.25">
      <c r="A4022" s="23" t="s">
        <v>1144</v>
      </c>
      <c r="B4022" s="23" t="s">
        <v>1145</v>
      </c>
      <c r="C4022" s="23" t="s">
        <v>176</v>
      </c>
      <c r="D4022" s="23" t="s">
        <v>1077</v>
      </c>
      <c r="E4022" s="23" t="s">
        <v>1078</v>
      </c>
      <c r="F4022">
        <v>1</v>
      </c>
      <c r="G4022" s="23" t="s">
        <v>177</v>
      </c>
      <c r="H4022">
        <v>0</v>
      </c>
      <c r="I4022">
        <v>4</v>
      </c>
      <c r="J4022" s="10">
        <v>7</v>
      </c>
      <c r="K4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022">
        <v>10</v>
      </c>
      <c r="M40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2">
        <v>3097.63</v>
      </c>
      <c r="O4022" s="23" t="s">
        <v>593</v>
      </c>
      <c r="P4022">
        <v>3097.63</v>
      </c>
      <c r="Q4022" s="23" t="s">
        <v>179</v>
      </c>
    </row>
    <row r="4023" spans="1:17" x14ac:dyDescent="0.25">
      <c r="A4023" s="23" t="s">
        <v>1147</v>
      </c>
      <c r="B4023" s="23" t="s">
        <v>1145</v>
      </c>
      <c r="C4023" s="23" t="s">
        <v>176</v>
      </c>
      <c r="D4023" s="23" t="s">
        <v>700</v>
      </c>
      <c r="E4023" s="23" t="s">
        <v>701</v>
      </c>
      <c r="F4023">
        <v>1</v>
      </c>
      <c r="G4023" s="23" t="s">
        <v>177</v>
      </c>
      <c r="H4023">
        <v>0</v>
      </c>
      <c r="I4023">
        <v>136</v>
      </c>
      <c r="J4023" s="10">
        <v>6</v>
      </c>
      <c r="K4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23">
        <v>0</v>
      </c>
      <c r="M40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3">
        <v>39.6</v>
      </c>
      <c r="O4023" s="23" t="s">
        <v>221</v>
      </c>
      <c r="P4023">
        <v>39.6</v>
      </c>
      <c r="Q4023" s="23" t="s">
        <v>222</v>
      </c>
    </row>
    <row r="4024" spans="1:17" x14ac:dyDescent="0.25">
      <c r="A4024" s="23" t="s">
        <v>1100</v>
      </c>
      <c r="B4024" s="23" t="s">
        <v>1101</v>
      </c>
      <c r="C4024" s="23" t="s">
        <v>176</v>
      </c>
      <c r="D4024" s="23" t="s">
        <v>1127</v>
      </c>
      <c r="E4024" s="23" t="s">
        <v>1128</v>
      </c>
      <c r="F4024">
        <v>3</v>
      </c>
      <c r="G4024" s="23" t="s">
        <v>180</v>
      </c>
      <c r="H4024">
        <v>0</v>
      </c>
      <c r="I4024">
        <v>60</v>
      </c>
      <c r="J4024" s="10">
        <v>50</v>
      </c>
      <c r="K4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4024">
        <v>0</v>
      </c>
      <c r="M40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4">
        <v>265</v>
      </c>
      <c r="O4024" s="23" t="s">
        <v>746</v>
      </c>
      <c r="P4024">
        <v>795</v>
      </c>
      <c r="Q4024" s="23" t="s">
        <v>185</v>
      </c>
    </row>
    <row r="4025" spans="1:17" x14ac:dyDescent="0.25">
      <c r="A4025" s="23" t="s">
        <v>1148</v>
      </c>
      <c r="B4025" s="23" t="s">
        <v>1054</v>
      </c>
      <c r="C4025" s="23" t="s">
        <v>176</v>
      </c>
      <c r="D4025" s="23" t="s">
        <v>981</v>
      </c>
      <c r="E4025" s="23" t="s">
        <v>982</v>
      </c>
      <c r="F4025">
        <v>1</v>
      </c>
      <c r="G4025" s="23" t="s">
        <v>177</v>
      </c>
      <c r="H4025">
        <v>0</v>
      </c>
      <c r="I4025">
        <v>4</v>
      </c>
      <c r="J4025" s="10">
        <v>0</v>
      </c>
      <c r="K4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025">
        <v>0</v>
      </c>
      <c r="M40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5">
        <v>3017.33</v>
      </c>
      <c r="O4025" s="23" t="s">
        <v>983</v>
      </c>
      <c r="P4025">
        <v>3017.33</v>
      </c>
      <c r="Q4025" s="23" t="s">
        <v>178</v>
      </c>
    </row>
    <row r="4026" spans="1:17" x14ac:dyDescent="0.25">
      <c r="A4026" s="23" t="s">
        <v>1058</v>
      </c>
      <c r="B4026" s="23" t="s">
        <v>1059</v>
      </c>
      <c r="C4026" s="23" t="s">
        <v>176</v>
      </c>
      <c r="D4026" s="23" t="s">
        <v>690</v>
      </c>
      <c r="E4026" s="23" t="s">
        <v>691</v>
      </c>
      <c r="F4026">
        <v>1</v>
      </c>
      <c r="G4026" s="23" t="s">
        <v>177</v>
      </c>
      <c r="H4026">
        <v>1</v>
      </c>
      <c r="I4026">
        <v>25</v>
      </c>
      <c r="J4026" s="10">
        <v>3</v>
      </c>
      <c r="K4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26">
        <v>0</v>
      </c>
      <c r="M40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6">
        <v>871.93</v>
      </c>
      <c r="O4026" s="23" t="s">
        <v>692</v>
      </c>
      <c r="P4026">
        <v>871.93</v>
      </c>
      <c r="Q4026" s="23" t="s">
        <v>178</v>
      </c>
    </row>
    <row r="4027" spans="1:17" x14ac:dyDescent="0.25">
      <c r="A4027" s="23" t="s">
        <v>1148</v>
      </c>
      <c r="B4027" s="23" t="s">
        <v>1054</v>
      </c>
      <c r="C4027" s="23" t="s">
        <v>176</v>
      </c>
      <c r="D4027" s="23" t="s">
        <v>690</v>
      </c>
      <c r="E4027" s="23" t="s">
        <v>691</v>
      </c>
      <c r="F4027">
        <v>1</v>
      </c>
      <c r="G4027" s="23" t="s">
        <v>177</v>
      </c>
      <c r="H4027">
        <v>0</v>
      </c>
      <c r="I4027">
        <v>25</v>
      </c>
      <c r="J4027" s="10">
        <v>3</v>
      </c>
      <c r="K4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27">
        <v>0</v>
      </c>
      <c r="M40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7">
        <v>871.93</v>
      </c>
      <c r="O4027" s="23" t="s">
        <v>692</v>
      </c>
      <c r="P4027">
        <v>871.93</v>
      </c>
      <c r="Q4027" s="23" t="s">
        <v>178</v>
      </c>
    </row>
    <row r="4028" spans="1:17" x14ac:dyDescent="0.25">
      <c r="A4028" s="23" t="s">
        <v>1147</v>
      </c>
      <c r="B4028" s="23" t="s">
        <v>1145</v>
      </c>
      <c r="C4028" s="23" t="s">
        <v>176</v>
      </c>
      <c r="D4028" s="23" t="s">
        <v>1077</v>
      </c>
      <c r="E4028" s="23" t="s">
        <v>1078</v>
      </c>
      <c r="F4028">
        <v>1</v>
      </c>
      <c r="G4028" s="23" t="s">
        <v>177</v>
      </c>
      <c r="H4028">
        <v>0</v>
      </c>
      <c r="I4028">
        <v>4</v>
      </c>
      <c r="J4028" s="10">
        <v>7</v>
      </c>
      <c r="K4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028">
        <v>10</v>
      </c>
      <c r="M40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8">
        <v>3097.63</v>
      </c>
      <c r="O4028" s="23" t="s">
        <v>593</v>
      </c>
      <c r="P4028">
        <v>3097.63</v>
      </c>
      <c r="Q4028" s="23" t="s">
        <v>179</v>
      </c>
    </row>
    <row r="4029" spans="1:17" x14ac:dyDescent="0.25">
      <c r="A4029" s="23" t="s">
        <v>1148</v>
      </c>
      <c r="B4029" s="23" t="s">
        <v>1054</v>
      </c>
      <c r="C4029" s="23" t="s">
        <v>176</v>
      </c>
      <c r="D4029" s="23" t="s">
        <v>1077</v>
      </c>
      <c r="E4029" s="23" t="s">
        <v>1078</v>
      </c>
      <c r="F4029">
        <v>1</v>
      </c>
      <c r="G4029" s="23" t="s">
        <v>177</v>
      </c>
      <c r="H4029">
        <v>0</v>
      </c>
      <c r="I4029">
        <v>4</v>
      </c>
      <c r="J4029" s="10">
        <v>7</v>
      </c>
      <c r="K4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029">
        <v>10</v>
      </c>
      <c r="M40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29">
        <v>3097.63</v>
      </c>
      <c r="O4029" s="23" t="s">
        <v>593</v>
      </c>
      <c r="P4029">
        <v>3097.63</v>
      </c>
      <c r="Q4029" s="23" t="s">
        <v>179</v>
      </c>
    </row>
    <row r="4030" spans="1:17" x14ac:dyDescent="0.25">
      <c r="A4030" s="23" t="s">
        <v>1058</v>
      </c>
      <c r="B4030" s="23" t="s">
        <v>1059</v>
      </c>
      <c r="C4030" s="23" t="s">
        <v>176</v>
      </c>
      <c r="D4030" s="23" t="s">
        <v>731</v>
      </c>
      <c r="E4030" s="23" t="s">
        <v>732</v>
      </c>
      <c r="F4030">
        <v>2</v>
      </c>
      <c r="G4030" s="23" t="s">
        <v>177</v>
      </c>
      <c r="H4030">
        <v>0</v>
      </c>
      <c r="I4030">
        <v>265</v>
      </c>
      <c r="J4030" s="10">
        <v>94</v>
      </c>
      <c r="K4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030">
        <v>0</v>
      </c>
      <c r="M40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0">
        <v>4</v>
      </c>
      <c r="O4030" s="23" t="s">
        <v>221</v>
      </c>
      <c r="P4030">
        <v>8</v>
      </c>
      <c r="Q4030" s="23" t="s">
        <v>222</v>
      </c>
    </row>
    <row r="4031" spans="1:17" x14ac:dyDescent="0.25">
      <c r="A4031" s="23" t="s">
        <v>1147</v>
      </c>
      <c r="B4031" s="23" t="s">
        <v>1145</v>
      </c>
      <c r="C4031" s="23" t="s">
        <v>176</v>
      </c>
      <c r="D4031" s="23" t="s">
        <v>731</v>
      </c>
      <c r="E4031" s="23" t="s">
        <v>732</v>
      </c>
      <c r="F4031">
        <v>2</v>
      </c>
      <c r="G4031" s="23" t="s">
        <v>177</v>
      </c>
      <c r="H4031">
        <v>0</v>
      </c>
      <c r="I4031">
        <v>265</v>
      </c>
      <c r="J4031" s="10">
        <v>94</v>
      </c>
      <c r="K4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031">
        <v>0</v>
      </c>
      <c r="M40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1">
        <v>4</v>
      </c>
      <c r="O4031" s="23" t="s">
        <v>221</v>
      </c>
      <c r="P4031">
        <v>8</v>
      </c>
      <c r="Q4031" s="23" t="s">
        <v>222</v>
      </c>
    </row>
    <row r="4032" spans="1:17" x14ac:dyDescent="0.25">
      <c r="A4032" s="23" t="s">
        <v>1147</v>
      </c>
      <c r="B4032" s="23" t="s">
        <v>1145</v>
      </c>
      <c r="C4032" s="23" t="s">
        <v>176</v>
      </c>
      <c r="D4032" s="23" t="s">
        <v>1083</v>
      </c>
      <c r="E4032" s="23" t="s">
        <v>1084</v>
      </c>
      <c r="F4032">
        <v>2</v>
      </c>
      <c r="G4032" s="23" t="s">
        <v>177</v>
      </c>
      <c r="H4032">
        <v>0</v>
      </c>
      <c r="I4032">
        <v>16</v>
      </c>
      <c r="J4032" s="10">
        <v>14</v>
      </c>
      <c r="K4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32">
        <v>20</v>
      </c>
      <c r="M40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2">
        <v>194</v>
      </c>
      <c r="O4032" s="23" t="s">
        <v>218</v>
      </c>
      <c r="P4032">
        <v>388</v>
      </c>
      <c r="Q4032" s="23" t="s">
        <v>178</v>
      </c>
    </row>
    <row r="4033" spans="1:17" x14ac:dyDescent="0.25">
      <c r="A4033" s="23" t="s">
        <v>1100</v>
      </c>
      <c r="B4033" s="23" t="s">
        <v>1101</v>
      </c>
      <c r="C4033" s="23" t="s">
        <v>176</v>
      </c>
      <c r="D4033" s="23" t="s">
        <v>700</v>
      </c>
      <c r="E4033" s="23" t="s">
        <v>701</v>
      </c>
      <c r="F4033">
        <v>1</v>
      </c>
      <c r="G4033" s="23" t="s">
        <v>177</v>
      </c>
      <c r="H4033">
        <v>0</v>
      </c>
      <c r="I4033">
        <v>136</v>
      </c>
      <c r="J4033" s="10">
        <v>6</v>
      </c>
      <c r="K4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33">
        <v>0</v>
      </c>
      <c r="M40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3">
        <v>39.6</v>
      </c>
      <c r="O4033" s="23" t="s">
        <v>221</v>
      </c>
      <c r="P4033">
        <v>39.6</v>
      </c>
      <c r="Q4033" s="23" t="s">
        <v>222</v>
      </c>
    </row>
    <row r="4034" spans="1:17" x14ac:dyDescent="0.25">
      <c r="A4034" s="23" t="s">
        <v>1148</v>
      </c>
      <c r="B4034" s="23" t="s">
        <v>1054</v>
      </c>
      <c r="C4034" s="23" t="s">
        <v>176</v>
      </c>
      <c r="D4034" s="23" t="s">
        <v>1127</v>
      </c>
      <c r="E4034" s="23" t="s">
        <v>1128</v>
      </c>
      <c r="F4034">
        <v>2</v>
      </c>
      <c r="G4034" s="23" t="s">
        <v>180</v>
      </c>
      <c r="H4034">
        <v>0</v>
      </c>
      <c r="I4034">
        <v>60</v>
      </c>
      <c r="J4034" s="10">
        <v>50</v>
      </c>
      <c r="K4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4034">
        <v>0</v>
      </c>
      <c r="M40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4">
        <v>265</v>
      </c>
      <c r="O4034" s="23" t="s">
        <v>746</v>
      </c>
      <c r="P4034">
        <v>530</v>
      </c>
      <c r="Q4034" s="23" t="s">
        <v>185</v>
      </c>
    </row>
    <row r="4035" spans="1:17" x14ac:dyDescent="0.25">
      <c r="A4035" s="23" t="s">
        <v>1100</v>
      </c>
      <c r="B4035" s="23" t="s">
        <v>1101</v>
      </c>
      <c r="C4035" s="23" t="s">
        <v>176</v>
      </c>
      <c r="D4035" s="23" t="s">
        <v>1083</v>
      </c>
      <c r="E4035" s="23" t="s">
        <v>1084</v>
      </c>
      <c r="F4035">
        <v>2</v>
      </c>
      <c r="G4035" s="23" t="s">
        <v>177</v>
      </c>
      <c r="H4035">
        <v>0</v>
      </c>
      <c r="I4035">
        <v>16</v>
      </c>
      <c r="J4035" s="10">
        <v>14</v>
      </c>
      <c r="K4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35">
        <v>20</v>
      </c>
      <c r="M40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5">
        <v>194</v>
      </c>
      <c r="O4035" s="23" t="s">
        <v>218</v>
      </c>
      <c r="P4035">
        <v>388</v>
      </c>
      <c r="Q4035" s="23" t="s">
        <v>178</v>
      </c>
    </row>
    <row r="4036" spans="1:17" x14ac:dyDescent="0.25">
      <c r="A4036" s="23" t="s">
        <v>1100</v>
      </c>
      <c r="B4036" s="23" t="s">
        <v>1101</v>
      </c>
      <c r="C4036" s="23" t="s">
        <v>176</v>
      </c>
      <c r="D4036" s="23" t="s">
        <v>553</v>
      </c>
      <c r="E4036" s="23" t="s">
        <v>554</v>
      </c>
      <c r="F4036">
        <v>1</v>
      </c>
      <c r="G4036" s="23" t="s">
        <v>177</v>
      </c>
      <c r="H4036">
        <v>0</v>
      </c>
      <c r="I4036">
        <v>14</v>
      </c>
      <c r="J4036" s="10">
        <v>9.9999999999999964</v>
      </c>
      <c r="K4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36">
        <v>0</v>
      </c>
      <c r="M40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36">
        <v>215</v>
      </c>
      <c r="O4036" s="23" t="s">
        <v>242</v>
      </c>
      <c r="P4036">
        <v>215</v>
      </c>
      <c r="Q4036" s="23" t="s">
        <v>181</v>
      </c>
    </row>
    <row r="4037" spans="1:17" x14ac:dyDescent="0.25">
      <c r="A4037" s="23" t="s">
        <v>1149</v>
      </c>
      <c r="B4037" s="23" t="s">
        <v>1145</v>
      </c>
      <c r="C4037" s="23" t="s">
        <v>176</v>
      </c>
      <c r="D4037" s="23" t="s">
        <v>731</v>
      </c>
      <c r="E4037" s="23" t="s">
        <v>732</v>
      </c>
      <c r="F4037">
        <v>2</v>
      </c>
      <c r="G4037" s="23" t="s">
        <v>177</v>
      </c>
      <c r="H4037">
        <v>0</v>
      </c>
      <c r="I4037">
        <v>265</v>
      </c>
      <c r="J4037" s="10">
        <v>94</v>
      </c>
      <c r="K4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037">
        <v>0</v>
      </c>
      <c r="M40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7">
        <v>4</v>
      </c>
      <c r="O4037" s="23" t="s">
        <v>221</v>
      </c>
      <c r="P4037">
        <v>8</v>
      </c>
      <c r="Q4037" s="23" t="s">
        <v>222</v>
      </c>
    </row>
    <row r="4038" spans="1:17" x14ac:dyDescent="0.25">
      <c r="A4038" s="23" t="s">
        <v>1055</v>
      </c>
      <c r="B4038" s="23" t="s">
        <v>1056</v>
      </c>
      <c r="C4038" s="23" t="s">
        <v>176</v>
      </c>
      <c r="D4038" s="23" t="s">
        <v>700</v>
      </c>
      <c r="E4038" s="23" t="s">
        <v>701</v>
      </c>
      <c r="F4038">
        <v>2</v>
      </c>
      <c r="G4038" s="23" t="s">
        <v>177</v>
      </c>
      <c r="H4038">
        <v>0</v>
      </c>
      <c r="I4038">
        <v>136</v>
      </c>
      <c r="J4038" s="10">
        <v>6</v>
      </c>
      <c r="K4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38">
        <v>0</v>
      </c>
      <c r="M40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8">
        <v>39.6</v>
      </c>
      <c r="O4038" s="23" t="s">
        <v>221</v>
      </c>
      <c r="P4038">
        <v>79.2</v>
      </c>
      <c r="Q4038" s="23" t="s">
        <v>222</v>
      </c>
    </row>
    <row r="4039" spans="1:17" x14ac:dyDescent="0.25">
      <c r="A4039" s="23" t="s">
        <v>1148</v>
      </c>
      <c r="B4039" s="23" t="s">
        <v>1054</v>
      </c>
      <c r="C4039" s="23" t="s">
        <v>176</v>
      </c>
      <c r="D4039" s="23" t="s">
        <v>700</v>
      </c>
      <c r="E4039" s="23" t="s">
        <v>701</v>
      </c>
      <c r="F4039">
        <v>1</v>
      </c>
      <c r="G4039" s="23" t="s">
        <v>177</v>
      </c>
      <c r="H4039">
        <v>0</v>
      </c>
      <c r="I4039">
        <v>136</v>
      </c>
      <c r="J4039" s="10">
        <v>6</v>
      </c>
      <c r="K4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039">
        <v>0</v>
      </c>
      <c r="M40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39">
        <v>39.6</v>
      </c>
      <c r="O4039" s="23" t="s">
        <v>221</v>
      </c>
      <c r="P4039">
        <v>39.6</v>
      </c>
      <c r="Q4039" s="23" t="s">
        <v>222</v>
      </c>
    </row>
    <row r="4040" spans="1:17" x14ac:dyDescent="0.25">
      <c r="A4040" s="23" t="s">
        <v>1147</v>
      </c>
      <c r="B4040" s="23" t="s">
        <v>1145</v>
      </c>
      <c r="C4040" s="23" t="s">
        <v>176</v>
      </c>
      <c r="D4040" s="23" t="s">
        <v>581</v>
      </c>
      <c r="E4040" s="23" t="s">
        <v>582</v>
      </c>
      <c r="F4040">
        <v>18.8</v>
      </c>
      <c r="G4040" s="23" t="s">
        <v>186</v>
      </c>
      <c r="H4040">
        <v>0</v>
      </c>
      <c r="I4040">
        <v>140</v>
      </c>
      <c r="J4040" s="10">
        <v>139.95999999999989</v>
      </c>
      <c r="K4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040">
        <v>80</v>
      </c>
      <c r="M40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0">
        <v>164.09</v>
      </c>
      <c r="O4040" s="23" t="s">
        <v>491</v>
      </c>
      <c r="P4040">
        <v>3084.8920000000003</v>
      </c>
      <c r="Q4040" s="23" t="s">
        <v>184</v>
      </c>
    </row>
    <row r="4041" spans="1:17" x14ac:dyDescent="0.25">
      <c r="A4041" s="23" t="s">
        <v>1148</v>
      </c>
      <c r="B4041" s="23" t="s">
        <v>1054</v>
      </c>
      <c r="C4041" s="23" t="s">
        <v>176</v>
      </c>
      <c r="D4041" s="23" t="s">
        <v>581</v>
      </c>
      <c r="E4041" s="23" t="s">
        <v>582</v>
      </c>
      <c r="F4041">
        <v>22.3</v>
      </c>
      <c r="G4041" s="23" t="s">
        <v>186</v>
      </c>
      <c r="H4041">
        <v>0</v>
      </c>
      <c r="I4041">
        <v>140</v>
      </c>
      <c r="J4041" s="10">
        <v>139.95999999999989</v>
      </c>
      <c r="K4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041">
        <v>80</v>
      </c>
      <c r="M40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1">
        <v>164.09</v>
      </c>
      <c r="O4041" s="23" t="s">
        <v>491</v>
      </c>
      <c r="P4041">
        <v>3659.2070000000003</v>
      </c>
      <c r="Q4041" s="23" t="s">
        <v>184</v>
      </c>
    </row>
    <row r="4042" spans="1:17" x14ac:dyDescent="0.25">
      <c r="A4042" s="23" t="s">
        <v>1099</v>
      </c>
      <c r="B4042" s="23" t="s">
        <v>1056</v>
      </c>
      <c r="C4042" s="23" t="s">
        <v>176</v>
      </c>
      <c r="D4042" s="23" t="s">
        <v>581</v>
      </c>
      <c r="E4042" s="23" t="s">
        <v>582</v>
      </c>
      <c r="F4042">
        <v>17.8</v>
      </c>
      <c r="G4042" s="23" t="s">
        <v>186</v>
      </c>
      <c r="H4042">
        <v>17.8</v>
      </c>
      <c r="I4042">
        <v>140</v>
      </c>
      <c r="J4042" s="10">
        <v>139.95999999999989</v>
      </c>
      <c r="K4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042">
        <v>80</v>
      </c>
      <c r="M40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2">
        <v>164.09</v>
      </c>
      <c r="O4042" s="23" t="s">
        <v>491</v>
      </c>
      <c r="P4042">
        <v>2920.8020000000001</v>
      </c>
      <c r="Q4042" s="23" t="s">
        <v>184</v>
      </c>
    </row>
    <row r="4043" spans="1:17" x14ac:dyDescent="0.25">
      <c r="A4043" s="23" t="s">
        <v>1100</v>
      </c>
      <c r="B4043" s="23" t="s">
        <v>1101</v>
      </c>
      <c r="C4043" s="23" t="s">
        <v>176</v>
      </c>
      <c r="D4043" s="23" t="s">
        <v>690</v>
      </c>
      <c r="E4043" s="23" t="s">
        <v>691</v>
      </c>
      <c r="F4043">
        <v>1</v>
      </c>
      <c r="G4043" s="23" t="s">
        <v>177</v>
      </c>
      <c r="H4043">
        <v>0</v>
      </c>
      <c r="I4043">
        <v>25</v>
      </c>
      <c r="J4043" s="10">
        <v>3</v>
      </c>
      <c r="K4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043">
        <v>0</v>
      </c>
      <c r="M40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3">
        <v>871.93</v>
      </c>
      <c r="O4043" s="23" t="s">
        <v>692</v>
      </c>
      <c r="P4043">
        <v>871.93</v>
      </c>
      <c r="Q4043" s="23" t="s">
        <v>178</v>
      </c>
    </row>
    <row r="4044" spans="1:17" x14ac:dyDescent="0.25">
      <c r="A4044" s="23" t="s">
        <v>1180</v>
      </c>
      <c r="B4044" s="23" t="s">
        <v>1181</v>
      </c>
      <c r="C4044" s="23" t="s">
        <v>176</v>
      </c>
      <c r="D4044" s="23" t="s">
        <v>1077</v>
      </c>
      <c r="E4044" s="23" t="s">
        <v>1078</v>
      </c>
      <c r="F4044">
        <v>1</v>
      </c>
      <c r="G4044" s="23" t="s">
        <v>177</v>
      </c>
      <c r="H4044">
        <v>0</v>
      </c>
      <c r="I4044">
        <v>4</v>
      </c>
      <c r="J4044" s="10">
        <v>7</v>
      </c>
      <c r="K4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044">
        <v>10</v>
      </c>
      <c r="M40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4">
        <v>3097.63</v>
      </c>
      <c r="O4044" s="23" t="s">
        <v>593</v>
      </c>
      <c r="P4044">
        <v>3097.63</v>
      </c>
      <c r="Q4044" s="23" t="s">
        <v>179</v>
      </c>
    </row>
    <row r="4045" spans="1:17" x14ac:dyDescent="0.25">
      <c r="A4045" s="23" t="s">
        <v>1148</v>
      </c>
      <c r="B4045" s="23" t="s">
        <v>1054</v>
      </c>
      <c r="C4045" s="23" t="s">
        <v>176</v>
      </c>
      <c r="D4045" s="23" t="s">
        <v>1083</v>
      </c>
      <c r="E4045" s="23" t="s">
        <v>1084</v>
      </c>
      <c r="F4045">
        <v>2</v>
      </c>
      <c r="G4045" s="23" t="s">
        <v>177</v>
      </c>
      <c r="H4045">
        <v>0</v>
      </c>
      <c r="I4045">
        <v>16</v>
      </c>
      <c r="J4045" s="10">
        <v>14</v>
      </c>
      <c r="K4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45">
        <v>20</v>
      </c>
      <c r="M40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5">
        <v>194</v>
      </c>
      <c r="O4045" s="23" t="s">
        <v>218</v>
      </c>
      <c r="P4045">
        <v>388</v>
      </c>
      <c r="Q4045" s="23" t="s">
        <v>178</v>
      </c>
    </row>
    <row r="4046" spans="1:17" x14ac:dyDescent="0.25">
      <c r="A4046" s="23" t="s">
        <v>1100</v>
      </c>
      <c r="B4046" s="23" t="s">
        <v>1101</v>
      </c>
      <c r="C4046" s="23" t="s">
        <v>176</v>
      </c>
      <c r="D4046" s="23" t="s">
        <v>549</v>
      </c>
      <c r="E4046" s="23" t="s">
        <v>550</v>
      </c>
      <c r="F4046">
        <v>15</v>
      </c>
      <c r="G4046" s="23" t="s">
        <v>177</v>
      </c>
      <c r="H4046">
        <v>0</v>
      </c>
      <c r="I4046">
        <v>800</v>
      </c>
      <c r="J4046" s="10">
        <v>0</v>
      </c>
      <c r="K4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46">
        <v>0</v>
      </c>
      <c r="M40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6">
        <v>13.75</v>
      </c>
      <c r="O4046" s="23" t="s">
        <v>629</v>
      </c>
      <c r="P4046">
        <v>206.25</v>
      </c>
      <c r="Q4046" s="23" t="s">
        <v>181</v>
      </c>
    </row>
    <row r="4047" spans="1:17" x14ac:dyDescent="0.25">
      <c r="A4047" s="23" t="s">
        <v>1100</v>
      </c>
      <c r="B4047" s="23" t="s">
        <v>1101</v>
      </c>
      <c r="C4047" s="23" t="s">
        <v>176</v>
      </c>
      <c r="D4047" s="23" t="s">
        <v>561</v>
      </c>
      <c r="E4047" s="23" t="s">
        <v>562</v>
      </c>
      <c r="F4047">
        <v>2.5</v>
      </c>
      <c r="G4047" s="23" t="s">
        <v>177</v>
      </c>
      <c r="H4047">
        <v>0</v>
      </c>
      <c r="I4047">
        <v>272</v>
      </c>
      <c r="J4047" s="10">
        <v>4.3</v>
      </c>
      <c r="K4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47">
        <v>0</v>
      </c>
      <c r="M40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7">
        <v>30</v>
      </c>
      <c r="O4047" s="23" t="s">
        <v>242</v>
      </c>
      <c r="P4047">
        <v>75</v>
      </c>
      <c r="Q4047" s="23" t="s">
        <v>181</v>
      </c>
    </row>
    <row r="4048" spans="1:17" x14ac:dyDescent="0.25">
      <c r="A4048" s="23" t="s">
        <v>1058</v>
      </c>
      <c r="B4048" s="23" t="s">
        <v>1059</v>
      </c>
      <c r="C4048" s="23" t="s">
        <v>176</v>
      </c>
      <c r="D4048" s="23" t="s">
        <v>549</v>
      </c>
      <c r="E4048" s="23" t="s">
        <v>550</v>
      </c>
      <c r="F4048">
        <v>28</v>
      </c>
      <c r="G4048" s="23" t="s">
        <v>177</v>
      </c>
      <c r="H4048">
        <v>28</v>
      </c>
      <c r="I4048">
        <v>800</v>
      </c>
      <c r="J4048" s="10">
        <v>0</v>
      </c>
      <c r="K4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48">
        <v>0</v>
      </c>
      <c r="M40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8">
        <v>13.75</v>
      </c>
      <c r="O4048" s="23" t="s">
        <v>629</v>
      </c>
      <c r="P4048">
        <v>385</v>
      </c>
      <c r="Q4048" s="23" t="s">
        <v>181</v>
      </c>
    </row>
    <row r="4049" spans="1:17" x14ac:dyDescent="0.25">
      <c r="A4049" s="23" t="s">
        <v>1148</v>
      </c>
      <c r="B4049" s="23" t="s">
        <v>1054</v>
      </c>
      <c r="C4049" s="23" t="s">
        <v>176</v>
      </c>
      <c r="D4049" s="23" t="s">
        <v>549</v>
      </c>
      <c r="E4049" s="23" t="s">
        <v>550</v>
      </c>
      <c r="F4049">
        <v>30</v>
      </c>
      <c r="G4049" s="23" t="s">
        <v>177</v>
      </c>
      <c r="H4049">
        <v>0</v>
      </c>
      <c r="I4049">
        <v>800</v>
      </c>
      <c r="J4049" s="10">
        <v>0</v>
      </c>
      <c r="K4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49">
        <v>0</v>
      </c>
      <c r="M40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49">
        <v>13.75</v>
      </c>
      <c r="O4049" s="23" t="s">
        <v>629</v>
      </c>
      <c r="P4049">
        <v>412.5</v>
      </c>
      <c r="Q4049" s="23" t="s">
        <v>181</v>
      </c>
    </row>
    <row r="4050" spans="1:17" x14ac:dyDescent="0.25">
      <c r="A4050" s="23" t="s">
        <v>1099</v>
      </c>
      <c r="B4050" s="23" t="s">
        <v>1056</v>
      </c>
      <c r="C4050" s="23" t="s">
        <v>176</v>
      </c>
      <c r="D4050" s="23" t="s">
        <v>549</v>
      </c>
      <c r="E4050" s="23" t="s">
        <v>550</v>
      </c>
      <c r="F4050">
        <v>23</v>
      </c>
      <c r="G4050" s="23" t="s">
        <v>177</v>
      </c>
      <c r="H4050">
        <v>23</v>
      </c>
      <c r="I4050">
        <v>800</v>
      </c>
      <c r="J4050" s="10">
        <v>0</v>
      </c>
      <c r="K4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50">
        <v>0</v>
      </c>
      <c r="M40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0">
        <v>13.75</v>
      </c>
      <c r="O4050" s="23" t="s">
        <v>629</v>
      </c>
      <c r="P4050">
        <v>316.25</v>
      </c>
      <c r="Q4050" s="23" t="s">
        <v>181</v>
      </c>
    </row>
    <row r="4051" spans="1:17" x14ac:dyDescent="0.25">
      <c r="A4051" s="23" t="s">
        <v>1058</v>
      </c>
      <c r="B4051" s="23" t="s">
        <v>1059</v>
      </c>
      <c r="C4051" s="23" t="s">
        <v>176</v>
      </c>
      <c r="D4051" s="23" t="s">
        <v>553</v>
      </c>
      <c r="E4051" s="23" t="s">
        <v>554</v>
      </c>
      <c r="F4051">
        <v>0.5</v>
      </c>
      <c r="G4051" s="23" t="s">
        <v>177</v>
      </c>
      <c r="H4051">
        <v>0</v>
      </c>
      <c r="I4051">
        <v>14</v>
      </c>
      <c r="J4051" s="10">
        <v>9.9999999999999964</v>
      </c>
      <c r="K4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51">
        <v>0</v>
      </c>
      <c r="M40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51">
        <v>215</v>
      </c>
      <c r="O4051" s="23" t="s">
        <v>242</v>
      </c>
      <c r="P4051">
        <v>107.5</v>
      </c>
      <c r="Q4051" s="23" t="s">
        <v>181</v>
      </c>
    </row>
    <row r="4052" spans="1:17" x14ac:dyDescent="0.25">
      <c r="A4052" s="23" t="s">
        <v>1147</v>
      </c>
      <c r="B4052" s="23" t="s">
        <v>1145</v>
      </c>
      <c r="C4052" s="23" t="s">
        <v>176</v>
      </c>
      <c r="D4052" s="23" t="s">
        <v>553</v>
      </c>
      <c r="E4052" s="23" t="s">
        <v>554</v>
      </c>
      <c r="F4052">
        <v>1</v>
      </c>
      <c r="G4052" s="23" t="s">
        <v>177</v>
      </c>
      <c r="H4052">
        <v>0</v>
      </c>
      <c r="I4052">
        <v>14</v>
      </c>
      <c r="J4052" s="10">
        <v>9.9999999999999964</v>
      </c>
      <c r="K4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52">
        <v>0</v>
      </c>
      <c r="M40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52">
        <v>215</v>
      </c>
      <c r="O4052" s="23" t="s">
        <v>242</v>
      </c>
      <c r="P4052">
        <v>215</v>
      </c>
      <c r="Q4052" s="23" t="s">
        <v>181</v>
      </c>
    </row>
    <row r="4053" spans="1:17" x14ac:dyDescent="0.25">
      <c r="A4053" s="23" t="s">
        <v>1148</v>
      </c>
      <c r="B4053" s="23" t="s">
        <v>1054</v>
      </c>
      <c r="C4053" s="23" t="s">
        <v>176</v>
      </c>
      <c r="D4053" s="23" t="s">
        <v>553</v>
      </c>
      <c r="E4053" s="23" t="s">
        <v>554</v>
      </c>
      <c r="F4053">
        <v>0.67</v>
      </c>
      <c r="G4053" s="23" t="s">
        <v>177</v>
      </c>
      <c r="H4053">
        <v>0</v>
      </c>
      <c r="I4053">
        <v>14</v>
      </c>
      <c r="J4053" s="10">
        <v>9.9999999999999964</v>
      </c>
      <c r="K4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53">
        <v>0</v>
      </c>
      <c r="M40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53">
        <v>215</v>
      </c>
      <c r="O4053" s="23" t="s">
        <v>242</v>
      </c>
      <c r="P4053">
        <v>144.05000000000001</v>
      </c>
      <c r="Q4053" s="23" t="s">
        <v>181</v>
      </c>
    </row>
    <row r="4054" spans="1:17" x14ac:dyDescent="0.25">
      <c r="A4054" s="23" t="s">
        <v>1055</v>
      </c>
      <c r="B4054" s="23" t="s">
        <v>1056</v>
      </c>
      <c r="C4054" s="23" t="s">
        <v>176</v>
      </c>
      <c r="D4054" s="23" t="s">
        <v>553</v>
      </c>
      <c r="E4054" s="23" t="s">
        <v>554</v>
      </c>
      <c r="F4054">
        <v>1</v>
      </c>
      <c r="G4054" s="23" t="s">
        <v>177</v>
      </c>
      <c r="H4054">
        <v>0</v>
      </c>
      <c r="I4054">
        <v>14</v>
      </c>
      <c r="J4054" s="10">
        <v>9.9999999999999964</v>
      </c>
      <c r="K4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54">
        <v>0</v>
      </c>
      <c r="M40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54">
        <v>215</v>
      </c>
      <c r="O4054" s="23" t="s">
        <v>242</v>
      </c>
      <c r="P4054">
        <v>215</v>
      </c>
      <c r="Q4054" s="23" t="s">
        <v>181</v>
      </c>
    </row>
    <row r="4055" spans="1:17" x14ac:dyDescent="0.25">
      <c r="A4055" s="23" t="s">
        <v>1099</v>
      </c>
      <c r="B4055" s="23" t="s">
        <v>1056</v>
      </c>
      <c r="C4055" s="23" t="s">
        <v>176</v>
      </c>
      <c r="D4055" s="23" t="s">
        <v>553</v>
      </c>
      <c r="E4055" s="23" t="s">
        <v>554</v>
      </c>
      <c r="F4055">
        <v>1</v>
      </c>
      <c r="G4055" s="23" t="s">
        <v>177</v>
      </c>
      <c r="H4055">
        <v>0</v>
      </c>
      <c r="I4055">
        <v>14</v>
      </c>
      <c r="J4055" s="10">
        <v>9.9999999999999964</v>
      </c>
      <c r="K4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55">
        <v>0</v>
      </c>
      <c r="M40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55">
        <v>215</v>
      </c>
      <c r="O4055" s="23" t="s">
        <v>242</v>
      </c>
      <c r="P4055">
        <v>215</v>
      </c>
      <c r="Q4055" s="23" t="s">
        <v>181</v>
      </c>
    </row>
    <row r="4056" spans="1:17" x14ac:dyDescent="0.25">
      <c r="A4056" s="23" t="s">
        <v>1148</v>
      </c>
      <c r="B4056" s="23" t="s">
        <v>1054</v>
      </c>
      <c r="C4056" s="23" t="s">
        <v>176</v>
      </c>
      <c r="D4056" s="23" t="s">
        <v>561</v>
      </c>
      <c r="E4056" s="23" t="s">
        <v>562</v>
      </c>
      <c r="F4056">
        <v>1.5</v>
      </c>
      <c r="G4056" s="23" t="s">
        <v>177</v>
      </c>
      <c r="H4056">
        <v>0</v>
      </c>
      <c r="I4056">
        <v>272</v>
      </c>
      <c r="J4056" s="10">
        <v>4.3</v>
      </c>
      <c r="K4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56">
        <v>0</v>
      </c>
      <c r="M40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6">
        <v>30</v>
      </c>
      <c r="O4056" s="23" t="s">
        <v>242</v>
      </c>
      <c r="P4056">
        <v>45</v>
      </c>
      <c r="Q4056" s="23" t="s">
        <v>181</v>
      </c>
    </row>
    <row r="4057" spans="1:17" x14ac:dyDescent="0.25">
      <c r="A4057" s="23" t="s">
        <v>1055</v>
      </c>
      <c r="B4057" s="23" t="s">
        <v>1056</v>
      </c>
      <c r="C4057" s="23" t="s">
        <v>176</v>
      </c>
      <c r="D4057" s="23" t="s">
        <v>561</v>
      </c>
      <c r="E4057" s="23" t="s">
        <v>562</v>
      </c>
      <c r="F4057">
        <v>0.7</v>
      </c>
      <c r="G4057" s="23" t="s">
        <v>177</v>
      </c>
      <c r="H4057">
        <v>0</v>
      </c>
      <c r="I4057">
        <v>272</v>
      </c>
      <c r="J4057" s="10">
        <v>4.3</v>
      </c>
      <c r="K4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57">
        <v>0</v>
      </c>
      <c r="M40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7">
        <v>30</v>
      </c>
      <c r="O4057" s="23" t="s">
        <v>242</v>
      </c>
      <c r="P4057">
        <v>21</v>
      </c>
      <c r="Q4057" s="23" t="s">
        <v>181</v>
      </c>
    </row>
    <row r="4058" spans="1:17" x14ac:dyDescent="0.25">
      <c r="A4058" s="23" t="s">
        <v>1099</v>
      </c>
      <c r="B4058" s="23" t="s">
        <v>1056</v>
      </c>
      <c r="C4058" s="23" t="s">
        <v>176</v>
      </c>
      <c r="D4058" s="23" t="s">
        <v>561</v>
      </c>
      <c r="E4058" s="23" t="s">
        <v>562</v>
      </c>
      <c r="F4058">
        <v>0.5</v>
      </c>
      <c r="G4058" s="23" t="s">
        <v>177</v>
      </c>
      <c r="H4058">
        <v>0</v>
      </c>
      <c r="I4058">
        <v>272</v>
      </c>
      <c r="J4058" s="10">
        <v>4.3</v>
      </c>
      <c r="K4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58">
        <v>0</v>
      </c>
      <c r="M40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8">
        <v>30</v>
      </c>
      <c r="O4058" s="23" t="s">
        <v>242</v>
      </c>
      <c r="P4058">
        <v>15</v>
      </c>
      <c r="Q4058" s="23" t="s">
        <v>181</v>
      </c>
    </row>
    <row r="4059" spans="1:17" x14ac:dyDescent="0.25">
      <c r="A4059" s="23" t="s">
        <v>1150</v>
      </c>
      <c r="B4059" s="23" t="s">
        <v>1145</v>
      </c>
      <c r="C4059" s="23" t="s">
        <v>176</v>
      </c>
      <c r="D4059" s="23" t="s">
        <v>549</v>
      </c>
      <c r="E4059" s="23" t="s">
        <v>550</v>
      </c>
      <c r="F4059">
        <v>28</v>
      </c>
      <c r="G4059" s="23" t="s">
        <v>177</v>
      </c>
      <c r="H4059">
        <v>0</v>
      </c>
      <c r="I4059">
        <v>800</v>
      </c>
      <c r="J4059" s="10">
        <v>0</v>
      </c>
      <c r="K4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59">
        <v>0</v>
      </c>
      <c r="M40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59">
        <v>13.75</v>
      </c>
      <c r="O4059" s="23" t="s">
        <v>629</v>
      </c>
      <c r="P4059">
        <v>385</v>
      </c>
      <c r="Q4059" s="23" t="s">
        <v>181</v>
      </c>
    </row>
    <row r="4060" spans="1:17" x14ac:dyDescent="0.25">
      <c r="A4060" s="23" t="s">
        <v>1150</v>
      </c>
      <c r="B4060" s="23" t="s">
        <v>1145</v>
      </c>
      <c r="C4060" s="23" t="s">
        <v>176</v>
      </c>
      <c r="D4060" s="23" t="s">
        <v>553</v>
      </c>
      <c r="E4060" s="23" t="s">
        <v>554</v>
      </c>
      <c r="F4060">
        <v>1</v>
      </c>
      <c r="G4060" s="23" t="s">
        <v>177</v>
      </c>
      <c r="H4060">
        <v>0</v>
      </c>
      <c r="I4060">
        <v>14</v>
      </c>
      <c r="J4060" s="10">
        <v>9.9999999999999964</v>
      </c>
      <c r="K4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60">
        <v>0</v>
      </c>
      <c r="M40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60">
        <v>215</v>
      </c>
      <c r="O4060" s="23" t="s">
        <v>242</v>
      </c>
      <c r="P4060">
        <v>215</v>
      </c>
      <c r="Q4060" s="23" t="s">
        <v>181</v>
      </c>
    </row>
    <row r="4061" spans="1:17" x14ac:dyDescent="0.25">
      <c r="A4061" s="23" t="s">
        <v>1150</v>
      </c>
      <c r="B4061" s="23" t="s">
        <v>1145</v>
      </c>
      <c r="C4061" s="23" t="s">
        <v>176</v>
      </c>
      <c r="D4061" s="23" t="s">
        <v>561</v>
      </c>
      <c r="E4061" s="23" t="s">
        <v>562</v>
      </c>
      <c r="F4061">
        <v>3.2</v>
      </c>
      <c r="G4061" s="23" t="s">
        <v>177</v>
      </c>
      <c r="H4061">
        <v>0</v>
      </c>
      <c r="I4061">
        <v>272</v>
      </c>
      <c r="J4061" s="10">
        <v>4.3</v>
      </c>
      <c r="K4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61">
        <v>0</v>
      </c>
      <c r="M40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1">
        <v>30</v>
      </c>
      <c r="O4061" s="23" t="s">
        <v>242</v>
      </c>
      <c r="P4061">
        <v>96</v>
      </c>
      <c r="Q4061" s="23" t="s">
        <v>181</v>
      </c>
    </row>
    <row r="4062" spans="1:17" x14ac:dyDescent="0.25">
      <c r="A4062" s="23" t="s">
        <v>1197</v>
      </c>
      <c r="B4062" s="23" t="s">
        <v>1198</v>
      </c>
      <c r="C4062" s="23" t="s">
        <v>176</v>
      </c>
      <c r="D4062" s="23" t="s">
        <v>553</v>
      </c>
      <c r="E4062" s="23" t="s">
        <v>554</v>
      </c>
      <c r="F4062">
        <v>1</v>
      </c>
      <c r="G4062" s="23" t="s">
        <v>177</v>
      </c>
      <c r="H4062">
        <v>0</v>
      </c>
      <c r="I4062">
        <v>14</v>
      </c>
      <c r="J4062" s="10">
        <v>9.9999999999999964</v>
      </c>
      <c r="K4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62">
        <v>0</v>
      </c>
      <c r="M40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62">
        <v>215</v>
      </c>
      <c r="O4062" s="23" t="s">
        <v>242</v>
      </c>
      <c r="P4062">
        <v>215</v>
      </c>
      <c r="Q4062" s="23" t="s">
        <v>181</v>
      </c>
    </row>
    <row r="4063" spans="1:17" x14ac:dyDescent="0.25">
      <c r="A4063" s="23" t="s">
        <v>1197</v>
      </c>
      <c r="B4063" s="23" t="s">
        <v>1198</v>
      </c>
      <c r="C4063" s="23" t="s">
        <v>176</v>
      </c>
      <c r="D4063" s="23" t="s">
        <v>561</v>
      </c>
      <c r="E4063" s="23" t="s">
        <v>562</v>
      </c>
      <c r="F4063">
        <v>3.2</v>
      </c>
      <c r="G4063" s="23" t="s">
        <v>177</v>
      </c>
      <c r="H4063">
        <v>0</v>
      </c>
      <c r="I4063">
        <v>272</v>
      </c>
      <c r="J4063" s="10">
        <v>4.3</v>
      </c>
      <c r="K4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63">
        <v>0</v>
      </c>
      <c r="M40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3">
        <v>30</v>
      </c>
      <c r="O4063" s="23" t="s">
        <v>242</v>
      </c>
      <c r="P4063">
        <v>96</v>
      </c>
      <c r="Q4063" s="23" t="s">
        <v>181</v>
      </c>
    </row>
    <row r="4064" spans="1:17" x14ac:dyDescent="0.25">
      <c r="A4064" s="23" t="s">
        <v>1146</v>
      </c>
      <c r="B4064" s="23" t="s">
        <v>1145</v>
      </c>
      <c r="C4064" s="23" t="s">
        <v>176</v>
      </c>
      <c r="D4064" s="23" t="s">
        <v>731</v>
      </c>
      <c r="E4064" s="23" t="s">
        <v>732</v>
      </c>
      <c r="F4064">
        <v>2</v>
      </c>
      <c r="G4064" s="23" t="s">
        <v>177</v>
      </c>
      <c r="H4064">
        <v>0</v>
      </c>
      <c r="I4064">
        <v>265</v>
      </c>
      <c r="J4064" s="10">
        <v>94</v>
      </c>
      <c r="K4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064">
        <v>0</v>
      </c>
      <c r="M40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4">
        <v>4</v>
      </c>
      <c r="O4064" s="23" t="s">
        <v>221</v>
      </c>
      <c r="P4064">
        <v>8</v>
      </c>
      <c r="Q4064" s="23" t="s">
        <v>222</v>
      </c>
    </row>
    <row r="4065" spans="1:17" x14ac:dyDescent="0.25">
      <c r="A4065" s="23" t="s">
        <v>1144</v>
      </c>
      <c r="B4065" s="23" t="s">
        <v>1145</v>
      </c>
      <c r="C4065" s="23" t="s">
        <v>176</v>
      </c>
      <c r="D4065" s="23" t="s">
        <v>731</v>
      </c>
      <c r="E4065" s="23" t="s">
        <v>732</v>
      </c>
      <c r="F4065">
        <v>2</v>
      </c>
      <c r="G4065" s="23" t="s">
        <v>177</v>
      </c>
      <c r="H4065">
        <v>0</v>
      </c>
      <c r="I4065">
        <v>265</v>
      </c>
      <c r="J4065" s="10">
        <v>94</v>
      </c>
      <c r="K4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065">
        <v>0</v>
      </c>
      <c r="M40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5">
        <v>4</v>
      </c>
      <c r="O4065" s="23" t="s">
        <v>221</v>
      </c>
      <c r="P4065">
        <v>8</v>
      </c>
      <c r="Q4065" s="23" t="s">
        <v>222</v>
      </c>
    </row>
    <row r="4066" spans="1:17" x14ac:dyDescent="0.25">
      <c r="A4066" s="23" t="s">
        <v>1149</v>
      </c>
      <c r="B4066" s="23" t="s">
        <v>1145</v>
      </c>
      <c r="C4066" s="23" t="s">
        <v>176</v>
      </c>
      <c r="D4066" s="23" t="s">
        <v>1083</v>
      </c>
      <c r="E4066" s="23" t="s">
        <v>1084</v>
      </c>
      <c r="F4066">
        <v>2</v>
      </c>
      <c r="G4066" s="23" t="s">
        <v>177</v>
      </c>
      <c r="H4066">
        <v>0</v>
      </c>
      <c r="I4066">
        <v>16</v>
      </c>
      <c r="J4066" s="10">
        <v>14</v>
      </c>
      <c r="K4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66">
        <v>20</v>
      </c>
      <c r="M40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6">
        <v>194</v>
      </c>
      <c r="O4066" s="23" t="s">
        <v>218</v>
      </c>
      <c r="P4066">
        <v>388</v>
      </c>
      <c r="Q4066" s="23" t="s">
        <v>178</v>
      </c>
    </row>
    <row r="4067" spans="1:17" x14ac:dyDescent="0.25">
      <c r="A4067" s="23" t="s">
        <v>1144</v>
      </c>
      <c r="B4067" s="23" t="s">
        <v>1145</v>
      </c>
      <c r="C4067" s="23" t="s">
        <v>176</v>
      </c>
      <c r="D4067" s="23" t="s">
        <v>1083</v>
      </c>
      <c r="E4067" s="23" t="s">
        <v>1084</v>
      </c>
      <c r="F4067">
        <v>2</v>
      </c>
      <c r="G4067" s="23" t="s">
        <v>177</v>
      </c>
      <c r="H4067">
        <v>0</v>
      </c>
      <c r="I4067">
        <v>16</v>
      </c>
      <c r="J4067" s="10">
        <v>14</v>
      </c>
      <c r="K4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067">
        <v>20</v>
      </c>
      <c r="M40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7">
        <v>194</v>
      </c>
      <c r="O4067" s="23" t="s">
        <v>218</v>
      </c>
      <c r="P4067">
        <v>388</v>
      </c>
      <c r="Q4067" s="23" t="s">
        <v>178</v>
      </c>
    </row>
    <row r="4068" spans="1:17" x14ac:dyDescent="0.25">
      <c r="A4068" s="23" t="s">
        <v>1144</v>
      </c>
      <c r="B4068" s="23" t="s">
        <v>1145</v>
      </c>
      <c r="C4068" s="23" t="s">
        <v>176</v>
      </c>
      <c r="D4068" s="23" t="s">
        <v>553</v>
      </c>
      <c r="E4068" s="23" t="s">
        <v>554</v>
      </c>
      <c r="F4068">
        <v>1</v>
      </c>
      <c r="G4068" s="23" t="s">
        <v>177</v>
      </c>
      <c r="H4068">
        <v>0</v>
      </c>
      <c r="I4068">
        <v>14</v>
      </c>
      <c r="J4068" s="10">
        <v>9.9999999999999964</v>
      </c>
      <c r="K4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68">
        <v>0</v>
      </c>
      <c r="M40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68">
        <v>215</v>
      </c>
      <c r="O4068" s="23" t="s">
        <v>242</v>
      </c>
      <c r="P4068">
        <v>215</v>
      </c>
      <c r="Q4068" s="23" t="s">
        <v>181</v>
      </c>
    </row>
    <row r="4069" spans="1:17" x14ac:dyDescent="0.25">
      <c r="A4069" s="23" t="s">
        <v>1144</v>
      </c>
      <c r="B4069" s="23" t="s">
        <v>1145</v>
      </c>
      <c r="C4069" s="23" t="s">
        <v>176</v>
      </c>
      <c r="D4069" s="23" t="s">
        <v>561</v>
      </c>
      <c r="E4069" s="23" t="s">
        <v>562</v>
      </c>
      <c r="F4069">
        <v>3.2</v>
      </c>
      <c r="G4069" s="23" t="s">
        <v>177</v>
      </c>
      <c r="H4069">
        <v>0</v>
      </c>
      <c r="I4069">
        <v>272</v>
      </c>
      <c r="J4069" s="10">
        <v>4.3</v>
      </c>
      <c r="K4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69">
        <v>0</v>
      </c>
      <c r="M40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69">
        <v>30</v>
      </c>
      <c r="O4069" s="23" t="s">
        <v>242</v>
      </c>
      <c r="P4069">
        <v>96</v>
      </c>
      <c r="Q4069" s="23" t="s">
        <v>181</v>
      </c>
    </row>
    <row r="4070" spans="1:17" x14ac:dyDescent="0.25">
      <c r="A4070" s="23" t="s">
        <v>1097</v>
      </c>
      <c r="B4070" s="23" t="s">
        <v>1095</v>
      </c>
      <c r="C4070" s="23" t="s">
        <v>176</v>
      </c>
      <c r="D4070" s="23" t="s">
        <v>549</v>
      </c>
      <c r="E4070" s="23" t="s">
        <v>550</v>
      </c>
      <c r="F4070">
        <v>30</v>
      </c>
      <c r="G4070" s="23" t="s">
        <v>177</v>
      </c>
      <c r="H4070">
        <v>0</v>
      </c>
      <c r="I4070">
        <v>800</v>
      </c>
      <c r="J4070" s="10">
        <v>0</v>
      </c>
      <c r="K4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70">
        <v>0</v>
      </c>
      <c r="M40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0">
        <v>13.75</v>
      </c>
      <c r="O4070" s="23" t="s">
        <v>629</v>
      </c>
      <c r="P4070">
        <v>412.5</v>
      </c>
      <c r="Q4070" s="23" t="s">
        <v>181</v>
      </c>
    </row>
    <row r="4071" spans="1:17" x14ac:dyDescent="0.25">
      <c r="A4071" s="23" t="s">
        <v>1062</v>
      </c>
      <c r="B4071" s="23" t="s">
        <v>1053</v>
      </c>
      <c r="C4071" s="23" t="s">
        <v>176</v>
      </c>
      <c r="D4071" s="23" t="s">
        <v>553</v>
      </c>
      <c r="E4071" s="23" t="s">
        <v>554</v>
      </c>
      <c r="F4071">
        <v>0.8</v>
      </c>
      <c r="G4071" s="23" t="s">
        <v>177</v>
      </c>
      <c r="H4071">
        <v>0</v>
      </c>
      <c r="I4071">
        <v>14</v>
      </c>
      <c r="J4071" s="10">
        <v>9.9999999999999964</v>
      </c>
      <c r="K4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71">
        <v>0</v>
      </c>
      <c r="M40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71">
        <v>215</v>
      </c>
      <c r="O4071" s="23" t="s">
        <v>242</v>
      </c>
      <c r="P4071">
        <v>172</v>
      </c>
      <c r="Q4071" s="23" t="s">
        <v>181</v>
      </c>
    </row>
    <row r="4072" spans="1:17" x14ac:dyDescent="0.25">
      <c r="A4072" s="23" t="s">
        <v>1097</v>
      </c>
      <c r="B4072" s="23" t="s">
        <v>1095</v>
      </c>
      <c r="C4072" s="23" t="s">
        <v>176</v>
      </c>
      <c r="D4072" s="23" t="s">
        <v>553</v>
      </c>
      <c r="E4072" s="23" t="s">
        <v>554</v>
      </c>
      <c r="F4072">
        <v>0.67</v>
      </c>
      <c r="G4072" s="23" t="s">
        <v>177</v>
      </c>
      <c r="H4072">
        <v>0</v>
      </c>
      <c r="I4072">
        <v>14</v>
      </c>
      <c r="J4072" s="10">
        <v>9.9999999999999964</v>
      </c>
      <c r="K4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72">
        <v>0</v>
      </c>
      <c r="M40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72">
        <v>215</v>
      </c>
      <c r="O4072" s="23" t="s">
        <v>242</v>
      </c>
      <c r="P4072">
        <v>144.05000000000001</v>
      </c>
      <c r="Q4072" s="23" t="s">
        <v>181</v>
      </c>
    </row>
    <row r="4073" spans="1:17" x14ac:dyDescent="0.25">
      <c r="A4073" s="23" t="s">
        <v>1062</v>
      </c>
      <c r="B4073" s="23" t="s">
        <v>1053</v>
      </c>
      <c r="C4073" s="23" t="s">
        <v>176</v>
      </c>
      <c r="D4073" s="23" t="s">
        <v>561</v>
      </c>
      <c r="E4073" s="23" t="s">
        <v>562</v>
      </c>
      <c r="F4073">
        <v>1.5</v>
      </c>
      <c r="G4073" s="23" t="s">
        <v>177</v>
      </c>
      <c r="H4073">
        <v>0</v>
      </c>
      <c r="I4073">
        <v>272</v>
      </c>
      <c r="J4073" s="10">
        <v>4.3</v>
      </c>
      <c r="K4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073">
        <v>0</v>
      </c>
      <c r="M40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3">
        <v>30</v>
      </c>
      <c r="O4073" s="23" t="s">
        <v>242</v>
      </c>
      <c r="P4073">
        <v>45</v>
      </c>
      <c r="Q4073" s="23" t="s">
        <v>181</v>
      </c>
    </row>
    <row r="4074" spans="1:17" x14ac:dyDescent="0.25">
      <c r="A4074" s="23" t="s">
        <v>1149</v>
      </c>
      <c r="B4074" s="23" t="s">
        <v>1145</v>
      </c>
      <c r="C4074" s="23" t="s">
        <v>176</v>
      </c>
      <c r="D4074" s="23" t="s">
        <v>549</v>
      </c>
      <c r="E4074" s="23" t="s">
        <v>550</v>
      </c>
      <c r="F4074">
        <v>28</v>
      </c>
      <c r="G4074" s="23" t="s">
        <v>177</v>
      </c>
      <c r="H4074">
        <v>0</v>
      </c>
      <c r="I4074">
        <v>800</v>
      </c>
      <c r="J4074" s="10">
        <v>0</v>
      </c>
      <c r="K4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74">
        <v>0</v>
      </c>
      <c r="M40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4">
        <v>13.75</v>
      </c>
      <c r="O4074" s="23" t="s">
        <v>629</v>
      </c>
      <c r="P4074">
        <v>385</v>
      </c>
      <c r="Q4074" s="23" t="s">
        <v>181</v>
      </c>
    </row>
    <row r="4075" spans="1:17" x14ac:dyDescent="0.25">
      <c r="A4075" s="23" t="s">
        <v>1144</v>
      </c>
      <c r="B4075" s="23" t="s">
        <v>1145</v>
      </c>
      <c r="C4075" s="23" t="s">
        <v>176</v>
      </c>
      <c r="D4075" s="23" t="s">
        <v>549</v>
      </c>
      <c r="E4075" s="23" t="s">
        <v>550</v>
      </c>
      <c r="F4075">
        <v>28</v>
      </c>
      <c r="G4075" s="23" t="s">
        <v>177</v>
      </c>
      <c r="H4075">
        <v>0</v>
      </c>
      <c r="I4075">
        <v>800</v>
      </c>
      <c r="J4075" s="10">
        <v>0</v>
      </c>
      <c r="K4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75">
        <v>0</v>
      </c>
      <c r="M40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5">
        <v>13.75</v>
      </c>
      <c r="O4075" s="23" t="s">
        <v>629</v>
      </c>
      <c r="P4075">
        <v>385</v>
      </c>
      <c r="Q4075" s="23" t="s">
        <v>181</v>
      </c>
    </row>
    <row r="4076" spans="1:17" x14ac:dyDescent="0.25">
      <c r="A4076" s="23" t="s">
        <v>1146</v>
      </c>
      <c r="B4076" s="23" t="s">
        <v>1145</v>
      </c>
      <c r="C4076" s="23" t="s">
        <v>176</v>
      </c>
      <c r="D4076" s="23" t="s">
        <v>549</v>
      </c>
      <c r="E4076" s="23" t="s">
        <v>550</v>
      </c>
      <c r="F4076">
        <v>28</v>
      </c>
      <c r="G4076" s="23" t="s">
        <v>177</v>
      </c>
      <c r="H4076">
        <v>0</v>
      </c>
      <c r="I4076">
        <v>800</v>
      </c>
      <c r="J4076" s="10">
        <v>0</v>
      </c>
      <c r="K4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076">
        <v>0</v>
      </c>
      <c r="M40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6">
        <v>13.75</v>
      </c>
      <c r="O4076" s="23" t="s">
        <v>629</v>
      </c>
      <c r="P4076">
        <v>385</v>
      </c>
      <c r="Q4076" s="23" t="s">
        <v>181</v>
      </c>
    </row>
    <row r="4077" spans="1:17" x14ac:dyDescent="0.25">
      <c r="A4077" s="23" t="s">
        <v>1146</v>
      </c>
      <c r="B4077" s="23" t="s">
        <v>1145</v>
      </c>
      <c r="C4077" s="23" t="s">
        <v>176</v>
      </c>
      <c r="D4077" s="23" t="s">
        <v>553</v>
      </c>
      <c r="E4077" s="23" t="s">
        <v>554</v>
      </c>
      <c r="F4077">
        <v>1</v>
      </c>
      <c r="G4077" s="23" t="s">
        <v>177</v>
      </c>
      <c r="H4077">
        <v>0</v>
      </c>
      <c r="I4077">
        <v>14</v>
      </c>
      <c r="J4077" s="10">
        <v>9.9999999999999964</v>
      </c>
      <c r="K4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077">
        <v>0</v>
      </c>
      <c r="M40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077">
        <v>215</v>
      </c>
      <c r="O4077" s="23" t="s">
        <v>242</v>
      </c>
      <c r="P4077">
        <v>215</v>
      </c>
      <c r="Q4077" s="23" t="s">
        <v>181</v>
      </c>
    </row>
    <row r="4078" spans="1:17" x14ac:dyDescent="0.25">
      <c r="A4078" s="23" t="s">
        <v>1099</v>
      </c>
      <c r="B4078" s="23" t="s">
        <v>1056</v>
      </c>
      <c r="C4078" s="23" t="s">
        <v>176</v>
      </c>
      <c r="D4078" s="23" t="s">
        <v>871</v>
      </c>
      <c r="E4078" s="23" t="s">
        <v>872</v>
      </c>
      <c r="F4078">
        <v>4</v>
      </c>
      <c r="G4078" s="23" t="s">
        <v>177</v>
      </c>
      <c r="H4078">
        <v>0</v>
      </c>
      <c r="I4078">
        <v>0</v>
      </c>
      <c r="J4078" s="10">
        <v>8</v>
      </c>
      <c r="K4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-60</v>
      </c>
      <c r="L4078">
        <v>72</v>
      </c>
      <c r="M40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78">
        <v>5265.79</v>
      </c>
      <c r="O4078" s="23" t="s">
        <v>873</v>
      </c>
      <c r="P4078">
        <v>21063.16</v>
      </c>
      <c r="Q4078" s="23" t="s">
        <v>179</v>
      </c>
    </row>
    <row r="4079" spans="1:17" x14ac:dyDescent="0.25">
      <c r="A4079" s="23" t="s">
        <v>1055</v>
      </c>
      <c r="B4079" s="23" t="s">
        <v>1056</v>
      </c>
      <c r="C4079" s="23" t="s">
        <v>176</v>
      </c>
      <c r="D4079" s="23" t="s">
        <v>392</v>
      </c>
      <c r="E4079" s="23" t="s">
        <v>393</v>
      </c>
      <c r="F4079">
        <v>5.5</v>
      </c>
      <c r="G4079" s="23" t="s">
        <v>177</v>
      </c>
      <c r="H4079">
        <v>0</v>
      </c>
      <c r="I4079">
        <v>0</v>
      </c>
      <c r="J4079" s="10">
        <v>24.050000000000068</v>
      </c>
      <c r="K4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4079">
        <v>34</v>
      </c>
      <c r="M40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4079">
        <v>1691.67</v>
      </c>
      <c r="O4079" s="23" t="s">
        <v>224</v>
      </c>
      <c r="P4079">
        <v>9304.1850000000013</v>
      </c>
      <c r="Q4079" s="23" t="s">
        <v>182</v>
      </c>
    </row>
    <row r="4080" spans="1:17" x14ac:dyDescent="0.25">
      <c r="A4080" s="23" t="s">
        <v>1148</v>
      </c>
      <c r="B4080" s="23" t="s">
        <v>1054</v>
      </c>
      <c r="C4080" s="23" t="s">
        <v>176</v>
      </c>
      <c r="D4080" s="23" t="s">
        <v>509</v>
      </c>
      <c r="E4080" s="23" t="s">
        <v>510</v>
      </c>
      <c r="F4080">
        <v>1</v>
      </c>
      <c r="G4080" s="23" t="s">
        <v>177</v>
      </c>
      <c r="H4080">
        <v>0</v>
      </c>
      <c r="I4080">
        <v>6</v>
      </c>
      <c r="J4080" s="10">
        <v>9</v>
      </c>
      <c r="K4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80">
        <v>7</v>
      </c>
      <c r="M40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0">
        <v>1535.25</v>
      </c>
      <c r="O4080" s="23" t="s">
        <v>508</v>
      </c>
      <c r="P4080">
        <v>1535.25</v>
      </c>
      <c r="Q4080" s="23" t="s">
        <v>222</v>
      </c>
    </row>
    <row r="4081" spans="1:17" x14ac:dyDescent="0.25">
      <c r="A4081" s="23" t="s">
        <v>1058</v>
      </c>
      <c r="B4081" s="23" t="s">
        <v>1059</v>
      </c>
      <c r="C4081" s="23" t="s">
        <v>176</v>
      </c>
      <c r="D4081" s="23" t="s">
        <v>793</v>
      </c>
      <c r="E4081" s="23" t="s">
        <v>137</v>
      </c>
      <c r="F4081">
        <v>8</v>
      </c>
      <c r="G4081" s="23" t="s">
        <v>177</v>
      </c>
      <c r="H4081">
        <v>0</v>
      </c>
      <c r="I4081">
        <v>524</v>
      </c>
      <c r="J4081" s="10">
        <v>352</v>
      </c>
      <c r="K4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081">
        <v>0</v>
      </c>
      <c r="M40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81">
        <v>8.1</v>
      </c>
      <c r="O4081" s="23" t="s">
        <v>505</v>
      </c>
      <c r="P4081">
        <v>64.8</v>
      </c>
      <c r="Q4081" s="23" t="s">
        <v>222</v>
      </c>
    </row>
    <row r="4082" spans="1:17" x14ac:dyDescent="0.25">
      <c r="A4082" s="23" t="s">
        <v>1147</v>
      </c>
      <c r="B4082" s="23" t="s">
        <v>1145</v>
      </c>
      <c r="C4082" s="23" t="s">
        <v>176</v>
      </c>
      <c r="D4082" s="23" t="s">
        <v>513</v>
      </c>
      <c r="E4082" s="23" t="s">
        <v>514</v>
      </c>
      <c r="F4082">
        <v>2</v>
      </c>
      <c r="G4082" s="23" t="s">
        <v>177</v>
      </c>
      <c r="H4082">
        <v>0</v>
      </c>
      <c r="I4082">
        <v>6</v>
      </c>
      <c r="J4082" s="10">
        <v>8</v>
      </c>
      <c r="K4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82">
        <v>0</v>
      </c>
      <c r="M40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82">
        <v>1603.33</v>
      </c>
      <c r="O4082" s="23" t="s">
        <v>264</v>
      </c>
      <c r="P4082">
        <v>3206.66</v>
      </c>
      <c r="Q4082" s="23" t="s">
        <v>222</v>
      </c>
    </row>
    <row r="4083" spans="1:17" x14ac:dyDescent="0.25">
      <c r="A4083" s="23" t="s">
        <v>1148</v>
      </c>
      <c r="B4083" s="23" t="s">
        <v>1054</v>
      </c>
      <c r="C4083" s="23" t="s">
        <v>176</v>
      </c>
      <c r="D4083" s="23" t="s">
        <v>513</v>
      </c>
      <c r="E4083" s="23" t="s">
        <v>514</v>
      </c>
      <c r="F4083">
        <v>2</v>
      </c>
      <c r="G4083" s="23" t="s">
        <v>177</v>
      </c>
      <c r="H4083">
        <v>0</v>
      </c>
      <c r="I4083">
        <v>6</v>
      </c>
      <c r="J4083" s="10">
        <v>8</v>
      </c>
      <c r="K4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83">
        <v>0</v>
      </c>
      <c r="M40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83">
        <v>1603.33</v>
      </c>
      <c r="O4083" s="23" t="s">
        <v>264</v>
      </c>
      <c r="P4083">
        <v>3206.66</v>
      </c>
      <c r="Q4083" s="23" t="s">
        <v>222</v>
      </c>
    </row>
    <row r="4084" spans="1:17" x14ac:dyDescent="0.25">
      <c r="A4084" s="23" t="s">
        <v>1146</v>
      </c>
      <c r="B4084" s="23" t="s">
        <v>1145</v>
      </c>
      <c r="C4084" s="23" t="s">
        <v>176</v>
      </c>
      <c r="D4084" s="23" t="s">
        <v>513</v>
      </c>
      <c r="E4084" s="23" t="s">
        <v>514</v>
      </c>
      <c r="F4084">
        <v>2</v>
      </c>
      <c r="G4084" s="23" t="s">
        <v>177</v>
      </c>
      <c r="H4084">
        <v>0</v>
      </c>
      <c r="I4084">
        <v>6</v>
      </c>
      <c r="J4084" s="10">
        <v>8</v>
      </c>
      <c r="K4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84">
        <v>0</v>
      </c>
      <c r="M40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84">
        <v>1603.33</v>
      </c>
      <c r="O4084" s="23" t="s">
        <v>264</v>
      </c>
      <c r="P4084">
        <v>3206.66</v>
      </c>
      <c r="Q4084" s="23" t="s">
        <v>222</v>
      </c>
    </row>
    <row r="4085" spans="1:17" x14ac:dyDescent="0.25">
      <c r="A4085" s="23" t="s">
        <v>1144</v>
      </c>
      <c r="B4085" s="23" t="s">
        <v>1145</v>
      </c>
      <c r="C4085" s="23" t="s">
        <v>176</v>
      </c>
      <c r="D4085" s="23" t="s">
        <v>513</v>
      </c>
      <c r="E4085" s="23" t="s">
        <v>514</v>
      </c>
      <c r="F4085">
        <v>4</v>
      </c>
      <c r="G4085" s="23" t="s">
        <v>177</v>
      </c>
      <c r="H4085">
        <v>0</v>
      </c>
      <c r="I4085">
        <v>6</v>
      </c>
      <c r="J4085" s="10">
        <v>8</v>
      </c>
      <c r="K4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85">
        <v>0</v>
      </c>
      <c r="M40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85">
        <v>1603.33</v>
      </c>
      <c r="O4085" s="23" t="s">
        <v>264</v>
      </c>
      <c r="P4085">
        <v>6413.32</v>
      </c>
      <c r="Q4085" s="23" t="s">
        <v>222</v>
      </c>
    </row>
    <row r="4086" spans="1:17" x14ac:dyDescent="0.25">
      <c r="A4086" s="23" t="s">
        <v>1062</v>
      </c>
      <c r="B4086" s="23" t="s">
        <v>1053</v>
      </c>
      <c r="C4086" s="23" t="s">
        <v>176</v>
      </c>
      <c r="D4086" s="23" t="s">
        <v>513</v>
      </c>
      <c r="E4086" s="23" t="s">
        <v>514</v>
      </c>
      <c r="F4086">
        <v>2</v>
      </c>
      <c r="G4086" s="23" t="s">
        <v>177</v>
      </c>
      <c r="H4086">
        <v>2</v>
      </c>
      <c r="I4086">
        <v>6</v>
      </c>
      <c r="J4086" s="10">
        <v>8</v>
      </c>
      <c r="K4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86">
        <v>0</v>
      </c>
      <c r="M40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86">
        <v>1603.33</v>
      </c>
      <c r="O4086" s="23" t="s">
        <v>264</v>
      </c>
      <c r="P4086">
        <v>3206.66</v>
      </c>
      <c r="Q4086" s="23" t="s">
        <v>222</v>
      </c>
    </row>
    <row r="4087" spans="1:17" x14ac:dyDescent="0.25">
      <c r="A4087" s="23" t="s">
        <v>1148</v>
      </c>
      <c r="B4087" s="23" t="s">
        <v>1054</v>
      </c>
      <c r="C4087" s="23" t="s">
        <v>176</v>
      </c>
      <c r="D4087" s="23" t="s">
        <v>687</v>
      </c>
      <c r="E4087" s="23" t="s">
        <v>688</v>
      </c>
      <c r="F4087">
        <v>1</v>
      </c>
      <c r="G4087" s="23" t="s">
        <v>177</v>
      </c>
      <c r="H4087">
        <v>0</v>
      </c>
      <c r="I4087">
        <v>0</v>
      </c>
      <c r="J4087" s="10">
        <v>1</v>
      </c>
      <c r="K4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087">
        <v>0</v>
      </c>
      <c r="M40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4087">
        <v>1541.99</v>
      </c>
      <c r="O4087" s="23" t="s">
        <v>689</v>
      </c>
      <c r="P4087">
        <v>1541.99</v>
      </c>
      <c r="Q4087" s="23" t="s">
        <v>178</v>
      </c>
    </row>
    <row r="4088" spans="1:17" x14ac:dyDescent="0.25">
      <c r="A4088" s="23" t="s">
        <v>1149</v>
      </c>
      <c r="B4088" s="23" t="s">
        <v>1145</v>
      </c>
      <c r="C4088" s="23" t="s">
        <v>176</v>
      </c>
      <c r="D4088" s="23" t="s">
        <v>513</v>
      </c>
      <c r="E4088" s="23" t="s">
        <v>514</v>
      </c>
      <c r="F4088">
        <v>2</v>
      </c>
      <c r="G4088" s="23" t="s">
        <v>177</v>
      </c>
      <c r="H4088">
        <v>0</v>
      </c>
      <c r="I4088">
        <v>6</v>
      </c>
      <c r="J4088" s="10">
        <v>8</v>
      </c>
      <c r="K4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88">
        <v>0</v>
      </c>
      <c r="M40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88">
        <v>1603.33</v>
      </c>
      <c r="O4088" s="23" t="s">
        <v>264</v>
      </c>
      <c r="P4088">
        <v>3206.66</v>
      </c>
      <c r="Q4088" s="23" t="s">
        <v>222</v>
      </c>
    </row>
    <row r="4089" spans="1:17" x14ac:dyDescent="0.25">
      <c r="A4089" s="23" t="s">
        <v>1146</v>
      </c>
      <c r="B4089" s="23" t="s">
        <v>1145</v>
      </c>
      <c r="C4089" s="23" t="s">
        <v>176</v>
      </c>
      <c r="D4089" s="23" t="s">
        <v>687</v>
      </c>
      <c r="E4089" s="23" t="s">
        <v>688</v>
      </c>
      <c r="F4089">
        <v>1</v>
      </c>
      <c r="G4089" s="23" t="s">
        <v>177</v>
      </c>
      <c r="H4089">
        <v>0</v>
      </c>
      <c r="I4089">
        <v>0</v>
      </c>
      <c r="J4089" s="10">
        <v>1</v>
      </c>
      <c r="K4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089">
        <v>0</v>
      </c>
      <c r="M40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4089">
        <v>1541.99</v>
      </c>
      <c r="O4089" s="23" t="s">
        <v>689</v>
      </c>
      <c r="P4089">
        <v>1541.99</v>
      </c>
      <c r="Q4089" s="23" t="s">
        <v>178</v>
      </c>
    </row>
    <row r="4090" spans="1:17" x14ac:dyDescent="0.25">
      <c r="A4090" s="23" t="s">
        <v>1098</v>
      </c>
      <c r="B4090" s="23" t="s">
        <v>1053</v>
      </c>
      <c r="C4090" s="23" t="s">
        <v>176</v>
      </c>
      <c r="D4090" s="23" t="s">
        <v>513</v>
      </c>
      <c r="E4090" s="23" t="s">
        <v>514</v>
      </c>
      <c r="F4090">
        <v>2</v>
      </c>
      <c r="G4090" s="23" t="s">
        <v>177</v>
      </c>
      <c r="H4090">
        <v>0</v>
      </c>
      <c r="I4090">
        <v>6</v>
      </c>
      <c r="J4090" s="10">
        <v>8</v>
      </c>
      <c r="K4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90">
        <v>0</v>
      </c>
      <c r="M40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90">
        <v>1603.33</v>
      </c>
      <c r="O4090" s="23" t="s">
        <v>264</v>
      </c>
      <c r="P4090">
        <v>3206.66</v>
      </c>
      <c r="Q4090" s="23" t="s">
        <v>222</v>
      </c>
    </row>
    <row r="4091" spans="1:17" x14ac:dyDescent="0.25">
      <c r="A4091" s="23" t="s">
        <v>1197</v>
      </c>
      <c r="B4091" s="23" t="s">
        <v>1198</v>
      </c>
      <c r="C4091" s="23" t="s">
        <v>176</v>
      </c>
      <c r="D4091" s="23" t="s">
        <v>513</v>
      </c>
      <c r="E4091" s="23" t="s">
        <v>514</v>
      </c>
      <c r="F4091">
        <v>4</v>
      </c>
      <c r="G4091" s="23" t="s">
        <v>177</v>
      </c>
      <c r="H4091">
        <v>0</v>
      </c>
      <c r="I4091">
        <v>6</v>
      </c>
      <c r="J4091" s="10">
        <v>8</v>
      </c>
      <c r="K4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91">
        <v>0</v>
      </c>
      <c r="M40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91">
        <v>1603.33</v>
      </c>
      <c r="O4091" s="23" t="s">
        <v>264</v>
      </c>
      <c r="P4091">
        <v>6413.32</v>
      </c>
      <c r="Q4091" s="23" t="s">
        <v>222</v>
      </c>
    </row>
    <row r="4092" spans="1:17" x14ac:dyDescent="0.25">
      <c r="A4092" s="23" t="s">
        <v>1150</v>
      </c>
      <c r="B4092" s="23" t="s">
        <v>1145</v>
      </c>
      <c r="C4092" s="23" t="s">
        <v>176</v>
      </c>
      <c r="D4092" s="23" t="s">
        <v>513</v>
      </c>
      <c r="E4092" s="23" t="s">
        <v>514</v>
      </c>
      <c r="F4092">
        <v>4</v>
      </c>
      <c r="G4092" s="23" t="s">
        <v>177</v>
      </c>
      <c r="H4092">
        <v>0</v>
      </c>
      <c r="I4092">
        <v>6</v>
      </c>
      <c r="J4092" s="10">
        <v>8</v>
      </c>
      <c r="K4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92">
        <v>0</v>
      </c>
      <c r="M40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92">
        <v>1603.33</v>
      </c>
      <c r="O4092" s="23" t="s">
        <v>264</v>
      </c>
      <c r="P4092">
        <v>6413.32</v>
      </c>
      <c r="Q4092" s="23" t="s">
        <v>222</v>
      </c>
    </row>
    <row r="4093" spans="1:17" x14ac:dyDescent="0.25">
      <c r="A4093" s="23" t="s">
        <v>1097</v>
      </c>
      <c r="B4093" s="23" t="s">
        <v>1095</v>
      </c>
      <c r="C4093" s="23" t="s">
        <v>176</v>
      </c>
      <c r="D4093" s="23" t="s">
        <v>513</v>
      </c>
      <c r="E4093" s="23" t="s">
        <v>514</v>
      </c>
      <c r="F4093">
        <v>2</v>
      </c>
      <c r="G4093" s="23" t="s">
        <v>177</v>
      </c>
      <c r="H4093">
        <v>0</v>
      </c>
      <c r="I4093">
        <v>6</v>
      </c>
      <c r="J4093" s="10">
        <v>8</v>
      </c>
      <c r="K4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093">
        <v>0</v>
      </c>
      <c r="M40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093">
        <v>1603.33</v>
      </c>
      <c r="O4093" s="23" t="s">
        <v>264</v>
      </c>
      <c r="P4093">
        <v>3206.66</v>
      </c>
      <c r="Q4093" s="23" t="s">
        <v>222</v>
      </c>
    </row>
    <row r="4094" spans="1:17" x14ac:dyDescent="0.25">
      <c r="A4094" s="23" t="s">
        <v>1094</v>
      </c>
      <c r="B4094" s="23" t="s">
        <v>1095</v>
      </c>
      <c r="C4094" s="23" t="s">
        <v>176</v>
      </c>
      <c r="D4094" s="23" t="s">
        <v>392</v>
      </c>
      <c r="E4094" s="23" t="s">
        <v>393</v>
      </c>
      <c r="F4094">
        <v>16.240000000000002</v>
      </c>
      <c r="G4094" s="23" t="s">
        <v>177</v>
      </c>
      <c r="H4094">
        <v>0</v>
      </c>
      <c r="I4094">
        <v>0</v>
      </c>
      <c r="J4094" s="10">
        <v>24.050000000000068</v>
      </c>
      <c r="K4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4094">
        <v>34</v>
      </c>
      <c r="M40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4094">
        <v>1691.67</v>
      </c>
      <c r="O4094" s="23" t="s">
        <v>224</v>
      </c>
      <c r="P4094">
        <v>27472.720800000003</v>
      </c>
      <c r="Q4094" s="23" t="s">
        <v>182</v>
      </c>
    </row>
    <row r="4095" spans="1:17" x14ac:dyDescent="0.25">
      <c r="A4095" s="23" t="s">
        <v>1143</v>
      </c>
      <c r="B4095" s="23" t="s">
        <v>1054</v>
      </c>
      <c r="C4095" s="23" t="s">
        <v>176</v>
      </c>
      <c r="D4095" s="23" t="s">
        <v>509</v>
      </c>
      <c r="E4095" s="23" t="s">
        <v>510</v>
      </c>
      <c r="F4095">
        <v>1</v>
      </c>
      <c r="G4095" s="23" t="s">
        <v>177</v>
      </c>
      <c r="H4095">
        <v>0</v>
      </c>
      <c r="I4095">
        <v>6</v>
      </c>
      <c r="J4095" s="10">
        <v>9</v>
      </c>
      <c r="K4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095">
        <v>7</v>
      </c>
      <c r="M40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5">
        <v>1535.25</v>
      </c>
      <c r="O4095" s="23" t="s">
        <v>508</v>
      </c>
      <c r="P4095">
        <v>1535.25</v>
      </c>
      <c r="Q4095" s="23" t="s">
        <v>222</v>
      </c>
    </row>
    <row r="4096" spans="1:17" x14ac:dyDescent="0.25">
      <c r="A4096" s="23" t="s">
        <v>1057</v>
      </c>
      <c r="B4096" s="23" t="s">
        <v>1056</v>
      </c>
      <c r="C4096" s="23" t="s">
        <v>176</v>
      </c>
      <c r="D4096" s="23" t="s">
        <v>1092</v>
      </c>
      <c r="E4096" s="23" t="s">
        <v>1093</v>
      </c>
      <c r="F4096">
        <v>1</v>
      </c>
      <c r="G4096" s="23" t="s">
        <v>177</v>
      </c>
      <c r="H4096">
        <v>0</v>
      </c>
      <c r="I4096">
        <v>0</v>
      </c>
      <c r="J4096" s="10">
        <v>0</v>
      </c>
      <c r="K4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096">
        <v>0</v>
      </c>
      <c r="M40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6">
        <v>0</v>
      </c>
      <c r="O4096" s="23"/>
      <c r="P4096">
        <v>0</v>
      </c>
      <c r="Q4096" s="23" t="s">
        <v>178</v>
      </c>
    </row>
    <row r="4097" spans="1:17" x14ac:dyDescent="0.25">
      <c r="A4097" s="23" t="s">
        <v>1142</v>
      </c>
      <c r="B4097" s="23" t="s">
        <v>1054</v>
      </c>
      <c r="C4097" s="23" t="s">
        <v>176</v>
      </c>
      <c r="D4097" s="23" t="s">
        <v>767</v>
      </c>
      <c r="E4097" s="23" t="s">
        <v>768</v>
      </c>
      <c r="F4097">
        <v>6</v>
      </c>
      <c r="G4097" s="23" t="s">
        <v>177</v>
      </c>
      <c r="H4097">
        <v>0</v>
      </c>
      <c r="I4097">
        <v>0</v>
      </c>
      <c r="J4097" s="10">
        <v>0</v>
      </c>
      <c r="K4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097">
        <v>0</v>
      </c>
      <c r="M40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4097">
        <v>0.7</v>
      </c>
      <c r="O4097" s="23" t="s">
        <v>221</v>
      </c>
      <c r="P4097">
        <v>4.1999999999999993</v>
      </c>
      <c r="Q4097" s="23" t="s">
        <v>222</v>
      </c>
    </row>
    <row r="4098" spans="1:17" x14ac:dyDescent="0.25">
      <c r="A4098" s="23" t="s">
        <v>1142</v>
      </c>
      <c r="B4098" s="23" t="s">
        <v>1054</v>
      </c>
      <c r="C4098" s="23" t="s">
        <v>176</v>
      </c>
      <c r="D4098" s="23" t="s">
        <v>517</v>
      </c>
      <c r="E4098" s="23" t="s">
        <v>518</v>
      </c>
      <c r="F4098">
        <v>1.5</v>
      </c>
      <c r="G4098" s="23" t="s">
        <v>177</v>
      </c>
      <c r="H4098">
        <v>0</v>
      </c>
      <c r="I4098">
        <v>91</v>
      </c>
      <c r="J4098" s="10">
        <v>17.799999999999994</v>
      </c>
      <c r="K4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4098">
        <v>0</v>
      </c>
      <c r="M40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8">
        <v>85</v>
      </c>
      <c r="O4098" s="23" t="s">
        <v>347</v>
      </c>
      <c r="P4098">
        <v>127.5</v>
      </c>
      <c r="Q4098" s="23" t="s">
        <v>181</v>
      </c>
    </row>
    <row r="4099" spans="1:17" x14ac:dyDescent="0.25">
      <c r="A4099" s="23" t="s">
        <v>1143</v>
      </c>
      <c r="B4099" s="23" t="s">
        <v>1054</v>
      </c>
      <c r="C4099" s="23" t="s">
        <v>176</v>
      </c>
      <c r="D4099" s="23" t="s">
        <v>517</v>
      </c>
      <c r="E4099" s="23" t="s">
        <v>518</v>
      </c>
      <c r="F4099">
        <v>1.5</v>
      </c>
      <c r="G4099" s="23" t="s">
        <v>177</v>
      </c>
      <c r="H4099">
        <v>0</v>
      </c>
      <c r="I4099">
        <v>91</v>
      </c>
      <c r="J4099" s="10">
        <v>17.799999999999994</v>
      </c>
      <c r="K4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4099">
        <v>0</v>
      </c>
      <c r="M40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099">
        <v>85</v>
      </c>
      <c r="O4099" s="23" t="s">
        <v>347</v>
      </c>
      <c r="P4099">
        <v>127.5</v>
      </c>
      <c r="Q4099" s="23" t="s">
        <v>181</v>
      </c>
    </row>
    <row r="4100" spans="1:17" x14ac:dyDescent="0.25">
      <c r="A4100" s="23" t="s">
        <v>1096</v>
      </c>
      <c r="B4100" s="23" t="s">
        <v>1053</v>
      </c>
      <c r="C4100" s="23" t="s">
        <v>176</v>
      </c>
      <c r="D4100" s="23" t="s">
        <v>121</v>
      </c>
      <c r="E4100" s="23" t="s">
        <v>312</v>
      </c>
      <c r="F4100">
        <v>2.2999999999999998</v>
      </c>
      <c r="G4100" s="23" t="s">
        <v>177</v>
      </c>
      <c r="H4100">
        <v>0</v>
      </c>
      <c r="I4100">
        <v>24</v>
      </c>
      <c r="J4100" s="10">
        <v>18.499999999999972</v>
      </c>
      <c r="K4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00">
        <v>0</v>
      </c>
      <c r="M41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00">
        <v>120</v>
      </c>
      <c r="O4100" s="23" t="s">
        <v>242</v>
      </c>
      <c r="P4100">
        <v>276</v>
      </c>
      <c r="Q4100" s="23" t="s">
        <v>184</v>
      </c>
    </row>
    <row r="4101" spans="1:17" x14ac:dyDescent="0.25">
      <c r="A4101" s="23" t="s">
        <v>1094</v>
      </c>
      <c r="B4101" s="23" t="s">
        <v>1095</v>
      </c>
      <c r="C4101" s="23" t="s">
        <v>176</v>
      </c>
      <c r="D4101" s="23" t="s">
        <v>121</v>
      </c>
      <c r="E4101" s="23" t="s">
        <v>312</v>
      </c>
      <c r="F4101">
        <v>1.7</v>
      </c>
      <c r="G4101" s="23" t="s">
        <v>177</v>
      </c>
      <c r="H4101">
        <v>0</v>
      </c>
      <c r="I4101">
        <v>24</v>
      </c>
      <c r="J4101" s="10">
        <v>18.499999999999972</v>
      </c>
      <c r="K4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01">
        <v>0</v>
      </c>
      <c r="M41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01">
        <v>120</v>
      </c>
      <c r="O4101" s="23" t="s">
        <v>242</v>
      </c>
      <c r="P4101">
        <v>204</v>
      </c>
      <c r="Q4101" s="23" t="s">
        <v>184</v>
      </c>
    </row>
    <row r="4102" spans="1:17" x14ac:dyDescent="0.25">
      <c r="A4102" s="23" t="s">
        <v>1144</v>
      </c>
      <c r="B4102" s="23" t="s">
        <v>1145</v>
      </c>
      <c r="C4102" s="23" t="s">
        <v>176</v>
      </c>
      <c r="D4102" s="23" t="s">
        <v>767</v>
      </c>
      <c r="E4102" s="23" t="s">
        <v>768</v>
      </c>
      <c r="F4102">
        <v>6</v>
      </c>
      <c r="G4102" s="23" t="s">
        <v>177</v>
      </c>
      <c r="H4102">
        <v>0</v>
      </c>
      <c r="I4102">
        <v>0</v>
      </c>
      <c r="J4102" s="10">
        <v>0</v>
      </c>
      <c r="K4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102">
        <v>0</v>
      </c>
      <c r="M41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4102">
        <v>0.7</v>
      </c>
      <c r="O4102" s="23" t="s">
        <v>221</v>
      </c>
      <c r="P4102">
        <v>4.1999999999999993</v>
      </c>
      <c r="Q4102" s="23" t="s">
        <v>222</v>
      </c>
    </row>
    <row r="4103" spans="1:17" x14ac:dyDescent="0.25">
      <c r="A4103" s="23" t="s">
        <v>1150</v>
      </c>
      <c r="B4103" s="23" t="s">
        <v>1145</v>
      </c>
      <c r="C4103" s="23" t="s">
        <v>176</v>
      </c>
      <c r="D4103" s="23" t="s">
        <v>109</v>
      </c>
      <c r="E4103" s="23" t="s">
        <v>110</v>
      </c>
      <c r="F4103">
        <v>1</v>
      </c>
      <c r="G4103" s="23" t="s">
        <v>177</v>
      </c>
      <c r="H4103">
        <v>0</v>
      </c>
      <c r="I4103">
        <v>0</v>
      </c>
      <c r="J4103" s="10">
        <v>5.5699999999999843</v>
      </c>
      <c r="K4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03">
        <v>0</v>
      </c>
      <c r="M41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4103">
        <v>1416.67</v>
      </c>
      <c r="O4103" s="23" t="s">
        <v>224</v>
      </c>
      <c r="P4103">
        <v>1416.67</v>
      </c>
      <c r="Q4103" s="23" t="s">
        <v>182</v>
      </c>
    </row>
    <row r="4104" spans="1:17" x14ac:dyDescent="0.25">
      <c r="A4104" s="23" t="s">
        <v>1149</v>
      </c>
      <c r="B4104" s="23" t="s">
        <v>1145</v>
      </c>
      <c r="C4104" s="23" t="s">
        <v>176</v>
      </c>
      <c r="D4104" s="23" t="s">
        <v>121</v>
      </c>
      <c r="E4104" s="23" t="s">
        <v>312</v>
      </c>
      <c r="F4104">
        <v>1.5</v>
      </c>
      <c r="G4104" s="23" t="s">
        <v>177</v>
      </c>
      <c r="H4104">
        <v>0</v>
      </c>
      <c r="I4104">
        <v>24</v>
      </c>
      <c r="J4104" s="10">
        <v>18.499999999999972</v>
      </c>
      <c r="K4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04">
        <v>0</v>
      </c>
      <c r="M41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04">
        <v>120</v>
      </c>
      <c r="O4104" s="23" t="s">
        <v>242</v>
      </c>
      <c r="P4104">
        <v>180</v>
      </c>
      <c r="Q4104" s="23" t="s">
        <v>184</v>
      </c>
    </row>
    <row r="4105" spans="1:17" x14ac:dyDescent="0.25">
      <c r="A4105" s="23" t="s">
        <v>1150</v>
      </c>
      <c r="B4105" s="23" t="s">
        <v>1145</v>
      </c>
      <c r="C4105" s="23" t="s">
        <v>176</v>
      </c>
      <c r="D4105" s="23" t="s">
        <v>387</v>
      </c>
      <c r="E4105" s="23" t="s">
        <v>614</v>
      </c>
      <c r="F4105">
        <v>1</v>
      </c>
      <c r="G4105" s="23" t="s">
        <v>183</v>
      </c>
      <c r="H4105">
        <v>0</v>
      </c>
      <c r="I4105">
        <v>15.9</v>
      </c>
      <c r="J4105" s="10">
        <v>39.329999999999977</v>
      </c>
      <c r="K4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105">
        <v>11.895</v>
      </c>
      <c r="M41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5">
        <v>641.03</v>
      </c>
      <c r="O4105" s="23" t="s">
        <v>224</v>
      </c>
      <c r="P4105">
        <v>641.03</v>
      </c>
      <c r="Q4105" s="23" t="s">
        <v>182</v>
      </c>
    </row>
    <row r="4106" spans="1:17" x14ac:dyDescent="0.25">
      <c r="A4106" s="23" t="s">
        <v>1094</v>
      </c>
      <c r="B4106" s="23" t="s">
        <v>1095</v>
      </c>
      <c r="C4106" s="23" t="s">
        <v>176</v>
      </c>
      <c r="D4106" s="23" t="s">
        <v>7</v>
      </c>
      <c r="E4106" s="23" t="s">
        <v>8</v>
      </c>
      <c r="F4106">
        <v>1</v>
      </c>
      <c r="G4106" s="23" t="s">
        <v>177</v>
      </c>
      <c r="H4106">
        <v>0</v>
      </c>
      <c r="I4106">
        <v>3</v>
      </c>
      <c r="J4106" s="10">
        <v>7</v>
      </c>
      <c r="K4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106">
        <v>3</v>
      </c>
      <c r="M41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4106">
        <v>2477.52</v>
      </c>
      <c r="O4106" s="23" t="s">
        <v>228</v>
      </c>
      <c r="P4106">
        <v>2477.52</v>
      </c>
      <c r="Q4106" s="23" t="s">
        <v>222</v>
      </c>
    </row>
    <row r="4107" spans="1:17" x14ac:dyDescent="0.25">
      <c r="A4107" s="23" t="s">
        <v>1094</v>
      </c>
      <c r="B4107" s="23" t="s">
        <v>1095</v>
      </c>
      <c r="C4107" s="23" t="s">
        <v>176</v>
      </c>
      <c r="D4107" s="23" t="s">
        <v>9</v>
      </c>
      <c r="E4107" s="23" t="s">
        <v>10</v>
      </c>
      <c r="F4107">
        <v>4</v>
      </c>
      <c r="G4107" s="23" t="s">
        <v>177</v>
      </c>
      <c r="H4107">
        <v>0</v>
      </c>
      <c r="I4107">
        <v>19</v>
      </c>
      <c r="J4107" s="10">
        <v>32</v>
      </c>
      <c r="K4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107">
        <v>20</v>
      </c>
      <c r="M41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7">
        <v>72.819999999999993</v>
      </c>
      <c r="O4107" s="23" t="s">
        <v>228</v>
      </c>
      <c r="P4107">
        <v>291.27999999999997</v>
      </c>
      <c r="Q4107" s="23" t="s">
        <v>222</v>
      </c>
    </row>
    <row r="4108" spans="1:17" x14ac:dyDescent="0.25">
      <c r="A4108" s="23" t="s">
        <v>1094</v>
      </c>
      <c r="B4108" s="23" t="s">
        <v>1095</v>
      </c>
      <c r="C4108" s="23" t="s">
        <v>176</v>
      </c>
      <c r="D4108" s="23" t="s">
        <v>207</v>
      </c>
      <c r="E4108" s="23" t="s">
        <v>282</v>
      </c>
      <c r="F4108">
        <v>0.69</v>
      </c>
      <c r="G4108" s="23" t="s">
        <v>177</v>
      </c>
      <c r="H4108">
        <v>0</v>
      </c>
      <c r="I4108">
        <v>20</v>
      </c>
      <c r="J4108" s="10">
        <v>116.66400000000021</v>
      </c>
      <c r="K4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4108">
        <v>0</v>
      </c>
      <c r="M41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8">
        <v>185</v>
      </c>
      <c r="O4108" s="23" t="s">
        <v>242</v>
      </c>
      <c r="P4108">
        <v>127.64999999999999</v>
      </c>
      <c r="Q4108" s="23" t="s">
        <v>181</v>
      </c>
    </row>
    <row r="4109" spans="1:17" x14ac:dyDescent="0.25">
      <c r="A4109" s="23" t="s">
        <v>1094</v>
      </c>
      <c r="B4109" s="23" t="s">
        <v>1095</v>
      </c>
      <c r="C4109" s="23" t="s">
        <v>176</v>
      </c>
      <c r="D4109" s="23" t="s">
        <v>345</v>
      </c>
      <c r="E4109" s="23" t="s">
        <v>346</v>
      </c>
      <c r="F4109">
        <v>2</v>
      </c>
      <c r="G4109" s="23" t="s">
        <v>177</v>
      </c>
      <c r="H4109">
        <v>0</v>
      </c>
      <c r="I4109">
        <v>228</v>
      </c>
      <c r="J4109" s="10">
        <v>4.6185277824406512E-14</v>
      </c>
      <c r="K4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4109">
        <v>0</v>
      </c>
      <c r="M41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09">
        <v>6</v>
      </c>
      <c r="O4109" s="23" t="s">
        <v>347</v>
      </c>
      <c r="P4109">
        <v>12</v>
      </c>
      <c r="Q4109" s="23" t="s">
        <v>181</v>
      </c>
    </row>
    <row r="4110" spans="1:17" x14ac:dyDescent="0.25">
      <c r="A4110" s="23" t="s">
        <v>1142</v>
      </c>
      <c r="B4110" s="23" t="s">
        <v>1054</v>
      </c>
      <c r="C4110" s="23" t="s">
        <v>176</v>
      </c>
      <c r="D4110" s="23" t="s">
        <v>7</v>
      </c>
      <c r="E4110" s="23" t="s">
        <v>8</v>
      </c>
      <c r="F4110">
        <v>1</v>
      </c>
      <c r="G4110" s="23" t="s">
        <v>177</v>
      </c>
      <c r="H4110">
        <v>0</v>
      </c>
      <c r="I4110">
        <v>3</v>
      </c>
      <c r="J4110" s="10">
        <v>7</v>
      </c>
      <c r="K4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110">
        <v>3</v>
      </c>
      <c r="M41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4110">
        <v>2477.52</v>
      </c>
      <c r="O4110" s="23" t="s">
        <v>228</v>
      </c>
      <c r="P4110">
        <v>2477.52</v>
      </c>
      <c r="Q4110" s="23" t="s">
        <v>222</v>
      </c>
    </row>
    <row r="4111" spans="1:17" x14ac:dyDescent="0.25">
      <c r="A4111" s="23" t="s">
        <v>1142</v>
      </c>
      <c r="B4111" s="23" t="s">
        <v>1054</v>
      </c>
      <c r="C4111" s="23" t="s">
        <v>176</v>
      </c>
      <c r="D4111" s="23" t="s">
        <v>9</v>
      </c>
      <c r="E4111" s="23" t="s">
        <v>10</v>
      </c>
      <c r="F4111">
        <v>4</v>
      </c>
      <c r="G4111" s="23" t="s">
        <v>177</v>
      </c>
      <c r="H4111">
        <v>0</v>
      </c>
      <c r="I4111">
        <v>19</v>
      </c>
      <c r="J4111" s="10">
        <v>32</v>
      </c>
      <c r="K4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111">
        <v>20</v>
      </c>
      <c r="M41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1">
        <v>72.819999999999993</v>
      </c>
      <c r="O4111" s="23" t="s">
        <v>228</v>
      </c>
      <c r="P4111">
        <v>291.27999999999997</v>
      </c>
      <c r="Q4111" s="23" t="s">
        <v>222</v>
      </c>
    </row>
    <row r="4112" spans="1:17" x14ac:dyDescent="0.25">
      <c r="A4112" s="23" t="s">
        <v>1142</v>
      </c>
      <c r="B4112" s="23" t="s">
        <v>1054</v>
      </c>
      <c r="C4112" s="23" t="s">
        <v>176</v>
      </c>
      <c r="D4112" s="23" t="s">
        <v>205</v>
      </c>
      <c r="E4112" s="23" t="s">
        <v>206</v>
      </c>
      <c r="F4112">
        <v>0.5</v>
      </c>
      <c r="G4112" s="23" t="s">
        <v>177</v>
      </c>
      <c r="H4112">
        <v>0</v>
      </c>
      <c r="I4112">
        <v>100</v>
      </c>
      <c r="J4112" s="10">
        <v>41</v>
      </c>
      <c r="K4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4112">
        <v>0</v>
      </c>
      <c r="M41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2">
        <v>60</v>
      </c>
      <c r="O4112" s="23" t="s">
        <v>221</v>
      </c>
      <c r="P4112">
        <v>30</v>
      </c>
      <c r="Q4112" s="23" t="s">
        <v>181</v>
      </c>
    </row>
    <row r="4113" spans="1:17" x14ac:dyDescent="0.25">
      <c r="A4113" s="23" t="s">
        <v>1142</v>
      </c>
      <c r="B4113" s="23" t="s">
        <v>1054</v>
      </c>
      <c r="C4113" s="23" t="s">
        <v>176</v>
      </c>
      <c r="D4113" s="23" t="s">
        <v>345</v>
      </c>
      <c r="E4113" s="23" t="s">
        <v>346</v>
      </c>
      <c r="F4113">
        <v>2</v>
      </c>
      <c r="G4113" s="23" t="s">
        <v>177</v>
      </c>
      <c r="H4113">
        <v>0</v>
      </c>
      <c r="I4113">
        <v>228</v>
      </c>
      <c r="J4113" s="10">
        <v>4.6185277824406512E-14</v>
      </c>
      <c r="K4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4113">
        <v>0</v>
      </c>
      <c r="M41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3">
        <v>6</v>
      </c>
      <c r="O4113" s="23" t="s">
        <v>347</v>
      </c>
      <c r="P4113">
        <v>12</v>
      </c>
      <c r="Q4113" s="23" t="s">
        <v>181</v>
      </c>
    </row>
    <row r="4114" spans="1:17" x14ac:dyDescent="0.25">
      <c r="A4114" s="23" t="s">
        <v>1142</v>
      </c>
      <c r="B4114" s="23" t="s">
        <v>1054</v>
      </c>
      <c r="C4114" s="23" t="s">
        <v>176</v>
      </c>
      <c r="D4114" s="23" t="s">
        <v>419</v>
      </c>
      <c r="E4114" s="23" t="s">
        <v>1225</v>
      </c>
      <c r="F4114">
        <v>5</v>
      </c>
      <c r="G4114" s="23" t="s">
        <v>177</v>
      </c>
      <c r="H4114">
        <v>0</v>
      </c>
      <c r="I4114">
        <v>148</v>
      </c>
      <c r="J4114" s="10">
        <v>59</v>
      </c>
      <c r="K4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114">
        <v>0</v>
      </c>
      <c r="M41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4">
        <v>24.17</v>
      </c>
      <c r="O4114" s="23" t="s">
        <v>629</v>
      </c>
      <c r="P4114">
        <v>120.85000000000001</v>
      </c>
      <c r="Q4114" s="23" t="s">
        <v>181</v>
      </c>
    </row>
    <row r="4115" spans="1:17" x14ac:dyDescent="0.25">
      <c r="A4115" s="23" t="s">
        <v>1150</v>
      </c>
      <c r="B4115" s="23" t="s">
        <v>1145</v>
      </c>
      <c r="C4115" s="23" t="s">
        <v>176</v>
      </c>
      <c r="D4115" s="23" t="s">
        <v>345</v>
      </c>
      <c r="E4115" s="23" t="s">
        <v>346</v>
      </c>
      <c r="F4115">
        <v>3</v>
      </c>
      <c r="G4115" s="23" t="s">
        <v>177</v>
      </c>
      <c r="H4115">
        <v>0</v>
      </c>
      <c r="I4115">
        <v>228</v>
      </c>
      <c r="J4115" s="10">
        <v>4.6185277824406512E-14</v>
      </c>
      <c r="K4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4115">
        <v>0</v>
      </c>
      <c r="M41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5">
        <v>6</v>
      </c>
      <c r="O4115" s="23" t="s">
        <v>347</v>
      </c>
      <c r="P4115">
        <v>18</v>
      </c>
      <c r="Q4115" s="23" t="s">
        <v>181</v>
      </c>
    </row>
    <row r="4116" spans="1:17" x14ac:dyDescent="0.25">
      <c r="A4116" s="23" t="s">
        <v>1150</v>
      </c>
      <c r="B4116" s="23" t="s">
        <v>1145</v>
      </c>
      <c r="C4116" s="23" t="s">
        <v>176</v>
      </c>
      <c r="D4116" s="23" t="s">
        <v>419</v>
      </c>
      <c r="E4116" s="23" t="s">
        <v>1225</v>
      </c>
      <c r="F4116">
        <v>5</v>
      </c>
      <c r="G4116" s="23" t="s">
        <v>177</v>
      </c>
      <c r="H4116">
        <v>0</v>
      </c>
      <c r="I4116">
        <v>148</v>
      </c>
      <c r="J4116" s="10">
        <v>59</v>
      </c>
      <c r="K4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116">
        <v>0</v>
      </c>
      <c r="M41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6">
        <v>24.17</v>
      </c>
      <c r="O4116" s="23" t="s">
        <v>629</v>
      </c>
      <c r="P4116">
        <v>120.85000000000001</v>
      </c>
      <c r="Q4116" s="23" t="s">
        <v>181</v>
      </c>
    </row>
    <row r="4117" spans="1:17" x14ac:dyDescent="0.25">
      <c r="A4117" s="23" t="s">
        <v>1150</v>
      </c>
      <c r="B4117" s="23" t="s">
        <v>1145</v>
      </c>
      <c r="C4117" s="23" t="s">
        <v>198</v>
      </c>
      <c r="D4117" s="23" t="s">
        <v>794</v>
      </c>
      <c r="E4117" s="23" t="s">
        <v>795</v>
      </c>
      <c r="F4117">
        <v>1</v>
      </c>
      <c r="G4117" s="23" t="s">
        <v>177</v>
      </c>
      <c r="H4117">
        <v>0</v>
      </c>
      <c r="I4117">
        <v>26</v>
      </c>
      <c r="J4117" s="10">
        <v>3</v>
      </c>
      <c r="K4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117">
        <v>0</v>
      </c>
      <c r="M41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7">
        <v>2800</v>
      </c>
      <c r="O4117" s="23" t="s">
        <v>796</v>
      </c>
      <c r="P4117">
        <v>2800</v>
      </c>
      <c r="Q4117" s="23" t="s">
        <v>178</v>
      </c>
    </row>
    <row r="4118" spans="1:17" x14ac:dyDescent="0.25">
      <c r="A4118" s="23" t="s">
        <v>1142</v>
      </c>
      <c r="B4118" s="23" t="s">
        <v>1054</v>
      </c>
      <c r="C4118" s="23" t="s">
        <v>176</v>
      </c>
      <c r="D4118" s="23" t="s">
        <v>105</v>
      </c>
      <c r="E4118" s="23" t="s">
        <v>106</v>
      </c>
      <c r="F4118">
        <v>5</v>
      </c>
      <c r="G4118" s="23" t="s">
        <v>177</v>
      </c>
      <c r="H4118">
        <v>0</v>
      </c>
      <c r="I4118">
        <v>39</v>
      </c>
      <c r="J4118" s="10">
        <v>36</v>
      </c>
      <c r="K4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118">
        <v>0</v>
      </c>
      <c r="M41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118">
        <v>105</v>
      </c>
      <c r="O4118" s="23" t="s">
        <v>626</v>
      </c>
      <c r="P4118">
        <v>525</v>
      </c>
      <c r="Q4118" s="23" t="s">
        <v>179</v>
      </c>
    </row>
    <row r="4119" spans="1:17" x14ac:dyDescent="0.25">
      <c r="A4119" s="23" t="s">
        <v>1142</v>
      </c>
      <c r="B4119" s="23" t="s">
        <v>1054</v>
      </c>
      <c r="C4119" s="23" t="s">
        <v>176</v>
      </c>
      <c r="D4119" s="23" t="s">
        <v>379</v>
      </c>
      <c r="E4119" s="23" t="s">
        <v>380</v>
      </c>
      <c r="F4119">
        <v>2</v>
      </c>
      <c r="G4119" s="23" t="s">
        <v>177</v>
      </c>
      <c r="H4119">
        <v>0</v>
      </c>
      <c r="I4119">
        <v>50</v>
      </c>
      <c r="J4119" s="10">
        <v>33</v>
      </c>
      <c r="K4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119">
        <v>0</v>
      </c>
      <c r="M41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19">
        <v>72.599999999999994</v>
      </c>
      <c r="O4119" s="23" t="s">
        <v>242</v>
      </c>
      <c r="P4119">
        <v>145.19999999999999</v>
      </c>
      <c r="Q4119" s="23" t="s">
        <v>179</v>
      </c>
    </row>
    <row r="4120" spans="1:17" x14ac:dyDescent="0.25">
      <c r="A4120" s="23" t="s">
        <v>1144</v>
      </c>
      <c r="B4120" s="23" t="s">
        <v>1145</v>
      </c>
      <c r="C4120" s="23" t="s">
        <v>176</v>
      </c>
      <c r="D4120" s="23" t="s">
        <v>419</v>
      </c>
      <c r="E4120" s="23" t="s">
        <v>1225</v>
      </c>
      <c r="F4120">
        <v>5</v>
      </c>
      <c r="G4120" s="23" t="s">
        <v>177</v>
      </c>
      <c r="H4120">
        <v>0</v>
      </c>
      <c r="I4120">
        <v>148</v>
      </c>
      <c r="J4120" s="10">
        <v>59</v>
      </c>
      <c r="K4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120">
        <v>0</v>
      </c>
      <c r="M41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0">
        <v>24.17</v>
      </c>
      <c r="O4120" s="23" t="s">
        <v>629</v>
      </c>
      <c r="P4120">
        <v>120.85000000000001</v>
      </c>
      <c r="Q4120" s="23" t="s">
        <v>181</v>
      </c>
    </row>
    <row r="4121" spans="1:17" x14ac:dyDescent="0.25">
      <c r="A4121" s="23" t="s">
        <v>1149</v>
      </c>
      <c r="B4121" s="23" t="s">
        <v>1145</v>
      </c>
      <c r="C4121" s="23" t="s">
        <v>198</v>
      </c>
      <c r="D4121" s="23" t="s">
        <v>794</v>
      </c>
      <c r="E4121" s="23" t="s">
        <v>795</v>
      </c>
      <c r="F4121">
        <v>1</v>
      </c>
      <c r="G4121" s="23" t="s">
        <v>177</v>
      </c>
      <c r="H4121">
        <v>0</v>
      </c>
      <c r="I4121">
        <v>26</v>
      </c>
      <c r="J4121" s="10">
        <v>3</v>
      </c>
      <c r="K4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121">
        <v>0</v>
      </c>
      <c r="M41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1">
        <v>2800</v>
      </c>
      <c r="O4121" s="23" t="s">
        <v>796</v>
      </c>
      <c r="P4121">
        <v>2800</v>
      </c>
      <c r="Q4121" s="23" t="s">
        <v>178</v>
      </c>
    </row>
    <row r="4122" spans="1:17" x14ac:dyDescent="0.25">
      <c r="A4122" s="23" t="s">
        <v>1144</v>
      </c>
      <c r="B4122" s="23" t="s">
        <v>1145</v>
      </c>
      <c r="C4122" s="23" t="s">
        <v>176</v>
      </c>
      <c r="D4122" s="23" t="s">
        <v>105</v>
      </c>
      <c r="E4122" s="23" t="s">
        <v>106</v>
      </c>
      <c r="F4122">
        <v>5</v>
      </c>
      <c r="G4122" s="23" t="s">
        <v>177</v>
      </c>
      <c r="H4122">
        <v>0</v>
      </c>
      <c r="I4122">
        <v>39</v>
      </c>
      <c r="J4122" s="10">
        <v>36</v>
      </c>
      <c r="K4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122">
        <v>0</v>
      </c>
      <c r="M41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122">
        <v>105</v>
      </c>
      <c r="O4122" s="23" t="s">
        <v>626</v>
      </c>
      <c r="P4122">
        <v>525</v>
      </c>
      <c r="Q4122" s="23" t="s">
        <v>179</v>
      </c>
    </row>
    <row r="4123" spans="1:17" x14ac:dyDescent="0.25">
      <c r="A4123" s="23" t="s">
        <v>1146</v>
      </c>
      <c r="B4123" s="23" t="s">
        <v>1145</v>
      </c>
      <c r="C4123" s="23" t="s">
        <v>176</v>
      </c>
      <c r="D4123" s="23" t="s">
        <v>105</v>
      </c>
      <c r="E4123" s="23" t="s">
        <v>106</v>
      </c>
      <c r="F4123">
        <v>5</v>
      </c>
      <c r="G4123" s="23" t="s">
        <v>177</v>
      </c>
      <c r="H4123">
        <v>0</v>
      </c>
      <c r="I4123">
        <v>39</v>
      </c>
      <c r="J4123" s="10">
        <v>36</v>
      </c>
      <c r="K4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123">
        <v>0</v>
      </c>
      <c r="M41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123">
        <v>105</v>
      </c>
      <c r="O4123" s="23" t="s">
        <v>626</v>
      </c>
      <c r="P4123">
        <v>525</v>
      </c>
      <c r="Q4123" s="23" t="s">
        <v>179</v>
      </c>
    </row>
    <row r="4124" spans="1:17" x14ac:dyDescent="0.25">
      <c r="A4124" s="23" t="s">
        <v>1144</v>
      </c>
      <c r="B4124" s="23" t="s">
        <v>1145</v>
      </c>
      <c r="C4124" s="23" t="s">
        <v>176</v>
      </c>
      <c r="D4124" s="23" t="s">
        <v>379</v>
      </c>
      <c r="E4124" s="23" t="s">
        <v>380</v>
      </c>
      <c r="F4124">
        <v>2</v>
      </c>
      <c r="G4124" s="23" t="s">
        <v>177</v>
      </c>
      <c r="H4124">
        <v>0</v>
      </c>
      <c r="I4124">
        <v>50</v>
      </c>
      <c r="J4124" s="10">
        <v>33</v>
      </c>
      <c r="K4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124">
        <v>0</v>
      </c>
      <c r="M41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4">
        <v>72.599999999999994</v>
      </c>
      <c r="O4124" s="23" t="s">
        <v>242</v>
      </c>
      <c r="P4124">
        <v>145.19999999999999</v>
      </c>
      <c r="Q4124" s="23" t="s">
        <v>179</v>
      </c>
    </row>
    <row r="4125" spans="1:17" x14ac:dyDescent="0.25">
      <c r="A4125" s="23" t="s">
        <v>1146</v>
      </c>
      <c r="B4125" s="23" t="s">
        <v>1145</v>
      </c>
      <c r="C4125" s="23" t="s">
        <v>176</v>
      </c>
      <c r="D4125" s="23" t="s">
        <v>379</v>
      </c>
      <c r="E4125" s="23" t="s">
        <v>380</v>
      </c>
      <c r="F4125">
        <v>2</v>
      </c>
      <c r="G4125" s="23" t="s">
        <v>177</v>
      </c>
      <c r="H4125">
        <v>0</v>
      </c>
      <c r="I4125">
        <v>50</v>
      </c>
      <c r="J4125" s="10">
        <v>33</v>
      </c>
      <c r="K4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125">
        <v>0</v>
      </c>
      <c r="M41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5">
        <v>72.599999999999994</v>
      </c>
      <c r="O4125" s="23" t="s">
        <v>242</v>
      </c>
      <c r="P4125">
        <v>145.19999999999999</v>
      </c>
      <c r="Q4125" s="23" t="s">
        <v>179</v>
      </c>
    </row>
    <row r="4126" spans="1:17" x14ac:dyDescent="0.25">
      <c r="A4126" s="23" t="s">
        <v>1057</v>
      </c>
      <c r="B4126" s="23" t="s">
        <v>1056</v>
      </c>
      <c r="C4126" s="23" t="s">
        <v>176</v>
      </c>
      <c r="D4126" s="23" t="s">
        <v>345</v>
      </c>
      <c r="E4126" s="23" t="s">
        <v>346</v>
      </c>
      <c r="F4126">
        <v>2</v>
      </c>
      <c r="G4126" s="23" t="s">
        <v>177</v>
      </c>
      <c r="H4126">
        <v>0</v>
      </c>
      <c r="I4126">
        <v>228</v>
      </c>
      <c r="J4126" s="10">
        <v>4.6185277824406512E-14</v>
      </c>
      <c r="K4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4126">
        <v>0</v>
      </c>
      <c r="M41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6">
        <v>6</v>
      </c>
      <c r="O4126" s="23" t="s">
        <v>347</v>
      </c>
      <c r="P4126">
        <v>12</v>
      </c>
      <c r="Q4126" s="23" t="s">
        <v>181</v>
      </c>
    </row>
    <row r="4127" spans="1:17" x14ac:dyDescent="0.25">
      <c r="A4127" s="23" t="s">
        <v>1057</v>
      </c>
      <c r="B4127" s="23" t="s">
        <v>1056</v>
      </c>
      <c r="C4127" s="23" t="s">
        <v>176</v>
      </c>
      <c r="D4127" s="23" t="s">
        <v>419</v>
      </c>
      <c r="E4127" s="23" t="s">
        <v>1225</v>
      </c>
      <c r="F4127">
        <v>8</v>
      </c>
      <c r="G4127" s="23" t="s">
        <v>177</v>
      </c>
      <c r="H4127">
        <v>0</v>
      </c>
      <c r="I4127">
        <v>148</v>
      </c>
      <c r="J4127" s="10">
        <v>59</v>
      </c>
      <c r="K4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127">
        <v>0</v>
      </c>
      <c r="M41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7">
        <v>24.17</v>
      </c>
      <c r="O4127" s="23" t="s">
        <v>629</v>
      </c>
      <c r="P4127">
        <v>193.36</v>
      </c>
      <c r="Q4127" s="23" t="s">
        <v>181</v>
      </c>
    </row>
    <row r="4128" spans="1:17" x14ac:dyDescent="0.25">
      <c r="A4128" s="23" t="s">
        <v>1143</v>
      </c>
      <c r="B4128" s="23" t="s">
        <v>1054</v>
      </c>
      <c r="C4128" s="23" t="s">
        <v>176</v>
      </c>
      <c r="D4128" s="23" t="s">
        <v>419</v>
      </c>
      <c r="E4128" s="23" t="s">
        <v>1225</v>
      </c>
      <c r="F4128">
        <v>5</v>
      </c>
      <c r="G4128" s="23" t="s">
        <v>177</v>
      </c>
      <c r="H4128">
        <v>0</v>
      </c>
      <c r="I4128">
        <v>148</v>
      </c>
      <c r="J4128" s="10">
        <v>59</v>
      </c>
      <c r="K4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128">
        <v>0</v>
      </c>
      <c r="M41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8">
        <v>24.17</v>
      </c>
      <c r="O4128" s="23" t="s">
        <v>629</v>
      </c>
      <c r="P4128">
        <v>120.85000000000001</v>
      </c>
      <c r="Q4128" s="23" t="s">
        <v>181</v>
      </c>
    </row>
    <row r="4129" spans="1:17" x14ac:dyDescent="0.25">
      <c r="A4129" s="23" t="s">
        <v>1094</v>
      </c>
      <c r="B4129" s="23" t="s">
        <v>1095</v>
      </c>
      <c r="C4129" s="23" t="s">
        <v>198</v>
      </c>
      <c r="D4129" s="23" t="s">
        <v>794</v>
      </c>
      <c r="E4129" s="23" t="s">
        <v>795</v>
      </c>
      <c r="F4129">
        <v>1</v>
      </c>
      <c r="G4129" s="23" t="s">
        <v>177</v>
      </c>
      <c r="H4129">
        <v>0</v>
      </c>
      <c r="I4129">
        <v>26</v>
      </c>
      <c r="J4129" s="10">
        <v>3</v>
      </c>
      <c r="K4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129">
        <v>0</v>
      </c>
      <c r="M41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29">
        <v>2800</v>
      </c>
      <c r="O4129" s="23" t="s">
        <v>796</v>
      </c>
      <c r="P4129">
        <v>2800</v>
      </c>
      <c r="Q4129" s="23" t="s">
        <v>178</v>
      </c>
    </row>
    <row r="4130" spans="1:17" x14ac:dyDescent="0.25">
      <c r="A4130" s="23" t="s">
        <v>1057</v>
      </c>
      <c r="B4130" s="23" t="s">
        <v>1056</v>
      </c>
      <c r="C4130" s="23" t="s">
        <v>176</v>
      </c>
      <c r="D4130" s="23" t="s">
        <v>105</v>
      </c>
      <c r="E4130" s="23" t="s">
        <v>106</v>
      </c>
      <c r="F4130">
        <v>5</v>
      </c>
      <c r="G4130" s="23" t="s">
        <v>177</v>
      </c>
      <c r="H4130">
        <v>0</v>
      </c>
      <c r="I4130">
        <v>39</v>
      </c>
      <c r="J4130" s="10">
        <v>36</v>
      </c>
      <c r="K4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130">
        <v>0</v>
      </c>
      <c r="M41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130">
        <v>105</v>
      </c>
      <c r="O4130" s="23" t="s">
        <v>626</v>
      </c>
      <c r="P4130">
        <v>525</v>
      </c>
      <c r="Q4130" s="23" t="s">
        <v>179</v>
      </c>
    </row>
    <row r="4131" spans="1:17" x14ac:dyDescent="0.25">
      <c r="A4131" s="23" t="s">
        <v>1143</v>
      </c>
      <c r="B4131" s="23" t="s">
        <v>1054</v>
      </c>
      <c r="C4131" s="23" t="s">
        <v>176</v>
      </c>
      <c r="D4131" s="23" t="s">
        <v>105</v>
      </c>
      <c r="E4131" s="23" t="s">
        <v>106</v>
      </c>
      <c r="F4131">
        <v>5</v>
      </c>
      <c r="G4131" s="23" t="s">
        <v>177</v>
      </c>
      <c r="H4131">
        <v>0</v>
      </c>
      <c r="I4131">
        <v>39</v>
      </c>
      <c r="J4131" s="10">
        <v>36</v>
      </c>
      <c r="K4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131">
        <v>0</v>
      </c>
      <c r="M41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131">
        <v>105</v>
      </c>
      <c r="O4131" s="23" t="s">
        <v>626</v>
      </c>
      <c r="P4131">
        <v>525</v>
      </c>
      <c r="Q4131" s="23" t="s">
        <v>179</v>
      </c>
    </row>
    <row r="4132" spans="1:17" x14ac:dyDescent="0.25">
      <c r="A4132" s="23" t="s">
        <v>1057</v>
      </c>
      <c r="B4132" s="23" t="s">
        <v>1056</v>
      </c>
      <c r="C4132" s="23" t="s">
        <v>176</v>
      </c>
      <c r="D4132" s="23" t="s">
        <v>379</v>
      </c>
      <c r="E4132" s="23" t="s">
        <v>380</v>
      </c>
      <c r="F4132">
        <v>2</v>
      </c>
      <c r="G4132" s="23" t="s">
        <v>177</v>
      </c>
      <c r="H4132">
        <v>0</v>
      </c>
      <c r="I4132">
        <v>50</v>
      </c>
      <c r="J4132" s="10">
        <v>33</v>
      </c>
      <c r="K4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132">
        <v>0</v>
      </c>
      <c r="M41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2">
        <v>72.599999999999994</v>
      </c>
      <c r="O4132" s="23" t="s">
        <v>242</v>
      </c>
      <c r="P4132">
        <v>145.19999999999999</v>
      </c>
      <c r="Q4132" s="23" t="s">
        <v>179</v>
      </c>
    </row>
    <row r="4133" spans="1:17" x14ac:dyDescent="0.25">
      <c r="A4133" s="23" t="s">
        <v>1147</v>
      </c>
      <c r="B4133" s="23" t="s">
        <v>1145</v>
      </c>
      <c r="C4133" s="23" t="s">
        <v>176</v>
      </c>
      <c r="D4133" s="23" t="s">
        <v>158</v>
      </c>
      <c r="E4133" s="23" t="s">
        <v>159</v>
      </c>
      <c r="F4133">
        <v>1</v>
      </c>
      <c r="G4133" s="23" t="s">
        <v>177</v>
      </c>
      <c r="H4133">
        <v>0</v>
      </c>
      <c r="I4133">
        <v>4</v>
      </c>
      <c r="J4133" s="10">
        <v>22</v>
      </c>
      <c r="K4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33">
        <v>20</v>
      </c>
      <c r="M41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3">
        <v>65</v>
      </c>
      <c r="O4133" s="23" t="s">
        <v>762</v>
      </c>
      <c r="P4133">
        <v>65</v>
      </c>
      <c r="Q4133" s="23" t="s">
        <v>179</v>
      </c>
    </row>
    <row r="4134" spans="1:17" x14ac:dyDescent="0.25">
      <c r="A4134" s="23" t="s">
        <v>1148</v>
      </c>
      <c r="B4134" s="23" t="s">
        <v>1054</v>
      </c>
      <c r="C4134" s="23" t="s">
        <v>176</v>
      </c>
      <c r="D4134" s="23" t="s">
        <v>158</v>
      </c>
      <c r="E4134" s="23" t="s">
        <v>159</v>
      </c>
      <c r="F4134">
        <v>1</v>
      </c>
      <c r="G4134" s="23" t="s">
        <v>177</v>
      </c>
      <c r="H4134">
        <v>0</v>
      </c>
      <c r="I4134">
        <v>4</v>
      </c>
      <c r="J4134" s="10">
        <v>22</v>
      </c>
      <c r="K4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34">
        <v>20</v>
      </c>
      <c r="M41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4">
        <v>65</v>
      </c>
      <c r="O4134" s="23" t="s">
        <v>762</v>
      </c>
      <c r="P4134">
        <v>65</v>
      </c>
      <c r="Q4134" s="23" t="s">
        <v>179</v>
      </c>
    </row>
    <row r="4135" spans="1:17" x14ac:dyDescent="0.25">
      <c r="A4135" s="23" t="s">
        <v>1058</v>
      </c>
      <c r="B4135" s="23" t="s">
        <v>1059</v>
      </c>
      <c r="C4135" s="23" t="s">
        <v>176</v>
      </c>
      <c r="D4135" s="23" t="s">
        <v>638</v>
      </c>
      <c r="E4135" s="23" t="s">
        <v>639</v>
      </c>
      <c r="F4135">
        <v>1</v>
      </c>
      <c r="G4135" s="23" t="s">
        <v>177</v>
      </c>
      <c r="H4135">
        <v>0</v>
      </c>
      <c r="I4135">
        <v>19</v>
      </c>
      <c r="J4135" s="10">
        <v>17</v>
      </c>
      <c r="K4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35">
        <v>0</v>
      </c>
      <c r="M41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5">
        <v>113.64</v>
      </c>
      <c r="O4135" s="23" t="s">
        <v>640</v>
      </c>
      <c r="P4135">
        <v>113.64</v>
      </c>
      <c r="Q4135" s="23" t="s">
        <v>641</v>
      </c>
    </row>
    <row r="4136" spans="1:17" x14ac:dyDescent="0.25">
      <c r="A4136" s="23" t="s">
        <v>1055</v>
      </c>
      <c r="B4136" s="23" t="s">
        <v>1056</v>
      </c>
      <c r="C4136" s="23" t="s">
        <v>176</v>
      </c>
      <c r="D4136" s="23" t="s">
        <v>638</v>
      </c>
      <c r="E4136" s="23" t="s">
        <v>639</v>
      </c>
      <c r="F4136">
        <v>1</v>
      </c>
      <c r="G4136" s="23" t="s">
        <v>177</v>
      </c>
      <c r="H4136">
        <v>0</v>
      </c>
      <c r="I4136">
        <v>19</v>
      </c>
      <c r="J4136" s="10">
        <v>17</v>
      </c>
      <c r="K4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36">
        <v>0</v>
      </c>
      <c r="M41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6">
        <v>113.64</v>
      </c>
      <c r="O4136" s="23" t="s">
        <v>640</v>
      </c>
      <c r="P4136">
        <v>113.64</v>
      </c>
      <c r="Q4136" s="23" t="s">
        <v>641</v>
      </c>
    </row>
    <row r="4137" spans="1:17" x14ac:dyDescent="0.25">
      <c r="A4137" s="23" t="s">
        <v>1149</v>
      </c>
      <c r="B4137" s="23" t="s">
        <v>1145</v>
      </c>
      <c r="C4137" s="23" t="s">
        <v>176</v>
      </c>
      <c r="D4137" s="23" t="s">
        <v>135</v>
      </c>
      <c r="E4137" s="23" t="s">
        <v>136</v>
      </c>
      <c r="F4137">
        <v>9</v>
      </c>
      <c r="G4137" s="23" t="s">
        <v>180</v>
      </c>
      <c r="H4137">
        <v>0</v>
      </c>
      <c r="I4137">
        <v>60</v>
      </c>
      <c r="J4137" s="10">
        <v>52</v>
      </c>
      <c r="K4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37">
        <v>80</v>
      </c>
      <c r="M41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37">
        <v>49</v>
      </c>
      <c r="O4137" s="23" t="s">
        <v>673</v>
      </c>
      <c r="P4137">
        <v>441</v>
      </c>
      <c r="Q4137" s="23" t="s">
        <v>185</v>
      </c>
    </row>
    <row r="4138" spans="1:17" x14ac:dyDescent="0.25">
      <c r="A4138" s="23" t="s">
        <v>1150</v>
      </c>
      <c r="B4138" s="23" t="s">
        <v>1145</v>
      </c>
      <c r="C4138" s="23" t="s">
        <v>176</v>
      </c>
      <c r="D4138" s="23" t="s">
        <v>638</v>
      </c>
      <c r="E4138" s="23" t="s">
        <v>639</v>
      </c>
      <c r="F4138">
        <v>1</v>
      </c>
      <c r="G4138" s="23" t="s">
        <v>177</v>
      </c>
      <c r="H4138">
        <v>0</v>
      </c>
      <c r="I4138">
        <v>19</v>
      </c>
      <c r="J4138" s="10">
        <v>17</v>
      </c>
      <c r="K4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38">
        <v>0</v>
      </c>
      <c r="M41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8">
        <v>113.64</v>
      </c>
      <c r="O4138" s="23" t="s">
        <v>640</v>
      </c>
      <c r="P4138">
        <v>113.64</v>
      </c>
      <c r="Q4138" s="23" t="s">
        <v>641</v>
      </c>
    </row>
    <row r="4139" spans="1:17" x14ac:dyDescent="0.25">
      <c r="A4139" s="23" t="s">
        <v>1099</v>
      </c>
      <c r="B4139" s="23" t="s">
        <v>1056</v>
      </c>
      <c r="C4139" s="23" t="s">
        <v>176</v>
      </c>
      <c r="D4139" s="23" t="s">
        <v>638</v>
      </c>
      <c r="E4139" s="23" t="s">
        <v>639</v>
      </c>
      <c r="F4139">
        <v>1</v>
      </c>
      <c r="G4139" s="23" t="s">
        <v>177</v>
      </c>
      <c r="H4139">
        <v>0</v>
      </c>
      <c r="I4139">
        <v>19</v>
      </c>
      <c r="J4139" s="10">
        <v>17</v>
      </c>
      <c r="K4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39">
        <v>0</v>
      </c>
      <c r="M41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39">
        <v>113.64</v>
      </c>
      <c r="O4139" s="23" t="s">
        <v>640</v>
      </c>
      <c r="P4139">
        <v>113.64</v>
      </c>
      <c r="Q4139" s="23" t="s">
        <v>641</v>
      </c>
    </row>
    <row r="4140" spans="1:17" x14ac:dyDescent="0.25">
      <c r="A4140" s="23" t="s">
        <v>1055</v>
      </c>
      <c r="B4140" s="23" t="s">
        <v>1056</v>
      </c>
      <c r="C4140" s="23" t="s">
        <v>176</v>
      </c>
      <c r="D4140" s="23" t="s">
        <v>135</v>
      </c>
      <c r="E4140" s="23" t="s">
        <v>136</v>
      </c>
      <c r="F4140">
        <v>6</v>
      </c>
      <c r="G4140" s="23" t="s">
        <v>180</v>
      </c>
      <c r="H4140">
        <v>0</v>
      </c>
      <c r="I4140">
        <v>60</v>
      </c>
      <c r="J4140" s="10">
        <v>52</v>
      </c>
      <c r="K4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40">
        <v>80</v>
      </c>
      <c r="M41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40">
        <v>49</v>
      </c>
      <c r="O4140" s="23" t="s">
        <v>673</v>
      </c>
      <c r="P4140">
        <v>294</v>
      </c>
      <c r="Q4140" s="23" t="s">
        <v>185</v>
      </c>
    </row>
    <row r="4141" spans="1:17" x14ac:dyDescent="0.25">
      <c r="A4141" s="23" t="s">
        <v>1148</v>
      </c>
      <c r="B4141" s="23" t="s">
        <v>1054</v>
      </c>
      <c r="C4141" s="23" t="s">
        <v>176</v>
      </c>
      <c r="D4141" s="23" t="s">
        <v>135</v>
      </c>
      <c r="E4141" s="23" t="s">
        <v>136</v>
      </c>
      <c r="F4141">
        <v>7.5</v>
      </c>
      <c r="G4141" s="23" t="s">
        <v>180</v>
      </c>
      <c r="H4141">
        <v>0</v>
      </c>
      <c r="I4141">
        <v>60</v>
      </c>
      <c r="J4141" s="10">
        <v>52</v>
      </c>
      <c r="K4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41">
        <v>80</v>
      </c>
      <c r="M41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41">
        <v>49</v>
      </c>
      <c r="O4141" s="23" t="s">
        <v>673</v>
      </c>
      <c r="P4141">
        <v>367.5</v>
      </c>
      <c r="Q4141" s="23" t="s">
        <v>185</v>
      </c>
    </row>
    <row r="4142" spans="1:17" x14ac:dyDescent="0.25">
      <c r="A4142" s="23" t="s">
        <v>1099</v>
      </c>
      <c r="B4142" s="23" t="s">
        <v>1056</v>
      </c>
      <c r="C4142" s="23" t="s">
        <v>176</v>
      </c>
      <c r="D4142" s="23" t="s">
        <v>135</v>
      </c>
      <c r="E4142" s="23" t="s">
        <v>136</v>
      </c>
      <c r="F4142">
        <v>7</v>
      </c>
      <c r="G4142" s="23" t="s">
        <v>180</v>
      </c>
      <c r="H4142">
        <v>0</v>
      </c>
      <c r="I4142">
        <v>60</v>
      </c>
      <c r="J4142" s="10">
        <v>52</v>
      </c>
      <c r="K4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42">
        <v>80</v>
      </c>
      <c r="M41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42">
        <v>49</v>
      </c>
      <c r="O4142" s="23" t="s">
        <v>673</v>
      </c>
      <c r="P4142">
        <v>343</v>
      </c>
      <c r="Q4142" s="23" t="s">
        <v>185</v>
      </c>
    </row>
    <row r="4143" spans="1:17" x14ac:dyDescent="0.25">
      <c r="A4143" s="23" t="s">
        <v>1055</v>
      </c>
      <c r="B4143" s="23" t="s">
        <v>1056</v>
      </c>
      <c r="C4143" s="23" t="s">
        <v>176</v>
      </c>
      <c r="D4143" s="23" t="s">
        <v>158</v>
      </c>
      <c r="E4143" s="23" t="s">
        <v>159</v>
      </c>
      <c r="F4143">
        <v>1</v>
      </c>
      <c r="G4143" s="23" t="s">
        <v>177</v>
      </c>
      <c r="H4143">
        <v>0</v>
      </c>
      <c r="I4143">
        <v>4</v>
      </c>
      <c r="J4143" s="10">
        <v>22</v>
      </c>
      <c r="K4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43">
        <v>20</v>
      </c>
      <c r="M41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3">
        <v>65</v>
      </c>
      <c r="O4143" s="23" t="s">
        <v>762</v>
      </c>
      <c r="P4143">
        <v>65</v>
      </c>
      <c r="Q4143" s="23" t="s">
        <v>179</v>
      </c>
    </row>
    <row r="4144" spans="1:17" x14ac:dyDescent="0.25">
      <c r="A4144" s="23" t="s">
        <v>1099</v>
      </c>
      <c r="B4144" s="23" t="s">
        <v>1056</v>
      </c>
      <c r="C4144" s="23" t="s">
        <v>176</v>
      </c>
      <c r="D4144" s="23" t="s">
        <v>158</v>
      </c>
      <c r="E4144" s="23" t="s">
        <v>159</v>
      </c>
      <c r="F4144">
        <v>1</v>
      </c>
      <c r="G4144" s="23" t="s">
        <v>177</v>
      </c>
      <c r="H4144">
        <v>0</v>
      </c>
      <c r="I4144">
        <v>4</v>
      </c>
      <c r="J4144" s="10">
        <v>22</v>
      </c>
      <c r="K4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44">
        <v>20</v>
      </c>
      <c r="M41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4">
        <v>65</v>
      </c>
      <c r="O4144" s="23" t="s">
        <v>762</v>
      </c>
      <c r="P4144">
        <v>65</v>
      </c>
      <c r="Q4144" s="23" t="s">
        <v>179</v>
      </c>
    </row>
    <row r="4145" spans="1:17" x14ac:dyDescent="0.25">
      <c r="A4145" s="23" t="s">
        <v>1147</v>
      </c>
      <c r="B4145" s="23" t="s">
        <v>1145</v>
      </c>
      <c r="C4145" s="23" t="s">
        <v>176</v>
      </c>
      <c r="D4145" s="23" t="s">
        <v>638</v>
      </c>
      <c r="E4145" s="23" t="s">
        <v>639</v>
      </c>
      <c r="F4145">
        <v>1</v>
      </c>
      <c r="G4145" s="23" t="s">
        <v>177</v>
      </c>
      <c r="H4145">
        <v>0</v>
      </c>
      <c r="I4145">
        <v>19</v>
      </c>
      <c r="J4145" s="10">
        <v>17</v>
      </c>
      <c r="K4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45">
        <v>0</v>
      </c>
      <c r="M41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5">
        <v>113.64</v>
      </c>
      <c r="O4145" s="23" t="s">
        <v>640</v>
      </c>
      <c r="P4145">
        <v>113.64</v>
      </c>
      <c r="Q4145" s="23" t="s">
        <v>641</v>
      </c>
    </row>
    <row r="4146" spans="1:17" x14ac:dyDescent="0.25">
      <c r="A4146" s="23" t="s">
        <v>1148</v>
      </c>
      <c r="B4146" s="23" t="s">
        <v>1054</v>
      </c>
      <c r="C4146" s="23" t="s">
        <v>176</v>
      </c>
      <c r="D4146" s="23" t="s">
        <v>638</v>
      </c>
      <c r="E4146" s="23" t="s">
        <v>639</v>
      </c>
      <c r="F4146">
        <v>1</v>
      </c>
      <c r="G4146" s="23" t="s">
        <v>177</v>
      </c>
      <c r="H4146">
        <v>0</v>
      </c>
      <c r="I4146">
        <v>19</v>
      </c>
      <c r="J4146" s="10">
        <v>17</v>
      </c>
      <c r="K4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46">
        <v>0</v>
      </c>
      <c r="M41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6">
        <v>113.64</v>
      </c>
      <c r="O4146" s="23" t="s">
        <v>640</v>
      </c>
      <c r="P4146">
        <v>113.64</v>
      </c>
      <c r="Q4146" s="23" t="s">
        <v>641</v>
      </c>
    </row>
    <row r="4147" spans="1:17" x14ac:dyDescent="0.25">
      <c r="A4147" s="23" t="s">
        <v>1144</v>
      </c>
      <c r="B4147" s="23" t="s">
        <v>1145</v>
      </c>
      <c r="C4147" s="23" t="s">
        <v>176</v>
      </c>
      <c r="D4147" s="23" t="s">
        <v>135</v>
      </c>
      <c r="E4147" s="23" t="s">
        <v>136</v>
      </c>
      <c r="F4147">
        <v>12</v>
      </c>
      <c r="G4147" s="23" t="s">
        <v>180</v>
      </c>
      <c r="H4147">
        <v>0</v>
      </c>
      <c r="I4147">
        <v>60</v>
      </c>
      <c r="J4147" s="10">
        <v>52</v>
      </c>
      <c r="K4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47">
        <v>80</v>
      </c>
      <c r="M41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47">
        <v>49</v>
      </c>
      <c r="O4147" s="23" t="s">
        <v>673</v>
      </c>
      <c r="P4147">
        <v>588</v>
      </c>
      <c r="Q4147" s="23" t="s">
        <v>185</v>
      </c>
    </row>
    <row r="4148" spans="1:17" x14ac:dyDescent="0.25">
      <c r="A4148" s="23" t="s">
        <v>1146</v>
      </c>
      <c r="B4148" s="23" t="s">
        <v>1145</v>
      </c>
      <c r="C4148" s="23" t="s">
        <v>176</v>
      </c>
      <c r="D4148" s="23" t="s">
        <v>135</v>
      </c>
      <c r="E4148" s="23" t="s">
        <v>136</v>
      </c>
      <c r="F4148">
        <v>9</v>
      </c>
      <c r="G4148" s="23" t="s">
        <v>180</v>
      </c>
      <c r="H4148">
        <v>0</v>
      </c>
      <c r="I4148">
        <v>60</v>
      </c>
      <c r="J4148" s="10">
        <v>52</v>
      </c>
      <c r="K4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48">
        <v>80</v>
      </c>
      <c r="M41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48">
        <v>49</v>
      </c>
      <c r="O4148" s="23" t="s">
        <v>673</v>
      </c>
      <c r="P4148">
        <v>441</v>
      </c>
      <c r="Q4148" s="23" t="s">
        <v>185</v>
      </c>
    </row>
    <row r="4149" spans="1:17" x14ac:dyDescent="0.25">
      <c r="A4149" s="23" t="s">
        <v>1144</v>
      </c>
      <c r="B4149" s="23" t="s">
        <v>1145</v>
      </c>
      <c r="C4149" s="23" t="s">
        <v>176</v>
      </c>
      <c r="D4149" s="23" t="s">
        <v>158</v>
      </c>
      <c r="E4149" s="23" t="s">
        <v>159</v>
      </c>
      <c r="F4149">
        <v>1</v>
      </c>
      <c r="G4149" s="23" t="s">
        <v>177</v>
      </c>
      <c r="H4149">
        <v>0</v>
      </c>
      <c r="I4149">
        <v>4</v>
      </c>
      <c r="J4149" s="10">
        <v>22</v>
      </c>
      <c r="K4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49">
        <v>20</v>
      </c>
      <c r="M41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49">
        <v>65</v>
      </c>
      <c r="O4149" s="23" t="s">
        <v>762</v>
      </c>
      <c r="P4149">
        <v>65</v>
      </c>
      <c r="Q4149" s="23" t="s">
        <v>179</v>
      </c>
    </row>
    <row r="4150" spans="1:17" x14ac:dyDescent="0.25">
      <c r="A4150" s="23" t="s">
        <v>1146</v>
      </c>
      <c r="B4150" s="23" t="s">
        <v>1145</v>
      </c>
      <c r="C4150" s="23" t="s">
        <v>176</v>
      </c>
      <c r="D4150" s="23" t="s">
        <v>158</v>
      </c>
      <c r="E4150" s="23" t="s">
        <v>159</v>
      </c>
      <c r="F4150">
        <v>1</v>
      </c>
      <c r="G4150" s="23" t="s">
        <v>177</v>
      </c>
      <c r="H4150">
        <v>0</v>
      </c>
      <c r="I4150">
        <v>4</v>
      </c>
      <c r="J4150" s="10">
        <v>22</v>
      </c>
      <c r="K4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50">
        <v>20</v>
      </c>
      <c r="M41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0">
        <v>65</v>
      </c>
      <c r="O4150" s="23" t="s">
        <v>762</v>
      </c>
      <c r="P4150">
        <v>65</v>
      </c>
      <c r="Q4150" s="23" t="s">
        <v>179</v>
      </c>
    </row>
    <row r="4151" spans="1:17" x14ac:dyDescent="0.25">
      <c r="A4151" s="23" t="s">
        <v>1149</v>
      </c>
      <c r="B4151" s="23" t="s">
        <v>1145</v>
      </c>
      <c r="C4151" s="23" t="s">
        <v>176</v>
      </c>
      <c r="D4151" s="23" t="s">
        <v>638</v>
      </c>
      <c r="E4151" s="23" t="s">
        <v>639</v>
      </c>
      <c r="F4151">
        <v>1</v>
      </c>
      <c r="G4151" s="23" t="s">
        <v>177</v>
      </c>
      <c r="H4151">
        <v>0</v>
      </c>
      <c r="I4151">
        <v>19</v>
      </c>
      <c r="J4151" s="10">
        <v>17</v>
      </c>
      <c r="K4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51">
        <v>0</v>
      </c>
      <c r="M41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1">
        <v>113.64</v>
      </c>
      <c r="O4151" s="23" t="s">
        <v>640</v>
      </c>
      <c r="P4151">
        <v>113.64</v>
      </c>
      <c r="Q4151" s="23" t="s">
        <v>641</v>
      </c>
    </row>
    <row r="4152" spans="1:17" x14ac:dyDescent="0.25">
      <c r="A4152" s="23" t="s">
        <v>1149</v>
      </c>
      <c r="B4152" s="23" t="s">
        <v>1145</v>
      </c>
      <c r="C4152" s="23" t="s">
        <v>176</v>
      </c>
      <c r="D4152" s="23" t="s">
        <v>158</v>
      </c>
      <c r="E4152" s="23" t="s">
        <v>159</v>
      </c>
      <c r="F4152">
        <v>1</v>
      </c>
      <c r="G4152" s="23" t="s">
        <v>177</v>
      </c>
      <c r="H4152">
        <v>0</v>
      </c>
      <c r="I4152">
        <v>4</v>
      </c>
      <c r="J4152" s="10">
        <v>22</v>
      </c>
      <c r="K4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152">
        <v>20</v>
      </c>
      <c r="M41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2">
        <v>65</v>
      </c>
      <c r="O4152" s="23" t="s">
        <v>762</v>
      </c>
      <c r="P4152">
        <v>65</v>
      </c>
      <c r="Q4152" s="23" t="s">
        <v>179</v>
      </c>
    </row>
    <row r="4153" spans="1:17" x14ac:dyDescent="0.25">
      <c r="A4153" s="23" t="s">
        <v>1144</v>
      </c>
      <c r="B4153" s="23" t="s">
        <v>1145</v>
      </c>
      <c r="C4153" s="23" t="s">
        <v>176</v>
      </c>
      <c r="D4153" s="23" t="s">
        <v>638</v>
      </c>
      <c r="E4153" s="23" t="s">
        <v>639</v>
      </c>
      <c r="F4153">
        <v>1</v>
      </c>
      <c r="G4153" s="23" t="s">
        <v>177</v>
      </c>
      <c r="H4153">
        <v>0</v>
      </c>
      <c r="I4153">
        <v>19</v>
      </c>
      <c r="J4153" s="10">
        <v>17</v>
      </c>
      <c r="K4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53">
        <v>0</v>
      </c>
      <c r="M41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3">
        <v>113.64</v>
      </c>
      <c r="O4153" s="23" t="s">
        <v>640</v>
      </c>
      <c r="P4153">
        <v>113.64</v>
      </c>
      <c r="Q4153" s="23" t="s">
        <v>641</v>
      </c>
    </row>
    <row r="4154" spans="1:17" x14ac:dyDescent="0.25">
      <c r="A4154" s="23" t="s">
        <v>1146</v>
      </c>
      <c r="B4154" s="23" t="s">
        <v>1145</v>
      </c>
      <c r="C4154" s="23" t="s">
        <v>176</v>
      </c>
      <c r="D4154" s="23" t="s">
        <v>638</v>
      </c>
      <c r="E4154" s="23" t="s">
        <v>639</v>
      </c>
      <c r="F4154">
        <v>1</v>
      </c>
      <c r="G4154" s="23" t="s">
        <v>177</v>
      </c>
      <c r="H4154">
        <v>0</v>
      </c>
      <c r="I4154">
        <v>19</v>
      </c>
      <c r="J4154" s="10">
        <v>17</v>
      </c>
      <c r="K4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154">
        <v>0</v>
      </c>
      <c r="M41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54">
        <v>113.64</v>
      </c>
      <c r="O4154" s="23" t="s">
        <v>640</v>
      </c>
      <c r="P4154">
        <v>113.64</v>
      </c>
      <c r="Q4154" s="23" t="s">
        <v>641</v>
      </c>
    </row>
    <row r="4155" spans="1:17" x14ac:dyDescent="0.25">
      <c r="A4155" s="23" t="s">
        <v>1062</v>
      </c>
      <c r="B4155" s="23" t="s">
        <v>1053</v>
      </c>
      <c r="C4155" s="23" t="s">
        <v>176</v>
      </c>
      <c r="D4155" s="23" t="s">
        <v>135</v>
      </c>
      <c r="E4155" s="23" t="s">
        <v>136</v>
      </c>
      <c r="F4155">
        <v>5</v>
      </c>
      <c r="G4155" s="23" t="s">
        <v>180</v>
      </c>
      <c r="H4155">
        <v>0</v>
      </c>
      <c r="I4155">
        <v>60</v>
      </c>
      <c r="J4155" s="10">
        <v>52</v>
      </c>
      <c r="K4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155">
        <v>80</v>
      </c>
      <c r="M41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155">
        <v>49</v>
      </c>
      <c r="O4155" s="23" t="s">
        <v>673</v>
      </c>
      <c r="P4155">
        <v>245</v>
      </c>
      <c r="Q4155" s="23" t="s">
        <v>185</v>
      </c>
    </row>
    <row r="4156" spans="1:17" x14ac:dyDescent="0.25">
      <c r="A4156" s="23" t="s">
        <v>1149</v>
      </c>
      <c r="B4156" s="23" t="s">
        <v>1145</v>
      </c>
      <c r="C4156" s="23" t="s">
        <v>176</v>
      </c>
      <c r="D4156" s="23" t="s">
        <v>275</v>
      </c>
      <c r="E4156" s="23" t="s">
        <v>276</v>
      </c>
      <c r="F4156">
        <v>1</v>
      </c>
      <c r="G4156" s="23" t="s">
        <v>177</v>
      </c>
      <c r="H4156">
        <v>0</v>
      </c>
      <c r="I4156">
        <v>9</v>
      </c>
      <c r="J4156" s="10">
        <v>8</v>
      </c>
      <c r="K4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156">
        <v>0</v>
      </c>
      <c r="M41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156">
        <v>487.56</v>
      </c>
      <c r="O4156" s="23" t="s">
        <v>277</v>
      </c>
      <c r="P4156">
        <v>487.56</v>
      </c>
      <c r="Q4156" s="23" t="s">
        <v>178</v>
      </c>
    </row>
    <row r="4157" spans="1:17" x14ac:dyDescent="0.25">
      <c r="A4157" s="23" t="s">
        <v>1144</v>
      </c>
      <c r="B4157" s="23" t="s">
        <v>1145</v>
      </c>
      <c r="C4157" s="23" t="s">
        <v>176</v>
      </c>
      <c r="D4157" s="23" t="s">
        <v>275</v>
      </c>
      <c r="E4157" s="23" t="s">
        <v>276</v>
      </c>
      <c r="F4157">
        <v>1</v>
      </c>
      <c r="G4157" s="23" t="s">
        <v>177</v>
      </c>
      <c r="H4157">
        <v>0</v>
      </c>
      <c r="I4157">
        <v>9</v>
      </c>
      <c r="J4157" s="10">
        <v>8</v>
      </c>
      <c r="K4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157">
        <v>0</v>
      </c>
      <c r="M41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157">
        <v>487.56</v>
      </c>
      <c r="O4157" s="23" t="s">
        <v>277</v>
      </c>
      <c r="P4157">
        <v>487.56</v>
      </c>
      <c r="Q4157" s="23" t="s">
        <v>178</v>
      </c>
    </row>
    <row r="4158" spans="1:17" x14ac:dyDescent="0.25">
      <c r="A4158" s="23" t="s">
        <v>1146</v>
      </c>
      <c r="B4158" s="23" t="s">
        <v>1145</v>
      </c>
      <c r="C4158" s="23" t="s">
        <v>176</v>
      </c>
      <c r="D4158" s="23" t="s">
        <v>275</v>
      </c>
      <c r="E4158" s="23" t="s">
        <v>276</v>
      </c>
      <c r="F4158">
        <v>1</v>
      </c>
      <c r="G4158" s="23" t="s">
        <v>177</v>
      </c>
      <c r="H4158">
        <v>0</v>
      </c>
      <c r="I4158">
        <v>9</v>
      </c>
      <c r="J4158" s="10">
        <v>8</v>
      </c>
      <c r="K4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158">
        <v>0</v>
      </c>
      <c r="M41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158">
        <v>487.56</v>
      </c>
      <c r="O4158" s="23" t="s">
        <v>277</v>
      </c>
      <c r="P4158">
        <v>487.56</v>
      </c>
      <c r="Q4158" s="23" t="s">
        <v>178</v>
      </c>
    </row>
    <row r="4159" spans="1:17" x14ac:dyDescent="0.25">
      <c r="A4159" s="23" t="s">
        <v>1057</v>
      </c>
      <c r="B4159" s="23" t="s">
        <v>1056</v>
      </c>
      <c r="C4159" s="23" t="s">
        <v>176</v>
      </c>
      <c r="D4159" s="23" t="s">
        <v>965</v>
      </c>
      <c r="E4159" s="23" t="s">
        <v>966</v>
      </c>
      <c r="F4159">
        <v>1</v>
      </c>
      <c r="G4159" s="23" t="s">
        <v>177</v>
      </c>
      <c r="H4159">
        <v>1</v>
      </c>
      <c r="I4159">
        <v>1</v>
      </c>
      <c r="J4159" s="10">
        <v>6</v>
      </c>
      <c r="K4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159">
        <v>0</v>
      </c>
      <c r="M41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4159">
        <v>8424.67</v>
      </c>
      <c r="O4159" s="23" t="s">
        <v>635</v>
      </c>
      <c r="P4159">
        <v>8424.67</v>
      </c>
      <c r="Q4159" s="23" t="s">
        <v>178</v>
      </c>
    </row>
    <row r="4160" spans="1:17" x14ac:dyDescent="0.25">
      <c r="A4160" s="23" t="s">
        <v>1143</v>
      </c>
      <c r="B4160" s="23" t="s">
        <v>1054</v>
      </c>
      <c r="C4160" s="23" t="s">
        <v>176</v>
      </c>
      <c r="D4160" s="23" t="s">
        <v>107</v>
      </c>
      <c r="E4160" s="23" t="s">
        <v>108</v>
      </c>
      <c r="F4160">
        <v>1</v>
      </c>
      <c r="G4160" s="23" t="s">
        <v>177</v>
      </c>
      <c r="H4160">
        <v>0</v>
      </c>
      <c r="I4160">
        <v>9</v>
      </c>
      <c r="J4160" s="10">
        <v>8</v>
      </c>
      <c r="K4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160">
        <v>5</v>
      </c>
      <c r="M41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60">
        <v>1200</v>
      </c>
      <c r="O4160" s="23" t="s">
        <v>218</v>
      </c>
      <c r="P4160">
        <v>1200</v>
      </c>
      <c r="Q4160" s="23" t="s">
        <v>179</v>
      </c>
    </row>
    <row r="4161" spans="1:17" x14ac:dyDescent="0.25">
      <c r="A4161" s="23" t="s">
        <v>1149</v>
      </c>
      <c r="B4161" s="23" t="s">
        <v>1145</v>
      </c>
      <c r="C4161" s="23" t="s">
        <v>176</v>
      </c>
      <c r="D4161" s="23" t="s">
        <v>320</v>
      </c>
      <c r="E4161" s="23" t="s">
        <v>321</v>
      </c>
      <c r="F4161">
        <v>0.13</v>
      </c>
      <c r="G4161" s="23" t="s">
        <v>187</v>
      </c>
      <c r="H4161">
        <v>0</v>
      </c>
      <c r="I4161">
        <v>0</v>
      </c>
      <c r="J4161" s="10">
        <v>4.543000000000017</v>
      </c>
      <c r="K4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161">
        <v>0</v>
      </c>
      <c r="M41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161">
        <v>19500</v>
      </c>
      <c r="O4161" s="23" t="s">
        <v>763</v>
      </c>
      <c r="P4161">
        <v>2535</v>
      </c>
      <c r="Q4161" s="23" t="s">
        <v>182</v>
      </c>
    </row>
    <row r="4162" spans="1:17" x14ac:dyDescent="0.25">
      <c r="A4162" s="23" t="s">
        <v>1142</v>
      </c>
      <c r="B4162" s="23" t="s">
        <v>1054</v>
      </c>
      <c r="C4162" s="23" t="s">
        <v>176</v>
      </c>
      <c r="D4162" s="23" t="s">
        <v>698</v>
      </c>
      <c r="E4162" s="23" t="s">
        <v>699</v>
      </c>
      <c r="F4162">
        <v>1</v>
      </c>
      <c r="G4162" s="23" t="s">
        <v>177</v>
      </c>
      <c r="H4162">
        <v>0</v>
      </c>
      <c r="I4162">
        <v>7</v>
      </c>
      <c r="J4162" s="10">
        <v>4</v>
      </c>
      <c r="K4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62">
        <v>0</v>
      </c>
      <c r="M41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4162">
        <v>2200</v>
      </c>
      <c r="O4162" s="23" t="s">
        <v>253</v>
      </c>
      <c r="P4162">
        <v>2200</v>
      </c>
      <c r="Q4162" s="23" t="s">
        <v>179</v>
      </c>
    </row>
    <row r="4163" spans="1:17" x14ac:dyDescent="0.25">
      <c r="A4163" s="23" t="s">
        <v>1149</v>
      </c>
      <c r="B4163" s="23" t="s">
        <v>1145</v>
      </c>
      <c r="C4163" s="23" t="s">
        <v>176</v>
      </c>
      <c r="D4163" s="23" t="s">
        <v>767</v>
      </c>
      <c r="E4163" s="23" t="s">
        <v>768</v>
      </c>
      <c r="F4163">
        <v>6</v>
      </c>
      <c r="G4163" s="23" t="s">
        <v>177</v>
      </c>
      <c r="H4163">
        <v>0</v>
      </c>
      <c r="I4163">
        <v>0</v>
      </c>
      <c r="J4163" s="10">
        <v>0</v>
      </c>
      <c r="K4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163">
        <v>0</v>
      </c>
      <c r="M41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4163">
        <v>0.7</v>
      </c>
      <c r="O4163" s="23" t="s">
        <v>221</v>
      </c>
      <c r="P4163">
        <v>4.1999999999999993</v>
      </c>
      <c r="Q4163" s="23" t="s">
        <v>222</v>
      </c>
    </row>
    <row r="4164" spans="1:17" x14ac:dyDescent="0.25">
      <c r="A4164" s="23" t="s">
        <v>1146</v>
      </c>
      <c r="B4164" s="23" t="s">
        <v>1145</v>
      </c>
      <c r="C4164" s="23" t="s">
        <v>176</v>
      </c>
      <c r="D4164" s="23" t="s">
        <v>767</v>
      </c>
      <c r="E4164" s="23" t="s">
        <v>768</v>
      </c>
      <c r="F4164">
        <v>6</v>
      </c>
      <c r="G4164" s="23" t="s">
        <v>177</v>
      </c>
      <c r="H4164">
        <v>0</v>
      </c>
      <c r="I4164">
        <v>0</v>
      </c>
      <c r="J4164" s="10">
        <v>0</v>
      </c>
      <c r="K4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164">
        <v>0</v>
      </c>
      <c r="M41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4164">
        <v>0.7</v>
      </c>
      <c r="O4164" s="23" t="s">
        <v>221</v>
      </c>
      <c r="P4164">
        <v>4.1999999999999993</v>
      </c>
      <c r="Q4164" s="23" t="s">
        <v>222</v>
      </c>
    </row>
    <row r="4165" spans="1:17" x14ac:dyDescent="0.25">
      <c r="A4165" s="23" t="s">
        <v>1146</v>
      </c>
      <c r="B4165" s="23" t="s">
        <v>1145</v>
      </c>
      <c r="C4165" s="23" t="s">
        <v>176</v>
      </c>
      <c r="D4165" s="23" t="s">
        <v>698</v>
      </c>
      <c r="E4165" s="23" t="s">
        <v>699</v>
      </c>
      <c r="F4165">
        <v>1</v>
      </c>
      <c r="G4165" s="23" t="s">
        <v>177</v>
      </c>
      <c r="H4165">
        <v>0</v>
      </c>
      <c r="I4165">
        <v>7</v>
      </c>
      <c r="J4165" s="10">
        <v>4</v>
      </c>
      <c r="K4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65">
        <v>0</v>
      </c>
      <c r="M41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4165">
        <v>2200</v>
      </c>
      <c r="O4165" s="23" t="s">
        <v>253</v>
      </c>
      <c r="P4165">
        <v>2200</v>
      </c>
      <c r="Q4165" s="23" t="s">
        <v>179</v>
      </c>
    </row>
    <row r="4166" spans="1:17" x14ac:dyDescent="0.25">
      <c r="A4166" s="23" t="s">
        <v>1144</v>
      </c>
      <c r="B4166" s="23" t="s">
        <v>1145</v>
      </c>
      <c r="C4166" s="23" t="s">
        <v>176</v>
      </c>
      <c r="D4166" s="23" t="s">
        <v>698</v>
      </c>
      <c r="E4166" s="23" t="s">
        <v>699</v>
      </c>
      <c r="F4166">
        <v>1</v>
      </c>
      <c r="G4166" s="23" t="s">
        <v>177</v>
      </c>
      <c r="H4166">
        <v>0</v>
      </c>
      <c r="I4166">
        <v>7</v>
      </c>
      <c r="J4166" s="10">
        <v>4</v>
      </c>
      <c r="K4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66">
        <v>0</v>
      </c>
      <c r="M41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4166">
        <v>2200</v>
      </c>
      <c r="O4166" s="23" t="s">
        <v>253</v>
      </c>
      <c r="P4166">
        <v>2200</v>
      </c>
      <c r="Q4166" s="23" t="s">
        <v>179</v>
      </c>
    </row>
    <row r="4167" spans="1:17" x14ac:dyDescent="0.25">
      <c r="A4167" s="23" t="s">
        <v>1149</v>
      </c>
      <c r="B4167" s="23" t="s">
        <v>1145</v>
      </c>
      <c r="C4167" s="23" t="s">
        <v>176</v>
      </c>
      <c r="D4167" s="23" t="s">
        <v>109</v>
      </c>
      <c r="E4167" s="23" t="s">
        <v>110</v>
      </c>
      <c r="F4167">
        <v>1</v>
      </c>
      <c r="G4167" s="23" t="s">
        <v>177</v>
      </c>
      <c r="H4167">
        <v>0</v>
      </c>
      <c r="I4167">
        <v>0</v>
      </c>
      <c r="J4167" s="10">
        <v>5.5699999999999843</v>
      </c>
      <c r="K4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67">
        <v>0</v>
      </c>
      <c r="M41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4167">
        <v>1416.67</v>
      </c>
      <c r="O4167" s="23" t="s">
        <v>224</v>
      </c>
      <c r="P4167">
        <v>1416.67</v>
      </c>
      <c r="Q4167" s="23" t="s">
        <v>182</v>
      </c>
    </row>
    <row r="4168" spans="1:17" x14ac:dyDescent="0.25">
      <c r="A4168" s="23" t="s">
        <v>1144</v>
      </c>
      <c r="B4168" s="23" t="s">
        <v>1145</v>
      </c>
      <c r="C4168" s="23" t="s">
        <v>176</v>
      </c>
      <c r="D4168" s="23" t="s">
        <v>121</v>
      </c>
      <c r="E4168" s="23" t="s">
        <v>312</v>
      </c>
      <c r="F4168">
        <v>1.5</v>
      </c>
      <c r="G4168" s="23" t="s">
        <v>177</v>
      </c>
      <c r="H4168">
        <v>0</v>
      </c>
      <c r="I4168">
        <v>24</v>
      </c>
      <c r="J4168" s="10">
        <v>18.499999999999972</v>
      </c>
      <c r="K4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68">
        <v>0</v>
      </c>
      <c r="M41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68">
        <v>120</v>
      </c>
      <c r="O4168" s="23" t="s">
        <v>242</v>
      </c>
      <c r="P4168">
        <v>180</v>
      </c>
      <c r="Q4168" s="23" t="s">
        <v>184</v>
      </c>
    </row>
    <row r="4169" spans="1:17" x14ac:dyDescent="0.25">
      <c r="A4169" s="23" t="s">
        <v>1146</v>
      </c>
      <c r="B4169" s="23" t="s">
        <v>1145</v>
      </c>
      <c r="C4169" s="23" t="s">
        <v>176</v>
      </c>
      <c r="D4169" s="23" t="s">
        <v>121</v>
      </c>
      <c r="E4169" s="23" t="s">
        <v>312</v>
      </c>
      <c r="F4169">
        <v>1.5</v>
      </c>
      <c r="G4169" s="23" t="s">
        <v>177</v>
      </c>
      <c r="H4169">
        <v>0</v>
      </c>
      <c r="I4169">
        <v>24</v>
      </c>
      <c r="J4169" s="10">
        <v>18.499999999999972</v>
      </c>
      <c r="K4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69">
        <v>0</v>
      </c>
      <c r="M41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69">
        <v>120</v>
      </c>
      <c r="O4169" s="23" t="s">
        <v>242</v>
      </c>
      <c r="P4169">
        <v>180</v>
      </c>
      <c r="Q4169" s="23" t="s">
        <v>184</v>
      </c>
    </row>
    <row r="4170" spans="1:17" x14ac:dyDescent="0.25">
      <c r="A4170" s="23" t="s">
        <v>1149</v>
      </c>
      <c r="B4170" s="23" t="s">
        <v>1145</v>
      </c>
      <c r="C4170" s="23" t="s">
        <v>176</v>
      </c>
      <c r="D4170" s="23" t="s">
        <v>387</v>
      </c>
      <c r="E4170" s="23" t="s">
        <v>614</v>
      </c>
      <c r="F4170">
        <v>1</v>
      </c>
      <c r="G4170" s="23" t="s">
        <v>183</v>
      </c>
      <c r="H4170">
        <v>0</v>
      </c>
      <c r="I4170">
        <v>15.9</v>
      </c>
      <c r="J4170" s="10">
        <v>39.329999999999977</v>
      </c>
      <c r="K4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170">
        <v>11.895</v>
      </c>
      <c r="M41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0">
        <v>641.03</v>
      </c>
      <c r="O4170" s="23" t="s">
        <v>224</v>
      </c>
      <c r="P4170">
        <v>641.03</v>
      </c>
      <c r="Q4170" s="23" t="s">
        <v>182</v>
      </c>
    </row>
    <row r="4171" spans="1:17" x14ac:dyDescent="0.25">
      <c r="A4171" s="23" t="s">
        <v>1149</v>
      </c>
      <c r="B4171" s="23" t="s">
        <v>1145</v>
      </c>
      <c r="C4171" s="23" t="s">
        <v>176</v>
      </c>
      <c r="D4171" s="23" t="s">
        <v>837</v>
      </c>
      <c r="E4171" s="23" t="s">
        <v>838</v>
      </c>
      <c r="F4171">
        <v>120</v>
      </c>
      <c r="G4171" s="23" t="s">
        <v>180</v>
      </c>
      <c r="H4171">
        <v>0</v>
      </c>
      <c r="I4171">
        <v>0</v>
      </c>
      <c r="J4171" s="10">
        <v>0</v>
      </c>
      <c r="K4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171">
        <v>0</v>
      </c>
      <c r="M41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1">
        <v>0</v>
      </c>
      <c r="O4171" s="23"/>
      <c r="P4171">
        <v>0</v>
      </c>
      <c r="Q4171" s="23" t="s">
        <v>185</v>
      </c>
    </row>
    <row r="4172" spans="1:17" x14ac:dyDescent="0.25">
      <c r="A4172" s="23" t="s">
        <v>1144</v>
      </c>
      <c r="B4172" s="23" t="s">
        <v>1145</v>
      </c>
      <c r="C4172" s="23" t="s">
        <v>176</v>
      </c>
      <c r="D4172" s="23" t="s">
        <v>837</v>
      </c>
      <c r="E4172" s="23" t="s">
        <v>838</v>
      </c>
      <c r="F4172">
        <v>120</v>
      </c>
      <c r="G4172" s="23" t="s">
        <v>180</v>
      </c>
      <c r="H4172">
        <v>0</v>
      </c>
      <c r="I4172">
        <v>0</v>
      </c>
      <c r="J4172" s="10">
        <v>0</v>
      </c>
      <c r="K4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172">
        <v>0</v>
      </c>
      <c r="M41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2">
        <v>0</v>
      </c>
      <c r="O4172" s="23"/>
      <c r="P4172">
        <v>0</v>
      </c>
      <c r="Q4172" s="23" t="s">
        <v>185</v>
      </c>
    </row>
    <row r="4173" spans="1:17" x14ac:dyDescent="0.25">
      <c r="A4173" s="23" t="s">
        <v>1146</v>
      </c>
      <c r="B4173" s="23" t="s">
        <v>1145</v>
      </c>
      <c r="C4173" s="23" t="s">
        <v>176</v>
      </c>
      <c r="D4173" s="23" t="s">
        <v>837</v>
      </c>
      <c r="E4173" s="23" t="s">
        <v>838</v>
      </c>
      <c r="F4173">
        <v>120</v>
      </c>
      <c r="G4173" s="23" t="s">
        <v>180</v>
      </c>
      <c r="H4173">
        <v>0</v>
      </c>
      <c r="I4173">
        <v>0</v>
      </c>
      <c r="J4173" s="10">
        <v>0</v>
      </c>
      <c r="K4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173">
        <v>0</v>
      </c>
      <c r="M41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3">
        <v>0</v>
      </c>
      <c r="O4173" s="23"/>
      <c r="P4173">
        <v>0</v>
      </c>
      <c r="Q4173" s="23" t="s">
        <v>185</v>
      </c>
    </row>
    <row r="4174" spans="1:17" x14ac:dyDescent="0.25">
      <c r="A4174" s="23" t="s">
        <v>1144</v>
      </c>
      <c r="B4174" s="23" t="s">
        <v>1145</v>
      </c>
      <c r="C4174" s="23" t="s">
        <v>176</v>
      </c>
      <c r="D4174" s="23" t="s">
        <v>320</v>
      </c>
      <c r="E4174" s="23" t="s">
        <v>321</v>
      </c>
      <c r="F4174">
        <v>0.13</v>
      </c>
      <c r="G4174" s="23" t="s">
        <v>187</v>
      </c>
      <c r="H4174">
        <v>0</v>
      </c>
      <c r="I4174">
        <v>0</v>
      </c>
      <c r="J4174" s="10">
        <v>4.543000000000017</v>
      </c>
      <c r="K4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174">
        <v>0</v>
      </c>
      <c r="M41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174">
        <v>19500</v>
      </c>
      <c r="O4174" s="23" t="s">
        <v>763</v>
      </c>
      <c r="P4174">
        <v>2535</v>
      </c>
      <c r="Q4174" s="23" t="s">
        <v>182</v>
      </c>
    </row>
    <row r="4175" spans="1:17" x14ac:dyDescent="0.25">
      <c r="A4175" s="23" t="s">
        <v>1094</v>
      </c>
      <c r="B4175" s="23" t="s">
        <v>1095</v>
      </c>
      <c r="C4175" s="23" t="s">
        <v>176</v>
      </c>
      <c r="D4175" s="23" t="s">
        <v>517</v>
      </c>
      <c r="E4175" s="23" t="s">
        <v>518</v>
      </c>
      <c r="F4175">
        <v>2</v>
      </c>
      <c r="G4175" s="23" t="s">
        <v>177</v>
      </c>
      <c r="H4175">
        <v>0</v>
      </c>
      <c r="I4175">
        <v>91</v>
      </c>
      <c r="J4175" s="10">
        <v>17.799999999999994</v>
      </c>
      <c r="K4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4175">
        <v>0</v>
      </c>
      <c r="M41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75">
        <v>85</v>
      </c>
      <c r="O4175" s="23" t="s">
        <v>347</v>
      </c>
      <c r="P4175">
        <v>170</v>
      </c>
      <c r="Q4175" s="23" t="s">
        <v>181</v>
      </c>
    </row>
    <row r="4176" spans="1:17" x14ac:dyDescent="0.25">
      <c r="A4176" s="23" t="s">
        <v>1143</v>
      </c>
      <c r="B4176" s="23" t="s">
        <v>1054</v>
      </c>
      <c r="C4176" s="23" t="s">
        <v>176</v>
      </c>
      <c r="D4176" s="23" t="s">
        <v>698</v>
      </c>
      <c r="E4176" s="23" t="s">
        <v>699</v>
      </c>
      <c r="F4176">
        <v>1</v>
      </c>
      <c r="G4176" s="23" t="s">
        <v>177</v>
      </c>
      <c r="H4176">
        <v>0</v>
      </c>
      <c r="I4176">
        <v>7</v>
      </c>
      <c r="J4176" s="10">
        <v>4</v>
      </c>
      <c r="K4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176">
        <v>0</v>
      </c>
      <c r="M41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4176">
        <v>2200</v>
      </c>
      <c r="O4176" s="23" t="s">
        <v>253</v>
      </c>
      <c r="P4176">
        <v>2200</v>
      </c>
      <c r="Q4176" s="23" t="s">
        <v>179</v>
      </c>
    </row>
    <row r="4177" spans="1:17" x14ac:dyDescent="0.25">
      <c r="A4177" s="23" t="s">
        <v>1057</v>
      </c>
      <c r="B4177" s="23" t="s">
        <v>1056</v>
      </c>
      <c r="C4177" s="23" t="s">
        <v>176</v>
      </c>
      <c r="D4177" s="23" t="s">
        <v>121</v>
      </c>
      <c r="E4177" s="23" t="s">
        <v>312</v>
      </c>
      <c r="F4177">
        <v>2</v>
      </c>
      <c r="G4177" s="23" t="s">
        <v>177</v>
      </c>
      <c r="H4177">
        <v>0</v>
      </c>
      <c r="I4177">
        <v>24</v>
      </c>
      <c r="J4177" s="10">
        <v>18.499999999999972</v>
      </c>
      <c r="K4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77">
        <v>0</v>
      </c>
      <c r="M41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77">
        <v>120</v>
      </c>
      <c r="O4177" s="23" t="s">
        <v>242</v>
      </c>
      <c r="P4177">
        <v>240</v>
      </c>
      <c r="Q4177" s="23" t="s">
        <v>184</v>
      </c>
    </row>
    <row r="4178" spans="1:17" x14ac:dyDescent="0.25">
      <c r="A4178" s="23" t="s">
        <v>1143</v>
      </c>
      <c r="B4178" s="23" t="s">
        <v>1054</v>
      </c>
      <c r="C4178" s="23" t="s">
        <v>176</v>
      </c>
      <c r="D4178" s="23" t="s">
        <v>121</v>
      </c>
      <c r="E4178" s="23" t="s">
        <v>312</v>
      </c>
      <c r="F4178">
        <v>2</v>
      </c>
      <c r="G4178" s="23" t="s">
        <v>177</v>
      </c>
      <c r="H4178">
        <v>0</v>
      </c>
      <c r="I4178">
        <v>24</v>
      </c>
      <c r="J4178" s="10">
        <v>18.499999999999972</v>
      </c>
      <c r="K4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178">
        <v>0</v>
      </c>
      <c r="M41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178">
        <v>120</v>
      </c>
      <c r="O4178" s="23" t="s">
        <v>242</v>
      </c>
      <c r="P4178">
        <v>240</v>
      </c>
      <c r="Q4178" s="23" t="s">
        <v>184</v>
      </c>
    </row>
    <row r="4179" spans="1:17" x14ac:dyDescent="0.25">
      <c r="A4179" s="23" t="s">
        <v>1150</v>
      </c>
      <c r="B4179" s="23" t="s">
        <v>1145</v>
      </c>
      <c r="C4179" s="23" t="s">
        <v>176</v>
      </c>
      <c r="D4179" s="23" t="s">
        <v>767</v>
      </c>
      <c r="E4179" s="23" t="s">
        <v>768</v>
      </c>
      <c r="F4179">
        <v>6</v>
      </c>
      <c r="G4179" s="23" t="s">
        <v>177</v>
      </c>
      <c r="H4179">
        <v>0</v>
      </c>
      <c r="I4179">
        <v>0</v>
      </c>
      <c r="J4179" s="10">
        <v>0</v>
      </c>
      <c r="K4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179">
        <v>0</v>
      </c>
      <c r="M41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37.799999999999997</v>
      </c>
      <c r="N4179">
        <v>0.7</v>
      </c>
      <c r="O4179" s="23" t="s">
        <v>221</v>
      </c>
      <c r="P4179">
        <v>4.1999999999999993</v>
      </c>
      <c r="Q4179" s="23" t="s">
        <v>222</v>
      </c>
    </row>
    <row r="4180" spans="1:17" x14ac:dyDescent="0.25">
      <c r="A4180" s="23" t="s">
        <v>1094</v>
      </c>
      <c r="B4180" s="23" t="s">
        <v>1095</v>
      </c>
      <c r="C4180" s="23" t="s">
        <v>176</v>
      </c>
      <c r="D4180" s="23" t="s">
        <v>847</v>
      </c>
      <c r="E4180" s="23" t="s">
        <v>848</v>
      </c>
      <c r="F4180">
        <v>3</v>
      </c>
      <c r="G4180" s="23" t="s">
        <v>183</v>
      </c>
      <c r="H4180">
        <v>0</v>
      </c>
      <c r="I4180">
        <v>0</v>
      </c>
      <c r="J4180" s="10">
        <v>-1.4210854715202004E-14</v>
      </c>
      <c r="K4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4180">
        <v>0</v>
      </c>
      <c r="M41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4180">
        <v>546.6</v>
      </c>
      <c r="O4180" s="23" t="s">
        <v>255</v>
      </c>
      <c r="P4180">
        <v>1639.8000000000002</v>
      </c>
      <c r="Q4180" s="23" t="s">
        <v>182</v>
      </c>
    </row>
    <row r="4181" spans="1:17" x14ac:dyDescent="0.25">
      <c r="A4181" s="23" t="s">
        <v>1143</v>
      </c>
      <c r="B4181" s="23" t="s">
        <v>1054</v>
      </c>
      <c r="C4181" s="23" t="s">
        <v>176</v>
      </c>
      <c r="D4181" s="23" t="s">
        <v>596</v>
      </c>
      <c r="E4181" s="23" t="s">
        <v>597</v>
      </c>
      <c r="F4181">
        <v>1</v>
      </c>
      <c r="G4181" s="23" t="s">
        <v>177</v>
      </c>
      <c r="H4181">
        <v>0</v>
      </c>
      <c r="I4181">
        <v>20</v>
      </c>
      <c r="J4181" s="10">
        <v>1</v>
      </c>
      <c r="K4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181">
        <v>0</v>
      </c>
      <c r="M41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1">
        <v>4850.4399999999996</v>
      </c>
      <c r="O4181" s="23" t="s">
        <v>637</v>
      </c>
      <c r="P4181">
        <v>4850.4399999999996</v>
      </c>
      <c r="Q4181" s="23" t="s">
        <v>178</v>
      </c>
    </row>
    <row r="4182" spans="1:17" x14ac:dyDescent="0.25">
      <c r="A4182" s="23" t="s">
        <v>1057</v>
      </c>
      <c r="B4182" s="23" t="s">
        <v>1056</v>
      </c>
      <c r="C4182" s="23" t="s">
        <v>176</v>
      </c>
      <c r="D4182" s="23" t="s">
        <v>947</v>
      </c>
      <c r="E4182" s="23" t="s">
        <v>948</v>
      </c>
      <c r="F4182">
        <v>1</v>
      </c>
      <c r="G4182" s="23" t="s">
        <v>177</v>
      </c>
      <c r="H4182">
        <v>0</v>
      </c>
      <c r="I4182">
        <v>0</v>
      </c>
      <c r="J4182" s="10">
        <v>5</v>
      </c>
      <c r="K4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182">
        <v>2</v>
      </c>
      <c r="M41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4182">
        <v>3996</v>
      </c>
      <c r="O4182" s="23" t="s">
        <v>228</v>
      </c>
      <c r="P4182">
        <v>3996</v>
      </c>
      <c r="Q4182" s="23" t="s">
        <v>222</v>
      </c>
    </row>
    <row r="4183" spans="1:17" x14ac:dyDescent="0.25">
      <c r="A4183" s="23" t="s">
        <v>1150</v>
      </c>
      <c r="B4183" s="23" t="s">
        <v>1145</v>
      </c>
      <c r="C4183" s="23" t="s">
        <v>176</v>
      </c>
      <c r="D4183" s="23" t="s">
        <v>886</v>
      </c>
      <c r="E4183" s="23" t="s">
        <v>887</v>
      </c>
      <c r="F4183">
        <v>50</v>
      </c>
      <c r="G4183" s="23" t="s">
        <v>180</v>
      </c>
      <c r="H4183">
        <v>0</v>
      </c>
      <c r="I4183">
        <v>0</v>
      </c>
      <c r="J4183" s="10">
        <v>57</v>
      </c>
      <c r="K4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183">
        <v>0</v>
      </c>
      <c r="M41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183">
        <v>8.9499999999999993</v>
      </c>
      <c r="O4183" s="23" t="s">
        <v>224</v>
      </c>
      <c r="P4183">
        <v>447.49999999999994</v>
      </c>
      <c r="Q4183" s="23" t="s">
        <v>182</v>
      </c>
    </row>
    <row r="4184" spans="1:17" x14ac:dyDescent="0.25">
      <c r="A4184" s="23" t="s">
        <v>1150</v>
      </c>
      <c r="B4184" s="23" t="s">
        <v>1145</v>
      </c>
      <c r="C4184" s="23" t="s">
        <v>176</v>
      </c>
      <c r="D4184" s="23" t="s">
        <v>1170</v>
      </c>
      <c r="E4184" s="23" t="s">
        <v>1171</v>
      </c>
      <c r="F4184">
        <v>2</v>
      </c>
      <c r="G4184" s="23" t="s">
        <v>177</v>
      </c>
      <c r="H4184">
        <v>0</v>
      </c>
      <c r="I4184">
        <v>250</v>
      </c>
      <c r="J4184" s="10">
        <v>250</v>
      </c>
      <c r="K4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4184">
        <v>0</v>
      </c>
      <c r="M41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4">
        <v>1.08</v>
      </c>
      <c r="O4184" s="23" t="s">
        <v>827</v>
      </c>
      <c r="P4184">
        <v>2.16</v>
      </c>
      <c r="Q4184" s="23" t="s">
        <v>222</v>
      </c>
    </row>
    <row r="4185" spans="1:17" x14ac:dyDescent="0.25">
      <c r="A4185" s="23" t="s">
        <v>1149</v>
      </c>
      <c r="B4185" s="23" t="s">
        <v>1145</v>
      </c>
      <c r="C4185" s="23" t="s">
        <v>176</v>
      </c>
      <c r="D4185" s="23" t="s">
        <v>886</v>
      </c>
      <c r="E4185" s="23" t="s">
        <v>887</v>
      </c>
      <c r="F4185">
        <v>50</v>
      </c>
      <c r="G4185" s="23" t="s">
        <v>180</v>
      </c>
      <c r="H4185">
        <v>0</v>
      </c>
      <c r="I4185">
        <v>0</v>
      </c>
      <c r="J4185" s="10">
        <v>57</v>
      </c>
      <c r="K4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185">
        <v>0</v>
      </c>
      <c r="M41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185">
        <v>8.9499999999999993</v>
      </c>
      <c r="O4185" s="23" t="s">
        <v>224</v>
      </c>
      <c r="P4185">
        <v>447.49999999999994</v>
      </c>
      <c r="Q4185" s="23" t="s">
        <v>182</v>
      </c>
    </row>
    <row r="4186" spans="1:17" x14ac:dyDescent="0.25">
      <c r="A4186" s="23" t="s">
        <v>1149</v>
      </c>
      <c r="B4186" s="23" t="s">
        <v>1145</v>
      </c>
      <c r="C4186" s="23" t="s">
        <v>176</v>
      </c>
      <c r="D4186" s="23" t="s">
        <v>1170</v>
      </c>
      <c r="E4186" s="23" t="s">
        <v>1171</v>
      </c>
      <c r="F4186">
        <v>2</v>
      </c>
      <c r="G4186" s="23" t="s">
        <v>177</v>
      </c>
      <c r="H4186">
        <v>0</v>
      </c>
      <c r="I4186">
        <v>250</v>
      </c>
      <c r="J4186" s="10">
        <v>250</v>
      </c>
      <c r="K4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4186">
        <v>0</v>
      </c>
      <c r="M41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6">
        <v>1.08</v>
      </c>
      <c r="O4186" s="23" t="s">
        <v>827</v>
      </c>
      <c r="P4186">
        <v>2.16</v>
      </c>
      <c r="Q4186" s="23" t="s">
        <v>222</v>
      </c>
    </row>
    <row r="4187" spans="1:17" x14ac:dyDescent="0.25">
      <c r="A4187" s="23" t="s">
        <v>1146</v>
      </c>
      <c r="B4187" s="23" t="s">
        <v>1145</v>
      </c>
      <c r="C4187" s="23" t="s">
        <v>176</v>
      </c>
      <c r="D4187" s="23" t="s">
        <v>1168</v>
      </c>
      <c r="E4187" s="23" t="s">
        <v>1169</v>
      </c>
      <c r="F4187">
        <v>2</v>
      </c>
      <c r="G4187" s="23" t="s">
        <v>177</v>
      </c>
      <c r="H4187">
        <v>0</v>
      </c>
      <c r="I4187">
        <v>500</v>
      </c>
      <c r="J4187" s="10">
        <v>500</v>
      </c>
      <c r="K4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87">
        <v>0</v>
      </c>
      <c r="M41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7">
        <v>0.55000000000000004</v>
      </c>
      <c r="O4187" s="23" t="s">
        <v>827</v>
      </c>
      <c r="P4187">
        <v>1.1000000000000001</v>
      </c>
      <c r="Q4187" s="23" t="s">
        <v>222</v>
      </c>
    </row>
    <row r="4188" spans="1:17" x14ac:dyDescent="0.25">
      <c r="A4188" s="23" t="s">
        <v>1144</v>
      </c>
      <c r="B4188" s="23" t="s">
        <v>1145</v>
      </c>
      <c r="C4188" s="23" t="s">
        <v>176</v>
      </c>
      <c r="D4188" s="23" t="s">
        <v>1168</v>
      </c>
      <c r="E4188" s="23" t="s">
        <v>1169</v>
      </c>
      <c r="F4188">
        <v>2</v>
      </c>
      <c r="G4188" s="23" t="s">
        <v>177</v>
      </c>
      <c r="H4188">
        <v>0</v>
      </c>
      <c r="I4188">
        <v>500</v>
      </c>
      <c r="J4188" s="10">
        <v>500</v>
      </c>
      <c r="K4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188">
        <v>0</v>
      </c>
      <c r="M41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8">
        <v>0.55000000000000004</v>
      </c>
      <c r="O4188" s="23" t="s">
        <v>827</v>
      </c>
      <c r="P4188">
        <v>1.1000000000000001</v>
      </c>
      <c r="Q4188" s="23" t="s">
        <v>222</v>
      </c>
    </row>
    <row r="4189" spans="1:17" x14ac:dyDescent="0.25">
      <c r="A4189" s="23" t="s">
        <v>1143</v>
      </c>
      <c r="B4189" s="23" t="s">
        <v>1054</v>
      </c>
      <c r="C4189" s="23" t="s">
        <v>176</v>
      </c>
      <c r="D4189" s="23" t="s">
        <v>693</v>
      </c>
      <c r="E4189" s="23" t="s">
        <v>694</v>
      </c>
      <c r="F4189">
        <v>15</v>
      </c>
      <c r="G4189" s="23" t="s">
        <v>183</v>
      </c>
      <c r="H4189">
        <v>0</v>
      </c>
      <c r="I4189">
        <v>35.700000000000003</v>
      </c>
      <c r="J4189" s="10">
        <v>9.1250000000000568</v>
      </c>
      <c r="K4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-44.859999999999985</v>
      </c>
      <c r="L4189">
        <v>95.16</v>
      </c>
      <c r="M41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89">
        <v>300.55</v>
      </c>
      <c r="O4189" s="23" t="s">
        <v>224</v>
      </c>
      <c r="P4189">
        <v>4508.25</v>
      </c>
      <c r="Q4189" s="23" t="s">
        <v>182</v>
      </c>
    </row>
    <row r="4190" spans="1:17" x14ac:dyDescent="0.25">
      <c r="A4190" s="23" t="s">
        <v>1150</v>
      </c>
      <c r="B4190" s="23" t="s">
        <v>1145</v>
      </c>
      <c r="C4190" s="23" t="s">
        <v>176</v>
      </c>
      <c r="D4190" s="23" t="s">
        <v>341</v>
      </c>
      <c r="E4190" s="23" t="s">
        <v>342</v>
      </c>
      <c r="F4190">
        <v>2</v>
      </c>
      <c r="G4190" s="23" t="s">
        <v>177</v>
      </c>
      <c r="H4190">
        <v>0</v>
      </c>
      <c r="I4190">
        <v>75</v>
      </c>
      <c r="J4190" s="10">
        <v>42.700000000000159</v>
      </c>
      <c r="K4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4190">
        <v>0</v>
      </c>
      <c r="M41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0">
        <v>15</v>
      </c>
      <c r="O4190" s="23" t="s">
        <v>242</v>
      </c>
      <c r="P4190">
        <v>30</v>
      </c>
      <c r="Q4190" s="23" t="s">
        <v>181</v>
      </c>
    </row>
    <row r="4191" spans="1:17" x14ac:dyDescent="0.25">
      <c r="A4191" s="23" t="s">
        <v>1150</v>
      </c>
      <c r="B4191" s="23" t="s">
        <v>1145</v>
      </c>
      <c r="C4191" s="23" t="s">
        <v>176</v>
      </c>
      <c r="D4191" s="23" t="s">
        <v>799</v>
      </c>
      <c r="E4191" s="23" t="s">
        <v>800</v>
      </c>
      <c r="F4191">
        <v>3</v>
      </c>
      <c r="G4191" s="23" t="s">
        <v>177</v>
      </c>
      <c r="H4191">
        <v>0</v>
      </c>
      <c r="I4191">
        <v>200</v>
      </c>
      <c r="J4191" s="10">
        <v>0</v>
      </c>
      <c r="K4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-188</v>
      </c>
      <c r="L4191">
        <v>0</v>
      </c>
      <c r="M41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1">
        <v>10</v>
      </c>
      <c r="O4191" s="23" t="s">
        <v>227</v>
      </c>
      <c r="P4191">
        <v>30</v>
      </c>
      <c r="Q4191" s="23" t="s">
        <v>181</v>
      </c>
    </row>
    <row r="4192" spans="1:17" x14ac:dyDescent="0.25">
      <c r="A4192" s="23" t="s">
        <v>1150</v>
      </c>
      <c r="B4192" s="23" t="s">
        <v>1145</v>
      </c>
      <c r="C4192" s="23" t="s">
        <v>176</v>
      </c>
      <c r="D4192" s="23" t="s">
        <v>107</v>
      </c>
      <c r="E4192" s="23" t="s">
        <v>108</v>
      </c>
      <c r="F4192">
        <v>1</v>
      </c>
      <c r="G4192" s="23" t="s">
        <v>177</v>
      </c>
      <c r="H4192">
        <v>0</v>
      </c>
      <c r="I4192">
        <v>9</v>
      </c>
      <c r="J4192" s="10">
        <v>8</v>
      </c>
      <c r="K4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192">
        <v>5</v>
      </c>
      <c r="M41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2">
        <v>1200</v>
      </c>
      <c r="O4192" s="23" t="s">
        <v>218</v>
      </c>
      <c r="P4192">
        <v>1200</v>
      </c>
      <c r="Q4192" s="23" t="s">
        <v>179</v>
      </c>
    </row>
    <row r="4193" spans="1:17" x14ac:dyDescent="0.25">
      <c r="A4193" s="23" t="s">
        <v>1150</v>
      </c>
      <c r="B4193" s="23" t="s">
        <v>1145</v>
      </c>
      <c r="C4193" s="23" t="s">
        <v>176</v>
      </c>
      <c r="D4193" s="23" t="s">
        <v>751</v>
      </c>
      <c r="E4193" s="23" t="s">
        <v>752</v>
      </c>
      <c r="F4193">
        <v>12</v>
      </c>
      <c r="G4193" s="23" t="s">
        <v>177</v>
      </c>
      <c r="H4193">
        <v>0</v>
      </c>
      <c r="I4193">
        <v>0</v>
      </c>
      <c r="J4193" s="10">
        <v>0</v>
      </c>
      <c r="K4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93">
        <v>0</v>
      </c>
      <c r="M41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4193">
        <v>1.75</v>
      </c>
      <c r="O4193" s="23" t="s">
        <v>242</v>
      </c>
      <c r="P4193">
        <v>21</v>
      </c>
      <c r="Q4193" s="23" t="s">
        <v>181</v>
      </c>
    </row>
    <row r="4194" spans="1:17" x14ac:dyDescent="0.25">
      <c r="A4194" s="23" t="s">
        <v>1142</v>
      </c>
      <c r="B4194" s="23" t="s">
        <v>1054</v>
      </c>
      <c r="C4194" s="23" t="s">
        <v>176</v>
      </c>
      <c r="D4194" s="23" t="s">
        <v>341</v>
      </c>
      <c r="E4194" s="23" t="s">
        <v>342</v>
      </c>
      <c r="F4194">
        <v>2</v>
      </c>
      <c r="G4194" s="23" t="s">
        <v>177</v>
      </c>
      <c r="H4194">
        <v>0</v>
      </c>
      <c r="I4194">
        <v>75</v>
      </c>
      <c r="J4194" s="10">
        <v>42.700000000000159</v>
      </c>
      <c r="K4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4194">
        <v>0</v>
      </c>
      <c r="M41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4">
        <v>15</v>
      </c>
      <c r="O4194" s="23" t="s">
        <v>242</v>
      </c>
      <c r="P4194">
        <v>30</v>
      </c>
      <c r="Q4194" s="23" t="s">
        <v>181</v>
      </c>
    </row>
    <row r="4195" spans="1:17" x14ac:dyDescent="0.25">
      <c r="A4195" s="23" t="s">
        <v>1142</v>
      </c>
      <c r="B4195" s="23" t="s">
        <v>1054</v>
      </c>
      <c r="C4195" s="23" t="s">
        <v>176</v>
      </c>
      <c r="D4195" s="23" t="s">
        <v>107</v>
      </c>
      <c r="E4195" s="23" t="s">
        <v>108</v>
      </c>
      <c r="F4195">
        <v>1</v>
      </c>
      <c r="G4195" s="23" t="s">
        <v>177</v>
      </c>
      <c r="H4195">
        <v>0</v>
      </c>
      <c r="I4195">
        <v>9</v>
      </c>
      <c r="J4195" s="10">
        <v>8</v>
      </c>
      <c r="K4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195">
        <v>5</v>
      </c>
      <c r="M41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5">
        <v>1200</v>
      </c>
      <c r="O4195" s="23" t="s">
        <v>218</v>
      </c>
      <c r="P4195">
        <v>1200</v>
      </c>
      <c r="Q4195" s="23" t="s">
        <v>179</v>
      </c>
    </row>
    <row r="4196" spans="1:17" x14ac:dyDescent="0.25">
      <c r="A4196" s="23" t="s">
        <v>1142</v>
      </c>
      <c r="B4196" s="23" t="s">
        <v>1054</v>
      </c>
      <c r="C4196" s="23" t="s">
        <v>176</v>
      </c>
      <c r="D4196" s="23" t="s">
        <v>751</v>
      </c>
      <c r="E4196" s="23" t="s">
        <v>752</v>
      </c>
      <c r="F4196">
        <v>12</v>
      </c>
      <c r="G4196" s="23" t="s">
        <v>177</v>
      </c>
      <c r="H4196">
        <v>0</v>
      </c>
      <c r="I4196">
        <v>0</v>
      </c>
      <c r="J4196" s="10">
        <v>0</v>
      </c>
      <c r="K4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196">
        <v>0</v>
      </c>
      <c r="M41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4196">
        <v>1.75</v>
      </c>
      <c r="O4196" s="23" t="s">
        <v>242</v>
      </c>
      <c r="P4196">
        <v>21</v>
      </c>
      <c r="Q4196" s="23" t="s">
        <v>181</v>
      </c>
    </row>
    <row r="4197" spans="1:17" x14ac:dyDescent="0.25">
      <c r="A4197" s="23" t="s">
        <v>1149</v>
      </c>
      <c r="B4197" s="23" t="s">
        <v>1145</v>
      </c>
      <c r="C4197" s="23" t="s">
        <v>176</v>
      </c>
      <c r="D4197" s="23" t="s">
        <v>341</v>
      </c>
      <c r="E4197" s="23" t="s">
        <v>342</v>
      </c>
      <c r="F4197">
        <v>2</v>
      </c>
      <c r="G4197" s="23" t="s">
        <v>177</v>
      </c>
      <c r="H4197">
        <v>0</v>
      </c>
      <c r="I4197">
        <v>75</v>
      </c>
      <c r="J4197" s="10">
        <v>42.700000000000159</v>
      </c>
      <c r="K4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4197">
        <v>0</v>
      </c>
      <c r="M41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7">
        <v>15</v>
      </c>
      <c r="O4197" s="23" t="s">
        <v>242</v>
      </c>
      <c r="P4197">
        <v>30</v>
      </c>
      <c r="Q4197" s="23" t="s">
        <v>181</v>
      </c>
    </row>
    <row r="4198" spans="1:17" x14ac:dyDescent="0.25">
      <c r="A4198" s="23" t="s">
        <v>1146</v>
      </c>
      <c r="B4198" s="23" t="s">
        <v>1145</v>
      </c>
      <c r="C4198" s="23" t="s">
        <v>176</v>
      </c>
      <c r="D4198" s="23" t="s">
        <v>341</v>
      </c>
      <c r="E4198" s="23" t="s">
        <v>342</v>
      </c>
      <c r="F4198">
        <v>2</v>
      </c>
      <c r="G4198" s="23" t="s">
        <v>177</v>
      </c>
      <c r="H4198">
        <v>0</v>
      </c>
      <c r="I4198">
        <v>75</v>
      </c>
      <c r="J4198" s="10">
        <v>42.700000000000159</v>
      </c>
      <c r="K4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4198">
        <v>0</v>
      </c>
      <c r="M41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8">
        <v>15</v>
      </c>
      <c r="O4198" s="23" t="s">
        <v>242</v>
      </c>
      <c r="P4198">
        <v>30</v>
      </c>
      <c r="Q4198" s="23" t="s">
        <v>181</v>
      </c>
    </row>
    <row r="4199" spans="1:17" x14ac:dyDescent="0.25">
      <c r="A4199" s="23" t="s">
        <v>1146</v>
      </c>
      <c r="B4199" s="23" t="s">
        <v>1145</v>
      </c>
      <c r="C4199" s="23" t="s">
        <v>176</v>
      </c>
      <c r="D4199" s="23" t="s">
        <v>107</v>
      </c>
      <c r="E4199" s="23" t="s">
        <v>108</v>
      </c>
      <c r="F4199">
        <v>1</v>
      </c>
      <c r="G4199" s="23" t="s">
        <v>177</v>
      </c>
      <c r="H4199">
        <v>0</v>
      </c>
      <c r="I4199">
        <v>9</v>
      </c>
      <c r="J4199" s="10">
        <v>8</v>
      </c>
      <c r="K4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199">
        <v>5</v>
      </c>
      <c r="M41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199">
        <v>1200</v>
      </c>
      <c r="O4199" s="23" t="s">
        <v>218</v>
      </c>
      <c r="P4199">
        <v>1200</v>
      </c>
      <c r="Q4199" s="23" t="s">
        <v>179</v>
      </c>
    </row>
    <row r="4200" spans="1:17" x14ac:dyDescent="0.25">
      <c r="A4200" s="23" t="s">
        <v>1144</v>
      </c>
      <c r="B4200" s="23" t="s">
        <v>1145</v>
      </c>
      <c r="C4200" s="23" t="s">
        <v>176</v>
      </c>
      <c r="D4200" s="23" t="s">
        <v>107</v>
      </c>
      <c r="E4200" s="23" t="s">
        <v>108</v>
      </c>
      <c r="F4200">
        <v>1</v>
      </c>
      <c r="G4200" s="23" t="s">
        <v>177</v>
      </c>
      <c r="H4200">
        <v>0</v>
      </c>
      <c r="I4200">
        <v>9</v>
      </c>
      <c r="J4200" s="10">
        <v>8</v>
      </c>
      <c r="K4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200">
        <v>5</v>
      </c>
      <c r="M42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0">
        <v>1200</v>
      </c>
      <c r="O4200" s="23" t="s">
        <v>218</v>
      </c>
      <c r="P4200">
        <v>1200</v>
      </c>
      <c r="Q4200" s="23" t="s">
        <v>179</v>
      </c>
    </row>
    <row r="4201" spans="1:17" x14ac:dyDescent="0.25">
      <c r="A4201" s="23" t="s">
        <v>1149</v>
      </c>
      <c r="B4201" s="23" t="s">
        <v>1145</v>
      </c>
      <c r="C4201" s="23" t="s">
        <v>176</v>
      </c>
      <c r="D4201" s="23" t="s">
        <v>751</v>
      </c>
      <c r="E4201" s="23" t="s">
        <v>752</v>
      </c>
      <c r="F4201">
        <v>12</v>
      </c>
      <c r="G4201" s="23" t="s">
        <v>177</v>
      </c>
      <c r="H4201">
        <v>0</v>
      </c>
      <c r="I4201">
        <v>0</v>
      </c>
      <c r="J4201" s="10">
        <v>0</v>
      </c>
      <c r="K4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201">
        <v>0</v>
      </c>
      <c r="M42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4201">
        <v>1.75</v>
      </c>
      <c r="O4201" s="23" t="s">
        <v>242</v>
      </c>
      <c r="P4201">
        <v>21</v>
      </c>
      <c r="Q4201" s="23" t="s">
        <v>181</v>
      </c>
    </row>
    <row r="4202" spans="1:17" x14ac:dyDescent="0.25">
      <c r="A4202" s="23" t="s">
        <v>1146</v>
      </c>
      <c r="B4202" s="23" t="s">
        <v>1145</v>
      </c>
      <c r="C4202" s="23" t="s">
        <v>176</v>
      </c>
      <c r="D4202" s="23" t="s">
        <v>751</v>
      </c>
      <c r="E4202" s="23" t="s">
        <v>752</v>
      </c>
      <c r="F4202">
        <v>12</v>
      </c>
      <c r="G4202" s="23" t="s">
        <v>177</v>
      </c>
      <c r="H4202">
        <v>0</v>
      </c>
      <c r="I4202">
        <v>0</v>
      </c>
      <c r="J4202" s="10">
        <v>0</v>
      </c>
      <c r="K4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202">
        <v>0</v>
      </c>
      <c r="M42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4202">
        <v>1.75</v>
      </c>
      <c r="O4202" s="23" t="s">
        <v>242</v>
      </c>
      <c r="P4202">
        <v>21</v>
      </c>
      <c r="Q4202" s="23" t="s">
        <v>181</v>
      </c>
    </row>
    <row r="4203" spans="1:17" x14ac:dyDescent="0.25">
      <c r="A4203" s="23" t="s">
        <v>1144</v>
      </c>
      <c r="B4203" s="23" t="s">
        <v>1145</v>
      </c>
      <c r="C4203" s="23" t="s">
        <v>176</v>
      </c>
      <c r="D4203" s="23" t="s">
        <v>751</v>
      </c>
      <c r="E4203" s="23" t="s">
        <v>752</v>
      </c>
      <c r="F4203">
        <v>12</v>
      </c>
      <c r="G4203" s="23" t="s">
        <v>177</v>
      </c>
      <c r="H4203">
        <v>0</v>
      </c>
      <c r="I4203">
        <v>0</v>
      </c>
      <c r="J4203" s="10">
        <v>0</v>
      </c>
      <c r="K4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124</v>
      </c>
      <c r="L4203">
        <v>0</v>
      </c>
      <c r="M42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217</v>
      </c>
      <c r="N4203">
        <v>1.75</v>
      </c>
      <c r="O4203" s="23" t="s">
        <v>242</v>
      </c>
      <c r="P4203">
        <v>21</v>
      </c>
      <c r="Q4203" s="23" t="s">
        <v>181</v>
      </c>
    </row>
    <row r="4204" spans="1:17" x14ac:dyDescent="0.25">
      <c r="A4204" s="23" t="s">
        <v>1150</v>
      </c>
      <c r="B4204" s="23" t="s">
        <v>1145</v>
      </c>
      <c r="C4204" s="23" t="s">
        <v>176</v>
      </c>
      <c r="D4204" s="23" t="s">
        <v>275</v>
      </c>
      <c r="E4204" s="23" t="s">
        <v>276</v>
      </c>
      <c r="F4204">
        <v>1</v>
      </c>
      <c r="G4204" s="23" t="s">
        <v>177</v>
      </c>
      <c r="H4204">
        <v>0</v>
      </c>
      <c r="I4204">
        <v>9</v>
      </c>
      <c r="J4204" s="10">
        <v>8</v>
      </c>
      <c r="K4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204">
        <v>0</v>
      </c>
      <c r="M42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204">
        <v>487.56</v>
      </c>
      <c r="O4204" s="23" t="s">
        <v>277</v>
      </c>
      <c r="P4204">
        <v>487.56</v>
      </c>
      <c r="Q4204" s="23" t="s">
        <v>178</v>
      </c>
    </row>
    <row r="4205" spans="1:17" x14ac:dyDescent="0.25">
      <c r="A4205" s="23" t="s">
        <v>1146</v>
      </c>
      <c r="B4205" s="23" t="s">
        <v>1145</v>
      </c>
      <c r="C4205" s="23" t="s">
        <v>176</v>
      </c>
      <c r="D4205" s="23" t="s">
        <v>336</v>
      </c>
      <c r="E4205" s="23" t="s">
        <v>623</v>
      </c>
      <c r="F4205">
        <v>1</v>
      </c>
      <c r="G4205" s="23" t="s">
        <v>177</v>
      </c>
      <c r="H4205">
        <v>0</v>
      </c>
      <c r="I4205">
        <v>5</v>
      </c>
      <c r="J4205" s="10">
        <v>4</v>
      </c>
      <c r="K4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205">
        <v>0</v>
      </c>
      <c r="M42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205">
        <v>1723.12</v>
      </c>
      <c r="O4205" s="23" t="s">
        <v>637</v>
      </c>
      <c r="P4205">
        <v>1723.12</v>
      </c>
      <c r="Q4205" s="23" t="s">
        <v>179</v>
      </c>
    </row>
    <row r="4206" spans="1:17" x14ac:dyDescent="0.25">
      <c r="A4206" s="23" t="s">
        <v>1150</v>
      </c>
      <c r="B4206" s="23" t="s">
        <v>1145</v>
      </c>
      <c r="C4206" s="23" t="s">
        <v>176</v>
      </c>
      <c r="D4206" s="23" t="s">
        <v>570</v>
      </c>
      <c r="E4206" s="23" t="s">
        <v>571</v>
      </c>
      <c r="F4206">
        <v>7</v>
      </c>
      <c r="G4206" s="23" t="s">
        <v>177</v>
      </c>
      <c r="H4206">
        <v>0</v>
      </c>
      <c r="I4206">
        <v>1000</v>
      </c>
      <c r="J4206" s="10">
        <v>1222</v>
      </c>
      <c r="K4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206">
        <v>0</v>
      </c>
      <c r="M42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6">
        <v>1.1399999999999999</v>
      </c>
      <c r="O4206" s="23" t="s">
        <v>883</v>
      </c>
      <c r="P4206">
        <v>7.9799999999999995</v>
      </c>
      <c r="Q4206" s="23" t="s">
        <v>181</v>
      </c>
    </row>
    <row r="4207" spans="1:17" x14ac:dyDescent="0.25">
      <c r="A4207" s="23" t="s">
        <v>1146</v>
      </c>
      <c r="B4207" s="23" t="s">
        <v>1145</v>
      </c>
      <c r="C4207" s="23" t="s">
        <v>176</v>
      </c>
      <c r="D4207" s="23" t="s">
        <v>719</v>
      </c>
      <c r="E4207" s="23" t="s">
        <v>720</v>
      </c>
      <c r="F4207">
        <v>1</v>
      </c>
      <c r="G4207" s="23" t="s">
        <v>177</v>
      </c>
      <c r="H4207">
        <v>0</v>
      </c>
      <c r="I4207">
        <v>1</v>
      </c>
      <c r="J4207" s="10">
        <v>4</v>
      </c>
      <c r="K4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207">
        <v>0</v>
      </c>
      <c r="M42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207">
        <v>12990.78</v>
      </c>
      <c r="O4207" s="23" t="s">
        <v>590</v>
      </c>
      <c r="P4207">
        <v>12990.78</v>
      </c>
      <c r="Q4207" s="23" t="s">
        <v>178</v>
      </c>
    </row>
    <row r="4208" spans="1:17" x14ac:dyDescent="0.25">
      <c r="A4208" s="23" t="s">
        <v>1100</v>
      </c>
      <c r="B4208" s="23" t="s">
        <v>1101</v>
      </c>
      <c r="C4208" s="23" t="s">
        <v>176</v>
      </c>
      <c r="D4208" s="23" t="s">
        <v>570</v>
      </c>
      <c r="E4208" s="23" t="s">
        <v>571</v>
      </c>
      <c r="F4208">
        <v>4</v>
      </c>
      <c r="G4208" s="23" t="s">
        <v>177</v>
      </c>
      <c r="H4208">
        <v>0</v>
      </c>
      <c r="I4208">
        <v>1000</v>
      </c>
      <c r="J4208" s="10">
        <v>1222</v>
      </c>
      <c r="K4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208">
        <v>0</v>
      </c>
      <c r="M42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08">
        <v>1.1399999999999999</v>
      </c>
      <c r="O4208" s="23" t="s">
        <v>883</v>
      </c>
      <c r="P4208">
        <v>4.5599999999999996</v>
      </c>
      <c r="Q4208" s="23" t="s">
        <v>181</v>
      </c>
    </row>
    <row r="4209" spans="1:17" x14ac:dyDescent="0.25">
      <c r="A4209" s="23" t="s">
        <v>1100</v>
      </c>
      <c r="B4209" s="23" t="s">
        <v>1101</v>
      </c>
      <c r="C4209" s="23" t="s">
        <v>176</v>
      </c>
      <c r="D4209" s="23" t="s">
        <v>780</v>
      </c>
      <c r="E4209" s="23" t="s">
        <v>781</v>
      </c>
      <c r="F4209">
        <v>2</v>
      </c>
      <c r="G4209" s="23" t="s">
        <v>177</v>
      </c>
      <c r="H4209">
        <v>0</v>
      </c>
      <c r="I4209">
        <v>3</v>
      </c>
      <c r="J4209" s="10">
        <v>12</v>
      </c>
      <c r="K4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209">
        <v>0</v>
      </c>
      <c r="M42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209">
        <v>444.13</v>
      </c>
      <c r="O4209" s="23" t="s">
        <v>590</v>
      </c>
      <c r="P4209">
        <v>888.26</v>
      </c>
      <c r="Q4209" s="23" t="s">
        <v>178</v>
      </c>
    </row>
    <row r="4210" spans="1:17" x14ac:dyDescent="0.25">
      <c r="A4210" s="23" t="s">
        <v>1100</v>
      </c>
      <c r="B4210" s="23" t="s">
        <v>1101</v>
      </c>
      <c r="C4210" s="23" t="s">
        <v>176</v>
      </c>
      <c r="D4210" s="23" t="s">
        <v>719</v>
      </c>
      <c r="E4210" s="23" t="s">
        <v>720</v>
      </c>
      <c r="F4210">
        <v>1</v>
      </c>
      <c r="G4210" s="23" t="s">
        <v>177</v>
      </c>
      <c r="H4210">
        <v>0</v>
      </c>
      <c r="I4210">
        <v>1</v>
      </c>
      <c r="J4210" s="10">
        <v>4</v>
      </c>
      <c r="K4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210">
        <v>0</v>
      </c>
      <c r="M42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210">
        <v>12990.78</v>
      </c>
      <c r="O4210" s="23" t="s">
        <v>590</v>
      </c>
      <c r="P4210">
        <v>12990.78</v>
      </c>
      <c r="Q4210" s="23" t="s">
        <v>178</v>
      </c>
    </row>
    <row r="4211" spans="1:17" x14ac:dyDescent="0.25">
      <c r="A4211" s="23" t="s">
        <v>1143</v>
      </c>
      <c r="B4211" s="23" t="s">
        <v>1054</v>
      </c>
      <c r="C4211" s="23" t="s">
        <v>176</v>
      </c>
      <c r="D4211" s="23" t="s">
        <v>245</v>
      </c>
      <c r="E4211" s="23" t="s">
        <v>246</v>
      </c>
      <c r="F4211">
        <v>2</v>
      </c>
      <c r="G4211" s="23" t="s">
        <v>177</v>
      </c>
      <c r="H4211">
        <v>0</v>
      </c>
      <c r="I4211">
        <v>20</v>
      </c>
      <c r="J4211" s="10">
        <v>7</v>
      </c>
      <c r="K4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211">
        <v>0</v>
      </c>
      <c r="M42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1">
        <v>60</v>
      </c>
      <c r="O4211" s="23" t="s">
        <v>629</v>
      </c>
      <c r="P4211">
        <v>120</v>
      </c>
      <c r="Q4211" s="23" t="s">
        <v>181</v>
      </c>
    </row>
    <row r="4212" spans="1:17" x14ac:dyDescent="0.25">
      <c r="A4212" s="23" t="s">
        <v>1142</v>
      </c>
      <c r="B4212" s="23" t="s">
        <v>1054</v>
      </c>
      <c r="C4212" s="23" t="s">
        <v>176</v>
      </c>
      <c r="D4212" s="23" t="s">
        <v>773</v>
      </c>
      <c r="E4212" s="23" t="s">
        <v>774</v>
      </c>
      <c r="F4212">
        <v>4</v>
      </c>
      <c r="G4212" s="23" t="s">
        <v>177</v>
      </c>
      <c r="H4212">
        <v>0</v>
      </c>
      <c r="I4212">
        <v>64.5</v>
      </c>
      <c r="J4212" s="10">
        <v>20</v>
      </c>
      <c r="K4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4212">
        <v>0</v>
      </c>
      <c r="M42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2">
        <v>200</v>
      </c>
      <c r="O4212" s="23" t="s">
        <v>249</v>
      </c>
      <c r="P4212">
        <v>800</v>
      </c>
      <c r="Q4212" s="23" t="s">
        <v>178</v>
      </c>
    </row>
    <row r="4213" spans="1:17" x14ac:dyDescent="0.25">
      <c r="A4213" s="23" t="s">
        <v>1057</v>
      </c>
      <c r="B4213" s="23" t="s">
        <v>1056</v>
      </c>
      <c r="C4213" s="23" t="s">
        <v>176</v>
      </c>
      <c r="D4213" s="23" t="s">
        <v>411</v>
      </c>
      <c r="E4213" s="23" t="s">
        <v>412</v>
      </c>
      <c r="F4213">
        <v>0.01</v>
      </c>
      <c r="G4213" s="23" t="s">
        <v>413</v>
      </c>
      <c r="H4213">
        <v>0</v>
      </c>
      <c r="I4213">
        <v>150</v>
      </c>
      <c r="J4213" s="10">
        <v>0</v>
      </c>
      <c r="K4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4213">
        <v>0</v>
      </c>
      <c r="M42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3">
        <v>1.8</v>
      </c>
      <c r="O4213" s="23" t="s">
        <v>221</v>
      </c>
      <c r="P4213">
        <v>1.8000000000000002E-2</v>
      </c>
      <c r="Q4213" s="23" t="s">
        <v>181</v>
      </c>
    </row>
    <row r="4214" spans="1:17" x14ac:dyDescent="0.25">
      <c r="A4214" s="23" t="s">
        <v>1143</v>
      </c>
      <c r="B4214" s="23" t="s">
        <v>1054</v>
      </c>
      <c r="C4214" s="23" t="s">
        <v>176</v>
      </c>
      <c r="D4214" s="23" t="s">
        <v>411</v>
      </c>
      <c r="E4214" s="23" t="s">
        <v>412</v>
      </c>
      <c r="F4214">
        <v>2.5000000000000001E-2</v>
      </c>
      <c r="G4214" s="23" t="s">
        <v>413</v>
      </c>
      <c r="H4214">
        <v>0</v>
      </c>
      <c r="I4214">
        <v>150</v>
      </c>
      <c r="J4214" s="10">
        <v>0</v>
      </c>
      <c r="K4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4214">
        <v>0</v>
      </c>
      <c r="M42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4">
        <v>1.8</v>
      </c>
      <c r="O4214" s="23" t="s">
        <v>221</v>
      </c>
      <c r="P4214">
        <v>4.5000000000000005E-2</v>
      </c>
      <c r="Q4214" s="23" t="s">
        <v>181</v>
      </c>
    </row>
    <row r="4215" spans="1:17" x14ac:dyDescent="0.25">
      <c r="A4215" s="23" t="s">
        <v>1143</v>
      </c>
      <c r="B4215" s="23" t="s">
        <v>1054</v>
      </c>
      <c r="C4215" s="23" t="s">
        <v>176</v>
      </c>
      <c r="D4215" s="23" t="s">
        <v>438</v>
      </c>
      <c r="E4215" s="23" t="s">
        <v>439</v>
      </c>
      <c r="F4215">
        <v>1</v>
      </c>
      <c r="G4215" s="23" t="s">
        <v>177</v>
      </c>
      <c r="H4215">
        <v>0</v>
      </c>
      <c r="I4215">
        <v>26</v>
      </c>
      <c r="J4215" s="10">
        <v>3</v>
      </c>
      <c r="K4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215">
        <v>0</v>
      </c>
      <c r="M42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5">
        <v>360.05</v>
      </c>
      <c r="O4215" s="23" t="s">
        <v>637</v>
      </c>
      <c r="P4215">
        <v>360.05</v>
      </c>
      <c r="Q4215" s="23" t="s">
        <v>179</v>
      </c>
    </row>
    <row r="4216" spans="1:17" x14ac:dyDescent="0.25">
      <c r="A4216" s="23" t="s">
        <v>1197</v>
      </c>
      <c r="B4216" s="23" t="s">
        <v>1198</v>
      </c>
      <c r="C4216" s="23" t="s">
        <v>176</v>
      </c>
      <c r="D4216" s="23" t="s">
        <v>511</v>
      </c>
      <c r="E4216" s="23" t="s">
        <v>512</v>
      </c>
      <c r="F4216">
        <v>2</v>
      </c>
      <c r="G4216" s="23" t="s">
        <v>177</v>
      </c>
      <c r="H4216">
        <v>0</v>
      </c>
      <c r="I4216">
        <v>0</v>
      </c>
      <c r="J4216" s="10">
        <v>14</v>
      </c>
      <c r="K4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216">
        <v>0</v>
      </c>
      <c r="M42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216">
        <v>6.87</v>
      </c>
      <c r="O4216" s="23" t="s">
        <v>827</v>
      </c>
      <c r="P4216">
        <v>13.74</v>
      </c>
      <c r="Q4216" s="23" t="s">
        <v>222</v>
      </c>
    </row>
    <row r="4217" spans="1:17" x14ac:dyDescent="0.25">
      <c r="A4217" s="23" t="s">
        <v>1144</v>
      </c>
      <c r="B4217" s="23" t="s">
        <v>1145</v>
      </c>
      <c r="C4217" s="23" t="s">
        <v>176</v>
      </c>
      <c r="D4217" s="23" t="s">
        <v>503</v>
      </c>
      <c r="E4217" s="23" t="s">
        <v>504</v>
      </c>
      <c r="F4217">
        <v>2</v>
      </c>
      <c r="G4217" s="23" t="s">
        <v>177</v>
      </c>
      <c r="H4217">
        <v>0</v>
      </c>
      <c r="I4217">
        <v>115</v>
      </c>
      <c r="J4217" s="10">
        <v>2</v>
      </c>
      <c r="K4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217">
        <v>0</v>
      </c>
      <c r="M42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7">
        <v>0.44</v>
      </c>
      <c r="O4217" s="23" t="s">
        <v>505</v>
      </c>
      <c r="P4217">
        <v>0.88</v>
      </c>
      <c r="Q4217" s="23" t="s">
        <v>222</v>
      </c>
    </row>
    <row r="4218" spans="1:17" x14ac:dyDescent="0.25">
      <c r="A4218" s="23" t="s">
        <v>1146</v>
      </c>
      <c r="B4218" s="23" t="s">
        <v>1145</v>
      </c>
      <c r="C4218" s="23" t="s">
        <v>176</v>
      </c>
      <c r="D4218" s="23" t="s">
        <v>503</v>
      </c>
      <c r="E4218" s="23" t="s">
        <v>504</v>
      </c>
      <c r="F4218">
        <v>2</v>
      </c>
      <c r="G4218" s="23" t="s">
        <v>177</v>
      </c>
      <c r="H4218">
        <v>0</v>
      </c>
      <c r="I4218">
        <v>115</v>
      </c>
      <c r="J4218" s="10">
        <v>2</v>
      </c>
      <c r="K4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218">
        <v>0</v>
      </c>
      <c r="M42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8">
        <v>0.44</v>
      </c>
      <c r="O4218" s="23" t="s">
        <v>505</v>
      </c>
      <c r="P4218">
        <v>0.88</v>
      </c>
      <c r="Q4218" s="23" t="s">
        <v>222</v>
      </c>
    </row>
    <row r="4219" spans="1:17" x14ac:dyDescent="0.25">
      <c r="A4219" s="23" t="s">
        <v>1150</v>
      </c>
      <c r="B4219" s="23" t="s">
        <v>1145</v>
      </c>
      <c r="C4219" s="23" t="s">
        <v>176</v>
      </c>
      <c r="D4219" s="23" t="s">
        <v>986</v>
      </c>
      <c r="E4219" s="23" t="s">
        <v>987</v>
      </c>
      <c r="F4219">
        <v>2.5</v>
      </c>
      <c r="G4219" s="23" t="s">
        <v>186</v>
      </c>
      <c r="H4219">
        <v>0</v>
      </c>
      <c r="I4219">
        <v>139</v>
      </c>
      <c r="J4219" s="10">
        <v>45.500000000000043</v>
      </c>
      <c r="K4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4219">
        <v>0</v>
      </c>
      <c r="M42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19">
        <v>233.95</v>
      </c>
      <c r="O4219" s="23" t="s">
        <v>491</v>
      </c>
      <c r="P4219">
        <v>584.875</v>
      </c>
      <c r="Q4219" s="23" t="s">
        <v>184</v>
      </c>
    </row>
    <row r="4220" spans="1:17" x14ac:dyDescent="0.25">
      <c r="A4220" s="23" t="s">
        <v>1149</v>
      </c>
      <c r="B4220" s="23" t="s">
        <v>1145</v>
      </c>
      <c r="C4220" s="23" t="s">
        <v>176</v>
      </c>
      <c r="D4220" s="23" t="s">
        <v>976</v>
      </c>
      <c r="E4220" s="23" t="s">
        <v>977</v>
      </c>
      <c r="F4220">
        <v>4</v>
      </c>
      <c r="G4220" s="23" t="s">
        <v>177</v>
      </c>
      <c r="H4220">
        <v>0</v>
      </c>
      <c r="I4220">
        <v>0</v>
      </c>
      <c r="J4220" s="10">
        <v>0</v>
      </c>
      <c r="K4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220">
        <v>0</v>
      </c>
      <c r="M42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32042.879999999997</v>
      </c>
      <c r="N4220">
        <v>2670.24</v>
      </c>
      <c r="O4220" s="23" t="s">
        <v>978</v>
      </c>
      <c r="P4220">
        <v>10680.96</v>
      </c>
      <c r="Q4220" s="23" t="s">
        <v>182</v>
      </c>
    </row>
    <row r="4221" spans="1:17" x14ac:dyDescent="0.25">
      <c r="A4221" s="23" t="s">
        <v>1146</v>
      </c>
      <c r="B4221" s="23" t="s">
        <v>1145</v>
      </c>
      <c r="C4221" s="23" t="s">
        <v>176</v>
      </c>
      <c r="D4221" s="23" t="s">
        <v>976</v>
      </c>
      <c r="E4221" s="23" t="s">
        <v>977</v>
      </c>
      <c r="F4221">
        <v>4</v>
      </c>
      <c r="G4221" s="23" t="s">
        <v>177</v>
      </c>
      <c r="H4221">
        <v>0</v>
      </c>
      <c r="I4221">
        <v>0</v>
      </c>
      <c r="J4221" s="10">
        <v>0</v>
      </c>
      <c r="K4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221">
        <v>0</v>
      </c>
      <c r="M42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32042.879999999997</v>
      </c>
      <c r="N4221">
        <v>2670.24</v>
      </c>
      <c r="O4221" s="23" t="s">
        <v>978</v>
      </c>
      <c r="P4221">
        <v>10680.96</v>
      </c>
      <c r="Q4221" s="23" t="s">
        <v>182</v>
      </c>
    </row>
    <row r="4222" spans="1:17" x14ac:dyDescent="0.25">
      <c r="A4222" s="23" t="s">
        <v>1144</v>
      </c>
      <c r="B4222" s="23" t="s">
        <v>1145</v>
      </c>
      <c r="C4222" s="23" t="s">
        <v>176</v>
      </c>
      <c r="D4222" s="23" t="s">
        <v>986</v>
      </c>
      <c r="E4222" s="23" t="s">
        <v>987</v>
      </c>
      <c r="F4222">
        <v>2.5</v>
      </c>
      <c r="G4222" s="23" t="s">
        <v>186</v>
      </c>
      <c r="H4222">
        <v>0</v>
      </c>
      <c r="I4222">
        <v>139</v>
      </c>
      <c r="J4222" s="10">
        <v>45.500000000000043</v>
      </c>
      <c r="K4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4222">
        <v>0</v>
      </c>
      <c r="M42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2">
        <v>233.95</v>
      </c>
      <c r="O4222" s="23" t="s">
        <v>491</v>
      </c>
      <c r="P4222">
        <v>584.875</v>
      </c>
      <c r="Q4222" s="23" t="s">
        <v>184</v>
      </c>
    </row>
    <row r="4223" spans="1:17" x14ac:dyDescent="0.25">
      <c r="A4223" s="23" t="s">
        <v>1148</v>
      </c>
      <c r="B4223" s="23" t="s">
        <v>1054</v>
      </c>
      <c r="C4223" s="23" t="s">
        <v>176</v>
      </c>
      <c r="D4223" s="23" t="s">
        <v>348</v>
      </c>
      <c r="E4223" s="23" t="s">
        <v>349</v>
      </c>
      <c r="F4223">
        <v>0.1</v>
      </c>
      <c r="G4223" s="23" t="s">
        <v>177</v>
      </c>
      <c r="H4223">
        <v>0</v>
      </c>
      <c r="I4223">
        <v>2</v>
      </c>
      <c r="J4223" s="10">
        <v>3.2474023470285829E-15</v>
      </c>
      <c r="K4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4223">
        <v>0</v>
      </c>
      <c r="M42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4223">
        <v>2778</v>
      </c>
      <c r="O4223" s="23" t="s">
        <v>218</v>
      </c>
      <c r="P4223">
        <v>277.8</v>
      </c>
      <c r="Q4223" s="23" t="s">
        <v>184</v>
      </c>
    </row>
    <row r="4224" spans="1:17" x14ac:dyDescent="0.25">
      <c r="A4224" s="23" t="s">
        <v>1147</v>
      </c>
      <c r="B4224" s="23" t="s">
        <v>1145</v>
      </c>
      <c r="C4224" s="23" t="s">
        <v>176</v>
      </c>
      <c r="D4224" s="23" t="s">
        <v>343</v>
      </c>
      <c r="E4224" s="23" t="s">
        <v>344</v>
      </c>
      <c r="F4224">
        <v>0.05</v>
      </c>
      <c r="G4224" s="23" t="s">
        <v>177</v>
      </c>
      <c r="H4224">
        <v>0</v>
      </c>
      <c r="I4224">
        <v>2</v>
      </c>
      <c r="J4224" s="10">
        <v>1.1657341758564144E-15</v>
      </c>
      <c r="K4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4224">
        <v>0</v>
      </c>
      <c r="M42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4">
        <v>1400</v>
      </c>
      <c r="O4224" s="23" t="s">
        <v>218</v>
      </c>
      <c r="P4224">
        <v>70</v>
      </c>
      <c r="Q4224" s="23" t="s">
        <v>184</v>
      </c>
    </row>
    <row r="4225" spans="1:17" x14ac:dyDescent="0.25">
      <c r="A4225" s="23" t="s">
        <v>1148</v>
      </c>
      <c r="B4225" s="23" t="s">
        <v>1054</v>
      </c>
      <c r="C4225" s="23" t="s">
        <v>176</v>
      </c>
      <c r="D4225" s="23" t="s">
        <v>343</v>
      </c>
      <c r="E4225" s="23" t="s">
        <v>344</v>
      </c>
      <c r="F4225">
        <v>0.1</v>
      </c>
      <c r="G4225" s="23" t="s">
        <v>177</v>
      </c>
      <c r="H4225">
        <v>0</v>
      </c>
      <c r="I4225">
        <v>2</v>
      </c>
      <c r="J4225" s="10">
        <v>1.1657341758564144E-15</v>
      </c>
      <c r="K4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4225">
        <v>0</v>
      </c>
      <c r="M42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5">
        <v>1400</v>
      </c>
      <c r="O4225" s="23" t="s">
        <v>218</v>
      </c>
      <c r="P4225">
        <v>140</v>
      </c>
      <c r="Q4225" s="23" t="s">
        <v>184</v>
      </c>
    </row>
    <row r="4226" spans="1:17" x14ac:dyDescent="0.25">
      <c r="A4226" s="23" t="s">
        <v>1055</v>
      </c>
      <c r="B4226" s="23" t="s">
        <v>1056</v>
      </c>
      <c r="C4226" s="23" t="s">
        <v>176</v>
      </c>
      <c r="D4226" s="23" t="s">
        <v>503</v>
      </c>
      <c r="E4226" s="23" t="s">
        <v>504</v>
      </c>
      <c r="F4226">
        <v>2</v>
      </c>
      <c r="G4226" s="23" t="s">
        <v>177</v>
      </c>
      <c r="H4226">
        <v>0</v>
      </c>
      <c r="I4226">
        <v>115</v>
      </c>
      <c r="J4226" s="10">
        <v>2</v>
      </c>
      <c r="K4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226">
        <v>0</v>
      </c>
      <c r="M42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6">
        <v>0.44</v>
      </c>
      <c r="O4226" s="23" t="s">
        <v>505</v>
      </c>
      <c r="P4226">
        <v>0.88</v>
      </c>
      <c r="Q4226" s="23" t="s">
        <v>222</v>
      </c>
    </row>
    <row r="4227" spans="1:17" x14ac:dyDescent="0.25">
      <c r="A4227" s="23" t="s">
        <v>1100</v>
      </c>
      <c r="B4227" s="23" t="s">
        <v>1101</v>
      </c>
      <c r="C4227" s="23" t="s">
        <v>176</v>
      </c>
      <c r="D4227" s="23" t="s">
        <v>503</v>
      </c>
      <c r="E4227" s="23" t="s">
        <v>504</v>
      </c>
      <c r="F4227">
        <v>2</v>
      </c>
      <c r="G4227" s="23" t="s">
        <v>177</v>
      </c>
      <c r="H4227">
        <v>0</v>
      </c>
      <c r="I4227">
        <v>115</v>
      </c>
      <c r="J4227" s="10">
        <v>2</v>
      </c>
      <c r="K4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227">
        <v>0</v>
      </c>
      <c r="M42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7">
        <v>0.44</v>
      </c>
      <c r="O4227" s="23" t="s">
        <v>505</v>
      </c>
      <c r="P4227">
        <v>0.88</v>
      </c>
      <c r="Q4227" s="23" t="s">
        <v>222</v>
      </c>
    </row>
    <row r="4228" spans="1:17" x14ac:dyDescent="0.25">
      <c r="A4228" s="23" t="s">
        <v>1100</v>
      </c>
      <c r="B4228" s="23" t="s">
        <v>1101</v>
      </c>
      <c r="C4228" s="23" t="s">
        <v>176</v>
      </c>
      <c r="D4228" s="23" t="s">
        <v>972</v>
      </c>
      <c r="E4228" s="23" t="s">
        <v>973</v>
      </c>
      <c r="F4228">
        <v>1</v>
      </c>
      <c r="G4228" s="23" t="s">
        <v>180</v>
      </c>
      <c r="H4228">
        <v>0</v>
      </c>
      <c r="I4228">
        <v>50</v>
      </c>
      <c r="J4228" s="10">
        <v>0</v>
      </c>
      <c r="K4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4228">
        <v>0</v>
      </c>
      <c r="M42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28">
        <v>180</v>
      </c>
      <c r="O4228" s="23" t="s">
        <v>315</v>
      </c>
      <c r="P4228">
        <v>180</v>
      </c>
      <c r="Q4228" s="23" t="s">
        <v>179</v>
      </c>
    </row>
    <row r="4229" spans="1:17" x14ac:dyDescent="0.25">
      <c r="A4229" s="23" t="s">
        <v>1100</v>
      </c>
      <c r="B4229" s="23" t="s">
        <v>1101</v>
      </c>
      <c r="C4229" s="23" t="s">
        <v>176</v>
      </c>
      <c r="D4229" s="23" t="s">
        <v>511</v>
      </c>
      <c r="E4229" s="23" t="s">
        <v>512</v>
      </c>
      <c r="F4229">
        <v>2</v>
      </c>
      <c r="G4229" s="23" t="s">
        <v>177</v>
      </c>
      <c r="H4229">
        <v>0</v>
      </c>
      <c r="I4229">
        <v>0</v>
      </c>
      <c r="J4229" s="10">
        <v>14</v>
      </c>
      <c r="K4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229">
        <v>0</v>
      </c>
      <c r="M42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229">
        <v>6.87</v>
      </c>
      <c r="O4229" s="23" t="s">
        <v>827</v>
      </c>
      <c r="P4229">
        <v>13.74</v>
      </c>
      <c r="Q4229" s="23" t="s">
        <v>222</v>
      </c>
    </row>
    <row r="4230" spans="1:17" x14ac:dyDescent="0.25">
      <c r="A4230" s="23" t="s">
        <v>1100</v>
      </c>
      <c r="B4230" s="23" t="s">
        <v>1101</v>
      </c>
      <c r="C4230" s="23" t="s">
        <v>176</v>
      </c>
      <c r="D4230" s="23" t="s">
        <v>348</v>
      </c>
      <c r="E4230" s="23" t="s">
        <v>349</v>
      </c>
      <c r="F4230">
        <v>0.05</v>
      </c>
      <c r="G4230" s="23" t="s">
        <v>177</v>
      </c>
      <c r="H4230">
        <v>0</v>
      </c>
      <c r="I4230">
        <v>2</v>
      </c>
      <c r="J4230" s="10">
        <v>3.2474023470285829E-15</v>
      </c>
      <c r="K4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4230">
        <v>0</v>
      </c>
      <c r="M42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4230">
        <v>2778</v>
      </c>
      <c r="O4230" s="23" t="s">
        <v>218</v>
      </c>
      <c r="P4230">
        <v>138.9</v>
      </c>
      <c r="Q4230" s="23" t="s">
        <v>184</v>
      </c>
    </row>
    <row r="4231" spans="1:17" x14ac:dyDescent="0.25">
      <c r="A4231" s="23" t="s">
        <v>1100</v>
      </c>
      <c r="B4231" s="23" t="s">
        <v>1101</v>
      </c>
      <c r="C4231" s="23" t="s">
        <v>176</v>
      </c>
      <c r="D4231" s="23" t="s">
        <v>343</v>
      </c>
      <c r="E4231" s="23" t="s">
        <v>344</v>
      </c>
      <c r="F4231">
        <v>0.05</v>
      </c>
      <c r="G4231" s="23" t="s">
        <v>177</v>
      </c>
      <c r="H4231">
        <v>0</v>
      </c>
      <c r="I4231">
        <v>2</v>
      </c>
      <c r="J4231" s="10">
        <v>1.1657341758564144E-15</v>
      </c>
      <c r="K4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4231">
        <v>0</v>
      </c>
      <c r="M42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1">
        <v>1400</v>
      </c>
      <c r="O4231" s="23" t="s">
        <v>218</v>
      </c>
      <c r="P4231">
        <v>70</v>
      </c>
      <c r="Q4231" s="23" t="s">
        <v>184</v>
      </c>
    </row>
    <row r="4232" spans="1:17" x14ac:dyDescent="0.25">
      <c r="A4232" s="23" t="s">
        <v>1100</v>
      </c>
      <c r="B4232" s="23" t="s">
        <v>1101</v>
      </c>
      <c r="C4232" s="23" t="s">
        <v>176</v>
      </c>
      <c r="D4232" s="23" t="s">
        <v>984</v>
      </c>
      <c r="E4232" s="23" t="s">
        <v>985</v>
      </c>
      <c r="F4232">
        <v>1</v>
      </c>
      <c r="G4232" s="23" t="s">
        <v>177</v>
      </c>
      <c r="H4232">
        <v>0</v>
      </c>
      <c r="I4232">
        <v>5</v>
      </c>
      <c r="J4232" s="10">
        <v>0</v>
      </c>
      <c r="K4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232">
        <v>0</v>
      </c>
      <c r="M42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2">
        <v>270</v>
      </c>
      <c r="O4232" s="23" t="s">
        <v>242</v>
      </c>
      <c r="P4232">
        <v>270</v>
      </c>
      <c r="Q4232" s="23" t="s">
        <v>184</v>
      </c>
    </row>
    <row r="4233" spans="1:17" x14ac:dyDescent="0.25">
      <c r="A4233" s="23" t="s">
        <v>1148</v>
      </c>
      <c r="B4233" s="23" t="s">
        <v>1054</v>
      </c>
      <c r="C4233" s="23" t="s">
        <v>176</v>
      </c>
      <c r="D4233" s="23" t="s">
        <v>503</v>
      </c>
      <c r="E4233" s="23" t="s">
        <v>504</v>
      </c>
      <c r="F4233">
        <v>2</v>
      </c>
      <c r="G4233" s="23" t="s">
        <v>177</v>
      </c>
      <c r="H4233">
        <v>0</v>
      </c>
      <c r="I4233">
        <v>115</v>
      </c>
      <c r="J4233" s="10">
        <v>2</v>
      </c>
      <c r="K4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233">
        <v>0</v>
      </c>
      <c r="M42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3">
        <v>0.44</v>
      </c>
      <c r="O4233" s="23" t="s">
        <v>505</v>
      </c>
      <c r="P4233">
        <v>0.88</v>
      </c>
      <c r="Q4233" s="23" t="s">
        <v>222</v>
      </c>
    </row>
    <row r="4234" spans="1:17" x14ac:dyDescent="0.25">
      <c r="A4234" s="23" t="s">
        <v>1147</v>
      </c>
      <c r="B4234" s="23" t="s">
        <v>1145</v>
      </c>
      <c r="C4234" s="23" t="s">
        <v>176</v>
      </c>
      <c r="D4234" s="23" t="s">
        <v>511</v>
      </c>
      <c r="E4234" s="23" t="s">
        <v>512</v>
      </c>
      <c r="F4234">
        <v>2</v>
      </c>
      <c r="G4234" s="23" t="s">
        <v>177</v>
      </c>
      <c r="H4234">
        <v>0</v>
      </c>
      <c r="I4234">
        <v>0</v>
      </c>
      <c r="J4234" s="10">
        <v>14</v>
      </c>
      <c r="K4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234">
        <v>0</v>
      </c>
      <c r="M42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234">
        <v>6.87</v>
      </c>
      <c r="O4234" s="23" t="s">
        <v>827</v>
      </c>
      <c r="P4234">
        <v>13.74</v>
      </c>
      <c r="Q4234" s="23" t="s">
        <v>222</v>
      </c>
    </row>
    <row r="4235" spans="1:17" x14ac:dyDescent="0.25">
      <c r="A4235" s="23" t="s">
        <v>1148</v>
      </c>
      <c r="B4235" s="23" t="s">
        <v>1054</v>
      </c>
      <c r="C4235" s="23" t="s">
        <v>176</v>
      </c>
      <c r="D4235" s="23" t="s">
        <v>511</v>
      </c>
      <c r="E4235" s="23" t="s">
        <v>512</v>
      </c>
      <c r="F4235">
        <v>2</v>
      </c>
      <c r="G4235" s="23" t="s">
        <v>177</v>
      </c>
      <c r="H4235">
        <v>0</v>
      </c>
      <c r="I4235">
        <v>0</v>
      </c>
      <c r="J4235" s="10">
        <v>14</v>
      </c>
      <c r="K4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235">
        <v>0</v>
      </c>
      <c r="M42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235">
        <v>6.87</v>
      </c>
      <c r="O4235" s="23" t="s">
        <v>827</v>
      </c>
      <c r="P4235">
        <v>13.74</v>
      </c>
      <c r="Q4235" s="23" t="s">
        <v>222</v>
      </c>
    </row>
    <row r="4236" spans="1:17" x14ac:dyDescent="0.25">
      <c r="A4236" s="23" t="s">
        <v>1147</v>
      </c>
      <c r="B4236" s="23" t="s">
        <v>1145</v>
      </c>
      <c r="C4236" s="23" t="s">
        <v>176</v>
      </c>
      <c r="D4236" s="23" t="s">
        <v>134</v>
      </c>
      <c r="E4236" s="23" t="s">
        <v>311</v>
      </c>
      <c r="F4236">
        <v>1</v>
      </c>
      <c r="G4236" s="23" t="s">
        <v>177</v>
      </c>
      <c r="H4236">
        <v>0</v>
      </c>
      <c r="I4236">
        <v>16</v>
      </c>
      <c r="J4236" s="10">
        <v>8</v>
      </c>
      <c r="K4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236">
        <v>0</v>
      </c>
      <c r="M42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6">
        <v>224.46</v>
      </c>
      <c r="O4236" s="23" t="s">
        <v>827</v>
      </c>
      <c r="P4236">
        <v>224.46</v>
      </c>
      <c r="Q4236" s="23" t="s">
        <v>222</v>
      </c>
    </row>
    <row r="4237" spans="1:17" x14ac:dyDescent="0.25">
      <c r="A4237" s="23" t="s">
        <v>1148</v>
      </c>
      <c r="B4237" s="23" t="s">
        <v>1054</v>
      </c>
      <c r="C4237" s="23" t="s">
        <v>176</v>
      </c>
      <c r="D4237" s="23" t="s">
        <v>134</v>
      </c>
      <c r="E4237" s="23" t="s">
        <v>311</v>
      </c>
      <c r="F4237">
        <v>1</v>
      </c>
      <c r="G4237" s="23" t="s">
        <v>177</v>
      </c>
      <c r="H4237">
        <v>0</v>
      </c>
      <c r="I4237">
        <v>16</v>
      </c>
      <c r="J4237" s="10">
        <v>8</v>
      </c>
      <c r="K4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237">
        <v>0</v>
      </c>
      <c r="M42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7">
        <v>224.46</v>
      </c>
      <c r="O4237" s="23" t="s">
        <v>827</v>
      </c>
      <c r="P4237">
        <v>224.46</v>
      </c>
      <c r="Q4237" s="23" t="s">
        <v>222</v>
      </c>
    </row>
    <row r="4238" spans="1:17" x14ac:dyDescent="0.25">
      <c r="A4238" s="23" t="s">
        <v>1058</v>
      </c>
      <c r="B4238" s="23" t="s">
        <v>1059</v>
      </c>
      <c r="C4238" s="23" t="s">
        <v>176</v>
      </c>
      <c r="D4238" s="23" t="s">
        <v>343</v>
      </c>
      <c r="E4238" s="23" t="s">
        <v>344</v>
      </c>
      <c r="F4238">
        <v>0.05</v>
      </c>
      <c r="G4238" s="23" t="s">
        <v>177</v>
      </c>
      <c r="H4238">
        <v>0</v>
      </c>
      <c r="I4238">
        <v>2</v>
      </c>
      <c r="J4238" s="10">
        <v>1.1657341758564144E-15</v>
      </c>
      <c r="K4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-0.84999999999999987</v>
      </c>
      <c r="L4238">
        <v>0</v>
      </c>
      <c r="M42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8">
        <v>1400</v>
      </c>
      <c r="O4238" s="23" t="s">
        <v>218</v>
      </c>
      <c r="P4238">
        <v>70</v>
      </c>
      <c r="Q4238" s="23" t="s">
        <v>184</v>
      </c>
    </row>
    <row r="4239" spans="1:17" x14ac:dyDescent="0.25">
      <c r="A4239" s="23" t="s">
        <v>1058</v>
      </c>
      <c r="B4239" s="23" t="s">
        <v>1059</v>
      </c>
      <c r="C4239" s="23" t="s">
        <v>176</v>
      </c>
      <c r="D4239" s="23" t="s">
        <v>503</v>
      </c>
      <c r="E4239" s="23" t="s">
        <v>504</v>
      </c>
      <c r="F4239">
        <v>2</v>
      </c>
      <c r="G4239" s="23" t="s">
        <v>177</v>
      </c>
      <c r="H4239">
        <v>0</v>
      </c>
      <c r="I4239">
        <v>115</v>
      </c>
      <c r="J4239" s="10">
        <v>2</v>
      </c>
      <c r="K4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239">
        <v>0</v>
      </c>
      <c r="M42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39">
        <v>0.44</v>
      </c>
      <c r="O4239" s="23" t="s">
        <v>505</v>
      </c>
      <c r="P4239">
        <v>0.88</v>
      </c>
      <c r="Q4239" s="23" t="s">
        <v>222</v>
      </c>
    </row>
    <row r="4240" spans="1:17" x14ac:dyDescent="0.25">
      <c r="A4240" s="23" t="s">
        <v>1098</v>
      </c>
      <c r="B4240" s="23" t="s">
        <v>1053</v>
      </c>
      <c r="C4240" s="23" t="s">
        <v>176</v>
      </c>
      <c r="D4240" s="23" t="s">
        <v>442</v>
      </c>
      <c r="E4240" s="23" t="s">
        <v>443</v>
      </c>
      <c r="F4240">
        <v>1</v>
      </c>
      <c r="G4240" s="23" t="s">
        <v>177</v>
      </c>
      <c r="H4240">
        <v>0</v>
      </c>
      <c r="I4240">
        <v>25</v>
      </c>
      <c r="J4240" s="10">
        <v>3</v>
      </c>
      <c r="K4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40">
        <v>0</v>
      </c>
      <c r="M42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0">
        <v>360.05</v>
      </c>
      <c r="O4240" s="23" t="s">
        <v>637</v>
      </c>
      <c r="P4240">
        <v>360.05</v>
      </c>
      <c r="Q4240" s="23" t="s">
        <v>179</v>
      </c>
    </row>
    <row r="4241" spans="1:17" x14ac:dyDescent="0.25">
      <c r="A4241" s="23" t="s">
        <v>1142</v>
      </c>
      <c r="B4241" s="23" t="s">
        <v>1054</v>
      </c>
      <c r="C4241" s="23" t="s">
        <v>176</v>
      </c>
      <c r="D4241" s="23" t="s">
        <v>447</v>
      </c>
      <c r="E4241" s="23" t="s">
        <v>448</v>
      </c>
      <c r="F4241">
        <v>1</v>
      </c>
      <c r="G4241" s="23" t="s">
        <v>177</v>
      </c>
      <c r="H4241">
        <v>0</v>
      </c>
      <c r="I4241">
        <v>15</v>
      </c>
      <c r="J4241" s="10">
        <v>11</v>
      </c>
      <c r="K4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241">
        <v>0</v>
      </c>
      <c r="M42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1">
        <v>237.5</v>
      </c>
      <c r="O4241" s="23" t="s">
        <v>629</v>
      </c>
      <c r="P4241">
        <v>237.5</v>
      </c>
      <c r="Q4241" s="23" t="s">
        <v>181</v>
      </c>
    </row>
    <row r="4242" spans="1:17" x14ac:dyDescent="0.25">
      <c r="A4242" s="23" t="s">
        <v>1094</v>
      </c>
      <c r="B4242" s="23" t="s">
        <v>1095</v>
      </c>
      <c r="C4242" s="23" t="s">
        <v>176</v>
      </c>
      <c r="D4242" s="23" t="s">
        <v>679</v>
      </c>
      <c r="E4242" s="23" t="s">
        <v>680</v>
      </c>
      <c r="F4242">
        <v>15</v>
      </c>
      <c r="G4242" s="23" t="s">
        <v>177</v>
      </c>
      <c r="H4242">
        <v>0</v>
      </c>
      <c r="I4242">
        <v>350</v>
      </c>
      <c r="J4242" s="10">
        <v>210</v>
      </c>
      <c r="K4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-245</v>
      </c>
      <c r="L4242">
        <v>0</v>
      </c>
      <c r="M42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2">
        <v>4</v>
      </c>
      <c r="O4242" s="23" t="s">
        <v>227</v>
      </c>
      <c r="P4242">
        <v>60</v>
      </c>
      <c r="Q4242" s="23" t="s">
        <v>181</v>
      </c>
    </row>
    <row r="4243" spans="1:17" x14ac:dyDescent="0.25">
      <c r="A4243" s="23" t="s">
        <v>1094</v>
      </c>
      <c r="B4243" s="23" t="s">
        <v>1095</v>
      </c>
      <c r="C4243" s="23" t="s">
        <v>176</v>
      </c>
      <c r="D4243" s="23" t="s">
        <v>211</v>
      </c>
      <c r="E4243" s="23" t="s">
        <v>212</v>
      </c>
      <c r="F4243">
        <v>1</v>
      </c>
      <c r="G4243" s="23" t="s">
        <v>177</v>
      </c>
      <c r="H4243">
        <v>0</v>
      </c>
      <c r="I4243">
        <v>23</v>
      </c>
      <c r="J4243" s="10">
        <v>8</v>
      </c>
      <c r="K4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4243">
        <v>40</v>
      </c>
      <c r="M42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3">
        <v>312</v>
      </c>
      <c r="O4243" s="23" t="s">
        <v>218</v>
      </c>
      <c r="P4243">
        <v>312</v>
      </c>
      <c r="Q4243" s="23" t="s">
        <v>178</v>
      </c>
    </row>
    <row r="4244" spans="1:17" x14ac:dyDescent="0.25">
      <c r="A4244" s="23" t="s">
        <v>1142</v>
      </c>
      <c r="B4244" s="23" t="s">
        <v>1054</v>
      </c>
      <c r="C4244" s="23" t="s">
        <v>176</v>
      </c>
      <c r="D4244" s="23" t="s">
        <v>702</v>
      </c>
      <c r="E4244" s="23" t="s">
        <v>703</v>
      </c>
      <c r="F4244">
        <v>6</v>
      </c>
      <c r="G4244" s="23" t="s">
        <v>177</v>
      </c>
      <c r="H4244">
        <v>0</v>
      </c>
      <c r="I4244">
        <v>100</v>
      </c>
      <c r="J4244" s="10">
        <v>52</v>
      </c>
      <c r="K4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44">
        <v>0</v>
      </c>
      <c r="M42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4">
        <v>1.1299999999999999</v>
      </c>
      <c r="O4244" s="23" t="s">
        <v>827</v>
      </c>
      <c r="P4244">
        <v>6.7799999999999994</v>
      </c>
      <c r="Q4244" s="23" t="s">
        <v>222</v>
      </c>
    </row>
    <row r="4245" spans="1:17" x14ac:dyDescent="0.25">
      <c r="A4245" s="23" t="s">
        <v>1057</v>
      </c>
      <c r="B4245" s="23" t="s">
        <v>1056</v>
      </c>
      <c r="C4245" s="23" t="s">
        <v>176</v>
      </c>
      <c r="D4245" s="23" t="s">
        <v>702</v>
      </c>
      <c r="E4245" s="23" t="s">
        <v>703</v>
      </c>
      <c r="F4245">
        <v>4</v>
      </c>
      <c r="G4245" s="23" t="s">
        <v>177</v>
      </c>
      <c r="H4245">
        <v>0</v>
      </c>
      <c r="I4245">
        <v>100</v>
      </c>
      <c r="J4245" s="10">
        <v>52</v>
      </c>
      <c r="K4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45">
        <v>0</v>
      </c>
      <c r="M42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5">
        <v>1.1299999999999999</v>
      </c>
      <c r="O4245" s="23" t="s">
        <v>827</v>
      </c>
      <c r="P4245">
        <v>4.5199999999999996</v>
      </c>
      <c r="Q4245" s="23" t="s">
        <v>222</v>
      </c>
    </row>
    <row r="4246" spans="1:17" x14ac:dyDescent="0.25">
      <c r="A4246" s="23" t="s">
        <v>1143</v>
      </c>
      <c r="B4246" s="23" t="s">
        <v>1054</v>
      </c>
      <c r="C4246" s="23" t="s">
        <v>176</v>
      </c>
      <c r="D4246" s="23" t="s">
        <v>702</v>
      </c>
      <c r="E4246" s="23" t="s">
        <v>703</v>
      </c>
      <c r="F4246">
        <v>4</v>
      </c>
      <c r="G4246" s="23" t="s">
        <v>177</v>
      </c>
      <c r="H4246">
        <v>0</v>
      </c>
      <c r="I4246">
        <v>100</v>
      </c>
      <c r="J4246" s="10">
        <v>52</v>
      </c>
      <c r="K4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46">
        <v>0</v>
      </c>
      <c r="M42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6">
        <v>1.1299999999999999</v>
      </c>
      <c r="O4246" s="23" t="s">
        <v>827</v>
      </c>
      <c r="P4246">
        <v>4.5199999999999996</v>
      </c>
      <c r="Q4246" s="23" t="s">
        <v>222</v>
      </c>
    </row>
    <row r="4247" spans="1:17" x14ac:dyDescent="0.25">
      <c r="A4247" s="23" t="s">
        <v>1150</v>
      </c>
      <c r="B4247" s="23" t="s">
        <v>1145</v>
      </c>
      <c r="C4247" s="23" t="s">
        <v>176</v>
      </c>
      <c r="D4247" s="23" t="s">
        <v>602</v>
      </c>
      <c r="E4247" s="23" t="s">
        <v>603</v>
      </c>
      <c r="F4247">
        <v>2</v>
      </c>
      <c r="G4247" s="23" t="s">
        <v>177</v>
      </c>
      <c r="H4247">
        <v>0</v>
      </c>
      <c r="I4247">
        <v>28</v>
      </c>
      <c r="J4247" s="10">
        <v>6</v>
      </c>
      <c r="K4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47">
        <v>0</v>
      </c>
      <c r="M42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7">
        <v>50.41</v>
      </c>
      <c r="O4247" s="23" t="s">
        <v>637</v>
      </c>
      <c r="P4247">
        <v>100.82</v>
      </c>
      <c r="Q4247" s="23" t="s">
        <v>178</v>
      </c>
    </row>
    <row r="4248" spans="1:17" x14ac:dyDescent="0.25">
      <c r="A4248" s="23" t="s">
        <v>1058</v>
      </c>
      <c r="B4248" s="23" t="s">
        <v>1059</v>
      </c>
      <c r="C4248" s="23" t="s">
        <v>176</v>
      </c>
      <c r="D4248" s="23" t="s">
        <v>602</v>
      </c>
      <c r="E4248" s="23" t="s">
        <v>603</v>
      </c>
      <c r="F4248">
        <v>2</v>
      </c>
      <c r="G4248" s="23" t="s">
        <v>177</v>
      </c>
      <c r="H4248">
        <v>0</v>
      </c>
      <c r="I4248">
        <v>28</v>
      </c>
      <c r="J4248" s="10">
        <v>6</v>
      </c>
      <c r="K4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48">
        <v>0</v>
      </c>
      <c r="M42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8">
        <v>50.41</v>
      </c>
      <c r="O4248" s="23" t="s">
        <v>637</v>
      </c>
      <c r="P4248">
        <v>100.82</v>
      </c>
      <c r="Q4248" s="23" t="s">
        <v>178</v>
      </c>
    </row>
    <row r="4249" spans="1:17" x14ac:dyDescent="0.25">
      <c r="A4249" s="23" t="s">
        <v>1142</v>
      </c>
      <c r="B4249" s="23" t="s">
        <v>1054</v>
      </c>
      <c r="C4249" s="23" t="s">
        <v>176</v>
      </c>
      <c r="D4249" s="23" t="s">
        <v>884</v>
      </c>
      <c r="E4249" s="23" t="s">
        <v>885</v>
      </c>
      <c r="F4249">
        <v>9</v>
      </c>
      <c r="G4249" s="23" t="s">
        <v>180</v>
      </c>
      <c r="H4249">
        <v>0</v>
      </c>
      <c r="I4249">
        <v>480</v>
      </c>
      <c r="J4249" s="10">
        <v>0</v>
      </c>
      <c r="K4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-408</v>
      </c>
      <c r="L4249">
        <v>0</v>
      </c>
      <c r="M42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49">
        <v>4</v>
      </c>
      <c r="O4249" s="23"/>
      <c r="P4249">
        <v>36</v>
      </c>
      <c r="Q4249" s="23" t="s">
        <v>182</v>
      </c>
    </row>
    <row r="4250" spans="1:17" x14ac:dyDescent="0.25">
      <c r="A4250" s="23" t="s">
        <v>1142</v>
      </c>
      <c r="B4250" s="23" t="s">
        <v>1054</v>
      </c>
      <c r="C4250" s="23" t="s">
        <v>176</v>
      </c>
      <c r="D4250" s="23" t="s">
        <v>211</v>
      </c>
      <c r="E4250" s="23" t="s">
        <v>212</v>
      </c>
      <c r="F4250">
        <v>1</v>
      </c>
      <c r="G4250" s="23" t="s">
        <v>177</v>
      </c>
      <c r="H4250">
        <v>0</v>
      </c>
      <c r="I4250">
        <v>23</v>
      </c>
      <c r="J4250" s="10">
        <v>8</v>
      </c>
      <c r="K4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4250">
        <v>40</v>
      </c>
      <c r="M42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0">
        <v>312</v>
      </c>
      <c r="O4250" s="23" t="s">
        <v>218</v>
      </c>
      <c r="P4250">
        <v>312</v>
      </c>
      <c r="Q4250" s="23" t="s">
        <v>178</v>
      </c>
    </row>
    <row r="4251" spans="1:17" x14ac:dyDescent="0.25">
      <c r="A4251" s="23" t="s">
        <v>1142</v>
      </c>
      <c r="B4251" s="23" t="s">
        <v>1054</v>
      </c>
      <c r="C4251" s="23" t="s">
        <v>176</v>
      </c>
      <c r="D4251" s="23" t="s">
        <v>219</v>
      </c>
      <c r="E4251" s="23" t="s">
        <v>220</v>
      </c>
      <c r="F4251">
        <v>2</v>
      </c>
      <c r="G4251" s="23" t="s">
        <v>177</v>
      </c>
      <c r="H4251">
        <v>0</v>
      </c>
      <c r="I4251">
        <v>288</v>
      </c>
      <c r="J4251" s="10">
        <v>94</v>
      </c>
      <c r="K4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251">
        <v>0</v>
      </c>
      <c r="M42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1">
        <v>4</v>
      </c>
      <c r="O4251" s="23" t="s">
        <v>221</v>
      </c>
      <c r="P4251">
        <v>8</v>
      </c>
      <c r="Q4251" s="23" t="s">
        <v>222</v>
      </c>
    </row>
    <row r="4252" spans="1:17" x14ac:dyDescent="0.25">
      <c r="A4252" s="23" t="s">
        <v>1142</v>
      </c>
      <c r="B4252" s="23" t="s">
        <v>1054</v>
      </c>
      <c r="C4252" s="23" t="s">
        <v>176</v>
      </c>
      <c r="D4252" s="23" t="s">
        <v>442</v>
      </c>
      <c r="E4252" s="23" t="s">
        <v>443</v>
      </c>
      <c r="F4252">
        <v>1</v>
      </c>
      <c r="G4252" s="23" t="s">
        <v>177</v>
      </c>
      <c r="H4252">
        <v>0</v>
      </c>
      <c r="I4252">
        <v>25</v>
      </c>
      <c r="J4252" s="10">
        <v>3</v>
      </c>
      <c r="K4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4252">
        <v>0</v>
      </c>
      <c r="M42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2">
        <v>360.05</v>
      </c>
      <c r="O4252" s="23" t="s">
        <v>637</v>
      </c>
      <c r="P4252">
        <v>360.05</v>
      </c>
      <c r="Q4252" s="23" t="s">
        <v>179</v>
      </c>
    </row>
    <row r="4253" spans="1:17" x14ac:dyDescent="0.25">
      <c r="A4253" s="23" t="s">
        <v>1149</v>
      </c>
      <c r="B4253" s="23" t="s">
        <v>1145</v>
      </c>
      <c r="C4253" s="23" t="s">
        <v>176</v>
      </c>
      <c r="D4253" s="23" t="s">
        <v>602</v>
      </c>
      <c r="E4253" s="23" t="s">
        <v>603</v>
      </c>
      <c r="F4253">
        <v>2</v>
      </c>
      <c r="G4253" s="23" t="s">
        <v>177</v>
      </c>
      <c r="H4253">
        <v>0</v>
      </c>
      <c r="I4253">
        <v>28</v>
      </c>
      <c r="J4253" s="10">
        <v>6</v>
      </c>
      <c r="K4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53">
        <v>0</v>
      </c>
      <c r="M42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3">
        <v>50.41</v>
      </c>
      <c r="O4253" s="23" t="s">
        <v>637</v>
      </c>
      <c r="P4253">
        <v>100.82</v>
      </c>
      <c r="Q4253" s="23" t="s">
        <v>178</v>
      </c>
    </row>
    <row r="4254" spans="1:17" x14ac:dyDescent="0.25">
      <c r="A4254" s="23" t="s">
        <v>1144</v>
      </c>
      <c r="B4254" s="23" t="s">
        <v>1145</v>
      </c>
      <c r="C4254" s="23" t="s">
        <v>176</v>
      </c>
      <c r="D4254" s="23" t="s">
        <v>494</v>
      </c>
      <c r="E4254" s="23" t="s">
        <v>495</v>
      </c>
      <c r="F4254">
        <v>27</v>
      </c>
      <c r="G4254" s="23" t="s">
        <v>496</v>
      </c>
      <c r="H4254">
        <v>0</v>
      </c>
      <c r="I4254">
        <v>200</v>
      </c>
      <c r="J4254" s="10">
        <v>86</v>
      </c>
      <c r="K4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54">
        <v>0</v>
      </c>
      <c r="M42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4254">
        <v>105</v>
      </c>
      <c r="O4254" s="23" t="s">
        <v>298</v>
      </c>
      <c r="P4254">
        <v>2835</v>
      </c>
      <c r="Q4254" s="23" t="s">
        <v>185</v>
      </c>
    </row>
    <row r="4255" spans="1:17" x14ac:dyDescent="0.25">
      <c r="A4255" s="23" t="s">
        <v>1146</v>
      </c>
      <c r="B4255" s="23" t="s">
        <v>1145</v>
      </c>
      <c r="C4255" s="23" t="s">
        <v>176</v>
      </c>
      <c r="D4255" s="23" t="s">
        <v>494</v>
      </c>
      <c r="E4255" s="23" t="s">
        <v>495</v>
      </c>
      <c r="F4255">
        <v>22</v>
      </c>
      <c r="G4255" s="23" t="s">
        <v>496</v>
      </c>
      <c r="H4255">
        <v>0</v>
      </c>
      <c r="I4255">
        <v>200</v>
      </c>
      <c r="J4255" s="10">
        <v>86</v>
      </c>
      <c r="K4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55">
        <v>0</v>
      </c>
      <c r="M42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4255">
        <v>105</v>
      </c>
      <c r="O4255" s="23" t="s">
        <v>298</v>
      </c>
      <c r="P4255">
        <v>2310</v>
      </c>
      <c r="Q4255" s="23" t="s">
        <v>185</v>
      </c>
    </row>
    <row r="4256" spans="1:17" x14ac:dyDescent="0.25">
      <c r="A4256" s="23" t="s">
        <v>1147</v>
      </c>
      <c r="B4256" s="23" t="s">
        <v>1145</v>
      </c>
      <c r="C4256" s="23" t="s">
        <v>176</v>
      </c>
      <c r="D4256" s="23" t="s">
        <v>602</v>
      </c>
      <c r="E4256" s="23" t="s">
        <v>603</v>
      </c>
      <c r="F4256">
        <v>2</v>
      </c>
      <c r="G4256" s="23" t="s">
        <v>177</v>
      </c>
      <c r="H4256">
        <v>0</v>
      </c>
      <c r="I4256">
        <v>28</v>
      </c>
      <c r="J4256" s="10">
        <v>6</v>
      </c>
      <c r="K4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56">
        <v>0</v>
      </c>
      <c r="M42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6">
        <v>50.41</v>
      </c>
      <c r="O4256" s="23" t="s">
        <v>637</v>
      </c>
      <c r="P4256">
        <v>100.82</v>
      </c>
      <c r="Q4256" s="23" t="s">
        <v>178</v>
      </c>
    </row>
    <row r="4257" spans="1:17" x14ac:dyDescent="0.25">
      <c r="A4257" s="23" t="s">
        <v>1055</v>
      </c>
      <c r="B4257" s="23" t="s">
        <v>1056</v>
      </c>
      <c r="C4257" s="23" t="s">
        <v>176</v>
      </c>
      <c r="D4257" s="23" t="s">
        <v>494</v>
      </c>
      <c r="E4257" s="23" t="s">
        <v>495</v>
      </c>
      <c r="F4257">
        <v>22</v>
      </c>
      <c r="G4257" s="23" t="s">
        <v>496</v>
      </c>
      <c r="H4257">
        <v>0</v>
      </c>
      <c r="I4257">
        <v>200</v>
      </c>
      <c r="J4257" s="10">
        <v>86</v>
      </c>
      <c r="K4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57">
        <v>0</v>
      </c>
      <c r="M42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4257">
        <v>105</v>
      </c>
      <c r="O4257" s="23" t="s">
        <v>298</v>
      </c>
      <c r="P4257">
        <v>2310</v>
      </c>
      <c r="Q4257" s="23" t="s">
        <v>185</v>
      </c>
    </row>
    <row r="4258" spans="1:17" x14ac:dyDescent="0.25">
      <c r="A4258" s="23" t="s">
        <v>1099</v>
      </c>
      <c r="B4258" s="23" t="s">
        <v>1056</v>
      </c>
      <c r="C4258" s="23" t="s">
        <v>176</v>
      </c>
      <c r="D4258" s="23" t="s">
        <v>494</v>
      </c>
      <c r="E4258" s="23" t="s">
        <v>495</v>
      </c>
      <c r="F4258">
        <v>22</v>
      </c>
      <c r="G4258" s="23" t="s">
        <v>496</v>
      </c>
      <c r="H4258">
        <v>0</v>
      </c>
      <c r="I4258">
        <v>200</v>
      </c>
      <c r="J4258" s="10">
        <v>86</v>
      </c>
      <c r="K4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58">
        <v>0</v>
      </c>
      <c r="M42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4258">
        <v>105</v>
      </c>
      <c r="O4258" s="23" t="s">
        <v>298</v>
      </c>
      <c r="P4258">
        <v>2310</v>
      </c>
      <c r="Q4258" s="23" t="s">
        <v>185</v>
      </c>
    </row>
    <row r="4259" spans="1:17" x14ac:dyDescent="0.25">
      <c r="A4259" s="23" t="s">
        <v>1146</v>
      </c>
      <c r="B4259" s="23" t="s">
        <v>1145</v>
      </c>
      <c r="C4259" s="23" t="s">
        <v>176</v>
      </c>
      <c r="D4259" s="23" t="s">
        <v>602</v>
      </c>
      <c r="E4259" s="23" t="s">
        <v>603</v>
      </c>
      <c r="F4259">
        <v>2</v>
      </c>
      <c r="G4259" s="23" t="s">
        <v>177</v>
      </c>
      <c r="H4259">
        <v>0</v>
      </c>
      <c r="I4259">
        <v>28</v>
      </c>
      <c r="J4259" s="10">
        <v>6</v>
      </c>
      <c r="K4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59">
        <v>0</v>
      </c>
      <c r="M42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59">
        <v>50.41</v>
      </c>
      <c r="O4259" s="23" t="s">
        <v>637</v>
      </c>
      <c r="P4259">
        <v>100.82</v>
      </c>
      <c r="Q4259" s="23" t="s">
        <v>178</v>
      </c>
    </row>
    <row r="4260" spans="1:17" x14ac:dyDescent="0.25">
      <c r="A4260" s="23" t="s">
        <v>1144</v>
      </c>
      <c r="B4260" s="23" t="s">
        <v>1145</v>
      </c>
      <c r="C4260" s="23" t="s">
        <v>176</v>
      </c>
      <c r="D4260" s="23" t="s">
        <v>602</v>
      </c>
      <c r="E4260" s="23" t="s">
        <v>603</v>
      </c>
      <c r="F4260">
        <v>2</v>
      </c>
      <c r="G4260" s="23" t="s">
        <v>177</v>
      </c>
      <c r="H4260">
        <v>0</v>
      </c>
      <c r="I4260">
        <v>28</v>
      </c>
      <c r="J4260" s="10">
        <v>6</v>
      </c>
      <c r="K4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60">
        <v>0</v>
      </c>
      <c r="M42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0">
        <v>50.41</v>
      </c>
      <c r="O4260" s="23" t="s">
        <v>637</v>
      </c>
      <c r="P4260">
        <v>100.82</v>
      </c>
      <c r="Q4260" s="23" t="s">
        <v>178</v>
      </c>
    </row>
    <row r="4261" spans="1:17" x14ac:dyDescent="0.25">
      <c r="A4261" s="23" t="s">
        <v>1149</v>
      </c>
      <c r="B4261" s="23" t="s">
        <v>1145</v>
      </c>
      <c r="C4261" s="23" t="s">
        <v>176</v>
      </c>
      <c r="D4261" s="23" t="s">
        <v>494</v>
      </c>
      <c r="E4261" s="23" t="s">
        <v>495</v>
      </c>
      <c r="F4261">
        <v>22</v>
      </c>
      <c r="G4261" s="23" t="s">
        <v>496</v>
      </c>
      <c r="H4261">
        <v>0</v>
      </c>
      <c r="I4261">
        <v>200</v>
      </c>
      <c r="J4261" s="10">
        <v>86</v>
      </c>
      <c r="K4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61">
        <v>0</v>
      </c>
      <c r="M42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4261">
        <v>105</v>
      </c>
      <c r="O4261" s="23" t="s">
        <v>298</v>
      </c>
      <c r="P4261">
        <v>2310</v>
      </c>
      <c r="Q4261" s="23" t="s">
        <v>185</v>
      </c>
    </row>
    <row r="4262" spans="1:17" x14ac:dyDescent="0.25">
      <c r="A4262" s="23" t="s">
        <v>1100</v>
      </c>
      <c r="B4262" s="23" t="s">
        <v>1101</v>
      </c>
      <c r="C4262" s="23" t="s">
        <v>176</v>
      </c>
      <c r="D4262" s="23" t="s">
        <v>494</v>
      </c>
      <c r="E4262" s="23" t="s">
        <v>495</v>
      </c>
      <c r="F4262">
        <v>22</v>
      </c>
      <c r="G4262" s="23" t="s">
        <v>496</v>
      </c>
      <c r="H4262">
        <v>0</v>
      </c>
      <c r="I4262">
        <v>200</v>
      </c>
      <c r="J4262" s="10">
        <v>86</v>
      </c>
      <c r="K4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4262">
        <v>0</v>
      </c>
      <c r="M42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4262">
        <v>105</v>
      </c>
      <c r="O4262" s="23" t="s">
        <v>298</v>
      </c>
      <c r="P4262">
        <v>2310</v>
      </c>
      <c r="Q4262" s="23" t="s">
        <v>185</v>
      </c>
    </row>
    <row r="4263" spans="1:17" x14ac:dyDescent="0.25">
      <c r="A4263" s="23" t="s">
        <v>1098</v>
      </c>
      <c r="B4263" s="23" t="s">
        <v>1053</v>
      </c>
      <c r="C4263" s="23" t="s">
        <v>176</v>
      </c>
      <c r="D4263" s="23" t="s">
        <v>702</v>
      </c>
      <c r="E4263" s="23" t="s">
        <v>703</v>
      </c>
      <c r="F4263">
        <v>4</v>
      </c>
      <c r="G4263" s="23" t="s">
        <v>177</v>
      </c>
      <c r="H4263">
        <v>0</v>
      </c>
      <c r="I4263">
        <v>100</v>
      </c>
      <c r="J4263" s="10">
        <v>52</v>
      </c>
      <c r="K4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63">
        <v>0</v>
      </c>
      <c r="M42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3">
        <v>1.1299999999999999</v>
      </c>
      <c r="O4263" s="23" t="s">
        <v>827</v>
      </c>
      <c r="P4263">
        <v>4.5199999999999996</v>
      </c>
      <c r="Q4263" s="23" t="s">
        <v>222</v>
      </c>
    </row>
    <row r="4264" spans="1:17" x14ac:dyDescent="0.25">
      <c r="A4264" s="23" t="s">
        <v>1197</v>
      </c>
      <c r="B4264" s="23" t="s">
        <v>1198</v>
      </c>
      <c r="C4264" s="23" t="s">
        <v>176</v>
      </c>
      <c r="D4264" s="23" t="s">
        <v>702</v>
      </c>
      <c r="E4264" s="23" t="s">
        <v>703</v>
      </c>
      <c r="F4264">
        <v>2</v>
      </c>
      <c r="G4264" s="23" t="s">
        <v>177</v>
      </c>
      <c r="H4264">
        <v>0</v>
      </c>
      <c r="I4264">
        <v>100</v>
      </c>
      <c r="J4264" s="10">
        <v>52</v>
      </c>
      <c r="K4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4264">
        <v>0</v>
      </c>
      <c r="M42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4">
        <v>1.1299999999999999</v>
      </c>
      <c r="O4264" s="23" t="s">
        <v>827</v>
      </c>
      <c r="P4264">
        <v>2.2599999999999998</v>
      </c>
      <c r="Q4264" s="23" t="s">
        <v>222</v>
      </c>
    </row>
    <row r="4265" spans="1:17" x14ac:dyDescent="0.25">
      <c r="A4265" s="23" t="s">
        <v>1062</v>
      </c>
      <c r="B4265" s="23" t="s">
        <v>1053</v>
      </c>
      <c r="C4265" s="23" t="s">
        <v>176</v>
      </c>
      <c r="D4265" s="23" t="s">
        <v>1079</v>
      </c>
      <c r="E4265" s="23" t="s">
        <v>1080</v>
      </c>
      <c r="F4265">
        <v>1</v>
      </c>
      <c r="G4265" s="23" t="s">
        <v>177</v>
      </c>
      <c r="H4265">
        <v>1</v>
      </c>
      <c r="I4265">
        <v>1</v>
      </c>
      <c r="J4265" s="10">
        <v>2</v>
      </c>
      <c r="K4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265">
        <v>0</v>
      </c>
      <c r="M42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5">
        <v>1050</v>
      </c>
      <c r="O4265" s="23" t="s">
        <v>291</v>
      </c>
      <c r="P4265">
        <v>1050</v>
      </c>
      <c r="Q4265" s="23" t="s">
        <v>179</v>
      </c>
    </row>
    <row r="4266" spans="1:17" x14ac:dyDescent="0.25">
      <c r="A4266" s="23" t="s">
        <v>1062</v>
      </c>
      <c r="B4266" s="23" t="s">
        <v>1053</v>
      </c>
      <c r="C4266" s="23" t="s">
        <v>176</v>
      </c>
      <c r="D4266" s="23" t="s">
        <v>602</v>
      </c>
      <c r="E4266" s="23" t="s">
        <v>603</v>
      </c>
      <c r="F4266">
        <v>2</v>
      </c>
      <c r="G4266" s="23" t="s">
        <v>177</v>
      </c>
      <c r="H4266">
        <v>2</v>
      </c>
      <c r="I4266">
        <v>28</v>
      </c>
      <c r="J4266" s="10">
        <v>6</v>
      </c>
      <c r="K4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66">
        <v>0</v>
      </c>
      <c r="M42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6">
        <v>50.41</v>
      </c>
      <c r="O4266" s="23" t="s">
        <v>637</v>
      </c>
      <c r="P4266">
        <v>100.82</v>
      </c>
      <c r="Q4266" s="23" t="s">
        <v>178</v>
      </c>
    </row>
    <row r="4267" spans="1:17" x14ac:dyDescent="0.25">
      <c r="A4267" s="23" t="s">
        <v>1197</v>
      </c>
      <c r="B4267" s="23" t="s">
        <v>1198</v>
      </c>
      <c r="C4267" s="23" t="s">
        <v>176</v>
      </c>
      <c r="D4267" s="23" t="s">
        <v>602</v>
      </c>
      <c r="E4267" s="23" t="s">
        <v>603</v>
      </c>
      <c r="F4267">
        <v>2</v>
      </c>
      <c r="G4267" s="23" t="s">
        <v>177</v>
      </c>
      <c r="H4267">
        <v>0</v>
      </c>
      <c r="I4267">
        <v>28</v>
      </c>
      <c r="J4267" s="10">
        <v>6</v>
      </c>
      <c r="K4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267">
        <v>0</v>
      </c>
      <c r="M42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7">
        <v>50.41</v>
      </c>
      <c r="O4267" s="23" t="s">
        <v>637</v>
      </c>
      <c r="P4267">
        <v>100.82</v>
      </c>
      <c r="Q4267" s="23" t="s">
        <v>178</v>
      </c>
    </row>
    <row r="4268" spans="1:17" x14ac:dyDescent="0.25">
      <c r="A4268" s="23" t="s">
        <v>1143</v>
      </c>
      <c r="B4268" s="23" t="s">
        <v>1054</v>
      </c>
      <c r="C4268" s="23" t="s">
        <v>176</v>
      </c>
      <c r="D4268" s="23" t="s">
        <v>362</v>
      </c>
      <c r="E4268" s="23" t="s">
        <v>363</v>
      </c>
      <c r="F4268">
        <v>6.65</v>
      </c>
      <c r="G4268" s="23" t="s">
        <v>180</v>
      </c>
      <c r="H4268">
        <v>0</v>
      </c>
      <c r="I4268">
        <v>200</v>
      </c>
      <c r="J4268" s="10">
        <v>39.999999999999659</v>
      </c>
      <c r="K4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4268">
        <v>0</v>
      </c>
      <c r="M42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8">
        <v>22.5</v>
      </c>
      <c r="O4268" s="23" t="s">
        <v>315</v>
      </c>
      <c r="P4268">
        <v>149.625</v>
      </c>
      <c r="Q4268" s="23" t="s">
        <v>179</v>
      </c>
    </row>
    <row r="4269" spans="1:17" x14ac:dyDescent="0.25">
      <c r="A4269" s="23" t="s">
        <v>1057</v>
      </c>
      <c r="B4269" s="23" t="s">
        <v>1056</v>
      </c>
      <c r="C4269" s="23" t="s">
        <v>176</v>
      </c>
      <c r="D4269" s="23" t="s">
        <v>467</v>
      </c>
      <c r="E4269" s="23" t="s">
        <v>468</v>
      </c>
      <c r="F4269">
        <v>110</v>
      </c>
      <c r="G4269" s="23" t="s">
        <v>177</v>
      </c>
      <c r="H4269">
        <v>0</v>
      </c>
      <c r="I4269">
        <v>7500</v>
      </c>
      <c r="J4269" s="10">
        <v>0</v>
      </c>
      <c r="K4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4269">
        <v>0</v>
      </c>
      <c r="M42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69">
        <v>0.8</v>
      </c>
      <c r="O4269" s="23" t="s">
        <v>827</v>
      </c>
      <c r="P4269">
        <v>88</v>
      </c>
      <c r="Q4269" s="23" t="s">
        <v>181</v>
      </c>
    </row>
    <row r="4270" spans="1:17" x14ac:dyDescent="0.25">
      <c r="A4270" s="23" t="s">
        <v>1094</v>
      </c>
      <c r="B4270" s="23" t="s">
        <v>1095</v>
      </c>
      <c r="C4270" s="23" t="s">
        <v>176</v>
      </c>
      <c r="D4270" s="23" t="s">
        <v>467</v>
      </c>
      <c r="E4270" s="23" t="s">
        <v>468</v>
      </c>
      <c r="F4270">
        <v>80</v>
      </c>
      <c r="G4270" s="23" t="s">
        <v>177</v>
      </c>
      <c r="H4270">
        <v>0</v>
      </c>
      <c r="I4270">
        <v>7500</v>
      </c>
      <c r="J4270" s="10">
        <v>0</v>
      </c>
      <c r="K4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4270">
        <v>0</v>
      </c>
      <c r="M42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0">
        <v>0.8</v>
      </c>
      <c r="O4270" s="23" t="s">
        <v>827</v>
      </c>
      <c r="P4270">
        <v>64</v>
      </c>
      <c r="Q4270" s="23" t="s">
        <v>181</v>
      </c>
    </row>
    <row r="4271" spans="1:17" x14ac:dyDescent="0.25">
      <c r="A4271" s="23" t="s">
        <v>1144</v>
      </c>
      <c r="B4271" s="23" t="s">
        <v>1145</v>
      </c>
      <c r="C4271" s="23" t="s">
        <v>176</v>
      </c>
      <c r="D4271" s="23" t="s">
        <v>1164</v>
      </c>
      <c r="E4271" s="23" t="s">
        <v>1165</v>
      </c>
      <c r="F4271">
        <v>2</v>
      </c>
      <c r="G4271" s="23" t="s">
        <v>177</v>
      </c>
      <c r="H4271">
        <v>0</v>
      </c>
      <c r="I4271">
        <v>500</v>
      </c>
      <c r="J4271" s="10">
        <v>500</v>
      </c>
      <c r="K4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271">
        <v>0</v>
      </c>
      <c r="M42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1">
        <v>0.55000000000000004</v>
      </c>
      <c r="O4271" s="23" t="s">
        <v>827</v>
      </c>
      <c r="P4271">
        <v>1.1000000000000001</v>
      </c>
      <c r="Q4271" s="23" t="s">
        <v>222</v>
      </c>
    </row>
    <row r="4272" spans="1:17" x14ac:dyDescent="0.25">
      <c r="A4272" s="23" t="s">
        <v>1149</v>
      </c>
      <c r="B4272" s="23" t="s">
        <v>1145</v>
      </c>
      <c r="C4272" s="23" t="s">
        <v>176</v>
      </c>
      <c r="D4272" s="23" t="s">
        <v>600</v>
      </c>
      <c r="E4272" s="23" t="s">
        <v>601</v>
      </c>
      <c r="F4272">
        <v>4</v>
      </c>
      <c r="G4272" s="23" t="s">
        <v>177</v>
      </c>
      <c r="H4272">
        <v>0</v>
      </c>
      <c r="I4272">
        <v>45</v>
      </c>
      <c r="J4272" s="10">
        <v>6</v>
      </c>
      <c r="K4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272">
        <v>0</v>
      </c>
      <c r="M42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2">
        <v>313.76</v>
      </c>
      <c r="O4272" s="23" t="s">
        <v>637</v>
      </c>
      <c r="P4272">
        <v>1255.04</v>
      </c>
      <c r="Q4272" s="23" t="s">
        <v>178</v>
      </c>
    </row>
    <row r="4273" spans="1:17" x14ac:dyDescent="0.25">
      <c r="A4273" s="23" t="s">
        <v>1146</v>
      </c>
      <c r="B4273" s="23" t="s">
        <v>1145</v>
      </c>
      <c r="C4273" s="23" t="s">
        <v>176</v>
      </c>
      <c r="D4273" s="23" t="s">
        <v>576</v>
      </c>
      <c r="E4273" s="23" t="s">
        <v>577</v>
      </c>
      <c r="F4273">
        <v>4.1500000000000004</v>
      </c>
      <c r="G4273" s="23" t="s">
        <v>177</v>
      </c>
      <c r="H4273">
        <v>0</v>
      </c>
      <c r="I4273">
        <v>85</v>
      </c>
      <c r="J4273" s="10">
        <v>3.6499999999999986</v>
      </c>
      <c r="K4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73">
        <v>0</v>
      </c>
      <c r="M42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73">
        <v>348.11</v>
      </c>
      <c r="O4273" s="23" t="s">
        <v>252</v>
      </c>
      <c r="P4273">
        <v>1444.6565000000003</v>
      </c>
      <c r="Q4273" s="23" t="s">
        <v>184</v>
      </c>
    </row>
    <row r="4274" spans="1:17" x14ac:dyDescent="0.25">
      <c r="A4274" s="23" t="s">
        <v>1144</v>
      </c>
      <c r="B4274" s="23" t="s">
        <v>1145</v>
      </c>
      <c r="C4274" s="23" t="s">
        <v>176</v>
      </c>
      <c r="D4274" s="23" t="s">
        <v>576</v>
      </c>
      <c r="E4274" s="23" t="s">
        <v>577</v>
      </c>
      <c r="F4274">
        <v>4.4000000000000004</v>
      </c>
      <c r="G4274" s="23" t="s">
        <v>177</v>
      </c>
      <c r="H4274">
        <v>0</v>
      </c>
      <c r="I4274">
        <v>85</v>
      </c>
      <c r="J4274" s="10">
        <v>3.6499999999999986</v>
      </c>
      <c r="K4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74">
        <v>0</v>
      </c>
      <c r="M42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74">
        <v>348.11</v>
      </c>
      <c r="O4274" s="23" t="s">
        <v>252</v>
      </c>
      <c r="P4274">
        <v>1531.6840000000002</v>
      </c>
      <c r="Q4274" s="23" t="s">
        <v>184</v>
      </c>
    </row>
    <row r="4275" spans="1:17" x14ac:dyDescent="0.25">
      <c r="A4275" s="23" t="s">
        <v>1144</v>
      </c>
      <c r="B4275" s="23" t="s">
        <v>1145</v>
      </c>
      <c r="C4275" s="23" t="s">
        <v>176</v>
      </c>
      <c r="D4275" s="23" t="s">
        <v>650</v>
      </c>
      <c r="E4275" s="23" t="s">
        <v>651</v>
      </c>
      <c r="F4275">
        <v>6</v>
      </c>
      <c r="G4275" s="23" t="s">
        <v>186</v>
      </c>
      <c r="H4275">
        <v>0</v>
      </c>
      <c r="I4275">
        <v>65</v>
      </c>
      <c r="J4275" s="10">
        <v>0</v>
      </c>
      <c r="K4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275">
        <v>0</v>
      </c>
      <c r="M42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275">
        <v>1119.95</v>
      </c>
      <c r="O4275" s="23" t="s">
        <v>649</v>
      </c>
      <c r="P4275">
        <v>6719.7000000000007</v>
      </c>
      <c r="Q4275" s="23" t="s">
        <v>184</v>
      </c>
    </row>
    <row r="4276" spans="1:17" x14ac:dyDescent="0.25">
      <c r="A4276" s="23" t="s">
        <v>1147</v>
      </c>
      <c r="B4276" s="23" t="s">
        <v>1145</v>
      </c>
      <c r="C4276" s="23" t="s">
        <v>176</v>
      </c>
      <c r="D4276" s="23" t="s">
        <v>600</v>
      </c>
      <c r="E4276" s="23" t="s">
        <v>601</v>
      </c>
      <c r="F4276">
        <v>4</v>
      </c>
      <c r="G4276" s="23" t="s">
        <v>177</v>
      </c>
      <c r="H4276">
        <v>0</v>
      </c>
      <c r="I4276">
        <v>45</v>
      </c>
      <c r="J4276" s="10">
        <v>6</v>
      </c>
      <c r="K4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276">
        <v>0</v>
      </c>
      <c r="M42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76">
        <v>313.76</v>
      </c>
      <c r="O4276" s="23" t="s">
        <v>637</v>
      </c>
      <c r="P4276">
        <v>1255.04</v>
      </c>
      <c r="Q4276" s="23" t="s">
        <v>178</v>
      </c>
    </row>
    <row r="4277" spans="1:17" x14ac:dyDescent="0.25">
      <c r="A4277" s="23" t="s">
        <v>1148</v>
      </c>
      <c r="B4277" s="23" t="s">
        <v>1054</v>
      </c>
      <c r="C4277" s="23" t="s">
        <v>176</v>
      </c>
      <c r="D4277" s="23" t="s">
        <v>576</v>
      </c>
      <c r="E4277" s="23" t="s">
        <v>577</v>
      </c>
      <c r="F4277">
        <v>5.85</v>
      </c>
      <c r="G4277" s="23" t="s">
        <v>177</v>
      </c>
      <c r="H4277">
        <v>0</v>
      </c>
      <c r="I4277">
        <v>85</v>
      </c>
      <c r="J4277" s="10">
        <v>3.6499999999999986</v>
      </c>
      <c r="K4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77">
        <v>0</v>
      </c>
      <c r="M42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77">
        <v>348.11</v>
      </c>
      <c r="O4277" s="23" t="s">
        <v>252</v>
      </c>
      <c r="P4277">
        <v>2036.4434999999999</v>
      </c>
      <c r="Q4277" s="23" t="s">
        <v>184</v>
      </c>
    </row>
    <row r="4278" spans="1:17" x14ac:dyDescent="0.25">
      <c r="A4278" s="23" t="s">
        <v>1055</v>
      </c>
      <c r="B4278" s="23" t="s">
        <v>1056</v>
      </c>
      <c r="C4278" s="23" t="s">
        <v>176</v>
      </c>
      <c r="D4278" s="23" t="s">
        <v>576</v>
      </c>
      <c r="E4278" s="23" t="s">
        <v>577</v>
      </c>
      <c r="F4278">
        <v>6.55</v>
      </c>
      <c r="G4278" s="23" t="s">
        <v>177</v>
      </c>
      <c r="H4278">
        <v>0</v>
      </c>
      <c r="I4278">
        <v>85</v>
      </c>
      <c r="J4278" s="10">
        <v>3.6499999999999986</v>
      </c>
      <c r="K4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78">
        <v>0</v>
      </c>
      <c r="M42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78">
        <v>348.11</v>
      </c>
      <c r="O4278" s="23" t="s">
        <v>252</v>
      </c>
      <c r="P4278">
        <v>2280.1205</v>
      </c>
      <c r="Q4278" s="23" t="s">
        <v>184</v>
      </c>
    </row>
    <row r="4279" spans="1:17" x14ac:dyDescent="0.25">
      <c r="A4279" s="23" t="s">
        <v>1099</v>
      </c>
      <c r="B4279" s="23" t="s">
        <v>1056</v>
      </c>
      <c r="C4279" s="23" t="s">
        <v>176</v>
      </c>
      <c r="D4279" s="23" t="s">
        <v>576</v>
      </c>
      <c r="E4279" s="23" t="s">
        <v>577</v>
      </c>
      <c r="F4279">
        <v>6.55</v>
      </c>
      <c r="G4279" s="23" t="s">
        <v>177</v>
      </c>
      <c r="H4279">
        <v>0</v>
      </c>
      <c r="I4279">
        <v>85</v>
      </c>
      <c r="J4279" s="10">
        <v>3.6499999999999986</v>
      </c>
      <c r="K4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79">
        <v>0</v>
      </c>
      <c r="M42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79">
        <v>348.11</v>
      </c>
      <c r="O4279" s="23" t="s">
        <v>252</v>
      </c>
      <c r="P4279">
        <v>2280.1205</v>
      </c>
      <c r="Q4279" s="23" t="s">
        <v>184</v>
      </c>
    </row>
    <row r="4280" spans="1:17" x14ac:dyDescent="0.25">
      <c r="A4280" s="23" t="s">
        <v>1100</v>
      </c>
      <c r="B4280" s="23" t="s">
        <v>1101</v>
      </c>
      <c r="C4280" s="23" t="s">
        <v>176</v>
      </c>
      <c r="D4280" s="23" t="s">
        <v>650</v>
      </c>
      <c r="E4280" s="23" t="s">
        <v>651</v>
      </c>
      <c r="F4280">
        <v>7</v>
      </c>
      <c r="G4280" s="23" t="s">
        <v>186</v>
      </c>
      <c r="H4280">
        <v>0</v>
      </c>
      <c r="I4280">
        <v>65</v>
      </c>
      <c r="J4280" s="10">
        <v>0</v>
      </c>
      <c r="K4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280">
        <v>0</v>
      </c>
      <c r="M42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280">
        <v>1119.95</v>
      </c>
      <c r="O4280" s="23" t="s">
        <v>649</v>
      </c>
      <c r="P4280">
        <v>7839.6500000000005</v>
      </c>
      <c r="Q4280" s="23" t="s">
        <v>184</v>
      </c>
    </row>
    <row r="4281" spans="1:17" x14ac:dyDescent="0.25">
      <c r="A4281" s="23" t="s">
        <v>1055</v>
      </c>
      <c r="B4281" s="23" t="s">
        <v>1056</v>
      </c>
      <c r="C4281" s="23" t="s">
        <v>176</v>
      </c>
      <c r="D4281" s="23" t="s">
        <v>650</v>
      </c>
      <c r="E4281" s="23" t="s">
        <v>651</v>
      </c>
      <c r="F4281">
        <v>5</v>
      </c>
      <c r="G4281" s="23" t="s">
        <v>186</v>
      </c>
      <c r="H4281">
        <v>0</v>
      </c>
      <c r="I4281">
        <v>65</v>
      </c>
      <c r="J4281" s="10">
        <v>0</v>
      </c>
      <c r="K4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281">
        <v>0</v>
      </c>
      <c r="M42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281">
        <v>1119.95</v>
      </c>
      <c r="O4281" s="23" t="s">
        <v>649</v>
      </c>
      <c r="P4281">
        <v>5599.75</v>
      </c>
      <c r="Q4281" s="23" t="s">
        <v>184</v>
      </c>
    </row>
    <row r="4282" spans="1:17" x14ac:dyDescent="0.25">
      <c r="A4282" s="23" t="s">
        <v>1149</v>
      </c>
      <c r="B4282" s="23" t="s">
        <v>1145</v>
      </c>
      <c r="C4282" s="23" t="s">
        <v>176</v>
      </c>
      <c r="D4282" s="23" t="s">
        <v>646</v>
      </c>
      <c r="E4282" s="23" t="s">
        <v>647</v>
      </c>
      <c r="F4282">
        <v>1</v>
      </c>
      <c r="G4282" s="23" t="s">
        <v>177</v>
      </c>
      <c r="H4282">
        <v>0</v>
      </c>
      <c r="I4282">
        <v>3</v>
      </c>
      <c r="J4282" s="10">
        <v>8</v>
      </c>
      <c r="K4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282">
        <v>0</v>
      </c>
      <c r="M42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282">
        <v>1820</v>
      </c>
      <c r="O4282" s="23" t="s">
        <v>264</v>
      </c>
      <c r="P4282">
        <v>1820</v>
      </c>
      <c r="Q4282" s="23" t="s">
        <v>642</v>
      </c>
    </row>
    <row r="4283" spans="1:17" x14ac:dyDescent="0.25">
      <c r="A4283" s="23" t="s">
        <v>1144</v>
      </c>
      <c r="B4283" s="23" t="s">
        <v>1145</v>
      </c>
      <c r="C4283" s="23" t="s">
        <v>176</v>
      </c>
      <c r="D4283" s="23" t="s">
        <v>951</v>
      </c>
      <c r="E4283" s="23" t="s">
        <v>952</v>
      </c>
      <c r="F4283">
        <v>4</v>
      </c>
      <c r="G4283" s="23" t="s">
        <v>177</v>
      </c>
      <c r="H4283">
        <v>0</v>
      </c>
      <c r="I4283">
        <v>996</v>
      </c>
      <c r="J4283" s="10">
        <v>0</v>
      </c>
      <c r="K4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4283">
        <v>0</v>
      </c>
      <c r="M42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3">
        <v>1.8</v>
      </c>
      <c r="O4283" s="23" t="s">
        <v>242</v>
      </c>
      <c r="P4283">
        <v>7.2</v>
      </c>
      <c r="Q4283" s="23" t="s">
        <v>181</v>
      </c>
    </row>
    <row r="4284" spans="1:17" x14ac:dyDescent="0.25">
      <c r="A4284" s="23" t="s">
        <v>1147</v>
      </c>
      <c r="B4284" s="23" t="s">
        <v>1145</v>
      </c>
      <c r="C4284" s="23" t="s">
        <v>176</v>
      </c>
      <c r="D4284" s="23" t="s">
        <v>646</v>
      </c>
      <c r="E4284" s="23" t="s">
        <v>647</v>
      </c>
      <c r="F4284">
        <v>1</v>
      </c>
      <c r="G4284" s="23" t="s">
        <v>177</v>
      </c>
      <c r="H4284">
        <v>0</v>
      </c>
      <c r="I4284">
        <v>3</v>
      </c>
      <c r="J4284" s="10">
        <v>8</v>
      </c>
      <c r="K4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284">
        <v>0</v>
      </c>
      <c r="M42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284">
        <v>1820</v>
      </c>
      <c r="O4284" s="23" t="s">
        <v>264</v>
      </c>
      <c r="P4284">
        <v>1820</v>
      </c>
      <c r="Q4284" s="23" t="s">
        <v>642</v>
      </c>
    </row>
    <row r="4285" spans="1:17" x14ac:dyDescent="0.25">
      <c r="A4285" s="23" t="s">
        <v>1149</v>
      </c>
      <c r="B4285" s="23" t="s">
        <v>1145</v>
      </c>
      <c r="C4285" s="23" t="s">
        <v>176</v>
      </c>
      <c r="D4285" s="23" t="s">
        <v>1164</v>
      </c>
      <c r="E4285" s="23" t="s">
        <v>1165</v>
      </c>
      <c r="F4285">
        <v>2</v>
      </c>
      <c r="G4285" s="23" t="s">
        <v>177</v>
      </c>
      <c r="H4285">
        <v>0</v>
      </c>
      <c r="I4285">
        <v>500</v>
      </c>
      <c r="J4285" s="10">
        <v>500</v>
      </c>
      <c r="K4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285">
        <v>0</v>
      </c>
      <c r="M42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5">
        <v>0.55000000000000004</v>
      </c>
      <c r="O4285" s="23" t="s">
        <v>827</v>
      </c>
      <c r="P4285">
        <v>1.1000000000000001</v>
      </c>
      <c r="Q4285" s="23" t="s">
        <v>222</v>
      </c>
    </row>
    <row r="4286" spans="1:17" x14ac:dyDescent="0.25">
      <c r="A4286" s="23" t="s">
        <v>1146</v>
      </c>
      <c r="B4286" s="23" t="s">
        <v>1145</v>
      </c>
      <c r="C4286" s="23" t="s">
        <v>176</v>
      </c>
      <c r="D4286" s="23" t="s">
        <v>1164</v>
      </c>
      <c r="E4286" s="23" t="s">
        <v>1165</v>
      </c>
      <c r="F4286">
        <v>2</v>
      </c>
      <c r="G4286" s="23" t="s">
        <v>177</v>
      </c>
      <c r="H4286">
        <v>0</v>
      </c>
      <c r="I4286">
        <v>500</v>
      </c>
      <c r="J4286" s="10">
        <v>500</v>
      </c>
      <c r="K4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286">
        <v>0</v>
      </c>
      <c r="M42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6">
        <v>0.55000000000000004</v>
      </c>
      <c r="O4286" s="23" t="s">
        <v>827</v>
      </c>
      <c r="P4286">
        <v>1.1000000000000001</v>
      </c>
      <c r="Q4286" s="23" t="s">
        <v>222</v>
      </c>
    </row>
    <row r="4287" spans="1:17" x14ac:dyDescent="0.25">
      <c r="A4287" s="23" t="s">
        <v>1144</v>
      </c>
      <c r="B4287" s="23" t="s">
        <v>1145</v>
      </c>
      <c r="C4287" s="23" t="s">
        <v>176</v>
      </c>
      <c r="D4287" s="23" t="s">
        <v>600</v>
      </c>
      <c r="E4287" s="23" t="s">
        <v>601</v>
      </c>
      <c r="F4287">
        <v>4</v>
      </c>
      <c r="G4287" s="23" t="s">
        <v>177</v>
      </c>
      <c r="H4287">
        <v>0</v>
      </c>
      <c r="I4287">
        <v>45</v>
      </c>
      <c r="J4287" s="10">
        <v>6</v>
      </c>
      <c r="K4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287">
        <v>0</v>
      </c>
      <c r="M42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7">
        <v>313.76</v>
      </c>
      <c r="O4287" s="23" t="s">
        <v>637</v>
      </c>
      <c r="P4287">
        <v>1255.04</v>
      </c>
      <c r="Q4287" s="23" t="s">
        <v>178</v>
      </c>
    </row>
    <row r="4288" spans="1:17" x14ac:dyDescent="0.25">
      <c r="A4288" s="23" t="s">
        <v>1146</v>
      </c>
      <c r="B4288" s="23" t="s">
        <v>1145</v>
      </c>
      <c r="C4288" s="23" t="s">
        <v>176</v>
      </c>
      <c r="D4288" s="23" t="s">
        <v>600</v>
      </c>
      <c r="E4288" s="23" t="s">
        <v>601</v>
      </c>
      <c r="F4288">
        <v>4</v>
      </c>
      <c r="G4288" s="23" t="s">
        <v>177</v>
      </c>
      <c r="H4288">
        <v>0</v>
      </c>
      <c r="I4288">
        <v>45</v>
      </c>
      <c r="J4288" s="10">
        <v>6</v>
      </c>
      <c r="K4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288">
        <v>0</v>
      </c>
      <c r="M42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8">
        <v>313.76</v>
      </c>
      <c r="O4288" s="23" t="s">
        <v>637</v>
      </c>
      <c r="P4288">
        <v>1255.04</v>
      </c>
      <c r="Q4288" s="23" t="s">
        <v>178</v>
      </c>
    </row>
    <row r="4289" spans="1:17" x14ac:dyDescent="0.25">
      <c r="A4289" s="23" t="s">
        <v>1149</v>
      </c>
      <c r="B4289" s="23" t="s">
        <v>1145</v>
      </c>
      <c r="C4289" s="23" t="s">
        <v>176</v>
      </c>
      <c r="D4289" s="23" t="s">
        <v>557</v>
      </c>
      <c r="E4289" s="23" t="s">
        <v>558</v>
      </c>
      <c r="F4289">
        <v>0.1</v>
      </c>
      <c r="G4289" s="23" t="s">
        <v>177</v>
      </c>
      <c r="H4289">
        <v>0</v>
      </c>
      <c r="I4289">
        <v>33</v>
      </c>
      <c r="J4289" s="10">
        <v>6.1</v>
      </c>
      <c r="K4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289">
        <v>0</v>
      </c>
      <c r="M42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89">
        <v>25</v>
      </c>
      <c r="O4289" s="23" t="s">
        <v>242</v>
      </c>
      <c r="P4289">
        <v>2.5</v>
      </c>
      <c r="Q4289" s="23" t="s">
        <v>181</v>
      </c>
    </row>
    <row r="4290" spans="1:17" x14ac:dyDescent="0.25">
      <c r="A4290" s="23" t="s">
        <v>1146</v>
      </c>
      <c r="B4290" s="23" t="s">
        <v>1145</v>
      </c>
      <c r="C4290" s="23" t="s">
        <v>176</v>
      </c>
      <c r="D4290" s="23" t="s">
        <v>557</v>
      </c>
      <c r="E4290" s="23" t="s">
        <v>558</v>
      </c>
      <c r="F4290">
        <v>0.1</v>
      </c>
      <c r="G4290" s="23" t="s">
        <v>177</v>
      </c>
      <c r="H4290">
        <v>0</v>
      </c>
      <c r="I4290">
        <v>33</v>
      </c>
      <c r="J4290" s="10">
        <v>6.1</v>
      </c>
      <c r="K4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290">
        <v>0</v>
      </c>
      <c r="M42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0">
        <v>25</v>
      </c>
      <c r="O4290" s="23" t="s">
        <v>242</v>
      </c>
      <c r="P4290">
        <v>2.5</v>
      </c>
      <c r="Q4290" s="23" t="s">
        <v>181</v>
      </c>
    </row>
    <row r="4291" spans="1:17" x14ac:dyDescent="0.25">
      <c r="A4291" s="23" t="s">
        <v>1149</v>
      </c>
      <c r="B4291" s="23" t="s">
        <v>1145</v>
      </c>
      <c r="C4291" s="23" t="s">
        <v>176</v>
      </c>
      <c r="D4291" s="23" t="s">
        <v>576</v>
      </c>
      <c r="E4291" s="23" t="s">
        <v>577</v>
      </c>
      <c r="F4291">
        <v>4.4000000000000004</v>
      </c>
      <c r="G4291" s="23" t="s">
        <v>177</v>
      </c>
      <c r="H4291">
        <v>0</v>
      </c>
      <c r="I4291">
        <v>85</v>
      </c>
      <c r="J4291" s="10">
        <v>3.6499999999999986</v>
      </c>
      <c r="K4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91">
        <v>0</v>
      </c>
      <c r="M42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91">
        <v>348.11</v>
      </c>
      <c r="O4291" s="23" t="s">
        <v>252</v>
      </c>
      <c r="P4291">
        <v>1531.6840000000002</v>
      </c>
      <c r="Q4291" s="23" t="s">
        <v>184</v>
      </c>
    </row>
    <row r="4292" spans="1:17" x14ac:dyDescent="0.25">
      <c r="A4292" s="23" t="s">
        <v>1149</v>
      </c>
      <c r="B4292" s="23" t="s">
        <v>1145</v>
      </c>
      <c r="C4292" s="23" t="s">
        <v>176</v>
      </c>
      <c r="D4292" s="23" t="s">
        <v>650</v>
      </c>
      <c r="E4292" s="23" t="s">
        <v>651</v>
      </c>
      <c r="F4292">
        <v>6</v>
      </c>
      <c r="G4292" s="23" t="s">
        <v>186</v>
      </c>
      <c r="H4292">
        <v>0</v>
      </c>
      <c r="I4292">
        <v>65</v>
      </c>
      <c r="J4292" s="10">
        <v>0</v>
      </c>
      <c r="K4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292">
        <v>0</v>
      </c>
      <c r="M42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292">
        <v>1119.95</v>
      </c>
      <c r="O4292" s="23" t="s">
        <v>649</v>
      </c>
      <c r="P4292">
        <v>6719.7000000000007</v>
      </c>
      <c r="Q4292" s="23" t="s">
        <v>184</v>
      </c>
    </row>
    <row r="4293" spans="1:17" x14ac:dyDescent="0.25">
      <c r="A4293" s="23" t="s">
        <v>1100</v>
      </c>
      <c r="B4293" s="23" t="s">
        <v>1101</v>
      </c>
      <c r="C4293" s="23" t="s">
        <v>176</v>
      </c>
      <c r="D4293" s="23" t="s">
        <v>576</v>
      </c>
      <c r="E4293" s="23" t="s">
        <v>577</v>
      </c>
      <c r="F4293">
        <v>3.6</v>
      </c>
      <c r="G4293" s="23" t="s">
        <v>177</v>
      </c>
      <c r="H4293">
        <v>0</v>
      </c>
      <c r="I4293">
        <v>85</v>
      </c>
      <c r="J4293" s="10">
        <v>3.6499999999999986</v>
      </c>
      <c r="K4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293">
        <v>0</v>
      </c>
      <c r="M42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293">
        <v>348.11</v>
      </c>
      <c r="O4293" s="23" t="s">
        <v>252</v>
      </c>
      <c r="P4293">
        <v>1253.1960000000001</v>
      </c>
      <c r="Q4293" s="23" t="s">
        <v>184</v>
      </c>
    </row>
    <row r="4294" spans="1:17" x14ac:dyDescent="0.25">
      <c r="A4294" s="23" t="s">
        <v>1150</v>
      </c>
      <c r="B4294" s="23" t="s">
        <v>1145</v>
      </c>
      <c r="C4294" s="23" t="s">
        <v>176</v>
      </c>
      <c r="D4294" s="23" t="s">
        <v>780</v>
      </c>
      <c r="E4294" s="23" t="s">
        <v>781</v>
      </c>
      <c r="F4294">
        <v>2</v>
      </c>
      <c r="G4294" s="23" t="s">
        <v>177</v>
      </c>
      <c r="H4294">
        <v>0</v>
      </c>
      <c r="I4294">
        <v>3</v>
      </c>
      <c r="J4294" s="10">
        <v>12</v>
      </c>
      <c r="K4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294">
        <v>0</v>
      </c>
      <c r="M42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294">
        <v>444.13</v>
      </c>
      <c r="O4294" s="23" t="s">
        <v>590</v>
      </c>
      <c r="P4294">
        <v>888.26</v>
      </c>
      <c r="Q4294" s="23" t="s">
        <v>178</v>
      </c>
    </row>
    <row r="4295" spans="1:17" x14ac:dyDescent="0.25">
      <c r="A4295" s="23" t="s">
        <v>1149</v>
      </c>
      <c r="B4295" s="23" t="s">
        <v>1145</v>
      </c>
      <c r="C4295" s="23" t="s">
        <v>176</v>
      </c>
      <c r="D4295" s="23" t="s">
        <v>273</v>
      </c>
      <c r="E4295" s="23" t="s">
        <v>621</v>
      </c>
      <c r="F4295">
        <v>1</v>
      </c>
      <c r="G4295" s="23" t="s">
        <v>177</v>
      </c>
      <c r="H4295">
        <v>0</v>
      </c>
      <c r="I4295">
        <v>8</v>
      </c>
      <c r="J4295" s="10">
        <v>4</v>
      </c>
      <c r="K4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295">
        <v>0</v>
      </c>
      <c r="M42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5">
        <v>1723.12</v>
      </c>
      <c r="O4295" s="23" t="s">
        <v>637</v>
      </c>
      <c r="P4295">
        <v>1723.12</v>
      </c>
      <c r="Q4295" s="23" t="s">
        <v>179</v>
      </c>
    </row>
    <row r="4296" spans="1:17" x14ac:dyDescent="0.25">
      <c r="A4296" s="23" t="s">
        <v>1150</v>
      </c>
      <c r="B4296" s="23" t="s">
        <v>1145</v>
      </c>
      <c r="C4296" s="23" t="s">
        <v>176</v>
      </c>
      <c r="D4296" s="23" t="s">
        <v>719</v>
      </c>
      <c r="E4296" s="23" t="s">
        <v>720</v>
      </c>
      <c r="F4296">
        <v>1</v>
      </c>
      <c r="G4296" s="23" t="s">
        <v>177</v>
      </c>
      <c r="H4296">
        <v>0</v>
      </c>
      <c r="I4296">
        <v>1</v>
      </c>
      <c r="J4296" s="10">
        <v>4</v>
      </c>
      <c r="K4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296">
        <v>0</v>
      </c>
      <c r="M42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296">
        <v>12990.78</v>
      </c>
      <c r="O4296" s="23" t="s">
        <v>590</v>
      </c>
      <c r="P4296">
        <v>12990.78</v>
      </c>
      <c r="Q4296" s="23" t="s">
        <v>178</v>
      </c>
    </row>
    <row r="4297" spans="1:17" x14ac:dyDescent="0.25">
      <c r="A4297" s="23" t="s">
        <v>1055</v>
      </c>
      <c r="B4297" s="23" t="s">
        <v>1056</v>
      </c>
      <c r="C4297" s="23" t="s">
        <v>176</v>
      </c>
      <c r="D4297" s="23" t="s">
        <v>967</v>
      </c>
      <c r="E4297" s="23" t="s">
        <v>968</v>
      </c>
      <c r="F4297">
        <v>1</v>
      </c>
      <c r="G4297" s="23" t="s">
        <v>177</v>
      </c>
      <c r="H4297">
        <v>0</v>
      </c>
      <c r="I4297">
        <v>2</v>
      </c>
      <c r="J4297" s="10">
        <v>0</v>
      </c>
      <c r="K4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297">
        <v>0</v>
      </c>
      <c r="M42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155</v>
      </c>
      <c r="N4297">
        <v>155</v>
      </c>
      <c r="O4297" s="23" t="s">
        <v>969</v>
      </c>
      <c r="P4297">
        <v>155</v>
      </c>
      <c r="Q4297" s="23" t="s">
        <v>181</v>
      </c>
    </row>
    <row r="4298" spans="1:17" x14ac:dyDescent="0.25">
      <c r="A4298" s="23" t="s">
        <v>1058</v>
      </c>
      <c r="B4298" s="23" t="s">
        <v>1059</v>
      </c>
      <c r="C4298" s="23" t="s">
        <v>176</v>
      </c>
      <c r="D4298" s="23" t="s">
        <v>570</v>
      </c>
      <c r="E4298" s="23" t="s">
        <v>571</v>
      </c>
      <c r="F4298">
        <v>4</v>
      </c>
      <c r="G4298" s="23" t="s">
        <v>177</v>
      </c>
      <c r="H4298">
        <v>0</v>
      </c>
      <c r="I4298">
        <v>1000</v>
      </c>
      <c r="J4298" s="10">
        <v>1222</v>
      </c>
      <c r="K4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298">
        <v>0</v>
      </c>
      <c r="M42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8">
        <v>1.1399999999999999</v>
      </c>
      <c r="O4298" s="23" t="s">
        <v>883</v>
      </c>
      <c r="P4298">
        <v>4.5599999999999996</v>
      </c>
      <c r="Q4298" s="23" t="s">
        <v>181</v>
      </c>
    </row>
    <row r="4299" spans="1:17" x14ac:dyDescent="0.25">
      <c r="A4299" s="23" t="s">
        <v>1055</v>
      </c>
      <c r="B4299" s="23" t="s">
        <v>1056</v>
      </c>
      <c r="C4299" s="23" t="s">
        <v>176</v>
      </c>
      <c r="D4299" s="23" t="s">
        <v>570</v>
      </c>
      <c r="E4299" s="23" t="s">
        <v>571</v>
      </c>
      <c r="F4299">
        <v>4</v>
      </c>
      <c r="G4299" s="23" t="s">
        <v>177</v>
      </c>
      <c r="H4299">
        <v>0</v>
      </c>
      <c r="I4299">
        <v>1000</v>
      </c>
      <c r="J4299" s="10">
        <v>1222</v>
      </c>
      <c r="K4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299">
        <v>0</v>
      </c>
      <c r="M42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299">
        <v>1.1399999999999999</v>
      </c>
      <c r="O4299" s="23" t="s">
        <v>883</v>
      </c>
      <c r="P4299">
        <v>4.5599999999999996</v>
      </c>
      <c r="Q4299" s="23" t="s">
        <v>181</v>
      </c>
    </row>
    <row r="4300" spans="1:17" x14ac:dyDescent="0.25">
      <c r="A4300" s="23" t="s">
        <v>1099</v>
      </c>
      <c r="B4300" s="23" t="s">
        <v>1056</v>
      </c>
      <c r="C4300" s="23" t="s">
        <v>176</v>
      </c>
      <c r="D4300" s="23" t="s">
        <v>570</v>
      </c>
      <c r="E4300" s="23" t="s">
        <v>571</v>
      </c>
      <c r="F4300">
        <v>4</v>
      </c>
      <c r="G4300" s="23" t="s">
        <v>177</v>
      </c>
      <c r="H4300">
        <v>0</v>
      </c>
      <c r="I4300">
        <v>1000</v>
      </c>
      <c r="J4300" s="10">
        <v>1222</v>
      </c>
      <c r="K4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00">
        <v>0</v>
      </c>
      <c r="M43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00">
        <v>1.1399999999999999</v>
      </c>
      <c r="O4300" s="23" t="s">
        <v>883</v>
      </c>
      <c r="P4300">
        <v>4.5599999999999996</v>
      </c>
      <c r="Q4300" s="23" t="s">
        <v>181</v>
      </c>
    </row>
    <row r="4301" spans="1:17" x14ac:dyDescent="0.25">
      <c r="A4301" s="23" t="s">
        <v>1148</v>
      </c>
      <c r="B4301" s="23" t="s">
        <v>1054</v>
      </c>
      <c r="C4301" s="23" t="s">
        <v>176</v>
      </c>
      <c r="D4301" s="23" t="s">
        <v>780</v>
      </c>
      <c r="E4301" s="23" t="s">
        <v>781</v>
      </c>
      <c r="F4301">
        <v>2</v>
      </c>
      <c r="G4301" s="23" t="s">
        <v>177</v>
      </c>
      <c r="H4301">
        <v>0</v>
      </c>
      <c r="I4301">
        <v>3</v>
      </c>
      <c r="J4301" s="10">
        <v>12</v>
      </c>
      <c r="K4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01">
        <v>0</v>
      </c>
      <c r="M43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01">
        <v>444.13</v>
      </c>
      <c r="O4301" s="23" t="s">
        <v>590</v>
      </c>
      <c r="P4301">
        <v>888.26</v>
      </c>
      <c r="Q4301" s="23" t="s">
        <v>178</v>
      </c>
    </row>
    <row r="4302" spans="1:17" x14ac:dyDescent="0.25">
      <c r="A4302" s="23" t="s">
        <v>1099</v>
      </c>
      <c r="B4302" s="23" t="s">
        <v>1056</v>
      </c>
      <c r="C4302" s="23" t="s">
        <v>176</v>
      </c>
      <c r="D4302" s="23" t="s">
        <v>780</v>
      </c>
      <c r="E4302" s="23" t="s">
        <v>781</v>
      </c>
      <c r="F4302">
        <v>2</v>
      </c>
      <c r="G4302" s="23" t="s">
        <v>177</v>
      </c>
      <c r="H4302">
        <v>2</v>
      </c>
      <c r="I4302">
        <v>3</v>
      </c>
      <c r="J4302" s="10">
        <v>12</v>
      </c>
      <c r="K4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02">
        <v>0</v>
      </c>
      <c r="M43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02">
        <v>444.13</v>
      </c>
      <c r="O4302" s="23" t="s">
        <v>590</v>
      </c>
      <c r="P4302">
        <v>888.26</v>
      </c>
      <c r="Q4302" s="23" t="s">
        <v>178</v>
      </c>
    </row>
    <row r="4303" spans="1:17" x14ac:dyDescent="0.25">
      <c r="A4303" s="23" t="s">
        <v>1058</v>
      </c>
      <c r="B4303" s="23" t="s">
        <v>1059</v>
      </c>
      <c r="C4303" s="23" t="s">
        <v>176</v>
      </c>
      <c r="D4303" s="23" t="s">
        <v>780</v>
      </c>
      <c r="E4303" s="23" t="s">
        <v>781</v>
      </c>
      <c r="F4303">
        <v>2</v>
      </c>
      <c r="G4303" s="23" t="s">
        <v>177</v>
      </c>
      <c r="H4303">
        <v>0</v>
      </c>
      <c r="I4303">
        <v>3</v>
      </c>
      <c r="J4303" s="10">
        <v>12</v>
      </c>
      <c r="K4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03">
        <v>0</v>
      </c>
      <c r="M43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03">
        <v>444.13</v>
      </c>
      <c r="O4303" s="23" t="s">
        <v>590</v>
      </c>
      <c r="P4303">
        <v>888.26</v>
      </c>
      <c r="Q4303" s="23" t="s">
        <v>178</v>
      </c>
    </row>
    <row r="4304" spans="1:17" x14ac:dyDescent="0.25">
      <c r="A4304" s="23" t="s">
        <v>1058</v>
      </c>
      <c r="B4304" s="23" t="s">
        <v>1059</v>
      </c>
      <c r="C4304" s="23" t="s">
        <v>176</v>
      </c>
      <c r="D4304" s="23" t="s">
        <v>719</v>
      </c>
      <c r="E4304" s="23" t="s">
        <v>720</v>
      </c>
      <c r="F4304">
        <v>1</v>
      </c>
      <c r="G4304" s="23" t="s">
        <v>177</v>
      </c>
      <c r="H4304">
        <v>0</v>
      </c>
      <c r="I4304">
        <v>1</v>
      </c>
      <c r="J4304" s="10">
        <v>4</v>
      </c>
      <c r="K4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304">
        <v>0</v>
      </c>
      <c r="M43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304">
        <v>12990.78</v>
      </c>
      <c r="O4304" s="23" t="s">
        <v>590</v>
      </c>
      <c r="P4304">
        <v>12990.78</v>
      </c>
      <c r="Q4304" s="23" t="s">
        <v>178</v>
      </c>
    </row>
    <row r="4305" spans="1:17" x14ac:dyDescent="0.25">
      <c r="A4305" s="23" t="s">
        <v>1147</v>
      </c>
      <c r="B4305" s="23" t="s">
        <v>1145</v>
      </c>
      <c r="C4305" s="23" t="s">
        <v>176</v>
      </c>
      <c r="D4305" s="23" t="s">
        <v>719</v>
      </c>
      <c r="E4305" s="23" t="s">
        <v>720</v>
      </c>
      <c r="F4305">
        <v>1</v>
      </c>
      <c r="G4305" s="23" t="s">
        <v>177</v>
      </c>
      <c r="H4305">
        <v>0</v>
      </c>
      <c r="I4305">
        <v>1</v>
      </c>
      <c r="J4305" s="10">
        <v>4</v>
      </c>
      <c r="K4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305">
        <v>0</v>
      </c>
      <c r="M43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305">
        <v>12990.78</v>
      </c>
      <c r="O4305" s="23" t="s">
        <v>590</v>
      </c>
      <c r="P4305">
        <v>12990.78</v>
      </c>
      <c r="Q4305" s="23" t="s">
        <v>178</v>
      </c>
    </row>
    <row r="4306" spans="1:17" x14ac:dyDescent="0.25">
      <c r="A4306" s="23" t="s">
        <v>1149</v>
      </c>
      <c r="B4306" s="23" t="s">
        <v>1145</v>
      </c>
      <c r="C4306" s="23" t="s">
        <v>176</v>
      </c>
      <c r="D4306" s="23" t="s">
        <v>336</v>
      </c>
      <c r="E4306" s="23" t="s">
        <v>623</v>
      </c>
      <c r="F4306">
        <v>1</v>
      </c>
      <c r="G4306" s="23" t="s">
        <v>177</v>
      </c>
      <c r="H4306">
        <v>0</v>
      </c>
      <c r="I4306">
        <v>5</v>
      </c>
      <c r="J4306" s="10">
        <v>4</v>
      </c>
      <c r="K4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306">
        <v>0</v>
      </c>
      <c r="M43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306">
        <v>1723.12</v>
      </c>
      <c r="O4306" s="23" t="s">
        <v>637</v>
      </c>
      <c r="P4306">
        <v>1723.12</v>
      </c>
      <c r="Q4306" s="23" t="s">
        <v>179</v>
      </c>
    </row>
    <row r="4307" spans="1:17" x14ac:dyDescent="0.25">
      <c r="A4307" s="23" t="s">
        <v>1146</v>
      </c>
      <c r="B4307" s="23" t="s">
        <v>1145</v>
      </c>
      <c r="C4307" s="23" t="s">
        <v>176</v>
      </c>
      <c r="D4307" s="23" t="s">
        <v>780</v>
      </c>
      <c r="E4307" s="23" t="s">
        <v>781</v>
      </c>
      <c r="F4307">
        <v>2</v>
      </c>
      <c r="G4307" s="23" t="s">
        <v>177</v>
      </c>
      <c r="H4307">
        <v>0</v>
      </c>
      <c r="I4307">
        <v>3</v>
      </c>
      <c r="J4307" s="10">
        <v>12</v>
      </c>
      <c r="K4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07">
        <v>0</v>
      </c>
      <c r="M43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07">
        <v>444.13</v>
      </c>
      <c r="O4307" s="23" t="s">
        <v>590</v>
      </c>
      <c r="P4307">
        <v>888.26</v>
      </c>
      <c r="Q4307" s="23" t="s">
        <v>178</v>
      </c>
    </row>
    <row r="4308" spans="1:17" x14ac:dyDescent="0.25">
      <c r="A4308" s="23" t="s">
        <v>1144</v>
      </c>
      <c r="B4308" s="23" t="s">
        <v>1145</v>
      </c>
      <c r="C4308" s="23" t="s">
        <v>176</v>
      </c>
      <c r="D4308" s="23" t="s">
        <v>780</v>
      </c>
      <c r="E4308" s="23" t="s">
        <v>781</v>
      </c>
      <c r="F4308">
        <v>2</v>
      </c>
      <c r="G4308" s="23" t="s">
        <v>177</v>
      </c>
      <c r="H4308">
        <v>0</v>
      </c>
      <c r="I4308">
        <v>3</v>
      </c>
      <c r="J4308" s="10">
        <v>12</v>
      </c>
      <c r="K4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08">
        <v>0</v>
      </c>
      <c r="M43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08">
        <v>444.13</v>
      </c>
      <c r="O4308" s="23" t="s">
        <v>590</v>
      </c>
      <c r="P4308">
        <v>888.26</v>
      </c>
      <c r="Q4308" s="23" t="s">
        <v>178</v>
      </c>
    </row>
    <row r="4309" spans="1:17" x14ac:dyDescent="0.25">
      <c r="A4309" s="23" t="s">
        <v>1149</v>
      </c>
      <c r="B4309" s="23" t="s">
        <v>1145</v>
      </c>
      <c r="C4309" s="23" t="s">
        <v>176</v>
      </c>
      <c r="D4309" s="23" t="s">
        <v>719</v>
      </c>
      <c r="E4309" s="23" t="s">
        <v>720</v>
      </c>
      <c r="F4309">
        <v>1</v>
      </c>
      <c r="G4309" s="23" t="s">
        <v>177</v>
      </c>
      <c r="H4309">
        <v>0</v>
      </c>
      <c r="I4309">
        <v>1</v>
      </c>
      <c r="J4309" s="10">
        <v>4</v>
      </c>
      <c r="K4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309">
        <v>0</v>
      </c>
      <c r="M43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309">
        <v>12990.78</v>
      </c>
      <c r="O4309" s="23" t="s">
        <v>590</v>
      </c>
      <c r="P4309">
        <v>12990.78</v>
      </c>
      <c r="Q4309" s="23" t="s">
        <v>178</v>
      </c>
    </row>
    <row r="4310" spans="1:17" x14ac:dyDescent="0.25">
      <c r="A4310" s="23" t="s">
        <v>1147</v>
      </c>
      <c r="B4310" s="23" t="s">
        <v>1145</v>
      </c>
      <c r="C4310" s="23" t="s">
        <v>176</v>
      </c>
      <c r="D4310" s="23" t="s">
        <v>273</v>
      </c>
      <c r="E4310" s="23" t="s">
        <v>621</v>
      </c>
      <c r="F4310">
        <v>1</v>
      </c>
      <c r="G4310" s="23" t="s">
        <v>177</v>
      </c>
      <c r="H4310">
        <v>0</v>
      </c>
      <c r="I4310">
        <v>8</v>
      </c>
      <c r="J4310" s="10">
        <v>4</v>
      </c>
      <c r="K4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310">
        <v>0</v>
      </c>
      <c r="M43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0">
        <v>1723.12</v>
      </c>
      <c r="O4310" s="23" t="s">
        <v>637</v>
      </c>
      <c r="P4310">
        <v>1723.12</v>
      </c>
      <c r="Q4310" s="23" t="s">
        <v>179</v>
      </c>
    </row>
    <row r="4311" spans="1:17" x14ac:dyDescent="0.25">
      <c r="A4311" s="23" t="s">
        <v>1149</v>
      </c>
      <c r="B4311" s="23" t="s">
        <v>1145</v>
      </c>
      <c r="C4311" s="23" t="s">
        <v>176</v>
      </c>
      <c r="D4311" s="23" t="s">
        <v>880</v>
      </c>
      <c r="E4311" s="23" t="s">
        <v>881</v>
      </c>
      <c r="F4311">
        <v>1</v>
      </c>
      <c r="G4311" s="23" t="s">
        <v>177</v>
      </c>
      <c r="H4311">
        <v>0</v>
      </c>
      <c r="I4311">
        <v>10</v>
      </c>
      <c r="J4311" s="10">
        <v>7</v>
      </c>
      <c r="K4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11">
        <v>15</v>
      </c>
      <c r="M43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1">
        <v>776.15</v>
      </c>
      <c r="O4311" s="23" t="s">
        <v>882</v>
      </c>
      <c r="P4311">
        <v>776.15</v>
      </c>
      <c r="Q4311" s="23" t="s">
        <v>222</v>
      </c>
    </row>
    <row r="4312" spans="1:17" x14ac:dyDescent="0.25">
      <c r="A4312" s="23" t="s">
        <v>1146</v>
      </c>
      <c r="B4312" s="23" t="s">
        <v>1145</v>
      </c>
      <c r="C4312" s="23" t="s">
        <v>176</v>
      </c>
      <c r="D4312" s="23" t="s">
        <v>1176</v>
      </c>
      <c r="E4312" s="23" t="s">
        <v>1177</v>
      </c>
      <c r="F4312">
        <v>2</v>
      </c>
      <c r="G4312" s="23" t="s">
        <v>177</v>
      </c>
      <c r="H4312">
        <v>0</v>
      </c>
      <c r="I4312">
        <v>500</v>
      </c>
      <c r="J4312" s="10">
        <v>500</v>
      </c>
      <c r="K4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312">
        <v>0</v>
      </c>
      <c r="M43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2">
        <v>0.65</v>
      </c>
      <c r="O4312" s="23" t="s">
        <v>827</v>
      </c>
      <c r="P4312">
        <v>1.3</v>
      </c>
      <c r="Q4312" s="23" t="s">
        <v>222</v>
      </c>
    </row>
    <row r="4313" spans="1:17" x14ac:dyDescent="0.25">
      <c r="A4313" s="23" t="s">
        <v>1144</v>
      </c>
      <c r="B4313" s="23" t="s">
        <v>1145</v>
      </c>
      <c r="C4313" s="23" t="s">
        <v>176</v>
      </c>
      <c r="D4313" s="23" t="s">
        <v>1176</v>
      </c>
      <c r="E4313" s="23" t="s">
        <v>1177</v>
      </c>
      <c r="F4313">
        <v>2</v>
      </c>
      <c r="G4313" s="23" t="s">
        <v>177</v>
      </c>
      <c r="H4313">
        <v>0</v>
      </c>
      <c r="I4313">
        <v>500</v>
      </c>
      <c r="J4313" s="10">
        <v>500</v>
      </c>
      <c r="K4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313">
        <v>0</v>
      </c>
      <c r="M43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3">
        <v>0.65</v>
      </c>
      <c r="O4313" s="23" t="s">
        <v>827</v>
      </c>
      <c r="P4313">
        <v>1.3</v>
      </c>
      <c r="Q4313" s="23" t="s">
        <v>222</v>
      </c>
    </row>
    <row r="4314" spans="1:17" x14ac:dyDescent="0.25">
      <c r="A4314" s="23" t="s">
        <v>1144</v>
      </c>
      <c r="B4314" s="23" t="s">
        <v>1145</v>
      </c>
      <c r="C4314" s="23" t="s">
        <v>176</v>
      </c>
      <c r="D4314" s="23" t="s">
        <v>570</v>
      </c>
      <c r="E4314" s="23" t="s">
        <v>571</v>
      </c>
      <c r="F4314">
        <v>7</v>
      </c>
      <c r="G4314" s="23" t="s">
        <v>177</v>
      </c>
      <c r="H4314">
        <v>0</v>
      </c>
      <c r="I4314">
        <v>1000</v>
      </c>
      <c r="J4314" s="10">
        <v>1222</v>
      </c>
      <c r="K4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14">
        <v>0</v>
      </c>
      <c r="M43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4">
        <v>1.1399999999999999</v>
      </c>
      <c r="O4314" s="23" t="s">
        <v>883</v>
      </c>
      <c r="P4314">
        <v>7.9799999999999995</v>
      </c>
      <c r="Q4314" s="23" t="s">
        <v>181</v>
      </c>
    </row>
    <row r="4315" spans="1:17" x14ac:dyDescent="0.25">
      <c r="A4315" s="23" t="s">
        <v>1146</v>
      </c>
      <c r="B4315" s="23" t="s">
        <v>1145</v>
      </c>
      <c r="C4315" s="23" t="s">
        <v>176</v>
      </c>
      <c r="D4315" s="23" t="s">
        <v>570</v>
      </c>
      <c r="E4315" s="23" t="s">
        <v>571</v>
      </c>
      <c r="F4315">
        <v>7</v>
      </c>
      <c r="G4315" s="23" t="s">
        <v>177</v>
      </c>
      <c r="H4315">
        <v>0</v>
      </c>
      <c r="I4315">
        <v>1000</v>
      </c>
      <c r="J4315" s="10">
        <v>1222</v>
      </c>
      <c r="K4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15">
        <v>0</v>
      </c>
      <c r="M43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5">
        <v>1.1399999999999999</v>
      </c>
      <c r="O4315" s="23" t="s">
        <v>883</v>
      </c>
      <c r="P4315">
        <v>7.9799999999999995</v>
      </c>
      <c r="Q4315" s="23" t="s">
        <v>181</v>
      </c>
    </row>
    <row r="4316" spans="1:17" x14ac:dyDescent="0.25">
      <c r="A4316" s="23" t="s">
        <v>1149</v>
      </c>
      <c r="B4316" s="23" t="s">
        <v>1145</v>
      </c>
      <c r="C4316" s="23" t="s">
        <v>176</v>
      </c>
      <c r="D4316" s="23" t="s">
        <v>780</v>
      </c>
      <c r="E4316" s="23" t="s">
        <v>781</v>
      </c>
      <c r="F4316">
        <v>2</v>
      </c>
      <c r="G4316" s="23" t="s">
        <v>177</v>
      </c>
      <c r="H4316">
        <v>0</v>
      </c>
      <c r="I4316">
        <v>3</v>
      </c>
      <c r="J4316" s="10">
        <v>12</v>
      </c>
      <c r="K4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16">
        <v>0</v>
      </c>
      <c r="M43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16">
        <v>444.13</v>
      </c>
      <c r="O4316" s="23" t="s">
        <v>590</v>
      </c>
      <c r="P4316">
        <v>888.26</v>
      </c>
      <c r="Q4316" s="23" t="s">
        <v>178</v>
      </c>
    </row>
    <row r="4317" spans="1:17" x14ac:dyDescent="0.25">
      <c r="A4317" s="23" t="s">
        <v>1146</v>
      </c>
      <c r="B4317" s="23" t="s">
        <v>1145</v>
      </c>
      <c r="C4317" s="23" t="s">
        <v>176</v>
      </c>
      <c r="D4317" s="23" t="s">
        <v>273</v>
      </c>
      <c r="E4317" s="23" t="s">
        <v>621</v>
      </c>
      <c r="F4317">
        <v>1</v>
      </c>
      <c r="G4317" s="23" t="s">
        <v>177</v>
      </c>
      <c r="H4317">
        <v>0</v>
      </c>
      <c r="I4317">
        <v>8</v>
      </c>
      <c r="J4317" s="10">
        <v>4</v>
      </c>
      <c r="K4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317">
        <v>0</v>
      </c>
      <c r="M43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7">
        <v>1723.12</v>
      </c>
      <c r="O4317" s="23" t="s">
        <v>637</v>
      </c>
      <c r="P4317">
        <v>1723.12</v>
      </c>
      <c r="Q4317" s="23" t="s">
        <v>179</v>
      </c>
    </row>
    <row r="4318" spans="1:17" x14ac:dyDescent="0.25">
      <c r="A4318" s="23" t="s">
        <v>1099</v>
      </c>
      <c r="B4318" s="23" t="s">
        <v>1056</v>
      </c>
      <c r="C4318" s="23" t="s">
        <v>176</v>
      </c>
      <c r="D4318" s="23" t="s">
        <v>967</v>
      </c>
      <c r="E4318" s="23" t="s">
        <v>968</v>
      </c>
      <c r="F4318">
        <v>1</v>
      </c>
      <c r="G4318" s="23" t="s">
        <v>177</v>
      </c>
      <c r="H4318">
        <v>0</v>
      </c>
      <c r="I4318">
        <v>2</v>
      </c>
      <c r="J4318" s="10">
        <v>0</v>
      </c>
      <c r="K4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18">
        <v>0</v>
      </c>
      <c r="M43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155</v>
      </c>
      <c r="N4318">
        <v>155</v>
      </c>
      <c r="O4318" s="23" t="s">
        <v>969</v>
      </c>
      <c r="P4318">
        <v>155</v>
      </c>
      <c r="Q4318" s="23" t="s">
        <v>181</v>
      </c>
    </row>
    <row r="4319" spans="1:17" x14ac:dyDescent="0.25">
      <c r="A4319" s="23" t="s">
        <v>1147</v>
      </c>
      <c r="B4319" s="23" t="s">
        <v>1145</v>
      </c>
      <c r="C4319" s="23" t="s">
        <v>176</v>
      </c>
      <c r="D4319" s="23" t="s">
        <v>570</v>
      </c>
      <c r="E4319" s="23" t="s">
        <v>571</v>
      </c>
      <c r="F4319">
        <v>7</v>
      </c>
      <c r="G4319" s="23" t="s">
        <v>177</v>
      </c>
      <c r="H4319">
        <v>0</v>
      </c>
      <c r="I4319">
        <v>1000</v>
      </c>
      <c r="J4319" s="10">
        <v>1222</v>
      </c>
      <c r="K4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19">
        <v>0</v>
      </c>
      <c r="M43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19">
        <v>1.1399999999999999</v>
      </c>
      <c r="O4319" s="23" t="s">
        <v>883</v>
      </c>
      <c r="P4319">
        <v>7.9799999999999995</v>
      </c>
      <c r="Q4319" s="23" t="s">
        <v>181</v>
      </c>
    </row>
    <row r="4320" spans="1:17" x14ac:dyDescent="0.25">
      <c r="A4320" s="23" t="s">
        <v>1148</v>
      </c>
      <c r="B4320" s="23" t="s">
        <v>1054</v>
      </c>
      <c r="C4320" s="23" t="s">
        <v>176</v>
      </c>
      <c r="D4320" s="23" t="s">
        <v>570</v>
      </c>
      <c r="E4320" s="23" t="s">
        <v>571</v>
      </c>
      <c r="F4320">
        <v>4</v>
      </c>
      <c r="G4320" s="23" t="s">
        <v>177</v>
      </c>
      <c r="H4320">
        <v>0</v>
      </c>
      <c r="I4320">
        <v>1000</v>
      </c>
      <c r="J4320" s="10">
        <v>1222</v>
      </c>
      <c r="K4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320">
        <v>0</v>
      </c>
      <c r="M43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0">
        <v>1.1399999999999999</v>
      </c>
      <c r="O4320" s="23" t="s">
        <v>883</v>
      </c>
      <c r="P4320">
        <v>4.5599999999999996</v>
      </c>
      <c r="Q4320" s="23" t="s">
        <v>181</v>
      </c>
    </row>
    <row r="4321" spans="1:17" x14ac:dyDescent="0.25">
      <c r="A4321" s="23" t="s">
        <v>1147</v>
      </c>
      <c r="B4321" s="23" t="s">
        <v>1145</v>
      </c>
      <c r="C4321" s="23" t="s">
        <v>176</v>
      </c>
      <c r="D4321" s="23" t="s">
        <v>780</v>
      </c>
      <c r="E4321" s="23" t="s">
        <v>781</v>
      </c>
      <c r="F4321">
        <v>2</v>
      </c>
      <c r="G4321" s="23" t="s">
        <v>177</v>
      </c>
      <c r="H4321">
        <v>0</v>
      </c>
      <c r="I4321">
        <v>3</v>
      </c>
      <c r="J4321" s="10">
        <v>12</v>
      </c>
      <c r="K4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321">
        <v>0</v>
      </c>
      <c r="M43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321">
        <v>444.13</v>
      </c>
      <c r="O4321" s="23" t="s">
        <v>590</v>
      </c>
      <c r="P4321">
        <v>888.26</v>
      </c>
      <c r="Q4321" s="23" t="s">
        <v>178</v>
      </c>
    </row>
    <row r="4322" spans="1:17" x14ac:dyDescent="0.25">
      <c r="A4322" s="23" t="s">
        <v>1055</v>
      </c>
      <c r="B4322" s="23" t="s">
        <v>1056</v>
      </c>
      <c r="C4322" s="23" t="s">
        <v>176</v>
      </c>
      <c r="D4322" s="23" t="s">
        <v>273</v>
      </c>
      <c r="E4322" s="23" t="s">
        <v>621</v>
      </c>
      <c r="F4322">
        <v>1</v>
      </c>
      <c r="G4322" s="23" t="s">
        <v>177</v>
      </c>
      <c r="H4322">
        <v>0</v>
      </c>
      <c r="I4322">
        <v>8</v>
      </c>
      <c r="J4322" s="10">
        <v>4</v>
      </c>
      <c r="K4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322">
        <v>0</v>
      </c>
      <c r="M43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2">
        <v>1723.12</v>
      </c>
      <c r="O4322" s="23" t="s">
        <v>637</v>
      </c>
      <c r="P4322">
        <v>1723.12</v>
      </c>
      <c r="Q4322" s="23" t="s">
        <v>179</v>
      </c>
    </row>
    <row r="4323" spans="1:17" x14ac:dyDescent="0.25">
      <c r="A4323" s="23" t="s">
        <v>1197</v>
      </c>
      <c r="B4323" s="23" t="s">
        <v>1198</v>
      </c>
      <c r="C4323" s="23" t="s">
        <v>176</v>
      </c>
      <c r="D4323" s="23" t="s">
        <v>135</v>
      </c>
      <c r="E4323" s="23" t="s">
        <v>136</v>
      </c>
      <c r="F4323">
        <v>12</v>
      </c>
      <c r="G4323" s="23" t="s">
        <v>180</v>
      </c>
      <c r="H4323">
        <v>0</v>
      </c>
      <c r="I4323">
        <v>60</v>
      </c>
      <c r="J4323" s="10">
        <v>52</v>
      </c>
      <c r="K4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323">
        <v>80</v>
      </c>
      <c r="M43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323">
        <v>49</v>
      </c>
      <c r="O4323" s="23" t="s">
        <v>673</v>
      </c>
      <c r="P4323">
        <v>588</v>
      </c>
      <c r="Q4323" s="23" t="s">
        <v>185</v>
      </c>
    </row>
    <row r="4324" spans="1:17" x14ac:dyDescent="0.25">
      <c r="A4324" s="23" t="s">
        <v>1098</v>
      </c>
      <c r="B4324" s="23" t="s">
        <v>1053</v>
      </c>
      <c r="C4324" s="23" t="s">
        <v>176</v>
      </c>
      <c r="D4324" s="23" t="s">
        <v>135</v>
      </c>
      <c r="E4324" s="23" t="s">
        <v>136</v>
      </c>
      <c r="F4324">
        <v>5</v>
      </c>
      <c r="G4324" s="23" t="s">
        <v>180</v>
      </c>
      <c r="H4324">
        <v>0</v>
      </c>
      <c r="I4324">
        <v>60</v>
      </c>
      <c r="J4324" s="10">
        <v>52</v>
      </c>
      <c r="K4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324">
        <v>80</v>
      </c>
      <c r="M43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324">
        <v>49</v>
      </c>
      <c r="O4324" s="23" t="s">
        <v>673</v>
      </c>
      <c r="P4324">
        <v>245</v>
      </c>
      <c r="Q4324" s="23" t="s">
        <v>185</v>
      </c>
    </row>
    <row r="4325" spans="1:17" x14ac:dyDescent="0.25">
      <c r="A4325" s="23" t="s">
        <v>1062</v>
      </c>
      <c r="B4325" s="23" t="s">
        <v>1053</v>
      </c>
      <c r="C4325" s="23" t="s">
        <v>176</v>
      </c>
      <c r="D4325" s="23" t="s">
        <v>158</v>
      </c>
      <c r="E4325" s="23" t="s">
        <v>159</v>
      </c>
      <c r="F4325">
        <v>1</v>
      </c>
      <c r="G4325" s="23" t="s">
        <v>177</v>
      </c>
      <c r="H4325">
        <v>0</v>
      </c>
      <c r="I4325">
        <v>4</v>
      </c>
      <c r="J4325" s="10">
        <v>22</v>
      </c>
      <c r="K4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325">
        <v>20</v>
      </c>
      <c r="M43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5">
        <v>65</v>
      </c>
      <c r="O4325" s="23" t="s">
        <v>762</v>
      </c>
      <c r="P4325">
        <v>65</v>
      </c>
      <c r="Q4325" s="23" t="s">
        <v>179</v>
      </c>
    </row>
    <row r="4326" spans="1:17" x14ac:dyDescent="0.25">
      <c r="A4326" s="23" t="s">
        <v>1062</v>
      </c>
      <c r="B4326" s="23" t="s">
        <v>1053</v>
      </c>
      <c r="C4326" s="23" t="s">
        <v>176</v>
      </c>
      <c r="D4326" s="23" t="s">
        <v>638</v>
      </c>
      <c r="E4326" s="23" t="s">
        <v>639</v>
      </c>
      <c r="F4326">
        <v>1</v>
      </c>
      <c r="G4326" s="23" t="s">
        <v>177</v>
      </c>
      <c r="H4326">
        <v>0</v>
      </c>
      <c r="I4326">
        <v>19</v>
      </c>
      <c r="J4326" s="10">
        <v>17</v>
      </c>
      <c r="K4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326">
        <v>0</v>
      </c>
      <c r="M43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6">
        <v>113.64</v>
      </c>
      <c r="O4326" s="23" t="s">
        <v>640</v>
      </c>
      <c r="P4326">
        <v>113.64</v>
      </c>
      <c r="Q4326" s="23" t="s">
        <v>641</v>
      </c>
    </row>
    <row r="4327" spans="1:17" x14ac:dyDescent="0.25">
      <c r="A4327" s="23" t="s">
        <v>1094</v>
      </c>
      <c r="B4327" s="23" t="s">
        <v>1095</v>
      </c>
      <c r="C4327" s="23" t="s">
        <v>176</v>
      </c>
      <c r="D4327" s="23" t="s">
        <v>559</v>
      </c>
      <c r="E4327" s="23" t="s">
        <v>560</v>
      </c>
      <c r="F4327">
        <v>1</v>
      </c>
      <c r="G4327" s="23" t="s">
        <v>177</v>
      </c>
      <c r="H4327">
        <v>0</v>
      </c>
      <c r="I4327">
        <v>46</v>
      </c>
      <c r="J4327" s="10">
        <v>85.88</v>
      </c>
      <c r="K4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4327">
        <v>0</v>
      </c>
      <c r="M43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7">
        <v>55</v>
      </c>
      <c r="O4327" s="23" t="s">
        <v>242</v>
      </c>
      <c r="P4327">
        <v>55</v>
      </c>
      <c r="Q4327" s="23" t="s">
        <v>181</v>
      </c>
    </row>
    <row r="4328" spans="1:17" x14ac:dyDescent="0.25">
      <c r="A4328" s="23" t="s">
        <v>1197</v>
      </c>
      <c r="B4328" s="23" t="s">
        <v>1198</v>
      </c>
      <c r="C4328" s="23" t="s">
        <v>176</v>
      </c>
      <c r="D4328" s="23" t="s">
        <v>1154</v>
      </c>
      <c r="E4328" s="23" t="s">
        <v>1155</v>
      </c>
      <c r="F4328">
        <v>15</v>
      </c>
      <c r="G4328" s="23" t="s">
        <v>177</v>
      </c>
      <c r="H4328">
        <v>0</v>
      </c>
      <c r="I4328">
        <v>31</v>
      </c>
      <c r="J4328" s="10">
        <v>20</v>
      </c>
      <c r="K4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4328">
        <v>0</v>
      </c>
      <c r="M43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1225</v>
      </c>
      <c r="N4328">
        <v>87.5</v>
      </c>
      <c r="O4328" s="23" t="s">
        <v>629</v>
      </c>
      <c r="P4328">
        <v>1312.5</v>
      </c>
      <c r="Q4328" s="23" t="s">
        <v>181</v>
      </c>
    </row>
    <row r="4329" spans="1:17" x14ac:dyDescent="0.25">
      <c r="A4329" s="23" t="s">
        <v>1094</v>
      </c>
      <c r="B4329" s="23" t="s">
        <v>1095</v>
      </c>
      <c r="C4329" s="23" t="s">
        <v>176</v>
      </c>
      <c r="D4329" s="23" t="s">
        <v>362</v>
      </c>
      <c r="E4329" s="23" t="s">
        <v>363</v>
      </c>
      <c r="F4329">
        <v>5.5</v>
      </c>
      <c r="G4329" s="23" t="s">
        <v>180</v>
      </c>
      <c r="H4329">
        <v>0</v>
      </c>
      <c r="I4329">
        <v>200</v>
      </c>
      <c r="J4329" s="10">
        <v>39.999999999999659</v>
      </c>
      <c r="K4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4329">
        <v>0</v>
      </c>
      <c r="M43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29">
        <v>22.5</v>
      </c>
      <c r="O4329" s="23" t="s">
        <v>315</v>
      </c>
      <c r="P4329">
        <v>123.75</v>
      </c>
      <c r="Q4329" s="23" t="s">
        <v>179</v>
      </c>
    </row>
    <row r="4330" spans="1:17" x14ac:dyDescent="0.25">
      <c r="A4330" s="23" t="s">
        <v>1142</v>
      </c>
      <c r="B4330" s="23" t="s">
        <v>1054</v>
      </c>
      <c r="C4330" s="23" t="s">
        <v>176</v>
      </c>
      <c r="D4330" s="23" t="s">
        <v>559</v>
      </c>
      <c r="E4330" s="23" t="s">
        <v>560</v>
      </c>
      <c r="F4330">
        <v>4.25</v>
      </c>
      <c r="G4330" s="23" t="s">
        <v>177</v>
      </c>
      <c r="H4330">
        <v>0</v>
      </c>
      <c r="I4330">
        <v>46</v>
      </c>
      <c r="J4330" s="10">
        <v>85.88</v>
      </c>
      <c r="K4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4330">
        <v>0</v>
      </c>
      <c r="M43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0">
        <v>55</v>
      </c>
      <c r="O4330" s="23" t="s">
        <v>242</v>
      </c>
      <c r="P4330">
        <v>233.75</v>
      </c>
      <c r="Q4330" s="23" t="s">
        <v>181</v>
      </c>
    </row>
    <row r="4331" spans="1:17" x14ac:dyDescent="0.25">
      <c r="A4331" s="23" t="s">
        <v>1057</v>
      </c>
      <c r="B4331" s="23" t="s">
        <v>1056</v>
      </c>
      <c r="C4331" s="23" t="s">
        <v>176</v>
      </c>
      <c r="D4331" s="23" t="s">
        <v>362</v>
      </c>
      <c r="E4331" s="23" t="s">
        <v>363</v>
      </c>
      <c r="F4331">
        <v>7.5</v>
      </c>
      <c r="G4331" s="23" t="s">
        <v>180</v>
      </c>
      <c r="H4331">
        <v>0</v>
      </c>
      <c r="I4331">
        <v>200</v>
      </c>
      <c r="J4331" s="10">
        <v>39.999999999999659</v>
      </c>
      <c r="K4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4331">
        <v>0</v>
      </c>
      <c r="M43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1">
        <v>22.5</v>
      </c>
      <c r="O4331" s="23" t="s">
        <v>315</v>
      </c>
      <c r="P4331">
        <v>168.75</v>
      </c>
      <c r="Q4331" s="23" t="s">
        <v>179</v>
      </c>
    </row>
    <row r="4332" spans="1:17" x14ac:dyDescent="0.25">
      <c r="A4332" s="23" t="s">
        <v>1057</v>
      </c>
      <c r="B4332" s="23" t="s">
        <v>1056</v>
      </c>
      <c r="C4332" s="23" t="s">
        <v>176</v>
      </c>
      <c r="D4332" s="23" t="s">
        <v>144</v>
      </c>
      <c r="E4332" s="23" t="s">
        <v>145</v>
      </c>
      <c r="F4332">
        <v>4</v>
      </c>
      <c r="G4332" s="23" t="s">
        <v>177</v>
      </c>
      <c r="H4332">
        <v>0</v>
      </c>
      <c r="I4332">
        <v>0</v>
      </c>
      <c r="J4332" s="10">
        <v>64</v>
      </c>
      <c r="K4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4332">
        <v>0</v>
      </c>
      <c r="M43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4332">
        <v>6.87</v>
      </c>
      <c r="O4332" s="23" t="s">
        <v>827</v>
      </c>
      <c r="P4332">
        <v>27.48</v>
      </c>
      <c r="Q4332" s="23" t="s">
        <v>222</v>
      </c>
    </row>
    <row r="4333" spans="1:17" x14ac:dyDescent="0.25">
      <c r="A4333" s="23" t="s">
        <v>1143</v>
      </c>
      <c r="B4333" s="23" t="s">
        <v>1054</v>
      </c>
      <c r="C4333" s="23" t="s">
        <v>176</v>
      </c>
      <c r="D4333" s="23" t="s">
        <v>144</v>
      </c>
      <c r="E4333" s="23" t="s">
        <v>145</v>
      </c>
      <c r="F4333">
        <v>2</v>
      </c>
      <c r="G4333" s="23" t="s">
        <v>177</v>
      </c>
      <c r="H4333">
        <v>0</v>
      </c>
      <c r="I4333">
        <v>0</v>
      </c>
      <c r="J4333" s="10">
        <v>64</v>
      </c>
      <c r="K4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4333">
        <v>0</v>
      </c>
      <c r="M43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4333">
        <v>6.87</v>
      </c>
      <c r="O4333" s="23" t="s">
        <v>827</v>
      </c>
      <c r="P4333">
        <v>13.74</v>
      </c>
      <c r="Q4333" s="23" t="s">
        <v>222</v>
      </c>
    </row>
    <row r="4334" spans="1:17" x14ac:dyDescent="0.25">
      <c r="A4334" s="23" t="s">
        <v>1096</v>
      </c>
      <c r="B4334" s="23" t="s">
        <v>1053</v>
      </c>
      <c r="C4334" s="23" t="s">
        <v>176</v>
      </c>
      <c r="D4334" s="23" t="s">
        <v>467</v>
      </c>
      <c r="E4334" s="23" t="s">
        <v>468</v>
      </c>
      <c r="F4334">
        <v>80</v>
      </c>
      <c r="G4334" s="23" t="s">
        <v>177</v>
      </c>
      <c r="H4334">
        <v>0</v>
      </c>
      <c r="I4334">
        <v>7500</v>
      </c>
      <c r="J4334" s="10">
        <v>0</v>
      </c>
      <c r="K4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4334">
        <v>0</v>
      </c>
      <c r="M43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4">
        <v>0.8</v>
      </c>
      <c r="O4334" s="23" t="s">
        <v>827</v>
      </c>
      <c r="P4334">
        <v>64</v>
      </c>
      <c r="Q4334" s="23" t="s">
        <v>181</v>
      </c>
    </row>
    <row r="4335" spans="1:17" x14ac:dyDescent="0.25">
      <c r="A4335" s="23" t="s">
        <v>1143</v>
      </c>
      <c r="B4335" s="23" t="s">
        <v>1054</v>
      </c>
      <c r="C4335" s="23" t="s">
        <v>176</v>
      </c>
      <c r="D4335" s="23" t="s">
        <v>467</v>
      </c>
      <c r="E4335" s="23" t="s">
        <v>468</v>
      </c>
      <c r="F4335">
        <v>105</v>
      </c>
      <c r="G4335" s="23" t="s">
        <v>177</v>
      </c>
      <c r="H4335">
        <v>0</v>
      </c>
      <c r="I4335">
        <v>7500</v>
      </c>
      <c r="J4335" s="10">
        <v>0</v>
      </c>
      <c r="K4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-5570</v>
      </c>
      <c r="L4335">
        <v>0</v>
      </c>
      <c r="M43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5">
        <v>0.8</v>
      </c>
      <c r="O4335" s="23" t="s">
        <v>827</v>
      </c>
      <c r="P4335">
        <v>84</v>
      </c>
      <c r="Q4335" s="23" t="s">
        <v>181</v>
      </c>
    </row>
    <row r="4336" spans="1:17" x14ac:dyDescent="0.25">
      <c r="A4336" s="23" t="s">
        <v>1143</v>
      </c>
      <c r="B4336" s="23" t="s">
        <v>1054</v>
      </c>
      <c r="C4336" s="23" t="s">
        <v>176</v>
      </c>
      <c r="D4336" s="23" t="s">
        <v>559</v>
      </c>
      <c r="E4336" s="23" t="s">
        <v>560</v>
      </c>
      <c r="F4336">
        <v>3.38</v>
      </c>
      <c r="G4336" s="23" t="s">
        <v>177</v>
      </c>
      <c r="H4336">
        <v>0</v>
      </c>
      <c r="I4336">
        <v>46</v>
      </c>
      <c r="J4336" s="10">
        <v>85.88</v>
      </c>
      <c r="K4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4336">
        <v>0</v>
      </c>
      <c r="M43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6">
        <v>55</v>
      </c>
      <c r="O4336" s="23" t="s">
        <v>242</v>
      </c>
      <c r="P4336">
        <v>185.9</v>
      </c>
      <c r="Q4336" s="23" t="s">
        <v>181</v>
      </c>
    </row>
    <row r="4337" spans="1:17" x14ac:dyDescent="0.25">
      <c r="A4337" s="23" t="s">
        <v>1149</v>
      </c>
      <c r="B4337" s="23" t="s">
        <v>1145</v>
      </c>
      <c r="C4337" s="23" t="s">
        <v>176</v>
      </c>
      <c r="D4337" s="23" t="s">
        <v>568</v>
      </c>
      <c r="E4337" s="23" t="s">
        <v>569</v>
      </c>
      <c r="F4337">
        <v>60</v>
      </c>
      <c r="G4337" s="23" t="s">
        <v>177</v>
      </c>
      <c r="H4337">
        <v>0</v>
      </c>
      <c r="I4337">
        <v>5000</v>
      </c>
      <c r="J4337" s="10">
        <v>0</v>
      </c>
      <c r="K4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337">
        <v>0</v>
      </c>
      <c r="M43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7">
        <v>0.6</v>
      </c>
      <c r="O4337" s="23" t="s">
        <v>242</v>
      </c>
      <c r="P4337">
        <v>36</v>
      </c>
      <c r="Q4337" s="23" t="s">
        <v>181</v>
      </c>
    </row>
    <row r="4338" spans="1:17" x14ac:dyDescent="0.25">
      <c r="A4338" s="23" t="s">
        <v>1146</v>
      </c>
      <c r="B4338" s="23" t="s">
        <v>1145</v>
      </c>
      <c r="C4338" s="23" t="s">
        <v>176</v>
      </c>
      <c r="D4338" s="23" t="s">
        <v>568</v>
      </c>
      <c r="E4338" s="23" t="s">
        <v>569</v>
      </c>
      <c r="F4338">
        <v>60</v>
      </c>
      <c r="G4338" s="23" t="s">
        <v>177</v>
      </c>
      <c r="H4338">
        <v>0</v>
      </c>
      <c r="I4338">
        <v>5000</v>
      </c>
      <c r="J4338" s="10">
        <v>0</v>
      </c>
      <c r="K4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338">
        <v>0</v>
      </c>
      <c r="M43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8">
        <v>0.6</v>
      </c>
      <c r="O4338" s="23" t="s">
        <v>242</v>
      </c>
      <c r="P4338">
        <v>36</v>
      </c>
      <c r="Q4338" s="23" t="s">
        <v>181</v>
      </c>
    </row>
    <row r="4339" spans="1:17" x14ac:dyDescent="0.25">
      <c r="A4339" s="23" t="s">
        <v>1149</v>
      </c>
      <c r="B4339" s="23" t="s">
        <v>1145</v>
      </c>
      <c r="C4339" s="23" t="s">
        <v>176</v>
      </c>
      <c r="D4339" s="23" t="s">
        <v>479</v>
      </c>
      <c r="E4339" s="23" t="s">
        <v>480</v>
      </c>
      <c r="F4339">
        <v>40</v>
      </c>
      <c r="G4339" s="23" t="s">
        <v>177</v>
      </c>
      <c r="H4339">
        <v>0</v>
      </c>
      <c r="I4339">
        <v>950</v>
      </c>
      <c r="J4339" s="10">
        <v>380</v>
      </c>
      <c r="K4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339">
        <v>0</v>
      </c>
      <c r="M43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39">
        <v>0.4</v>
      </c>
      <c r="O4339" s="23" t="s">
        <v>883</v>
      </c>
      <c r="P4339">
        <v>16</v>
      </c>
      <c r="Q4339" s="23" t="s">
        <v>181</v>
      </c>
    </row>
    <row r="4340" spans="1:17" x14ac:dyDescent="0.25">
      <c r="A4340" s="23" t="s">
        <v>1144</v>
      </c>
      <c r="B4340" s="23" t="s">
        <v>1145</v>
      </c>
      <c r="C4340" s="23" t="s">
        <v>176</v>
      </c>
      <c r="D4340" s="23" t="s">
        <v>615</v>
      </c>
      <c r="E4340" s="23" t="s">
        <v>616</v>
      </c>
      <c r="F4340">
        <v>1.5</v>
      </c>
      <c r="G4340" s="23" t="s">
        <v>186</v>
      </c>
      <c r="H4340">
        <v>0</v>
      </c>
      <c r="I4340">
        <v>72</v>
      </c>
      <c r="J4340" s="10">
        <v>7.0000000000000071</v>
      </c>
      <c r="K4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340">
        <v>0</v>
      </c>
      <c r="M43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0">
        <v>212.93</v>
      </c>
      <c r="O4340" s="23" t="s">
        <v>255</v>
      </c>
      <c r="P4340">
        <v>319.39499999999998</v>
      </c>
      <c r="Q4340" s="23" t="s">
        <v>182</v>
      </c>
    </row>
    <row r="4341" spans="1:17" x14ac:dyDescent="0.25">
      <c r="A4341" s="23" t="s">
        <v>1146</v>
      </c>
      <c r="B4341" s="23" t="s">
        <v>1145</v>
      </c>
      <c r="C4341" s="23" t="s">
        <v>176</v>
      </c>
      <c r="D4341" s="23" t="s">
        <v>615</v>
      </c>
      <c r="E4341" s="23" t="s">
        <v>616</v>
      </c>
      <c r="F4341">
        <v>1.5</v>
      </c>
      <c r="G4341" s="23" t="s">
        <v>186</v>
      </c>
      <c r="H4341">
        <v>0</v>
      </c>
      <c r="I4341">
        <v>72</v>
      </c>
      <c r="J4341" s="10">
        <v>7.0000000000000071</v>
      </c>
      <c r="K4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341">
        <v>0</v>
      </c>
      <c r="M43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1">
        <v>212.93</v>
      </c>
      <c r="O4341" s="23" t="s">
        <v>255</v>
      </c>
      <c r="P4341">
        <v>319.39499999999998</v>
      </c>
      <c r="Q4341" s="23" t="s">
        <v>182</v>
      </c>
    </row>
    <row r="4342" spans="1:17" x14ac:dyDescent="0.25">
      <c r="A4342" s="23" t="s">
        <v>1150</v>
      </c>
      <c r="B4342" s="23" t="s">
        <v>1145</v>
      </c>
      <c r="C4342" s="23" t="s">
        <v>176</v>
      </c>
      <c r="D4342" s="23" t="s">
        <v>479</v>
      </c>
      <c r="E4342" s="23" t="s">
        <v>480</v>
      </c>
      <c r="F4342">
        <v>40</v>
      </c>
      <c r="G4342" s="23" t="s">
        <v>177</v>
      </c>
      <c r="H4342">
        <v>0</v>
      </c>
      <c r="I4342">
        <v>950</v>
      </c>
      <c r="J4342" s="10">
        <v>380</v>
      </c>
      <c r="K4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342">
        <v>0</v>
      </c>
      <c r="M43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2">
        <v>0.4</v>
      </c>
      <c r="O4342" s="23" t="s">
        <v>883</v>
      </c>
      <c r="P4342">
        <v>16</v>
      </c>
      <c r="Q4342" s="23" t="s">
        <v>181</v>
      </c>
    </row>
    <row r="4343" spans="1:17" x14ac:dyDescent="0.25">
      <c r="A4343" s="23" t="s">
        <v>1150</v>
      </c>
      <c r="B4343" s="23" t="s">
        <v>1145</v>
      </c>
      <c r="C4343" s="23" t="s">
        <v>176</v>
      </c>
      <c r="D4343" s="23" t="s">
        <v>568</v>
      </c>
      <c r="E4343" s="23" t="s">
        <v>569</v>
      </c>
      <c r="F4343">
        <v>60</v>
      </c>
      <c r="G4343" s="23" t="s">
        <v>177</v>
      </c>
      <c r="H4343">
        <v>0</v>
      </c>
      <c r="I4343">
        <v>5000</v>
      </c>
      <c r="J4343" s="10">
        <v>0</v>
      </c>
      <c r="K4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343">
        <v>0</v>
      </c>
      <c r="M43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3">
        <v>0.6</v>
      </c>
      <c r="O4343" s="23" t="s">
        <v>242</v>
      </c>
      <c r="P4343">
        <v>36</v>
      </c>
      <c r="Q4343" s="23" t="s">
        <v>181</v>
      </c>
    </row>
    <row r="4344" spans="1:17" x14ac:dyDescent="0.25">
      <c r="A4344" s="23" t="s">
        <v>1150</v>
      </c>
      <c r="B4344" s="23" t="s">
        <v>1145</v>
      </c>
      <c r="C4344" s="23" t="s">
        <v>176</v>
      </c>
      <c r="D4344" s="23" t="s">
        <v>615</v>
      </c>
      <c r="E4344" s="23" t="s">
        <v>616</v>
      </c>
      <c r="F4344">
        <v>1.5</v>
      </c>
      <c r="G4344" s="23" t="s">
        <v>186</v>
      </c>
      <c r="H4344">
        <v>0</v>
      </c>
      <c r="I4344">
        <v>72</v>
      </c>
      <c r="J4344" s="10">
        <v>7.0000000000000071</v>
      </c>
      <c r="K4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344">
        <v>0</v>
      </c>
      <c r="M43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4">
        <v>212.93</v>
      </c>
      <c r="O4344" s="23" t="s">
        <v>255</v>
      </c>
      <c r="P4344">
        <v>319.39499999999998</v>
      </c>
      <c r="Q4344" s="23" t="s">
        <v>182</v>
      </c>
    </row>
    <row r="4345" spans="1:17" x14ac:dyDescent="0.25">
      <c r="A4345" s="23" t="s">
        <v>1149</v>
      </c>
      <c r="B4345" s="23" t="s">
        <v>1145</v>
      </c>
      <c r="C4345" s="23" t="s">
        <v>176</v>
      </c>
      <c r="D4345" s="23" t="s">
        <v>583</v>
      </c>
      <c r="E4345" s="23" t="s">
        <v>584</v>
      </c>
      <c r="F4345">
        <v>5.9</v>
      </c>
      <c r="G4345" s="23" t="s">
        <v>186</v>
      </c>
      <c r="H4345">
        <v>0</v>
      </c>
      <c r="I4345">
        <v>100</v>
      </c>
      <c r="J4345" s="10">
        <v>197.39999999999992</v>
      </c>
      <c r="K4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345">
        <v>100</v>
      </c>
      <c r="M43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5">
        <v>232.75</v>
      </c>
      <c r="O4345" s="23" t="s">
        <v>491</v>
      </c>
      <c r="P4345">
        <v>1373.2250000000001</v>
      </c>
      <c r="Q4345" s="23" t="s">
        <v>184</v>
      </c>
    </row>
    <row r="4346" spans="1:17" x14ac:dyDescent="0.25">
      <c r="A4346" s="23" t="s">
        <v>1100</v>
      </c>
      <c r="B4346" s="23" t="s">
        <v>1101</v>
      </c>
      <c r="C4346" s="23" t="s">
        <v>176</v>
      </c>
      <c r="D4346" s="23" t="s">
        <v>479</v>
      </c>
      <c r="E4346" s="23" t="s">
        <v>480</v>
      </c>
      <c r="F4346">
        <v>50</v>
      </c>
      <c r="G4346" s="23" t="s">
        <v>177</v>
      </c>
      <c r="H4346">
        <v>0</v>
      </c>
      <c r="I4346">
        <v>950</v>
      </c>
      <c r="J4346" s="10">
        <v>380</v>
      </c>
      <c r="K4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346">
        <v>0</v>
      </c>
      <c r="M43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6">
        <v>0.4</v>
      </c>
      <c r="O4346" s="23" t="s">
        <v>883</v>
      </c>
      <c r="P4346">
        <v>20</v>
      </c>
      <c r="Q4346" s="23" t="s">
        <v>181</v>
      </c>
    </row>
    <row r="4347" spans="1:17" x14ac:dyDescent="0.25">
      <c r="A4347" s="23" t="s">
        <v>1058</v>
      </c>
      <c r="B4347" s="23" t="s">
        <v>1059</v>
      </c>
      <c r="C4347" s="23" t="s">
        <v>176</v>
      </c>
      <c r="D4347" s="23" t="s">
        <v>615</v>
      </c>
      <c r="E4347" s="23" t="s">
        <v>616</v>
      </c>
      <c r="F4347">
        <v>1.5</v>
      </c>
      <c r="G4347" s="23" t="s">
        <v>186</v>
      </c>
      <c r="H4347">
        <v>0</v>
      </c>
      <c r="I4347">
        <v>72</v>
      </c>
      <c r="J4347" s="10">
        <v>7.0000000000000071</v>
      </c>
      <c r="K4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347">
        <v>0</v>
      </c>
      <c r="M43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7">
        <v>212.93</v>
      </c>
      <c r="O4347" s="23" t="s">
        <v>255</v>
      </c>
      <c r="P4347">
        <v>319.39499999999998</v>
      </c>
      <c r="Q4347" s="23" t="s">
        <v>182</v>
      </c>
    </row>
    <row r="4348" spans="1:17" x14ac:dyDescent="0.25">
      <c r="A4348" s="23" t="s">
        <v>1147</v>
      </c>
      <c r="B4348" s="23" t="s">
        <v>1145</v>
      </c>
      <c r="C4348" s="23" t="s">
        <v>176</v>
      </c>
      <c r="D4348" s="23" t="s">
        <v>583</v>
      </c>
      <c r="E4348" s="23" t="s">
        <v>584</v>
      </c>
      <c r="F4348">
        <v>5.9</v>
      </c>
      <c r="G4348" s="23" t="s">
        <v>186</v>
      </c>
      <c r="H4348">
        <v>0</v>
      </c>
      <c r="I4348">
        <v>100</v>
      </c>
      <c r="J4348" s="10">
        <v>197.39999999999992</v>
      </c>
      <c r="K4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348">
        <v>100</v>
      </c>
      <c r="M43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8">
        <v>232.75</v>
      </c>
      <c r="O4348" s="23" t="s">
        <v>491</v>
      </c>
      <c r="P4348">
        <v>1373.2250000000001</v>
      </c>
      <c r="Q4348" s="23" t="s">
        <v>184</v>
      </c>
    </row>
    <row r="4349" spans="1:17" x14ac:dyDescent="0.25">
      <c r="A4349" s="23" t="s">
        <v>1149</v>
      </c>
      <c r="B4349" s="23" t="s">
        <v>1145</v>
      </c>
      <c r="C4349" s="23" t="s">
        <v>176</v>
      </c>
      <c r="D4349" s="23" t="s">
        <v>615</v>
      </c>
      <c r="E4349" s="23" t="s">
        <v>616</v>
      </c>
      <c r="F4349">
        <v>1.5</v>
      </c>
      <c r="G4349" s="23" t="s">
        <v>186</v>
      </c>
      <c r="H4349">
        <v>0</v>
      </c>
      <c r="I4349">
        <v>72</v>
      </c>
      <c r="J4349" s="10">
        <v>7.0000000000000071</v>
      </c>
      <c r="K4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349">
        <v>0</v>
      </c>
      <c r="M43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49">
        <v>212.93</v>
      </c>
      <c r="O4349" s="23" t="s">
        <v>255</v>
      </c>
      <c r="P4349">
        <v>319.39499999999998</v>
      </c>
      <c r="Q4349" s="23" t="s">
        <v>182</v>
      </c>
    </row>
    <row r="4350" spans="1:17" x14ac:dyDescent="0.25">
      <c r="A4350" s="23" t="s">
        <v>1144</v>
      </c>
      <c r="B4350" s="23" t="s">
        <v>1145</v>
      </c>
      <c r="C4350" s="23" t="s">
        <v>176</v>
      </c>
      <c r="D4350" s="23" t="s">
        <v>583</v>
      </c>
      <c r="E4350" s="23" t="s">
        <v>584</v>
      </c>
      <c r="F4350">
        <v>5.9</v>
      </c>
      <c r="G4350" s="23" t="s">
        <v>186</v>
      </c>
      <c r="H4350">
        <v>0</v>
      </c>
      <c r="I4350">
        <v>100</v>
      </c>
      <c r="J4350" s="10">
        <v>197.39999999999992</v>
      </c>
      <c r="K4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350">
        <v>100</v>
      </c>
      <c r="M43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0">
        <v>232.75</v>
      </c>
      <c r="O4350" s="23" t="s">
        <v>491</v>
      </c>
      <c r="P4350">
        <v>1373.2250000000001</v>
      </c>
      <c r="Q4350" s="23" t="s">
        <v>184</v>
      </c>
    </row>
    <row r="4351" spans="1:17" x14ac:dyDescent="0.25">
      <c r="A4351" s="23" t="s">
        <v>1146</v>
      </c>
      <c r="B4351" s="23" t="s">
        <v>1145</v>
      </c>
      <c r="C4351" s="23" t="s">
        <v>176</v>
      </c>
      <c r="D4351" s="23" t="s">
        <v>583</v>
      </c>
      <c r="E4351" s="23" t="s">
        <v>584</v>
      </c>
      <c r="F4351">
        <v>5.9</v>
      </c>
      <c r="G4351" s="23" t="s">
        <v>186</v>
      </c>
      <c r="H4351">
        <v>0</v>
      </c>
      <c r="I4351">
        <v>100</v>
      </c>
      <c r="J4351" s="10">
        <v>197.39999999999992</v>
      </c>
      <c r="K4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351">
        <v>100</v>
      </c>
      <c r="M43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1">
        <v>232.75</v>
      </c>
      <c r="O4351" s="23" t="s">
        <v>491</v>
      </c>
      <c r="P4351">
        <v>1373.2250000000001</v>
      </c>
      <c r="Q4351" s="23" t="s">
        <v>184</v>
      </c>
    </row>
    <row r="4352" spans="1:17" x14ac:dyDescent="0.25">
      <c r="A4352" s="23" t="s">
        <v>1147</v>
      </c>
      <c r="B4352" s="23" t="s">
        <v>1145</v>
      </c>
      <c r="C4352" s="23" t="s">
        <v>176</v>
      </c>
      <c r="D4352" s="23" t="s">
        <v>976</v>
      </c>
      <c r="E4352" s="23" t="s">
        <v>977</v>
      </c>
      <c r="F4352">
        <v>4</v>
      </c>
      <c r="G4352" s="23" t="s">
        <v>177</v>
      </c>
      <c r="H4352">
        <v>0</v>
      </c>
      <c r="I4352">
        <v>0</v>
      </c>
      <c r="J4352" s="10">
        <v>0</v>
      </c>
      <c r="K4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4352">
        <v>0</v>
      </c>
      <c r="M43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32042.879999999997</v>
      </c>
      <c r="N4352">
        <v>2670.24</v>
      </c>
      <c r="O4352" s="23" t="s">
        <v>978</v>
      </c>
      <c r="P4352">
        <v>10680.96</v>
      </c>
      <c r="Q4352" s="23" t="s">
        <v>182</v>
      </c>
    </row>
    <row r="4353" spans="1:17" x14ac:dyDescent="0.25">
      <c r="A4353" s="23" t="s">
        <v>1058</v>
      </c>
      <c r="B4353" s="23" t="s">
        <v>1059</v>
      </c>
      <c r="C4353" s="23" t="s">
        <v>176</v>
      </c>
      <c r="D4353" s="23" t="s">
        <v>511</v>
      </c>
      <c r="E4353" s="23" t="s">
        <v>512</v>
      </c>
      <c r="F4353">
        <v>2</v>
      </c>
      <c r="G4353" s="23" t="s">
        <v>177</v>
      </c>
      <c r="H4353">
        <v>0</v>
      </c>
      <c r="I4353">
        <v>0</v>
      </c>
      <c r="J4353" s="10">
        <v>14</v>
      </c>
      <c r="K4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53">
        <v>0</v>
      </c>
      <c r="M43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53">
        <v>6.87</v>
      </c>
      <c r="O4353" s="23" t="s">
        <v>827</v>
      </c>
      <c r="P4353">
        <v>13.74</v>
      </c>
      <c r="Q4353" s="23" t="s">
        <v>222</v>
      </c>
    </row>
    <row r="4354" spans="1:17" x14ac:dyDescent="0.25">
      <c r="A4354" s="23" t="s">
        <v>1149</v>
      </c>
      <c r="B4354" s="23" t="s">
        <v>1145</v>
      </c>
      <c r="C4354" s="23" t="s">
        <v>176</v>
      </c>
      <c r="D4354" s="23" t="s">
        <v>511</v>
      </c>
      <c r="E4354" s="23" t="s">
        <v>512</v>
      </c>
      <c r="F4354">
        <v>2</v>
      </c>
      <c r="G4354" s="23" t="s">
        <v>177</v>
      </c>
      <c r="H4354">
        <v>0</v>
      </c>
      <c r="I4354">
        <v>0</v>
      </c>
      <c r="J4354" s="10">
        <v>14</v>
      </c>
      <c r="K4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54">
        <v>0</v>
      </c>
      <c r="M43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54">
        <v>6.87</v>
      </c>
      <c r="O4354" s="23" t="s">
        <v>827</v>
      </c>
      <c r="P4354">
        <v>13.74</v>
      </c>
      <c r="Q4354" s="23" t="s">
        <v>222</v>
      </c>
    </row>
    <row r="4355" spans="1:17" x14ac:dyDescent="0.25">
      <c r="A4355" s="23" t="s">
        <v>1149</v>
      </c>
      <c r="B4355" s="23" t="s">
        <v>1145</v>
      </c>
      <c r="C4355" s="23" t="s">
        <v>176</v>
      </c>
      <c r="D4355" s="23" t="s">
        <v>134</v>
      </c>
      <c r="E4355" s="23" t="s">
        <v>311</v>
      </c>
      <c r="F4355">
        <v>1</v>
      </c>
      <c r="G4355" s="23" t="s">
        <v>177</v>
      </c>
      <c r="H4355">
        <v>0</v>
      </c>
      <c r="I4355">
        <v>16</v>
      </c>
      <c r="J4355" s="10">
        <v>8</v>
      </c>
      <c r="K4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55">
        <v>0</v>
      </c>
      <c r="M43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5">
        <v>224.46</v>
      </c>
      <c r="O4355" s="23" t="s">
        <v>827</v>
      </c>
      <c r="P4355">
        <v>224.46</v>
      </c>
      <c r="Q4355" s="23" t="s">
        <v>222</v>
      </c>
    </row>
    <row r="4356" spans="1:17" x14ac:dyDescent="0.25">
      <c r="A4356" s="23" t="s">
        <v>1146</v>
      </c>
      <c r="B4356" s="23" t="s">
        <v>1145</v>
      </c>
      <c r="C4356" s="23" t="s">
        <v>176</v>
      </c>
      <c r="D4356" s="23" t="s">
        <v>134</v>
      </c>
      <c r="E4356" s="23" t="s">
        <v>311</v>
      </c>
      <c r="F4356">
        <v>1</v>
      </c>
      <c r="G4356" s="23" t="s">
        <v>177</v>
      </c>
      <c r="H4356">
        <v>0</v>
      </c>
      <c r="I4356">
        <v>16</v>
      </c>
      <c r="J4356" s="10">
        <v>8</v>
      </c>
      <c r="K4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56">
        <v>0</v>
      </c>
      <c r="M43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6">
        <v>224.46</v>
      </c>
      <c r="O4356" s="23" t="s">
        <v>827</v>
      </c>
      <c r="P4356">
        <v>224.46</v>
      </c>
      <c r="Q4356" s="23" t="s">
        <v>222</v>
      </c>
    </row>
    <row r="4357" spans="1:17" x14ac:dyDescent="0.25">
      <c r="A4357" s="23" t="s">
        <v>1150</v>
      </c>
      <c r="B4357" s="23" t="s">
        <v>1145</v>
      </c>
      <c r="C4357" s="23" t="s">
        <v>176</v>
      </c>
      <c r="D4357" s="23" t="s">
        <v>511</v>
      </c>
      <c r="E4357" s="23" t="s">
        <v>512</v>
      </c>
      <c r="F4357">
        <v>2</v>
      </c>
      <c r="G4357" s="23" t="s">
        <v>177</v>
      </c>
      <c r="H4357">
        <v>0</v>
      </c>
      <c r="I4357">
        <v>0</v>
      </c>
      <c r="J4357" s="10">
        <v>14</v>
      </c>
      <c r="K4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57">
        <v>0</v>
      </c>
      <c r="M43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57">
        <v>6.87</v>
      </c>
      <c r="O4357" s="23" t="s">
        <v>827</v>
      </c>
      <c r="P4357">
        <v>13.74</v>
      </c>
      <c r="Q4357" s="23" t="s">
        <v>222</v>
      </c>
    </row>
    <row r="4358" spans="1:17" x14ac:dyDescent="0.25">
      <c r="A4358" s="23" t="s">
        <v>1098</v>
      </c>
      <c r="B4358" s="23" t="s">
        <v>1053</v>
      </c>
      <c r="C4358" s="23" t="s">
        <v>176</v>
      </c>
      <c r="D4358" s="23" t="s">
        <v>134</v>
      </c>
      <c r="E4358" s="23" t="s">
        <v>311</v>
      </c>
      <c r="F4358">
        <v>1</v>
      </c>
      <c r="G4358" s="23" t="s">
        <v>177</v>
      </c>
      <c r="H4358">
        <v>0</v>
      </c>
      <c r="I4358">
        <v>16</v>
      </c>
      <c r="J4358" s="10">
        <v>8</v>
      </c>
      <c r="K4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58">
        <v>0</v>
      </c>
      <c r="M43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8">
        <v>224.46</v>
      </c>
      <c r="O4358" s="23" t="s">
        <v>827</v>
      </c>
      <c r="P4358">
        <v>224.46</v>
      </c>
      <c r="Q4358" s="23" t="s">
        <v>222</v>
      </c>
    </row>
    <row r="4359" spans="1:17" x14ac:dyDescent="0.25">
      <c r="A4359" s="23" t="s">
        <v>1150</v>
      </c>
      <c r="B4359" s="23" t="s">
        <v>1145</v>
      </c>
      <c r="C4359" s="23" t="s">
        <v>176</v>
      </c>
      <c r="D4359" s="23" t="s">
        <v>134</v>
      </c>
      <c r="E4359" s="23" t="s">
        <v>311</v>
      </c>
      <c r="F4359">
        <v>1</v>
      </c>
      <c r="G4359" s="23" t="s">
        <v>177</v>
      </c>
      <c r="H4359">
        <v>0</v>
      </c>
      <c r="I4359">
        <v>16</v>
      </c>
      <c r="J4359" s="10">
        <v>8</v>
      </c>
      <c r="K4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59">
        <v>0</v>
      </c>
      <c r="M43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59">
        <v>224.46</v>
      </c>
      <c r="O4359" s="23" t="s">
        <v>827</v>
      </c>
      <c r="P4359">
        <v>224.46</v>
      </c>
      <c r="Q4359" s="23" t="s">
        <v>222</v>
      </c>
    </row>
    <row r="4360" spans="1:17" x14ac:dyDescent="0.25">
      <c r="A4360" s="23" t="s">
        <v>1148</v>
      </c>
      <c r="B4360" s="23" t="s">
        <v>1054</v>
      </c>
      <c r="C4360" s="23" t="s">
        <v>176</v>
      </c>
      <c r="D4360" s="23" t="s">
        <v>711</v>
      </c>
      <c r="E4360" s="23" t="s">
        <v>712</v>
      </c>
      <c r="F4360">
        <v>1</v>
      </c>
      <c r="G4360" s="23" t="s">
        <v>177</v>
      </c>
      <c r="H4360">
        <v>0</v>
      </c>
      <c r="I4360">
        <v>0</v>
      </c>
      <c r="J4360" s="10">
        <v>2</v>
      </c>
      <c r="K4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360">
        <v>0</v>
      </c>
      <c r="M43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4360">
        <v>23970</v>
      </c>
      <c r="O4360" s="23" t="s">
        <v>1196</v>
      </c>
      <c r="P4360">
        <v>23970</v>
      </c>
      <c r="Q4360" s="23" t="s">
        <v>178</v>
      </c>
    </row>
    <row r="4361" spans="1:17" x14ac:dyDescent="0.25">
      <c r="A4361" s="23" t="s">
        <v>1197</v>
      </c>
      <c r="B4361" s="23" t="s">
        <v>1198</v>
      </c>
      <c r="C4361" s="23" t="s">
        <v>176</v>
      </c>
      <c r="D4361" s="23" t="s">
        <v>134</v>
      </c>
      <c r="E4361" s="23" t="s">
        <v>311</v>
      </c>
      <c r="F4361">
        <v>1</v>
      </c>
      <c r="G4361" s="23" t="s">
        <v>177</v>
      </c>
      <c r="H4361">
        <v>0</v>
      </c>
      <c r="I4361">
        <v>16</v>
      </c>
      <c r="J4361" s="10">
        <v>8</v>
      </c>
      <c r="K4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61">
        <v>0</v>
      </c>
      <c r="M43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1">
        <v>224.46</v>
      </c>
      <c r="O4361" s="23" t="s">
        <v>827</v>
      </c>
      <c r="P4361">
        <v>224.46</v>
      </c>
      <c r="Q4361" s="23" t="s">
        <v>222</v>
      </c>
    </row>
    <row r="4362" spans="1:17" x14ac:dyDescent="0.25">
      <c r="A4362" s="23" t="s">
        <v>1057</v>
      </c>
      <c r="B4362" s="23" t="s">
        <v>1056</v>
      </c>
      <c r="C4362" s="23" t="s">
        <v>176</v>
      </c>
      <c r="D4362" s="23" t="s">
        <v>986</v>
      </c>
      <c r="E4362" s="23" t="s">
        <v>987</v>
      </c>
      <c r="F4362">
        <v>2</v>
      </c>
      <c r="G4362" s="23" t="s">
        <v>186</v>
      </c>
      <c r="H4362">
        <v>2</v>
      </c>
      <c r="I4362">
        <v>139</v>
      </c>
      <c r="J4362" s="10">
        <v>45.500000000000043</v>
      </c>
      <c r="K4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4362">
        <v>0</v>
      </c>
      <c r="M43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2">
        <v>233.95</v>
      </c>
      <c r="O4362" s="23" t="s">
        <v>491</v>
      </c>
      <c r="P4362">
        <v>467.9</v>
      </c>
      <c r="Q4362" s="23" t="s">
        <v>184</v>
      </c>
    </row>
    <row r="4363" spans="1:17" x14ac:dyDescent="0.25">
      <c r="A4363" s="23" t="s">
        <v>1094</v>
      </c>
      <c r="B4363" s="23" t="s">
        <v>1095</v>
      </c>
      <c r="C4363" s="23" t="s">
        <v>176</v>
      </c>
      <c r="D4363" s="23" t="s">
        <v>511</v>
      </c>
      <c r="E4363" s="23" t="s">
        <v>512</v>
      </c>
      <c r="F4363">
        <v>2</v>
      </c>
      <c r="G4363" s="23" t="s">
        <v>177</v>
      </c>
      <c r="H4363">
        <v>0</v>
      </c>
      <c r="I4363">
        <v>0</v>
      </c>
      <c r="J4363" s="10">
        <v>14</v>
      </c>
      <c r="K4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63">
        <v>0</v>
      </c>
      <c r="M43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63">
        <v>6.87</v>
      </c>
      <c r="O4363" s="23" t="s">
        <v>827</v>
      </c>
      <c r="P4363">
        <v>13.74</v>
      </c>
      <c r="Q4363" s="23" t="s">
        <v>222</v>
      </c>
    </row>
    <row r="4364" spans="1:17" x14ac:dyDescent="0.25">
      <c r="A4364" s="23" t="s">
        <v>1055</v>
      </c>
      <c r="B4364" s="23" t="s">
        <v>1056</v>
      </c>
      <c r="C4364" s="23" t="s">
        <v>176</v>
      </c>
      <c r="D4364" s="23" t="s">
        <v>511</v>
      </c>
      <c r="E4364" s="23" t="s">
        <v>512</v>
      </c>
      <c r="F4364">
        <v>2</v>
      </c>
      <c r="G4364" s="23" t="s">
        <v>177</v>
      </c>
      <c r="H4364">
        <v>0</v>
      </c>
      <c r="I4364">
        <v>0</v>
      </c>
      <c r="J4364" s="10">
        <v>14</v>
      </c>
      <c r="K4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64">
        <v>0</v>
      </c>
      <c r="M43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64">
        <v>6.87</v>
      </c>
      <c r="O4364" s="23" t="s">
        <v>827</v>
      </c>
      <c r="P4364">
        <v>13.74</v>
      </c>
      <c r="Q4364" s="23" t="s">
        <v>222</v>
      </c>
    </row>
    <row r="4365" spans="1:17" x14ac:dyDescent="0.25">
      <c r="A4365" s="23" t="s">
        <v>1099</v>
      </c>
      <c r="B4365" s="23" t="s">
        <v>1056</v>
      </c>
      <c r="C4365" s="23" t="s">
        <v>176</v>
      </c>
      <c r="D4365" s="23" t="s">
        <v>511</v>
      </c>
      <c r="E4365" s="23" t="s">
        <v>512</v>
      </c>
      <c r="F4365">
        <v>2</v>
      </c>
      <c r="G4365" s="23" t="s">
        <v>177</v>
      </c>
      <c r="H4365">
        <v>0</v>
      </c>
      <c r="I4365">
        <v>0</v>
      </c>
      <c r="J4365" s="10">
        <v>14</v>
      </c>
      <c r="K4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65">
        <v>0</v>
      </c>
      <c r="M43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65">
        <v>6.87</v>
      </c>
      <c r="O4365" s="23" t="s">
        <v>827</v>
      </c>
      <c r="P4365">
        <v>13.74</v>
      </c>
      <c r="Q4365" s="23" t="s">
        <v>222</v>
      </c>
    </row>
    <row r="4366" spans="1:17" x14ac:dyDescent="0.25">
      <c r="A4366" s="23" t="s">
        <v>1100</v>
      </c>
      <c r="B4366" s="23" t="s">
        <v>1101</v>
      </c>
      <c r="C4366" s="23" t="s">
        <v>176</v>
      </c>
      <c r="D4366" s="23" t="s">
        <v>134</v>
      </c>
      <c r="E4366" s="23" t="s">
        <v>311</v>
      </c>
      <c r="F4366">
        <v>1</v>
      </c>
      <c r="G4366" s="23" t="s">
        <v>177</v>
      </c>
      <c r="H4366">
        <v>0</v>
      </c>
      <c r="I4366">
        <v>16</v>
      </c>
      <c r="J4366" s="10">
        <v>8</v>
      </c>
      <c r="K4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66">
        <v>0</v>
      </c>
      <c r="M43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6">
        <v>224.46</v>
      </c>
      <c r="O4366" s="23" t="s">
        <v>827</v>
      </c>
      <c r="P4366">
        <v>224.46</v>
      </c>
      <c r="Q4366" s="23" t="s">
        <v>222</v>
      </c>
    </row>
    <row r="4367" spans="1:17" x14ac:dyDescent="0.25">
      <c r="A4367" s="23" t="s">
        <v>1144</v>
      </c>
      <c r="B4367" s="23" t="s">
        <v>1145</v>
      </c>
      <c r="C4367" s="23" t="s">
        <v>176</v>
      </c>
      <c r="D4367" s="23" t="s">
        <v>511</v>
      </c>
      <c r="E4367" s="23" t="s">
        <v>512</v>
      </c>
      <c r="F4367">
        <v>2</v>
      </c>
      <c r="G4367" s="23" t="s">
        <v>177</v>
      </c>
      <c r="H4367">
        <v>0</v>
      </c>
      <c r="I4367">
        <v>0</v>
      </c>
      <c r="J4367" s="10">
        <v>14</v>
      </c>
      <c r="K4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67">
        <v>0</v>
      </c>
      <c r="M43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67">
        <v>6.87</v>
      </c>
      <c r="O4367" s="23" t="s">
        <v>827</v>
      </c>
      <c r="P4367">
        <v>13.74</v>
      </c>
      <c r="Q4367" s="23" t="s">
        <v>222</v>
      </c>
    </row>
    <row r="4368" spans="1:17" x14ac:dyDescent="0.25">
      <c r="A4368" s="23" t="s">
        <v>1146</v>
      </c>
      <c r="B4368" s="23" t="s">
        <v>1145</v>
      </c>
      <c r="C4368" s="23" t="s">
        <v>176</v>
      </c>
      <c r="D4368" s="23" t="s">
        <v>511</v>
      </c>
      <c r="E4368" s="23" t="s">
        <v>512</v>
      </c>
      <c r="F4368">
        <v>2</v>
      </c>
      <c r="G4368" s="23" t="s">
        <v>177</v>
      </c>
      <c r="H4368">
        <v>0</v>
      </c>
      <c r="I4368">
        <v>0</v>
      </c>
      <c r="J4368" s="10">
        <v>14</v>
      </c>
      <c r="K4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68">
        <v>0</v>
      </c>
      <c r="M43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68">
        <v>6.87</v>
      </c>
      <c r="O4368" s="23" t="s">
        <v>827</v>
      </c>
      <c r="P4368">
        <v>13.74</v>
      </c>
      <c r="Q4368" s="23" t="s">
        <v>222</v>
      </c>
    </row>
    <row r="4369" spans="1:17" x14ac:dyDescent="0.25">
      <c r="A4369" s="23" t="s">
        <v>1144</v>
      </c>
      <c r="B4369" s="23" t="s">
        <v>1145</v>
      </c>
      <c r="C4369" s="23" t="s">
        <v>176</v>
      </c>
      <c r="D4369" s="23" t="s">
        <v>134</v>
      </c>
      <c r="E4369" s="23" t="s">
        <v>311</v>
      </c>
      <c r="F4369">
        <v>1</v>
      </c>
      <c r="G4369" s="23" t="s">
        <v>177</v>
      </c>
      <c r="H4369">
        <v>0</v>
      </c>
      <c r="I4369">
        <v>16</v>
      </c>
      <c r="J4369" s="10">
        <v>8</v>
      </c>
      <c r="K4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69">
        <v>0</v>
      </c>
      <c r="M43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69">
        <v>224.46</v>
      </c>
      <c r="O4369" s="23" t="s">
        <v>827</v>
      </c>
      <c r="P4369">
        <v>224.46</v>
      </c>
      <c r="Q4369" s="23" t="s">
        <v>222</v>
      </c>
    </row>
    <row r="4370" spans="1:17" x14ac:dyDescent="0.25">
      <c r="A4370" s="23" t="s">
        <v>1180</v>
      </c>
      <c r="B4370" s="23" t="s">
        <v>1181</v>
      </c>
      <c r="C4370" s="23" t="s">
        <v>176</v>
      </c>
      <c r="D4370" s="23" t="s">
        <v>711</v>
      </c>
      <c r="E4370" s="23" t="s">
        <v>712</v>
      </c>
      <c r="F4370">
        <v>1</v>
      </c>
      <c r="G4370" s="23" t="s">
        <v>177</v>
      </c>
      <c r="H4370">
        <v>0</v>
      </c>
      <c r="I4370">
        <v>0</v>
      </c>
      <c r="J4370" s="10">
        <v>2</v>
      </c>
      <c r="K4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370">
        <v>0</v>
      </c>
      <c r="M43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4370">
        <v>23970</v>
      </c>
      <c r="O4370" s="23" t="s">
        <v>1196</v>
      </c>
      <c r="P4370">
        <v>23970</v>
      </c>
      <c r="Q4370" s="23" t="s">
        <v>178</v>
      </c>
    </row>
    <row r="4371" spans="1:17" x14ac:dyDescent="0.25">
      <c r="A4371" s="23" t="s">
        <v>1097</v>
      </c>
      <c r="B4371" s="23" t="s">
        <v>1095</v>
      </c>
      <c r="C4371" s="23" t="s">
        <v>176</v>
      </c>
      <c r="D4371" s="23" t="s">
        <v>134</v>
      </c>
      <c r="E4371" s="23" t="s">
        <v>311</v>
      </c>
      <c r="F4371">
        <v>1</v>
      </c>
      <c r="G4371" s="23" t="s">
        <v>177</v>
      </c>
      <c r="H4371">
        <v>0</v>
      </c>
      <c r="I4371">
        <v>16</v>
      </c>
      <c r="J4371" s="10">
        <v>8</v>
      </c>
      <c r="K4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371">
        <v>0</v>
      </c>
      <c r="M43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1">
        <v>224.46</v>
      </c>
      <c r="O4371" s="23" t="s">
        <v>827</v>
      </c>
      <c r="P4371">
        <v>224.46</v>
      </c>
      <c r="Q4371" s="23" t="s">
        <v>222</v>
      </c>
    </row>
    <row r="4372" spans="1:17" x14ac:dyDescent="0.25">
      <c r="A4372" s="23" t="s">
        <v>1098</v>
      </c>
      <c r="B4372" s="23" t="s">
        <v>1053</v>
      </c>
      <c r="C4372" s="23" t="s">
        <v>176</v>
      </c>
      <c r="D4372" s="23" t="s">
        <v>711</v>
      </c>
      <c r="E4372" s="23" t="s">
        <v>712</v>
      </c>
      <c r="F4372">
        <v>1</v>
      </c>
      <c r="G4372" s="23" t="s">
        <v>177</v>
      </c>
      <c r="H4372">
        <v>0</v>
      </c>
      <c r="I4372">
        <v>0</v>
      </c>
      <c r="J4372" s="10">
        <v>2</v>
      </c>
      <c r="K4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4372">
        <v>0</v>
      </c>
      <c r="M43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4372">
        <v>23970</v>
      </c>
      <c r="O4372" s="23" t="s">
        <v>1196</v>
      </c>
      <c r="P4372">
        <v>23970</v>
      </c>
      <c r="Q4372" s="23" t="s">
        <v>178</v>
      </c>
    </row>
    <row r="4373" spans="1:17" x14ac:dyDescent="0.25">
      <c r="A4373" s="23" t="s">
        <v>1142</v>
      </c>
      <c r="B4373" s="23" t="s">
        <v>1054</v>
      </c>
      <c r="C4373" s="23" t="s">
        <v>176</v>
      </c>
      <c r="D4373" s="23" t="s">
        <v>503</v>
      </c>
      <c r="E4373" s="23" t="s">
        <v>504</v>
      </c>
      <c r="F4373">
        <v>2</v>
      </c>
      <c r="G4373" s="23" t="s">
        <v>177</v>
      </c>
      <c r="H4373">
        <v>0</v>
      </c>
      <c r="I4373">
        <v>115</v>
      </c>
      <c r="J4373" s="10">
        <v>2</v>
      </c>
      <c r="K4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373">
        <v>0</v>
      </c>
      <c r="M43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3">
        <v>0.44</v>
      </c>
      <c r="O4373" s="23" t="s">
        <v>505</v>
      </c>
      <c r="P4373">
        <v>0.88</v>
      </c>
      <c r="Q4373" s="23" t="s">
        <v>222</v>
      </c>
    </row>
    <row r="4374" spans="1:17" x14ac:dyDescent="0.25">
      <c r="A4374" s="23" t="s">
        <v>1142</v>
      </c>
      <c r="B4374" s="23" t="s">
        <v>1054</v>
      </c>
      <c r="C4374" s="23" t="s">
        <v>176</v>
      </c>
      <c r="D4374" s="23" t="s">
        <v>511</v>
      </c>
      <c r="E4374" s="23" t="s">
        <v>512</v>
      </c>
      <c r="F4374">
        <v>2</v>
      </c>
      <c r="G4374" s="23" t="s">
        <v>177</v>
      </c>
      <c r="H4374">
        <v>0</v>
      </c>
      <c r="I4374">
        <v>0</v>
      </c>
      <c r="J4374" s="10">
        <v>14</v>
      </c>
      <c r="K4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74">
        <v>0</v>
      </c>
      <c r="M43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74">
        <v>6.87</v>
      </c>
      <c r="O4374" s="23" t="s">
        <v>827</v>
      </c>
      <c r="P4374">
        <v>13.74</v>
      </c>
      <c r="Q4374" s="23" t="s">
        <v>222</v>
      </c>
    </row>
    <row r="4375" spans="1:17" x14ac:dyDescent="0.25">
      <c r="A4375" s="23" t="s">
        <v>1057</v>
      </c>
      <c r="B4375" s="23" t="s">
        <v>1056</v>
      </c>
      <c r="C4375" s="23" t="s">
        <v>176</v>
      </c>
      <c r="D4375" s="23" t="s">
        <v>503</v>
      </c>
      <c r="E4375" s="23" t="s">
        <v>504</v>
      </c>
      <c r="F4375">
        <v>2</v>
      </c>
      <c r="G4375" s="23" t="s">
        <v>177</v>
      </c>
      <c r="H4375">
        <v>0</v>
      </c>
      <c r="I4375">
        <v>115</v>
      </c>
      <c r="J4375" s="10">
        <v>2</v>
      </c>
      <c r="K4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375">
        <v>0</v>
      </c>
      <c r="M43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5">
        <v>0.44</v>
      </c>
      <c r="O4375" s="23" t="s">
        <v>505</v>
      </c>
      <c r="P4375">
        <v>0.88</v>
      </c>
      <c r="Q4375" s="23" t="s">
        <v>222</v>
      </c>
    </row>
    <row r="4376" spans="1:17" x14ac:dyDescent="0.25">
      <c r="A4376" s="23" t="s">
        <v>1096</v>
      </c>
      <c r="B4376" s="23" t="s">
        <v>1053</v>
      </c>
      <c r="C4376" s="23" t="s">
        <v>176</v>
      </c>
      <c r="D4376" s="23" t="s">
        <v>503</v>
      </c>
      <c r="E4376" s="23" t="s">
        <v>504</v>
      </c>
      <c r="F4376">
        <v>2</v>
      </c>
      <c r="G4376" s="23" t="s">
        <v>177</v>
      </c>
      <c r="H4376">
        <v>0</v>
      </c>
      <c r="I4376">
        <v>115</v>
      </c>
      <c r="J4376" s="10">
        <v>2</v>
      </c>
      <c r="K4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376">
        <v>0</v>
      </c>
      <c r="M43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6">
        <v>0.44</v>
      </c>
      <c r="O4376" s="23" t="s">
        <v>505</v>
      </c>
      <c r="P4376">
        <v>0.88</v>
      </c>
      <c r="Q4376" s="23" t="s">
        <v>222</v>
      </c>
    </row>
    <row r="4377" spans="1:17" x14ac:dyDescent="0.25">
      <c r="A4377" s="23" t="s">
        <v>1143</v>
      </c>
      <c r="B4377" s="23" t="s">
        <v>1054</v>
      </c>
      <c r="C4377" s="23" t="s">
        <v>176</v>
      </c>
      <c r="D4377" s="23" t="s">
        <v>503</v>
      </c>
      <c r="E4377" s="23" t="s">
        <v>504</v>
      </c>
      <c r="F4377">
        <v>2</v>
      </c>
      <c r="G4377" s="23" t="s">
        <v>177</v>
      </c>
      <c r="H4377">
        <v>0</v>
      </c>
      <c r="I4377">
        <v>115</v>
      </c>
      <c r="J4377" s="10">
        <v>2</v>
      </c>
      <c r="K4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4377">
        <v>0</v>
      </c>
      <c r="M43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7">
        <v>0.44</v>
      </c>
      <c r="O4377" s="23" t="s">
        <v>505</v>
      </c>
      <c r="P4377">
        <v>0.88</v>
      </c>
      <c r="Q4377" s="23" t="s">
        <v>222</v>
      </c>
    </row>
    <row r="4378" spans="1:17" x14ac:dyDescent="0.25">
      <c r="A4378" s="23" t="s">
        <v>1142</v>
      </c>
      <c r="B4378" s="23" t="s">
        <v>1054</v>
      </c>
      <c r="C4378" s="23" t="s">
        <v>176</v>
      </c>
      <c r="D4378" s="23" t="s">
        <v>986</v>
      </c>
      <c r="E4378" s="23" t="s">
        <v>987</v>
      </c>
      <c r="F4378">
        <v>2.5</v>
      </c>
      <c r="G4378" s="23" t="s">
        <v>186</v>
      </c>
      <c r="H4378">
        <v>0</v>
      </c>
      <c r="I4378">
        <v>139</v>
      </c>
      <c r="J4378" s="10">
        <v>45.500000000000043</v>
      </c>
      <c r="K4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4378">
        <v>0</v>
      </c>
      <c r="M43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8">
        <v>233.95</v>
      </c>
      <c r="O4378" s="23" t="s">
        <v>491</v>
      </c>
      <c r="P4378">
        <v>584.875</v>
      </c>
      <c r="Q4378" s="23" t="s">
        <v>184</v>
      </c>
    </row>
    <row r="4379" spans="1:17" x14ac:dyDescent="0.25">
      <c r="A4379" s="23" t="s">
        <v>1143</v>
      </c>
      <c r="B4379" s="23" t="s">
        <v>1054</v>
      </c>
      <c r="C4379" s="23" t="s">
        <v>176</v>
      </c>
      <c r="D4379" s="23" t="s">
        <v>972</v>
      </c>
      <c r="E4379" s="23" t="s">
        <v>973</v>
      </c>
      <c r="F4379">
        <v>1</v>
      </c>
      <c r="G4379" s="23" t="s">
        <v>180</v>
      </c>
      <c r="H4379">
        <v>0</v>
      </c>
      <c r="I4379">
        <v>50</v>
      </c>
      <c r="J4379" s="10">
        <v>0</v>
      </c>
      <c r="K4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4379">
        <v>0</v>
      </c>
      <c r="M43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79">
        <v>180</v>
      </c>
      <c r="O4379" s="23" t="s">
        <v>315</v>
      </c>
      <c r="P4379">
        <v>180</v>
      </c>
      <c r="Q4379" s="23" t="s">
        <v>179</v>
      </c>
    </row>
    <row r="4380" spans="1:17" x14ac:dyDescent="0.25">
      <c r="A4380" s="23" t="s">
        <v>1096</v>
      </c>
      <c r="B4380" s="23" t="s">
        <v>1053</v>
      </c>
      <c r="C4380" s="23" t="s">
        <v>176</v>
      </c>
      <c r="D4380" s="23" t="s">
        <v>511</v>
      </c>
      <c r="E4380" s="23" t="s">
        <v>512</v>
      </c>
      <c r="F4380">
        <v>2</v>
      </c>
      <c r="G4380" s="23" t="s">
        <v>177</v>
      </c>
      <c r="H4380">
        <v>0</v>
      </c>
      <c r="I4380">
        <v>0</v>
      </c>
      <c r="J4380" s="10">
        <v>14</v>
      </c>
      <c r="K4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4380">
        <v>0</v>
      </c>
      <c r="M43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4380">
        <v>6.87</v>
      </c>
      <c r="O4380" s="23" t="s">
        <v>827</v>
      </c>
      <c r="P4380">
        <v>13.74</v>
      </c>
      <c r="Q4380" s="23" t="s">
        <v>222</v>
      </c>
    </row>
    <row r="4381" spans="1:17" x14ac:dyDescent="0.25">
      <c r="A4381" s="23" t="s">
        <v>1062</v>
      </c>
      <c r="B4381" s="23" t="s">
        <v>1053</v>
      </c>
      <c r="C4381" s="23" t="s">
        <v>176</v>
      </c>
      <c r="D4381" s="23" t="s">
        <v>739</v>
      </c>
      <c r="E4381" s="23" t="s">
        <v>740</v>
      </c>
      <c r="F4381">
        <v>1</v>
      </c>
      <c r="G4381" s="23" t="s">
        <v>177</v>
      </c>
      <c r="H4381">
        <v>0</v>
      </c>
      <c r="I4381">
        <v>12</v>
      </c>
      <c r="J4381" s="10">
        <v>14</v>
      </c>
      <c r="K4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381">
        <v>0</v>
      </c>
      <c r="M43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381">
        <v>116.67</v>
      </c>
      <c r="O4381" s="23" t="s">
        <v>668</v>
      </c>
      <c r="P4381">
        <v>116.67</v>
      </c>
      <c r="Q4381" s="23" t="s">
        <v>178</v>
      </c>
    </row>
    <row r="4382" spans="1:17" x14ac:dyDescent="0.25">
      <c r="A4382" s="23" t="s">
        <v>1142</v>
      </c>
      <c r="B4382" s="23" t="s">
        <v>1054</v>
      </c>
      <c r="C4382" s="23" t="s">
        <v>176</v>
      </c>
      <c r="D4382" s="23" t="s">
        <v>845</v>
      </c>
      <c r="E4382" s="23" t="s">
        <v>846</v>
      </c>
      <c r="F4382">
        <v>3</v>
      </c>
      <c r="G4382" s="23" t="s">
        <v>177</v>
      </c>
      <c r="H4382">
        <v>0</v>
      </c>
      <c r="I4382">
        <v>42</v>
      </c>
      <c r="J4382" s="10">
        <v>20</v>
      </c>
      <c r="K4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82">
        <v>0</v>
      </c>
      <c r="M43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382">
        <v>348.7</v>
      </c>
      <c r="O4382" s="23" t="s">
        <v>637</v>
      </c>
      <c r="P4382">
        <v>1046.0999999999999</v>
      </c>
      <c r="Q4382" s="23" t="s">
        <v>178</v>
      </c>
    </row>
    <row r="4383" spans="1:17" x14ac:dyDescent="0.25">
      <c r="A4383" s="23" t="s">
        <v>1147</v>
      </c>
      <c r="B4383" s="23" t="s">
        <v>1145</v>
      </c>
      <c r="C4383" s="23" t="s">
        <v>176</v>
      </c>
      <c r="D4383" s="23" t="s">
        <v>845</v>
      </c>
      <c r="E4383" s="23" t="s">
        <v>846</v>
      </c>
      <c r="F4383">
        <v>3</v>
      </c>
      <c r="G4383" s="23" t="s">
        <v>177</v>
      </c>
      <c r="H4383">
        <v>0</v>
      </c>
      <c r="I4383">
        <v>42</v>
      </c>
      <c r="J4383" s="10">
        <v>20</v>
      </c>
      <c r="K4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83">
        <v>0</v>
      </c>
      <c r="M43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383">
        <v>348.7</v>
      </c>
      <c r="O4383" s="23" t="s">
        <v>637</v>
      </c>
      <c r="P4383">
        <v>1046.0999999999999</v>
      </c>
      <c r="Q4383" s="23" t="s">
        <v>178</v>
      </c>
    </row>
    <row r="4384" spans="1:17" x14ac:dyDescent="0.25">
      <c r="A4384" s="23" t="s">
        <v>1148</v>
      </c>
      <c r="B4384" s="23" t="s">
        <v>1054</v>
      </c>
      <c r="C4384" s="23" t="s">
        <v>176</v>
      </c>
      <c r="D4384" s="23" t="s">
        <v>845</v>
      </c>
      <c r="E4384" s="23" t="s">
        <v>846</v>
      </c>
      <c r="F4384">
        <v>4</v>
      </c>
      <c r="G4384" s="23" t="s">
        <v>177</v>
      </c>
      <c r="H4384">
        <v>0</v>
      </c>
      <c r="I4384">
        <v>42</v>
      </c>
      <c r="J4384" s="10">
        <v>20</v>
      </c>
      <c r="K4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84">
        <v>0</v>
      </c>
      <c r="M43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384">
        <v>348.7</v>
      </c>
      <c r="O4384" s="23" t="s">
        <v>637</v>
      </c>
      <c r="P4384">
        <v>1394.8</v>
      </c>
      <c r="Q4384" s="23" t="s">
        <v>178</v>
      </c>
    </row>
    <row r="4385" spans="1:17" x14ac:dyDescent="0.25">
      <c r="A4385" s="23" t="s">
        <v>1058</v>
      </c>
      <c r="B4385" s="23" t="s">
        <v>1059</v>
      </c>
      <c r="C4385" s="23" t="s">
        <v>176</v>
      </c>
      <c r="D4385" s="23" t="s">
        <v>831</v>
      </c>
      <c r="E4385" s="23" t="s">
        <v>832</v>
      </c>
      <c r="F4385">
        <v>4</v>
      </c>
      <c r="G4385" s="23" t="s">
        <v>180</v>
      </c>
      <c r="H4385">
        <v>0</v>
      </c>
      <c r="I4385">
        <v>100</v>
      </c>
      <c r="J4385" s="10">
        <v>0</v>
      </c>
      <c r="K4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385">
        <v>214.64</v>
      </c>
      <c r="M43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5">
        <v>50.81</v>
      </c>
      <c r="O4385" s="23" t="s">
        <v>833</v>
      </c>
      <c r="P4385">
        <v>203.24</v>
      </c>
      <c r="Q4385" s="23" t="s">
        <v>185</v>
      </c>
    </row>
    <row r="4386" spans="1:17" x14ac:dyDescent="0.25">
      <c r="A4386" s="23" t="s">
        <v>1100</v>
      </c>
      <c r="B4386" s="23" t="s">
        <v>1101</v>
      </c>
      <c r="C4386" s="23" t="s">
        <v>176</v>
      </c>
      <c r="D4386" s="23" t="s">
        <v>831</v>
      </c>
      <c r="E4386" s="23" t="s">
        <v>832</v>
      </c>
      <c r="F4386">
        <v>5</v>
      </c>
      <c r="G4386" s="23" t="s">
        <v>180</v>
      </c>
      <c r="H4386">
        <v>0</v>
      </c>
      <c r="I4386">
        <v>100</v>
      </c>
      <c r="J4386" s="10">
        <v>0</v>
      </c>
      <c r="K4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386">
        <v>214.64</v>
      </c>
      <c r="M43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6">
        <v>50.81</v>
      </c>
      <c r="O4386" s="23" t="s">
        <v>833</v>
      </c>
      <c r="P4386">
        <v>254.05</v>
      </c>
      <c r="Q4386" s="23" t="s">
        <v>185</v>
      </c>
    </row>
    <row r="4387" spans="1:17" x14ac:dyDescent="0.25">
      <c r="A4387" s="23" t="s">
        <v>1058</v>
      </c>
      <c r="B4387" s="23" t="s">
        <v>1059</v>
      </c>
      <c r="C4387" s="23" t="s">
        <v>176</v>
      </c>
      <c r="D4387" s="23" t="s">
        <v>135</v>
      </c>
      <c r="E4387" s="23" t="s">
        <v>136</v>
      </c>
      <c r="F4387">
        <v>12</v>
      </c>
      <c r="G4387" s="23" t="s">
        <v>180</v>
      </c>
      <c r="H4387">
        <v>0</v>
      </c>
      <c r="I4387">
        <v>60</v>
      </c>
      <c r="J4387" s="10">
        <v>52</v>
      </c>
      <c r="K4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387">
        <v>80</v>
      </c>
      <c r="M43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387">
        <v>49</v>
      </c>
      <c r="O4387" s="23" t="s">
        <v>673</v>
      </c>
      <c r="P4387">
        <v>588</v>
      </c>
      <c r="Q4387" s="23" t="s">
        <v>185</v>
      </c>
    </row>
    <row r="4388" spans="1:17" x14ac:dyDescent="0.25">
      <c r="A4388" s="23" t="s">
        <v>1100</v>
      </c>
      <c r="B4388" s="23" t="s">
        <v>1101</v>
      </c>
      <c r="C4388" s="23" t="s">
        <v>176</v>
      </c>
      <c r="D4388" s="23" t="s">
        <v>135</v>
      </c>
      <c r="E4388" s="23" t="s">
        <v>136</v>
      </c>
      <c r="F4388">
        <v>7.5</v>
      </c>
      <c r="G4388" s="23" t="s">
        <v>180</v>
      </c>
      <c r="H4388">
        <v>0</v>
      </c>
      <c r="I4388">
        <v>60</v>
      </c>
      <c r="J4388" s="10">
        <v>52</v>
      </c>
      <c r="K4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388">
        <v>80</v>
      </c>
      <c r="M43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388">
        <v>49</v>
      </c>
      <c r="O4388" s="23" t="s">
        <v>673</v>
      </c>
      <c r="P4388">
        <v>367.5</v>
      </c>
      <c r="Q4388" s="23" t="s">
        <v>185</v>
      </c>
    </row>
    <row r="4389" spans="1:17" x14ac:dyDescent="0.25">
      <c r="A4389" s="23" t="s">
        <v>1058</v>
      </c>
      <c r="B4389" s="23" t="s">
        <v>1059</v>
      </c>
      <c r="C4389" s="23" t="s">
        <v>176</v>
      </c>
      <c r="D4389" s="23" t="s">
        <v>158</v>
      </c>
      <c r="E4389" s="23" t="s">
        <v>159</v>
      </c>
      <c r="F4389">
        <v>1</v>
      </c>
      <c r="G4389" s="23" t="s">
        <v>177</v>
      </c>
      <c r="H4389">
        <v>0</v>
      </c>
      <c r="I4389">
        <v>4</v>
      </c>
      <c r="J4389" s="10">
        <v>22</v>
      </c>
      <c r="K4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389">
        <v>20</v>
      </c>
      <c r="M43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89">
        <v>65</v>
      </c>
      <c r="O4389" s="23" t="s">
        <v>762</v>
      </c>
      <c r="P4389">
        <v>65</v>
      </c>
      <c r="Q4389" s="23" t="s">
        <v>179</v>
      </c>
    </row>
    <row r="4390" spans="1:17" x14ac:dyDescent="0.25">
      <c r="A4390" s="23" t="s">
        <v>1150</v>
      </c>
      <c r="B4390" s="23" t="s">
        <v>1145</v>
      </c>
      <c r="C4390" s="23" t="s">
        <v>176</v>
      </c>
      <c r="D4390" s="23" t="s">
        <v>135</v>
      </c>
      <c r="E4390" s="23" t="s">
        <v>136</v>
      </c>
      <c r="F4390">
        <v>12</v>
      </c>
      <c r="G4390" s="23" t="s">
        <v>180</v>
      </c>
      <c r="H4390">
        <v>0</v>
      </c>
      <c r="I4390">
        <v>60</v>
      </c>
      <c r="J4390" s="10">
        <v>52</v>
      </c>
      <c r="K4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390">
        <v>80</v>
      </c>
      <c r="M43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390">
        <v>49</v>
      </c>
      <c r="O4390" s="23" t="s">
        <v>673</v>
      </c>
      <c r="P4390">
        <v>588</v>
      </c>
      <c r="Q4390" s="23" t="s">
        <v>185</v>
      </c>
    </row>
    <row r="4391" spans="1:17" x14ac:dyDescent="0.25">
      <c r="A4391" s="23" t="s">
        <v>1150</v>
      </c>
      <c r="B4391" s="23" t="s">
        <v>1145</v>
      </c>
      <c r="C4391" s="23" t="s">
        <v>176</v>
      </c>
      <c r="D4391" s="23" t="s">
        <v>158</v>
      </c>
      <c r="E4391" s="23" t="s">
        <v>159</v>
      </c>
      <c r="F4391">
        <v>1</v>
      </c>
      <c r="G4391" s="23" t="s">
        <v>177</v>
      </c>
      <c r="H4391">
        <v>0</v>
      </c>
      <c r="I4391">
        <v>4</v>
      </c>
      <c r="J4391" s="10">
        <v>22</v>
      </c>
      <c r="K4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391">
        <v>20</v>
      </c>
      <c r="M43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1">
        <v>65</v>
      </c>
      <c r="O4391" s="23" t="s">
        <v>762</v>
      </c>
      <c r="P4391">
        <v>65</v>
      </c>
      <c r="Q4391" s="23" t="s">
        <v>179</v>
      </c>
    </row>
    <row r="4392" spans="1:17" x14ac:dyDescent="0.25">
      <c r="A4392" s="23" t="s">
        <v>1100</v>
      </c>
      <c r="B4392" s="23" t="s">
        <v>1101</v>
      </c>
      <c r="C4392" s="23" t="s">
        <v>176</v>
      </c>
      <c r="D4392" s="23" t="s">
        <v>638</v>
      </c>
      <c r="E4392" s="23" t="s">
        <v>639</v>
      </c>
      <c r="F4392">
        <v>1</v>
      </c>
      <c r="G4392" s="23" t="s">
        <v>177</v>
      </c>
      <c r="H4392">
        <v>0</v>
      </c>
      <c r="I4392">
        <v>19</v>
      </c>
      <c r="J4392" s="10">
        <v>17</v>
      </c>
      <c r="K4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392">
        <v>0</v>
      </c>
      <c r="M43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2">
        <v>113.64</v>
      </c>
      <c r="O4392" s="23" t="s">
        <v>640</v>
      </c>
      <c r="P4392">
        <v>113.64</v>
      </c>
      <c r="Q4392" s="23" t="s">
        <v>641</v>
      </c>
    </row>
    <row r="4393" spans="1:17" x14ac:dyDescent="0.25">
      <c r="A4393" s="23" t="s">
        <v>1197</v>
      </c>
      <c r="B4393" s="23" t="s">
        <v>1198</v>
      </c>
      <c r="C4393" s="23" t="s">
        <v>176</v>
      </c>
      <c r="D4393" s="23" t="s">
        <v>638</v>
      </c>
      <c r="E4393" s="23" t="s">
        <v>639</v>
      </c>
      <c r="F4393">
        <v>1</v>
      </c>
      <c r="G4393" s="23" t="s">
        <v>177</v>
      </c>
      <c r="H4393">
        <v>0</v>
      </c>
      <c r="I4393">
        <v>19</v>
      </c>
      <c r="J4393" s="10">
        <v>17</v>
      </c>
      <c r="K4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393">
        <v>0</v>
      </c>
      <c r="M43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3">
        <v>113.64</v>
      </c>
      <c r="O4393" s="23" t="s">
        <v>640</v>
      </c>
      <c r="P4393">
        <v>113.64</v>
      </c>
      <c r="Q4393" s="23" t="s">
        <v>641</v>
      </c>
    </row>
    <row r="4394" spans="1:17" x14ac:dyDescent="0.25">
      <c r="A4394" s="23" t="s">
        <v>1098</v>
      </c>
      <c r="B4394" s="23" t="s">
        <v>1053</v>
      </c>
      <c r="C4394" s="23" t="s">
        <v>176</v>
      </c>
      <c r="D4394" s="23" t="s">
        <v>638</v>
      </c>
      <c r="E4394" s="23" t="s">
        <v>639</v>
      </c>
      <c r="F4394">
        <v>1</v>
      </c>
      <c r="G4394" s="23" t="s">
        <v>177</v>
      </c>
      <c r="H4394">
        <v>0</v>
      </c>
      <c r="I4394">
        <v>19</v>
      </c>
      <c r="J4394" s="10">
        <v>17</v>
      </c>
      <c r="K4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394">
        <v>0</v>
      </c>
      <c r="M43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4">
        <v>113.64</v>
      </c>
      <c r="O4394" s="23" t="s">
        <v>640</v>
      </c>
      <c r="P4394">
        <v>113.64</v>
      </c>
      <c r="Q4394" s="23" t="s">
        <v>641</v>
      </c>
    </row>
    <row r="4395" spans="1:17" x14ac:dyDescent="0.25">
      <c r="A4395" s="23" t="s">
        <v>1142</v>
      </c>
      <c r="B4395" s="23" t="s">
        <v>1054</v>
      </c>
      <c r="C4395" s="23" t="s">
        <v>176</v>
      </c>
      <c r="D4395" s="23" t="s">
        <v>446</v>
      </c>
      <c r="E4395" s="23" t="s">
        <v>630</v>
      </c>
      <c r="F4395">
        <v>4</v>
      </c>
      <c r="G4395" s="23" t="s">
        <v>177</v>
      </c>
      <c r="H4395">
        <v>0</v>
      </c>
      <c r="I4395">
        <v>115</v>
      </c>
      <c r="J4395" s="10">
        <v>28</v>
      </c>
      <c r="K4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4395">
        <v>0</v>
      </c>
      <c r="M43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5">
        <v>250</v>
      </c>
      <c r="O4395" s="23" t="s">
        <v>629</v>
      </c>
      <c r="P4395">
        <v>1000</v>
      </c>
      <c r="Q4395" s="23" t="s">
        <v>181</v>
      </c>
    </row>
    <row r="4396" spans="1:17" x14ac:dyDescent="0.25">
      <c r="A4396" s="23" t="s">
        <v>1143</v>
      </c>
      <c r="B4396" s="23" t="s">
        <v>1054</v>
      </c>
      <c r="C4396" s="23" t="s">
        <v>176</v>
      </c>
      <c r="D4396" s="23" t="s">
        <v>845</v>
      </c>
      <c r="E4396" s="23" t="s">
        <v>846</v>
      </c>
      <c r="F4396">
        <v>4</v>
      </c>
      <c r="G4396" s="23" t="s">
        <v>177</v>
      </c>
      <c r="H4396">
        <v>0</v>
      </c>
      <c r="I4396">
        <v>42</v>
      </c>
      <c r="J4396" s="10">
        <v>20</v>
      </c>
      <c r="K4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396">
        <v>0</v>
      </c>
      <c r="M43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396">
        <v>348.7</v>
      </c>
      <c r="O4396" s="23" t="s">
        <v>637</v>
      </c>
      <c r="P4396">
        <v>1394.8</v>
      </c>
      <c r="Q4396" s="23" t="s">
        <v>178</v>
      </c>
    </row>
    <row r="4397" spans="1:17" x14ac:dyDescent="0.25">
      <c r="A4397" s="23" t="s">
        <v>1094</v>
      </c>
      <c r="B4397" s="23" t="s">
        <v>1095</v>
      </c>
      <c r="C4397" s="23" t="s">
        <v>176</v>
      </c>
      <c r="D4397" s="23" t="s">
        <v>831</v>
      </c>
      <c r="E4397" s="23" t="s">
        <v>832</v>
      </c>
      <c r="F4397">
        <v>5</v>
      </c>
      <c r="G4397" s="23" t="s">
        <v>180</v>
      </c>
      <c r="H4397">
        <v>0</v>
      </c>
      <c r="I4397">
        <v>100</v>
      </c>
      <c r="J4397" s="10">
        <v>0</v>
      </c>
      <c r="K4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397">
        <v>214.64</v>
      </c>
      <c r="M43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7">
        <v>50.81</v>
      </c>
      <c r="O4397" s="23" t="s">
        <v>833</v>
      </c>
      <c r="P4397">
        <v>254.05</v>
      </c>
      <c r="Q4397" s="23" t="s">
        <v>185</v>
      </c>
    </row>
    <row r="4398" spans="1:17" x14ac:dyDescent="0.25">
      <c r="A4398" s="23" t="s">
        <v>1096</v>
      </c>
      <c r="B4398" s="23" t="s">
        <v>1053</v>
      </c>
      <c r="C4398" s="23" t="s">
        <v>176</v>
      </c>
      <c r="D4398" s="23" t="s">
        <v>831</v>
      </c>
      <c r="E4398" s="23" t="s">
        <v>832</v>
      </c>
      <c r="F4398">
        <v>5.5</v>
      </c>
      <c r="G4398" s="23" t="s">
        <v>180</v>
      </c>
      <c r="H4398">
        <v>0</v>
      </c>
      <c r="I4398">
        <v>100</v>
      </c>
      <c r="J4398" s="10">
        <v>0</v>
      </c>
      <c r="K4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398">
        <v>214.64</v>
      </c>
      <c r="M43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8">
        <v>50.81</v>
      </c>
      <c r="O4398" s="23" t="s">
        <v>833</v>
      </c>
      <c r="P4398">
        <v>279.45500000000004</v>
      </c>
      <c r="Q4398" s="23" t="s">
        <v>185</v>
      </c>
    </row>
    <row r="4399" spans="1:17" x14ac:dyDescent="0.25">
      <c r="A4399" s="23" t="s">
        <v>1142</v>
      </c>
      <c r="B4399" s="23" t="s">
        <v>1054</v>
      </c>
      <c r="C4399" s="23" t="s">
        <v>176</v>
      </c>
      <c r="D4399" s="23" t="s">
        <v>1033</v>
      </c>
      <c r="E4399" s="23" t="s">
        <v>1034</v>
      </c>
      <c r="F4399">
        <v>1</v>
      </c>
      <c r="G4399" s="23" t="s">
        <v>177</v>
      </c>
      <c r="H4399">
        <v>0</v>
      </c>
      <c r="I4399">
        <v>19</v>
      </c>
      <c r="J4399" s="10">
        <v>4</v>
      </c>
      <c r="K4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399">
        <v>0</v>
      </c>
      <c r="M43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399">
        <v>85</v>
      </c>
      <c r="O4399" s="23" t="s">
        <v>822</v>
      </c>
      <c r="P4399">
        <v>85</v>
      </c>
      <c r="Q4399" s="23" t="s">
        <v>179</v>
      </c>
    </row>
    <row r="4400" spans="1:17" x14ac:dyDescent="0.25">
      <c r="A4400" s="23" t="s">
        <v>1097</v>
      </c>
      <c r="B4400" s="23" t="s">
        <v>1095</v>
      </c>
      <c r="C4400" s="23" t="s">
        <v>176</v>
      </c>
      <c r="D4400" s="23" t="s">
        <v>135</v>
      </c>
      <c r="E4400" s="23" t="s">
        <v>136</v>
      </c>
      <c r="F4400">
        <v>7.5</v>
      </c>
      <c r="G4400" s="23" t="s">
        <v>180</v>
      </c>
      <c r="H4400">
        <v>0</v>
      </c>
      <c r="I4400">
        <v>60</v>
      </c>
      <c r="J4400" s="10">
        <v>52</v>
      </c>
      <c r="K4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4400">
        <v>80</v>
      </c>
      <c r="M44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4400">
        <v>49</v>
      </c>
      <c r="O4400" s="23" t="s">
        <v>673</v>
      </c>
      <c r="P4400">
        <v>367.5</v>
      </c>
      <c r="Q4400" s="23" t="s">
        <v>185</v>
      </c>
    </row>
    <row r="4401" spans="1:17" x14ac:dyDescent="0.25">
      <c r="A4401" s="23" t="s">
        <v>1097</v>
      </c>
      <c r="B4401" s="23" t="s">
        <v>1095</v>
      </c>
      <c r="C4401" s="23" t="s">
        <v>176</v>
      </c>
      <c r="D4401" s="23" t="s">
        <v>158</v>
      </c>
      <c r="E4401" s="23" t="s">
        <v>159</v>
      </c>
      <c r="F4401">
        <v>1</v>
      </c>
      <c r="G4401" s="23" t="s">
        <v>177</v>
      </c>
      <c r="H4401">
        <v>0</v>
      </c>
      <c r="I4401">
        <v>4</v>
      </c>
      <c r="J4401" s="10">
        <v>22</v>
      </c>
      <c r="K4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401">
        <v>20</v>
      </c>
      <c r="M44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1">
        <v>65</v>
      </c>
      <c r="O4401" s="23" t="s">
        <v>762</v>
      </c>
      <c r="P4401">
        <v>65</v>
      </c>
      <c r="Q4401" s="23" t="s">
        <v>179</v>
      </c>
    </row>
    <row r="4402" spans="1:17" x14ac:dyDescent="0.25">
      <c r="A4402" s="23" t="s">
        <v>1197</v>
      </c>
      <c r="B4402" s="23" t="s">
        <v>1198</v>
      </c>
      <c r="C4402" s="23" t="s">
        <v>176</v>
      </c>
      <c r="D4402" s="23" t="s">
        <v>158</v>
      </c>
      <c r="E4402" s="23" t="s">
        <v>159</v>
      </c>
      <c r="F4402">
        <v>1</v>
      </c>
      <c r="G4402" s="23" t="s">
        <v>177</v>
      </c>
      <c r="H4402">
        <v>0</v>
      </c>
      <c r="I4402">
        <v>4</v>
      </c>
      <c r="J4402" s="10">
        <v>22</v>
      </c>
      <c r="K4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402">
        <v>20</v>
      </c>
      <c r="M44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2">
        <v>65</v>
      </c>
      <c r="O4402" s="23" t="s">
        <v>762</v>
      </c>
      <c r="P4402">
        <v>65</v>
      </c>
      <c r="Q4402" s="23" t="s">
        <v>179</v>
      </c>
    </row>
    <row r="4403" spans="1:17" x14ac:dyDescent="0.25">
      <c r="A4403" s="23" t="s">
        <v>1098</v>
      </c>
      <c r="B4403" s="23" t="s">
        <v>1053</v>
      </c>
      <c r="C4403" s="23" t="s">
        <v>176</v>
      </c>
      <c r="D4403" s="23" t="s">
        <v>158</v>
      </c>
      <c r="E4403" s="23" t="s">
        <v>159</v>
      </c>
      <c r="F4403">
        <v>1</v>
      </c>
      <c r="G4403" s="23" t="s">
        <v>177</v>
      </c>
      <c r="H4403">
        <v>0</v>
      </c>
      <c r="I4403">
        <v>4</v>
      </c>
      <c r="J4403" s="10">
        <v>22</v>
      </c>
      <c r="K4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403">
        <v>20</v>
      </c>
      <c r="M44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3">
        <v>65</v>
      </c>
      <c r="O4403" s="23" t="s">
        <v>762</v>
      </c>
      <c r="P4403">
        <v>65</v>
      </c>
      <c r="Q4403" s="23" t="s">
        <v>179</v>
      </c>
    </row>
    <row r="4404" spans="1:17" x14ac:dyDescent="0.25">
      <c r="A4404" s="23" t="s">
        <v>1097</v>
      </c>
      <c r="B4404" s="23" t="s">
        <v>1095</v>
      </c>
      <c r="C4404" s="23" t="s">
        <v>176</v>
      </c>
      <c r="D4404" s="23" t="s">
        <v>638</v>
      </c>
      <c r="E4404" s="23" t="s">
        <v>639</v>
      </c>
      <c r="F4404">
        <v>1</v>
      </c>
      <c r="G4404" s="23" t="s">
        <v>177</v>
      </c>
      <c r="H4404">
        <v>0</v>
      </c>
      <c r="I4404">
        <v>19</v>
      </c>
      <c r="J4404" s="10">
        <v>17</v>
      </c>
      <c r="K4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404">
        <v>0</v>
      </c>
      <c r="M44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4">
        <v>113.64</v>
      </c>
      <c r="O4404" s="23" t="s">
        <v>640</v>
      </c>
      <c r="P4404">
        <v>113.64</v>
      </c>
      <c r="Q4404" s="23" t="s">
        <v>641</v>
      </c>
    </row>
    <row r="4405" spans="1:17" x14ac:dyDescent="0.25">
      <c r="A4405" s="23" t="s">
        <v>1143</v>
      </c>
      <c r="B4405" s="23" t="s">
        <v>1054</v>
      </c>
      <c r="C4405" s="23" t="s">
        <v>176</v>
      </c>
      <c r="D4405" s="23" t="s">
        <v>446</v>
      </c>
      <c r="E4405" s="23" t="s">
        <v>630</v>
      </c>
      <c r="F4405">
        <v>4</v>
      </c>
      <c r="G4405" s="23" t="s">
        <v>177</v>
      </c>
      <c r="H4405">
        <v>0</v>
      </c>
      <c r="I4405">
        <v>115</v>
      </c>
      <c r="J4405" s="10">
        <v>28</v>
      </c>
      <c r="K4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4405">
        <v>0</v>
      </c>
      <c r="M44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5">
        <v>250</v>
      </c>
      <c r="O4405" s="23" t="s">
        <v>629</v>
      </c>
      <c r="P4405">
        <v>1000</v>
      </c>
      <c r="Q4405" s="23" t="s">
        <v>181</v>
      </c>
    </row>
    <row r="4406" spans="1:17" x14ac:dyDescent="0.25">
      <c r="A4406" s="23" t="s">
        <v>1149</v>
      </c>
      <c r="B4406" s="23" t="s">
        <v>1145</v>
      </c>
      <c r="C4406" s="23" t="s">
        <v>176</v>
      </c>
      <c r="D4406" s="23" t="s">
        <v>265</v>
      </c>
      <c r="E4406" s="23" t="s">
        <v>420</v>
      </c>
      <c r="F4406">
        <v>1</v>
      </c>
      <c r="G4406" s="23" t="s">
        <v>177</v>
      </c>
      <c r="H4406">
        <v>0</v>
      </c>
      <c r="I4406">
        <v>0</v>
      </c>
      <c r="J4406" s="10">
        <v>10</v>
      </c>
      <c r="K4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06">
        <v>5</v>
      </c>
      <c r="M44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06">
        <v>5994.01</v>
      </c>
      <c r="O4406" s="23" t="s">
        <v>228</v>
      </c>
      <c r="P4406">
        <v>5994.01</v>
      </c>
      <c r="Q4406" s="23" t="s">
        <v>222</v>
      </c>
    </row>
    <row r="4407" spans="1:17" x14ac:dyDescent="0.25">
      <c r="A4407" s="23" t="s">
        <v>1149</v>
      </c>
      <c r="B4407" s="23" t="s">
        <v>1145</v>
      </c>
      <c r="C4407" s="23" t="s">
        <v>176</v>
      </c>
      <c r="D4407" s="23" t="s">
        <v>1075</v>
      </c>
      <c r="E4407" s="23" t="s">
        <v>1076</v>
      </c>
      <c r="F4407">
        <v>1</v>
      </c>
      <c r="G4407" s="23" t="s">
        <v>177</v>
      </c>
      <c r="H4407">
        <v>0</v>
      </c>
      <c r="I4407">
        <v>0</v>
      </c>
      <c r="J4407" s="10">
        <v>0</v>
      </c>
      <c r="K4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4407">
        <v>0</v>
      </c>
      <c r="M44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7">
        <v>0</v>
      </c>
      <c r="O4407" s="23"/>
      <c r="P4407">
        <v>0</v>
      </c>
      <c r="Q4407" s="23" t="s">
        <v>178</v>
      </c>
    </row>
    <row r="4408" spans="1:17" x14ac:dyDescent="0.25">
      <c r="A4408" s="23" t="s">
        <v>1150</v>
      </c>
      <c r="B4408" s="23" t="s">
        <v>1145</v>
      </c>
      <c r="C4408" s="23" t="s">
        <v>176</v>
      </c>
      <c r="D4408" s="23" t="s">
        <v>472</v>
      </c>
      <c r="E4408" s="23" t="s">
        <v>473</v>
      </c>
      <c r="F4408">
        <v>12</v>
      </c>
      <c r="G4408" s="23" t="s">
        <v>177</v>
      </c>
      <c r="H4408">
        <v>0</v>
      </c>
      <c r="I4408">
        <v>200</v>
      </c>
      <c r="J4408" s="10">
        <v>343</v>
      </c>
      <c r="K4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08">
        <v>0</v>
      </c>
      <c r="M44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8">
        <v>9</v>
      </c>
      <c r="O4408" s="23" t="s">
        <v>242</v>
      </c>
      <c r="P4408">
        <v>108</v>
      </c>
      <c r="Q4408" s="23" t="s">
        <v>181</v>
      </c>
    </row>
    <row r="4409" spans="1:17" x14ac:dyDescent="0.25">
      <c r="A4409" s="23" t="s">
        <v>1148</v>
      </c>
      <c r="B4409" s="23" t="s">
        <v>1054</v>
      </c>
      <c r="C4409" s="23" t="s">
        <v>176</v>
      </c>
      <c r="D4409" s="23" t="s">
        <v>154</v>
      </c>
      <c r="E4409" s="23" t="s">
        <v>155</v>
      </c>
      <c r="F4409">
        <v>4</v>
      </c>
      <c r="G4409" s="23" t="s">
        <v>177</v>
      </c>
      <c r="H4409">
        <v>0</v>
      </c>
      <c r="I4409">
        <v>55</v>
      </c>
      <c r="J4409" s="10">
        <v>17</v>
      </c>
      <c r="K4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409">
        <v>0</v>
      </c>
      <c r="M44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09">
        <v>199.45</v>
      </c>
      <c r="O4409" s="23" t="s">
        <v>277</v>
      </c>
      <c r="P4409">
        <v>797.8</v>
      </c>
      <c r="Q4409" s="23" t="s">
        <v>181</v>
      </c>
    </row>
    <row r="4410" spans="1:17" x14ac:dyDescent="0.25">
      <c r="A4410" s="23" t="s">
        <v>1147</v>
      </c>
      <c r="B4410" s="23" t="s">
        <v>1145</v>
      </c>
      <c r="C4410" s="23" t="s">
        <v>176</v>
      </c>
      <c r="D4410" s="23" t="s">
        <v>472</v>
      </c>
      <c r="E4410" s="23" t="s">
        <v>473</v>
      </c>
      <c r="F4410">
        <v>12</v>
      </c>
      <c r="G4410" s="23" t="s">
        <v>177</v>
      </c>
      <c r="H4410">
        <v>0</v>
      </c>
      <c r="I4410">
        <v>200</v>
      </c>
      <c r="J4410" s="10">
        <v>343</v>
      </c>
      <c r="K4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10">
        <v>0</v>
      </c>
      <c r="M44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0">
        <v>9</v>
      </c>
      <c r="O4410" s="23" t="s">
        <v>242</v>
      </c>
      <c r="P4410">
        <v>108</v>
      </c>
      <c r="Q4410" s="23" t="s">
        <v>181</v>
      </c>
    </row>
    <row r="4411" spans="1:17" x14ac:dyDescent="0.25">
      <c r="A4411" s="23" t="s">
        <v>1099</v>
      </c>
      <c r="B4411" s="23" t="s">
        <v>1056</v>
      </c>
      <c r="C4411" s="23" t="s">
        <v>176</v>
      </c>
      <c r="D4411" s="23" t="s">
        <v>472</v>
      </c>
      <c r="E4411" s="23" t="s">
        <v>473</v>
      </c>
      <c r="F4411">
        <v>4</v>
      </c>
      <c r="G4411" s="23" t="s">
        <v>177</v>
      </c>
      <c r="H4411">
        <v>0</v>
      </c>
      <c r="I4411">
        <v>200</v>
      </c>
      <c r="J4411" s="10">
        <v>343</v>
      </c>
      <c r="K4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11">
        <v>0</v>
      </c>
      <c r="M44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1">
        <v>9</v>
      </c>
      <c r="O4411" s="23" t="s">
        <v>242</v>
      </c>
      <c r="P4411">
        <v>36</v>
      </c>
      <c r="Q4411" s="23" t="s">
        <v>181</v>
      </c>
    </row>
    <row r="4412" spans="1:17" x14ac:dyDescent="0.25">
      <c r="A4412" s="23" t="s">
        <v>1058</v>
      </c>
      <c r="B4412" s="23" t="s">
        <v>1059</v>
      </c>
      <c r="C4412" s="23" t="s">
        <v>176</v>
      </c>
      <c r="D4412" s="23" t="s">
        <v>476</v>
      </c>
      <c r="E4412" s="23" t="s">
        <v>477</v>
      </c>
      <c r="F4412">
        <v>1</v>
      </c>
      <c r="G4412" s="23" t="s">
        <v>177</v>
      </c>
      <c r="H4412">
        <v>0</v>
      </c>
      <c r="I4412">
        <v>6</v>
      </c>
      <c r="J4412" s="10">
        <v>0</v>
      </c>
      <c r="K4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412">
        <v>0</v>
      </c>
      <c r="M44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412">
        <v>20</v>
      </c>
      <c r="O4412" s="23" t="s">
        <v>227</v>
      </c>
      <c r="P4412">
        <v>20</v>
      </c>
      <c r="Q4412" s="23" t="s">
        <v>181</v>
      </c>
    </row>
    <row r="4413" spans="1:17" x14ac:dyDescent="0.25">
      <c r="A4413" s="23" t="s">
        <v>1055</v>
      </c>
      <c r="B4413" s="23" t="s">
        <v>1056</v>
      </c>
      <c r="C4413" s="23" t="s">
        <v>176</v>
      </c>
      <c r="D4413" s="23" t="s">
        <v>476</v>
      </c>
      <c r="E4413" s="23" t="s">
        <v>477</v>
      </c>
      <c r="F4413">
        <v>1</v>
      </c>
      <c r="G4413" s="23" t="s">
        <v>177</v>
      </c>
      <c r="H4413">
        <v>0</v>
      </c>
      <c r="I4413">
        <v>6</v>
      </c>
      <c r="J4413" s="10">
        <v>0</v>
      </c>
      <c r="K4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413">
        <v>0</v>
      </c>
      <c r="M44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413">
        <v>20</v>
      </c>
      <c r="O4413" s="23" t="s">
        <v>227</v>
      </c>
      <c r="P4413">
        <v>20</v>
      </c>
      <c r="Q4413" s="23" t="s">
        <v>181</v>
      </c>
    </row>
    <row r="4414" spans="1:17" x14ac:dyDescent="0.25">
      <c r="A4414" s="23" t="s">
        <v>1099</v>
      </c>
      <c r="B4414" s="23" t="s">
        <v>1056</v>
      </c>
      <c r="C4414" s="23" t="s">
        <v>176</v>
      </c>
      <c r="D4414" s="23" t="s">
        <v>476</v>
      </c>
      <c r="E4414" s="23" t="s">
        <v>477</v>
      </c>
      <c r="F4414">
        <v>1</v>
      </c>
      <c r="G4414" s="23" t="s">
        <v>177</v>
      </c>
      <c r="H4414">
        <v>0</v>
      </c>
      <c r="I4414">
        <v>6</v>
      </c>
      <c r="J4414" s="10">
        <v>0</v>
      </c>
      <c r="K4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414">
        <v>0</v>
      </c>
      <c r="M44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414">
        <v>20</v>
      </c>
      <c r="O4414" s="23" t="s">
        <v>227</v>
      </c>
      <c r="P4414">
        <v>20</v>
      </c>
      <c r="Q4414" s="23" t="s">
        <v>181</v>
      </c>
    </row>
    <row r="4415" spans="1:17" x14ac:dyDescent="0.25">
      <c r="A4415" s="23" t="s">
        <v>1147</v>
      </c>
      <c r="B4415" s="23" t="s">
        <v>1145</v>
      </c>
      <c r="C4415" s="23" t="s">
        <v>176</v>
      </c>
      <c r="D4415" s="23" t="s">
        <v>265</v>
      </c>
      <c r="E4415" s="23" t="s">
        <v>420</v>
      </c>
      <c r="F4415">
        <v>1</v>
      </c>
      <c r="G4415" s="23" t="s">
        <v>177</v>
      </c>
      <c r="H4415">
        <v>0</v>
      </c>
      <c r="I4415">
        <v>0</v>
      </c>
      <c r="J4415" s="10">
        <v>10</v>
      </c>
      <c r="K4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15">
        <v>5</v>
      </c>
      <c r="M44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15">
        <v>5994.01</v>
      </c>
      <c r="O4415" s="23" t="s">
        <v>228</v>
      </c>
      <c r="P4415">
        <v>5994.01</v>
      </c>
      <c r="Q4415" s="23" t="s">
        <v>222</v>
      </c>
    </row>
    <row r="4416" spans="1:17" x14ac:dyDescent="0.25">
      <c r="A4416" s="23" t="s">
        <v>1146</v>
      </c>
      <c r="B4416" s="23" t="s">
        <v>1145</v>
      </c>
      <c r="C4416" s="23" t="s">
        <v>176</v>
      </c>
      <c r="D4416" s="23" t="s">
        <v>265</v>
      </c>
      <c r="E4416" s="23" t="s">
        <v>420</v>
      </c>
      <c r="F4416">
        <v>1</v>
      </c>
      <c r="G4416" s="23" t="s">
        <v>177</v>
      </c>
      <c r="H4416">
        <v>0</v>
      </c>
      <c r="I4416">
        <v>0</v>
      </c>
      <c r="J4416" s="10">
        <v>10</v>
      </c>
      <c r="K4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16">
        <v>5</v>
      </c>
      <c r="M44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16">
        <v>5994.01</v>
      </c>
      <c r="O4416" s="23" t="s">
        <v>228</v>
      </c>
      <c r="P4416">
        <v>5994.01</v>
      </c>
      <c r="Q4416" s="23" t="s">
        <v>222</v>
      </c>
    </row>
    <row r="4417" spans="1:17" x14ac:dyDescent="0.25">
      <c r="A4417" s="23" t="s">
        <v>1144</v>
      </c>
      <c r="B4417" s="23" t="s">
        <v>1145</v>
      </c>
      <c r="C4417" s="23" t="s">
        <v>176</v>
      </c>
      <c r="D4417" s="23" t="s">
        <v>265</v>
      </c>
      <c r="E4417" s="23" t="s">
        <v>420</v>
      </c>
      <c r="F4417">
        <v>1</v>
      </c>
      <c r="G4417" s="23" t="s">
        <v>177</v>
      </c>
      <c r="H4417">
        <v>0</v>
      </c>
      <c r="I4417">
        <v>0</v>
      </c>
      <c r="J4417" s="10">
        <v>10</v>
      </c>
      <c r="K4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17">
        <v>5</v>
      </c>
      <c r="M44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17">
        <v>5994.01</v>
      </c>
      <c r="O4417" s="23" t="s">
        <v>228</v>
      </c>
      <c r="P4417">
        <v>5994.01</v>
      </c>
      <c r="Q4417" s="23" t="s">
        <v>222</v>
      </c>
    </row>
    <row r="4418" spans="1:17" x14ac:dyDescent="0.25">
      <c r="A4418" s="23" t="s">
        <v>1100</v>
      </c>
      <c r="B4418" s="23" t="s">
        <v>1101</v>
      </c>
      <c r="C4418" s="23" t="s">
        <v>176</v>
      </c>
      <c r="D4418" s="23" t="s">
        <v>154</v>
      </c>
      <c r="E4418" s="23" t="s">
        <v>155</v>
      </c>
      <c r="F4418">
        <v>3</v>
      </c>
      <c r="G4418" s="23" t="s">
        <v>177</v>
      </c>
      <c r="H4418">
        <v>0</v>
      </c>
      <c r="I4418">
        <v>55</v>
      </c>
      <c r="J4418" s="10">
        <v>17</v>
      </c>
      <c r="K4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418">
        <v>0</v>
      </c>
      <c r="M44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8">
        <v>199.45</v>
      </c>
      <c r="O4418" s="23" t="s">
        <v>277</v>
      </c>
      <c r="P4418">
        <v>598.34999999999991</v>
      </c>
      <c r="Q4418" s="23" t="s">
        <v>181</v>
      </c>
    </row>
    <row r="4419" spans="1:17" x14ac:dyDescent="0.25">
      <c r="A4419" s="23" t="s">
        <v>1055</v>
      </c>
      <c r="B4419" s="23" t="s">
        <v>1056</v>
      </c>
      <c r="C4419" s="23" t="s">
        <v>176</v>
      </c>
      <c r="D4419" s="23" t="s">
        <v>472</v>
      </c>
      <c r="E4419" s="23" t="s">
        <v>473</v>
      </c>
      <c r="F4419">
        <v>12</v>
      </c>
      <c r="G4419" s="23" t="s">
        <v>177</v>
      </c>
      <c r="H4419">
        <v>0</v>
      </c>
      <c r="I4419">
        <v>200</v>
      </c>
      <c r="J4419" s="10">
        <v>343</v>
      </c>
      <c r="K4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19">
        <v>0</v>
      </c>
      <c r="M44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19">
        <v>9</v>
      </c>
      <c r="O4419" s="23" t="s">
        <v>242</v>
      </c>
      <c r="P4419">
        <v>108</v>
      </c>
      <c r="Q4419" s="23" t="s">
        <v>181</v>
      </c>
    </row>
    <row r="4420" spans="1:17" x14ac:dyDescent="0.25">
      <c r="A4420" s="23" t="s">
        <v>1100</v>
      </c>
      <c r="B4420" s="23" t="s">
        <v>1101</v>
      </c>
      <c r="C4420" s="23" t="s">
        <v>176</v>
      </c>
      <c r="D4420" s="23" t="s">
        <v>476</v>
      </c>
      <c r="E4420" s="23" t="s">
        <v>477</v>
      </c>
      <c r="F4420">
        <v>2</v>
      </c>
      <c r="G4420" s="23" t="s">
        <v>177</v>
      </c>
      <c r="H4420">
        <v>0</v>
      </c>
      <c r="I4420">
        <v>6</v>
      </c>
      <c r="J4420" s="10">
        <v>0</v>
      </c>
      <c r="K4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420">
        <v>0</v>
      </c>
      <c r="M44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420">
        <v>20</v>
      </c>
      <c r="O4420" s="23" t="s">
        <v>227</v>
      </c>
      <c r="P4420">
        <v>40</v>
      </c>
      <c r="Q4420" s="23" t="s">
        <v>181</v>
      </c>
    </row>
    <row r="4421" spans="1:17" x14ac:dyDescent="0.25">
      <c r="A4421" s="23" t="s">
        <v>1055</v>
      </c>
      <c r="B4421" s="23" t="s">
        <v>1056</v>
      </c>
      <c r="C4421" s="23" t="s">
        <v>176</v>
      </c>
      <c r="D4421" s="23" t="s">
        <v>265</v>
      </c>
      <c r="E4421" s="23" t="s">
        <v>420</v>
      </c>
      <c r="F4421">
        <v>1</v>
      </c>
      <c r="G4421" s="23" t="s">
        <v>177</v>
      </c>
      <c r="H4421">
        <v>1</v>
      </c>
      <c r="I4421">
        <v>0</v>
      </c>
      <c r="J4421" s="10">
        <v>10</v>
      </c>
      <c r="K4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21">
        <v>5</v>
      </c>
      <c r="M44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21">
        <v>5994.01</v>
      </c>
      <c r="O4421" s="23" t="s">
        <v>228</v>
      </c>
      <c r="P4421">
        <v>5994.01</v>
      </c>
      <c r="Q4421" s="23" t="s">
        <v>222</v>
      </c>
    </row>
    <row r="4422" spans="1:17" x14ac:dyDescent="0.25">
      <c r="A4422" s="23" t="s">
        <v>1097</v>
      </c>
      <c r="B4422" s="23" t="s">
        <v>1095</v>
      </c>
      <c r="C4422" s="23" t="s">
        <v>176</v>
      </c>
      <c r="D4422" s="23" t="s">
        <v>154</v>
      </c>
      <c r="E4422" s="23" t="s">
        <v>155</v>
      </c>
      <c r="F4422">
        <v>4</v>
      </c>
      <c r="G4422" s="23" t="s">
        <v>177</v>
      </c>
      <c r="H4422">
        <v>0</v>
      </c>
      <c r="I4422">
        <v>55</v>
      </c>
      <c r="J4422" s="10">
        <v>17</v>
      </c>
      <c r="K4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422">
        <v>0</v>
      </c>
      <c r="M44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2">
        <v>199.45</v>
      </c>
      <c r="O4422" s="23" t="s">
        <v>277</v>
      </c>
      <c r="P4422">
        <v>797.8</v>
      </c>
      <c r="Q4422" s="23" t="s">
        <v>181</v>
      </c>
    </row>
    <row r="4423" spans="1:17" x14ac:dyDescent="0.25">
      <c r="A4423" s="23" t="s">
        <v>1097</v>
      </c>
      <c r="B4423" s="23" t="s">
        <v>1095</v>
      </c>
      <c r="C4423" s="23" t="s">
        <v>176</v>
      </c>
      <c r="D4423" s="23" t="s">
        <v>476</v>
      </c>
      <c r="E4423" s="23" t="s">
        <v>477</v>
      </c>
      <c r="F4423">
        <v>1</v>
      </c>
      <c r="G4423" s="23" t="s">
        <v>177</v>
      </c>
      <c r="H4423">
        <v>0</v>
      </c>
      <c r="I4423">
        <v>6</v>
      </c>
      <c r="J4423" s="10">
        <v>0</v>
      </c>
      <c r="K4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4423">
        <v>0</v>
      </c>
      <c r="M44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4423">
        <v>20</v>
      </c>
      <c r="O4423" s="23" t="s">
        <v>227</v>
      </c>
      <c r="P4423">
        <v>20</v>
      </c>
      <c r="Q4423" s="23" t="s">
        <v>181</v>
      </c>
    </row>
    <row r="4424" spans="1:17" x14ac:dyDescent="0.25">
      <c r="A4424" s="23" t="s">
        <v>1148</v>
      </c>
      <c r="B4424" s="23" t="s">
        <v>1054</v>
      </c>
      <c r="C4424" s="23" t="s">
        <v>176</v>
      </c>
      <c r="D4424" s="23" t="s">
        <v>472</v>
      </c>
      <c r="E4424" s="23" t="s">
        <v>473</v>
      </c>
      <c r="F4424">
        <v>4</v>
      </c>
      <c r="G4424" s="23" t="s">
        <v>177</v>
      </c>
      <c r="H4424">
        <v>0</v>
      </c>
      <c r="I4424">
        <v>200</v>
      </c>
      <c r="J4424" s="10">
        <v>343</v>
      </c>
      <c r="K4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24">
        <v>0</v>
      </c>
      <c r="M44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4">
        <v>9</v>
      </c>
      <c r="O4424" s="23" t="s">
        <v>242</v>
      </c>
      <c r="P4424">
        <v>36</v>
      </c>
      <c r="Q4424" s="23" t="s">
        <v>181</v>
      </c>
    </row>
    <row r="4425" spans="1:17" x14ac:dyDescent="0.25">
      <c r="A4425" s="23" t="s">
        <v>1148</v>
      </c>
      <c r="B4425" s="23" t="s">
        <v>1054</v>
      </c>
      <c r="C4425" s="23" t="s">
        <v>176</v>
      </c>
      <c r="D4425" s="23" t="s">
        <v>265</v>
      </c>
      <c r="E4425" s="23" t="s">
        <v>420</v>
      </c>
      <c r="F4425">
        <v>1</v>
      </c>
      <c r="G4425" s="23" t="s">
        <v>177</v>
      </c>
      <c r="H4425">
        <v>0</v>
      </c>
      <c r="I4425">
        <v>0</v>
      </c>
      <c r="J4425" s="10">
        <v>10</v>
      </c>
      <c r="K4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25">
        <v>5</v>
      </c>
      <c r="M44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25">
        <v>5994.01</v>
      </c>
      <c r="O4425" s="23" t="s">
        <v>228</v>
      </c>
      <c r="P4425">
        <v>5994.01</v>
      </c>
      <c r="Q4425" s="23" t="s">
        <v>222</v>
      </c>
    </row>
    <row r="4426" spans="1:17" x14ac:dyDescent="0.25">
      <c r="A4426" s="23" t="s">
        <v>1098</v>
      </c>
      <c r="B4426" s="23" t="s">
        <v>1053</v>
      </c>
      <c r="C4426" s="23" t="s">
        <v>176</v>
      </c>
      <c r="D4426" s="23" t="s">
        <v>154</v>
      </c>
      <c r="E4426" s="23" t="s">
        <v>155</v>
      </c>
      <c r="F4426">
        <v>6</v>
      </c>
      <c r="G4426" s="23" t="s">
        <v>177</v>
      </c>
      <c r="H4426">
        <v>0</v>
      </c>
      <c r="I4426">
        <v>55</v>
      </c>
      <c r="J4426" s="10">
        <v>17</v>
      </c>
      <c r="K4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4426">
        <v>0</v>
      </c>
      <c r="M44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6">
        <v>199.45</v>
      </c>
      <c r="O4426" s="23" t="s">
        <v>277</v>
      </c>
      <c r="P4426">
        <v>1196.6999999999998</v>
      </c>
      <c r="Q4426" s="23" t="s">
        <v>181</v>
      </c>
    </row>
    <row r="4427" spans="1:17" x14ac:dyDescent="0.25">
      <c r="A4427" s="23" t="s">
        <v>1100</v>
      </c>
      <c r="B4427" s="23" t="s">
        <v>1101</v>
      </c>
      <c r="C4427" s="23" t="s">
        <v>176</v>
      </c>
      <c r="D4427" s="23" t="s">
        <v>472</v>
      </c>
      <c r="E4427" s="23" t="s">
        <v>473</v>
      </c>
      <c r="F4427">
        <v>16</v>
      </c>
      <c r="G4427" s="23" t="s">
        <v>177</v>
      </c>
      <c r="H4427">
        <v>0</v>
      </c>
      <c r="I4427">
        <v>200</v>
      </c>
      <c r="J4427" s="10">
        <v>343</v>
      </c>
      <c r="K4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27">
        <v>0</v>
      </c>
      <c r="M44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7">
        <v>9</v>
      </c>
      <c r="O4427" s="23" t="s">
        <v>242</v>
      </c>
      <c r="P4427">
        <v>144</v>
      </c>
      <c r="Q4427" s="23" t="s">
        <v>181</v>
      </c>
    </row>
    <row r="4428" spans="1:17" x14ac:dyDescent="0.25">
      <c r="A4428" s="23" t="s">
        <v>1100</v>
      </c>
      <c r="B4428" s="23" t="s">
        <v>1101</v>
      </c>
      <c r="C4428" s="23" t="s">
        <v>176</v>
      </c>
      <c r="D4428" s="23" t="s">
        <v>265</v>
      </c>
      <c r="E4428" s="23" t="s">
        <v>420</v>
      </c>
      <c r="F4428">
        <v>1</v>
      </c>
      <c r="G4428" s="23" t="s">
        <v>177</v>
      </c>
      <c r="H4428">
        <v>0</v>
      </c>
      <c r="I4428">
        <v>0</v>
      </c>
      <c r="J4428" s="10">
        <v>10</v>
      </c>
      <c r="K4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428">
        <v>5</v>
      </c>
      <c r="M44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4428">
        <v>5994.01</v>
      </c>
      <c r="O4428" s="23" t="s">
        <v>228</v>
      </c>
      <c r="P4428">
        <v>5994.01</v>
      </c>
      <c r="Q4428" s="23" t="s">
        <v>222</v>
      </c>
    </row>
    <row r="4429" spans="1:17" x14ac:dyDescent="0.25">
      <c r="A4429" s="23" t="s">
        <v>1098</v>
      </c>
      <c r="B4429" s="23" t="s">
        <v>1053</v>
      </c>
      <c r="C4429" s="23" t="s">
        <v>176</v>
      </c>
      <c r="D4429" s="23" t="s">
        <v>1075</v>
      </c>
      <c r="E4429" s="23" t="s">
        <v>1076</v>
      </c>
      <c r="F4429">
        <v>1</v>
      </c>
      <c r="G4429" s="23" t="s">
        <v>177</v>
      </c>
      <c r="H4429">
        <v>0</v>
      </c>
      <c r="I4429">
        <v>0</v>
      </c>
      <c r="J4429" s="10">
        <v>0</v>
      </c>
      <c r="K4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4429">
        <v>0</v>
      </c>
      <c r="M44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29">
        <v>0</v>
      </c>
      <c r="O4429" s="23"/>
      <c r="P4429">
        <v>0</v>
      </c>
      <c r="Q4429" s="23" t="s">
        <v>178</v>
      </c>
    </row>
    <row r="4430" spans="1:17" x14ac:dyDescent="0.25">
      <c r="A4430" s="23" t="s">
        <v>1197</v>
      </c>
      <c r="B4430" s="23" t="s">
        <v>1198</v>
      </c>
      <c r="C4430" s="23" t="s">
        <v>176</v>
      </c>
      <c r="D4430" s="23" t="s">
        <v>1075</v>
      </c>
      <c r="E4430" s="23" t="s">
        <v>1076</v>
      </c>
      <c r="F4430">
        <v>1</v>
      </c>
      <c r="G4430" s="23" t="s">
        <v>177</v>
      </c>
      <c r="H4430">
        <v>0</v>
      </c>
      <c r="I4430">
        <v>0</v>
      </c>
      <c r="J4430" s="10">
        <v>0</v>
      </c>
      <c r="K4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4430">
        <v>0</v>
      </c>
      <c r="M44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0">
        <v>0</v>
      </c>
      <c r="O4430" s="23"/>
      <c r="P4430">
        <v>0</v>
      </c>
      <c r="Q4430" s="23" t="s">
        <v>178</v>
      </c>
    </row>
    <row r="4431" spans="1:17" x14ac:dyDescent="0.25">
      <c r="A4431" s="23" t="s">
        <v>1097</v>
      </c>
      <c r="B4431" s="23" t="s">
        <v>1095</v>
      </c>
      <c r="C4431" s="23" t="s">
        <v>176</v>
      </c>
      <c r="D4431" s="23" t="s">
        <v>1075</v>
      </c>
      <c r="E4431" s="23" t="s">
        <v>1076</v>
      </c>
      <c r="F4431">
        <v>1</v>
      </c>
      <c r="G4431" s="23" t="s">
        <v>177</v>
      </c>
      <c r="H4431">
        <v>0</v>
      </c>
      <c r="I4431">
        <v>0</v>
      </c>
      <c r="J4431" s="10">
        <v>0</v>
      </c>
      <c r="K4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4431">
        <v>0</v>
      </c>
      <c r="M44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1">
        <v>0</v>
      </c>
      <c r="O4431" s="23"/>
      <c r="P4431">
        <v>0</v>
      </c>
      <c r="Q4431" s="23" t="s">
        <v>178</v>
      </c>
    </row>
    <row r="4432" spans="1:17" x14ac:dyDescent="0.25">
      <c r="A4432" s="23" t="s">
        <v>1097</v>
      </c>
      <c r="B4432" s="23" t="s">
        <v>1095</v>
      </c>
      <c r="C4432" s="23" t="s">
        <v>176</v>
      </c>
      <c r="D4432" s="23" t="s">
        <v>472</v>
      </c>
      <c r="E4432" s="23" t="s">
        <v>473</v>
      </c>
      <c r="F4432">
        <v>16</v>
      </c>
      <c r="G4432" s="23" t="s">
        <v>177</v>
      </c>
      <c r="H4432">
        <v>0</v>
      </c>
      <c r="I4432">
        <v>200</v>
      </c>
      <c r="J4432" s="10">
        <v>343</v>
      </c>
      <c r="K4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32">
        <v>0</v>
      </c>
      <c r="M44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2">
        <v>9</v>
      </c>
      <c r="O4432" s="23" t="s">
        <v>242</v>
      </c>
      <c r="P4432">
        <v>144</v>
      </c>
      <c r="Q4432" s="23" t="s">
        <v>181</v>
      </c>
    </row>
    <row r="4433" spans="1:17" x14ac:dyDescent="0.25">
      <c r="A4433" s="23" t="s">
        <v>1197</v>
      </c>
      <c r="B4433" s="23" t="s">
        <v>1198</v>
      </c>
      <c r="C4433" s="23" t="s">
        <v>176</v>
      </c>
      <c r="D4433" s="23" t="s">
        <v>472</v>
      </c>
      <c r="E4433" s="23" t="s">
        <v>473</v>
      </c>
      <c r="F4433">
        <v>12</v>
      </c>
      <c r="G4433" s="23" t="s">
        <v>177</v>
      </c>
      <c r="H4433">
        <v>0</v>
      </c>
      <c r="I4433">
        <v>200</v>
      </c>
      <c r="J4433" s="10">
        <v>343</v>
      </c>
      <c r="K4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33">
        <v>0</v>
      </c>
      <c r="M44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3">
        <v>9</v>
      </c>
      <c r="O4433" s="23" t="s">
        <v>242</v>
      </c>
      <c r="P4433">
        <v>108</v>
      </c>
      <c r="Q4433" s="23" t="s">
        <v>181</v>
      </c>
    </row>
    <row r="4434" spans="1:17" x14ac:dyDescent="0.25">
      <c r="A4434" s="23" t="s">
        <v>1146</v>
      </c>
      <c r="B4434" s="23" t="s">
        <v>1145</v>
      </c>
      <c r="C4434" s="23" t="s">
        <v>176</v>
      </c>
      <c r="D4434" s="23" t="s">
        <v>650</v>
      </c>
      <c r="E4434" s="23" t="s">
        <v>651</v>
      </c>
      <c r="F4434">
        <v>6</v>
      </c>
      <c r="G4434" s="23" t="s">
        <v>186</v>
      </c>
      <c r="H4434">
        <v>0</v>
      </c>
      <c r="I4434">
        <v>65</v>
      </c>
      <c r="J4434" s="10">
        <v>0</v>
      </c>
      <c r="K4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434">
        <v>0</v>
      </c>
      <c r="M44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434">
        <v>1119.95</v>
      </c>
      <c r="O4434" s="23" t="s">
        <v>649</v>
      </c>
      <c r="P4434">
        <v>6719.7000000000007</v>
      </c>
      <c r="Q4434" s="23" t="s">
        <v>184</v>
      </c>
    </row>
    <row r="4435" spans="1:17" x14ac:dyDescent="0.25">
      <c r="A4435" s="23" t="s">
        <v>1144</v>
      </c>
      <c r="B4435" s="23" t="s">
        <v>1145</v>
      </c>
      <c r="C4435" s="23" t="s">
        <v>176</v>
      </c>
      <c r="D4435" s="23" t="s">
        <v>646</v>
      </c>
      <c r="E4435" s="23" t="s">
        <v>647</v>
      </c>
      <c r="F4435">
        <v>1</v>
      </c>
      <c r="G4435" s="23" t="s">
        <v>177</v>
      </c>
      <c r="H4435">
        <v>0</v>
      </c>
      <c r="I4435">
        <v>3</v>
      </c>
      <c r="J4435" s="10">
        <v>8</v>
      </c>
      <c r="K4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435">
        <v>0</v>
      </c>
      <c r="M44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435">
        <v>1820</v>
      </c>
      <c r="O4435" s="23" t="s">
        <v>264</v>
      </c>
      <c r="P4435">
        <v>1820</v>
      </c>
      <c r="Q4435" s="23" t="s">
        <v>642</v>
      </c>
    </row>
    <row r="4436" spans="1:17" x14ac:dyDescent="0.25">
      <c r="A4436" s="23" t="s">
        <v>1096</v>
      </c>
      <c r="B4436" s="23" t="s">
        <v>1053</v>
      </c>
      <c r="C4436" s="23" t="s">
        <v>176</v>
      </c>
      <c r="D4436" s="23" t="s">
        <v>379</v>
      </c>
      <c r="E4436" s="23" t="s">
        <v>380</v>
      </c>
      <c r="F4436">
        <v>2</v>
      </c>
      <c r="G4436" s="23" t="s">
        <v>177</v>
      </c>
      <c r="H4436">
        <v>0</v>
      </c>
      <c r="I4436">
        <v>50</v>
      </c>
      <c r="J4436" s="10">
        <v>33</v>
      </c>
      <c r="K4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436">
        <v>0</v>
      </c>
      <c r="M44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6">
        <v>72.599999999999994</v>
      </c>
      <c r="O4436" s="23" t="s">
        <v>242</v>
      </c>
      <c r="P4436">
        <v>145.19999999999999</v>
      </c>
      <c r="Q4436" s="23" t="s">
        <v>179</v>
      </c>
    </row>
    <row r="4437" spans="1:17" x14ac:dyDescent="0.25">
      <c r="A4437" s="23" t="s">
        <v>1149</v>
      </c>
      <c r="B4437" s="23" t="s">
        <v>1145</v>
      </c>
      <c r="C4437" s="23" t="s">
        <v>176</v>
      </c>
      <c r="D4437" s="23" t="s">
        <v>561</v>
      </c>
      <c r="E4437" s="23" t="s">
        <v>562</v>
      </c>
      <c r="F4437">
        <v>3.2</v>
      </c>
      <c r="G4437" s="23" t="s">
        <v>177</v>
      </c>
      <c r="H4437">
        <v>0</v>
      </c>
      <c r="I4437">
        <v>272</v>
      </c>
      <c r="J4437" s="10">
        <v>4.3</v>
      </c>
      <c r="K4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437">
        <v>0</v>
      </c>
      <c r="M44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7">
        <v>30</v>
      </c>
      <c r="O4437" s="23" t="s">
        <v>242</v>
      </c>
      <c r="P4437">
        <v>96</v>
      </c>
      <c r="Q4437" s="23" t="s">
        <v>181</v>
      </c>
    </row>
    <row r="4438" spans="1:17" x14ac:dyDescent="0.25">
      <c r="A4438" s="23" t="s">
        <v>1146</v>
      </c>
      <c r="B4438" s="23" t="s">
        <v>1145</v>
      </c>
      <c r="C4438" s="23" t="s">
        <v>176</v>
      </c>
      <c r="D4438" s="23" t="s">
        <v>561</v>
      </c>
      <c r="E4438" s="23" t="s">
        <v>562</v>
      </c>
      <c r="F4438">
        <v>2.7</v>
      </c>
      <c r="G4438" s="23" t="s">
        <v>177</v>
      </c>
      <c r="H4438">
        <v>0</v>
      </c>
      <c r="I4438">
        <v>272</v>
      </c>
      <c r="J4438" s="10">
        <v>4.3</v>
      </c>
      <c r="K4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438">
        <v>0</v>
      </c>
      <c r="M44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8">
        <v>30</v>
      </c>
      <c r="O4438" s="23" t="s">
        <v>242</v>
      </c>
      <c r="P4438">
        <v>81</v>
      </c>
      <c r="Q4438" s="23" t="s">
        <v>181</v>
      </c>
    </row>
    <row r="4439" spans="1:17" x14ac:dyDescent="0.25">
      <c r="A4439" s="23" t="s">
        <v>1143</v>
      </c>
      <c r="B4439" s="23" t="s">
        <v>1054</v>
      </c>
      <c r="C4439" s="23" t="s">
        <v>176</v>
      </c>
      <c r="D4439" s="23" t="s">
        <v>581</v>
      </c>
      <c r="E4439" s="23" t="s">
        <v>582</v>
      </c>
      <c r="F4439">
        <v>23.71</v>
      </c>
      <c r="G4439" s="23" t="s">
        <v>186</v>
      </c>
      <c r="H4439">
        <v>0</v>
      </c>
      <c r="I4439">
        <v>140</v>
      </c>
      <c r="J4439" s="10">
        <v>139.95999999999989</v>
      </c>
      <c r="K4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439">
        <v>80</v>
      </c>
      <c r="M44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39">
        <v>164.09</v>
      </c>
      <c r="O4439" s="23" t="s">
        <v>491</v>
      </c>
      <c r="P4439">
        <v>3890.5739000000003</v>
      </c>
      <c r="Q4439" s="23" t="s">
        <v>184</v>
      </c>
    </row>
    <row r="4440" spans="1:17" x14ac:dyDescent="0.25">
      <c r="A4440" s="23" t="s">
        <v>1142</v>
      </c>
      <c r="B4440" s="23" t="s">
        <v>1054</v>
      </c>
      <c r="C4440" s="23" t="s">
        <v>176</v>
      </c>
      <c r="D4440" s="23" t="s">
        <v>690</v>
      </c>
      <c r="E4440" s="23" t="s">
        <v>691</v>
      </c>
      <c r="F4440">
        <v>1</v>
      </c>
      <c r="G4440" s="23" t="s">
        <v>177</v>
      </c>
      <c r="H4440">
        <v>0</v>
      </c>
      <c r="I4440">
        <v>25</v>
      </c>
      <c r="J4440" s="10">
        <v>3</v>
      </c>
      <c r="K4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440">
        <v>0</v>
      </c>
      <c r="M44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0">
        <v>871.93</v>
      </c>
      <c r="O4440" s="23" t="s">
        <v>692</v>
      </c>
      <c r="P4440">
        <v>871.93</v>
      </c>
      <c r="Q4440" s="23" t="s">
        <v>178</v>
      </c>
    </row>
    <row r="4441" spans="1:17" x14ac:dyDescent="0.25">
      <c r="A4441" s="23" t="s">
        <v>1096</v>
      </c>
      <c r="B4441" s="23" t="s">
        <v>1053</v>
      </c>
      <c r="C4441" s="23" t="s">
        <v>176</v>
      </c>
      <c r="D4441" s="23" t="s">
        <v>1077</v>
      </c>
      <c r="E4441" s="23" t="s">
        <v>1078</v>
      </c>
      <c r="F4441">
        <v>1</v>
      </c>
      <c r="G4441" s="23" t="s">
        <v>177</v>
      </c>
      <c r="H4441">
        <v>1</v>
      </c>
      <c r="I4441">
        <v>4</v>
      </c>
      <c r="J4441" s="10">
        <v>7</v>
      </c>
      <c r="K4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441">
        <v>10</v>
      </c>
      <c r="M44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1">
        <v>3097.63</v>
      </c>
      <c r="O4441" s="23" t="s">
        <v>593</v>
      </c>
      <c r="P4441">
        <v>3097.63</v>
      </c>
      <c r="Q4441" s="23" t="s">
        <v>179</v>
      </c>
    </row>
    <row r="4442" spans="1:17" x14ac:dyDescent="0.25">
      <c r="A4442" s="23" t="s">
        <v>1147</v>
      </c>
      <c r="B4442" s="23" t="s">
        <v>1145</v>
      </c>
      <c r="C4442" s="23" t="s">
        <v>176</v>
      </c>
      <c r="D4442" s="23" t="s">
        <v>549</v>
      </c>
      <c r="E4442" s="23" t="s">
        <v>550</v>
      </c>
      <c r="F4442">
        <v>28</v>
      </c>
      <c r="G4442" s="23" t="s">
        <v>177</v>
      </c>
      <c r="H4442">
        <v>0</v>
      </c>
      <c r="I4442">
        <v>800</v>
      </c>
      <c r="J4442" s="10">
        <v>0</v>
      </c>
      <c r="K4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442">
        <v>0</v>
      </c>
      <c r="M44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2">
        <v>13.75</v>
      </c>
      <c r="O4442" s="23" t="s">
        <v>629</v>
      </c>
      <c r="P4442">
        <v>385</v>
      </c>
      <c r="Q4442" s="23" t="s">
        <v>181</v>
      </c>
    </row>
    <row r="4443" spans="1:17" x14ac:dyDescent="0.25">
      <c r="A4443" s="23" t="s">
        <v>1147</v>
      </c>
      <c r="B4443" s="23" t="s">
        <v>1145</v>
      </c>
      <c r="C4443" s="23" t="s">
        <v>176</v>
      </c>
      <c r="D4443" s="23" t="s">
        <v>561</v>
      </c>
      <c r="E4443" s="23" t="s">
        <v>562</v>
      </c>
      <c r="F4443">
        <v>3.2</v>
      </c>
      <c r="G4443" s="23" t="s">
        <v>177</v>
      </c>
      <c r="H4443">
        <v>0</v>
      </c>
      <c r="I4443">
        <v>272</v>
      </c>
      <c r="J4443" s="10">
        <v>4.3</v>
      </c>
      <c r="K4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443">
        <v>0</v>
      </c>
      <c r="M44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3">
        <v>30</v>
      </c>
      <c r="O4443" s="23" t="s">
        <v>242</v>
      </c>
      <c r="P4443">
        <v>96</v>
      </c>
      <c r="Q4443" s="23" t="s">
        <v>181</v>
      </c>
    </row>
    <row r="4444" spans="1:17" x14ac:dyDescent="0.25">
      <c r="A4444" s="23" t="s">
        <v>1150</v>
      </c>
      <c r="B4444" s="23" t="s">
        <v>1145</v>
      </c>
      <c r="C4444" s="23" t="s">
        <v>176</v>
      </c>
      <c r="D4444" s="23" t="s">
        <v>731</v>
      </c>
      <c r="E4444" s="23" t="s">
        <v>732</v>
      </c>
      <c r="F4444">
        <v>2</v>
      </c>
      <c r="G4444" s="23" t="s">
        <v>177</v>
      </c>
      <c r="H4444">
        <v>0</v>
      </c>
      <c r="I4444">
        <v>265</v>
      </c>
      <c r="J4444" s="10">
        <v>94</v>
      </c>
      <c r="K4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4444">
        <v>0</v>
      </c>
      <c r="M44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4">
        <v>4</v>
      </c>
      <c r="O4444" s="23" t="s">
        <v>221</v>
      </c>
      <c r="P4444">
        <v>8</v>
      </c>
      <c r="Q4444" s="23" t="s">
        <v>222</v>
      </c>
    </row>
    <row r="4445" spans="1:17" x14ac:dyDescent="0.25">
      <c r="A4445" s="23" t="s">
        <v>1150</v>
      </c>
      <c r="B4445" s="23" t="s">
        <v>1145</v>
      </c>
      <c r="C4445" s="23" t="s">
        <v>176</v>
      </c>
      <c r="D4445" s="23" t="s">
        <v>1083</v>
      </c>
      <c r="E4445" s="23" t="s">
        <v>1084</v>
      </c>
      <c r="F4445">
        <v>2</v>
      </c>
      <c r="G4445" s="23" t="s">
        <v>177</v>
      </c>
      <c r="H4445">
        <v>0</v>
      </c>
      <c r="I4445">
        <v>16</v>
      </c>
      <c r="J4445" s="10">
        <v>14</v>
      </c>
      <c r="K4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445">
        <v>20</v>
      </c>
      <c r="M44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5">
        <v>194</v>
      </c>
      <c r="O4445" s="23" t="s">
        <v>218</v>
      </c>
      <c r="P4445">
        <v>388</v>
      </c>
      <c r="Q4445" s="23" t="s">
        <v>178</v>
      </c>
    </row>
    <row r="4446" spans="1:17" x14ac:dyDescent="0.25">
      <c r="A4446" s="23" t="s">
        <v>1197</v>
      </c>
      <c r="B4446" s="23" t="s">
        <v>1198</v>
      </c>
      <c r="C4446" s="23" t="s">
        <v>176</v>
      </c>
      <c r="D4446" s="23" t="s">
        <v>549</v>
      </c>
      <c r="E4446" s="23" t="s">
        <v>550</v>
      </c>
      <c r="F4446">
        <v>28</v>
      </c>
      <c r="G4446" s="23" t="s">
        <v>177</v>
      </c>
      <c r="H4446">
        <v>0</v>
      </c>
      <c r="I4446">
        <v>800</v>
      </c>
      <c r="J4446" s="10">
        <v>0</v>
      </c>
      <c r="K4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446">
        <v>0</v>
      </c>
      <c r="M44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6">
        <v>13.75</v>
      </c>
      <c r="O4446" s="23" t="s">
        <v>629</v>
      </c>
      <c r="P4446">
        <v>385</v>
      </c>
      <c r="Q4446" s="23" t="s">
        <v>181</v>
      </c>
    </row>
    <row r="4447" spans="1:17" x14ac:dyDescent="0.25">
      <c r="A4447" s="23" t="s">
        <v>1098</v>
      </c>
      <c r="B4447" s="23" t="s">
        <v>1053</v>
      </c>
      <c r="C4447" s="23" t="s">
        <v>176</v>
      </c>
      <c r="D4447" s="23" t="s">
        <v>549</v>
      </c>
      <c r="E4447" s="23" t="s">
        <v>550</v>
      </c>
      <c r="F4447">
        <v>15</v>
      </c>
      <c r="G4447" s="23" t="s">
        <v>177</v>
      </c>
      <c r="H4447">
        <v>0</v>
      </c>
      <c r="I4447">
        <v>800</v>
      </c>
      <c r="J4447" s="10">
        <v>0</v>
      </c>
      <c r="K4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447">
        <v>0</v>
      </c>
      <c r="M44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7">
        <v>13.75</v>
      </c>
      <c r="O4447" s="23" t="s">
        <v>629</v>
      </c>
      <c r="P4447">
        <v>206.25</v>
      </c>
      <c r="Q4447" s="23" t="s">
        <v>181</v>
      </c>
    </row>
    <row r="4448" spans="1:17" x14ac:dyDescent="0.25">
      <c r="A4448" s="23" t="s">
        <v>1098</v>
      </c>
      <c r="B4448" s="23" t="s">
        <v>1053</v>
      </c>
      <c r="C4448" s="23" t="s">
        <v>176</v>
      </c>
      <c r="D4448" s="23" t="s">
        <v>553</v>
      </c>
      <c r="E4448" s="23" t="s">
        <v>554</v>
      </c>
      <c r="F4448">
        <v>0.73</v>
      </c>
      <c r="G4448" s="23" t="s">
        <v>177</v>
      </c>
      <c r="H4448">
        <v>0</v>
      </c>
      <c r="I4448">
        <v>14</v>
      </c>
      <c r="J4448" s="10">
        <v>9.9999999999999964</v>
      </c>
      <c r="K4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448">
        <v>0</v>
      </c>
      <c r="M44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448">
        <v>215</v>
      </c>
      <c r="O4448" s="23" t="s">
        <v>242</v>
      </c>
      <c r="P4448">
        <v>156.94999999999999</v>
      </c>
      <c r="Q4448" s="23" t="s">
        <v>181</v>
      </c>
    </row>
    <row r="4449" spans="1:17" x14ac:dyDescent="0.25">
      <c r="A4449" s="23" t="s">
        <v>1097</v>
      </c>
      <c r="B4449" s="23" t="s">
        <v>1095</v>
      </c>
      <c r="C4449" s="23" t="s">
        <v>176</v>
      </c>
      <c r="D4449" s="23" t="s">
        <v>561</v>
      </c>
      <c r="E4449" s="23" t="s">
        <v>562</v>
      </c>
      <c r="F4449">
        <v>1.5</v>
      </c>
      <c r="G4449" s="23" t="s">
        <v>177</v>
      </c>
      <c r="H4449">
        <v>0</v>
      </c>
      <c r="I4449">
        <v>272</v>
      </c>
      <c r="J4449" s="10">
        <v>4.3</v>
      </c>
      <c r="K4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4449">
        <v>0</v>
      </c>
      <c r="M44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49">
        <v>30</v>
      </c>
      <c r="O4449" s="23" t="s">
        <v>242</v>
      </c>
      <c r="P4449">
        <v>45</v>
      </c>
      <c r="Q4449" s="23" t="s">
        <v>181</v>
      </c>
    </row>
    <row r="4450" spans="1:17" x14ac:dyDescent="0.25">
      <c r="A4450" s="23" t="s">
        <v>1057</v>
      </c>
      <c r="B4450" s="23" t="s">
        <v>1056</v>
      </c>
      <c r="C4450" s="23" t="s">
        <v>176</v>
      </c>
      <c r="D4450" s="23" t="s">
        <v>700</v>
      </c>
      <c r="E4450" s="23" t="s">
        <v>701</v>
      </c>
      <c r="F4450">
        <v>2</v>
      </c>
      <c r="G4450" s="23" t="s">
        <v>177</v>
      </c>
      <c r="H4450">
        <v>0</v>
      </c>
      <c r="I4450">
        <v>136</v>
      </c>
      <c r="J4450" s="10">
        <v>6</v>
      </c>
      <c r="K4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450">
        <v>0</v>
      </c>
      <c r="M44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0">
        <v>39.6</v>
      </c>
      <c r="O4450" s="23" t="s">
        <v>221</v>
      </c>
      <c r="P4450">
        <v>79.2</v>
      </c>
      <c r="Q4450" s="23" t="s">
        <v>222</v>
      </c>
    </row>
    <row r="4451" spans="1:17" x14ac:dyDescent="0.25">
      <c r="A4451" s="23" t="s">
        <v>1096</v>
      </c>
      <c r="B4451" s="23" t="s">
        <v>1053</v>
      </c>
      <c r="C4451" s="23" t="s">
        <v>176</v>
      </c>
      <c r="D4451" s="23" t="s">
        <v>700</v>
      </c>
      <c r="E4451" s="23" t="s">
        <v>701</v>
      </c>
      <c r="F4451">
        <v>1</v>
      </c>
      <c r="G4451" s="23" t="s">
        <v>177</v>
      </c>
      <c r="H4451">
        <v>0</v>
      </c>
      <c r="I4451">
        <v>136</v>
      </c>
      <c r="J4451" s="10">
        <v>6</v>
      </c>
      <c r="K4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451">
        <v>0</v>
      </c>
      <c r="M44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1">
        <v>39.6</v>
      </c>
      <c r="O4451" s="23" t="s">
        <v>221</v>
      </c>
      <c r="P4451">
        <v>39.6</v>
      </c>
      <c r="Q4451" s="23" t="s">
        <v>222</v>
      </c>
    </row>
    <row r="4452" spans="1:17" x14ac:dyDescent="0.25">
      <c r="A4452" s="23" t="s">
        <v>1143</v>
      </c>
      <c r="B4452" s="23" t="s">
        <v>1054</v>
      </c>
      <c r="C4452" s="23" t="s">
        <v>176</v>
      </c>
      <c r="D4452" s="23" t="s">
        <v>700</v>
      </c>
      <c r="E4452" s="23" t="s">
        <v>701</v>
      </c>
      <c r="F4452">
        <v>2</v>
      </c>
      <c r="G4452" s="23" t="s">
        <v>177</v>
      </c>
      <c r="H4452">
        <v>0</v>
      </c>
      <c r="I4452">
        <v>136</v>
      </c>
      <c r="J4452" s="10">
        <v>6</v>
      </c>
      <c r="K4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4452">
        <v>0</v>
      </c>
      <c r="M44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2">
        <v>39.6</v>
      </c>
      <c r="O4452" s="23" t="s">
        <v>221</v>
      </c>
      <c r="P4452">
        <v>79.2</v>
      </c>
      <c r="Q4452" s="23" t="s">
        <v>222</v>
      </c>
    </row>
    <row r="4453" spans="1:17" x14ac:dyDescent="0.25">
      <c r="A4453" s="23" t="s">
        <v>1143</v>
      </c>
      <c r="B4453" s="23" t="s">
        <v>1054</v>
      </c>
      <c r="C4453" s="23" t="s">
        <v>176</v>
      </c>
      <c r="D4453" s="23" t="s">
        <v>1127</v>
      </c>
      <c r="E4453" s="23" t="s">
        <v>1128</v>
      </c>
      <c r="F4453">
        <v>2</v>
      </c>
      <c r="G4453" s="23" t="s">
        <v>180</v>
      </c>
      <c r="H4453">
        <v>0</v>
      </c>
      <c r="I4453">
        <v>60</v>
      </c>
      <c r="J4453" s="10">
        <v>50</v>
      </c>
      <c r="K4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-50.5</v>
      </c>
      <c r="L4453">
        <v>0</v>
      </c>
      <c r="M44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3">
        <v>265</v>
      </c>
      <c r="O4453" s="23" t="s">
        <v>746</v>
      </c>
      <c r="P4453">
        <v>530</v>
      </c>
      <c r="Q4453" s="23" t="s">
        <v>185</v>
      </c>
    </row>
    <row r="4454" spans="1:17" x14ac:dyDescent="0.25">
      <c r="A4454" s="23" t="s">
        <v>1094</v>
      </c>
      <c r="B4454" s="23" t="s">
        <v>1095</v>
      </c>
      <c r="C4454" s="23" t="s">
        <v>176</v>
      </c>
      <c r="D4454" s="23" t="s">
        <v>581</v>
      </c>
      <c r="E4454" s="23" t="s">
        <v>582</v>
      </c>
      <c r="F4454">
        <v>22.3</v>
      </c>
      <c r="G4454" s="23" t="s">
        <v>186</v>
      </c>
      <c r="H4454">
        <v>0</v>
      </c>
      <c r="I4454">
        <v>140</v>
      </c>
      <c r="J4454" s="10">
        <v>139.95999999999989</v>
      </c>
      <c r="K4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4454">
        <v>80</v>
      </c>
      <c r="M44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4">
        <v>164.09</v>
      </c>
      <c r="O4454" s="23" t="s">
        <v>491</v>
      </c>
      <c r="P4454">
        <v>3659.2070000000003</v>
      </c>
      <c r="Q4454" s="23" t="s">
        <v>184</v>
      </c>
    </row>
    <row r="4455" spans="1:17" x14ac:dyDescent="0.25">
      <c r="A4455" s="23" t="s">
        <v>1143</v>
      </c>
      <c r="B4455" s="23" t="s">
        <v>1054</v>
      </c>
      <c r="C4455" s="23" t="s">
        <v>176</v>
      </c>
      <c r="D4455" s="23" t="s">
        <v>690</v>
      </c>
      <c r="E4455" s="23" t="s">
        <v>691</v>
      </c>
      <c r="F4455">
        <v>1</v>
      </c>
      <c r="G4455" s="23" t="s">
        <v>177</v>
      </c>
      <c r="H4455">
        <v>0</v>
      </c>
      <c r="I4455">
        <v>25</v>
      </c>
      <c r="J4455" s="10">
        <v>3</v>
      </c>
      <c r="K4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455">
        <v>0</v>
      </c>
      <c r="M44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5">
        <v>871.93</v>
      </c>
      <c r="O4455" s="23" t="s">
        <v>692</v>
      </c>
      <c r="P4455">
        <v>871.93</v>
      </c>
      <c r="Q4455" s="23" t="s">
        <v>178</v>
      </c>
    </row>
    <row r="4456" spans="1:17" x14ac:dyDescent="0.25">
      <c r="A4456" s="23" t="s">
        <v>1143</v>
      </c>
      <c r="B4456" s="23" t="s">
        <v>1054</v>
      </c>
      <c r="C4456" s="23" t="s">
        <v>176</v>
      </c>
      <c r="D4456" s="23" t="s">
        <v>1083</v>
      </c>
      <c r="E4456" s="23" t="s">
        <v>1084</v>
      </c>
      <c r="F4456">
        <v>2</v>
      </c>
      <c r="G4456" s="23" t="s">
        <v>177</v>
      </c>
      <c r="H4456">
        <v>0</v>
      </c>
      <c r="I4456">
        <v>16</v>
      </c>
      <c r="J4456" s="10">
        <v>14</v>
      </c>
      <c r="K4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456">
        <v>20</v>
      </c>
      <c r="M44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6">
        <v>194</v>
      </c>
      <c r="O4456" s="23" t="s">
        <v>218</v>
      </c>
      <c r="P4456">
        <v>388</v>
      </c>
      <c r="Q4456" s="23" t="s">
        <v>178</v>
      </c>
    </row>
    <row r="4457" spans="1:17" x14ac:dyDescent="0.25">
      <c r="A4457" s="23" t="s">
        <v>1094</v>
      </c>
      <c r="B4457" s="23" t="s">
        <v>1095</v>
      </c>
      <c r="C4457" s="23" t="s">
        <v>176</v>
      </c>
      <c r="D4457" s="23" t="s">
        <v>1083</v>
      </c>
      <c r="E4457" s="23" t="s">
        <v>1084</v>
      </c>
      <c r="F4457">
        <v>2</v>
      </c>
      <c r="G4457" s="23" t="s">
        <v>177</v>
      </c>
      <c r="H4457">
        <v>0</v>
      </c>
      <c r="I4457">
        <v>16</v>
      </c>
      <c r="J4457" s="10">
        <v>14</v>
      </c>
      <c r="K4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457">
        <v>20</v>
      </c>
      <c r="M44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7">
        <v>194</v>
      </c>
      <c r="O4457" s="23" t="s">
        <v>218</v>
      </c>
      <c r="P4457">
        <v>388</v>
      </c>
      <c r="Q4457" s="23" t="s">
        <v>178</v>
      </c>
    </row>
    <row r="4458" spans="1:17" x14ac:dyDescent="0.25">
      <c r="A4458" s="23" t="s">
        <v>1143</v>
      </c>
      <c r="B4458" s="23" t="s">
        <v>1054</v>
      </c>
      <c r="C4458" s="23" t="s">
        <v>176</v>
      </c>
      <c r="D4458" s="23" t="s">
        <v>549</v>
      </c>
      <c r="E4458" s="23" t="s">
        <v>550</v>
      </c>
      <c r="F4458">
        <v>33</v>
      </c>
      <c r="G4458" s="23" t="s">
        <v>177</v>
      </c>
      <c r="H4458">
        <v>0</v>
      </c>
      <c r="I4458">
        <v>800</v>
      </c>
      <c r="J4458" s="10">
        <v>0</v>
      </c>
      <c r="K4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458">
        <v>0</v>
      </c>
      <c r="M44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58">
        <v>13.75</v>
      </c>
      <c r="O4458" s="23" t="s">
        <v>629</v>
      </c>
      <c r="P4458">
        <v>453.75</v>
      </c>
      <c r="Q4458" s="23" t="s">
        <v>181</v>
      </c>
    </row>
    <row r="4459" spans="1:17" x14ac:dyDescent="0.25">
      <c r="A4459" s="23" t="s">
        <v>1057</v>
      </c>
      <c r="B4459" s="23" t="s">
        <v>1056</v>
      </c>
      <c r="C4459" s="23" t="s">
        <v>176</v>
      </c>
      <c r="D4459" s="23" t="s">
        <v>553</v>
      </c>
      <c r="E4459" s="23" t="s">
        <v>554</v>
      </c>
      <c r="F4459">
        <v>1</v>
      </c>
      <c r="G4459" s="23" t="s">
        <v>177</v>
      </c>
      <c r="H4459">
        <v>0</v>
      </c>
      <c r="I4459">
        <v>14</v>
      </c>
      <c r="J4459" s="10">
        <v>9.9999999999999964</v>
      </c>
      <c r="K4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4459">
        <v>0</v>
      </c>
      <c r="M44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4459">
        <v>215</v>
      </c>
      <c r="O4459" s="23" t="s">
        <v>242</v>
      </c>
      <c r="P4459">
        <v>215</v>
      </c>
      <c r="Q4459" s="23" t="s">
        <v>181</v>
      </c>
    </row>
    <row r="4460" spans="1:17" x14ac:dyDescent="0.25">
      <c r="A4460" s="23" t="s">
        <v>1094</v>
      </c>
      <c r="B4460" s="23" t="s">
        <v>1095</v>
      </c>
      <c r="C4460" s="23" t="s">
        <v>176</v>
      </c>
      <c r="D4460" s="23" t="s">
        <v>981</v>
      </c>
      <c r="E4460" s="23" t="s">
        <v>982</v>
      </c>
      <c r="F4460">
        <v>1</v>
      </c>
      <c r="G4460" s="23" t="s">
        <v>177</v>
      </c>
      <c r="H4460">
        <v>0</v>
      </c>
      <c r="I4460">
        <v>4</v>
      </c>
      <c r="J4460" s="10">
        <v>0</v>
      </c>
      <c r="K4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60">
        <v>0</v>
      </c>
      <c r="M44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0">
        <v>3017.33</v>
      </c>
      <c r="O4460" s="23" t="s">
        <v>983</v>
      </c>
      <c r="P4460">
        <v>3017.33</v>
      </c>
      <c r="Q4460" s="23" t="s">
        <v>178</v>
      </c>
    </row>
    <row r="4461" spans="1:17" x14ac:dyDescent="0.25">
      <c r="A4461" s="23" t="s">
        <v>1094</v>
      </c>
      <c r="B4461" s="23" t="s">
        <v>1095</v>
      </c>
      <c r="C4461" s="23" t="s">
        <v>176</v>
      </c>
      <c r="D4461" s="23" t="s">
        <v>690</v>
      </c>
      <c r="E4461" s="23" t="s">
        <v>691</v>
      </c>
      <c r="F4461">
        <v>1</v>
      </c>
      <c r="G4461" s="23" t="s">
        <v>177</v>
      </c>
      <c r="H4461">
        <v>0</v>
      </c>
      <c r="I4461">
        <v>25</v>
      </c>
      <c r="J4461" s="10">
        <v>3</v>
      </c>
      <c r="K4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461">
        <v>0</v>
      </c>
      <c r="M44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1">
        <v>871.93</v>
      </c>
      <c r="O4461" s="23" t="s">
        <v>692</v>
      </c>
      <c r="P4461">
        <v>871.93</v>
      </c>
      <c r="Q4461" s="23" t="s">
        <v>178</v>
      </c>
    </row>
    <row r="4462" spans="1:17" x14ac:dyDescent="0.25">
      <c r="A4462" s="23" t="s">
        <v>1094</v>
      </c>
      <c r="B4462" s="23" t="s">
        <v>1095</v>
      </c>
      <c r="C4462" s="23" t="s">
        <v>176</v>
      </c>
      <c r="D4462" s="23" t="s">
        <v>1077</v>
      </c>
      <c r="E4462" s="23" t="s">
        <v>1078</v>
      </c>
      <c r="F4462">
        <v>1</v>
      </c>
      <c r="G4462" s="23" t="s">
        <v>177</v>
      </c>
      <c r="H4462">
        <v>0</v>
      </c>
      <c r="I4462">
        <v>4</v>
      </c>
      <c r="J4462" s="10">
        <v>7</v>
      </c>
      <c r="K4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462">
        <v>10</v>
      </c>
      <c r="M44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2">
        <v>3097.63</v>
      </c>
      <c r="O4462" s="23" t="s">
        <v>593</v>
      </c>
      <c r="P4462">
        <v>3097.63</v>
      </c>
      <c r="Q4462" s="23" t="s">
        <v>179</v>
      </c>
    </row>
    <row r="4463" spans="1:17" x14ac:dyDescent="0.25">
      <c r="A4463" s="23" t="s">
        <v>1094</v>
      </c>
      <c r="B4463" s="23" t="s">
        <v>1095</v>
      </c>
      <c r="C4463" s="23" t="s">
        <v>176</v>
      </c>
      <c r="D4463" s="23" t="s">
        <v>549</v>
      </c>
      <c r="E4463" s="23" t="s">
        <v>550</v>
      </c>
      <c r="F4463">
        <v>30</v>
      </c>
      <c r="G4463" s="23" t="s">
        <v>177</v>
      </c>
      <c r="H4463">
        <v>0</v>
      </c>
      <c r="I4463">
        <v>800</v>
      </c>
      <c r="J4463" s="10">
        <v>0</v>
      </c>
      <c r="K4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4463">
        <v>0</v>
      </c>
      <c r="M44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3">
        <v>13.75</v>
      </c>
      <c r="O4463" s="23" t="s">
        <v>629</v>
      </c>
      <c r="P4463">
        <v>412.5</v>
      </c>
      <c r="Q4463" s="23" t="s">
        <v>181</v>
      </c>
    </row>
    <row r="4464" spans="1:17" x14ac:dyDescent="0.25">
      <c r="A4464" s="23" t="s">
        <v>1149</v>
      </c>
      <c r="B4464" s="23" t="s">
        <v>1145</v>
      </c>
      <c r="C4464" s="23" t="s">
        <v>176</v>
      </c>
      <c r="D4464" s="23" t="s">
        <v>1166</v>
      </c>
      <c r="E4464" s="23" t="s">
        <v>1167</v>
      </c>
      <c r="F4464">
        <v>2</v>
      </c>
      <c r="G4464" s="23" t="s">
        <v>177</v>
      </c>
      <c r="H4464">
        <v>0</v>
      </c>
      <c r="I4464">
        <v>1000</v>
      </c>
      <c r="J4464" s="10">
        <v>1000</v>
      </c>
      <c r="K4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464">
        <v>0</v>
      </c>
      <c r="M44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4">
        <v>0.28000000000000003</v>
      </c>
      <c r="O4464" s="23" t="s">
        <v>827</v>
      </c>
      <c r="P4464">
        <v>0.56000000000000005</v>
      </c>
      <c r="Q4464" s="23" t="s">
        <v>222</v>
      </c>
    </row>
    <row r="4465" spans="1:17" x14ac:dyDescent="0.25">
      <c r="A4465" s="23" t="s">
        <v>1150</v>
      </c>
      <c r="B4465" s="23" t="s">
        <v>1145</v>
      </c>
      <c r="C4465" s="23" t="s">
        <v>176</v>
      </c>
      <c r="D4465" s="23" t="s">
        <v>598</v>
      </c>
      <c r="E4465" s="23" t="s">
        <v>599</v>
      </c>
      <c r="F4465">
        <v>2</v>
      </c>
      <c r="G4465" s="23" t="s">
        <v>177</v>
      </c>
      <c r="H4465">
        <v>0</v>
      </c>
      <c r="I4465">
        <v>33</v>
      </c>
      <c r="J4465" s="10">
        <v>5</v>
      </c>
      <c r="K4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65">
        <v>0</v>
      </c>
      <c r="M44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5">
        <v>354.91</v>
      </c>
      <c r="O4465" s="23" t="s">
        <v>637</v>
      </c>
      <c r="P4465">
        <v>709.82</v>
      </c>
      <c r="Q4465" s="23" t="s">
        <v>178</v>
      </c>
    </row>
    <row r="4466" spans="1:17" x14ac:dyDescent="0.25">
      <c r="A4466" s="23" t="s">
        <v>1147</v>
      </c>
      <c r="B4466" s="23" t="s">
        <v>1145</v>
      </c>
      <c r="C4466" s="23" t="s">
        <v>176</v>
      </c>
      <c r="D4466" s="23" t="s">
        <v>1166</v>
      </c>
      <c r="E4466" s="23" t="s">
        <v>1167</v>
      </c>
      <c r="F4466">
        <v>2</v>
      </c>
      <c r="G4466" s="23" t="s">
        <v>177</v>
      </c>
      <c r="H4466">
        <v>0</v>
      </c>
      <c r="I4466">
        <v>1000</v>
      </c>
      <c r="J4466" s="10">
        <v>1000</v>
      </c>
      <c r="K4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466">
        <v>0</v>
      </c>
      <c r="M44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6">
        <v>0.28000000000000003</v>
      </c>
      <c r="O4466" s="23" t="s">
        <v>827</v>
      </c>
      <c r="P4466">
        <v>0.56000000000000005</v>
      </c>
      <c r="Q4466" s="23" t="s">
        <v>222</v>
      </c>
    </row>
    <row r="4467" spans="1:17" x14ac:dyDescent="0.25">
      <c r="A4467" s="23" t="s">
        <v>1058</v>
      </c>
      <c r="B4467" s="23" t="s">
        <v>1059</v>
      </c>
      <c r="C4467" s="23" t="s">
        <v>176</v>
      </c>
      <c r="D4467" s="23" t="s">
        <v>598</v>
      </c>
      <c r="E4467" s="23" t="s">
        <v>599</v>
      </c>
      <c r="F4467">
        <v>2</v>
      </c>
      <c r="G4467" s="23" t="s">
        <v>177</v>
      </c>
      <c r="H4467">
        <v>0</v>
      </c>
      <c r="I4467">
        <v>33</v>
      </c>
      <c r="J4467" s="10">
        <v>5</v>
      </c>
      <c r="K4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67">
        <v>0</v>
      </c>
      <c r="M44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7">
        <v>354.91</v>
      </c>
      <c r="O4467" s="23" t="s">
        <v>637</v>
      </c>
      <c r="P4467">
        <v>709.82</v>
      </c>
      <c r="Q4467" s="23" t="s">
        <v>178</v>
      </c>
    </row>
    <row r="4468" spans="1:17" x14ac:dyDescent="0.25">
      <c r="A4468" s="23" t="s">
        <v>1149</v>
      </c>
      <c r="B4468" s="23" t="s">
        <v>1145</v>
      </c>
      <c r="C4468" s="23" t="s">
        <v>176</v>
      </c>
      <c r="D4468" s="23" t="s">
        <v>631</v>
      </c>
      <c r="E4468" s="23" t="s">
        <v>632</v>
      </c>
      <c r="F4468">
        <v>278</v>
      </c>
      <c r="G4468" s="23" t="s">
        <v>177</v>
      </c>
      <c r="H4468">
        <v>0</v>
      </c>
      <c r="I4468">
        <v>8000</v>
      </c>
      <c r="J4468" s="10">
        <v>11449</v>
      </c>
      <c r="K4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68">
        <v>0</v>
      </c>
      <c r="M44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68">
        <v>0.54</v>
      </c>
      <c r="O4468" s="23" t="s">
        <v>629</v>
      </c>
      <c r="P4468">
        <v>150.12</v>
      </c>
      <c r="Q4468" s="23" t="s">
        <v>181</v>
      </c>
    </row>
    <row r="4469" spans="1:17" x14ac:dyDescent="0.25">
      <c r="A4469" s="23" t="s">
        <v>1149</v>
      </c>
      <c r="B4469" s="23" t="s">
        <v>1145</v>
      </c>
      <c r="C4469" s="23" t="s">
        <v>176</v>
      </c>
      <c r="D4469" s="23" t="s">
        <v>643</v>
      </c>
      <c r="E4469" s="23" t="s">
        <v>644</v>
      </c>
      <c r="F4469">
        <v>4</v>
      </c>
      <c r="G4469" s="23" t="s">
        <v>177</v>
      </c>
      <c r="H4469">
        <v>0</v>
      </c>
      <c r="I4469">
        <v>11</v>
      </c>
      <c r="J4469" s="10">
        <v>19</v>
      </c>
      <c r="K4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469">
        <v>0</v>
      </c>
      <c r="M44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469">
        <v>3072</v>
      </c>
      <c r="O4469" s="23" t="s">
        <v>648</v>
      </c>
      <c r="P4469">
        <v>12288</v>
      </c>
      <c r="Q4469" s="23" t="s">
        <v>178</v>
      </c>
    </row>
    <row r="4470" spans="1:17" x14ac:dyDescent="0.25">
      <c r="A4470" s="23" t="s">
        <v>1147</v>
      </c>
      <c r="B4470" s="23" t="s">
        <v>1145</v>
      </c>
      <c r="C4470" s="23" t="s">
        <v>176</v>
      </c>
      <c r="D4470" s="23" t="s">
        <v>631</v>
      </c>
      <c r="E4470" s="23" t="s">
        <v>632</v>
      </c>
      <c r="F4470">
        <v>278</v>
      </c>
      <c r="G4470" s="23" t="s">
        <v>177</v>
      </c>
      <c r="H4470">
        <v>0</v>
      </c>
      <c r="I4470">
        <v>8000</v>
      </c>
      <c r="J4470" s="10">
        <v>11449</v>
      </c>
      <c r="K4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70">
        <v>0</v>
      </c>
      <c r="M44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0">
        <v>0.54</v>
      </c>
      <c r="O4470" s="23" t="s">
        <v>629</v>
      </c>
      <c r="P4470">
        <v>150.12</v>
      </c>
      <c r="Q4470" s="23" t="s">
        <v>181</v>
      </c>
    </row>
    <row r="4471" spans="1:17" x14ac:dyDescent="0.25">
      <c r="A4471" s="23" t="s">
        <v>1147</v>
      </c>
      <c r="B4471" s="23" t="s">
        <v>1145</v>
      </c>
      <c r="C4471" s="23" t="s">
        <v>176</v>
      </c>
      <c r="D4471" s="23" t="s">
        <v>643</v>
      </c>
      <c r="E4471" s="23" t="s">
        <v>644</v>
      </c>
      <c r="F4471">
        <v>4</v>
      </c>
      <c r="G4471" s="23" t="s">
        <v>177</v>
      </c>
      <c r="H4471">
        <v>0</v>
      </c>
      <c r="I4471">
        <v>11</v>
      </c>
      <c r="J4471" s="10">
        <v>19</v>
      </c>
      <c r="K4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471">
        <v>0</v>
      </c>
      <c r="M44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471">
        <v>3072</v>
      </c>
      <c r="O4471" s="23" t="s">
        <v>648</v>
      </c>
      <c r="P4471">
        <v>12288</v>
      </c>
      <c r="Q4471" s="23" t="s">
        <v>178</v>
      </c>
    </row>
    <row r="4472" spans="1:17" x14ac:dyDescent="0.25">
      <c r="A4472" s="23" t="s">
        <v>1144</v>
      </c>
      <c r="B4472" s="23" t="s">
        <v>1145</v>
      </c>
      <c r="C4472" s="23" t="s">
        <v>176</v>
      </c>
      <c r="D4472" s="23" t="s">
        <v>1166</v>
      </c>
      <c r="E4472" s="23" t="s">
        <v>1167</v>
      </c>
      <c r="F4472">
        <v>2</v>
      </c>
      <c r="G4472" s="23" t="s">
        <v>177</v>
      </c>
      <c r="H4472">
        <v>0</v>
      </c>
      <c r="I4472">
        <v>1000</v>
      </c>
      <c r="J4472" s="10">
        <v>1000</v>
      </c>
      <c r="K4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472">
        <v>0</v>
      </c>
      <c r="M44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2">
        <v>0.28000000000000003</v>
      </c>
      <c r="O4472" s="23" t="s">
        <v>827</v>
      </c>
      <c r="P4472">
        <v>0.56000000000000005</v>
      </c>
      <c r="Q4472" s="23" t="s">
        <v>222</v>
      </c>
    </row>
    <row r="4473" spans="1:17" x14ac:dyDescent="0.25">
      <c r="A4473" s="23" t="s">
        <v>1055</v>
      </c>
      <c r="B4473" s="23" t="s">
        <v>1056</v>
      </c>
      <c r="C4473" s="23" t="s">
        <v>176</v>
      </c>
      <c r="D4473" s="23" t="s">
        <v>715</v>
      </c>
      <c r="E4473" s="23" t="s">
        <v>716</v>
      </c>
      <c r="F4473">
        <v>2</v>
      </c>
      <c r="G4473" s="23" t="s">
        <v>177</v>
      </c>
      <c r="H4473">
        <v>0</v>
      </c>
      <c r="I4473">
        <v>5</v>
      </c>
      <c r="J4473" s="10">
        <v>4</v>
      </c>
      <c r="K4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473">
        <v>0</v>
      </c>
      <c r="M44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4473">
        <v>400</v>
      </c>
      <c r="O4473" s="23" t="s">
        <v>216</v>
      </c>
      <c r="P4473">
        <v>800</v>
      </c>
      <c r="Q4473" s="23" t="s">
        <v>222</v>
      </c>
    </row>
    <row r="4474" spans="1:17" x14ac:dyDescent="0.25">
      <c r="A4474" s="23" t="s">
        <v>1100</v>
      </c>
      <c r="B4474" s="23" t="s">
        <v>1101</v>
      </c>
      <c r="C4474" s="23" t="s">
        <v>176</v>
      </c>
      <c r="D4474" s="23" t="s">
        <v>741</v>
      </c>
      <c r="E4474" s="23" t="s">
        <v>742</v>
      </c>
      <c r="F4474">
        <v>1</v>
      </c>
      <c r="G4474" s="23" t="s">
        <v>177</v>
      </c>
      <c r="H4474">
        <v>0</v>
      </c>
      <c r="I4474">
        <v>19</v>
      </c>
      <c r="J4474" s="10">
        <v>15</v>
      </c>
      <c r="K4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474">
        <v>0</v>
      </c>
      <c r="M44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4">
        <v>41.67</v>
      </c>
      <c r="O4474" s="23" t="s">
        <v>668</v>
      </c>
      <c r="P4474">
        <v>41.67</v>
      </c>
      <c r="Q4474" s="23" t="s">
        <v>178</v>
      </c>
    </row>
    <row r="4475" spans="1:17" x14ac:dyDescent="0.25">
      <c r="A4475" s="23" t="s">
        <v>1058</v>
      </c>
      <c r="B4475" s="23" t="s">
        <v>1059</v>
      </c>
      <c r="C4475" s="23" t="s">
        <v>176</v>
      </c>
      <c r="D4475" s="23" t="s">
        <v>849</v>
      </c>
      <c r="E4475" s="23" t="s">
        <v>850</v>
      </c>
      <c r="F4475">
        <v>3</v>
      </c>
      <c r="G4475" s="23" t="s">
        <v>177</v>
      </c>
      <c r="H4475">
        <v>0</v>
      </c>
      <c r="I4475">
        <v>22</v>
      </c>
      <c r="J4475" s="10">
        <v>18</v>
      </c>
      <c r="K4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75">
        <v>0</v>
      </c>
      <c r="M44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5">
        <v>19.600000000000001</v>
      </c>
      <c r="O4475" s="23" t="s">
        <v>1135</v>
      </c>
      <c r="P4475">
        <v>58.800000000000004</v>
      </c>
      <c r="Q4475" s="23" t="s">
        <v>222</v>
      </c>
    </row>
    <row r="4476" spans="1:17" x14ac:dyDescent="0.25">
      <c r="A4476" s="23" t="s">
        <v>1099</v>
      </c>
      <c r="B4476" s="23" t="s">
        <v>1056</v>
      </c>
      <c r="C4476" s="23" t="s">
        <v>176</v>
      </c>
      <c r="D4476" s="23" t="s">
        <v>849</v>
      </c>
      <c r="E4476" s="23" t="s">
        <v>850</v>
      </c>
      <c r="F4476">
        <v>3</v>
      </c>
      <c r="G4476" s="23" t="s">
        <v>177</v>
      </c>
      <c r="H4476">
        <v>0</v>
      </c>
      <c r="I4476">
        <v>22</v>
      </c>
      <c r="J4476" s="10">
        <v>18</v>
      </c>
      <c r="K4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76">
        <v>0</v>
      </c>
      <c r="M44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6">
        <v>19.600000000000001</v>
      </c>
      <c r="O4476" s="23" t="s">
        <v>1135</v>
      </c>
      <c r="P4476">
        <v>58.800000000000004</v>
      </c>
      <c r="Q4476" s="23" t="s">
        <v>222</v>
      </c>
    </row>
    <row r="4477" spans="1:17" x14ac:dyDescent="0.25">
      <c r="A4477" s="23" t="s">
        <v>1100</v>
      </c>
      <c r="B4477" s="23" t="s">
        <v>1101</v>
      </c>
      <c r="C4477" s="23" t="s">
        <v>176</v>
      </c>
      <c r="D4477" s="23" t="s">
        <v>598</v>
      </c>
      <c r="E4477" s="23" t="s">
        <v>599</v>
      </c>
      <c r="F4477">
        <v>2</v>
      </c>
      <c r="G4477" s="23" t="s">
        <v>177</v>
      </c>
      <c r="H4477">
        <v>0</v>
      </c>
      <c r="I4477">
        <v>33</v>
      </c>
      <c r="J4477" s="10">
        <v>5</v>
      </c>
      <c r="K4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77">
        <v>0</v>
      </c>
      <c r="M44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7">
        <v>354.91</v>
      </c>
      <c r="O4477" s="23" t="s">
        <v>637</v>
      </c>
      <c r="P4477">
        <v>709.82</v>
      </c>
      <c r="Q4477" s="23" t="s">
        <v>178</v>
      </c>
    </row>
    <row r="4478" spans="1:17" x14ac:dyDescent="0.25">
      <c r="A4478" s="23" t="s">
        <v>1146</v>
      </c>
      <c r="B4478" s="23" t="s">
        <v>1145</v>
      </c>
      <c r="C4478" s="23" t="s">
        <v>176</v>
      </c>
      <c r="D4478" s="23" t="s">
        <v>631</v>
      </c>
      <c r="E4478" s="23" t="s">
        <v>632</v>
      </c>
      <c r="F4478">
        <v>278</v>
      </c>
      <c r="G4478" s="23" t="s">
        <v>177</v>
      </c>
      <c r="H4478">
        <v>0</v>
      </c>
      <c r="I4478">
        <v>8000</v>
      </c>
      <c r="J4478" s="10">
        <v>11449</v>
      </c>
      <c r="K4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78">
        <v>0</v>
      </c>
      <c r="M44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8">
        <v>0.54</v>
      </c>
      <c r="O4478" s="23" t="s">
        <v>629</v>
      </c>
      <c r="P4478">
        <v>150.12</v>
      </c>
      <c r="Q4478" s="23" t="s">
        <v>181</v>
      </c>
    </row>
    <row r="4479" spans="1:17" x14ac:dyDescent="0.25">
      <c r="A4479" s="23" t="s">
        <v>1144</v>
      </c>
      <c r="B4479" s="23" t="s">
        <v>1145</v>
      </c>
      <c r="C4479" s="23" t="s">
        <v>176</v>
      </c>
      <c r="D4479" s="23" t="s">
        <v>631</v>
      </c>
      <c r="E4479" s="23" t="s">
        <v>632</v>
      </c>
      <c r="F4479">
        <v>278</v>
      </c>
      <c r="G4479" s="23" t="s">
        <v>177</v>
      </c>
      <c r="H4479">
        <v>0</v>
      </c>
      <c r="I4479">
        <v>8000</v>
      </c>
      <c r="J4479" s="10">
        <v>11449</v>
      </c>
      <c r="K4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79">
        <v>0</v>
      </c>
      <c r="M44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79">
        <v>0.54</v>
      </c>
      <c r="O4479" s="23" t="s">
        <v>629</v>
      </c>
      <c r="P4479">
        <v>150.12</v>
      </c>
      <c r="Q4479" s="23" t="s">
        <v>181</v>
      </c>
    </row>
    <row r="4480" spans="1:17" x14ac:dyDescent="0.25">
      <c r="A4480" s="23" t="s">
        <v>1197</v>
      </c>
      <c r="B4480" s="23" t="s">
        <v>1198</v>
      </c>
      <c r="C4480" s="23" t="s">
        <v>176</v>
      </c>
      <c r="D4480" s="23" t="s">
        <v>1166</v>
      </c>
      <c r="E4480" s="23" t="s">
        <v>1167</v>
      </c>
      <c r="F4480">
        <v>2</v>
      </c>
      <c r="G4480" s="23" t="s">
        <v>177</v>
      </c>
      <c r="H4480">
        <v>0</v>
      </c>
      <c r="I4480">
        <v>1000</v>
      </c>
      <c r="J4480" s="10">
        <v>1000</v>
      </c>
      <c r="K4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480">
        <v>0</v>
      </c>
      <c r="M44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0">
        <v>0.28000000000000003</v>
      </c>
      <c r="O4480" s="23" t="s">
        <v>827</v>
      </c>
      <c r="P4480">
        <v>0.56000000000000005</v>
      </c>
      <c r="Q4480" s="23" t="s">
        <v>222</v>
      </c>
    </row>
    <row r="4481" spans="1:17" x14ac:dyDescent="0.25">
      <c r="A4481" s="23" t="s">
        <v>1197</v>
      </c>
      <c r="B4481" s="23" t="s">
        <v>1198</v>
      </c>
      <c r="C4481" s="23" t="s">
        <v>176</v>
      </c>
      <c r="D4481" s="23" t="s">
        <v>631</v>
      </c>
      <c r="E4481" s="23" t="s">
        <v>632</v>
      </c>
      <c r="F4481">
        <v>278</v>
      </c>
      <c r="G4481" s="23" t="s">
        <v>177</v>
      </c>
      <c r="H4481">
        <v>0</v>
      </c>
      <c r="I4481">
        <v>8000</v>
      </c>
      <c r="J4481" s="10">
        <v>11449</v>
      </c>
      <c r="K4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81">
        <v>0</v>
      </c>
      <c r="M44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1">
        <v>0.54</v>
      </c>
      <c r="O4481" s="23" t="s">
        <v>629</v>
      </c>
      <c r="P4481">
        <v>150.12</v>
      </c>
      <c r="Q4481" s="23" t="s">
        <v>181</v>
      </c>
    </row>
    <row r="4482" spans="1:17" x14ac:dyDescent="0.25">
      <c r="A4482" s="23" t="s">
        <v>1098</v>
      </c>
      <c r="B4482" s="23" t="s">
        <v>1053</v>
      </c>
      <c r="C4482" s="23" t="s">
        <v>176</v>
      </c>
      <c r="D4482" s="23" t="s">
        <v>631</v>
      </c>
      <c r="E4482" s="23" t="s">
        <v>632</v>
      </c>
      <c r="F4482">
        <v>441</v>
      </c>
      <c r="G4482" s="23" t="s">
        <v>177</v>
      </c>
      <c r="H4482">
        <v>0</v>
      </c>
      <c r="I4482">
        <v>8000</v>
      </c>
      <c r="J4482" s="10">
        <v>11449</v>
      </c>
      <c r="K4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82">
        <v>0</v>
      </c>
      <c r="M44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2">
        <v>0.54</v>
      </c>
      <c r="O4482" s="23" t="s">
        <v>629</v>
      </c>
      <c r="P4482">
        <v>238.14000000000001</v>
      </c>
      <c r="Q4482" s="23" t="s">
        <v>181</v>
      </c>
    </row>
    <row r="4483" spans="1:17" x14ac:dyDescent="0.25">
      <c r="A4483" s="23" t="s">
        <v>1142</v>
      </c>
      <c r="B4483" s="23" t="s">
        <v>1054</v>
      </c>
      <c r="C4483" s="23" t="s">
        <v>176</v>
      </c>
      <c r="D4483" s="23" t="s">
        <v>598</v>
      </c>
      <c r="E4483" s="23" t="s">
        <v>599</v>
      </c>
      <c r="F4483">
        <v>2</v>
      </c>
      <c r="G4483" s="23" t="s">
        <v>177</v>
      </c>
      <c r="H4483">
        <v>0</v>
      </c>
      <c r="I4483">
        <v>33</v>
      </c>
      <c r="J4483" s="10">
        <v>5</v>
      </c>
      <c r="K4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83">
        <v>0</v>
      </c>
      <c r="M44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3">
        <v>354.91</v>
      </c>
      <c r="O4483" s="23" t="s">
        <v>637</v>
      </c>
      <c r="P4483">
        <v>709.82</v>
      </c>
      <c r="Q4483" s="23" t="s">
        <v>178</v>
      </c>
    </row>
    <row r="4484" spans="1:17" x14ac:dyDescent="0.25">
      <c r="A4484" s="23" t="s">
        <v>1147</v>
      </c>
      <c r="B4484" s="23" t="s">
        <v>1145</v>
      </c>
      <c r="C4484" s="23" t="s">
        <v>176</v>
      </c>
      <c r="D4484" s="23" t="s">
        <v>741</v>
      </c>
      <c r="E4484" s="23" t="s">
        <v>742</v>
      </c>
      <c r="F4484">
        <v>1</v>
      </c>
      <c r="G4484" s="23" t="s">
        <v>177</v>
      </c>
      <c r="H4484">
        <v>0</v>
      </c>
      <c r="I4484">
        <v>19</v>
      </c>
      <c r="J4484" s="10">
        <v>15</v>
      </c>
      <c r="K4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484">
        <v>0</v>
      </c>
      <c r="M44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4">
        <v>41.67</v>
      </c>
      <c r="O4484" s="23" t="s">
        <v>668</v>
      </c>
      <c r="P4484">
        <v>41.67</v>
      </c>
      <c r="Q4484" s="23" t="s">
        <v>178</v>
      </c>
    </row>
    <row r="4485" spans="1:17" x14ac:dyDescent="0.25">
      <c r="A4485" s="23" t="s">
        <v>1147</v>
      </c>
      <c r="B4485" s="23" t="s">
        <v>1145</v>
      </c>
      <c r="C4485" s="23" t="s">
        <v>176</v>
      </c>
      <c r="D4485" s="23" t="s">
        <v>598</v>
      </c>
      <c r="E4485" s="23" t="s">
        <v>599</v>
      </c>
      <c r="F4485">
        <v>2</v>
      </c>
      <c r="G4485" s="23" t="s">
        <v>177</v>
      </c>
      <c r="H4485">
        <v>0</v>
      </c>
      <c r="I4485">
        <v>33</v>
      </c>
      <c r="J4485" s="10">
        <v>5</v>
      </c>
      <c r="K4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485">
        <v>0</v>
      </c>
      <c r="M44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5">
        <v>354.91</v>
      </c>
      <c r="O4485" s="23" t="s">
        <v>637</v>
      </c>
      <c r="P4485">
        <v>709.82</v>
      </c>
      <c r="Q4485" s="23" t="s">
        <v>178</v>
      </c>
    </row>
    <row r="4486" spans="1:17" x14ac:dyDescent="0.25">
      <c r="A4486" s="23" t="s">
        <v>1055</v>
      </c>
      <c r="B4486" s="23" t="s">
        <v>1056</v>
      </c>
      <c r="C4486" s="23" t="s">
        <v>176</v>
      </c>
      <c r="D4486" s="23" t="s">
        <v>631</v>
      </c>
      <c r="E4486" s="23" t="s">
        <v>632</v>
      </c>
      <c r="F4486">
        <v>210</v>
      </c>
      <c r="G4486" s="23" t="s">
        <v>177</v>
      </c>
      <c r="H4486">
        <v>0</v>
      </c>
      <c r="I4486">
        <v>8000</v>
      </c>
      <c r="J4486" s="10">
        <v>11449</v>
      </c>
      <c r="K4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86">
        <v>0</v>
      </c>
      <c r="M44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6">
        <v>0.54</v>
      </c>
      <c r="O4486" s="23" t="s">
        <v>629</v>
      </c>
      <c r="P4486">
        <v>113.4</v>
      </c>
      <c r="Q4486" s="23" t="s">
        <v>181</v>
      </c>
    </row>
    <row r="4487" spans="1:17" x14ac:dyDescent="0.25">
      <c r="A4487" s="23" t="s">
        <v>1099</v>
      </c>
      <c r="B4487" s="23" t="s">
        <v>1056</v>
      </c>
      <c r="C4487" s="23" t="s">
        <v>176</v>
      </c>
      <c r="D4487" s="23" t="s">
        <v>631</v>
      </c>
      <c r="E4487" s="23" t="s">
        <v>632</v>
      </c>
      <c r="F4487">
        <v>165</v>
      </c>
      <c r="G4487" s="23" t="s">
        <v>177</v>
      </c>
      <c r="H4487">
        <v>0</v>
      </c>
      <c r="I4487">
        <v>8000</v>
      </c>
      <c r="J4487" s="10">
        <v>11449</v>
      </c>
      <c r="K4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487">
        <v>0</v>
      </c>
      <c r="M44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87">
        <v>0.54</v>
      </c>
      <c r="O4487" s="23" t="s">
        <v>629</v>
      </c>
      <c r="P4487">
        <v>89.100000000000009</v>
      </c>
      <c r="Q4487" s="23" t="s">
        <v>181</v>
      </c>
    </row>
    <row r="4488" spans="1:17" x14ac:dyDescent="0.25">
      <c r="A4488" s="23" t="s">
        <v>1147</v>
      </c>
      <c r="B4488" s="23" t="s">
        <v>1145</v>
      </c>
      <c r="C4488" s="23" t="s">
        <v>176</v>
      </c>
      <c r="D4488" s="23" t="s">
        <v>775</v>
      </c>
      <c r="E4488" s="23" t="s">
        <v>776</v>
      </c>
      <c r="F4488">
        <v>3</v>
      </c>
      <c r="G4488" s="23" t="s">
        <v>183</v>
      </c>
      <c r="H4488">
        <v>0</v>
      </c>
      <c r="I4488">
        <v>0</v>
      </c>
      <c r="J4488" s="10">
        <v>0</v>
      </c>
      <c r="K4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88">
        <v>0</v>
      </c>
      <c r="M44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88">
        <v>614.63</v>
      </c>
      <c r="O4488" s="23" t="s">
        <v>255</v>
      </c>
      <c r="P4488">
        <v>1843.8899999999999</v>
      </c>
      <c r="Q4488" s="23" t="s">
        <v>658</v>
      </c>
    </row>
    <row r="4489" spans="1:17" x14ac:dyDescent="0.25">
      <c r="A4489" s="23" t="s">
        <v>1197</v>
      </c>
      <c r="B4489" s="23" t="s">
        <v>1198</v>
      </c>
      <c r="C4489" s="23" t="s">
        <v>176</v>
      </c>
      <c r="D4489" s="23" t="s">
        <v>947</v>
      </c>
      <c r="E4489" s="23" t="s">
        <v>948</v>
      </c>
      <c r="F4489">
        <v>1</v>
      </c>
      <c r="G4489" s="23" t="s">
        <v>177</v>
      </c>
      <c r="H4489">
        <v>0</v>
      </c>
      <c r="I4489">
        <v>0</v>
      </c>
      <c r="J4489" s="10">
        <v>5</v>
      </c>
      <c r="K4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489">
        <v>2</v>
      </c>
      <c r="M44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4489">
        <v>3996</v>
      </c>
      <c r="O4489" s="23" t="s">
        <v>228</v>
      </c>
      <c r="P4489">
        <v>3996</v>
      </c>
      <c r="Q4489" s="23" t="s">
        <v>222</v>
      </c>
    </row>
    <row r="4490" spans="1:17" x14ac:dyDescent="0.25">
      <c r="A4490" s="23" t="s">
        <v>1142</v>
      </c>
      <c r="B4490" s="23" t="s">
        <v>1054</v>
      </c>
      <c r="C4490" s="23" t="s">
        <v>176</v>
      </c>
      <c r="D4490" s="23" t="s">
        <v>747</v>
      </c>
      <c r="E4490" s="23" t="s">
        <v>748</v>
      </c>
      <c r="F4490">
        <v>2</v>
      </c>
      <c r="G4490" s="23" t="s">
        <v>177</v>
      </c>
      <c r="H4490">
        <v>0</v>
      </c>
      <c r="I4490">
        <v>3</v>
      </c>
      <c r="J4490" s="10">
        <v>0</v>
      </c>
      <c r="K4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490">
        <v>0</v>
      </c>
      <c r="M44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702</v>
      </c>
      <c r="N4490">
        <v>54</v>
      </c>
      <c r="O4490" s="23" t="s">
        <v>227</v>
      </c>
      <c r="P4490">
        <v>108</v>
      </c>
      <c r="Q4490" s="23" t="s">
        <v>181</v>
      </c>
    </row>
    <row r="4491" spans="1:17" x14ac:dyDescent="0.25">
      <c r="A4491" s="23" t="s">
        <v>1142</v>
      </c>
      <c r="B4491" s="23" t="s">
        <v>1054</v>
      </c>
      <c r="C4491" s="23" t="s">
        <v>176</v>
      </c>
      <c r="D4491" s="23" t="s">
        <v>271</v>
      </c>
      <c r="E4491" s="23" t="s">
        <v>272</v>
      </c>
      <c r="F4491">
        <v>1</v>
      </c>
      <c r="G4491" s="23" t="s">
        <v>177</v>
      </c>
      <c r="H4491">
        <v>0</v>
      </c>
      <c r="I4491">
        <v>14</v>
      </c>
      <c r="J4491" s="10">
        <v>8</v>
      </c>
      <c r="K4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91">
        <v>0</v>
      </c>
      <c r="M44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1">
        <v>270</v>
      </c>
      <c r="O4491" s="23" t="s">
        <v>221</v>
      </c>
      <c r="P4491">
        <v>270</v>
      </c>
      <c r="Q4491" s="23" t="s">
        <v>222</v>
      </c>
    </row>
    <row r="4492" spans="1:17" x14ac:dyDescent="0.25">
      <c r="A4492" s="23" t="s">
        <v>1094</v>
      </c>
      <c r="B4492" s="23" t="s">
        <v>1095</v>
      </c>
      <c r="C4492" s="23" t="s">
        <v>176</v>
      </c>
      <c r="D4492" s="23" t="s">
        <v>93</v>
      </c>
      <c r="E4492" s="23" t="s">
        <v>94</v>
      </c>
      <c r="F4492">
        <v>6</v>
      </c>
      <c r="G4492" s="23" t="s">
        <v>177</v>
      </c>
      <c r="H4492">
        <v>0</v>
      </c>
      <c r="I4492">
        <v>105</v>
      </c>
      <c r="J4492" s="10">
        <v>56</v>
      </c>
      <c r="K4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92">
        <v>0</v>
      </c>
      <c r="M44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2">
        <v>72.599999999999994</v>
      </c>
      <c r="O4492" s="23" t="s">
        <v>242</v>
      </c>
      <c r="P4492">
        <v>435.59999999999997</v>
      </c>
      <c r="Q4492" s="23" t="s">
        <v>179</v>
      </c>
    </row>
    <row r="4493" spans="1:17" x14ac:dyDescent="0.25">
      <c r="A4493" s="23" t="s">
        <v>1096</v>
      </c>
      <c r="B4493" s="23" t="s">
        <v>1053</v>
      </c>
      <c r="C4493" s="23" t="s">
        <v>176</v>
      </c>
      <c r="D4493" s="23" t="s">
        <v>93</v>
      </c>
      <c r="E4493" s="23" t="s">
        <v>94</v>
      </c>
      <c r="F4493">
        <v>6</v>
      </c>
      <c r="G4493" s="23" t="s">
        <v>177</v>
      </c>
      <c r="H4493">
        <v>0</v>
      </c>
      <c r="I4493">
        <v>105</v>
      </c>
      <c r="J4493" s="10">
        <v>56</v>
      </c>
      <c r="K4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493">
        <v>0</v>
      </c>
      <c r="M44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3">
        <v>72.599999999999994</v>
      </c>
      <c r="O4493" s="23" t="s">
        <v>242</v>
      </c>
      <c r="P4493">
        <v>435.59999999999997</v>
      </c>
      <c r="Q4493" s="23" t="s">
        <v>179</v>
      </c>
    </row>
    <row r="4494" spans="1:17" x14ac:dyDescent="0.25">
      <c r="A4494" s="23" t="s">
        <v>1143</v>
      </c>
      <c r="B4494" s="23" t="s">
        <v>1054</v>
      </c>
      <c r="C4494" s="23" t="s">
        <v>176</v>
      </c>
      <c r="D4494" s="23" t="s">
        <v>847</v>
      </c>
      <c r="E4494" s="23" t="s">
        <v>848</v>
      </c>
      <c r="F4494">
        <v>6</v>
      </c>
      <c r="G4494" s="23" t="s">
        <v>183</v>
      </c>
      <c r="H4494">
        <v>0</v>
      </c>
      <c r="I4494">
        <v>0</v>
      </c>
      <c r="J4494" s="10">
        <v>-1.4210854715202004E-14</v>
      </c>
      <c r="K4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4494">
        <v>0</v>
      </c>
      <c r="M44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4494">
        <v>546.6</v>
      </c>
      <c r="O4494" s="23" t="s">
        <v>255</v>
      </c>
      <c r="P4494">
        <v>3279.6000000000004</v>
      </c>
      <c r="Q4494" s="23" t="s">
        <v>182</v>
      </c>
    </row>
    <row r="4495" spans="1:17" x14ac:dyDescent="0.25">
      <c r="A4495" s="23" t="s">
        <v>1057</v>
      </c>
      <c r="B4495" s="23" t="s">
        <v>1056</v>
      </c>
      <c r="C4495" s="23" t="s">
        <v>176</v>
      </c>
      <c r="D4495" s="23" t="s">
        <v>847</v>
      </c>
      <c r="E4495" s="23" t="s">
        <v>848</v>
      </c>
      <c r="F4495">
        <v>2</v>
      </c>
      <c r="G4495" s="23" t="s">
        <v>183</v>
      </c>
      <c r="H4495">
        <v>0</v>
      </c>
      <c r="I4495">
        <v>0</v>
      </c>
      <c r="J4495" s="10">
        <v>-1.4210854715202004E-14</v>
      </c>
      <c r="K4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4495">
        <v>0</v>
      </c>
      <c r="M44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4495">
        <v>546.6</v>
      </c>
      <c r="O4495" s="23" t="s">
        <v>255</v>
      </c>
      <c r="P4495">
        <v>1093.2</v>
      </c>
      <c r="Q4495" s="23" t="s">
        <v>182</v>
      </c>
    </row>
    <row r="4496" spans="1:17" x14ac:dyDescent="0.25">
      <c r="A4496" s="23" t="s">
        <v>1096</v>
      </c>
      <c r="B4496" s="23" t="s">
        <v>1053</v>
      </c>
      <c r="C4496" s="23" t="s">
        <v>176</v>
      </c>
      <c r="D4496" s="23" t="s">
        <v>596</v>
      </c>
      <c r="E4496" s="23" t="s">
        <v>597</v>
      </c>
      <c r="F4496">
        <v>1</v>
      </c>
      <c r="G4496" s="23" t="s">
        <v>177</v>
      </c>
      <c r="H4496">
        <v>0</v>
      </c>
      <c r="I4496">
        <v>20</v>
      </c>
      <c r="J4496" s="10">
        <v>1</v>
      </c>
      <c r="K4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96">
        <v>0</v>
      </c>
      <c r="M44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6">
        <v>4850.4399999999996</v>
      </c>
      <c r="O4496" s="23" t="s">
        <v>637</v>
      </c>
      <c r="P4496">
        <v>4850.4399999999996</v>
      </c>
      <c r="Q4496" s="23" t="s">
        <v>178</v>
      </c>
    </row>
    <row r="4497" spans="1:17" x14ac:dyDescent="0.25">
      <c r="A4497" s="23" t="s">
        <v>1057</v>
      </c>
      <c r="B4497" s="23" t="s">
        <v>1056</v>
      </c>
      <c r="C4497" s="23" t="s">
        <v>176</v>
      </c>
      <c r="D4497" s="23" t="s">
        <v>596</v>
      </c>
      <c r="E4497" s="23" t="s">
        <v>597</v>
      </c>
      <c r="F4497">
        <v>1</v>
      </c>
      <c r="G4497" s="23" t="s">
        <v>177</v>
      </c>
      <c r="H4497">
        <v>0</v>
      </c>
      <c r="I4497">
        <v>20</v>
      </c>
      <c r="J4497" s="10">
        <v>1</v>
      </c>
      <c r="K4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497">
        <v>0</v>
      </c>
      <c r="M44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497">
        <v>4850.4399999999996</v>
      </c>
      <c r="O4497" s="23" t="s">
        <v>637</v>
      </c>
      <c r="P4497">
        <v>4850.4399999999996</v>
      </c>
      <c r="Q4497" s="23" t="s">
        <v>178</v>
      </c>
    </row>
    <row r="4498" spans="1:17" x14ac:dyDescent="0.25">
      <c r="A4498" s="23" t="s">
        <v>1142</v>
      </c>
      <c r="B4498" s="23" t="s">
        <v>1054</v>
      </c>
      <c r="C4498" s="23" t="s">
        <v>176</v>
      </c>
      <c r="D4498" s="23" t="s">
        <v>775</v>
      </c>
      <c r="E4498" s="23" t="s">
        <v>776</v>
      </c>
      <c r="F4498">
        <v>3</v>
      </c>
      <c r="G4498" s="23" t="s">
        <v>183</v>
      </c>
      <c r="H4498">
        <v>0</v>
      </c>
      <c r="I4498">
        <v>0</v>
      </c>
      <c r="J4498" s="10">
        <v>0</v>
      </c>
      <c r="K4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98">
        <v>0</v>
      </c>
      <c r="M44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98">
        <v>614.63</v>
      </c>
      <c r="O4498" s="23" t="s">
        <v>255</v>
      </c>
      <c r="P4498">
        <v>1843.8899999999999</v>
      </c>
      <c r="Q4498" s="23" t="s">
        <v>658</v>
      </c>
    </row>
    <row r="4499" spans="1:17" x14ac:dyDescent="0.25">
      <c r="A4499" s="23" t="s">
        <v>1150</v>
      </c>
      <c r="B4499" s="23" t="s">
        <v>1145</v>
      </c>
      <c r="C4499" s="23" t="s">
        <v>176</v>
      </c>
      <c r="D4499" s="23" t="s">
        <v>775</v>
      </c>
      <c r="E4499" s="23" t="s">
        <v>776</v>
      </c>
      <c r="F4499">
        <v>3</v>
      </c>
      <c r="G4499" s="23" t="s">
        <v>183</v>
      </c>
      <c r="H4499">
        <v>0</v>
      </c>
      <c r="I4499">
        <v>0</v>
      </c>
      <c r="J4499" s="10">
        <v>0</v>
      </c>
      <c r="K4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499">
        <v>0</v>
      </c>
      <c r="M44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4499">
        <v>614.63</v>
      </c>
      <c r="O4499" s="23" t="s">
        <v>255</v>
      </c>
      <c r="P4499">
        <v>1843.8899999999999</v>
      </c>
      <c r="Q4499" s="23" t="s">
        <v>658</v>
      </c>
    </row>
    <row r="4500" spans="1:17" x14ac:dyDescent="0.25">
      <c r="A4500" s="23" t="s">
        <v>1144</v>
      </c>
      <c r="B4500" s="23" t="s">
        <v>1145</v>
      </c>
      <c r="C4500" s="23" t="s">
        <v>176</v>
      </c>
      <c r="D4500" s="23" t="s">
        <v>886</v>
      </c>
      <c r="E4500" s="23" t="s">
        <v>887</v>
      </c>
      <c r="F4500">
        <v>50</v>
      </c>
      <c r="G4500" s="23" t="s">
        <v>180</v>
      </c>
      <c r="H4500">
        <v>0</v>
      </c>
      <c r="I4500">
        <v>0</v>
      </c>
      <c r="J4500" s="10">
        <v>57</v>
      </c>
      <c r="K4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500">
        <v>0</v>
      </c>
      <c r="M45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500">
        <v>8.9499999999999993</v>
      </c>
      <c r="O4500" s="23" t="s">
        <v>224</v>
      </c>
      <c r="P4500">
        <v>447.49999999999994</v>
      </c>
      <c r="Q4500" s="23" t="s">
        <v>182</v>
      </c>
    </row>
    <row r="4501" spans="1:17" x14ac:dyDescent="0.25">
      <c r="A4501" s="23" t="s">
        <v>1149</v>
      </c>
      <c r="B4501" s="23" t="s">
        <v>1145</v>
      </c>
      <c r="C4501" s="23" t="s">
        <v>176</v>
      </c>
      <c r="D4501" s="23" t="s">
        <v>1168</v>
      </c>
      <c r="E4501" s="23" t="s">
        <v>1169</v>
      </c>
      <c r="F4501">
        <v>2</v>
      </c>
      <c r="G4501" s="23" t="s">
        <v>177</v>
      </c>
      <c r="H4501">
        <v>0</v>
      </c>
      <c r="I4501">
        <v>500</v>
      </c>
      <c r="J4501" s="10">
        <v>500</v>
      </c>
      <c r="K4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501">
        <v>0</v>
      </c>
      <c r="M45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1">
        <v>0.55000000000000004</v>
      </c>
      <c r="O4501" s="23" t="s">
        <v>827</v>
      </c>
      <c r="P4501">
        <v>1.1000000000000001</v>
      </c>
      <c r="Q4501" s="23" t="s">
        <v>222</v>
      </c>
    </row>
    <row r="4502" spans="1:17" x14ac:dyDescent="0.25">
      <c r="A4502" s="23" t="s">
        <v>1148</v>
      </c>
      <c r="B4502" s="23" t="s">
        <v>1054</v>
      </c>
      <c r="C4502" s="23" t="s">
        <v>176</v>
      </c>
      <c r="D4502" s="23" t="s">
        <v>1121</v>
      </c>
      <c r="E4502" s="23" t="s">
        <v>1122</v>
      </c>
      <c r="F4502">
        <v>0.2</v>
      </c>
      <c r="G4502" s="23" t="s">
        <v>186</v>
      </c>
      <c r="H4502">
        <v>0</v>
      </c>
      <c r="I4502">
        <v>0</v>
      </c>
      <c r="J4502" s="10">
        <v>0</v>
      </c>
      <c r="K4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0.60000000000000009</v>
      </c>
      <c r="L4502">
        <v>0</v>
      </c>
      <c r="M45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126.49200000000002</v>
      </c>
      <c r="N4502">
        <v>210.82</v>
      </c>
      <c r="O4502" s="23" t="s">
        <v>491</v>
      </c>
      <c r="P4502">
        <v>42.164000000000001</v>
      </c>
      <c r="Q4502" s="23" t="s">
        <v>184</v>
      </c>
    </row>
    <row r="4503" spans="1:17" x14ac:dyDescent="0.25">
      <c r="A4503" s="23" t="s">
        <v>1150</v>
      </c>
      <c r="B4503" s="23" t="s">
        <v>1145</v>
      </c>
      <c r="C4503" s="23" t="s">
        <v>176</v>
      </c>
      <c r="D4503" s="23" t="s">
        <v>1168</v>
      </c>
      <c r="E4503" s="23" t="s">
        <v>1169</v>
      </c>
      <c r="F4503">
        <v>2</v>
      </c>
      <c r="G4503" s="23" t="s">
        <v>177</v>
      </c>
      <c r="H4503">
        <v>0</v>
      </c>
      <c r="I4503">
        <v>500</v>
      </c>
      <c r="J4503" s="10">
        <v>500</v>
      </c>
      <c r="K4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503">
        <v>0</v>
      </c>
      <c r="M45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3">
        <v>0.55000000000000004</v>
      </c>
      <c r="O4503" s="23" t="s">
        <v>827</v>
      </c>
      <c r="P4503">
        <v>1.1000000000000001</v>
      </c>
      <c r="Q4503" s="23" t="s">
        <v>222</v>
      </c>
    </row>
    <row r="4504" spans="1:17" x14ac:dyDescent="0.25">
      <c r="A4504" s="23" t="s">
        <v>1058</v>
      </c>
      <c r="B4504" s="23" t="s">
        <v>1059</v>
      </c>
      <c r="C4504" s="23" t="s">
        <v>176</v>
      </c>
      <c r="D4504" s="23" t="s">
        <v>886</v>
      </c>
      <c r="E4504" s="23" t="s">
        <v>887</v>
      </c>
      <c r="F4504">
        <v>50</v>
      </c>
      <c r="G4504" s="23" t="s">
        <v>180</v>
      </c>
      <c r="H4504">
        <v>50</v>
      </c>
      <c r="I4504">
        <v>0</v>
      </c>
      <c r="J4504" s="10">
        <v>57</v>
      </c>
      <c r="K4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504">
        <v>0</v>
      </c>
      <c r="M45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504">
        <v>8.9499999999999993</v>
      </c>
      <c r="O4504" s="23" t="s">
        <v>224</v>
      </c>
      <c r="P4504">
        <v>447.49999999999994</v>
      </c>
      <c r="Q4504" s="23" t="s">
        <v>182</v>
      </c>
    </row>
    <row r="4505" spans="1:17" x14ac:dyDescent="0.25">
      <c r="A4505" s="23" t="s">
        <v>1147</v>
      </c>
      <c r="B4505" s="23" t="s">
        <v>1145</v>
      </c>
      <c r="C4505" s="23" t="s">
        <v>176</v>
      </c>
      <c r="D4505" s="23" t="s">
        <v>886</v>
      </c>
      <c r="E4505" s="23" t="s">
        <v>887</v>
      </c>
      <c r="F4505">
        <v>50</v>
      </c>
      <c r="G4505" s="23" t="s">
        <v>180</v>
      </c>
      <c r="H4505">
        <v>0</v>
      </c>
      <c r="I4505">
        <v>0</v>
      </c>
      <c r="J4505" s="10">
        <v>57</v>
      </c>
      <c r="K4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4505">
        <v>0</v>
      </c>
      <c r="M45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4505">
        <v>8.9499999999999993</v>
      </c>
      <c r="O4505" s="23" t="s">
        <v>224</v>
      </c>
      <c r="P4505">
        <v>447.49999999999994</v>
      </c>
      <c r="Q4505" s="23" t="s">
        <v>182</v>
      </c>
    </row>
    <row r="4506" spans="1:17" x14ac:dyDescent="0.25">
      <c r="A4506" s="23" t="s">
        <v>1150</v>
      </c>
      <c r="B4506" s="23" t="s">
        <v>1145</v>
      </c>
      <c r="C4506" s="23" t="s">
        <v>176</v>
      </c>
      <c r="D4506" s="23" t="s">
        <v>698</v>
      </c>
      <c r="E4506" s="23" t="s">
        <v>699</v>
      </c>
      <c r="F4506">
        <v>1</v>
      </c>
      <c r="G4506" s="23" t="s">
        <v>177</v>
      </c>
      <c r="H4506">
        <v>0</v>
      </c>
      <c r="I4506">
        <v>7</v>
      </c>
      <c r="J4506" s="10">
        <v>4</v>
      </c>
      <c r="K4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506">
        <v>0</v>
      </c>
      <c r="M45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4506">
        <v>2200</v>
      </c>
      <c r="O4506" s="23" t="s">
        <v>253</v>
      </c>
      <c r="P4506">
        <v>2200</v>
      </c>
      <c r="Q4506" s="23" t="s">
        <v>179</v>
      </c>
    </row>
    <row r="4507" spans="1:17" x14ac:dyDescent="0.25">
      <c r="A4507" s="23" t="s">
        <v>1150</v>
      </c>
      <c r="B4507" s="23" t="s">
        <v>1145</v>
      </c>
      <c r="C4507" s="23" t="s">
        <v>176</v>
      </c>
      <c r="D4507" s="23" t="s">
        <v>121</v>
      </c>
      <c r="E4507" s="23" t="s">
        <v>312</v>
      </c>
      <c r="F4507">
        <v>1.5</v>
      </c>
      <c r="G4507" s="23" t="s">
        <v>177</v>
      </c>
      <c r="H4507">
        <v>0</v>
      </c>
      <c r="I4507">
        <v>24</v>
      </c>
      <c r="J4507" s="10">
        <v>18.499999999999972</v>
      </c>
      <c r="K4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507">
        <v>0</v>
      </c>
      <c r="M45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507">
        <v>120</v>
      </c>
      <c r="O4507" s="23" t="s">
        <v>242</v>
      </c>
      <c r="P4507">
        <v>180</v>
      </c>
      <c r="Q4507" s="23" t="s">
        <v>184</v>
      </c>
    </row>
    <row r="4508" spans="1:17" x14ac:dyDescent="0.25">
      <c r="A4508" s="23" t="s">
        <v>1150</v>
      </c>
      <c r="B4508" s="23" t="s">
        <v>1145</v>
      </c>
      <c r="C4508" s="23" t="s">
        <v>176</v>
      </c>
      <c r="D4508" s="23" t="s">
        <v>837</v>
      </c>
      <c r="E4508" s="23" t="s">
        <v>838</v>
      </c>
      <c r="F4508">
        <v>120</v>
      </c>
      <c r="G4508" s="23" t="s">
        <v>180</v>
      </c>
      <c r="H4508">
        <v>0</v>
      </c>
      <c r="I4508">
        <v>0</v>
      </c>
      <c r="J4508" s="10">
        <v>0</v>
      </c>
      <c r="K4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508">
        <v>0</v>
      </c>
      <c r="M45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08">
        <v>0</v>
      </c>
      <c r="O4508" s="23"/>
      <c r="P4508">
        <v>0</v>
      </c>
      <c r="Q4508" s="23" t="s">
        <v>185</v>
      </c>
    </row>
    <row r="4509" spans="1:17" x14ac:dyDescent="0.25">
      <c r="A4509" s="23" t="s">
        <v>1149</v>
      </c>
      <c r="B4509" s="23" t="s">
        <v>1145</v>
      </c>
      <c r="C4509" s="23" t="s">
        <v>176</v>
      </c>
      <c r="D4509" s="23" t="s">
        <v>698</v>
      </c>
      <c r="E4509" s="23" t="s">
        <v>699</v>
      </c>
      <c r="F4509">
        <v>1</v>
      </c>
      <c r="G4509" s="23" t="s">
        <v>177</v>
      </c>
      <c r="H4509">
        <v>0</v>
      </c>
      <c r="I4509">
        <v>7</v>
      </c>
      <c r="J4509" s="10">
        <v>4</v>
      </c>
      <c r="K4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509">
        <v>0</v>
      </c>
      <c r="M45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4509">
        <v>2200</v>
      </c>
      <c r="O4509" s="23" t="s">
        <v>253</v>
      </c>
      <c r="P4509">
        <v>2200</v>
      </c>
      <c r="Q4509" s="23" t="s">
        <v>179</v>
      </c>
    </row>
    <row r="4510" spans="1:17" x14ac:dyDescent="0.25">
      <c r="A4510" s="23" t="s">
        <v>1144</v>
      </c>
      <c r="B4510" s="23" t="s">
        <v>1145</v>
      </c>
      <c r="C4510" s="23" t="s">
        <v>176</v>
      </c>
      <c r="D4510" s="23" t="s">
        <v>109</v>
      </c>
      <c r="E4510" s="23" t="s">
        <v>110</v>
      </c>
      <c r="F4510">
        <v>1</v>
      </c>
      <c r="G4510" s="23" t="s">
        <v>177</v>
      </c>
      <c r="H4510">
        <v>0</v>
      </c>
      <c r="I4510">
        <v>0</v>
      </c>
      <c r="J4510" s="10">
        <v>5.5699999999999843</v>
      </c>
      <c r="K4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510">
        <v>0</v>
      </c>
      <c r="M45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4510">
        <v>1416.67</v>
      </c>
      <c r="O4510" s="23" t="s">
        <v>224</v>
      </c>
      <c r="P4510">
        <v>1416.67</v>
      </c>
      <c r="Q4510" s="23" t="s">
        <v>182</v>
      </c>
    </row>
    <row r="4511" spans="1:17" x14ac:dyDescent="0.25">
      <c r="A4511" s="23" t="s">
        <v>1146</v>
      </c>
      <c r="B4511" s="23" t="s">
        <v>1145</v>
      </c>
      <c r="C4511" s="23" t="s">
        <v>176</v>
      </c>
      <c r="D4511" s="23" t="s">
        <v>109</v>
      </c>
      <c r="E4511" s="23" t="s">
        <v>110</v>
      </c>
      <c r="F4511">
        <v>1</v>
      </c>
      <c r="G4511" s="23" t="s">
        <v>177</v>
      </c>
      <c r="H4511">
        <v>0</v>
      </c>
      <c r="I4511">
        <v>0</v>
      </c>
      <c r="J4511" s="10">
        <v>5.5699999999999843</v>
      </c>
      <c r="K4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511">
        <v>0</v>
      </c>
      <c r="M45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4511">
        <v>1416.67</v>
      </c>
      <c r="O4511" s="23" t="s">
        <v>224</v>
      </c>
      <c r="P4511">
        <v>1416.67</v>
      </c>
      <c r="Q4511" s="23" t="s">
        <v>182</v>
      </c>
    </row>
    <row r="4512" spans="1:17" x14ac:dyDescent="0.25">
      <c r="A4512" s="23" t="s">
        <v>1146</v>
      </c>
      <c r="B4512" s="23" t="s">
        <v>1145</v>
      </c>
      <c r="C4512" s="23" t="s">
        <v>176</v>
      </c>
      <c r="D4512" s="23" t="s">
        <v>387</v>
      </c>
      <c r="E4512" s="23" t="s">
        <v>614</v>
      </c>
      <c r="F4512">
        <v>1</v>
      </c>
      <c r="G4512" s="23" t="s">
        <v>183</v>
      </c>
      <c r="H4512">
        <v>0</v>
      </c>
      <c r="I4512">
        <v>15.9</v>
      </c>
      <c r="J4512" s="10">
        <v>39.329999999999977</v>
      </c>
      <c r="K4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512">
        <v>11.895</v>
      </c>
      <c r="M45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2">
        <v>641.03</v>
      </c>
      <c r="O4512" s="23" t="s">
        <v>224</v>
      </c>
      <c r="P4512">
        <v>641.03</v>
      </c>
      <c r="Q4512" s="23" t="s">
        <v>182</v>
      </c>
    </row>
    <row r="4513" spans="1:17" x14ac:dyDescent="0.25">
      <c r="A4513" s="23" t="s">
        <v>1147</v>
      </c>
      <c r="B4513" s="23" t="s">
        <v>1145</v>
      </c>
      <c r="C4513" s="23" t="s">
        <v>176</v>
      </c>
      <c r="D4513" s="23" t="s">
        <v>735</v>
      </c>
      <c r="E4513" s="23" t="s">
        <v>736</v>
      </c>
      <c r="F4513">
        <v>1</v>
      </c>
      <c r="G4513" s="23" t="s">
        <v>177</v>
      </c>
      <c r="H4513">
        <v>0</v>
      </c>
      <c r="I4513">
        <v>12</v>
      </c>
      <c r="J4513" s="10">
        <v>15</v>
      </c>
      <c r="K4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513">
        <v>0</v>
      </c>
      <c r="M45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513">
        <v>565.83000000000004</v>
      </c>
      <c r="O4513" s="23" t="s">
        <v>668</v>
      </c>
      <c r="P4513">
        <v>565.83000000000004</v>
      </c>
      <c r="Q4513" s="23" t="s">
        <v>678</v>
      </c>
    </row>
    <row r="4514" spans="1:17" x14ac:dyDescent="0.25">
      <c r="A4514" s="23" t="s">
        <v>1144</v>
      </c>
      <c r="B4514" s="23" t="s">
        <v>1145</v>
      </c>
      <c r="C4514" s="23" t="s">
        <v>176</v>
      </c>
      <c r="D4514" s="23" t="s">
        <v>735</v>
      </c>
      <c r="E4514" s="23" t="s">
        <v>736</v>
      </c>
      <c r="F4514">
        <v>1</v>
      </c>
      <c r="G4514" s="23" t="s">
        <v>177</v>
      </c>
      <c r="H4514">
        <v>0</v>
      </c>
      <c r="I4514">
        <v>12</v>
      </c>
      <c r="J4514" s="10">
        <v>15</v>
      </c>
      <c r="K4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514">
        <v>0</v>
      </c>
      <c r="M45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514">
        <v>565.83000000000004</v>
      </c>
      <c r="O4514" s="23" t="s">
        <v>668</v>
      </c>
      <c r="P4514">
        <v>565.83000000000004</v>
      </c>
      <c r="Q4514" s="23" t="s">
        <v>678</v>
      </c>
    </row>
    <row r="4515" spans="1:17" x14ac:dyDescent="0.25">
      <c r="A4515" s="23" t="s">
        <v>1146</v>
      </c>
      <c r="B4515" s="23" t="s">
        <v>1145</v>
      </c>
      <c r="C4515" s="23" t="s">
        <v>176</v>
      </c>
      <c r="D4515" s="23" t="s">
        <v>646</v>
      </c>
      <c r="E4515" s="23" t="s">
        <v>647</v>
      </c>
      <c r="F4515">
        <v>1</v>
      </c>
      <c r="G4515" s="23" t="s">
        <v>177</v>
      </c>
      <c r="H4515">
        <v>0</v>
      </c>
      <c r="I4515">
        <v>3</v>
      </c>
      <c r="J4515" s="10">
        <v>8</v>
      </c>
      <c r="K4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15">
        <v>0</v>
      </c>
      <c r="M45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15">
        <v>1820</v>
      </c>
      <c r="O4515" s="23" t="s">
        <v>264</v>
      </c>
      <c r="P4515">
        <v>1820</v>
      </c>
      <c r="Q4515" s="23" t="s">
        <v>642</v>
      </c>
    </row>
    <row r="4516" spans="1:17" x14ac:dyDescent="0.25">
      <c r="A4516" s="23" t="s">
        <v>1197</v>
      </c>
      <c r="B4516" s="23" t="s">
        <v>1198</v>
      </c>
      <c r="C4516" s="23" t="s">
        <v>176</v>
      </c>
      <c r="D4516" s="23" t="s">
        <v>600</v>
      </c>
      <c r="E4516" s="23" t="s">
        <v>601</v>
      </c>
      <c r="F4516">
        <v>4</v>
      </c>
      <c r="G4516" s="23" t="s">
        <v>177</v>
      </c>
      <c r="H4516">
        <v>0</v>
      </c>
      <c r="I4516">
        <v>45</v>
      </c>
      <c r="J4516" s="10">
        <v>6</v>
      </c>
      <c r="K4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516">
        <v>0</v>
      </c>
      <c r="M45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6">
        <v>313.76</v>
      </c>
      <c r="O4516" s="23" t="s">
        <v>637</v>
      </c>
      <c r="P4516">
        <v>1255.04</v>
      </c>
      <c r="Q4516" s="23" t="s">
        <v>178</v>
      </c>
    </row>
    <row r="4517" spans="1:17" x14ac:dyDescent="0.25">
      <c r="A4517" s="23" t="s">
        <v>1098</v>
      </c>
      <c r="B4517" s="23" t="s">
        <v>1053</v>
      </c>
      <c r="C4517" s="23" t="s">
        <v>176</v>
      </c>
      <c r="D4517" s="23" t="s">
        <v>600</v>
      </c>
      <c r="E4517" s="23" t="s">
        <v>601</v>
      </c>
      <c r="F4517">
        <v>4</v>
      </c>
      <c r="G4517" s="23" t="s">
        <v>177</v>
      </c>
      <c r="H4517">
        <v>0</v>
      </c>
      <c r="I4517">
        <v>45</v>
      </c>
      <c r="J4517" s="10">
        <v>6</v>
      </c>
      <c r="K4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517">
        <v>0</v>
      </c>
      <c r="M45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17">
        <v>313.76</v>
      </c>
      <c r="O4517" s="23" t="s">
        <v>637</v>
      </c>
      <c r="P4517">
        <v>1255.04</v>
      </c>
      <c r="Q4517" s="23" t="s">
        <v>178</v>
      </c>
    </row>
    <row r="4518" spans="1:17" x14ac:dyDescent="0.25">
      <c r="A4518" s="23" t="s">
        <v>1062</v>
      </c>
      <c r="B4518" s="23" t="s">
        <v>1053</v>
      </c>
      <c r="C4518" s="23" t="s">
        <v>176</v>
      </c>
      <c r="D4518" s="23" t="s">
        <v>576</v>
      </c>
      <c r="E4518" s="23" t="s">
        <v>577</v>
      </c>
      <c r="F4518">
        <v>5.2999999999999989</v>
      </c>
      <c r="G4518" s="23" t="s">
        <v>177</v>
      </c>
      <c r="H4518">
        <v>0</v>
      </c>
      <c r="I4518">
        <v>85</v>
      </c>
      <c r="J4518" s="10">
        <v>3.6499999999999986</v>
      </c>
      <c r="K4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18">
        <v>0</v>
      </c>
      <c r="M45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18">
        <v>348.11</v>
      </c>
      <c r="O4518" s="23" t="s">
        <v>252</v>
      </c>
      <c r="P4518">
        <v>1844.9829999999997</v>
      </c>
      <c r="Q4518" s="23" t="s">
        <v>184</v>
      </c>
    </row>
    <row r="4519" spans="1:17" x14ac:dyDescent="0.25">
      <c r="A4519" s="23" t="s">
        <v>1097</v>
      </c>
      <c r="B4519" s="23" t="s">
        <v>1095</v>
      </c>
      <c r="C4519" s="23" t="s">
        <v>176</v>
      </c>
      <c r="D4519" s="23" t="s">
        <v>576</v>
      </c>
      <c r="E4519" s="23" t="s">
        <v>577</v>
      </c>
      <c r="F4519">
        <v>5.85</v>
      </c>
      <c r="G4519" s="23" t="s">
        <v>177</v>
      </c>
      <c r="H4519">
        <v>0</v>
      </c>
      <c r="I4519">
        <v>85</v>
      </c>
      <c r="J4519" s="10">
        <v>3.6499999999999986</v>
      </c>
      <c r="K4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19">
        <v>0</v>
      </c>
      <c r="M45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19">
        <v>348.11</v>
      </c>
      <c r="O4519" s="23" t="s">
        <v>252</v>
      </c>
      <c r="P4519">
        <v>2036.4434999999999</v>
      </c>
      <c r="Q4519" s="23" t="s">
        <v>184</v>
      </c>
    </row>
    <row r="4520" spans="1:17" x14ac:dyDescent="0.25">
      <c r="A4520" s="23" t="s">
        <v>1097</v>
      </c>
      <c r="B4520" s="23" t="s">
        <v>1095</v>
      </c>
      <c r="C4520" s="23" t="s">
        <v>176</v>
      </c>
      <c r="D4520" s="23" t="s">
        <v>650</v>
      </c>
      <c r="E4520" s="23" t="s">
        <v>651</v>
      </c>
      <c r="F4520">
        <v>6</v>
      </c>
      <c r="G4520" s="23" t="s">
        <v>186</v>
      </c>
      <c r="H4520">
        <v>0</v>
      </c>
      <c r="I4520">
        <v>65</v>
      </c>
      <c r="J4520" s="10">
        <v>0</v>
      </c>
      <c r="K4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520">
        <v>0</v>
      </c>
      <c r="M45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520">
        <v>1119.95</v>
      </c>
      <c r="O4520" s="23" t="s">
        <v>649</v>
      </c>
      <c r="P4520">
        <v>6719.7000000000007</v>
      </c>
      <c r="Q4520" s="23" t="s">
        <v>184</v>
      </c>
    </row>
    <row r="4521" spans="1:17" x14ac:dyDescent="0.25">
      <c r="A4521" s="23" t="s">
        <v>1197</v>
      </c>
      <c r="B4521" s="23" t="s">
        <v>1198</v>
      </c>
      <c r="C4521" s="23" t="s">
        <v>176</v>
      </c>
      <c r="D4521" s="23" t="s">
        <v>646</v>
      </c>
      <c r="E4521" s="23" t="s">
        <v>647</v>
      </c>
      <c r="F4521">
        <v>1</v>
      </c>
      <c r="G4521" s="23" t="s">
        <v>177</v>
      </c>
      <c r="H4521">
        <v>0</v>
      </c>
      <c r="I4521">
        <v>3</v>
      </c>
      <c r="J4521" s="10">
        <v>8</v>
      </c>
      <c r="K4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21">
        <v>0</v>
      </c>
      <c r="M45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21">
        <v>1820</v>
      </c>
      <c r="O4521" s="23" t="s">
        <v>264</v>
      </c>
      <c r="P4521">
        <v>1820</v>
      </c>
      <c r="Q4521" s="23" t="s">
        <v>642</v>
      </c>
    </row>
    <row r="4522" spans="1:17" x14ac:dyDescent="0.25">
      <c r="A4522" s="23" t="s">
        <v>1098</v>
      </c>
      <c r="B4522" s="23" t="s">
        <v>1053</v>
      </c>
      <c r="C4522" s="23" t="s">
        <v>176</v>
      </c>
      <c r="D4522" s="23" t="s">
        <v>646</v>
      </c>
      <c r="E4522" s="23" t="s">
        <v>647</v>
      </c>
      <c r="F4522">
        <v>1</v>
      </c>
      <c r="G4522" s="23" t="s">
        <v>177</v>
      </c>
      <c r="H4522">
        <v>0</v>
      </c>
      <c r="I4522">
        <v>3</v>
      </c>
      <c r="J4522" s="10">
        <v>8</v>
      </c>
      <c r="K4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22">
        <v>0</v>
      </c>
      <c r="M45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22">
        <v>1820</v>
      </c>
      <c r="O4522" s="23" t="s">
        <v>264</v>
      </c>
      <c r="P4522">
        <v>1820</v>
      </c>
      <c r="Q4522" s="23" t="s">
        <v>642</v>
      </c>
    </row>
    <row r="4523" spans="1:17" x14ac:dyDescent="0.25">
      <c r="A4523" s="23" t="s">
        <v>1143</v>
      </c>
      <c r="B4523" s="23" t="s">
        <v>1054</v>
      </c>
      <c r="C4523" s="23" t="s">
        <v>176</v>
      </c>
      <c r="D4523" s="23" t="s">
        <v>576</v>
      </c>
      <c r="E4523" s="23" t="s">
        <v>577</v>
      </c>
      <c r="F4523">
        <v>4.3499999999999988</v>
      </c>
      <c r="G4523" s="23" t="s">
        <v>177</v>
      </c>
      <c r="H4523">
        <v>0</v>
      </c>
      <c r="I4523">
        <v>85</v>
      </c>
      <c r="J4523" s="10">
        <v>3.6499999999999986</v>
      </c>
      <c r="K4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23">
        <v>0</v>
      </c>
      <c r="M45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23">
        <v>348.11</v>
      </c>
      <c r="O4523" s="23" t="s">
        <v>252</v>
      </c>
      <c r="P4523">
        <v>1514.2784999999997</v>
      </c>
      <c r="Q4523" s="23" t="s">
        <v>184</v>
      </c>
    </row>
    <row r="4524" spans="1:17" x14ac:dyDescent="0.25">
      <c r="A4524" s="23" t="s">
        <v>1094</v>
      </c>
      <c r="B4524" s="23" t="s">
        <v>1095</v>
      </c>
      <c r="C4524" s="23" t="s">
        <v>176</v>
      </c>
      <c r="D4524" s="23" t="s">
        <v>576</v>
      </c>
      <c r="E4524" s="23" t="s">
        <v>577</v>
      </c>
      <c r="F4524">
        <v>5.85</v>
      </c>
      <c r="G4524" s="23" t="s">
        <v>177</v>
      </c>
      <c r="H4524">
        <v>0</v>
      </c>
      <c r="I4524">
        <v>85</v>
      </c>
      <c r="J4524" s="10">
        <v>3.6499999999999986</v>
      </c>
      <c r="K4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24">
        <v>0</v>
      </c>
      <c r="M45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24">
        <v>348.11</v>
      </c>
      <c r="O4524" s="23" t="s">
        <v>252</v>
      </c>
      <c r="P4524">
        <v>2036.4434999999999</v>
      </c>
      <c r="Q4524" s="23" t="s">
        <v>184</v>
      </c>
    </row>
    <row r="4525" spans="1:17" x14ac:dyDescent="0.25">
      <c r="A4525" s="23" t="s">
        <v>1057</v>
      </c>
      <c r="B4525" s="23" t="s">
        <v>1056</v>
      </c>
      <c r="C4525" s="23" t="s">
        <v>176</v>
      </c>
      <c r="D4525" s="23" t="s">
        <v>576</v>
      </c>
      <c r="E4525" s="23" t="s">
        <v>577</v>
      </c>
      <c r="F4525">
        <v>8.0500000000000007</v>
      </c>
      <c r="G4525" s="23" t="s">
        <v>177</v>
      </c>
      <c r="H4525">
        <v>0</v>
      </c>
      <c r="I4525">
        <v>85</v>
      </c>
      <c r="J4525" s="10">
        <v>3.6499999999999986</v>
      </c>
      <c r="K4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25">
        <v>0</v>
      </c>
      <c r="M45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25">
        <v>348.11</v>
      </c>
      <c r="O4525" s="23" t="s">
        <v>252</v>
      </c>
      <c r="P4525">
        <v>2802.2855000000004</v>
      </c>
      <c r="Q4525" s="23" t="s">
        <v>184</v>
      </c>
    </row>
    <row r="4526" spans="1:17" x14ac:dyDescent="0.25">
      <c r="A4526" s="23" t="s">
        <v>1057</v>
      </c>
      <c r="B4526" s="23" t="s">
        <v>1056</v>
      </c>
      <c r="C4526" s="23" t="s">
        <v>176</v>
      </c>
      <c r="D4526" s="23" t="s">
        <v>650</v>
      </c>
      <c r="E4526" s="23" t="s">
        <v>651</v>
      </c>
      <c r="F4526">
        <v>5</v>
      </c>
      <c r="G4526" s="23" t="s">
        <v>186</v>
      </c>
      <c r="H4526">
        <v>0</v>
      </c>
      <c r="I4526">
        <v>65</v>
      </c>
      <c r="J4526" s="10">
        <v>0</v>
      </c>
      <c r="K4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526">
        <v>0</v>
      </c>
      <c r="M45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526">
        <v>1119.95</v>
      </c>
      <c r="O4526" s="23" t="s">
        <v>649</v>
      </c>
      <c r="P4526">
        <v>5599.75</v>
      </c>
      <c r="Q4526" s="23" t="s">
        <v>184</v>
      </c>
    </row>
    <row r="4527" spans="1:17" x14ac:dyDescent="0.25">
      <c r="A4527" s="23" t="s">
        <v>1144</v>
      </c>
      <c r="B4527" s="23" t="s">
        <v>1145</v>
      </c>
      <c r="C4527" s="23" t="s">
        <v>176</v>
      </c>
      <c r="D4527" s="23" t="s">
        <v>557</v>
      </c>
      <c r="E4527" s="23" t="s">
        <v>558</v>
      </c>
      <c r="F4527">
        <v>0.1</v>
      </c>
      <c r="G4527" s="23" t="s">
        <v>177</v>
      </c>
      <c r="H4527">
        <v>0</v>
      </c>
      <c r="I4527">
        <v>33</v>
      </c>
      <c r="J4527" s="10">
        <v>6.1</v>
      </c>
      <c r="K4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527">
        <v>0</v>
      </c>
      <c r="M45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7">
        <v>25</v>
      </c>
      <c r="O4527" s="23" t="s">
        <v>242</v>
      </c>
      <c r="P4527">
        <v>2.5</v>
      </c>
      <c r="Q4527" s="23" t="s">
        <v>181</v>
      </c>
    </row>
    <row r="4528" spans="1:17" x14ac:dyDescent="0.25">
      <c r="A4528" s="23" t="s">
        <v>1150</v>
      </c>
      <c r="B4528" s="23" t="s">
        <v>1145</v>
      </c>
      <c r="C4528" s="23" t="s">
        <v>176</v>
      </c>
      <c r="D4528" s="23" t="s">
        <v>576</v>
      </c>
      <c r="E4528" s="23" t="s">
        <v>577</v>
      </c>
      <c r="F4528">
        <v>4.4000000000000004</v>
      </c>
      <c r="G4528" s="23" t="s">
        <v>177</v>
      </c>
      <c r="H4528">
        <v>0</v>
      </c>
      <c r="I4528">
        <v>85</v>
      </c>
      <c r="J4528" s="10">
        <v>3.6499999999999986</v>
      </c>
      <c r="K4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28">
        <v>0</v>
      </c>
      <c r="M45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28">
        <v>348.11</v>
      </c>
      <c r="O4528" s="23" t="s">
        <v>252</v>
      </c>
      <c r="P4528">
        <v>1531.6840000000002</v>
      </c>
      <c r="Q4528" s="23" t="s">
        <v>184</v>
      </c>
    </row>
    <row r="4529" spans="1:17" x14ac:dyDescent="0.25">
      <c r="A4529" s="23" t="s">
        <v>1100</v>
      </c>
      <c r="B4529" s="23" t="s">
        <v>1101</v>
      </c>
      <c r="C4529" s="23" t="s">
        <v>176</v>
      </c>
      <c r="D4529" s="23" t="s">
        <v>600</v>
      </c>
      <c r="E4529" s="23" t="s">
        <v>601</v>
      </c>
      <c r="F4529">
        <v>4</v>
      </c>
      <c r="G4529" s="23" t="s">
        <v>177</v>
      </c>
      <c r="H4529">
        <v>0</v>
      </c>
      <c r="I4529">
        <v>45</v>
      </c>
      <c r="J4529" s="10">
        <v>6</v>
      </c>
      <c r="K4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529">
        <v>0</v>
      </c>
      <c r="M45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29">
        <v>313.76</v>
      </c>
      <c r="O4529" s="23" t="s">
        <v>637</v>
      </c>
      <c r="P4529">
        <v>1255.04</v>
      </c>
      <c r="Q4529" s="23" t="s">
        <v>178</v>
      </c>
    </row>
    <row r="4530" spans="1:17" x14ac:dyDescent="0.25">
      <c r="A4530" s="23" t="s">
        <v>1058</v>
      </c>
      <c r="B4530" s="23" t="s">
        <v>1059</v>
      </c>
      <c r="C4530" s="23" t="s">
        <v>176</v>
      </c>
      <c r="D4530" s="23" t="s">
        <v>576</v>
      </c>
      <c r="E4530" s="23" t="s">
        <v>577</v>
      </c>
      <c r="F4530">
        <v>4.25</v>
      </c>
      <c r="G4530" s="23" t="s">
        <v>177</v>
      </c>
      <c r="H4530">
        <v>0</v>
      </c>
      <c r="I4530">
        <v>85</v>
      </c>
      <c r="J4530" s="10">
        <v>3.6499999999999986</v>
      </c>
      <c r="K4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30">
        <v>0</v>
      </c>
      <c r="M45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30">
        <v>348.11</v>
      </c>
      <c r="O4530" s="23" t="s">
        <v>252</v>
      </c>
      <c r="P4530">
        <v>1479.4675</v>
      </c>
      <c r="Q4530" s="23" t="s">
        <v>184</v>
      </c>
    </row>
    <row r="4531" spans="1:17" x14ac:dyDescent="0.25">
      <c r="A4531" s="23" t="s">
        <v>1150</v>
      </c>
      <c r="B4531" s="23" t="s">
        <v>1145</v>
      </c>
      <c r="C4531" s="23" t="s">
        <v>176</v>
      </c>
      <c r="D4531" s="23" t="s">
        <v>951</v>
      </c>
      <c r="E4531" s="23" t="s">
        <v>952</v>
      </c>
      <c r="F4531">
        <v>4</v>
      </c>
      <c r="G4531" s="23" t="s">
        <v>177</v>
      </c>
      <c r="H4531">
        <v>0</v>
      </c>
      <c r="I4531">
        <v>996</v>
      </c>
      <c r="J4531" s="10">
        <v>0</v>
      </c>
      <c r="K4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4531">
        <v>0</v>
      </c>
      <c r="M45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1">
        <v>1.8</v>
      </c>
      <c r="O4531" s="23" t="s">
        <v>242</v>
      </c>
      <c r="P4531">
        <v>7.2</v>
      </c>
      <c r="Q4531" s="23" t="s">
        <v>181</v>
      </c>
    </row>
    <row r="4532" spans="1:17" x14ac:dyDescent="0.25">
      <c r="A4532" s="23" t="s">
        <v>1100</v>
      </c>
      <c r="B4532" s="23" t="s">
        <v>1101</v>
      </c>
      <c r="C4532" s="23" t="s">
        <v>176</v>
      </c>
      <c r="D4532" s="23" t="s">
        <v>646</v>
      </c>
      <c r="E4532" s="23" t="s">
        <v>647</v>
      </c>
      <c r="F4532">
        <v>1</v>
      </c>
      <c r="G4532" s="23" t="s">
        <v>177</v>
      </c>
      <c r="H4532">
        <v>0</v>
      </c>
      <c r="I4532">
        <v>3</v>
      </c>
      <c r="J4532" s="10">
        <v>8</v>
      </c>
      <c r="K4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32">
        <v>0</v>
      </c>
      <c r="M45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32">
        <v>1820</v>
      </c>
      <c r="O4532" s="23" t="s">
        <v>264</v>
      </c>
      <c r="P4532">
        <v>1820</v>
      </c>
      <c r="Q4532" s="23" t="s">
        <v>642</v>
      </c>
    </row>
    <row r="4533" spans="1:17" x14ac:dyDescent="0.25">
      <c r="A4533" s="23" t="s">
        <v>1180</v>
      </c>
      <c r="B4533" s="23" t="s">
        <v>1181</v>
      </c>
      <c r="C4533" s="23" t="s">
        <v>176</v>
      </c>
      <c r="D4533" s="23" t="s">
        <v>646</v>
      </c>
      <c r="E4533" s="23" t="s">
        <v>647</v>
      </c>
      <c r="F4533">
        <v>1</v>
      </c>
      <c r="G4533" s="23" t="s">
        <v>177</v>
      </c>
      <c r="H4533">
        <v>0</v>
      </c>
      <c r="I4533">
        <v>3</v>
      </c>
      <c r="J4533" s="10">
        <v>8</v>
      </c>
      <c r="K4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33">
        <v>0</v>
      </c>
      <c r="M45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33">
        <v>1820</v>
      </c>
      <c r="O4533" s="23" t="s">
        <v>264</v>
      </c>
      <c r="P4533">
        <v>1820</v>
      </c>
      <c r="Q4533" s="23" t="s">
        <v>642</v>
      </c>
    </row>
    <row r="4534" spans="1:17" x14ac:dyDescent="0.25">
      <c r="A4534" s="23" t="s">
        <v>1058</v>
      </c>
      <c r="B4534" s="23" t="s">
        <v>1059</v>
      </c>
      <c r="C4534" s="23" t="s">
        <v>176</v>
      </c>
      <c r="D4534" s="23" t="s">
        <v>951</v>
      </c>
      <c r="E4534" s="23" t="s">
        <v>952</v>
      </c>
      <c r="F4534">
        <v>4</v>
      </c>
      <c r="G4534" s="23" t="s">
        <v>177</v>
      </c>
      <c r="H4534">
        <v>0</v>
      </c>
      <c r="I4534">
        <v>996</v>
      </c>
      <c r="J4534" s="10">
        <v>0</v>
      </c>
      <c r="K4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4534">
        <v>0</v>
      </c>
      <c r="M45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4">
        <v>1.8</v>
      </c>
      <c r="O4534" s="23" t="s">
        <v>242</v>
      </c>
      <c r="P4534">
        <v>7.2</v>
      </c>
      <c r="Q4534" s="23" t="s">
        <v>181</v>
      </c>
    </row>
    <row r="4535" spans="1:17" x14ac:dyDescent="0.25">
      <c r="A4535" s="23" t="s">
        <v>1098</v>
      </c>
      <c r="B4535" s="23" t="s">
        <v>1053</v>
      </c>
      <c r="C4535" s="23" t="s">
        <v>176</v>
      </c>
      <c r="D4535" s="23" t="s">
        <v>650</v>
      </c>
      <c r="E4535" s="23" t="s">
        <v>651</v>
      </c>
      <c r="F4535">
        <v>7</v>
      </c>
      <c r="G4535" s="23" t="s">
        <v>186</v>
      </c>
      <c r="H4535">
        <v>0</v>
      </c>
      <c r="I4535">
        <v>65</v>
      </c>
      <c r="J4535" s="10">
        <v>0</v>
      </c>
      <c r="K4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535">
        <v>0</v>
      </c>
      <c r="M45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535">
        <v>1119.95</v>
      </c>
      <c r="O4535" s="23" t="s">
        <v>649</v>
      </c>
      <c r="P4535">
        <v>7839.6500000000005</v>
      </c>
      <c r="Q4535" s="23" t="s">
        <v>184</v>
      </c>
    </row>
    <row r="4536" spans="1:17" x14ac:dyDescent="0.25">
      <c r="A4536" s="23" t="s">
        <v>1097</v>
      </c>
      <c r="B4536" s="23" t="s">
        <v>1095</v>
      </c>
      <c r="C4536" s="23" t="s">
        <v>176</v>
      </c>
      <c r="D4536" s="23" t="s">
        <v>646</v>
      </c>
      <c r="E4536" s="23" t="s">
        <v>647</v>
      </c>
      <c r="F4536">
        <v>1</v>
      </c>
      <c r="G4536" s="23" t="s">
        <v>177</v>
      </c>
      <c r="H4536">
        <v>0</v>
      </c>
      <c r="I4536">
        <v>3</v>
      </c>
      <c r="J4536" s="10">
        <v>8</v>
      </c>
      <c r="K4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536">
        <v>0</v>
      </c>
      <c r="M45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536">
        <v>1820</v>
      </c>
      <c r="O4536" s="23" t="s">
        <v>264</v>
      </c>
      <c r="P4536">
        <v>1820</v>
      </c>
      <c r="Q4536" s="23" t="s">
        <v>642</v>
      </c>
    </row>
    <row r="4537" spans="1:17" x14ac:dyDescent="0.25">
      <c r="A4537" s="23" t="s">
        <v>1147</v>
      </c>
      <c r="B4537" s="23" t="s">
        <v>1145</v>
      </c>
      <c r="C4537" s="23" t="s">
        <v>176</v>
      </c>
      <c r="D4537" s="23" t="s">
        <v>557</v>
      </c>
      <c r="E4537" s="23" t="s">
        <v>558</v>
      </c>
      <c r="F4537">
        <v>0.1</v>
      </c>
      <c r="G4537" s="23" t="s">
        <v>177</v>
      </c>
      <c r="H4537">
        <v>0</v>
      </c>
      <c r="I4537">
        <v>33</v>
      </c>
      <c r="J4537" s="10">
        <v>6.1</v>
      </c>
      <c r="K4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537">
        <v>0</v>
      </c>
      <c r="M45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7">
        <v>25</v>
      </c>
      <c r="O4537" s="23" t="s">
        <v>242</v>
      </c>
      <c r="P4537">
        <v>2.5</v>
      </c>
      <c r="Q4537" s="23" t="s">
        <v>181</v>
      </c>
    </row>
    <row r="4538" spans="1:17" x14ac:dyDescent="0.25">
      <c r="A4538" s="23" t="s">
        <v>1099</v>
      </c>
      <c r="B4538" s="23" t="s">
        <v>1056</v>
      </c>
      <c r="C4538" s="23" t="s">
        <v>176</v>
      </c>
      <c r="D4538" s="23" t="s">
        <v>557</v>
      </c>
      <c r="E4538" s="23" t="s">
        <v>558</v>
      </c>
      <c r="F4538">
        <v>0.1</v>
      </c>
      <c r="G4538" s="23" t="s">
        <v>177</v>
      </c>
      <c r="H4538">
        <v>0.1</v>
      </c>
      <c r="I4538">
        <v>33</v>
      </c>
      <c r="J4538" s="10">
        <v>6.1</v>
      </c>
      <c r="K4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538">
        <v>0</v>
      </c>
      <c r="M45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38">
        <v>25</v>
      </c>
      <c r="O4538" s="23" t="s">
        <v>242</v>
      </c>
      <c r="P4538">
        <v>2.5</v>
      </c>
      <c r="Q4538" s="23" t="s">
        <v>181</v>
      </c>
    </row>
    <row r="4539" spans="1:17" x14ac:dyDescent="0.25">
      <c r="A4539" s="23" t="s">
        <v>1147</v>
      </c>
      <c r="B4539" s="23" t="s">
        <v>1145</v>
      </c>
      <c r="C4539" s="23" t="s">
        <v>176</v>
      </c>
      <c r="D4539" s="23" t="s">
        <v>576</v>
      </c>
      <c r="E4539" s="23" t="s">
        <v>577</v>
      </c>
      <c r="F4539">
        <v>4.4000000000000004</v>
      </c>
      <c r="G4539" s="23" t="s">
        <v>177</v>
      </c>
      <c r="H4539">
        <v>0</v>
      </c>
      <c r="I4539">
        <v>85</v>
      </c>
      <c r="J4539" s="10">
        <v>3.6499999999999986</v>
      </c>
      <c r="K4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539">
        <v>0</v>
      </c>
      <c r="M45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539">
        <v>348.11</v>
      </c>
      <c r="O4539" s="23" t="s">
        <v>252</v>
      </c>
      <c r="P4539">
        <v>1531.6840000000002</v>
      </c>
      <c r="Q4539" s="23" t="s">
        <v>184</v>
      </c>
    </row>
    <row r="4540" spans="1:17" x14ac:dyDescent="0.25">
      <c r="A4540" s="23" t="s">
        <v>1058</v>
      </c>
      <c r="B4540" s="23" t="s">
        <v>1059</v>
      </c>
      <c r="C4540" s="23" t="s">
        <v>176</v>
      </c>
      <c r="D4540" s="23" t="s">
        <v>650</v>
      </c>
      <c r="E4540" s="23" t="s">
        <v>651</v>
      </c>
      <c r="F4540">
        <v>7</v>
      </c>
      <c r="G4540" s="23" t="s">
        <v>186</v>
      </c>
      <c r="H4540">
        <v>0</v>
      </c>
      <c r="I4540">
        <v>65</v>
      </c>
      <c r="J4540" s="10">
        <v>0</v>
      </c>
      <c r="K4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540">
        <v>0</v>
      </c>
      <c r="M45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540">
        <v>1119.95</v>
      </c>
      <c r="O4540" s="23" t="s">
        <v>649</v>
      </c>
      <c r="P4540">
        <v>7839.6500000000005</v>
      </c>
      <c r="Q4540" s="23" t="s">
        <v>184</v>
      </c>
    </row>
    <row r="4541" spans="1:17" x14ac:dyDescent="0.25">
      <c r="A4541" s="23" t="s">
        <v>1148</v>
      </c>
      <c r="B4541" s="23" t="s">
        <v>1054</v>
      </c>
      <c r="C4541" s="23" t="s">
        <v>176</v>
      </c>
      <c r="D4541" s="23" t="s">
        <v>650</v>
      </c>
      <c r="E4541" s="23" t="s">
        <v>651</v>
      </c>
      <c r="F4541">
        <v>6</v>
      </c>
      <c r="G4541" s="23" t="s">
        <v>186</v>
      </c>
      <c r="H4541">
        <v>0</v>
      </c>
      <c r="I4541">
        <v>65</v>
      </c>
      <c r="J4541" s="10">
        <v>0</v>
      </c>
      <c r="K4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541">
        <v>0</v>
      </c>
      <c r="M45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541">
        <v>1119.95</v>
      </c>
      <c r="O4541" s="23" t="s">
        <v>649</v>
      </c>
      <c r="P4541">
        <v>6719.7000000000007</v>
      </c>
      <c r="Q4541" s="23" t="s">
        <v>184</v>
      </c>
    </row>
    <row r="4542" spans="1:17" x14ac:dyDescent="0.25">
      <c r="A4542" s="23" t="s">
        <v>1148</v>
      </c>
      <c r="B4542" s="23" t="s">
        <v>1054</v>
      </c>
      <c r="C4542" s="23" t="s">
        <v>176</v>
      </c>
      <c r="D4542" s="23" t="s">
        <v>719</v>
      </c>
      <c r="E4542" s="23" t="s">
        <v>720</v>
      </c>
      <c r="F4542">
        <v>1</v>
      </c>
      <c r="G4542" s="23" t="s">
        <v>177</v>
      </c>
      <c r="H4542">
        <v>0</v>
      </c>
      <c r="I4542">
        <v>1</v>
      </c>
      <c r="J4542" s="10">
        <v>4</v>
      </c>
      <c r="K4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542">
        <v>0</v>
      </c>
      <c r="M45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542">
        <v>12990.78</v>
      </c>
      <c r="O4542" s="23" t="s">
        <v>590</v>
      </c>
      <c r="P4542">
        <v>12990.78</v>
      </c>
      <c r="Q4542" s="23" t="s">
        <v>178</v>
      </c>
    </row>
    <row r="4543" spans="1:17" x14ac:dyDescent="0.25">
      <c r="A4543" s="23" t="s">
        <v>1097</v>
      </c>
      <c r="B4543" s="23" t="s">
        <v>1095</v>
      </c>
      <c r="C4543" s="23" t="s">
        <v>176</v>
      </c>
      <c r="D4543" s="23" t="s">
        <v>739</v>
      </c>
      <c r="E4543" s="23" t="s">
        <v>740</v>
      </c>
      <c r="F4543">
        <v>1</v>
      </c>
      <c r="G4543" s="23" t="s">
        <v>177</v>
      </c>
      <c r="H4543">
        <v>0</v>
      </c>
      <c r="I4543">
        <v>12</v>
      </c>
      <c r="J4543" s="10">
        <v>14</v>
      </c>
      <c r="K4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543">
        <v>0</v>
      </c>
      <c r="M45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543">
        <v>116.67</v>
      </c>
      <c r="O4543" s="23" t="s">
        <v>668</v>
      </c>
      <c r="P4543">
        <v>116.67</v>
      </c>
      <c r="Q4543" s="23" t="s">
        <v>178</v>
      </c>
    </row>
    <row r="4544" spans="1:17" x14ac:dyDescent="0.25">
      <c r="A4544" s="23" t="s">
        <v>1097</v>
      </c>
      <c r="B4544" s="23" t="s">
        <v>1095</v>
      </c>
      <c r="C4544" s="23" t="s">
        <v>176</v>
      </c>
      <c r="D4544" s="23" t="s">
        <v>782</v>
      </c>
      <c r="E4544" s="23" t="s">
        <v>783</v>
      </c>
      <c r="F4544">
        <v>1</v>
      </c>
      <c r="G4544" s="23" t="s">
        <v>177</v>
      </c>
      <c r="H4544">
        <v>0</v>
      </c>
      <c r="I4544">
        <v>6</v>
      </c>
      <c r="J4544" s="10">
        <v>7</v>
      </c>
      <c r="K4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44">
        <v>10</v>
      </c>
      <c r="M45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4">
        <v>750</v>
      </c>
      <c r="O4544" s="23" t="s">
        <v>291</v>
      </c>
      <c r="P4544">
        <v>750</v>
      </c>
      <c r="Q4544" s="23" t="s">
        <v>179</v>
      </c>
    </row>
    <row r="4545" spans="1:17" x14ac:dyDescent="0.25">
      <c r="A4545" s="23" t="s">
        <v>1197</v>
      </c>
      <c r="B4545" s="23" t="s">
        <v>1198</v>
      </c>
      <c r="C4545" s="23" t="s">
        <v>176</v>
      </c>
      <c r="D4545" s="23" t="s">
        <v>782</v>
      </c>
      <c r="E4545" s="23" t="s">
        <v>783</v>
      </c>
      <c r="F4545">
        <v>1</v>
      </c>
      <c r="G4545" s="23" t="s">
        <v>177</v>
      </c>
      <c r="H4545">
        <v>0</v>
      </c>
      <c r="I4545">
        <v>6</v>
      </c>
      <c r="J4545" s="10">
        <v>7</v>
      </c>
      <c r="K4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45">
        <v>10</v>
      </c>
      <c r="M45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5">
        <v>750</v>
      </c>
      <c r="O4545" s="23" t="s">
        <v>291</v>
      </c>
      <c r="P4545">
        <v>750</v>
      </c>
      <c r="Q4545" s="23" t="s">
        <v>179</v>
      </c>
    </row>
    <row r="4546" spans="1:17" x14ac:dyDescent="0.25">
      <c r="A4546" s="23" t="s">
        <v>1098</v>
      </c>
      <c r="B4546" s="23" t="s">
        <v>1053</v>
      </c>
      <c r="C4546" s="23" t="s">
        <v>176</v>
      </c>
      <c r="D4546" s="23" t="s">
        <v>782</v>
      </c>
      <c r="E4546" s="23" t="s">
        <v>783</v>
      </c>
      <c r="F4546">
        <v>1</v>
      </c>
      <c r="G4546" s="23" t="s">
        <v>177</v>
      </c>
      <c r="H4546">
        <v>0</v>
      </c>
      <c r="I4546">
        <v>6</v>
      </c>
      <c r="J4546" s="10">
        <v>7</v>
      </c>
      <c r="K4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546">
        <v>10</v>
      </c>
      <c r="M45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6">
        <v>750</v>
      </c>
      <c r="O4546" s="23" t="s">
        <v>291</v>
      </c>
      <c r="P4546">
        <v>750</v>
      </c>
      <c r="Q4546" s="23" t="s">
        <v>179</v>
      </c>
    </row>
    <row r="4547" spans="1:17" x14ac:dyDescent="0.25">
      <c r="A4547" s="23" t="s">
        <v>1062</v>
      </c>
      <c r="B4547" s="23" t="s">
        <v>1053</v>
      </c>
      <c r="C4547" s="23" t="s">
        <v>176</v>
      </c>
      <c r="D4547" s="23" t="s">
        <v>779</v>
      </c>
      <c r="E4547" s="23" t="s">
        <v>133</v>
      </c>
      <c r="F4547">
        <v>20</v>
      </c>
      <c r="G4547" s="23" t="s">
        <v>177</v>
      </c>
      <c r="H4547">
        <v>0</v>
      </c>
      <c r="I4547">
        <v>574</v>
      </c>
      <c r="J4547" s="10">
        <v>98</v>
      </c>
      <c r="K4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547">
        <v>0</v>
      </c>
      <c r="M45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7">
        <v>6.67</v>
      </c>
      <c r="O4547" s="23" t="s">
        <v>1195</v>
      </c>
      <c r="P4547">
        <v>133.4</v>
      </c>
      <c r="Q4547" s="23" t="s">
        <v>222</v>
      </c>
    </row>
    <row r="4548" spans="1:17" x14ac:dyDescent="0.25">
      <c r="A4548" s="23" t="s">
        <v>1097</v>
      </c>
      <c r="B4548" s="23" t="s">
        <v>1095</v>
      </c>
      <c r="C4548" s="23" t="s">
        <v>176</v>
      </c>
      <c r="D4548" s="23" t="s">
        <v>779</v>
      </c>
      <c r="E4548" s="23" t="s">
        <v>133</v>
      </c>
      <c r="F4548">
        <v>10</v>
      </c>
      <c r="G4548" s="23" t="s">
        <v>177</v>
      </c>
      <c r="H4548">
        <v>0</v>
      </c>
      <c r="I4548">
        <v>574</v>
      </c>
      <c r="J4548" s="10">
        <v>98</v>
      </c>
      <c r="K4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548">
        <v>0</v>
      </c>
      <c r="M45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8">
        <v>6.67</v>
      </c>
      <c r="O4548" s="23" t="s">
        <v>1195</v>
      </c>
      <c r="P4548">
        <v>66.7</v>
      </c>
      <c r="Q4548" s="23" t="s">
        <v>222</v>
      </c>
    </row>
    <row r="4549" spans="1:17" x14ac:dyDescent="0.25">
      <c r="A4549" s="23" t="s">
        <v>1197</v>
      </c>
      <c r="B4549" s="23" t="s">
        <v>1198</v>
      </c>
      <c r="C4549" s="23" t="s">
        <v>176</v>
      </c>
      <c r="D4549" s="23" t="s">
        <v>779</v>
      </c>
      <c r="E4549" s="23" t="s">
        <v>133</v>
      </c>
      <c r="F4549">
        <v>20</v>
      </c>
      <c r="G4549" s="23" t="s">
        <v>177</v>
      </c>
      <c r="H4549">
        <v>0</v>
      </c>
      <c r="I4549">
        <v>574</v>
      </c>
      <c r="J4549" s="10">
        <v>98</v>
      </c>
      <c r="K4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549">
        <v>0</v>
      </c>
      <c r="M45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49">
        <v>6.67</v>
      </c>
      <c r="O4549" s="23" t="s">
        <v>1195</v>
      </c>
      <c r="P4549">
        <v>133.4</v>
      </c>
      <c r="Q4549" s="23" t="s">
        <v>222</v>
      </c>
    </row>
    <row r="4550" spans="1:17" x14ac:dyDescent="0.25">
      <c r="A4550" s="23" t="s">
        <v>1098</v>
      </c>
      <c r="B4550" s="23" t="s">
        <v>1053</v>
      </c>
      <c r="C4550" s="23" t="s">
        <v>176</v>
      </c>
      <c r="D4550" s="23" t="s">
        <v>1049</v>
      </c>
      <c r="E4550" s="23" t="s">
        <v>1050</v>
      </c>
      <c r="F4550">
        <v>1</v>
      </c>
      <c r="G4550" s="23" t="s">
        <v>177</v>
      </c>
      <c r="H4550">
        <v>0</v>
      </c>
      <c r="I4550">
        <v>3</v>
      </c>
      <c r="J4550" s="10">
        <v>6</v>
      </c>
      <c r="K4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550">
        <v>0</v>
      </c>
      <c r="M45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550">
        <v>12138.93</v>
      </c>
      <c r="O4550" s="23" t="s">
        <v>635</v>
      </c>
      <c r="P4550">
        <v>12138.93</v>
      </c>
      <c r="Q4550" s="23" t="s">
        <v>178</v>
      </c>
    </row>
    <row r="4551" spans="1:17" x14ac:dyDescent="0.25">
      <c r="A4551" s="23" t="s">
        <v>1197</v>
      </c>
      <c r="B4551" s="23" t="s">
        <v>1198</v>
      </c>
      <c r="C4551" s="23" t="s">
        <v>176</v>
      </c>
      <c r="D4551" s="23" t="s">
        <v>1049</v>
      </c>
      <c r="E4551" s="23" t="s">
        <v>1050</v>
      </c>
      <c r="F4551">
        <v>1</v>
      </c>
      <c r="G4551" s="23" t="s">
        <v>177</v>
      </c>
      <c r="H4551">
        <v>0</v>
      </c>
      <c r="I4551">
        <v>3</v>
      </c>
      <c r="J4551" s="10">
        <v>6</v>
      </c>
      <c r="K4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551">
        <v>0</v>
      </c>
      <c r="M45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551">
        <v>12138.93</v>
      </c>
      <c r="O4551" s="23" t="s">
        <v>635</v>
      </c>
      <c r="P4551">
        <v>12138.93</v>
      </c>
      <c r="Q4551" s="23" t="s">
        <v>178</v>
      </c>
    </row>
    <row r="4552" spans="1:17" x14ac:dyDescent="0.25">
      <c r="A4552" s="23" t="s">
        <v>1197</v>
      </c>
      <c r="B4552" s="23" t="s">
        <v>1198</v>
      </c>
      <c r="C4552" s="23" t="s">
        <v>176</v>
      </c>
      <c r="D4552" s="23" t="s">
        <v>988</v>
      </c>
      <c r="E4552" s="23" t="s">
        <v>989</v>
      </c>
      <c r="F4552">
        <v>1</v>
      </c>
      <c r="G4552" s="23" t="s">
        <v>177</v>
      </c>
      <c r="H4552">
        <v>0</v>
      </c>
      <c r="I4552">
        <v>2</v>
      </c>
      <c r="J4552" s="10">
        <v>1</v>
      </c>
      <c r="K4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552">
        <v>2</v>
      </c>
      <c r="M45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2">
        <v>41000</v>
      </c>
      <c r="O4552" s="23" t="s">
        <v>786</v>
      </c>
      <c r="P4552">
        <v>41000</v>
      </c>
      <c r="Q4552" s="23" t="s">
        <v>223</v>
      </c>
    </row>
    <row r="4553" spans="1:17" x14ac:dyDescent="0.25">
      <c r="A4553" s="23" t="s">
        <v>1062</v>
      </c>
      <c r="B4553" s="23" t="s">
        <v>1053</v>
      </c>
      <c r="C4553" s="23" t="s">
        <v>176</v>
      </c>
      <c r="D4553" s="23" t="s">
        <v>608</v>
      </c>
      <c r="E4553" s="23" t="s">
        <v>609</v>
      </c>
      <c r="F4553">
        <v>2</v>
      </c>
      <c r="G4553" s="23" t="s">
        <v>177</v>
      </c>
      <c r="H4553">
        <v>0</v>
      </c>
      <c r="I4553">
        <v>2</v>
      </c>
      <c r="J4553" s="10">
        <v>8</v>
      </c>
      <c r="K4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553">
        <v>0</v>
      </c>
      <c r="M45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553">
        <v>56.58</v>
      </c>
      <c r="O4553" s="23" t="s">
        <v>637</v>
      </c>
      <c r="P4553">
        <v>113.16</v>
      </c>
      <c r="Q4553" s="23" t="s">
        <v>178</v>
      </c>
    </row>
    <row r="4554" spans="1:17" x14ac:dyDescent="0.25">
      <c r="A4554" s="23" t="s">
        <v>1062</v>
      </c>
      <c r="B4554" s="23" t="s">
        <v>1053</v>
      </c>
      <c r="C4554" s="23" t="s">
        <v>176</v>
      </c>
      <c r="D4554" s="23" t="s">
        <v>787</v>
      </c>
      <c r="E4554" s="23" t="s">
        <v>788</v>
      </c>
      <c r="F4554">
        <v>4.5</v>
      </c>
      <c r="G4554" s="23" t="s">
        <v>180</v>
      </c>
      <c r="H4554">
        <v>0</v>
      </c>
      <c r="I4554">
        <v>100</v>
      </c>
      <c r="J4554" s="10">
        <v>185.5</v>
      </c>
      <c r="K4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-88.5</v>
      </c>
      <c r="L4554">
        <v>0</v>
      </c>
      <c r="M45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4">
        <v>57.6</v>
      </c>
      <c r="O4554" s="23" t="s">
        <v>827</v>
      </c>
      <c r="P4554">
        <v>259.2</v>
      </c>
      <c r="Q4554" s="23" t="s">
        <v>222</v>
      </c>
    </row>
    <row r="4555" spans="1:17" x14ac:dyDescent="0.25">
      <c r="A4555" s="23" t="s">
        <v>1062</v>
      </c>
      <c r="B4555" s="23" t="s">
        <v>1053</v>
      </c>
      <c r="C4555" s="23" t="s">
        <v>176</v>
      </c>
      <c r="D4555" s="23" t="s">
        <v>1066</v>
      </c>
      <c r="E4555" s="23" t="s">
        <v>1067</v>
      </c>
      <c r="F4555">
        <v>16</v>
      </c>
      <c r="G4555" s="23" t="s">
        <v>180</v>
      </c>
      <c r="H4555">
        <v>0</v>
      </c>
      <c r="I4555">
        <v>100</v>
      </c>
      <c r="J4555" s="10">
        <v>84</v>
      </c>
      <c r="K4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555">
        <v>0</v>
      </c>
      <c r="M45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5">
        <v>14.85</v>
      </c>
      <c r="O4555" s="23" t="s">
        <v>827</v>
      </c>
      <c r="P4555">
        <v>237.6</v>
      </c>
      <c r="Q4555" s="23" t="s">
        <v>222</v>
      </c>
    </row>
    <row r="4556" spans="1:17" x14ac:dyDescent="0.25">
      <c r="A4556" s="23" t="s">
        <v>1097</v>
      </c>
      <c r="B4556" s="23" t="s">
        <v>1095</v>
      </c>
      <c r="C4556" s="23" t="s">
        <v>176</v>
      </c>
      <c r="D4556" s="23" t="s">
        <v>1066</v>
      </c>
      <c r="E4556" s="23" t="s">
        <v>1067</v>
      </c>
      <c r="F4556">
        <v>12</v>
      </c>
      <c r="G4556" s="23" t="s">
        <v>180</v>
      </c>
      <c r="H4556">
        <v>0</v>
      </c>
      <c r="I4556">
        <v>100</v>
      </c>
      <c r="J4556" s="10">
        <v>84</v>
      </c>
      <c r="K4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556">
        <v>0</v>
      </c>
      <c r="M45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6">
        <v>14.85</v>
      </c>
      <c r="O4556" s="23" t="s">
        <v>827</v>
      </c>
      <c r="P4556">
        <v>178.2</v>
      </c>
      <c r="Q4556" s="23" t="s">
        <v>222</v>
      </c>
    </row>
    <row r="4557" spans="1:17" x14ac:dyDescent="0.25">
      <c r="A4557" s="23" t="s">
        <v>1148</v>
      </c>
      <c r="B4557" s="23" t="s">
        <v>1054</v>
      </c>
      <c r="C4557" s="23" t="s">
        <v>176</v>
      </c>
      <c r="D4557" s="23" t="s">
        <v>1066</v>
      </c>
      <c r="E4557" s="23" t="s">
        <v>1067</v>
      </c>
      <c r="F4557">
        <v>16</v>
      </c>
      <c r="G4557" s="23" t="s">
        <v>180</v>
      </c>
      <c r="H4557">
        <v>0</v>
      </c>
      <c r="I4557">
        <v>100</v>
      </c>
      <c r="J4557" s="10">
        <v>84</v>
      </c>
      <c r="K4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557">
        <v>0</v>
      </c>
      <c r="M45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7">
        <v>14.85</v>
      </c>
      <c r="O4557" s="23" t="s">
        <v>827</v>
      </c>
      <c r="P4557">
        <v>237.6</v>
      </c>
      <c r="Q4557" s="23" t="s">
        <v>222</v>
      </c>
    </row>
    <row r="4558" spans="1:17" x14ac:dyDescent="0.25">
      <c r="A4558" s="23" t="s">
        <v>1058</v>
      </c>
      <c r="B4558" s="23" t="s">
        <v>1059</v>
      </c>
      <c r="C4558" s="23" t="s">
        <v>176</v>
      </c>
      <c r="D4558" s="23" t="s">
        <v>717</v>
      </c>
      <c r="E4558" s="23" t="s">
        <v>718</v>
      </c>
      <c r="F4558">
        <v>0.2</v>
      </c>
      <c r="G4558" s="23" t="s">
        <v>180</v>
      </c>
      <c r="H4558">
        <v>0</v>
      </c>
      <c r="I4558">
        <v>200</v>
      </c>
      <c r="J4558" s="10">
        <v>85.649999999999977</v>
      </c>
      <c r="K4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558">
        <v>0</v>
      </c>
      <c r="M45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8">
        <v>3.62</v>
      </c>
      <c r="O4558" s="23" t="s">
        <v>827</v>
      </c>
      <c r="P4558">
        <v>0.72400000000000009</v>
      </c>
      <c r="Q4558" s="23" t="s">
        <v>222</v>
      </c>
    </row>
    <row r="4559" spans="1:17" x14ac:dyDescent="0.25">
      <c r="A4559" s="23" t="s">
        <v>1147</v>
      </c>
      <c r="B4559" s="23" t="s">
        <v>1145</v>
      </c>
      <c r="C4559" s="23" t="s">
        <v>176</v>
      </c>
      <c r="D4559" s="23" t="s">
        <v>717</v>
      </c>
      <c r="E4559" s="23" t="s">
        <v>718</v>
      </c>
      <c r="F4559">
        <v>0.2</v>
      </c>
      <c r="G4559" s="23" t="s">
        <v>180</v>
      </c>
      <c r="H4559">
        <v>0</v>
      </c>
      <c r="I4559">
        <v>200</v>
      </c>
      <c r="J4559" s="10">
        <v>85.649999999999977</v>
      </c>
      <c r="K4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559">
        <v>0</v>
      </c>
      <c r="M45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59">
        <v>3.62</v>
      </c>
      <c r="O4559" s="23" t="s">
        <v>827</v>
      </c>
      <c r="P4559">
        <v>0.72400000000000009</v>
      </c>
      <c r="Q4559" s="23" t="s">
        <v>222</v>
      </c>
    </row>
    <row r="4560" spans="1:17" x14ac:dyDescent="0.25">
      <c r="A4560" s="23" t="s">
        <v>1148</v>
      </c>
      <c r="B4560" s="23" t="s">
        <v>1054</v>
      </c>
      <c r="C4560" s="23" t="s">
        <v>176</v>
      </c>
      <c r="D4560" s="23" t="s">
        <v>717</v>
      </c>
      <c r="E4560" s="23" t="s">
        <v>718</v>
      </c>
      <c r="F4560">
        <v>0.2</v>
      </c>
      <c r="G4560" s="23" t="s">
        <v>180</v>
      </c>
      <c r="H4560">
        <v>0</v>
      </c>
      <c r="I4560">
        <v>200</v>
      </c>
      <c r="J4560" s="10">
        <v>85.649999999999977</v>
      </c>
      <c r="K4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560">
        <v>0</v>
      </c>
      <c r="M45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0">
        <v>3.62</v>
      </c>
      <c r="O4560" s="23" t="s">
        <v>827</v>
      </c>
      <c r="P4560">
        <v>0.72400000000000009</v>
      </c>
      <c r="Q4560" s="23" t="s">
        <v>222</v>
      </c>
    </row>
    <row r="4561" spans="1:17" x14ac:dyDescent="0.25">
      <c r="A4561" s="23" t="s">
        <v>1099</v>
      </c>
      <c r="B4561" s="23" t="s">
        <v>1056</v>
      </c>
      <c r="C4561" s="23" t="s">
        <v>176</v>
      </c>
      <c r="D4561" s="23" t="s">
        <v>717</v>
      </c>
      <c r="E4561" s="23" t="s">
        <v>718</v>
      </c>
      <c r="F4561">
        <v>0.2</v>
      </c>
      <c r="G4561" s="23" t="s">
        <v>180</v>
      </c>
      <c r="H4561">
        <v>0</v>
      </c>
      <c r="I4561">
        <v>200</v>
      </c>
      <c r="J4561" s="10">
        <v>85.649999999999977</v>
      </c>
      <c r="K4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561">
        <v>0</v>
      </c>
      <c r="M45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1">
        <v>3.62</v>
      </c>
      <c r="O4561" s="23" t="s">
        <v>827</v>
      </c>
      <c r="P4561">
        <v>0.72400000000000009</v>
      </c>
      <c r="Q4561" s="23" t="s">
        <v>222</v>
      </c>
    </row>
    <row r="4562" spans="1:17" x14ac:dyDescent="0.25">
      <c r="A4562" s="23" t="s">
        <v>1098</v>
      </c>
      <c r="B4562" s="23" t="s">
        <v>1053</v>
      </c>
      <c r="C4562" s="23" t="s">
        <v>176</v>
      </c>
      <c r="D4562" s="23" t="s">
        <v>739</v>
      </c>
      <c r="E4562" s="23" t="s">
        <v>740</v>
      </c>
      <c r="F4562">
        <v>1</v>
      </c>
      <c r="G4562" s="23" t="s">
        <v>177</v>
      </c>
      <c r="H4562">
        <v>0</v>
      </c>
      <c r="I4562">
        <v>12</v>
      </c>
      <c r="J4562" s="10">
        <v>14</v>
      </c>
      <c r="K4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562">
        <v>0</v>
      </c>
      <c r="M45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562">
        <v>116.67</v>
      </c>
      <c r="O4562" s="23" t="s">
        <v>668</v>
      </c>
      <c r="P4562">
        <v>116.67</v>
      </c>
      <c r="Q4562" s="23" t="s">
        <v>178</v>
      </c>
    </row>
    <row r="4563" spans="1:17" x14ac:dyDescent="0.25">
      <c r="A4563" s="23" t="s">
        <v>1197</v>
      </c>
      <c r="B4563" s="23" t="s">
        <v>1198</v>
      </c>
      <c r="C4563" s="23" t="s">
        <v>176</v>
      </c>
      <c r="D4563" s="23" t="s">
        <v>739</v>
      </c>
      <c r="E4563" s="23" t="s">
        <v>740</v>
      </c>
      <c r="F4563">
        <v>1</v>
      </c>
      <c r="G4563" s="23" t="s">
        <v>177</v>
      </c>
      <c r="H4563">
        <v>0</v>
      </c>
      <c r="I4563">
        <v>12</v>
      </c>
      <c r="J4563" s="10">
        <v>14</v>
      </c>
      <c r="K4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563">
        <v>0</v>
      </c>
      <c r="M45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563">
        <v>116.67</v>
      </c>
      <c r="O4563" s="23" t="s">
        <v>668</v>
      </c>
      <c r="P4563">
        <v>116.67</v>
      </c>
      <c r="Q4563" s="23" t="s">
        <v>178</v>
      </c>
    </row>
    <row r="4564" spans="1:17" x14ac:dyDescent="0.25">
      <c r="A4564" s="23" t="s">
        <v>1098</v>
      </c>
      <c r="B4564" s="23" t="s">
        <v>1053</v>
      </c>
      <c r="C4564" s="23" t="s">
        <v>176</v>
      </c>
      <c r="D4564" s="23" t="s">
        <v>779</v>
      </c>
      <c r="E4564" s="23" t="s">
        <v>133</v>
      </c>
      <c r="F4564">
        <v>16</v>
      </c>
      <c r="G4564" s="23" t="s">
        <v>177</v>
      </c>
      <c r="H4564">
        <v>0</v>
      </c>
      <c r="I4564">
        <v>574</v>
      </c>
      <c r="J4564" s="10">
        <v>98</v>
      </c>
      <c r="K4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564">
        <v>0</v>
      </c>
      <c r="M45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64">
        <v>6.67</v>
      </c>
      <c r="O4564" s="23" t="s">
        <v>1195</v>
      </c>
      <c r="P4564">
        <v>106.72</v>
      </c>
      <c r="Q4564" s="23" t="s">
        <v>222</v>
      </c>
    </row>
    <row r="4565" spans="1:17" x14ac:dyDescent="0.25">
      <c r="A4565" s="23" t="s">
        <v>1197</v>
      </c>
      <c r="B4565" s="23" t="s">
        <v>1198</v>
      </c>
      <c r="C4565" s="23" t="s">
        <v>176</v>
      </c>
      <c r="D4565" s="23" t="s">
        <v>608</v>
      </c>
      <c r="E4565" s="23" t="s">
        <v>609</v>
      </c>
      <c r="F4565">
        <v>2</v>
      </c>
      <c r="G4565" s="23" t="s">
        <v>177</v>
      </c>
      <c r="H4565">
        <v>0</v>
      </c>
      <c r="I4565">
        <v>2</v>
      </c>
      <c r="J4565" s="10">
        <v>8</v>
      </c>
      <c r="K4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565">
        <v>0</v>
      </c>
      <c r="M45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565">
        <v>56.58</v>
      </c>
      <c r="O4565" s="23" t="s">
        <v>637</v>
      </c>
      <c r="P4565">
        <v>113.16</v>
      </c>
      <c r="Q4565" s="23" t="s">
        <v>178</v>
      </c>
    </row>
    <row r="4566" spans="1:17" x14ac:dyDescent="0.25">
      <c r="A4566" s="23" t="s">
        <v>1098</v>
      </c>
      <c r="B4566" s="23" t="s">
        <v>1053</v>
      </c>
      <c r="C4566" s="23" t="s">
        <v>176</v>
      </c>
      <c r="D4566" s="23" t="s">
        <v>608</v>
      </c>
      <c r="E4566" s="23" t="s">
        <v>609</v>
      </c>
      <c r="F4566">
        <v>2</v>
      </c>
      <c r="G4566" s="23" t="s">
        <v>177</v>
      </c>
      <c r="H4566">
        <v>0</v>
      </c>
      <c r="I4566">
        <v>2</v>
      </c>
      <c r="J4566" s="10">
        <v>8</v>
      </c>
      <c r="K4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566">
        <v>0</v>
      </c>
      <c r="M45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566">
        <v>56.58</v>
      </c>
      <c r="O4566" s="23" t="s">
        <v>637</v>
      </c>
      <c r="P4566">
        <v>113.16</v>
      </c>
      <c r="Q4566" s="23" t="s">
        <v>178</v>
      </c>
    </row>
    <row r="4567" spans="1:17" x14ac:dyDescent="0.25">
      <c r="A4567" s="23" t="s">
        <v>1097</v>
      </c>
      <c r="B4567" s="23" t="s">
        <v>1095</v>
      </c>
      <c r="C4567" s="23" t="s">
        <v>176</v>
      </c>
      <c r="D4567" s="23" t="s">
        <v>1049</v>
      </c>
      <c r="E4567" s="23" t="s">
        <v>1050</v>
      </c>
      <c r="F4567">
        <v>1</v>
      </c>
      <c r="G4567" s="23" t="s">
        <v>177</v>
      </c>
      <c r="H4567">
        <v>0</v>
      </c>
      <c r="I4567">
        <v>3</v>
      </c>
      <c r="J4567" s="10">
        <v>6</v>
      </c>
      <c r="K4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567">
        <v>0</v>
      </c>
      <c r="M45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567">
        <v>12138.93</v>
      </c>
      <c r="O4567" s="23" t="s">
        <v>635</v>
      </c>
      <c r="P4567">
        <v>12138.93</v>
      </c>
      <c r="Q4567" s="23" t="s">
        <v>178</v>
      </c>
    </row>
    <row r="4568" spans="1:17" x14ac:dyDescent="0.25">
      <c r="A4568" s="23" t="s">
        <v>1097</v>
      </c>
      <c r="B4568" s="23" t="s">
        <v>1095</v>
      </c>
      <c r="C4568" s="23" t="s">
        <v>176</v>
      </c>
      <c r="D4568" s="23" t="s">
        <v>608</v>
      </c>
      <c r="E4568" s="23" t="s">
        <v>609</v>
      </c>
      <c r="F4568">
        <v>2</v>
      </c>
      <c r="G4568" s="23" t="s">
        <v>177</v>
      </c>
      <c r="H4568">
        <v>0</v>
      </c>
      <c r="I4568">
        <v>2</v>
      </c>
      <c r="J4568" s="10">
        <v>8</v>
      </c>
      <c r="K4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568">
        <v>0</v>
      </c>
      <c r="M45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568">
        <v>56.58</v>
      </c>
      <c r="O4568" s="23" t="s">
        <v>637</v>
      </c>
      <c r="P4568">
        <v>113.16</v>
      </c>
      <c r="Q4568" s="23" t="s">
        <v>178</v>
      </c>
    </row>
    <row r="4569" spans="1:17" x14ac:dyDescent="0.25">
      <c r="A4569" s="23" t="s">
        <v>1197</v>
      </c>
      <c r="B4569" s="23" t="s">
        <v>1198</v>
      </c>
      <c r="C4569" s="23" t="s">
        <v>176</v>
      </c>
      <c r="D4569" s="23" t="s">
        <v>733</v>
      </c>
      <c r="E4569" s="23" t="s">
        <v>734</v>
      </c>
      <c r="F4569">
        <v>16</v>
      </c>
      <c r="G4569" s="23" t="s">
        <v>186</v>
      </c>
      <c r="H4569">
        <v>0</v>
      </c>
      <c r="I4569">
        <v>63</v>
      </c>
      <c r="J4569" s="10">
        <v>-1.4210854715202004E-14</v>
      </c>
      <c r="K4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569">
        <v>0</v>
      </c>
      <c r="M45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569">
        <v>1097.8900000000001</v>
      </c>
      <c r="O4569" s="23" t="s">
        <v>649</v>
      </c>
      <c r="P4569">
        <v>17566.240000000002</v>
      </c>
      <c r="Q4569" s="23" t="s">
        <v>184</v>
      </c>
    </row>
    <row r="4570" spans="1:17" x14ac:dyDescent="0.25">
      <c r="A4570" s="23" t="s">
        <v>1055</v>
      </c>
      <c r="B4570" s="23" t="s">
        <v>1056</v>
      </c>
      <c r="C4570" s="23" t="s">
        <v>176</v>
      </c>
      <c r="D4570" s="23" t="s">
        <v>479</v>
      </c>
      <c r="E4570" s="23" t="s">
        <v>480</v>
      </c>
      <c r="F4570">
        <v>50</v>
      </c>
      <c r="G4570" s="23" t="s">
        <v>177</v>
      </c>
      <c r="H4570">
        <v>0</v>
      </c>
      <c r="I4570">
        <v>950</v>
      </c>
      <c r="J4570" s="10">
        <v>380</v>
      </c>
      <c r="K4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570">
        <v>0</v>
      </c>
      <c r="M45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0">
        <v>0.4</v>
      </c>
      <c r="O4570" s="23" t="s">
        <v>883</v>
      </c>
      <c r="P4570">
        <v>20</v>
      </c>
      <c r="Q4570" s="23" t="s">
        <v>181</v>
      </c>
    </row>
    <row r="4571" spans="1:17" x14ac:dyDescent="0.25">
      <c r="A4571" s="23" t="s">
        <v>1099</v>
      </c>
      <c r="B4571" s="23" t="s">
        <v>1056</v>
      </c>
      <c r="C4571" s="23" t="s">
        <v>176</v>
      </c>
      <c r="D4571" s="23" t="s">
        <v>479</v>
      </c>
      <c r="E4571" s="23" t="s">
        <v>480</v>
      </c>
      <c r="F4571">
        <v>50</v>
      </c>
      <c r="G4571" s="23" t="s">
        <v>177</v>
      </c>
      <c r="H4571">
        <v>0</v>
      </c>
      <c r="I4571">
        <v>950</v>
      </c>
      <c r="J4571" s="10">
        <v>380</v>
      </c>
      <c r="K4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571">
        <v>0</v>
      </c>
      <c r="M45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1">
        <v>0.4</v>
      </c>
      <c r="O4571" s="23" t="s">
        <v>883</v>
      </c>
      <c r="P4571">
        <v>20</v>
      </c>
      <c r="Q4571" s="23" t="s">
        <v>181</v>
      </c>
    </row>
    <row r="4572" spans="1:17" x14ac:dyDescent="0.25">
      <c r="A4572" s="23" t="s">
        <v>1100</v>
      </c>
      <c r="B4572" s="23" t="s">
        <v>1101</v>
      </c>
      <c r="C4572" s="23" t="s">
        <v>176</v>
      </c>
      <c r="D4572" s="23" t="s">
        <v>615</v>
      </c>
      <c r="E4572" s="23" t="s">
        <v>616</v>
      </c>
      <c r="F4572">
        <v>0.5</v>
      </c>
      <c r="G4572" s="23" t="s">
        <v>186</v>
      </c>
      <c r="H4572">
        <v>0</v>
      </c>
      <c r="I4572">
        <v>72</v>
      </c>
      <c r="J4572" s="10">
        <v>7.0000000000000071</v>
      </c>
      <c r="K4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72">
        <v>0</v>
      </c>
      <c r="M45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2">
        <v>212.93</v>
      </c>
      <c r="O4572" s="23" t="s">
        <v>255</v>
      </c>
      <c r="P4572">
        <v>106.465</v>
      </c>
      <c r="Q4572" s="23" t="s">
        <v>182</v>
      </c>
    </row>
    <row r="4573" spans="1:17" x14ac:dyDescent="0.25">
      <c r="A4573" s="23" t="s">
        <v>1100</v>
      </c>
      <c r="B4573" s="23" t="s">
        <v>1101</v>
      </c>
      <c r="C4573" s="23" t="s">
        <v>176</v>
      </c>
      <c r="D4573" s="23" t="s">
        <v>857</v>
      </c>
      <c r="E4573" s="23" t="s">
        <v>858</v>
      </c>
      <c r="F4573">
        <v>1</v>
      </c>
      <c r="G4573" s="23" t="s">
        <v>177</v>
      </c>
      <c r="H4573">
        <v>0</v>
      </c>
      <c r="I4573">
        <v>8</v>
      </c>
      <c r="J4573" s="10">
        <v>0</v>
      </c>
      <c r="K4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4573">
        <v>0</v>
      </c>
      <c r="M45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3">
        <v>93.6</v>
      </c>
      <c r="O4573" s="23" t="s">
        <v>248</v>
      </c>
      <c r="P4573">
        <v>93.6</v>
      </c>
      <c r="Q4573" s="23" t="s">
        <v>178</v>
      </c>
    </row>
    <row r="4574" spans="1:17" x14ac:dyDescent="0.25">
      <c r="A4574" s="23" t="s">
        <v>1150</v>
      </c>
      <c r="B4574" s="23" t="s">
        <v>1145</v>
      </c>
      <c r="C4574" s="23" t="s">
        <v>176</v>
      </c>
      <c r="D4574" s="23" t="s">
        <v>804</v>
      </c>
      <c r="E4574" s="23" t="s">
        <v>805</v>
      </c>
      <c r="F4574">
        <v>1</v>
      </c>
      <c r="G4574" s="23" t="s">
        <v>177</v>
      </c>
      <c r="H4574">
        <v>0</v>
      </c>
      <c r="I4574">
        <v>7</v>
      </c>
      <c r="J4574" s="10">
        <v>2</v>
      </c>
      <c r="K4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74">
        <v>0</v>
      </c>
      <c r="M45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4">
        <v>337.5</v>
      </c>
      <c r="O4574" s="23" t="s">
        <v>248</v>
      </c>
      <c r="P4574">
        <v>337.5</v>
      </c>
      <c r="Q4574" s="23" t="s">
        <v>178</v>
      </c>
    </row>
    <row r="4575" spans="1:17" x14ac:dyDescent="0.25">
      <c r="A4575" s="23" t="s">
        <v>1144</v>
      </c>
      <c r="B4575" s="23" t="s">
        <v>1145</v>
      </c>
      <c r="C4575" s="23" t="s">
        <v>176</v>
      </c>
      <c r="D4575" s="23" t="s">
        <v>568</v>
      </c>
      <c r="E4575" s="23" t="s">
        <v>569</v>
      </c>
      <c r="F4575">
        <v>60</v>
      </c>
      <c r="G4575" s="23" t="s">
        <v>177</v>
      </c>
      <c r="H4575">
        <v>0</v>
      </c>
      <c r="I4575">
        <v>5000</v>
      </c>
      <c r="J4575" s="10">
        <v>0</v>
      </c>
      <c r="K4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575">
        <v>0</v>
      </c>
      <c r="M45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5">
        <v>0.6</v>
      </c>
      <c r="O4575" s="23" t="s">
        <v>242</v>
      </c>
      <c r="P4575">
        <v>36</v>
      </c>
      <c r="Q4575" s="23" t="s">
        <v>181</v>
      </c>
    </row>
    <row r="4576" spans="1:17" x14ac:dyDescent="0.25">
      <c r="A4576" s="23" t="s">
        <v>1144</v>
      </c>
      <c r="B4576" s="23" t="s">
        <v>1145</v>
      </c>
      <c r="C4576" s="23" t="s">
        <v>176</v>
      </c>
      <c r="D4576" s="23" t="s">
        <v>479</v>
      </c>
      <c r="E4576" s="23" t="s">
        <v>480</v>
      </c>
      <c r="F4576">
        <v>40</v>
      </c>
      <c r="G4576" s="23" t="s">
        <v>177</v>
      </c>
      <c r="H4576">
        <v>0</v>
      </c>
      <c r="I4576">
        <v>950</v>
      </c>
      <c r="J4576" s="10">
        <v>380</v>
      </c>
      <c r="K4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576">
        <v>0</v>
      </c>
      <c r="M45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6">
        <v>0.4</v>
      </c>
      <c r="O4576" s="23" t="s">
        <v>883</v>
      </c>
      <c r="P4576">
        <v>16</v>
      </c>
      <c r="Q4576" s="23" t="s">
        <v>181</v>
      </c>
    </row>
    <row r="4577" spans="1:17" x14ac:dyDescent="0.25">
      <c r="A4577" s="23" t="s">
        <v>1146</v>
      </c>
      <c r="B4577" s="23" t="s">
        <v>1145</v>
      </c>
      <c r="C4577" s="23" t="s">
        <v>176</v>
      </c>
      <c r="D4577" s="23" t="s">
        <v>479</v>
      </c>
      <c r="E4577" s="23" t="s">
        <v>480</v>
      </c>
      <c r="F4577">
        <v>40</v>
      </c>
      <c r="G4577" s="23" t="s">
        <v>177</v>
      </c>
      <c r="H4577">
        <v>0</v>
      </c>
      <c r="I4577">
        <v>950</v>
      </c>
      <c r="J4577" s="10">
        <v>380</v>
      </c>
      <c r="K4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577">
        <v>0</v>
      </c>
      <c r="M45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7">
        <v>0.4</v>
      </c>
      <c r="O4577" s="23" t="s">
        <v>883</v>
      </c>
      <c r="P4577">
        <v>16</v>
      </c>
      <c r="Q4577" s="23" t="s">
        <v>181</v>
      </c>
    </row>
    <row r="4578" spans="1:17" x14ac:dyDescent="0.25">
      <c r="A4578" s="23" t="s">
        <v>1150</v>
      </c>
      <c r="B4578" s="23" t="s">
        <v>1145</v>
      </c>
      <c r="C4578" s="23" t="s">
        <v>176</v>
      </c>
      <c r="D4578" s="23" t="s">
        <v>583</v>
      </c>
      <c r="E4578" s="23" t="s">
        <v>584</v>
      </c>
      <c r="F4578">
        <v>5.9</v>
      </c>
      <c r="G4578" s="23" t="s">
        <v>186</v>
      </c>
      <c r="H4578">
        <v>0</v>
      </c>
      <c r="I4578">
        <v>100</v>
      </c>
      <c r="J4578" s="10">
        <v>197.39999999999992</v>
      </c>
      <c r="K4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578">
        <v>100</v>
      </c>
      <c r="M45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8">
        <v>232.75</v>
      </c>
      <c r="O4578" s="23" t="s">
        <v>491</v>
      </c>
      <c r="P4578">
        <v>1373.2250000000001</v>
      </c>
      <c r="Q4578" s="23" t="s">
        <v>184</v>
      </c>
    </row>
    <row r="4579" spans="1:17" x14ac:dyDescent="0.25">
      <c r="A4579" s="23" t="s">
        <v>1147</v>
      </c>
      <c r="B4579" s="23" t="s">
        <v>1145</v>
      </c>
      <c r="C4579" s="23" t="s">
        <v>176</v>
      </c>
      <c r="D4579" s="23" t="s">
        <v>615</v>
      </c>
      <c r="E4579" s="23" t="s">
        <v>616</v>
      </c>
      <c r="F4579">
        <v>1.5</v>
      </c>
      <c r="G4579" s="23" t="s">
        <v>186</v>
      </c>
      <c r="H4579">
        <v>0</v>
      </c>
      <c r="I4579">
        <v>72</v>
      </c>
      <c r="J4579" s="10">
        <v>7.0000000000000071</v>
      </c>
      <c r="K4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79">
        <v>0</v>
      </c>
      <c r="M45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79">
        <v>212.93</v>
      </c>
      <c r="O4579" s="23" t="s">
        <v>255</v>
      </c>
      <c r="P4579">
        <v>319.39499999999998</v>
      </c>
      <c r="Q4579" s="23" t="s">
        <v>182</v>
      </c>
    </row>
    <row r="4580" spans="1:17" x14ac:dyDescent="0.25">
      <c r="A4580" s="23" t="s">
        <v>1148</v>
      </c>
      <c r="B4580" s="23" t="s">
        <v>1054</v>
      </c>
      <c r="C4580" s="23" t="s">
        <v>176</v>
      </c>
      <c r="D4580" s="23" t="s">
        <v>615</v>
      </c>
      <c r="E4580" s="23" t="s">
        <v>616</v>
      </c>
      <c r="F4580">
        <v>0.5</v>
      </c>
      <c r="G4580" s="23" t="s">
        <v>186</v>
      </c>
      <c r="H4580">
        <v>0</v>
      </c>
      <c r="I4580">
        <v>72</v>
      </c>
      <c r="J4580" s="10">
        <v>7.0000000000000071</v>
      </c>
      <c r="K4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80">
        <v>0</v>
      </c>
      <c r="M45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0">
        <v>212.93</v>
      </c>
      <c r="O4580" s="23" t="s">
        <v>255</v>
      </c>
      <c r="P4580">
        <v>106.465</v>
      </c>
      <c r="Q4580" s="23" t="s">
        <v>182</v>
      </c>
    </row>
    <row r="4581" spans="1:17" x14ac:dyDescent="0.25">
      <c r="A4581" s="23" t="s">
        <v>1099</v>
      </c>
      <c r="B4581" s="23" t="s">
        <v>1056</v>
      </c>
      <c r="C4581" s="23" t="s">
        <v>176</v>
      </c>
      <c r="D4581" s="23" t="s">
        <v>615</v>
      </c>
      <c r="E4581" s="23" t="s">
        <v>616</v>
      </c>
      <c r="F4581">
        <v>1.5</v>
      </c>
      <c r="G4581" s="23" t="s">
        <v>186</v>
      </c>
      <c r="H4581">
        <v>0</v>
      </c>
      <c r="I4581">
        <v>72</v>
      </c>
      <c r="J4581" s="10">
        <v>7.0000000000000071</v>
      </c>
      <c r="K4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81">
        <v>0</v>
      </c>
      <c r="M45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1">
        <v>212.93</v>
      </c>
      <c r="O4581" s="23" t="s">
        <v>255</v>
      </c>
      <c r="P4581">
        <v>319.39499999999998</v>
      </c>
      <c r="Q4581" s="23" t="s">
        <v>182</v>
      </c>
    </row>
    <row r="4582" spans="1:17" x14ac:dyDescent="0.25">
      <c r="A4582" s="23" t="s">
        <v>1058</v>
      </c>
      <c r="B4582" s="23" t="s">
        <v>1059</v>
      </c>
      <c r="C4582" s="23" t="s">
        <v>176</v>
      </c>
      <c r="D4582" s="23" t="s">
        <v>583</v>
      </c>
      <c r="E4582" s="23" t="s">
        <v>584</v>
      </c>
      <c r="F4582">
        <v>5.9</v>
      </c>
      <c r="G4582" s="23" t="s">
        <v>186</v>
      </c>
      <c r="H4582">
        <v>0</v>
      </c>
      <c r="I4582">
        <v>100</v>
      </c>
      <c r="J4582" s="10">
        <v>197.39999999999992</v>
      </c>
      <c r="K4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582">
        <v>100</v>
      </c>
      <c r="M45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2">
        <v>232.75</v>
      </c>
      <c r="O4582" s="23" t="s">
        <v>491</v>
      </c>
      <c r="P4582">
        <v>1373.2250000000001</v>
      </c>
      <c r="Q4582" s="23" t="s">
        <v>184</v>
      </c>
    </row>
    <row r="4583" spans="1:17" x14ac:dyDescent="0.25">
      <c r="A4583" s="23" t="s">
        <v>1055</v>
      </c>
      <c r="B4583" s="23" t="s">
        <v>1056</v>
      </c>
      <c r="C4583" s="23" t="s">
        <v>176</v>
      </c>
      <c r="D4583" s="23" t="s">
        <v>583</v>
      </c>
      <c r="E4583" s="23" t="s">
        <v>584</v>
      </c>
      <c r="F4583">
        <v>5.9</v>
      </c>
      <c r="G4583" s="23" t="s">
        <v>186</v>
      </c>
      <c r="H4583">
        <v>0</v>
      </c>
      <c r="I4583">
        <v>100</v>
      </c>
      <c r="J4583" s="10">
        <v>197.39999999999992</v>
      </c>
      <c r="K4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583">
        <v>100</v>
      </c>
      <c r="M45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3">
        <v>232.75</v>
      </c>
      <c r="O4583" s="23" t="s">
        <v>491</v>
      </c>
      <c r="P4583">
        <v>1373.2250000000001</v>
      </c>
      <c r="Q4583" s="23" t="s">
        <v>184</v>
      </c>
    </row>
    <row r="4584" spans="1:17" x14ac:dyDescent="0.25">
      <c r="A4584" s="23" t="s">
        <v>1148</v>
      </c>
      <c r="B4584" s="23" t="s">
        <v>1054</v>
      </c>
      <c r="C4584" s="23" t="s">
        <v>176</v>
      </c>
      <c r="D4584" s="23" t="s">
        <v>583</v>
      </c>
      <c r="E4584" s="23" t="s">
        <v>584</v>
      </c>
      <c r="F4584">
        <v>5.9</v>
      </c>
      <c r="G4584" s="23" t="s">
        <v>186</v>
      </c>
      <c r="H4584">
        <v>0</v>
      </c>
      <c r="I4584">
        <v>100</v>
      </c>
      <c r="J4584" s="10">
        <v>197.39999999999992</v>
      </c>
      <c r="K4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584">
        <v>100</v>
      </c>
      <c r="M45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4">
        <v>232.75</v>
      </c>
      <c r="O4584" s="23" t="s">
        <v>491</v>
      </c>
      <c r="P4584">
        <v>1373.2250000000001</v>
      </c>
      <c r="Q4584" s="23" t="s">
        <v>184</v>
      </c>
    </row>
    <row r="4585" spans="1:17" x14ac:dyDescent="0.25">
      <c r="A4585" s="23" t="s">
        <v>1146</v>
      </c>
      <c r="B4585" s="23" t="s">
        <v>1145</v>
      </c>
      <c r="C4585" s="23" t="s">
        <v>176</v>
      </c>
      <c r="D4585" s="23" t="s">
        <v>804</v>
      </c>
      <c r="E4585" s="23" t="s">
        <v>805</v>
      </c>
      <c r="F4585">
        <v>1</v>
      </c>
      <c r="G4585" s="23" t="s">
        <v>177</v>
      </c>
      <c r="H4585">
        <v>0</v>
      </c>
      <c r="I4585">
        <v>7</v>
      </c>
      <c r="J4585" s="10">
        <v>2</v>
      </c>
      <c r="K4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85">
        <v>0</v>
      </c>
      <c r="M45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5">
        <v>337.5</v>
      </c>
      <c r="O4585" s="23" t="s">
        <v>248</v>
      </c>
      <c r="P4585">
        <v>337.5</v>
      </c>
      <c r="Q4585" s="23" t="s">
        <v>178</v>
      </c>
    </row>
    <row r="4586" spans="1:17" x14ac:dyDescent="0.25">
      <c r="A4586" s="23" t="s">
        <v>1144</v>
      </c>
      <c r="B4586" s="23" t="s">
        <v>1145</v>
      </c>
      <c r="C4586" s="23" t="s">
        <v>176</v>
      </c>
      <c r="D4586" s="23" t="s">
        <v>804</v>
      </c>
      <c r="E4586" s="23" t="s">
        <v>805</v>
      </c>
      <c r="F4586">
        <v>1</v>
      </c>
      <c r="G4586" s="23" t="s">
        <v>177</v>
      </c>
      <c r="H4586">
        <v>0</v>
      </c>
      <c r="I4586">
        <v>7</v>
      </c>
      <c r="J4586" s="10">
        <v>2</v>
      </c>
      <c r="K4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86">
        <v>0</v>
      </c>
      <c r="M45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6">
        <v>337.5</v>
      </c>
      <c r="O4586" s="23" t="s">
        <v>248</v>
      </c>
      <c r="P4586">
        <v>337.5</v>
      </c>
      <c r="Q4586" s="23" t="s">
        <v>178</v>
      </c>
    </row>
    <row r="4587" spans="1:17" x14ac:dyDescent="0.25">
      <c r="A4587" s="23" t="s">
        <v>1055</v>
      </c>
      <c r="B4587" s="23" t="s">
        <v>1056</v>
      </c>
      <c r="C4587" s="23" t="s">
        <v>176</v>
      </c>
      <c r="D4587" s="23" t="s">
        <v>615</v>
      </c>
      <c r="E4587" s="23" t="s">
        <v>616</v>
      </c>
      <c r="F4587">
        <v>1.5</v>
      </c>
      <c r="G4587" s="23" t="s">
        <v>186</v>
      </c>
      <c r="H4587">
        <v>0</v>
      </c>
      <c r="I4587">
        <v>72</v>
      </c>
      <c r="J4587" s="10">
        <v>7.0000000000000071</v>
      </c>
      <c r="K4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587">
        <v>0</v>
      </c>
      <c r="M45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7">
        <v>212.93</v>
      </c>
      <c r="O4587" s="23" t="s">
        <v>255</v>
      </c>
      <c r="P4587">
        <v>319.39499999999998</v>
      </c>
      <c r="Q4587" s="23" t="s">
        <v>182</v>
      </c>
    </row>
    <row r="4588" spans="1:17" x14ac:dyDescent="0.25">
      <c r="A4588" s="23" t="s">
        <v>1180</v>
      </c>
      <c r="B4588" s="23" t="s">
        <v>1181</v>
      </c>
      <c r="C4588" s="23" t="s">
        <v>176</v>
      </c>
      <c r="D4588" s="23" t="s">
        <v>1205</v>
      </c>
      <c r="E4588" s="23" t="s">
        <v>1206</v>
      </c>
      <c r="F4588">
        <v>2</v>
      </c>
      <c r="G4588" s="23" t="s">
        <v>177</v>
      </c>
      <c r="H4588">
        <v>0</v>
      </c>
      <c r="I4588">
        <v>6</v>
      </c>
      <c r="J4588" s="10">
        <v>0</v>
      </c>
      <c r="K4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588">
        <v>0</v>
      </c>
      <c r="M45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8">
        <v>129.16999999999999</v>
      </c>
      <c r="O4588" s="23" t="s">
        <v>1207</v>
      </c>
      <c r="P4588">
        <v>258.33999999999997</v>
      </c>
      <c r="Q4588" s="23" t="s">
        <v>222</v>
      </c>
    </row>
    <row r="4589" spans="1:17" x14ac:dyDescent="0.25">
      <c r="A4589" s="23" t="s">
        <v>1149</v>
      </c>
      <c r="B4589" s="23" t="s">
        <v>1145</v>
      </c>
      <c r="C4589" s="23" t="s">
        <v>176</v>
      </c>
      <c r="D4589" s="23" t="s">
        <v>804</v>
      </c>
      <c r="E4589" s="23" t="s">
        <v>805</v>
      </c>
      <c r="F4589">
        <v>1</v>
      </c>
      <c r="G4589" s="23" t="s">
        <v>177</v>
      </c>
      <c r="H4589">
        <v>0</v>
      </c>
      <c r="I4589">
        <v>7</v>
      </c>
      <c r="J4589" s="10">
        <v>2</v>
      </c>
      <c r="K4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89">
        <v>0</v>
      </c>
      <c r="M45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89">
        <v>337.5</v>
      </c>
      <c r="O4589" s="23" t="s">
        <v>248</v>
      </c>
      <c r="P4589">
        <v>337.5</v>
      </c>
      <c r="Q4589" s="23" t="s">
        <v>178</v>
      </c>
    </row>
    <row r="4590" spans="1:17" x14ac:dyDescent="0.25">
      <c r="A4590" s="23" t="s">
        <v>1146</v>
      </c>
      <c r="B4590" s="23" t="s">
        <v>1145</v>
      </c>
      <c r="C4590" s="23" t="s">
        <v>176</v>
      </c>
      <c r="D4590" s="23" t="s">
        <v>866</v>
      </c>
      <c r="E4590" s="23" t="s">
        <v>645</v>
      </c>
      <c r="F4590">
        <v>1</v>
      </c>
      <c r="G4590" s="23" t="s">
        <v>177</v>
      </c>
      <c r="H4590">
        <v>0</v>
      </c>
      <c r="I4590">
        <v>5</v>
      </c>
      <c r="J4590" s="10">
        <v>7</v>
      </c>
      <c r="K4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590">
        <v>0</v>
      </c>
      <c r="M45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590">
        <v>3532.8</v>
      </c>
      <c r="O4590" s="23" t="s">
        <v>648</v>
      </c>
      <c r="P4590">
        <v>3532.8</v>
      </c>
      <c r="Q4590" s="23" t="s">
        <v>178</v>
      </c>
    </row>
    <row r="4591" spans="1:17" x14ac:dyDescent="0.25">
      <c r="A4591" s="23" t="s">
        <v>1144</v>
      </c>
      <c r="B4591" s="23" t="s">
        <v>1145</v>
      </c>
      <c r="C4591" s="23" t="s">
        <v>176</v>
      </c>
      <c r="D4591" s="23" t="s">
        <v>866</v>
      </c>
      <c r="E4591" s="23" t="s">
        <v>645</v>
      </c>
      <c r="F4591">
        <v>1</v>
      </c>
      <c r="G4591" s="23" t="s">
        <v>177</v>
      </c>
      <c r="H4591">
        <v>0</v>
      </c>
      <c r="I4591">
        <v>5</v>
      </c>
      <c r="J4591" s="10">
        <v>7</v>
      </c>
      <c r="K4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591">
        <v>0</v>
      </c>
      <c r="M45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591">
        <v>3532.8</v>
      </c>
      <c r="O4591" s="23" t="s">
        <v>648</v>
      </c>
      <c r="P4591">
        <v>3532.8</v>
      </c>
      <c r="Q4591" s="23" t="s">
        <v>178</v>
      </c>
    </row>
    <row r="4592" spans="1:17" x14ac:dyDescent="0.25">
      <c r="A4592" s="23" t="s">
        <v>1097</v>
      </c>
      <c r="B4592" s="23" t="s">
        <v>1095</v>
      </c>
      <c r="C4592" s="23" t="s">
        <v>176</v>
      </c>
      <c r="D4592" s="23" t="s">
        <v>568</v>
      </c>
      <c r="E4592" s="23" t="s">
        <v>569</v>
      </c>
      <c r="F4592">
        <v>65</v>
      </c>
      <c r="G4592" s="23" t="s">
        <v>177</v>
      </c>
      <c r="H4592">
        <v>0</v>
      </c>
      <c r="I4592">
        <v>5000</v>
      </c>
      <c r="J4592" s="10">
        <v>0</v>
      </c>
      <c r="K4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592">
        <v>0</v>
      </c>
      <c r="M45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2">
        <v>0.6</v>
      </c>
      <c r="O4592" s="23" t="s">
        <v>242</v>
      </c>
      <c r="P4592">
        <v>39</v>
      </c>
      <c r="Q4592" s="23" t="s">
        <v>181</v>
      </c>
    </row>
    <row r="4593" spans="1:17" x14ac:dyDescent="0.25">
      <c r="A4593" s="23" t="s">
        <v>1149</v>
      </c>
      <c r="B4593" s="23" t="s">
        <v>1145</v>
      </c>
      <c r="C4593" s="23" t="s">
        <v>176</v>
      </c>
      <c r="D4593" s="23" t="s">
        <v>866</v>
      </c>
      <c r="E4593" s="23" t="s">
        <v>645</v>
      </c>
      <c r="F4593">
        <v>1</v>
      </c>
      <c r="G4593" s="23" t="s">
        <v>177</v>
      </c>
      <c r="H4593">
        <v>0</v>
      </c>
      <c r="I4593">
        <v>5</v>
      </c>
      <c r="J4593" s="10">
        <v>7</v>
      </c>
      <c r="K4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593">
        <v>0</v>
      </c>
      <c r="M45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593">
        <v>3532.8</v>
      </c>
      <c r="O4593" s="23" t="s">
        <v>648</v>
      </c>
      <c r="P4593">
        <v>3532.8</v>
      </c>
      <c r="Q4593" s="23" t="s">
        <v>178</v>
      </c>
    </row>
    <row r="4594" spans="1:17" x14ac:dyDescent="0.25">
      <c r="A4594" s="23" t="s">
        <v>1097</v>
      </c>
      <c r="B4594" s="23" t="s">
        <v>1095</v>
      </c>
      <c r="C4594" s="23" t="s">
        <v>176</v>
      </c>
      <c r="D4594" s="23" t="s">
        <v>479</v>
      </c>
      <c r="E4594" s="23" t="s">
        <v>480</v>
      </c>
      <c r="F4594">
        <v>50</v>
      </c>
      <c r="G4594" s="23" t="s">
        <v>177</v>
      </c>
      <c r="H4594">
        <v>0</v>
      </c>
      <c r="I4594">
        <v>950</v>
      </c>
      <c r="J4594" s="10">
        <v>380</v>
      </c>
      <c r="K4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594">
        <v>0</v>
      </c>
      <c r="M45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4">
        <v>0.4</v>
      </c>
      <c r="O4594" s="23" t="s">
        <v>883</v>
      </c>
      <c r="P4594">
        <v>20</v>
      </c>
      <c r="Q4594" s="23" t="s">
        <v>181</v>
      </c>
    </row>
    <row r="4595" spans="1:17" x14ac:dyDescent="0.25">
      <c r="A4595" s="23" t="s">
        <v>1058</v>
      </c>
      <c r="B4595" s="23" t="s">
        <v>1059</v>
      </c>
      <c r="C4595" s="23" t="s">
        <v>176</v>
      </c>
      <c r="D4595" s="23" t="s">
        <v>804</v>
      </c>
      <c r="E4595" s="23" t="s">
        <v>805</v>
      </c>
      <c r="F4595">
        <v>1</v>
      </c>
      <c r="G4595" s="23" t="s">
        <v>177</v>
      </c>
      <c r="H4595">
        <v>1</v>
      </c>
      <c r="I4595">
        <v>7</v>
      </c>
      <c r="J4595" s="10">
        <v>2</v>
      </c>
      <c r="K4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595">
        <v>0</v>
      </c>
      <c r="M45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5">
        <v>337.5</v>
      </c>
      <c r="O4595" s="23" t="s">
        <v>248</v>
      </c>
      <c r="P4595">
        <v>337.5</v>
      </c>
      <c r="Q4595" s="23" t="s">
        <v>178</v>
      </c>
    </row>
    <row r="4596" spans="1:17" x14ac:dyDescent="0.25">
      <c r="A4596" s="23" t="s">
        <v>1100</v>
      </c>
      <c r="B4596" s="23" t="s">
        <v>1101</v>
      </c>
      <c r="C4596" s="23" t="s">
        <v>176</v>
      </c>
      <c r="D4596" s="23" t="s">
        <v>866</v>
      </c>
      <c r="E4596" s="23" t="s">
        <v>645</v>
      </c>
      <c r="F4596">
        <v>3</v>
      </c>
      <c r="G4596" s="23" t="s">
        <v>177</v>
      </c>
      <c r="H4596">
        <v>0</v>
      </c>
      <c r="I4596">
        <v>5</v>
      </c>
      <c r="J4596" s="10">
        <v>7</v>
      </c>
      <c r="K4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596">
        <v>0</v>
      </c>
      <c r="M45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596">
        <v>3532.8</v>
      </c>
      <c r="O4596" s="23" t="s">
        <v>648</v>
      </c>
      <c r="P4596">
        <v>10598.400000000001</v>
      </c>
      <c r="Q4596" s="23" t="s">
        <v>178</v>
      </c>
    </row>
    <row r="4597" spans="1:17" x14ac:dyDescent="0.25">
      <c r="A4597" s="23" t="s">
        <v>1057</v>
      </c>
      <c r="B4597" s="23" t="s">
        <v>1056</v>
      </c>
      <c r="C4597" s="23" t="s">
        <v>176</v>
      </c>
      <c r="D4597" s="23" t="s">
        <v>568</v>
      </c>
      <c r="E4597" s="23" t="s">
        <v>569</v>
      </c>
      <c r="F4597">
        <v>60</v>
      </c>
      <c r="G4597" s="23" t="s">
        <v>177</v>
      </c>
      <c r="H4597">
        <v>0</v>
      </c>
      <c r="I4597">
        <v>5000</v>
      </c>
      <c r="J4597" s="10">
        <v>0</v>
      </c>
      <c r="K4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597">
        <v>0</v>
      </c>
      <c r="M45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7">
        <v>0.6</v>
      </c>
      <c r="O4597" s="23" t="s">
        <v>242</v>
      </c>
      <c r="P4597">
        <v>36</v>
      </c>
      <c r="Q4597" s="23" t="s">
        <v>181</v>
      </c>
    </row>
    <row r="4598" spans="1:17" x14ac:dyDescent="0.25">
      <c r="A4598" s="23" t="s">
        <v>1150</v>
      </c>
      <c r="B4598" s="23" t="s">
        <v>1145</v>
      </c>
      <c r="C4598" s="23" t="s">
        <v>176</v>
      </c>
      <c r="D4598" s="23" t="s">
        <v>880</v>
      </c>
      <c r="E4598" s="23" t="s">
        <v>881</v>
      </c>
      <c r="F4598">
        <v>1</v>
      </c>
      <c r="G4598" s="23" t="s">
        <v>177</v>
      </c>
      <c r="H4598">
        <v>0</v>
      </c>
      <c r="I4598">
        <v>10</v>
      </c>
      <c r="J4598" s="10">
        <v>7</v>
      </c>
      <c r="K4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598">
        <v>15</v>
      </c>
      <c r="M45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8">
        <v>776.15</v>
      </c>
      <c r="O4598" s="23" t="s">
        <v>882</v>
      </c>
      <c r="P4598">
        <v>776.15</v>
      </c>
      <c r="Q4598" s="23" t="s">
        <v>222</v>
      </c>
    </row>
    <row r="4599" spans="1:17" x14ac:dyDescent="0.25">
      <c r="A4599" s="23" t="s">
        <v>1149</v>
      </c>
      <c r="B4599" s="23" t="s">
        <v>1145</v>
      </c>
      <c r="C4599" s="23" t="s">
        <v>176</v>
      </c>
      <c r="D4599" s="23" t="s">
        <v>1176</v>
      </c>
      <c r="E4599" s="23" t="s">
        <v>1177</v>
      </c>
      <c r="F4599">
        <v>2</v>
      </c>
      <c r="G4599" s="23" t="s">
        <v>177</v>
      </c>
      <c r="H4599">
        <v>0</v>
      </c>
      <c r="I4599">
        <v>500</v>
      </c>
      <c r="J4599" s="10">
        <v>500</v>
      </c>
      <c r="K4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599">
        <v>0</v>
      </c>
      <c r="M45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599">
        <v>0.65</v>
      </c>
      <c r="O4599" s="23" t="s">
        <v>827</v>
      </c>
      <c r="P4599">
        <v>1.3</v>
      </c>
      <c r="Q4599" s="23" t="s">
        <v>222</v>
      </c>
    </row>
    <row r="4600" spans="1:17" x14ac:dyDescent="0.25">
      <c r="A4600" s="23" t="s">
        <v>1150</v>
      </c>
      <c r="B4600" s="23" t="s">
        <v>1145</v>
      </c>
      <c r="C4600" s="23" t="s">
        <v>176</v>
      </c>
      <c r="D4600" s="23" t="s">
        <v>1176</v>
      </c>
      <c r="E4600" s="23" t="s">
        <v>1177</v>
      </c>
      <c r="F4600">
        <v>2</v>
      </c>
      <c r="G4600" s="23" t="s">
        <v>177</v>
      </c>
      <c r="H4600">
        <v>0</v>
      </c>
      <c r="I4600">
        <v>500</v>
      </c>
      <c r="J4600" s="10">
        <v>500</v>
      </c>
      <c r="K4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600">
        <v>0</v>
      </c>
      <c r="M46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0">
        <v>0.65</v>
      </c>
      <c r="O4600" s="23" t="s">
        <v>827</v>
      </c>
      <c r="P4600">
        <v>1.3</v>
      </c>
      <c r="Q4600" s="23" t="s">
        <v>222</v>
      </c>
    </row>
    <row r="4601" spans="1:17" x14ac:dyDescent="0.25">
      <c r="A4601" s="23" t="s">
        <v>1150</v>
      </c>
      <c r="B4601" s="23" t="s">
        <v>1145</v>
      </c>
      <c r="C4601" s="23" t="s">
        <v>176</v>
      </c>
      <c r="D4601" s="23" t="s">
        <v>1178</v>
      </c>
      <c r="E4601" s="23" t="s">
        <v>1179</v>
      </c>
      <c r="F4601">
        <v>2</v>
      </c>
      <c r="G4601" s="23" t="s">
        <v>177</v>
      </c>
      <c r="H4601">
        <v>0</v>
      </c>
      <c r="I4601">
        <v>500</v>
      </c>
      <c r="J4601" s="10">
        <v>500</v>
      </c>
      <c r="K4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601">
        <v>0</v>
      </c>
      <c r="M46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1">
        <v>0.39</v>
      </c>
      <c r="O4601" s="23" t="s">
        <v>827</v>
      </c>
      <c r="P4601">
        <v>0.78</v>
      </c>
      <c r="Q4601" s="23" t="s">
        <v>222</v>
      </c>
    </row>
    <row r="4602" spans="1:17" x14ac:dyDescent="0.25">
      <c r="A4602" s="23" t="s">
        <v>1097</v>
      </c>
      <c r="B4602" s="23" t="s">
        <v>1095</v>
      </c>
      <c r="C4602" s="23" t="s">
        <v>176</v>
      </c>
      <c r="D4602" s="23" t="s">
        <v>275</v>
      </c>
      <c r="E4602" s="23" t="s">
        <v>276</v>
      </c>
      <c r="F4602">
        <v>1</v>
      </c>
      <c r="G4602" s="23" t="s">
        <v>177</v>
      </c>
      <c r="H4602">
        <v>0</v>
      </c>
      <c r="I4602">
        <v>9</v>
      </c>
      <c r="J4602" s="10">
        <v>8</v>
      </c>
      <c r="K4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602">
        <v>0</v>
      </c>
      <c r="M46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602">
        <v>487.56</v>
      </c>
      <c r="O4602" s="23" t="s">
        <v>277</v>
      </c>
      <c r="P4602">
        <v>487.56</v>
      </c>
      <c r="Q4602" s="23" t="s">
        <v>178</v>
      </c>
    </row>
    <row r="4603" spans="1:17" x14ac:dyDescent="0.25">
      <c r="A4603" s="23" t="s">
        <v>1197</v>
      </c>
      <c r="B4603" s="23" t="s">
        <v>1198</v>
      </c>
      <c r="C4603" s="23" t="s">
        <v>176</v>
      </c>
      <c r="D4603" s="23" t="s">
        <v>336</v>
      </c>
      <c r="E4603" s="23" t="s">
        <v>623</v>
      </c>
      <c r="F4603">
        <v>1</v>
      </c>
      <c r="G4603" s="23" t="s">
        <v>177</v>
      </c>
      <c r="H4603">
        <v>0</v>
      </c>
      <c r="I4603">
        <v>5</v>
      </c>
      <c r="J4603" s="10">
        <v>4</v>
      </c>
      <c r="K4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03">
        <v>0</v>
      </c>
      <c r="M46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603">
        <v>1723.12</v>
      </c>
      <c r="O4603" s="23" t="s">
        <v>637</v>
      </c>
      <c r="P4603">
        <v>1723.12</v>
      </c>
      <c r="Q4603" s="23" t="s">
        <v>179</v>
      </c>
    </row>
    <row r="4604" spans="1:17" x14ac:dyDescent="0.25">
      <c r="A4604" s="23" t="s">
        <v>1097</v>
      </c>
      <c r="B4604" s="23" t="s">
        <v>1095</v>
      </c>
      <c r="C4604" s="23" t="s">
        <v>176</v>
      </c>
      <c r="D4604" s="23" t="s">
        <v>434</v>
      </c>
      <c r="E4604" s="23" t="s">
        <v>435</v>
      </c>
      <c r="F4604">
        <v>1</v>
      </c>
      <c r="G4604" s="23" t="s">
        <v>177</v>
      </c>
      <c r="H4604">
        <v>0</v>
      </c>
      <c r="I4604">
        <v>14</v>
      </c>
      <c r="J4604" s="10">
        <v>3</v>
      </c>
      <c r="K4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604">
        <v>0</v>
      </c>
      <c r="M46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4">
        <v>1678.88</v>
      </c>
      <c r="O4604" s="23" t="s">
        <v>637</v>
      </c>
      <c r="P4604">
        <v>1678.88</v>
      </c>
      <c r="Q4604" s="23" t="s">
        <v>179</v>
      </c>
    </row>
    <row r="4605" spans="1:17" x14ac:dyDescent="0.25">
      <c r="A4605" s="23" t="s">
        <v>1097</v>
      </c>
      <c r="B4605" s="23" t="s">
        <v>1095</v>
      </c>
      <c r="C4605" s="23" t="s">
        <v>176</v>
      </c>
      <c r="D4605" s="23" t="s">
        <v>570</v>
      </c>
      <c r="E4605" s="23" t="s">
        <v>571</v>
      </c>
      <c r="F4605">
        <v>4</v>
      </c>
      <c r="G4605" s="23" t="s">
        <v>177</v>
      </c>
      <c r="H4605">
        <v>0</v>
      </c>
      <c r="I4605">
        <v>1000</v>
      </c>
      <c r="J4605" s="10">
        <v>1222</v>
      </c>
      <c r="K4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05">
        <v>0</v>
      </c>
      <c r="M46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5">
        <v>1.1399999999999999</v>
      </c>
      <c r="O4605" s="23" t="s">
        <v>883</v>
      </c>
      <c r="P4605">
        <v>4.5599999999999996</v>
      </c>
      <c r="Q4605" s="23" t="s">
        <v>181</v>
      </c>
    </row>
    <row r="4606" spans="1:17" x14ac:dyDescent="0.25">
      <c r="A4606" s="23" t="s">
        <v>1148</v>
      </c>
      <c r="B4606" s="23" t="s">
        <v>1054</v>
      </c>
      <c r="C4606" s="23" t="s">
        <v>176</v>
      </c>
      <c r="D4606" s="23" t="s">
        <v>880</v>
      </c>
      <c r="E4606" s="23" t="s">
        <v>881</v>
      </c>
      <c r="F4606">
        <v>1</v>
      </c>
      <c r="G4606" s="23" t="s">
        <v>177</v>
      </c>
      <c r="H4606">
        <v>0</v>
      </c>
      <c r="I4606">
        <v>10</v>
      </c>
      <c r="J4606" s="10">
        <v>7</v>
      </c>
      <c r="K4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06">
        <v>15</v>
      </c>
      <c r="M46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6">
        <v>776.15</v>
      </c>
      <c r="O4606" s="23" t="s">
        <v>882</v>
      </c>
      <c r="P4606">
        <v>776.15</v>
      </c>
      <c r="Q4606" s="23" t="s">
        <v>222</v>
      </c>
    </row>
    <row r="4607" spans="1:17" x14ac:dyDescent="0.25">
      <c r="A4607" s="23" t="s">
        <v>1147</v>
      </c>
      <c r="B4607" s="23" t="s">
        <v>1145</v>
      </c>
      <c r="C4607" s="23" t="s">
        <v>176</v>
      </c>
      <c r="D4607" s="23" t="s">
        <v>880</v>
      </c>
      <c r="E4607" s="23" t="s">
        <v>881</v>
      </c>
      <c r="F4607">
        <v>1</v>
      </c>
      <c r="G4607" s="23" t="s">
        <v>177</v>
      </c>
      <c r="H4607">
        <v>0</v>
      </c>
      <c r="I4607">
        <v>10</v>
      </c>
      <c r="J4607" s="10">
        <v>7</v>
      </c>
      <c r="K4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07">
        <v>15</v>
      </c>
      <c r="M46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7">
        <v>776.15</v>
      </c>
      <c r="O4607" s="23" t="s">
        <v>882</v>
      </c>
      <c r="P4607">
        <v>776.15</v>
      </c>
      <c r="Q4607" s="23" t="s">
        <v>222</v>
      </c>
    </row>
    <row r="4608" spans="1:17" x14ac:dyDescent="0.25">
      <c r="A4608" s="23" t="s">
        <v>1058</v>
      </c>
      <c r="B4608" s="23" t="s">
        <v>1059</v>
      </c>
      <c r="C4608" s="23" t="s">
        <v>176</v>
      </c>
      <c r="D4608" s="23" t="s">
        <v>876</v>
      </c>
      <c r="E4608" s="23" t="s">
        <v>877</v>
      </c>
      <c r="F4608">
        <v>2</v>
      </c>
      <c r="G4608" s="23" t="s">
        <v>177</v>
      </c>
      <c r="H4608">
        <v>2</v>
      </c>
      <c r="I4608">
        <v>4</v>
      </c>
      <c r="J4608" s="10">
        <v>12</v>
      </c>
      <c r="K4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08">
        <v>0</v>
      </c>
      <c r="M46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8">
        <v>1028.21</v>
      </c>
      <c r="O4608" s="23" t="s">
        <v>637</v>
      </c>
      <c r="P4608">
        <v>2056.42</v>
      </c>
      <c r="Q4608" s="23" t="s">
        <v>179</v>
      </c>
    </row>
    <row r="4609" spans="1:17" x14ac:dyDescent="0.25">
      <c r="A4609" s="23" t="s">
        <v>1099</v>
      </c>
      <c r="B4609" s="23" t="s">
        <v>1056</v>
      </c>
      <c r="C4609" s="23" t="s">
        <v>176</v>
      </c>
      <c r="D4609" s="23" t="s">
        <v>876</v>
      </c>
      <c r="E4609" s="23" t="s">
        <v>877</v>
      </c>
      <c r="F4609">
        <v>2</v>
      </c>
      <c r="G4609" s="23" t="s">
        <v>177</v>
      </c>
      <c r="H4609">
        <v>2</v>
      </c>
      <c r="I4609">
        <v>4</v>
      </c>
      <c r="J4609" s="10">
        <v>12</v>
      </c>
      <c r="K4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609">
        <v>0</v>
      </c>
      <c r="M46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09">
        <v>1028.21</v>
      </c>
      <c r="O4609" s="23" t="s">
        <v>637</v>
      </c>
      <c r="P4609">
        <v>2056.42</v>
      </c>
      <c r="Q4609" s="23" t="s">
        <v>179</v>
      </c>
    </row>
    <row r="4610" spans="1:17" x14ac:dyDescent="0.25">
      <c r="A4610" s="23" t="s">
        <v>1143</v>
      </c>
      <c r="B4610" s="23" t="s">
        <v>1054</v>
      </c>
      <c r="C4610" s="23" t="s">
        <v>176</v>
      </c>
      <c r="D4610" s="23" t="s">
        <v>275</v>
      </c>
      <c r="E4610" s="23" t="s">
        <v>276</v>
      </c>
      <c r="F4610">
        <v>1</v>
      </c>
      <c r="G4610" s="23" t="s">
        <v>177</v>
      </c>
      <c r="H4610">
        <v>0</v>
      </c>
      <c r="I4610">
        <v>9</v>
      </c>
      <c r="J4610" s="10">
        <v>8</v>
      </c>
      <c r="K4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610">
        <v>0</v>
      </c>
      <c r="M46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610">
        <v>487.56</v>
      </c>
      <c r="O4610" s="23" t="s">
        <v>277</v>
      </c>
      <c r="P4610">
        <v>487.56</v>
      </c>
      <c r="Q4610" s="23" t="s">
        <v>178</v>
      </c>
    </row>
    <row r="4611" spans="1:17" x14ac:dyDescent="0.25">
      <c r="A4611" s="23" t="s">
        <v>1146</v>
      </c>
      <c r="B4611" s="23" t="s">
        <v>1145</v>
      </c>
      <c r="C4611" s="23" t="s">
        <v>176</v>
      </c>
      <c r="D4611" s="23" t="s">
        <v>880</v>
      </c>
      <c r="E4611" s="23" t="s">
        <v>881</v>
      </c>
      <c r="F4611">
        <v>1</v>
      </c>
      <c r="G4611" s="23" t="s">
        <v>177</v>
      </c>
      <c r="H4611">
        <v>0</v>
      </c>
      <c r="I4611">
        <v>10</v>
      </c>
      <c r="J4611" s="10">
        <v>7</v>
      </c>
      <c r="K4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11">
        <v>15</v>
      </c>
      <c r="M46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1">
        <v>776.15</v>
      </c>
      <c r="O4611" s="23" t="s">
        <v>882</v>
      </c>
      <c r="P4611">
        <v>776.15</v>
      </c>
      <c r="Q4611" s="23" t="s">
        <v>222</v>
      </c>
    </row>
    <row r="4612" spans="1:17" x14ac:dyDescent="0.25">
      <c r="A4612" s="23" t="s">
        <v>1144</v>
      </c>
      <c r="B4612" s="23" t="s">
        <v>1145</v>
      </c>
      <c r="C4612" s="23" t="s">
        <v>176</v>
      </c>
      <c r="D4612" s="23" t="s">
        <v>880</v>
      </c>
      <c r="E4612" s="23" t="s">
        <v>881</v>
      </c>
      <c r="F4612">
        <v>1</v>
      </c>
      <c r="G4612" s="23" t="s">
        <v>177</v>
      </c>
      <c r="H4612">
        <v>0</v>
      </c>
      <c r="I4612">
        <v>10</v>
      </c>
      <c r="J4612" s="10">
        <v>7</v>
      </c>
      <c r="K4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12">
        <v>15</v>
      </c>
      <c r="M46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2">
        <v>776.15</v>
      </c>
      <c r="O4612" s="23" t="s">
        <v>882</v>
      </c>
      <c r="P4612">
        <v>776.15</v>
      </c>
      <c r="Q4612" s="23" t="s">
        <v>222</v>
      </c>
    </row>
    <row r="4613" spans="1:17" x14ac:dyDescent="0.25">
      <c r="A4613" s="23" t="s">
        <v>1144</v>
      </c>
      <c r="B4613" s="23" t="s">
        <v>1145</v>
      </c>
      <c r="C4613" s="23" t="s">
        <v>176</v>
      </c>
      <c r="D4613" s="23" t="s">
        <v>1178</v>
      </c>
      <c r="E4613" s="23" t="s">
        <v>1179</v>
      </c>
      <c r="F4613">
        <v>2</v>
      </c>
      <c r="G4613" s="23" t="s">
        <v>177</v>
      </c>
      <c r="H4613">
        <v>0</v>
      </c>
      <c r="I4613">
        <v>500</v>
      </c>
      <c r="J4613" s="10">
        <v>500</v>
      </c>
      <c r="K4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613">
        <v>0</v>
      </c>
      <c r="M46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3">
        <v>0.39</v>
      </c>
      <c r="O4613" s="23" t="s">
        <v>827</v>
      </c>
      <c r="P4613">
        <v>0.78</v>
      </c>
      <c r="Q4613" s="23" t="s">
        <v>222</v>
      </c>
    </row>
    <row r="4614" spans="1:17" x14ac:dyDescent="0.25">
      <c r="A4614" s="23" t="s">
        <v>1097</v>
      </c>
      <c r="B4614" s="23" t="s">
        <v>1095</v>
      </c>
      <c r="C4614" s="23" t="s">
        <v>176</v>
      </c>
      <c r="D4614" s="23" t="s">
        <v>780</v>
      </c>
      <c r="E4614" s="23" t="s">
        <v>781</v>
      </c>
      <c r="F4614">
        <v>2</v>
      </c>
      <c r="G4614" s="23" t="s">
        <v>177</v>
      </c>
      <c r="H4614">
        <v>0</v>
      </c>
      <c r="I4614">
        <v>3</v>
      </c>
      <c r="J4614" s="10">
        <v>12</v>
      </c>
      <c r="K4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614">
        <v>0</v>
      </c>
      <c r="M46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614">
        <v>444.13</v>
      </c>
      <c r="O4614" s="23" t="s">
        <v>590</v>
      </c>
      <c r="P4614">
        <v>888.26</v>
      </c>
      <c r="Q4614" s="23" t="s">
        <v>178</v>
      </c>
    </row>
    <row r="4615" spans="1:17" x14ac:dyDescent="0.25">
      <c r="A4615" s="23" t="s">
        <v>1149</v>
      </c>
      <c r="B4615" s="23" t="s">
        <v>1145</v>
      </c>
      <c r="C4615" s="23" t="s">
        <v>176</v>
      </c>
      <c r="D4615" s="23" t="s">
        <v>1178</v>
      </c>
      <c r="E4615" s="23" t="s">
        <v>1179</v>
      </c>
      <c r="F4615">
        <v>2</v>
      </c>
      <c r="G4615" s="23" t="s">
        <v>177</v>
      </c>
      <c r="H4615">
        <v>0</v>
      </c>
      <c r="I4615">
        <v>500</v>
      </c>
      <c r="J4615" s="10">
        <v>500</v>
      </c>
      <c r="K4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615">
        <v>0</v>
      </c>
      <c r="M46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5">
        <v>0.39</v>
      </c>
      <c r="O4615" s="23" t="s">
        <v>827</v>
      </c>
      <c r="P4615">
        <v>0.78</v>
      </c>
      <c r="Q4615" s="23" t="s">
        <v>222</v>
      </c>
    </row>
    <row r="4616" spans="1:17" x14ac:dyDescent="0.25">
      <c r="A4616" s="23" t="s">
        <v>1146</v>
      </c>
      <c r="B4616" s="23" t="s">
        <v>1145</v>
      </c>
      <c r="C4616" s="23" t="s">
        <v>176</v>
      </c>
      <c r="D4616" s="23" t="s">
        <v>1178</v>
      </c>
      <c r="E4616" s="23" t="s">
        <v>1179</v>
      </c>
      <c r="F4616">
        <v>2</v>
      </c>
      <c r="G4616" s="23" t="s">
        <v>177</v>
      </c>
      <c r="H4616">
        <v>0</v>
      </c>
      <c r="I4616">
        <v>500</v>
      </c>
      <c r="J4616" s="10">
        <v>500</v>
      </c>
      <c r="K4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616">
        <v>0</v>
      </c>
      <c r="M46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6">
        <v>0.39</v>
      </c>
      <c r="O4616" s="23" t="s">
        <v>827</v>
      </c>
      <c r="P4616">
        <v>0.78</v>
      </c>
      <c r="Q4616" s="23" t="s">
        <v>222</v>
      </c>
    </row>
    <row r="4617" spans="1:17" x14ac:dyDescent="0.25">
      <c r="A4617" s="23" t="s">
        <v>1197</v>
      </c>
      <c r="B4617" s="23" t="s">
        <v>1198</v>
      </c>
      <c r="C4617" s="23" t="s">
        <v>176</v>
      </c>
      <c r="D4617" s="23" t="s">
        <v>275</v>
      </c>
      <c r="E4617" s="23" t="s">
        <v>276</v>
      </c>
      <c r="F4617">
        <v>1</v>
      </c>
      <c r="G4617" s="23" t="s">
        <v>177</v>
      </c>
      <c r="H4617">
        <v>0</v>
      </c>
      <c r="I4617">
        <v>9</v>
      </c>
      <c r="J4617" s="10">
        <v>8</v>
      </c>
      <c r="K4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617">
        <v>0</v>
      </c>
      <c r="M46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617">
        <v>487.56</v>
      </c>
      <c r="O4617" s="23" t="s">
        <v>277</v>
      </c>
      <c r="P4617">
        <v>487.56</v>
      </c>
      <c r="Q4617" s="23" t="s">
        <v>178</v>
      </c>
    </row>
    <row r="4618" spans="1:17" x14ac:dyDescent="0.25">
      <c r="A4618" s="23" t="s">
        <v>1098</v>
      </c>
      <c r="B4618" s="23" t="s">
        <v>1053</v>
      </c>
      <c r="C4618" s="23" t="s">
        <v>176</v>
      </c>
      <c r="D4618" s="23" t="s">
        <v>275</v>
      </c>
      <c r="E4618" s="23" t="s">
        <v>276</v>
      </c>
      <c r="F4618">
        <v>1</v>
      </c>
      <c r="G4618" s="23" t="s">
        <v>177</v>
      </c>
      <c r="H4618">
        <v>0</v>
      </c>
      <c r="I4618">
        <v>9</v>
      </c>
      <c r="J4618" s="10">
        <v>8</v>
      </c>
      <c r="K4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618">
        <v>0</v>
      </c>
      <c r="M46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618">
        <v>487.56</v>
      </c>
      <c r="O4618" s="23" t="s">
        <v>277</v>
      </c>
      <c r="P4618">
        <v>487.56</v>
      </c>
      <c r="Q4618" s="23" t="s">
        <v>178</v>
      </c>
    </row>
    <row r="4619" spans="1:17" x14ac:dyDescent="0.25">
      <c r="A4619" s="23" t="s">
        <v>1098</v>
      </c>
      <c r="B4619" s="23" t="s">
        <v>1053</v>
      </c>
      <c r="C4619" s="23" t="s">
        <v>176</v>
      </c>
      <c r="D4619" s="23" t="s">
        <v>434</v>
      </c>
      <c r="E4619" s="23" t="s">
        <v>435</v>
      </c>
      <c r="F4619">
        <v>1</v>
      </c>
      <c r="G4619" s="23" t="s">
        <v>177</v>
      </c>
      <c r="H4619">
        <v>0</v>
      </c>
      <c r="I4619">
        <v>14</v>
      </c>
      <c r="J4619" s="10">
        <v>3</v>
      </c>
      <c r="K4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619">
        <v>0</v>
      </c>
      <c r="M46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19">
        <v>1678.88</v>
      </c>
      <c r="O4619" s="23" t="s">
        <v>637</v>
      </c>
      <c r="P4619">
        <v>1678.88</v>
      </c>
      <c r="Q4619" s="23" t="s">
        <v>179</v>
      </c>
    </row>
    <row r="4620" spans="1:17" x14ac:dyDescent="0.25">
      <c r="A4620" s="23" t="s">
        <v>1062</v>
      </c>
      <c r="B4620" s="23" t="s">
        <v>1053</v>
      </c>
      <c r="C4620" s="23" t="s">
        <v>176</v>
      </c>
      <c r="D4620" s="23" t="s">
        <v>570</v>
      </c>
      <c r="E4620" s="23" t="s">
        <v>571</v>
      </c>
      <c r="F4620">
        <v>4</v>
      </c>
      <c r="G4620" s="23" t="s">
        <v>177</v>
      </c>
      <c r="H4620">
        <v>0</v>
      </c>
      <c r="I4620">
        <v>1000</v>
      </c>
      <c r="J4620" s="10">
        <v>1222</v>
      </c>
      <c r="K4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20">
        <v>0</v>
      </c>
      <c r="M46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0">
        <v>1.1399999999999999</v>
      </c>
      <c r="O4620" s="23" t="s">
        <v>883</v>
      </c>
      <c r="P4620">
        <v>4.5599999999999996</v>
      </c>
      <c r="Q4620" s="23" t="s">
        <v>181</v>
      </c>
    </row>
    <row r="4621" spans="1:17" x14ac:dyDescent="0.25">
      <c r="A4621" s="23" t="s">
        <v>1098</v>
      </c>
      <c r="B4621" s="23" t="s">
        <v>1053</v>
      </c>
      <c r="C4621" s="23" t="s">
        <v>176</v>
      </c>
      <c r="D4621" s="23" t="s">
        <v>570</v>
      </c>
      <c r="E4621" s="23" t="s">
        <v>571</v>
      </c>
      <c r="F4621">
        <v>4</v>
      </c>
      <c r="G4621" s="23" t="s">
        <v>177</v>
      </c>
      <c r="H4621">
        <v>0</v>
      </c>
      <c r="I4621">
        <v>1000</v>
      </c>
      <c r="J4621" s="10">
        <v>1222</v>
      </c>
      <c r="K4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21">
        <v>0</v>
      </c>
      <c r="M46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1">
        <v>1.1399999999999999</v>
      </c>
      <c r="O4621" s="23" t="s">
        <v>883</v>
      </c>
      <c r="P4621">
        <v>4.5599999999999996</v>
      </c>
      <c r="Q4621" s="23" t="s">
        <v>181</v>
      </c>
    </row>
    <row r="4622" spans="1:17" x14ac:dyDescent="0.25">
      <c r="A4622" s="23" t="s">
        <v>1197</v>
      </c>
      <c r="B4622" s="23" t="s">
        <v>1198</v>
      </c>
      <c r="C4622" s="23" t="s">
        <v>176</v>
      </c>
      <c r="D4622" s="23" t="s">
        <v>273</v>
      </c>
      <c r="E4622" s="23" t="s">
        <v>621</v>
      </c>
      <c r="F4622">
        <v>1</v>
      </c>
      <c r="G4622" s="23" t="s">
        <v>177</v>
      </c>
      <c r="H4622">
        <v>0</v>
      </c>
      <c r="I4622">
        <v>8</v>
      </c>
      <c r="J4622" s="10">
        <v>4</v>
      </c>
      <c r="K4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622">
        <v>0</v>
      </c>
      <c r="M46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2">
        <v>1723.12</v>
      </c>
      <c r="O4622" s="23" t="s">
        <v>637</v>
      </c>
      <c r="P4622">
        <v>1723.12</v>
      </c>
      <c r="Q4622" s="23" t="s">
        <v>179</v>
      </c>
    </row>
    <row r="4623" spans="1:17" x14ac:dyDescent="0.25">
      <c r="A4623" s="23" t="s">
        <v>1062</v>
      </c>
      <c r="B4623" s="23" t="s">
        <v>1053</v>
      </c>
      <c r="C4623" s="23" t="s">
        <v>176</v>
      </c>
      <c r="D4623" s="23" t="s">
        <v>719</v>
      </c>
      <c r="E4623" s="23" t="s">
        <v>720</v>
      </c>
      <c r="F4623">
        <v>1</v>
      </c>
      <c r="G4623" s="23" t="s">
        <v>177</v>
      </c>
      <c r="H4623">
        <v>1</v>
      </c>
      <c r="I4623">
        <v>1</v>
      </c>
      <c r="J4623" s="10">
        <v>4</v>
      </c>
      <c r="K4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23">
        <v>0</v>
      </c>
      <c r="M46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23">
        <v>12990.78</v>
      </c>
      <c r="O4623" s="23" t="s">
        <v>590</v>
      </c>
      <c r="P4623">
        <v>12990.78</v>
      </c>
      <c r="Q4623" s="23" t="s">
        <v>178</v>
      </c>
    </row>
    <row r="4624" spans="1:17" x14ac:dyDescent="0.25">
      <c r="A4624" s="23" t="s">
        <v>1100</v>
      </c>
      <c r="B4624" s="23" t="s">
        <v>1101</v>
      </c>
      <c r="C4624" s="23" t="s">
        <v>176</v>
      </c>
      <c r="D4624" s="23" t="s">
        <v>880</v>
      </c>
      <c r="E4624" s="23" t="s">
        <v>881</v>
      </c>
      <c r="F4624">
        <v>1</v>
      </c>
      <c r="G4624" s="23" t="s">
        <v>177</v>
      </c>
      <c r="H4624">
        <v>0</v>
      </c>
      <c r="I4624">
        <v>10</v>
      </c>
      <c r="J4624" s="10">
        <v>7</v>
      </c>
      <c r="K4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24">
        <v>15</v>
      </c>
      <c r="M46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4">
        <v>776.15</v>
      </c>
      <c r="O4624" s="23" t="s">
        <v>882</v>
      </c>
      <c r="P4624">
        <v>776.15</v>
      </c>
      <c r="Q4624" s="23" t="s">
        <v>222</v>
      </c>
    </row>
    <row r="4625" spans="1:17" x14ac:dyDescent="0.25">
      <c r="A4625" s="23" t="s">
        <v>1150</v>
      </c>
      <c r="B4625" s="23" t="s">
        <v>1145</v>
      </c>
      <c r="C4625" s="23" t="s">
        <v>176</v>
      </c>
      <c r="D4625" s="23" t="s">
        <v>866</v>
      </c>
      <c r="E4625" s="23" t="s">
        <v>645</v>
      </c>
      <c r="F4625">
        <v>1</v>
      </c>
      <c r="G4625" s="23" t="s">
        <v>177</v>
      </c>
      <c r="H4625">
        <v>0</v>
      </c>
      <c r="I4625">
        <v>5</v>
      </c>
      <c r="J4625" s="10">
        <v>7</v>
      </c>
      <c r="K4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625">
        <v>0</v>
      </c>
      <c r="M46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625">
        <v>3532.8</v>
      </c>
      <c r="O4625" s="23" t="s">
        <v>648</v>
      </c>
      <c r="P4625">
        <v>3532.8</v>
      </c>
      <c r="Q4625" s="23" t="s">
        <v>178</v>
      </c>
    </row>
    <row r="4626" spans="1:17" x14ac:dyDescent="0.25">
      <c r="A4626" s="23" t="s">
        <v>1098</v>
      </c>
      <c r="B4626" s="23" t="s">
        <v>1053</v>
      </c>
      <c r="C4626" s="23" t="s">
        <v>176</v>
      </c>
      <c r="D4626" s="23" t="s">
        <v>568</v>
      </c>
      <c r="E4626" s="23" t="s">
        <v>569</v>
      </c>
      <c r="F4626">
        <v>65</v>
      </c>
      <c r="G4626" s="23" t="s">
        <v>177</v>
      </c>
      <c r="H4626">
        <v>0</v>
      </c>
      <c r="I4626">
        <v>5000</v>
      </c>
      <c r="J4626" s="10">
        <v>0</v>
      </c>
      <c r="K4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26">
        <v>0</v>
      </c>
      <c r="M46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6">
        <v>0.6</v>
      </c>
      <c r="O4626" s="23" t="s">
        <v>242</v>
      </c>
      <c r="P4626">
        <v>39</v>
      </c>
      <c r="Q4626" s="23" t="s">
        <v>181</v>
      </c>
    </row>
    <row r="4627" spans="1:17" x14ac:dyDescent="0.25">
      <c r="A4627" s="23" t="s">
        <v>1197</v>
      </c>
      <c r="B4627" s="23" t="s">
        <v>1198</v>
      </c>
      <c r="C4627" s="23" t="s">
        <v>176</v>
      </c>
      <c r="D4627" s="23" t="s">
        <v>583</v>
      </c>
      <c r="E4627" s="23" t="s">
        <v>584</v>
      </c>
      <c r="F4627">
        <v>5.9</v>
      </c>
      <c r="G4627" s="23" t="s">
        <v>186</v>
      </c>
      <c r="H4627">
        <v>0</v>
      </c>
      <c r="I4627">
        <v>100</v>
      </c>
      <c r="J4627" s="10">
        <v>197.39999999999992</v>
      </c>
      <c r="K4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627">
        <v>100</v>
      </c>
      <c r="M46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7">
        <v>232.75</v>
      </c>
      <c r="O4627" s="23" t="s">
        <v>491</v>
      </c>
      <c r="P4627">
        <v>1373.2250000000001</v>
      </c>
      <c r="Q4627" s="23" t="s">
        <v>184</v>
      </c>
    </row>
    <row r="4628" spans="1:17" x14ac:dyDescent="0.25">
      <c r="A4628" s="23" t="s">
        <v>1098</v>
      </c>
      <c r="B4628" s="23" t="s">
        <v>1053</v>
      </c>
      <c r="C4628" s="23" t="s">
        <v>176</v>
      </c>
      <c r="D4628" s="23" t="s">
        <v>583</v>
      </c>
      <c r="E4628" s="23" t="s">
        <v>584</v>
      </c>
      <c r="F4628">
        <v>5.9</v>
      </c>
      <c r="G4628" s="23" t="s">
        <v>186</v>
      </c>
      <c r="H4628">
        <v>0</v>
      </c>
      <c r="I4628">
        <v>100</v>
      </c>
      <c r="J4628" s="10">
        <v>197.39999999999992</v>
      </c>
      <c r="K4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628">
        <v>100</v>
      </c>
      <c r="M46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8">
        <v>232.75</v>
      </c>
      <c r="O4628" s="23" t="s">
        <v>491</v>
      </c>
      <c r="P4628">
        <v>1373.2250000000001</v>
      </c>
      <c r="Q4628" s="23" t="s">
        <v>184</v>
      </c>
    </row>
    <row r="4629" spans="1:17" x14ac:dyDescent="0.25">
      <c r="A4629" s="23" t="s">
        <v>1197</v>
      </c>
      <c r="B4629" s="23" t="s">
        <v>1198</v>
      </c>
      <c r="C4629" s="23" t="s">
        <v>176</v>
      </c>
      <c r="D4629" s="23" t="s">
        <v>615</v>
      </c>
      <c r="E4629" s="23" t="s">
        <v>616</v>
      </c>
      <c r="F4629">
        <v>1.5</v>
      </c>
      <c r="G4629" s="23" t="s">
        <v>186</v>
      </c>
      <c r="H4629">
        <v>0</v>
      </c>
      <c r="I4629">
        <v>72</v>
      </c>
      <c r="J4629" s="10">
        <v>7.0000000000000071</v>
      </c>
      <c r="K4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629">
        <v>0</v>
      </c>
      <c r="M46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29">
        <v>212.93</v>
      </c>
      <c r="O4629" s="23" t="s">
        <v>255</v>
      </c>
      <c r="P4629">
        <v>319.39499999999998</v>
      </c>
      <c r="Q4629" s="23" t="s">
        <v>182</v>
      </c>
    </row>
    <row r="4630" spans="1:17" x14ac:dyDescent="0.25">
      <c r="A4630" s="23" t="s">
        <v>1098</v>
      </c>
      <c r="B4630" s="23" t="s">
        <v>1053</v>
      </c>
      <c r="C4630" s="23" t="s">
        <v>176</v>
      </c>
      <c r="D4630" s="23" t="s">
        <v>615</v>
      </c>
      <c r="E4630" s="23" t="s">
        <v>616</v>
      </c>
      <c r="F4630">
        <v>0.5</v>
      </c>
      <c r="G4630" s="23" t="s">
        <v>186</v>
      </c>
      <c r="H4630">
        <v>0</v>
      </c>
      <c r="I4630">
        <v>72</v>
      </c>
      <c r="J4630" s="10">
        <v>7.0000000000000071</v>
      </c>
      <c r="K4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630">
        <v>0</v>
      </c>
      <c r="M46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0">
        <v>212.93</v>
      </c>
      <c r="O4630" s="23" t="s">
        <v>255</v>
      </c>
      <c r="P4630">
        <v>106.465</v>
      </c>
      <c r="Q4630" s="23" t="s">
        <v>182</v>
      </c>
    </row>
    <row r="4631" spans="1:17" x14ac:dyDescent="0.25">
      <c r="A4631" s="23" t="s">
        <v>1147</v>
      </c>
      <c r="B4631" s="23" t="s">
        <v>1145</v>
      </c>
      <c r="C4631" s="23" t="s">
        <v>176</v>
      </c>
      <c r="D4631" s="23" t="s">
        <v>866</v>
      </c>
      <c r="E4631" s="23" t="s">
        <v>645</v>
      </c>
      <c r="F4631">
        <v>1</v>
      </c>
      <c r="G4631" s="23" t="s">
        <v>177</v>
      </c>
      <c r="H4631">
        <v>0</v>
      </c>
      <c r="I4631">
        <v>5</v>
      </c>
      <c r="J4631" s="10">
        <v>7</v>
      </c>
      <c r="K4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631">
        <v>0</v>
      </c>
      <c r="M46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631">
        <v>3532.8</v>
      </c>
      <c r="O4631" s="23" t="s">
        <v>648</v>
      </c>
      <c r="P4631">
        <v>3532.8</v>
      </c>
      <c r="Q4631" s="23" t="s">
        <v>178</v>
      </c>
    </row>
    <row r="4632" spans="1:17" x14ac:dyDescent="0.25">
      <c r="A4632" s="23" t="s">
        <v>1148</v>
      </c>
      <c r="B4632" s="23" t="s">
        <v>1054</v>
      </c>
      <c r="C4632" s="23" t="s">
        <v>176</v>
      </c>
      <c r="D4632" s="23" t="s">
        <v>866</v>
      </c>
      <c r="E4632" s="23" t="s">
        <v>645</v>
      </c>
      <c r="F4632">
        <v>2</v>
      </c>
      <c r="G4632" s="23" t="s">
        <v>177</v>
      </c>
      <c r="H4632">
        <v>0</v>
      </c>
      <c r="I4632">
        <v>5</v>
      </c>
      <c r="J4632" s="10">
        <v>7</v>
      </c>
      <c r="K4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632">
        <v>0</v>
      </c>
      <c r="M46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632">
        <v>3532.8</v>
      </c>
      <c r="O4632" s="23" t="s">
        <v>648</v>
      </c>
      <c r="P4632">
        <v>7065.6</v>
      </c>
      <c r="Q4632" s="23" t="s">
        <v>178</v>
      </c>
    </row>
    <row r="4633" spans="1:17" x14ac:dyDescent="0.25">
      <c r="A4633" s="23" t="s">
        <v>1094</v>
      </c>
      <c r="B4633" s="23" t="s">
        <v>1095</v>
      </c>
      <c r="C4633" s="23" t="s">
        <v>176</v>
      </c>
      <c r="D4633" s="23" t="s">
        <v>568</v>
      </c>
      <c r="E4633" s="23" t="s">
        <v>569</v>
      </c>
      <c r="F4633">
        <v>65</v>
      </c>
      <c r="G4633" s="23" t="s">
        <v>177</v>
      </c>
      <c r="H4633">
        <v>0</v>
      </c>
      <c r="I4633">
        <v>5000</v>
      </c>
      <c r="J4633" s="10">
        <v>0</v>
      </c>
      <c r="K4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33">
        <v>0</v>
      </c>
      <c r="M46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3">
        <v>0.6</v>
      </c>
      <c r="O4633" s="23" t="s">
        <v>242</v>
      </c>
      <c r="P4633">
        <v>39</v>
      </c>
      <c r="Q4633" s="23" t="s">
        <v>181</v>
      </c>
    </row>
    <row r="4634" spans="1:17" x14ac:dyDescent="0.25">
      <c r="A4634" s="23" t="s">
        <v>1142</v>
      </c>
      <c r="B4634" s="23" t="s">
        <v>1054</v>
      </c>
      <c r="C4634" s="23" t="s">
        <v>176</v>
      </c>
      <c r="D4634" s="23" t="s">
        <v>568</v>
      </c>
      <c r="E4634" s="23" t="s">
        <v>569</v>
      </c>
      <c r="F4634">
        <v>60</v>
      </c>
      <c r="G4634" s="23" t="s">
        <v>177</v>
      </c>
      <c r="H4634">
        <v>0</v>
      </c>
      <c r="I4634">
        <v>5000</v>
      </c>
      <c r="J4634" s="10">
        <v>0</v>
      </c>
      <c r="K4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34">
        <v>0</v>
      </c>
      <c r="M46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4">
        <v>0.6</v>
      </c>
      <c r="O4634" s="23" t="s">
        <v>242</v>
      </c>
      <c r="P4634">
        <v>36</v>
      </c>
      <c r="Q4634" s="23" t="s">
        <v>181</v>
      </c>
    </row>
    <row r="4635" spans="1:17" x14ac:dyDescent="0.25">
      <c r="A4635" s="23" t="s">
        <v>1142</v>
      </c>
      <c r="B4635" s="23" t="s">
        <v>1054</v>
      </c>
      <c r="C4635" s="23" t="s">
        <v>176</v>
      </c>
      <c r="D4635" s="23" t="s">
        <v>615</v>
      </c>
      <c r="E4635" s="23" t="s">
        <v>616</v>
      </c>
      <c r="F4635">
        <v>1.5</v>
      </c>
      <c r="G4635" s="23" t="s">
        <v>186</v>
      </c>
      <c r="H4635">
        <v>0</v>
      </c>
      <c r="I4635">
        <v>72</v>
      </c>
      <c r="J4635" s="10">
        <v>7.0000000000000071</v>
      </c>
      <c r="K4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635">
        <v>0</v>
      </c>
      <c r="M46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5">
        <v>212.93</v>
      </c>
      <c r="O4635" s="23" t="s">
        <v>255</v>
      </c>
      <c r="P4635">
        <v>319.39499999999998</v>
      </c>
      <c r="Q4635" s="23" t="s">
        <v>182</v>
      </c>
    </row>
    <row r="4636" spans="1:17" x14ac:dyDescent="0.25">
      <c r="A4636" s="23" t="s">
        <v>1098</v>
      </c>
      <c r="B4636" s="23" t="s">
        <v>1053</v>
      </c>
      <c r="C4636" s="23" t="s">
        <v>176</v>
      </c>
      <c r="D4636" s="23" t="s">
        <v>864</v>
      </c>
      <c r="E4636" s="23" t="s">
        <v>865</v>
      </c>
      <c r="F4636">
        <v>2</v>
      </c>
      <c r="G4636" s="23" t="s">
        <v>177</v>
      </c>
      <c r="H4636">
        <v>0</v>
      </c>
      <c r="I4636">
        <v>6</v>
      </c>
      <c r="J4636" s="10">
        <v>0</v>
      </c>
      <c r="K4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36">
        <v>0</v>
      </c>
      <c r="M46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6">
        <v>4864</v>
      </c>
      <c r="O4636" s="23" t="s">
        <v>648</v>
      </c>
      <c r="P4636">
        <v>9728</v>
      </c>
      <c r="Q4636" s="23" t="s">
        <v>178</v>
      </c>
    </row>
    <row r="4637" spans="1:17" x14ac:dyDescent="0.25">
      <c r="A4637" s="23" t="s">
        <v>1096</v>
      </c>
      <c r="B4637" s="23" t="s">
        <v>1053</v>
      </c>
      <c r="C4637" s="23" t="s">
        <v>176</v>
      </c>
      <c r="D4637" s="23" t="s">
        <v>568</v>
      </c>
      <c r="E4637" s="23" t="s">
        <v>569</v>
      </c>
      <c r="F4637">
        <v>65</v>
      </c>
      <c r="G4637" s="23" t="s">
        <v>177</v>
      </c>
      <c r="H4637">
        <v>0</v>
      </c>
      <c r="I4637">
        <v>5000</v>
      </c>
      <c r="J4637" s="10">
        <v>0</v>
      </c>
      <c r="K4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37">
        <v>0</v>
      </c>
      <c r="M46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7">
        <v>0.6</v>
      </c>
      <c r="O4637" s="23" t="s">
        <v>242</v>
      </c>
      <c r="P4637">
        <v>39</v>
      </c>
      <c r="Q4637" s="23" t="s">
        <v>181</v>
      </c>
    </row>
    <row r="4638" spans="1:17" x14ac:dyDescent="0.25">
      <c r="A4638" s="23" t="s">
        <v>1143</v>
      </c>
      <c r="B4638" s="23" t="s">
        <v>1054</v>
      </c>
      <c r="C4638" s="23" t="s">
        <v>176</v>
      </c>
      <c r="D4638" s="23" t="s">
        <v>568</v>
      </c>
      <c r="E4638" s="23" t="s">
        <v>569</v>
      </c>
      <c r="F4638">
        <v>65</v>
      </c>
      <c r="G4638" s="23" t="s">
        <v>177</v>
      </c>
      <c r="H4638">
        <v>0</v>
      </c>
      <c r="I4638">
        <v>5000</v>
      </c>
      <c r="J4638" s="10">
        <v>0</v>
      </c>
      <c r="K4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38">
        <v>0</v>
      </c>
      <c r="M46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8">
        <v>0.6</v>
      </c>
      <c r="O4638" s="23" t="s">
        <v>242</v>
      </c>
      <c r="P4638">
        <v>39</v>
      </c>
      <c r="Q4638" s="23" t="s">
        <v>181</v>
      </c>
    </row>
    <row r="4639" spans="1:17" x14ac:dyDescent="0.25">
      <c r="A4639" s="23" t="s">
        <v>1057</v>
      </c>
      <c r="B4639" s="23" t="s">
        <v>1056</v>
      </c>
      <c r="C4639" s="23" t="s">
        <v>176</v>
      </c>
      <c r="D4639" s="23" t="s">
        <v>479</v>
      </c>
      <c r="E4639" s="23" t="s">
        <v>480</v>
      </c>
      <c r="F4639">
        <v>50</v>
      </c>
      <c r="G4639" s="23" t="s">
        <v>177</v>
      </c>
      <c r="H4639">
        <v>0</v>
      </c>
      <c r="I4639">
        <v>950</v>
      </c>
      <c r="J4639" s="10">
        <v>380</v>
      </c>
      <c r="K4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639">
        <v>0</v>
      </c>
      <c r="M46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39">
        <v>0.4</v>
      </c>
      <c r="O4639" s="23" t="s">
        <v>883</v>
      </c>
      <c r="P4639">
        <v>20</v>
      </c>
      <c r="Q4639" s="23" t="s">
        <v>181</v>
      </c>
    </row>
    <row r="4640" spans="1:17" x14ac:dyDescent="0.25">
      <c r="A4640" s="23" t="s">
        <v>1143</v>
      </c>
      <c r="B4640" s="23" t="s">
        <v>1054</v>
      </c>
      <c r="C4640" s="23" t="s">
        <v>176</v>
      </c>
      <c r="D4640" s="23" t="s">
        <v>479</v>
      </c>
      <c r="E4640" s="23" t="s">
        <v>480</v>
      </c>
      <c r="F4640">
        <v>50</v>
      </c>
      <c r="G4640" s="23" t="s">
        <v>177</v>
      </c>
      <c r="H4640">
        <v>0</v>
      </c>
      <c r="I4640">
        <v>950</v>
      </c>
      <c r="J4640" s="10">
        <v>380</v>
      </c>
      <c r="K4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640">
        <v>0</v>
      </c>
      <c r="M46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0">
        <v>0.4</v>
      </c>
      <c r="O4640" s="23" t="s">
        <v>883</v>
      </c>
      <c r="P4640">
        <v>20</v>
      </c>
      <c r="Q4640" s="23" t="s">
        <v>181</v>
      </c>
    </row>
    <row r="4641" spans="1:17" x14ac:dyDescent="0.25">
      <c r="A4641" s="23" t="s">
        <v>1094</v>
      </c>
      <c r="B4641" s="23" t="s">
        <v>1095</v>
      </c>
      <c r="C4641" s="23" t="s">
        <v>176</v>
      </c>
      <c r="D4641" s="23" t="s">
        <v>479</v>
      </c>
      <c r="E4641" s="23" t="s">
        <v>480</v>
      </c>
      <c r="F4641">
        <v>50</v>
      </c>
      <c r="G4641" s="23" t="s">
        <v>177</v>
      </c>
      <c r="H4641">
        <v>0</v>
      </c>
      <c r="I4641">
        <v>950</v>
      </c>
      <c r="J4641" s="10">
        <v>380</v>
      </c>
      <c r="K4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641">
        <v>0</v>
      </c>
      <c r="M46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1">
        <v>0.4</v>
      </c>
      <c r="O4641" s="23" t="s">
        <v>883</v>
      </c>
      <c r="P4641">
        <v>20</v>
      </c>
      <c r="Q4641" s="23" t="s">
        <v>181</v>
      </c>
    </row>
    <row r="4642" spans="1:17" x14ac:dyDescent="0.25">
      <c r="A4642" s="23" t="s">
        <v>1096</v>
      </c>
      <c r="B4642" s="23" t="s">
        <v>1053</v>
      </c>
      <c r="C4642" s="23" t="s">
        <v>176</v>
      </c>
      <c r="D4642" s="23" t="s">
        <v>615</v>
      </c>
      <c r="E4642" s="23" t="s">
        <v>616</v>
      </c>
      <c r="F4642">
        <v>0.5</v>
      </c>
      <c r="G4642" s="23" t="s">
        <v>186</v>
      </c>
      <c r="H4642">
        <v>0</v>
      </c>
      <c r="I4642">
        <v>72</v>
      </c>
      <c r="J4642" s="10">
        <v>7.0000000000000071</v>
      </c>
      <c r="K4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642">
        <v>0</v>
      </c>
      <c r="M46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2">
        <v>212.93</v>
      </c>
      <c r="O4642" s="23" t="s">
        <v>255</v>
      </c>
      <c r="P4642">
        <v>106.465</v>
      </c>
      <c r="Q4642" s="23" t="s">
        <v>182</v>
      </c>
    </row>
    <row r="4643" spans="1:17" x14ac:dyDescent="0.25">
      <c r="A4643" s="23" t="s">
        <v>1143</v>
      </c>
      <c r="B4643" s="23" t="s">
        <v>1054</v>
      </c>
      <c r="C4643" s="23" t="s">
        <v>176</v>
      </c>
      <c r="D4643" s="23" t="s">
        <v>615</v>
      </c>
      <c r="E4643" s="23" t="s">
        <v>616</v>
      </c>
      <c r="F4643">
        <v>0.5</v>
      </c>
      <c r="G4643" s="23" t="s">
        <v>186</v>
      </c>
      <c r="H4643">
        <v>0</v>
      </c>
      <c r="I4643">
        <v>72</v>
      </c>
      <c r="J4643" s="10">
        <v>7.0000000000000071</v>
      </c>
      <c r="K4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4643">
        <v>0</v>
      </c>
      <c r="M46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3">
        <v>212.93</v>
      </c>
      <c r="O4643" s="23" t="s">
        <v>255</v>
      </c>
      <c r="P4643">
        <v>106.465</v>
      </c>
      <c r="Q4643" s="23" t="s">
        <v>182</v>
      </c>
    </row>
    <row r="4644" spans="1:17" x14ac:dyDescent="0.25">
      <c r="A4644" s="23" t="s">
        <v>1142</v>
      </c>
      <c r="B4644" s="23" t="s">
        <v>1054</v>
      </c>
      <c r="C4644" s="23" t="s">
        <v>176</v>
      </c>
      <c r="D4644" s="23" t="s">
        <v>479</v>
      </c>
      <c r="E4644" s="23" t="s">
        <v>480</v>
      </c>
      <c r="F4644">
        <v>40</v>
      </c>
      <c r="G4644" s="23" t="s">
        <v>177</v>
      </c>
      <c r="H4644">
        <v>0</v>
      </c>
      <c r="I4644">
        <v>950</v>
      </c>
      <c r="J4644" s="10">
        <v>380</v>
      </c>
      <c r="K4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644">
        <v>0</v>
      </c>
      <c r="M46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4">
        <v>0.4</v>
      </c>
      <c r="O4644" s="23" t="s">
        <v>883</v>
      </c>
      <c r="P4644">
        <v>16</v>
      </c>
      <c r="Q4644" s="23" t="s">
        <v>181</v>
      </c>
    </row>
    <row r="4645" spans="1:17" x14ac:dyDescent="0.25">
      <c r="A4645" s="23" t="s">
        <v>1098</v>
      </c>
      <c r="B4645" s="23" t="s">
        <v>1053</v>
      </c>
      <c r="C4645" s="23" t="s">
        <v>176</v>
      </c>
      <c r="D4645" s="23" t="s">
        <v>866</v>
      </c>
      <c r="E4645" s="23" t="s">
        <v>645</v>
      </c>
      <c r="F4645">
        <v>3</v>
      </c>
      <c r="G4645" s="23" t="s">
        <v>177</v>
      </c>
      <c r="H4645">
        <v>0</v>
      </c>
      <c r="I4645">
        <v>5</v>
      </c>
      <c r="J4645" s="10">
        <v>7</v>
      </c>
      <c r="K4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4645">
        <v>0</v>
      </c>
      <c r="M46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4645">
        <v>3532.8</v>
      </c>
      <c r="O4645" s="23" t="s">
        <v>648</v>
      </c>
      <c r="P4645">
        <v>10598.400000000001</v>
      </c>
      <c r="Q4645" s="23" t="s">
        <v>178</v>
      </c>
    </row>
    <row r="4646" spans="1:17" x14ac:dyDescent="0.25">
      <c r="A4646" s="23" t="s">
        <v>1094</v>
      </c>
      <c r="B4646" s="23" t="s">
        <v>1095</v>
      </c>
      <c r="C4646" s="23" t="s">
        <v>176</v>
      </c>
      <c r="D4646" s="23" t="s">
        <v>583</v>
      </c>
      <c r="E4646" s="23" t="s">
        <v>584</v>
      </c>
      <c r="F4646">
        <v>5.9</v>
      </c>
      <c r="G4646" s="23" t="s">
        <v>186</v>
      </c>
      <c r="H4646">
        <v>0</v>
      </c>
      <c r="I4646">
        <v>100</v>
      </c>
      <c r="J4646" s="10">
        <v>197.39999999999992</v>
      </c>
      <c r="K4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4646">
        <v>100</v>
      </c>
      <c r="M46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6">
        <v>232.75</v>
      </c>
      <c r="O4646" s="23" t="s">
        <v>491</v>
      </c>
      <c r="P4646">
        <v>1373.2250000000001</v>
      </c>
      <c r="Q4646" s="23" t="s">
        <v>184</v>
      </c>
    </row>
    <row r="4647" spans="1:17" x14ac:dyDescent="0.25">
      <c r="A4647" s="23" t="s">
        <v>1142</v>
      </c>
      <c r="B4647" s="23" t="s">
        <v>1054</v>
      </c>
      <c r="C4647" s="23" t="s">
        <v>176</v>
      </c>
      <c r="D4647" s="23" t="s">
        <v>804</v>
      </c>
      <c r="E4647" s="23" t="s">
        <v>805</v>
      </c>
      <c r="F4647">
        <v>1</v>
      </c>
      <c r="G4647" s="23" t="s">
        <v>177</v>
      </c>
      <c r="H4647">
        <v>0</v>
      </c>
      <c r="I4647">
        <v>7</v>
      </c>
      <c r="J4647" s="10">
        <v>2</v>
      </c>
      <c r="K4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47">
        <v>0</v>
      </c>
      <c r="M46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7">
        <v>337.5</v>
      </c>
      <c r="O4647" s="23" t="s">
        <v>248</v>
      </c>
      <c r="P4647">
        <v>337.5</v>
      </c>
      <c r="Q4647" s="23" t="s">
        <v>178</v>
      </c>
    </row>
    <row r="4648" spans="1:17" x14ac:dyDescent="0.25">
      <c r="A4648" s="23" t="s">
        <v>1062</v>
      </c>
      <c r="B4648" s="23" t="s">
        <v>1053</v>
      </c>
      <c r="C4648" s="23" t="s">
        <v>176</v>
      </c>
      <c r="D4648" s="23" t="s">
        <v>568</v>
      </c>
      <c r="E4648" s="23" t="s">
        <v>569</v>
      </c>
      <c r="F4648">
        <v>65</v>
      </c>
      <c r="G4648" s="23" t="s">
        <v>177</v>
      </c>
      <c r="H4648">
        <v>0</v>
      </c>
      <c r="I4648">
        <v>5000</v>
      </c>
      <c r="J4648" s="10">
        <v>0</v>
      </c>
      <c r="K4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48">
        <v>0</v>
      </c>
      <c r="M46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8">
        <v>0.6</v>
      </c>
      <c r="O4648" s="23" t="s">
        <v>242</v>
      </c>
      <c r="P4648">
        <v>39</v>
      </c>
      <c r="Q4648" s="23" t="s">
        <v>181</v>
      </c>
    </row>
    <row r="4649" spans="1:17" x14ac:dyDescent="0.25">
      <c r="A4649" s="23" t="s">
        <v>1197</v>
      </c>
      <c r="B4649" s="23" t="s">
        <v>1198</v>
      </c>
      <c r="C4649" s="23" t="s">
        <v>176</v>
      </c>
      <c r="D4649" s="23" t="s">
        <v>568</v>
      </c>
      <c r="E4649" s="23" t="s">
        <v>569</v>
      </c>
      <c r="F4649">
        <v>60</v>
      </c>
      <c r="G4649" s="23" t="s">
        <v>177</v>
      </c>
      <c r="H4649">
        <v>0</v>
      </c>
      <c r="I4649">
        <v>5000</v>
      </c>
      <c r="J4649" s="10">
        <v>0</v>
      </c>
      <c r="K4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-3820</v>
      </c>
      <c r="L4649">
        <v>0</v>
      </c>
      <c r="M46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49">
        <v>0.6</v>
      </c>
      <c r="O4649" s="23" t="s">
        <v>242</v>
      </c>
      <c r="P4649">
        <v>36</v>
      </c>
      <c r="Q4649" s="23" t="s">
        <v>181</v>
      </c>
    </row>
    <row r="4650" spans="1:17" x14ac:dyDescent="0.25">
      <c r="A4650" s="23" t="s">
        <v>1062</v>
      </c>
      <c r="B4650" s="23" t="s">
        <v>1053</v>
      </c>
      <c r="C4650" s="23" t="s">
        <v>176</v>
      </c>
      <c r="D4650" s="23" t="s">
        <v>479</v>
      </c>
      <c r="E4650" s="23" t="s">
        <v>480</v>
      </c>
      <c r="F4650">
        <v>50</v>
      </c>
      <c r="G4650" s="23" t="s">
        <v>177</v>
      </c>
      <c r="H4650">
        <v>0</v>
      </c>
      <c r="I4650">
        <v>950</v>
      </c>
      <c r="J4650" s="10">
        <v>380</v>
      </c>
      <c r="K4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650">
        <v>0</v>
      </c>
      <c r="M46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0">
        <v>0.4</v>
      </c>
      <c r="O4650" s="23" t="s">
        <v>883</v>
      </c>
      <c r="P4650">
        <v>20</v>
      </c>
      <c r="Q4650" s="23" t="s">
        <v>181</v>
      </c>
    </row>
    <row r="4651" spans="1:17" x14ac:dyDescent="0.25">
      <c r="A4651" s="23" t="s">
        <v>1197</v>
      </c>
      <c r="B4651" s="23" t="s">
        <v>1198</v>
      </c>
      <c r="C4651" s="23" t="s">
        <v>176</v>
      </c>
      <c r="D4651" s="23" t="s">
        <v>479</v>
      </c>
      <c r="E4651" s="23" t="s">
        <v>480</v>
      </c>
      <c r="F4651">
        <v>40</v>
      </c>
      <c r="G4651" s="23" t="s">
        <v>177</v>
      </c>
      <c r="H4651">
        <v>0</v>
      </c>
      <c r="I4651">
        <v>950</v>
      </c>
      <c r="J4651" s="10">
        <v>380</v>
      </c>
      <c r="K4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4651">
        <v>0</v>
      </c>
      <c r="M46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1">
        <v>0.4</v>
      </c>
      <c r="O4651" s="23" t="s">
        <v>883</v>
      </c>
      <c r="P4651">
        <v>16</v>
      </c>
      <c r="Q4651" s="23" t="s">
        <v>181</v>
      </c>
    </row>
    <row r="4652" spans="1:17" x14ac:dyDescent="0.25">
      <c r="A4652" s="23" t="s">
        <v>1180</v>
      </c>
      <c r="B4652" s="23" t="s">
        <v>1181</v>
      </c>
      <c r="C4652" s="23" t="s">
        <v>176</v>
      </c>
      <c r="D4652" s="23" t="s">
        <v>880</v>
      </c>
      <c r="E4652" s="23" t="s">
        <v>881</v>
      </c>
      <c r="F4652">
        <v>1</v>
      </c>
      <c r="G4652" s="23" t="s">
        <v>177</v>
      </c>
      <c r="H4652">
        <v>1</v>
      </c>
      <c r="I4652">
        <v>10</v>
      </c>
      <c r="J4652" s="10">
        <v>7</v>
      </c>
      <c r="K4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52">
        <v>15</v>
      </c>
      <c r="M46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2">
        <v>776.15</v>
      </c>
      <c r="O4652" s="23" t="s">
        <v>882</v>
      </c>
      <c r="P4652">
        <v>776.15</v>
      </c>
      <c r="Q4652" s="23" t="s">
        <v>222</v>
      </c>
    </row>
    <row r="4653" spans="1:17" x14ac:dyDescent="0.25">
      <c r="A4653" s="23" t="s">
        <v>1148</v>
      </c>
      <c r="B4653" s="23" t="s">
        <v>1054</v>
      </c>
      <c r="C4653" s="23" t="s">
        <v>176</v>
      </c>
      <c r="D4653" s="23" t="s">
        <v>1172</v>
      </c>
      <c r="E4653" s="23" t="s">
        <v>1173</v>
      </c>
      <c r="F4653">
        <v>20</v>
      </c>
      <c r="G4653" s="23" t="s">
        <v>186</v>
      </c>
      <c r="H4653">
        <v>0</v>
      </c>
      <c r="I4653">
        <v>21</v>
      </c>
      <c r="J4653" s="10">
        <v>0</v>
      </c>
      <c r="K4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653">
        <v>0</v>
      </c>
      <c r="M46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3">
        <v>1097.9000000000001</v>
      </c>
      <c r="O4653" s="23" t="s">
        <v>649</v>
      </c>
      <c r="P4653">
        <v>21958</v>
      </c>
      <c r="Q4653" s="23" t="s">
        <v>184</v>
      </c>
    </row>
    <row r="4654" spans="1:17" x14ac:dyDescent="0.25">
      <c r="A4654" s="23" t="s">
        <v>1142</v>
      </c>
      <c r="B4654" s="23" t="s">
        <v>1054</v>
      </c>
      <c r="C4654" s="23" t="s">
        <v>176</v>
      </c>
      <c r="D4654" s="23" t="s">
        <v>275</v>
      </c>
      <c r="E4654" s="23" t="s">
        <v>276</v>
      </c>
      <c r="F4654">
        <v>1</v>
      </c>
      <c r="G4654" s="23" t="s">
        <v>177</v>
      </c>
      <c r="H4654">
        <v>0</v>
      </c>
      <c r="I4654">
        <v>9</v>
      </c>
      <c r="J4654" s="10">
        <v>8</v>
      </c>
      <c r="K4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654">
        <v>0</v>
      </c>
      <c r="M46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654">
        <v>487.56</v>
      </c>
      <c r="O4654" s="23" t="s">
        <v>277</v>
      </c>
      <c r="P4654">
        <v>487.56</v>
      </c>
      <c r="Q4654" s="23" t="s">
        <v>178</v>
      </c>
    </row>
    <row r="4655" spans="1:17" x14ac:dyDescent="0.25">
      <c r="A4655" s="23" t="s">
        <v>1057</v>
      </c>
      <c r="B4655" s="23" t="s">
        <v>1056</v>
      </c>
      <c r="C4655" s="23" t="s">
        <v>176</v>
      </c>
      <c r="D4655" s="23" t="s">
        <v>336</v>
      </c>
      <c r="E4655" s="23" t="s">
        <v>623</v>
      </c>
      <c r="F4655">
        <v>1</v>
      </c>
      <c r="G4655" s="23" t="s">
        <v>177</v>
      </c>
      <c r="H4655">
        <v>0</v>
      </c>
      <c r="I4655">
        <v>5</v>
      </c>
      <c r="J4655" s="10">
        <v>4</v>
      </c>
      <c r="K4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55">
        <v>0</v>
      </c>
      <c r="M46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655">
        <v>1723.12</v>
      </c>
      <c r="O4655" s="23" t="s">
        <v>637</v>
      </c>
      <c r="P4655">
        <v>1723.12</v>
      </c>
      <c r="Q4655" s="23" t="s">
        <v>179</v>
      </c>
    </row>
    <row r="4656" spans="1:17" x14ac:dyDescent="0.25">
      <c r="A4656" s="23" t="s">
        <v>1142</v>
      </c>
      <c r="B4656" s="23" t="s">
        <v>1054</v>
      </c>
      <c r="C4656" s="23" t="s">
        <v>176</v>
      </c>
      <c r="D4656" s="23" t="s">
        <v>273</v>
      </c>
      <c r="E4656" s="23" t="s">
        <v>621</v>
      </c>
      <c r="F4656">
        <v>1</v>
      </c>
      <c r="G4656" s="23" t="s">
        <v>177</v>
      </c>
      <c r="H4656">
        <v>0</v>
      </c>
      <c r="I4656">
        <v>8</v>
      </c>
      <c r="J4656" s="10">
        <v>4</v>
      </c>
      <c r="K4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656">
        <v>0</v>
      </c>
      <c r="M46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6">
        <v>1723.12</v>
      </c>
      <c r="O4656" s="23" t="s">
        <v>637</v>
      </c>
      <c r="P4656">
        <v>1723.12</v>
      </c>
      <c r="Q4656" s="23" t="s">
        <v>179</v>
      </c>
    </row>
    <row r="4657" spans="1:17" x14ac:dyDescent="0.25">
      <c r="A4657" s="23" t="s">
        <v>1143</v>
      </c>
      <c r="B4657" s="23" t="s">
        <v>1054</v>
      </c>
      <c r="C4657" s="23" t="s">
        <v>176</v>
      </c>
      <c r="D4657" s="23" t="s">
        <v>719</v>
      </c>
      <c r="E4657" s="23" t="s">
        <v>720</v>
      </c>
      <c r="F4657">
        <v>1</v>
      </c>
      <c r="G4657" s="23" t="s">
        <v>177</v>
      </c>
      <c r="H4657">
        <v>0</v>
      </c>
      <c r="I4657">
        <v>1</v>
      </c>
      <c r="J4657" s="10">
        <v>4</v>
      </c>
      <c r="K4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57">
        <v>0</v>
      </c>
      <c r="M46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57">
        <v>12990.78</v>
      </c>
      <c r="O4657" s="23" t="s">
        <v>590</v>
      </c>
      <c r="P4657">
        <v>12990.78</v>
      </c>
      <c r="Q4657" s="23" t="s">
        <v>178</v>
      </c>
    </row>
    <row r="4658" spans="1:17" x14ac:dyDescent="0.25">
      <c r="A4658" s="23" t="s">
        <v>1143</v>
      </c>
      <c r="B4658" s="23" t="s">
        <v>1054</v>
      </c>
      <c r="C4658" s="23" t="s">
        <v>176</v>
      </c>
      <c r="D4658" s="23" t="s">
        <v>434</v>
      </c>
      <c r="E4658" s="23" t="s">
        <v>435</v>
      </c>
      <c r="F4658">
        <v>1</v>
      </c>
      <c r="G4658" s="23" t="s">
        <v>177</v>
      </c>
      <c r="H4658">
        <v>0</v>
      </c>
      <c r="I4658">
        <v>14</v>
      </c>
      <c r="J4658" s="10">
        <v>3</v>
      </c>
      <c r="K4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658">
        <v>0</v>
      </c>
      <c r="M46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58">
        <v>1678.88</v>
      </c>
      <c r="O4658" s="23" t="s">
        <v>637</v>
      </c>
      <c r="P4658">
        <v>1678.88</v>
      </c>
      <c r="Q4658" s="23" t="s">
        <v>179</v>
      </c>
    </row>
    <row r="4659" spans="1:17" x14ac:dyDescent="0.25">
      <c r="A4659" s="23" t="s">
        <v>1057</v>
      </c>
      <c r="B4659" s="23" t="s">
        <v>1056</v>
      </c>
      <c r="C4659" s="23" t="s">
        <v>176</v>
      </c>
      <c r="D4659" s="23" t="s">
        <v>967</v>
      </c>
      <c r="E4659" s="23" t="s">
        <v>968</v>
      </c>
      <c r="F4659">
        <v>1</v>
      </c>
      <c r="G4659" s="23" t="s">
        <v>177</v>
      </c>
      <c r="H4659">
        <v>0</v>
      </c>
      <c r="I4659">
        <v>2</v>
      </c>
      <c r="J4659" s="10">
        <v>0</v>
      </c>
      <c r="K4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659">
        <v>0</v>
      </c>
      <c r="M46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155</v>
      </c>
      <c r="N4659">
        <v>155</v>
      </c>
      <c r="O4659" s="23" t="s">
        <v>969</v>
      </c>
      <c r="P4659">
        <v>155</v>
      </c>
      <c r="Q4659" s="23" t="s">
        <v>181</v>
      </c>
    </row>
    <row r="4660" spans="1:17" x14ac:dyDescent="0.25">
      <c r="A4660" s="23" t="s">
        <v>1057</v>
      </c>
      <c r="B4660" s="23" t="s">
        <v>1056</v>
      </c>
      <c r="C4660" s="23" t="s">
        <v>176</v>
      </c>
      <c r="D4660" s="23" t="s">
        <v>570</v>
      </c>
      <c r="E4660" s="23" t="s">
        <v>571</v>
      </c>
      <c r="F4660">
        <v>4</v>
      </c>
      <c r="G4660" s="23" t="s">
        <v>177</v>
      </c>
      <c r="H4660">
        <v>0</v>
      </c>
      <c r="I4660">
        <v>1000</v>
      </c>
      <c r="J4660" s="10">
        <v>1222</v>
      </c>
      <c r="K4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60">
        <v>0</v>
      </c>
      <c r="M46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0">
        <v>1.1399999999999999</v>
      </c>
      <c r="O4660" s="23" t="s">
        <v>883</v>
      </c>
      <c r="P4660">
        <v>4.5599999999999996</v>
      </c>
      <c r="Q4660" s="23" t="s">
        <v>181</v>
      </c>
    </row>
    <row r="4661" spans="1:17" x14ac:dyDescent="0.25">
      <c r="A4661" s="23" t="s">
        <v>1143</v>
      </c>
      <c r="B4661" s="23" t="s">
        <v>1054</v>
      </c>
      <c r="C4661" s="23" t="s">
        <v>176</v>
      </c>
      <c r="D4661" s="23" t="s">
        <v>570</v>
      </c>
      <c r="E4661" s="23" t="s">
        <v>571</v>
      </c>
      <c r="F4661">
        <v>4</v>
      </c>
      <c r="G4661" s="23" t="s">
        <v>177</v>
      </c>
      <c r="H4661">
        <v>0</v>
      </c>
      <c r="I4661">
        <v>1000</v>
      </c>
      <c r="J4661" s="10">
        <v>1222</v>
      </c>
      <c r="K4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61">
        <v>0</v>
      </c>
      <c r="M46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1">
        <v>1.1399999999999999</v>
      </c>
      <c r="O4661" s="23" t="s">
        <v>883</v>
      </c>
      <c r="P4661">
        <v>4.5599999999999996</v>
      </c>
      <c r="Q4661" s="23" t="s">
        <v>181</v>
      </c>
    </row>
    <row r="4662" spans="1:17" x14ac:dyDescent="0.25">
      <c r="A4662" s="23" t="s">
        <v>1143</v>
      </c>
      <c r="B4662" s="23" t="s">
        <v>1054</v>
      </c>
      <c r="C4662" s="23" t="s">
        <v>176</v>
      </c>
      <c r="D4662" s="23" t="s">
        <v>780</v>
      </c>
      <c r="E4662" s="23" t="s">
        <v>781</v>
      </c>
      <c r="F4662">
        <v>2</v>
      </c>
      <c r="G4662" s="23" t="s">
        <v>177</v>
      </c>
      <c r="H4662">
        <v>0</v>
      </c>
      <c r="I4662">
        <v>3</v>
      </c>
      <c r="J4662" s="10">
        <v>12</v>
      </c>
      <c r="K4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662">
        <v>0</v>
      </c>
      <c r="M46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662">
        <v>444.13</v>
      </c>
      <c r="O4662" s="23" t="s">
        <v>590</v>
      </c>
      <c r="P4662">
        <v>888.26</v>
      </c>
      <c r="Q4662" s="23" t="s">
        <v>178</v>
      </c>
    </row>
    <row r="4663" spans="1:17" x14ac:dyDescent="0.25">
      <c r="A4663" s="23" t="s">
        <v>1094</v>
      </c>
      <c r="B4663" s="23" t="s">
        <v>1095</v>
      </c>
      <c r="C4663" s="23" t="s">
        <v>176</v>
      </c>
      <c r="D4663" s="23" t="s">
        <v>780</v>
      </c>
      <c r="E4663" s="23" t="s">
        <v>781</v>
      </c>
      <c r="F4663">
        <v>2</v>
      </c>
      <c r="G4663" s="23" t="s">
        <v>177</v>
      </c>
      <c r="H4663">
        <v>0</v>
      </c>
      <c r="I4663">
        <v>3</v>
      </c>
      <c r="J4663" s="10">
        <v>12</v>
      </c>
      <c r="K4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663">
        <v>0</v>
      </c>
      <c r="M46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663">
        <v>444.13</v>
      </c>
      <c r="O4663" s="23" t="s">
        <v>590</v>
      </c>
      <c r="P4663">
        <v>888.26</v>
      </c>
      <c r="Q4663" s="23" t="s">
        <v>178</v>
      </c>
    </row>
    <row r="4664" spans="1:17" x14ac:dyDescent="0.25">
      <c r="A4664" s="23" t="s">
        <v>1098</v>
      </c>
      <c r="B4664" s="23" t="s">
        <v>1053</v>
      </c>
      <c r="C4664" s="23" t="s">
        <v>176</v>
      </c>
      <c r="D4664" s="23" t="s">
        <v>719</v>
      </c>
      <c r="E4664" s="23" t="s">
        <v>720</v>
      </c>
      <c r="F4664">
        <v>1</v>
      </c>
      <c r="G4664" s="23" t="s">
        <v>177</v>
      </c>
      <c r="H4664">
        <v>0</v>
      </c>
      <c r="I4664">
        <v>1</v>
      </c>
      <c r="J4664" s="10">
        <v>4</v>
      </c>
      <c r="K4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64">
        <v>0</v>
      </c>
      <c r="M46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64">
        <v>12990.78</v>
      </c>
      <c r="O4664" s="23" t="s">
        <v>590</v>
      </c>
      <c r="P4664">
        <v>12990.78</v>
      </c>
      <c r="Q4664" s="23" t="s">
        <v>178</v>
      </c>
    </row>
    <row r="4665" spans="1:17" x14ac:dyDescent="0.25">
      <c r="A4665" s="23" t="s">
        <v>1197</v>
      </c>
      <c r="B4665" s="23" t="s">
        <v>1198</v>
      </c>
      <c r="C4665" s="23" t="s">
        <v>176</v>
      </c>
      <c r="D4665" s="23" t="s">
        <v>719</v>
      </c>
      <c r="E4665" s="23" t="s">
        <v>720</v>
      </c>
      <c r="F4665">
        <v>1</v>
      </c>
      <c r="G4665" s="23" t="s">
        <v>177</v>
      </c>
      <c r="H4665">
        <v>0</v>
      </c>
      <c r="I4665">
        <v>1</v>
      </c>
      <c r="J4665" s="10">
        <v>4</v>
      </c>
      <c r="K4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65">
        <v>0</v>
      </c>
      <c r="M46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65">
        <v>12990.78</v>
      </c>
      <c r="O4665" s="23" t="s">
        <v>590</v>
      </c>
      <c r="P4665">
        <v>12990.78</v>
      </c>
      <c r="Q4665" s="23" t="s">
        <v>178</v>
      </c>
    </row>
    <row r="4666" spans="1:17" x14ac:dyDescent="0.25">
      <c r="A4666" s="23" t="s">
        <v>1097</v>
      </c>
      <c r="B4666" s="23" t="s">
        <v>1095</v>
      </c>
      <c r="C4666" s="23" t="s">
        <v>176</v>
      </c>
      <c r="D4666" s="23" t="s">
        <v>719</v>
      </c>
      <c r="E4666" s="23" t="s">
        <v>720</v>
      </c>
      <c r="F4666">
        <v>1</v>
      </c>
      <c r="G4666" s="23" t="s">
        <v>177</v>
      </c>
      <c r="H4666">
        <v>0</v>
      </c>
      <c r="I4666">
        <v>1</v>
      </c>
      <c r="J4666" s="10">
        <v>4</v>
      </c>
      <c r="K4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66">
        <v>0</v>
      </c>
      <c r="M46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66">
        <v>12990.78</v>
      </c>
      <c r="O4666" s="23" t="s">
        <v>590</v>
      </c>
      <c r="P4666">
        <v>12990.78</v>
      </c>
      <c r="Q4666" s="23" t="s">
        <v>178</v>
      </c>
    </row>
    <row r="4667" spans="1:17" x14ac:dyDescent="0.25">
      <c r="A4667" s="23" t="s">
        <v>1097</v>
      </c>
      <c r="B4667" s="23" t="s">
        <v>1095</v>
      </c>
      <c r="C4667" s="23" t="s">
        <v>176</v>
      </c>
      <c r="D4667" s="23" t="s">
        <v>880</v>
      </c>
      <c r="E4667" s="23" t="s">
        <v>881</v>
      </c>
      <c r="F4667">
        <v>1</v>
      </c>
      <c r="G4667" s="23" t="s">
        <v>177</v>
      </c>
      <c r="H4667">
        <v>0</v>
      </c>
      <c r="I4667">
        <v>10</v>
      </c>
      <c r="J4667" s="10">
        <v>7</v>
      </c>
      <c r="K4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67">
        <v>15</v>
      </c>
      <c r="M46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7">
        <v>776.15</v>
      </c>
      <c r="O4667" s="23" t="s">
        <v>882</v>
      </c>
      <c r="P4667">
        <v>776.15</v>
      </c>
      <c r="Q4667" s="23" t="s">
        <v>222</v>
      </c>
    </row>
    <row r="4668" spans="1:17" x14ac:dyDescent="0.25">
      <c r="A4668" s="23" t="s">
        <v>1197</v>
      </c>
      <c r="B4668" s="23" t="s">
        <v>1198</v>
      </c>
      <c r="C4668" s="23" t="s">
        <v>176</v>
      </c>
      <c r="D4668" s="23" t="s">
        <v>880</v>
      </c>
      <c r="E4668" s="23" t="s">
        <v>881</v>
      </c>
      <c r="F4668">
        <v>1</v>
      </c>
      <c r="G4668" s="23" t="s">
        <v>177</v>
      </c>
      <c r="H4668">
        <v>0</v>
      </c>
      <c r="I4668">
        <v>10</v>
      </c>
      <c r="J4668" s="10">
        <v>7</v>
      </c>
      <c r="K4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68">
        <v>15</v>
      </c>
      <c r="M46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8">
        <v>776.15</v>
      </c>
      <c r="O4668" s="23" t="s">
        <v>882</v>
      </c>
      <c r="P4668">
        <v>776.15</v>
      </c>
      <c r="Q4668" s="23" t="s">
        <v>222</v>
      </c>
    </row>
    <row r="4669" spans="1:17" x14ac:dyDescent="0.25">
      <c r="A4669" s="23" t="s">
        <v>1098</v>
      </c>
      <c r="B4669" s="23" t="s">
        <v>1053</v>
      </c>
      <c r="C4669" s="23" t="s">
        <v>176</v>
      </c>
      <c r="D4669" s="23" t="s">
        <v>880</v>
      </c>
      <c r="E4669" s="23" t="s">
        <v>881</v>
      </c>
      <c r="F4669">
        <v>1</v>
      </c>
      <c r="G4669" s="23" t="s">
        <v>177</v>
      </c>
      <c r="H4669">
        <v>0</v>
      </c>
      <c r="I4669">
        <v>10</v>
      </c>
      <c r="J4669" s="10">
        <v>7</v>
      </c>
      <c r="K4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69">
        <v>15</v>
      </c>
      <c r="M46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69">
        <v>776.15</v>
      </c>
      <c r="O4669" s="23" t="s">
        <v>882</v>
      </c>
      <c r="P4669">
        <v>776.15</v>
      </c>
      <c r="Q4669" s="23" t="s">
        <v>222</v>
      </c>
    </row>
    <row r="4670" spans="1:17" x14ac:dyDescent="0.25">
      <c r="A4670" s="23" t="s">
        <v>1142</v>
      </c>
      <c r="B4670" s="23" t="s">
        <v>1054</v>
      </c>
      <c r="C4670" s="23" t="s">
        <v>176</v>
      </c>
      <c r="D4670" s="23" t="s">
        <v>336</v>
      </c>
      <c r="E4670" s="23" t="s">
        <v>623</v>
      </c>
      <c r="F4670">
        <v>1</v>
      </c>
      <c r="G4670" s="23" t="s">
        <v>177</v>
      </c>
      <c r="H4670">
        <v>0</v>
      </c>
      <c r="I4670">
        <v>5</v>
      </c>
      <c r="J4670" s="10">
        <v>4</v>
      </c>
      <c r="K4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670">
        <v>0</v>
      </c>
      <c r="M46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670">
        <v>1723.12</v>
      </c>
      <c r="O4670" s="23" t="s">
        <v>637</v>
      </c>
      <c r="P4670">
        <v>1723.12</v>
      </c>
      <c r="Q4670" s="23" t="s">
        <v>179</v>
      </c>
    </row>
    <row r="4671" spans="1:17" x14ac:dyDescent="0.25">
      <c r="A4671" s="23" t="s">
        <v>1142</v>
      </c>
      <c r="B4671" s="23" t="s">
        <v>1054</v>
      </c>
      <c r="C4671" s="23" t="s">
        <v>176</v>
      </c>
      <c r="D4671" s="23" t="s">
        <v>570</v>
      </c>
      <c r="E4671" s="23" t="s">
        <v>571</v>
      </c>
      <c r="F4671">
        <v>7</v>
      </c>
      <c r="G4671" s="23" t="s">
        <v>177</v>
      </c>
      <c r="H4671">
        <v>0</v>
      </c>
      <c r="I4671">
        <v>1000</v>
      </c>
      <c r="J4671" s="10">
        <v>1222</v>
      </c>
      <c r="K4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71">
        <v>0</v>
      </c>
      <c r="M46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1">
        <v>1.1399999999999999</v>
      </c>
      <c r="O4671" s="23" t="s">
        <v>883</v>
      </c>
      <c r="P4671">
        <v>7.9799999999999995</v>
      </c>
      <c r="Q4671" s="23" t="s">
        <v>181</v>
      </c>
    </row>
    <row r="4672" spans="1:17" x14ac:dyDescent="0.25">
      <c r="A4672" s="23" t="s">
        <v>1142</v>
      </c>
      <c r="B4672" s="23" t="s">
        <v>1054</v>
      </c>
      <c r="C4672" s="23" t="s">
        <v>176</v>
      </c>
      <c r="D4672" s="23" t="s">
        <v>780</v>
      </c>
      <c r="E4672" s="23" t="s">
        <v>781</v>
      </c>
      <c r="F4672">
        <v>2</v>
      </c>
      <c r="G4672" s="23" t="s">
        <v>177</v>
      </c>
      <c r="H4672">
        <v>0</v>
      </c>
      <c r="I4672">
        <v>3</v>
      </c>
      <c r="J4672" s="10">
        <v>12</v>
      </c>
      <c r="K4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672">
        <v>0</v>
      </c>
      <c r="M46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672">
        <v>444.13</v>
      </c>
      <c r="O4672" s="23" t="s">
        <v>590</v>
      </c>
      <c r="P4672">
        <v>888.26</v>
      </c>
      <c r="Q4672" s="23" t="s">
        <v>178</v>
      </c>
    </row>
    <row r="4673" spans="1:17" x14ac:dyDescent="0.25">
      <c r="A4673" s="23" t="s">
        <v>1142</v>
      </c>
      <c r="B4673" s="23" t="s">
        <v>1054</v>
      </c>
      <c r="C4673" s="23" t="s">
        <v>176</v>
      </c>
      <c r="D4673" s="23" t="s">
        <v>719</v>
      </c>
      <c r="E4673" s="23" t="s">
        <v>720</v>
      </c>
      <c r="F4673">
        <v>1</v>
      </c>
      <c r="G4673" s="23" t="s">
        <v>177</v>
      </c>
      <c r="H4673">
        <v>0</v>
      </c>
      <c r="I4673">
        <v>1</v>
      </c>
      <c r="J4673" s="10">
        <v>4</v>
      </c>
      <c r="K4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73">
        <v>0</v>
      </c>
      <c r="M46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73">
        <v>12990.78</v>
      </c>
      <c r="O4673" s="23" t="s">
        <v>590</v>
      </c>
      <c r="P4673">
        <v>12990.78</v>
      </c>
      <c r="Q4673" s="23" t="s">
        <v>178</v>
      </c>
    </row>
    <row r="4674" spans="1:17" x14ac:dyDescent="0.25">
      <c r="A4674" s="23" t="s">
        <v>1096</v>
      </c>
      <c r="B4674" s="23" t="s">
        <v>1053</v>
      </c>
      <c r="C4674" s="23" t="s">
        <v>176</v>
      </c>
      <c r="D4674" s="23" t="s">
        <v>719</v>
      </c>
      <c r="E4674" s="23" t="s">
        <v>720</v>
      </c>
      <c r="F4674">
        <v>1</v>
      </c>
      <c r="G4674" s="23" t="s">
        <v>177</v>
      </c>
      <c r="H4674">
        <v>0</v>
      </c>
      <c r="I4674">
        <v>1</v>
      </c>
      <c r="J4674" s="10">
        <v>4</v>
      </c>
      <c r="K4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674">
        <v>0</v>
      </c>
      <c r="M46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674">
        <v>12990.78</v>
      </c>
      <c r="O4674" s="23" t="s">
        <v>590</v>
      </c>
      <c r="P4674">
        <v>12990.78</v>
      </c>
      <c r="Q4674" s="23" t="s">
        <v>178</v>
      </c>
    </row>
    <row r="4675" spans="1:17" x14ac:dyDescent="0.25">
      <c r="A4675" s="23" t="s">
        <v>1197</v>
      </c>
      <c r="B4675" s="23" t="s">
        <v>1198</v>
      </c>
      <c r="C4675" s="23" t="s">
        <v>176</v>
      </c>
      <c r="D4675" s="23" t="s">
        <v>570</v>
      </c>
      <c r="E4675" s="23" t="s">
        <v>571</v>
      </c>
      <c r="F4675">
        <v>7</v>
      </c>
      <c r="G4675" s="23" t="s">
        <v>177</v>
      </c>
      <c r="H4675">
        <v>0</v>
      </c>
      <c r="I4675">
        <v>1000</v>
      </c>
      <c r="J4675" s="10">
        <v>1222</v>
      </c>
      <c r="K4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675">
        <v>0</v>
      </c>
      <c r="M46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5">
        <v>1.1399999999999999</v>
      </c>
      <c r="O4675" s="23" t="s">
        <v>883</v>
      </c>
      <c r="P4675">
        <v>7.9799999999999995</v>
      </c>
      <c r="Q4675" s="23" t="s">
        <v>181</v>
      </c>
    </row>
    <row r="4676" spans="1:17" x14ac:dyDescent="0.25">
      <c r="A4676" s="23" t="s">
        <v>1197</v>
      </c>
      <c r="B4676" s="23" t="s">
        <v>1198</v>
      </c>
      <c r="C4676" s="23" t="s">
        <v>176</v>
      </c>
      <c r="D4676" s="23" t="s">
        <v>780</v>
      </c>
      <c r="E4676" s="23" t="s">
        <v>781</v>
      </c>
      <c r="F4676">
        <v>2</v>
      </c>
      <c r="G4676" s="23" t="s">
        <v>177</v>
      </c>
      <c r="H4676">
        <v>0</v>
      </c>
      <c r="I4676">
        <v>3</v>
      </c>
      <c r="J4676" s="10">
        <v>12</v>
      </c>
      <c r="K4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676">
        <v>0</v>
      </c>
      <c r="M46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676">
        <v>444.13</v>
      </c>
      <c r="O4676" s="23" t="s">
        <v>590</v>
      </c>
      <c r="P4676">
        <v>888.26</v>
      </c>
      <c r="Q4676" s="23" t="s">
        <v>178</v>
      </c>
    </row>
    <row r="4677" spans="1:17" x14ac:dyDescent="0.25">
      <c r="A4677" s="23" t="s">
        <v>1098</v>
      </c>
      <c r="B4677" s="23" t="s">
        <v>1053</v>
      </c>
      <c r="C4677" s="23" t="s">
        <v>176</v>
      </c>
      <c r="D4677" s="23" t="s">
        <v>780</v>
      </c>
      <c r="E4677" s="23" t="s">
        <v>781</v>
      </c>
      <c r="F4677">
        <v>2</v>
      </c>
      <c r="G4677" s="23" t="s">
        <v>177</v>
      </c>
      <c r="H4677">
        <v>0</v>
      </c>
      <c r="I4677">
        <v>3</v>
      </c>
      <c r="J4677" s="10">
        <v>12</v>
      </c>
      <c r="K4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677">
        <v>0</v>
      </c>
      <c r="M46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677">
        <v>444.13</v>
      </c>
      <c r="O4677" s="23" t="s">
        <v>590</v>
      </c>
      <c r="P4677">
        <v>888.26</v>
      </c>
      <c r="Q4677" s="23" t="s">
        <v>178</v>
      </c>
    </row>
    <row r="4678" spans="1:17" x14ac:dyDescent="0.25">
      <c r="A4678" s="23" t="s">
        <v>1058</v>
      </c>
      <c r="B4678" s="23" t="s">
        <v>1059</v>
      </c>
      <c r="C4678" s="23" t="s">
        <v>176</v>
      </c>
      <c r="D4678" s="23" t="s">
        <v>880</v>
      </c>
      <c r="E4678" s="23" t="s">
        <v>881</v>
      </c>
      <c r="F4678">
        <v>1</v>
      </c>
      <c r="G4678" s="23" t="s">
        <v>177</v>
      </c>
      <c r="H4678">
        <v>1</v>
      </c>
      <c r="I4678">
        <v>10</v>
      </c>
      <c r="J4678" s="10">
        <v>7</v>
      </c>
      <c r="K4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678">
        <v>15</v>
      </c>
      <c r="M46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78">
        <v>776.15</v>
      </c>
      <c r="O4678" s="23" t="s">
        <v>882</v>
      </c>
      <c r="P4678">
        <v>776.15</v>
      </c>
      <c r="Q4678" s="23" t="s">
        <v>222</v>
      </c>
    </row>
    <row r="4679" spans="1:17" x14ac:dyDescent="0.25">
      <c r="A4679" s="23" t="s">
        <v>1146</v>
      </c>
      <c r="B4679" s="23" t="s">
        <v>1145</v>
      </c>
      <c r="C4679" s="23" t="s">
        <v>176</v>
      </c>
      <c r="D4679" s="23" t="s">
        <v>735</v>
      </c>
      <c r="E4679" s="23" t="s">
        <v>736</v>
      </c>
      <c r="F4679">
        <v>1</v>
      </c>
      <c r="G4679" s="23" t="s">
        <v>177</v>
      </c>
      <c r="H4679">
        <v>0</v>
      </c>
      <c r="I4679">
        <v>12</v>
      </c>
      <c r="J4679" s="10">
        <v>15</v>
      </c>
      <c r="K4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679">
        <v>0</v>
      </c>
      <c r="M46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679">
        <v>565.83000000000004</v>
      </c>
      <c r="O4679" s="23" t="s">
        <v>668</v>
      </c>
      <c r="P4679">
        <v>565.83000000000004</v>
      </c>
      <c r="Q4679" s="23" t="s">
        <v>678</v>
      </c>
    </row>
    <row r="4680" spans="1:17" x14ac:dyDescent="0.25">
      <c r="A4680" s="23" t="s">
        <v>1150</v>
      </c>
      <c r="B4680" s="23" t="s">
        <v>1145</v>
      </c>
      <c r="C4680" s="23" t="s">
        <v>176</v>
      </c>
      <c r="D4680" s="23" t="s">
        <v>320</v>
      </c>
      <c r="E4680" s="23" t="s">
        <v>321</v>
      </c>
      <c r="F4680">
        <v>0.13</v>
      </c>
      <c r="G4680" s="23" t="s">
        <v>187</v>
      </c>
      <c r="H4680">
        <v>0</v>
      </c>
      <c r="I4680">
        <v>0</v>
      </c>
      <c r="J4680" s="10">
        <v>4.543000000000017</v>
      </c>
      <c r="K4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680">
        <v>0</v>
      </c>
      <c r="M46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680">
        <v>19500</v>
      </c>
      <c r="O4680" s="23" t="s">
        <v>763</v>
      </c>
      <c r="P4680">
        <v>2535</v>
      </c>
      <c r="Q4680" s="23" t="s">
        <v>182</v>
      </c>
    </row>
    <row r="4681" spans="1:17" x14ac:dyDescent="0.25">
      <c r="A4681" s="23" t="s">
        <v>1099</v>
      </c>
      <c r="B4681" s="23" t="s">
        <v>1056</v>
      </c>
      <c r="C4681" s="23" t="s">
        <v>176</v>
      </c>
      <c r="D4681" s="23" t="s">
        <v>1030</v>
      </c>
      <c r="E4681" s="23" t="s">
        <v>1031</v>
      </c>
      <c r="F4681">
        <v>1</v>
      </c>
      <c r="G4681" s="23" t="s">
        <v>177</v>
      </c>
      <c r="H4681">
        <v>1</v>
      </c>
      <c r="I4681">
        <v>2</v>
      </c>
      <c r="J4681" s="10">
        <v>2</v>
      </c>
      <c r="K4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681">
        <v>0</v>
      </c>
      <c r="M46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1">
        <v>400</v>
      </c>
      <c r="O4681" s="23" t="s">
        <v>1032</v>
      </c>
      <c r="P4681">
        <v>400</v>
      </c>
      <c r="Q4681" s="23" t="s">
        <v>179</v>
      </c>
    </row>
    <row r="4682" spans="1:17" x14ac:dyDescent="0.25">
      <c r="A4682" s="23" t="s">
        <v>1100</v>
      </c>
      <c r="B4682" s="23" t="s">
        <v>1101</v>
      </c>
      <c r="C4682" s="23" t="s">
        <v>176</v>
      </c>
      <c r="D4682" s="23" t="s">
        <v>735</v>
      </c>
      <c r="E4682" s="23" t="s">
        <v>736</v>
      </c>
      <c r="F4682">
        <v>1</v>
      </c>
      <c r="G4682" s="23" t="s">
        <v>177</v>
      </c>
      <c r="H4682">
        <v>0</v>
      </c>
      <c r="I4682">
        <v>12</v>
      </c>
      <c r="J4682" s="10">
        <v>15</v>
      </c>
      <c r="K4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682">
        <v>0</v>
      </c>
      <c r="M46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682">
        <v>565.83000000000004</v>
      </c>
      <c r="O4682" s="23" t="s">
        <v>668</v>
      </c>
      <c r="P4682">
        <v>565.83000000000004</v>
      </c>
      <c r="Q4682" s="23" t="s">
        <v>678</v>
      </c>
    </row>
    <row r="4683" spans="1:17" x14ac:dyDescent="0.25">
      <c r="A4683" s="23" t="s">
        <v>1150</v>
      </c>
      <c r="B4683" s="23" t="s">
        <v>1145</v>
      </c>
      <c r="C4683" s="23" t="s">
        <v>176</v>
      </c>
      <c r="D4683" s="23" t="s">
        <v>735</v>
      </c>
      <c r="E4683" s="23" t="s">
        <v>736</v>
      </c>
      <c r="F4683">
        <v>1</v>
      </c>
      <c r="G4683" s="23" t="s">
        <v>177</v>
      </c>
      <c r="H4683">
        <v>0</v>
      </c>
      <c r="I4683">
        <v>12</v>
      </c>
      <c r="J4683" s="10">
        <v>15</v>
      </c>
      <c r="K4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683">
        <v>0</v>
      </c>
      <c r="M46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683">
        <v>565.83000000000004</v>
      </c>
      <c r="O4683" s="23" t="s">
        <v>668</v>
      </c>
      <c r="P4683">
        <v>565.83000000000004</v>
      </c>
      <c r="Q4683" s="23" t="s">
        <v>678</v>
      </c>
    </row>
    <row r="4684" spans="1:17" x14ac:dyDescent="0.25">
      <c r="A4684" s="23" t="s">
        <v>1150</v>
      </c>
      <c r="B4684" s="23" t="s">
        <v>1145</v>
      </c>
      <c r="C4684" s="23" t="s">
        <v>176</v>
      </c>
      <c r="D4684" s="23" t="s">
        <v>764</v>
      </c>
      <c r="E4684" s="23" t="s">
        <v>765</v>
      </c>
      <c r="F4684">
        <v>1</v>
      </c>
      <c r="G4684" s="23" t="s">
        <v>177</v>
      </c>
      <c r="H4684">
        <v>0</v>
      </c>
      <c r="I4684">
        <v>5</v>
      </c>
      <c r="J4684" s="10">
        <v>7</v>
      </c>
      <c r="K4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84">
        <v>8</v>
      </c>
      <c r="M46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4">
        <v>401.17</v>
      </c>
      <c r="O4684" s="23" t="s">
        <v>766</v>
      </c>
      <c r="P4684">
        <v>401.17</v>
      </c>
      <c r="Q4684" s="23" t="s">
        <v>222</v>
      </c>
    </row>
    <row r="4685" spans="1:17" x14ac:dyDescent="0.25">
      <c r="A4685" s="23" t="s">
        <v>1146</v>
      </c>
      <c r="B4685" s="23" t="s">
        <v>1145</v>
      </c>
      <c r="C4685" s="23" t="s">
        <v>176</v>
      </c>
      <c r="D4685" s="23" t="s">
        <v>1081</v>
      </c>
      <c r="E4685" s="23" t="s">
        <v>1082</v>
      </c>
      <c r="F4685">
        <v>2</v>
      </c>
      <c r="G4685" s="23" t="s">
        <v>177</v>
      </c>
      <c r="H4685">
        <v>0</v>
      </c>
      <c r="I4685">
        <v>17</v>
      </c>
      <c r="J4685" s="10">
        <v>16</v>
      </c>
      <c r="K4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685">
        <v>30</v>
      </c>
      <c r="M46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5">
        <v>67.22</v>
      </c>
      <c r="O4685" s="23" t="s">
        <v>593</v>
      </c>
      <c r="P4685">
        <v>134.44</v>
      </c>
      <c r="Q4685" s="23" t="s">
        <v>179</v>
      </c>
    </row>
    <row r="4686" spans="1:17" x14ac:dyDescent="0.25">
      <c r="A4686" s="23" t="s">
        <v>1144</v>
      </c>
      <c r="B4686" s="23" t="s">
        <v>1145</v>
      </c>
      <c r="C4686" s="23" t="s">
        <v>176</v>
      </c>
      <c r="D4686" s="23" t="s">
        <v>478</v>
      </c>
      <c r="E4686" s="23" t="s">
        <v>565</v>
      </c>
      <c r="F4686">
        <v>0.5</v>
      </c>
      <c r="G4686" s="23" t="s">
        <v>177</v>
      </c>
      <c r="H4686">
        <v>0</v>
      </c>
      <c r="I4686">
        <v>100</v>
      </c>
      <c r="J4686" s="10">
        <v>0</v>
      </c>
      <c r="K4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686">
        <v>0</v>
      </c>
      <c r="M46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6">
        <v>13.5</v>
      </c>
      <c r="O4686" s="23" t="s">
        <v>242</v>
      </c>
      <c r="P4686">
        <v>6.75</v>
      </c>
      <c r="Q4686" s="23" t="s">
        <v>181</v>
      </c>
    </row>
    <row r="4687" spans="1:17" x14ac:dyDescent="0.25">
      <c r="A4687" s="23" t="s">
        <v>1146</v>
      </c>
      <c r="B4687" s="23" t="s">
        <v>1145</v>
      </c>
      <c r="C4687" s="23" t="s">
        <v>176</v>
      </c>
      <c r="D4687" s="23" t="s">
        <v>478</v>
      </c>
      <c r="E4687" s="23" t="s">
        <v>565</v>
      </c>
      <c r="F4687">
        <v>0.5</v>
      </c>
      <c r="G4687" s="23" t="s">
        <v>177</v>
      </c>
      <c r="H4687">
        <v>0</v>
      </c>
      <c r="I4687">
        <v>100</v>
      </c>
      <c r="J4687" s="10">
        <v>0</v>
      </c>
      <c r="K4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687">
        <v>0</v>
      </c>
      <c r="M46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7">
        <v>13.5</v>
      </c>
      <c r="O4687" s="23" t="s">
        <v>242</v>
      </c>
      <c r="P4687">
        <v>6.75</v>
      </c>
      <c r="Q4687" s="23" t="s">
        <v>181</v>
      </c>
    </row>
    <row r="4688" spans="1:17" x14ac:dyDescent="0.25">
      <c r="A4688" s="23" t="s">
        <v>1197</v>
      </c>
      <c r="B4688" s="23" t="s">
        <v>1198</v>
      </c>
      <c r="C4688" s="23" t="s">
        <v>176</v>
      </c>
      <c r="D4688" s="23" t="s">
        <v>121</v>
      </c>
      <c r="E4688" s="23" t="s">
        <v>312</v>
      </c>
      <c r="F4688">
        <v>1.5</v>
      </c>
      <c r="G4688" s="23" t="s">
        <v>177</v>
      </c>
      <c r="H4688">
        <v>0</v>
      </c>
      <c r="I4688">
        <v>24</v>
      </c>
      <c r="J4688" s="10">
        <v>18.499999999999972</v>
      </c>
      <c r="K4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688">
        <v>0</v>
      </c>
      <c r="M46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688">
        <v>120</v>
      </c>
      <c r="O4688" s="23" t="s">
        <v>242</v>
      </c>
      <c r="P4688">
        <v>180</v>
      </c>
      <c r="Q4688" s="23" t="s">
        <v>184</v>
      </c>
    </row>
    <row r="4689" spans="1:17" x14ac:dyDescent="0.25">
      <c r="A4689" s="23" t="s">
        <v>1197</v>
      </c>
      <c r="B4689" s="23" t="s">
        <v>1198</v>
      </c>
      <c r="C4689" s="23" t="s">
        <v>176</v>
      </c>
      <c r="D4689" s="23" t="s">
        <v>837</v>
      </c>
      <c r="E4689" s="23" t="s">
        <v>838</v>
      </c>
      <c r="F4689">
        <v>120</v>
      </c>
      <c r="G4689" s="23" t="s">
        <v>180</v>
      </c>
      <c r="H4689">
        <v>0</v>
      </c>
      <c r="I4689">
        <v>0</v>
      </c>
      <c r="J4689" s="10">
        <v>0</v>
      </c>
      <c r="K4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689">
        <v>0</v>
      </c>
      <c r="M46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89">
        <v>0</v>
      </c>
      <c r="O4689" s="23"/>
      <c r="P4689">
        <v>0</v>
      </c>
      <c r="Q4689" s="23" t="s">
        <v>185</v>
      </c>
    </row>
    <row r="4690" spans="1:17" x14ac:dyDescent="0.25">
      <c r="A4690" s="23" t="s">
        <v>1149</v>
      </c>
      <c r="B4690" s="23" t="s">
        <v>1145</v>
      </c>
      <c r="C4690" s="23" t="s">
        <v>176</v>
      </c>
      <c r="D4690" s="23" t="s">
        <v>1081</v>
      </c>
      <c r="E4690" s="23" t="s">
        <v>1082</v>
      </c>
      <c r="F4690">
        <v>2</v>
      </c>
      <c r="G4690" s="23" t="s">
        <v>177</v>
      </c>
      <c r="H4690">
        <v>0</v>
      </c>
      <c r="I4690">
        <v>17</v>
      </c>
      <c r="J4690" s="10">
        <v>16</v>
      </c>
      <c r="K4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690">
        <v>30</v>
      </c>
      <c r="M46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0">
        <v>67.22</v>
      </c>
      <c r="O4690" s="23" t="s">
        <v>593</v>
      </c>
      <c r="P4690">
        <v>134.44</v>
      </c>
      <c r="Q4690" s="23" t="s">
        <v>179</v>
      </c>
    </row>
    <row r="4691" spans="1:17" x14ac:dyDescent="0.25">
      <c r="A4691" s="23" t="s">
        <v>1149</v>
      </c>
      <c r="B4691" s="23" t="s">
        <v>1145</v>
      </c>
      <c r="C4691" s="23" t="s">
        <v>176</v>
      </c>
      <c r="D4691" s="23" t="s">
        <v>478</v>
      </c>
      <c r="E4691" s="23" t="s">
        <v>565</v>
      </c>
      <c r="F4691">
        <v>0.5</v>
      </c>
      <c r="G4691" s="23" t="s">
        <v>177</v>
      </c>
      <c r="H4691">
        <v>0</v>
      </c>
      <c r="I4691">
        <v>100</v>
      </c>
      <c r="J4691" s="10">
        <v>0</v>
      </c>
      <c r="K4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691">
        <v>0</v>
      </c>
      <c r="M46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1">
        <v>13.5</v>
      </c>
      <c r="O4691" s="23" t="s">
        <v>242</v>
      </c>
      <c r="P4691">
        <v>6.75</v>
      </c>
      <c r="Q4691" s="23" t="s">
        <v>181</v>
      </c>
    </row>
    <row r="4692" spans="1:17" x14ac:dyDescent="0.25">
      <c r="A4692" s="23" t="s">
        <v>1098</v>
      </c>
      <c r="B4692" s="23" t="s">
        <v>1053</v>
      </c>
      <c r="C4692" s="23" t="s">
        <v>176</v>
      </c>
      <c r="D4692" s="23" t="s">
        <v>121</v>
      </c>
      <c r="E4692" s="23" t="s">
        <v>312</v>
      </c>
      <c r="F4692">
        <v>2</v>
      </c>
      <c r="G4692" s="23" t="s">
        <v>177</v>
      </c>
      <c r="H4692">
        <v>0</v>
      </c>
      <c r="I4692">
        <v>24</v>
      </c>
      <c r="J4692" s="10">
        <v>18.499999999999972</v>
      </c>
      <c r="K4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692">
        <v>0</v>
      </c>
      <c r="M46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692">
        <v>120</v>
      </c>
      <c r="O4692" s="23" t="s">
        <v>242</v>
      </c>
      <c r="P4692">
        <v>240</v>
      </c>
      <c r="Q4692" s="23" t="s">
        <v>184</v>
      </c>
    </row>
    <row r="4693" spans="1:17" x14ac:dyDescent="0.25">
      <c r="A4693" s="23" t="s">
        <v>1062</v>
      </c>
      <c r="B4693" s="23" t="s">
        <v>1053</v>
      </c>
      <c r="C4693" s="23" t="s">
        <v>176</v>
      </c>
      <c r="D4693" s="23" t="s">
        <v>837</v>
      </c>
      <c r="E4693" s="23" t="s">
        <v>838</v>
      </c>
      <c r="F4693">
        <v>120</v>
      </c>
      <c r="G4693" s="23" t="s">
        <v>180</v>
      </c>
      <c r="H4693">
        <v>0</v>
      </c>
      <c r="I4693">
        <v>0</v>
      </c>
      <c r="J4693" s="10">
        <v>0</v>
      </c>
      <c r="K4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693">
        <v>0</v>
      </c>
      <c r="M46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3">
        <v>0</v>
      </c>
      <c r="O4693" s="23"/>
      <c r="P4693">
        <v>0</v>
      </c>
      <c r="Q4693" s="23" t="s">
        <v>185</v>
      </c>
    </row>
    <row r="4694" spans="1:17" x14ac:dyDescent="0.25">
      <c r="A4694" s="23" t="s">
        <v>1098</v>
      </c>
      <c r="B4694" s="23" t="s">
        <v>1053</v>
      </c>
      <c r="C4694" s="23" t="s">
        <v>176</v>
      </c>
      <c r="D4694" s="23" t="s">
        <v>837</v>
      </c>
      <c r="E4694" s="23" t="s">
        <v>838</v>
      </c>
      <c r="F4694">
        <v>120</v>
      </c>
      <c r="G4694" s="23" t="s">
        <v>180</v>
      </c>
      <c r="H4694">
        <v>0</v>
      </c>
      <c r="I4694">
        <v>0</v>
      </c>
      <c r="J4694" s="10">
        <v>0</v>
      </c>
      <c r="K4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694">
        <v>0</v>
      </c>
      <c r="M46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4">
        <v>0</v>
      </c>
      <c r="O4694" s="23"/>
      <c r="P4694">
        <v>0</v>
      </c>
      <c r="Q4694" s="23" t="s">
        <v>185</v>
      </c>
    </row>
    <row r="4695" spans="1:17" x14ac:dyDescent="0.25">
      <c r="A4695" s="23" t="s">
        <v>1147</v>
      </c>
      <c r="B4695" s="23" t="s">
        <v>1145</v>
      </c>
      <c r="C4695" s="23" t="s">
        <v>176</v>
      </c>
      <c r="D4695" s="23" t="s">
        <v>764</v>
      </c>
      <c r="E4695" s="23" t="s">
        <v>765</v>
      </c>
      <c r="F4695">
        <v>1</v>
      </c>
      <c r="G4695" s="23" t="s">
        <v>177</v>
      </c>
      <c r="H4695">
        <v>0</v>
      </c>
      <c r="I4695">
        <v>5</v>
      </c>
      <c r="J4695" s="10">
        <v>7</v>
      </c>
      <c r="K4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95">
        <v>8</v>
      </c>
      <c r="M46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5">
        <v>401.17</v>
      </c>
      <c r="O4695" s="23" t="s">
        <v>766</v>
      </c>
      <c r="P4695">
        <v>401.17</v>
      </c>
      <c r="Q4695" s="23" t="s">
        <v>222</v>
      </c>
    </row>
    <row r="4696" spans="1:17" x14ac:dyDescent="0.25">
      <c r="A4696" s="23" t="s">
        <v>1142</v>
      </c>
      <c r="B4696" s="23" t="s">
        <v>1054</v>
      </c>
      <c r="C4696" s="23" t="s">
        <v>176</v>
      </c>
      <c r="D4696" s="23" t="s">
        <v>837</v>
      </c>
      <c r="E4696" s="23" t="s">
        <v>838</v>
      </c>
      <c r="F4696">
        <v>120</v>
      </c>
      <c r="G4696" s="23" t="s">
        <v>180</v>
      </c>
      <c r="H4696">
        <v>0</v>
      </c>
      <c r="I4696">
        <v>0</v>
      </c>
      <c r="J4696" s="10">
        <v>0</v>
      </c>
      <c r="K4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696">
        <v>0</v>
      </c>
      <c r="M46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6">
        <v>0</v>
      </c>
      <c r="O4696" s="23"/>
      <c r="P4696">
        <v>0</v>
      </c>
      <c r="Q4696" s="23" t="s">
        <v>185</v>
      </c>
    </row>
    <row r="4697" spans="1:17" x14ac:dyDescent="0.25">
      <c r="A4697" s="23" t="s">
        <v>1148</v>
      </c>
      <c r="B4697" s="23" t="s">
        <v>1054</v>
      </c>
      <c r="C4697" s="23" t="s">
        <v>176</v>
      </c>
      <c r="D4697" s="23" t="s">
        <v>735</v>
      </c>
      <c r="E4697" s="23" t="s">
        <v>736</v>
      </c>
      <c r="F4697">
        <v>1</v>
      </c>
      <c r="G4697" s="23" t="s">
        <v>177</v>
      </c>
      <c r="H4697">
        <v>0</v>
      </c>
      <c r="I4697">
        <v>12</v>
      </c>
      <c r="J4697" s="10">
        <v>15</v>
      </c>
      <c r="K4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697">
        <v>0</v>
      </c>
      <c r="M46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697">
        <v>565.83000000000004</v>
      </c>
      <c r="O4697" s="23" t="s">
        <v>668</v>
      </c>
      <c r="P4697">
        <v>565.83000000000004</v>
      </c>
      <c r="Q4697" s="23" t="s">
        <v>678</v>
      </c>
    </row>
    <row r="4698" spans="1:17" x14ac:dyDescent="0.25">
      <c r="A4698" s="23" t="s">
        <v>1149</v>
      </c>
      <c r="B4698" s="23" t="s">
        <v>1145</v>
      </c>
      <c r="C4698" s="23" t="s">
        <v>176</v>
      </c>
      <c r="D4698" s="23" t="s">
        <v>735</v>
      </c>
      <c r="E4698" s="23" t="s">
        <v>736</v>
      </c>
      <c r="F4698">
        <v>1</v>
      </c>
      <c r="G4698" s="23" t="s">
        <v>177</v>
      </c>
      <c r="H4698">
        <v>0</v>
      </c>
      <c r="I4698">
        <v>12</v>
      </c>
      <c r="J4698" s="10">
        <v>15</v>
      </c>
      <c r="K4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698">
        <v>0</v>
      </c>
      <c r="M46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698">
        <v>565.83000000000004</v>
      </c>
      <c r="O4698" s="23" t="s">
        <v>668</v>
      </c>
      <c r="P4698">
        <v>565.83000000000004</v>
      </c>
      <c r="Q4698" s="23" t="s">
        <v>678</v>
      </c>
    </row>
    <row r="4699" spans="1:17" x14ac:dyDescent="0.25">
      <c r="A4699" s="23" t="s">
        <v>1149</v>
      </c>
      <c r="B4699" s="23" t="s">
        <v>1145</v>
      </c>
      <c r="C4699" s="23" t="s">
        <v>176</v>
      </c>
      <c r="D4699" s="23" t="s">
        <v>764</v>
      </c>
      <c r="E4699" s="23" t="s">
        <v>765</v>
      </c>
      <c r="F4699">
        <v>1</v>
      </c>
      <c r="G4699" s="23" t="s">
        <v>177</v>
      </c>
      <c r="H4699">
        <v>0</v>
      </c>
      <c r="I4699">
        <v>5</v>
      </c>
      <c r="J4699" s="10">
        <v>7</v>
      </c>
      <c r="K4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699">
        <v>8</v>
      </c>
      <c r="M46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699">
        <v>401.17</v>
      </c>
      <c r="O4699" s="23" t="s">
        <v>766</v>
      </c>
      <c r="P4699">
        <v>401.17</v>
      </c>
      <c r="Q4699" s="23" t="s">
        <v>222</v>
      </c>
    </row>
    <row r="4700" spans="1:17" x14ac:dyDescent="0.25">
      <c r="A4700" s="23" t="s">
        <v>1144</v>
      </c>
      <c r="B4700" s="23" t="s">
        <v>1145</v>
      </c>
      <c r="C4700" s="23" t="s">
        <v>176</v>
      </c>
      <c r="D4700" s="23" t="s">
        <v>764</v>
      </c>
      <c r="E4700" s="23" t="s">
        <v>765</v>
      </c>
      <c r="F4700">
        <v>1</v>
      </c>
      <c r="G4700" s="23" t="s">
        <v>177</v>
      </c>
      <c r="H4700">
        <v>0</v>
      </c>
      <c r="I4700">
        <v>5</v>
      </c>
      <c r="J4700" s="10">
        <v>7</v>
      </c>
      <c r="K4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00">
        <v>8</v>
      </c>
      <c r="M47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0">
        <v>401.17</v>
      </c>
      <c r="O4700" s="23" t="s">
        <v>766</v>
      </c>
      <c r="P4700">
        <v>401.17</v>
      </c>
      <c r="Q4700" s="23" t="s">
        <v>222</v>
      </c>
    </row>
    <row r="4701" spans="1:17" x14ac:dyDescent="0.25">
      <c r="A4701" s="23" t="s">
        <v>1146</v>
      </c>
      <c r="B4701" s="23" t="s">
        <v>1145</v>
      </c>
      <c r="C4701" s="23" t="s">
        <v>176</v>
      </c>
      <c r="D4701" s="23" t="s">
        <v>764</v>
      </c>
      <c r="E4701" s="23" t="s">
        <v>765</v>
      </c>
      <c r="F4701">
        <v>1</v>
      </c>
      <c r="G4701" s="23" t="s">
        <v>177</v>
      </c>
      <c r="H4701">
        <v>0</v>
      </c>
      <c r="I4701">
        <v>5</v>
      </c>
      <c r="J4701" s="10">
        <v>7</v>
      </c>
      <c r="K4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01">
        <v>8</v>
      </c>
      <c r="M47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1">
        <v>401.17</v>
      </c>
      <c r="O4701" s="23" t="s">
        <v>766</v>
      </c>
      <c r="P4701">
        <v>401.17</v>
      </c>
      <c r="Q4701" s="23" t="s">
        <v>222</v>
      </c>
    </row>
    <row r="4702" spans="1:17" x14ac:dyDescent="0.25">
      <c r="A4702" s="23" t="s">
        <v>1150</v>
      </c>
      <c r="B4702" s="23" t="s">
        <v>1145</v>
      </c>
      <c r="C4702" s="23" t="s">
        <v>176</v>
      </c>
      <c r="D4702" s="23" t="s">
        <v>1081</v>
      </c>
      <c r="E4702" s="23" t="s">
        <v>1082</v>
      </c>
      <c r="F4702">
        <v>2</v>
      </c>
      <c r="G4702" s="23" t="s">
        <v>177</v>
      </c>
      <c r="H4702">
        <v>0</v>
      </c>
      <c r="I4702">
        <v>17</v>
      </c>
      <c r="J4702" s="10">
        <v>16</v>
      </c>
      <c r="K4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702">
        <v>30</v>
      </c>
      <c r="M47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2">
        <v>67.22</v>
      </c>
      <c r="O4702" s="23" t="s">
        <v>593</v>
      </c>
      <c r="P4702">
        <v>134.44</v>
      </c>
      <c r="Q4702" s="23" t="s">
        <v>179</v>
      </c>
    </row>
    <row r="4703" spans="1:17" x14ac:dyDescent="0.25">
      <c r="A4703" s="23" t="s">
        <v>1148</v>
      </c>
      <c r="B4703" s="23" t="s">
        <v>1054</v>
      </c>
      <c r="C4703" s="23" t="s">
        <v>176</v>
      </c>
      <c r="D4703" s="23" t="s">
        <v>764</v>
      </c>
      <c r="E4703" s="23" t="s">
        <v>765</v>
      </c>
      <c r="F4703">
        <v>1</v>
      </c>
      <c r="G4703" s="23" t="s">
        <v>177</v>
      </c>
      <c r="H4703">
        <v>0</v>
      </c>
      <c r="I4703">
        <v>5</v>
      </c>
      <c r="J4703" s="10">
        <v>7</v>
      </c>
      <c r="K4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03">
        <v>8</v>
      </c>
      <c r="M47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3">
        <v>401.17</v>
      </c>
      <c r="O4703" s="23" t="s">
        <v>766</v>
      </c>
      <c r="P4703">
        <v>401.17</v>
      </c>
      <c r="Q4703" s="23" t="s">
        <v>222</v>
      </c>
    </row>
    <row r="4704" spans="1:17" x14ac:dyDescent="0.25">
      <c r="A4704" s="23" t="s">
        <v>1150</v>
      </c>
      <c r="B4704" s="23" t="s">
        <v>1145</v>
      </c>
      <c r="C4704" s="23" t="s">
        <v>176</v>
      </c>
      <c r="D4704" s="23" t="s">
        <v>478</v>
      </c>
      <c r="E4704" s="23" t="s">
        <v>565</v>
      </c>
      <c r="F4704">
        <v>0.5</v>
      </c>
      <c r="G4704" s="23" t="s">
        <v>177</v>
      </c>
      <c r="H4704">
        <v>0</v>
      </c>
      <c r="I4704">
        <v>100</v>
      </c>
      <c r="J4704" s="10">
        <v>0</v>
      </c>
      <c r="K4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704">
        <v>0</v>
      </c>
      <c r="M47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4">
        <v>13.5</v>
      </c>
      <c r="O4704" s="23" t="s">
        <v>242</v>
      </c>
      <c r="P4704">
        <v>6.75</v>
      </c>
      <c r="Q4704" s="23" t="s">
        <v>181</v>
      </c>
    </row>
    <row r="4705" spans="1:17" x14ac:dyDescent="0.25">
      <c r="A4705" s="23" t="s">
        <v>1097</v>
      </c>
      <c r="B4705" s="23" t="s">
        <v>1095</v>
      </c>
      <c r="C4705" s="23" t="s">
        <v>176</v>
      </c>
      <c r="D4705" s="23" t="s">
        <v>121</v>
      </c>
      <c r="E4705" s="23" t="s">
        <v>312</v>
      </c>
      <c r="F4705">
        <v>1.7</v>
      </c>
      <c r="G4705" s="23" t="s">
        <v>177</v>
      </c>
      <c r="H4705">
        <v>0</v>
      </c>
      <c r="I4705">
        <v>24</v>
      </c>
      <c r="J4705" s="10">
        <v>18.499999999999972</v>
      </c>
      <c r="K4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4705">
        <v>0</v>
      </c>
      <c r="M47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4705">
        <v>120</v>
      </c>
      <c r="O4705" s="23" t="s">
        <v>242</v>
      </c>
      <c r="P4705">
        <v>204</v>
      </c>
      <c r="Q4705" s="23" t="s">
        <v>184</v>
      </c>
    </row>
    <row r="4706" spans="1:17" x14ac:dyDescent="0.25">
      <c r="A4706" s="23" t="s">
        <v>1098</v>
      </c>
      <c r="B4706" s="23" t="s">
        <v>1053</v>
      </c>
      <c r="C4706" s="23" t="s">
        <v>176</v>
      </c>
      <c r="D4706" s="23" t="s">
        <v>715</v>
      </c>
      <c r="E4706" s="23" t="s">
        <v>716</v>
      </c>
      <c r="F4706">
        <v>2</v>
      </c>
      <c r="G4706" s="23" t="s">
        <v>177</v>
      </c>
      <c r="H4706">
        <v>0</v>
      </c>
      <c r="I4706">
        <v>5</v>
      </c>
      <c r="J4706" s="10">
        <v>4</v>
      </c>
      <c r="K4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06">
        <v>0</v>
      </c>
      <c r="M47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4706">
        <v>400</v>
      </c>
      <c r="O4706" s="23" t="s">
        <v>216</v>
      </c>
      <c r="P4706">
        <v>800</v>
      </c>
      <c r="Q4706" s="23" t="s">
        <v>222</v>
      </c>
    </row>
    <row r="4707" spans="1:17" x14ac:dyDescent="0.25">
      <c r="A4707" s="23" t="s">
        <v>1097</v>
      </c>
      <c r="B4707" s="23" t="s">
        <v>1095</v>
      </c>
      <c r="C4707" s="23" t="s">
        <v>176</v>
      </c>
      <c r="D4707" s="23" t="s">
        <v>741</v>
      </c>
      <c r="E4707" s="23" t="s">
        <v>742</v>
      </c>
      <c r="F4707">
        <v>1</v>
      </c>
      <c r="G4707" s="23" t="s">
        <v>177</v>
      </c>
      <c r="H4707">
        <v>0</v>
      </c>
      <c r="I4707">
        <v>19</v>
      </c>
      <c r="J4707" s="10">
        <v>15</v>
      </c>
      <c r="K4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707">
        <v>0</v>
      </c>
      <c r="M47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7">
        <v>41.67</v>
      </c>
      <c r="O4707" s="23" t="s">
        <v>668</v>
      </c>
      <c r="P4707">
        <v>41.67</v>
      </c>
      <c r="Q4707" s="23" t="s">
        <v>178</v>
      </c>
    </row>
    <row r="4708" spans="1:17" x14ac:dyDescent="0.25">
      <c r="A4708" s="23" t="s">
        <v>1197</v>
      </c>
      <c r="B4708" s="23" t="s">
        <v>1198</v>
      </c>
      <c r="C4708" s="23" t="s">
        <v>176</v>
      </c>
      <c r="D4708" s="23" t="s">
        <v>741</v>
      </c>
      <c r="E4708" s="23" t="s">
        <v>742</v>
      </c>
      <c r="F4708">
        <v>1</v>
      </c>
      <c r="G4708" s="23" t="s">
        <v>177</v>
      </c>
      <c r="H4708">
        <v>0</v>
      </c>
      <c r="I4708">
        <v>19</v>
      </c>
      <c r="J4708" s="10">
        <v>15</v>
      </c>
      <c r="K4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708">
        <v>0</v>
      </c>
      <c r="M47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08">
        <v>41.67</v>
      </c>
      <c r="O4708" s="23" t="s">
        <v>668</v>
      </c>
      <c r="P4708">
        <v>41.67</v>
      </c>
      <c r="Q4708" s="23" t="s">
        <v>178</v>
      </c>
    </row>
    <row r="4709" spans="1:17" x14ac:dyDescent="0.25">
      <c r="A4709" s="23" t="s">
        <v>1150</v>
      </c>
      <c r="B4709" s="23" t="s">
        <v>1145</v>
      </c>
      <c r="C4709" s="23" t="s">
        <v>176</v>
      </c>
      <c r="D4709" s="23" t="s">
        <v>105</v>
      </c>
      <c r="E4709" s="23" t="s">
        <v>106</v>
      </c>
      <c r="F4709">
        <v>5</v>
      </c>
      <c r="G4709" s="23" t="s">
        <v>177</v>
      </c>
      <c r="H4709">
        <v>0</v>
      </c>
      <c r="I4709">
        <v>39</v>
      </c>
      <c r="J4709" s="10">
        <v>36</v>
      </c>
      <c r="K4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709">
        <v>0</v>
      </c>
      <c r="M47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709">
        <v>105</v>
      </c>
      <c r="O4709" s="23" t="s">
        <v>626</v>
      </c>
      <c r="P4709">
        <v>525</v>
      </c>
      <c r="Q4709" s="23" t="s">
        <v>179</v>
      </c>
    </row>
    <row r="4710" spans="1:17" x14ac:dyDescent="0.25">
      <c r="A4710" s="23" t="s">
        <v>1150</v>
      </c>
      <c r="B4710" s="23" t="s">
        <v>1145</v>
      </c>
      <c r="C4710" s="23" t="s">
        <v>176</v>
      </c>
      <c r="D4710" s="23" t="s">
        <v>379</v>
      </c>
      <c r="E4710" s="23" t="s">
        <v>380</v>
      </c>
      <c r="F4710">
        <v>2</v>
      </c>
      <c r="G4710" s="23" t="s">
        <v>177</v>
      </c>
      <c r="H4710">
        <v>0</v>
      </c>
      <c r="I4710">
        <v>50</v>
      </c>
      <c r="J4710" s="10">
        <v>33</v>
      </c>
      <c r="K4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710">
        <v>0</v>
      </c>
      <c r="M47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0">
        <v>72.599999999999994</v>
      </c>
      <c r="O4710" s="23" t="s">
        <v>242</v>
      </c>
      <c r="P4710">
        <v>145.19999999999999</v>
      </c>
      <c r="Q4710" s="23" t="s">
        <v>179</v>
      </c>
    </row>
    <row r="4711" spans="1:17" x14ac:dyDescent="0.25">
      <c r="A4711" s="23" t="s">
        <v>1146</v>
      </c>
      <c r="B4711" s="23" t="s">
        <v>1145</v>
      </c>
      <c r="C4711" s="23" t="s">
        <v>176</v>
      </c>
      <c r="D4711" s="23" t="s">
        <v>345</v>
      </c>
      <c r="E4711" s="23" t="s">
        <v>346</v>
      </c>
      <c r="F4711">
        <v>2</v>
      </c>
      <c r="G4711" s="23" t="s">
        <v>177</v>
      </c>
      <c r="H4711">
        <v>0</v>
      </c>
      <c r="I4711">
        <v>228</v>
      </c>
      <c r="J4711" s="10">
        <v>4.6185277824406512E-14</v>
      </c>
      <c r="K4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-186</v>
      </c>
      <c r="L4711">
        <v>0</v>
      </c>
      <c r="M47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1">
        <v>6</v>
      </c>
      <c r="O4711" s="23" t="s">
        <v>347</v>
      </c>
      <c r="P4711">
        <v>12</v>
      </c>
      <c r="Q4711" s="23" t="s">
        <v>181</v>
      </c>
    </row>
    <row r="4712" spans="1:17" x14ac:dyDescent="0.25">
      <c r="A4712" s="23" t="s">
        <v>1149</v>
      </c>
      <c r="B4712" s="23" t="s">
        <v>1145</v>
      </c>
      <c r="C4712" s="23" t="s">
        <v>176</v>
      </c>
      <c r="D4712" s="23" t="s">
        <v>419</v>
      </c>
      <c r="E4712" s="23" t="s">
        <v>1225</v>
      </c>
      <c r="F4712">
        <v>5</v>
      </c>
      <c r="G4712" s="23" t="s">
        <v>177</v>
      </c>
      <c r="H4712">
        <v>0</v>
      </c>
      <c r="I4712">
        <v>148</v>
      </c>
      <c r="J4712" s="10">
        <v>59</v>
      </c>
      <c r="K4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712">
        <v>0</v>
      </c>
      <c r="M47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2">
        <v>24.17</v>
      </c>
      <c r="O4712" s="23" t="s">
        <v>629</v>
      </c>
      <c r="P4712">
        <v>120.85000000000001</v>
      </c>
      <c r="Q4712" s="23" t="s">
        <v>181</v>
      </c>
    </row>
    <row r="4713" spans="1:17" x14ac:dyDescent="0.25">
      <c r="A4713" s="23" t="s">
        <v>1146</v>
      </c>
      <c r="B4713" s="23" t="s">
        <v>1145</v>
      </c>
      <c r="C4713" s="23" t="s">
        <v>176</v>
      </c>
      <c r="D4713" s="23" t="s">
        <v>419</v>
      </c>
      <c r="E4713" s="23" t="s">
        <v>1225</v>
      </c>
      <c r="F4713">
        <v>5</v>
      </c>
      <c r="G4713" s="23" t="s">
        <v>177</v>
      </c>
      <c r="H4713">
        <v>0</v>
      </c>
      <c r="I4713">
        <v>148</v>
      </c>
      <c r="J4713" s="10">
        <v>59</v>
      </c>
      <c r="K4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-33</v>
      </c>
      <c r="L4713">
        <v>0</v>
      </c>
      <c r="M47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3">
        <v>24.17</v>
      </c>
      <c r="O4713" s="23" t="s">
        <v>629</v>
      </c>
      <c r="P4713">
        <v>120.85000000000001</v>
      </c>
      <c r="Q4713" s="23" t="s">
        <v>181</v>
      </c>
    </row>
    <row r="4714" spans="1:17" x14ac:dyDescent="0.25">
      <c r="A4714" s="23" t="s">
        <v>1144</v>
      </c>
      <c r="B4714" s="23" t="s">
        <v>1145</v>
      </c>
      <c r="C4714" s="23" t="s">
        <v>198</v>
      </c>
      <c r="D4714" s="23" t="s">
        <v>794</v>
      </c>
      <c r="E4714" s="23" t="s">
        <v>795</v>
      </c>
      <c r="F4714">
        <v>1</v>
      </c>
      <c r="G4714" s="23" t="s">
        <v>177</v>
      </c>
      <c r="H4714">
        <v>0</v>
      </c>
      <c r="I4714">
        <v>26</v>
      </c>
      <c r="J4714" s="10">
        <v>3</v>
      </c>
      <c r="K4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4714">
        <v>0</v>
      </c>
      <c r="M47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4">
        <v>2800</v>
      </c>
      <c r="O4714" s="23" t="s">
        <v>796</v>
      </c>
      <c r="P4714">
        <v>2800</v>
      </c>
      <c r="Q4714" s="23" t="s">
        <v>178</v>
      </c>
    </row>
    <row r="4715" spans="1:17" x14ac:dyDescent="0.25">
      <c r="A4715" s="23" t="s">
        <v>1149</v>
      </c>
      <c r="B4715" s="23" t="s">
        <v>1145</v>
      </c>
      <c r="C4715" s="23" t="s">
        <v>176</v>
      </c>
      <c r="D4715" s="23" t="s">
        <v>105</v>
      </c>
      <c r="E4715" s="23" t="s">
        <v>106</v>
      </c>
      <c r="F4715">
        <v>5</v>
      </c>
      <c r="G4715" s="23" t="s">
        <v>177</v>
      </c>
      <c r="H4715">
        <v>0</v>
      </c>
      <c r="I4715">
        <v>39</v>
      </c>
      <c r="J4715" s="10">
        <v>36</v>
      </c>
      <c r="K4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</v>
      </c>
      <c r="L4715">
        <v>0</v>
      </c>
      <c r="M47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6615</v>
      </c>
      <c r="N4715">
        <v>105</v>
      </c>
      <c r="O4715" s="23" t="s">
        <v>626</v>
      </c>
      <c r="P4715">
        <v>525</v>
      </c>
      <c r="Q4715" s="23" t="s">
        <v>179</v>
      </c>
    </row>
    <row r="4716" spans="1:17" x14ac:dyDescent="0.25">
      <c r="A4716" s="23" t="s">
        <v>1149</v>
      </c>
      <c r="B4716" s="23" t="s">
        <v>1145</v>
      </c>
      <c r="C4716" s="23" t="s">
        <v>176</v>
      </c>
      <c r="D4716" s="23" t="s">
        <v>379</v>
      </c>
      <c r="E4716" s="23" t="s">
        <v>380</v>
      </c>
      <c r="F4716">
        <v>2</v>
      </c>
      <c r="G4716" s="23" t="s">
        <v>177</v>
      </c>
      <c r="H4716">
        <v>0</v>
      </c>
      <c r="I4716">
        <v>50</v>
      </c>
      <c r="J4716" s="10">
        <v>33</v>
      </c>
      <c r="K4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4716">
        <v>0</v>
      </c>
      <c r="M47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6">
        <v>72.599999999999994</v>
      </c>
      <c r="O4716" s="23" t="s">
        <v>242</v>
      </c>
      <c r="P4716">
        <v>145.19999999999999</v>
      </c>
      <c r="Q4716" s="23" t="s">
        <v>179</v>
      </c>
    </row>
    <row r="4717" spans="1:17" x14ac:dyDescent="0.25">
      <c r="A4717" s="23" t="s">
        <v>1144</v>
      </c>
      <c r="B4717" s="23" t="s">
        <v>1145</v>
      </c>
      <c r="C4717" s="23" t="s">
        <v>176</v>
      </c>
      <c r="D4717" s="23" t="s">
        <v>606</v>
      </c>
      <c r="E4717" s="23" t="s">
        <v>607</v>
      </c>
      <c r="F4717">
        <v>4</v>
      </c>
      <c r="G4717" s="23" t="s">
        <v>177</v>
      </c>
      <c r="H4717">
        <v>0</v>
      </c>
      <c r="I4717">
        <v>33</v>
      </c>
      <c r="J4717" s="10">
        <v>6</v>
      </c>
      <c r="K4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17">
        <v>0</v>
      </c>
      <c r="M47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17">
        <v>172.31</v>
      </c>
      <c r="O4717" s="23" t="s">
        <v>637</v>
      </c>
      <c r="P4717">
        <v>689.24</v>
      </c>
      <c r="Q4717" s="23" t="s">
        <v>178</v>
      </c>
    </row>
    <row r="4718" spans="1:17" x14ac:dyDescent="0.25">
      <c r="A4718" s="23" t="s">
        <v>1100</v>
      </c>
      <c r="B4718" s="23" t="s">
        <v>1101</v>
      </c>
      <c r="C4718" s="23" t="s">
        <v>176</v>
      </c>
      <c r="D4718" s="23" t="s">
        <v>606</v>
      </c>
      <c r="E4718" s="23" t="s">
        <v>607</v>
      </c>
      <c r="F4718">
        <v>4</v>
      </c>
      <c r="G4718" s="23" t="s">
        <v>177</v>
      </c>
      <c r="H4718">
        <v>0</v>
      </c>
      <c r="I4718">
        <v>33</v>
      </c>
      <c r="J4718" s="10">
        <v>6</v>
      </c>
      <c r="K4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18">
        <v>0</v>
      </c>
      <c r="M47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18">
        <v>172.31</v>
      </c>
      <c r="O4718" s="23" t="s">
        <v>637</v>
      </c>
      <c r="P4718">
        <v>689.24</v>
      </c>
      <c r="Q4718" s="23" t="s">
        <v>178</v>
      </c>
    </row>
    <row r="4719" spans="1:17" x14ac:dyDescent="0.25">
      <c r="A4719" s="23" t="s">
        <v>1099</v>
      </c>
      <c r="B4719" s="23" t="s">
        <v>1056</v>
      </c>
      <c r="C4719" s="23" t="s">
        <v>176</v>
      </c>
      <c r="D4719" s="23" t="s">
        <v>704</v>
      </c>
      <c r="E4719" s="23" t="s">
        <v>705</v>
      </c>
      <c r="F4719">
        <v>4</v>
      </c>
      <c r="G4719" s="23" t="s">
        <v>177</v>
      </c>
      <c r="H4719">
        <v>0</v>
      </c>
      <c r="I4719">
        <v>250</v>
      </c>
      <c r="J4719" s="10">
        <v>302</v>
      </c>
      <c r="K4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19">
        <v>0</v>
      </c>
      <c r="M47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19">
        <v>0.9</v>
      </c>
      <c r="O4719" s="23" t="s">
        <v>827</v>
      </c>
      <c r="P4719">
        <v>3.6</v>
      </c>
      <c r="Q4719" s="23" t="s">
        <v>222</v>
      </c>
    </row>
    <row r="4720" spans="1:17" x14ac:dyDescent="0.25">
      <c r="A4720" s="23" t="s">
        <v>1055</v>
      </c>
      <c r="B4720" s="23" t="s">
        <v>1056</v>
      </c>
      <c r="C4720" s="23" t="s">
        <v>176</v>
      </c>
      <c r="D4720" s="23" t="s">
        <v>704</v>
      </c>
      <c r="E4720" s="23" t="s">
        <v>705</v>
      </c>
      <c r="F4720">
        <v>4</v>
      </c>
      <c r="G4720" s="23" t="s">
        <v>177</v>
      </c>
      <c r="H4720">
        <v>0</v>
      </c>
      <c r="I4720">
        <v>250</v>
      </c>
      <c r="J4720" s="10">
        <v>302</v>
      </c>
      <c r="K4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20">
        <v>0</v>
      </c>
      <c r="M47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0">
        <v>0.9</v>
      </c>
      <c r="O4720" s="23" t="s">
        <v>827</v>
      </c>
      <c r="P4720">
        <v>3.6</v>
      </c>
      <c r="Q4720" s="23" t="s">
        <v>222</v>
      </c>
    </row>
    <row r="4721" spans="1:17" x14ac:dyDescent="0.25">
      <c r="A4721" s="23" t="s">
        <v>1150</v>
      </c>
      <c r="B4721" s="23" t="s">
        <v>1145</v>
      </c>
      <c r="C4721" s="23" t="s">
        <v>176</v>
      </c>
      <c r="D4721" s="23" t="s">
        <v>606</v>
      </c>
      <c r="E4721" s="23" t="s">
        <v>607</v>
      </c>
      <c r="F4721">
        <v>4</v>
      </c>
      <c r="G4721" s="23" t="s">
        <v>177</v>
      </c>
      <c r="H4721">
        <v>0</v>
      </c>
      <c r="I4721">
        <v>33</v>
      </c>
      <c r="J4721" s="10">
        <v>6</v>
      </c>
      <c r="K4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21">
        <v>0</v>
      </c>
      <c r="M47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21">
        <v>172.31</v>
      </c>
      <c r="O4721" s="23" t="s">
        <v>637</v>
      </c>
      <c r="P4721">
        <v>689.24</v>
      </c>
      <c r="Q4721" s="23" t="s">
        <v>178</v>
      </c>
    </row>
    <row r="4722" spans="1:17" x14ac:dyDescent="0.25">
      <c r="A4722" s="23" t="s">
        <v>1147</v>
      </c>
      <c r="B4722" s="23" t="s">
        <v>1145</v>
      </c>
      <c r="C4722" s="23" t="s">
        <v>176</v>
      </c>
      <c r="D4722" s="23" t="s">
        <v>606</v>
      </c>
      <c r="E4722" s="23" t="s">
        <v>607</v>
      </c>
      <c r="F4722">
        <v>4</v>
      </c>
      <c r="G4722" s="23" t="s">
        <v>177</v>
      </c>
      <c r="H4722">
        <v>0</v>
      </c>
      <c r="I4722">
        <v>33</v>
      </c>
      <c r="J4722" s="10">
        <v>6</v>
      </c>
      <c r="K4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22">
        <v>0</v>
      </c>
      <c r="M47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22">
        <v>172.31</v>
      </c>
      <c r="O4722" s="23" t="s">
        <v>637</v>
      </c>
      <c r="P4722">
        <v>689.24</v>
      </c>
      <c r="Q4722" s="23" t="s">
        <v>178</v>
      </c>
    </row>
    <row r="4723" spans="1:17" x14ac:dyDescent="0.25">
      <c r="A4723" s="23" t="s">
        <v>1058</v>
      </c>
      <c r="B4723" s="23" t="s">
        <v>1059</v>
      </c>
      <c r="C4723" s="23" t="s">
        <v>176</v>
      </c>
      <c r="D4723" s="23" t="s">
        <v>606</v>
      </c>
      <c r="E4723" s="23" t="s">
        <v>607</v>
      </c>
      <c r="F4723">
        <v>4</v>
      </c>
      <c r="G4723" s="23" t="s">
        <v>177</v>
      </c>
      <c r="H4723">
        <v>0</v>
      </c>
      <c r="I4723">
        <v>33</v>
      </c>
      <c r="J4723" s="10">
        <v>6</v>
      </c>
      <c r="K4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23">
        <v>0</v>
      </c>
      <c r="M47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23">
        <v>172.31</v>
      </c>
      <c r="O4723" s="23" t="s">
        <v>637</v>
      </c>
      <c r="P4723">
        <v>689.24</v>
      </c>
      <c r="Q4723" s="23" t="s">
        <v>178</v>
      </c>
    </row>
    <row r="4724" spans="1:17" x14ac:dyDescent="0.25">
      <c r="A4724" s="23" t="s">
        <v>1147</v>
      </c>
      <c r="B4724" s="23" t="s">
        <v>1145</v>
      </c>
      <c r="C4724" s="23" t="s">
        <v>176</v>
      </c>
      <c r="D4724" s="23" t="s">
        <v>704</v>
      </c>
      <c r="E4724" s="23" t="s">
        <v>705</v>
      </c>
      <c r="F4724">
        <v>4</v>
      </c>
      <c r="G4724" s="23" t="s">
        <v>177</v>
      </c>
      <c r="H4724">
        <v>0</v>
      </c>
      <c r="I4724">
        <v>250</v>
      </c>
      <c r="J4724" s="10">
        <v>302</v>
      </c>
      <c r="K4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24">
        <v>0</v>
      </c>
      <c r="M47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4">
        <v>0.9</v>
      </c>
      <c r="O4724" s="23" t="s">
        <v>827</v>
      </c>
      <c r="P4724">
        <v>3.6</v>
      </c>
      <c r="Q4724" s="23" t="s">
        <v>222</v>
      </c>
    </row>
    <row r="4725" spans="1:17" x14ac:dyDescent="0.25">
      <c r="A4725" s="23" t="s">
        <v>1144</v>
      </c>
      <c r="B4725" s="23" t="s">
        <v>1145</v>
      </c>
      <c r="C4725" s="23" t="s">
        <v>176</v>
      </c>
      <c r="D4725" s="23" t="s">
        <v>784</v>
      </c>
      <c r="E4725" s="23" t="s">
        <v>785</v>
      </c>
      <c r="F4725">
        <v>1</v>
      </c>
      <c r="G4725" s="23" t="s">
        <v>177</v>
      </c>
      <c r="H4725">
        <v>0</v>
      </c>
      <c r="I4725">
        <v>7</v>
      </c>
      <c r="J4725" s="10">
        <v>9</v>
      </c>
      <c r="K4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25">
        <v>10</v>
      </c>
      <c r="M47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5">
        <v>450</v>
      </c>
      <c r="O4725" s="23" t="s">
        <v>291</v>
      </c>
      <c r="P4725">
        <v>450</v>
      </c>
      <c r="Q4725" s="23" t="s">
        <v>179</v>
      </c>
    </row>
    <row r="4726" spans="1:17" x14ac:dyDescent="0.25">
      <c r="A4726" s="23" t="s">
        <v>1146</v>
      </c>
      <c r="B4726" s="23" t="s">
        <v>1145</v>
      </c>
      <c r="C4726" s="23" t="s">
        <v>176</v>
      </c>
      <c r="D4726" s="23" t="s">
        <v>784</v>
      </c>
      <c r="E4726" s="23" t="s">
        <v>785</v>
      </c>
      <c r="F4726">
        <v>1</v>
      </c>
      <c r="G4726" s="23" t="s">
        <v>177</v>
      </c>
      <c r="H4726">
        <v>0</v>
      </c>
      <c r="I4726">
        <v>7</v>
      </c>
      <c r="J4726" s="10">
        <v>9</v>
      </c>
      <c r="K4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26">
        <v>10</v>
      </c>
      <c r="M47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6">
        <v>450</v>
      </c>
      <c r="O4726" s="23" t="s">
        <v>291</v>
      </c>
      <c r="P4726">
        <v>450</v>
      </c>
      <c r="Q4726" s="23" t="s">
        <v>179</v>
      </c>
    </row>
    <row r="4727" spans="1:17" x14ac:dyDescent="0.25">
      <c r="A4727" s="23" t="s">
        <v>1149</v>
      </c>
      <c r="B4727" s="23" t="s">
        <v>1145</v>
      </c>
      <c r="C4727" s="23" t="s">
        <v>176</v>
      </c>
      <c r="D4727" s="23" t="s">
        <v>606</v>
      </c>
      <c r="E4727" s="23" t="s">
        <v>607</v>
      </c>
      <c r="F4727">
        <v>4</v>
      </c>
      <c r="G4727" s="23" t="s">
        <v>177</v>
      </c>
      <c r="H4727">
        <v>0</v>
      </c>
      <c r="I4727">
        <v>33</v>
      </c>
      <c r="J4727" s="10">
        <v>6</v>
      </c>
      <c r="K4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27">
        <v>0</v>
      </c>
      <c r="M47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27">
        <v>172.31</v>
      </c>
      <c r="O4727" s="23" t="s">
        <v>637</v>
      </c>
      <c r="P4727">
        <v>689.24</v>
      </c>
      <c r="Q4727" s="23" t="s">
        <v>178</v>
      </c>
    </row>
    <row r="4728" spans="1:17" x14ac:dyDescent="0.25">
      <c r="A4728" s="23" t="s">
        <v>1146</v>
      </c>
      <c r="B4728" s="23" t="s">
        <v>1145</v>
      </c>
      <c r="C4728" s="23" t="s">
        <v>176</v>
      </c>
      <c r="D4728" s="23" t="s">
        <v>606</v>
      </c>
      <c r="E4728" s="23" t="s">
        <v>607</v>
      </c>
      <c r="F4728">
        <v>4</v>
      </c>
      <c r="G4728" s="23" t="s">
        <v>177</v>
      </c>
      <c r="H4728">
        <v>0</v>
      </c>
      <c r="I4728">
        <v>33</v>
      </c>
      <c r="J4728" s="10">
        <v>6</v>
      </c>
      <c r="K4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28">
        <v>0</v>
      </c>
      <c r="M47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28">
        <v>172.31</v>
      </c>
      <c r="O4728" s="23" t="s">
        <v>637</v>
      </c>
      <c r="P4728">
        <v>689.24</v>
      </c>
      <c r="Q4728" s="23" t="s">
        <v>178</v>
      </c>
    </row>
    <row r="4729" spans="1:17" x14ac:dyDescent="0.25">
      <c r="A4729" s="23" t="s">
        <v>1149</v>
      </c>
      <c r="B4729" s="23" t="s">
        <v>1145</v>
      </c>
      <c r="C4729" s="23" t="s">
        <v>176</v>
      </c>
      <c r="D4729" s="23" t="s">
        <v>704</v>
      </c>
      <c r="E4729" s="23" t="s">
        <v>705</v>
      </c>
      <c r="F4729">
        <v>4</v>
      </c>
      <c r="G4729" s="23" t="s">
        <v>177</v>
      </c>
      <c r="H4729">
        <v>0</v>
      </c>
      <c r="I4729">
        <v>250</v>
      </c>
      <c r="J4729" s="10">
        <v>302</v>
      </c>
      <c r="K4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29">
        <v>0</v>
      </c>
      <c r="M47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29">
        <v>0.9</v>
      </c>
      <c r="O4729" s="23" t="s">
        <v>827</v>
      </c>
      <c r="P4729">
        <v>3.6</v>
      </c>
      <c r="Q4729" s="23" t="s">
        <v>222</v>
      </c>
    </row>
    <row r="4730" spans="1:17" x14ac:dyDescent="0.25">
      <c r="A4730" s="23" t="s">
        <v>1100</v>
      </c>
      <c r="B4730" s="23" t="s">
        <v>1101</v>
      </c>
      <c r="C4730" s="23" t="s">
        <v>176</v>
      </c>
      <c r="D4730" s="23" t="s">
        <v>704</v>
      </c>
      <c r="E4730" s="23" t="s">
        <v>705</v>
      </c>
      <c r="F4730">
        <v>4</v>
      </c>
      <c r="G4730" s="23" t="s">
        <v>177</v>
      </c>
      <c r="H4730">
        <v>0</v>
      </c>
      <c r="I4730">
        <v>250</v>
      </c>
      <c r="J4730" s="10">
        <v>302</v>
      </c>
      <c r="K4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30">
        <v>0</v>
      </c>
      <c r="M47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0">
        <v>0.9</v>
      </c>
      <c r="O4730" s="23" t="s">
        <v>827</v>
      </c>
      <c r="P4730">
        <v>3.6</v>
      </c>
      <c r="Q4730" s="23" t="s">
        <v>222</v>
      </c>
    </row>
    <row r="4731" spans="1:17" x14ac:dyDescent="0.25">
      <c r="A4731" s="23" t="s">
        <v>1150</v>
      </c>
      <c r="B4731" s="23" t="s">
        <v>1145</v>
      </c>
      <c r="C4731" s="23" t="s">
        <v>176</v>
      </c>
      <c r="D4731" s="23" t="s">
        <v>784</v>
      </c>
      <c r="E4731" s="23" t="s">
        <v>785</v>
      </c>
      <c r="F4731">
        <v>1</v>
      </c>
      <c r="G4731" s="23" t="s">
        <v>177</v>
      </c>
      <c r="H4731">
        <v>0</v>
      </c>
      <c r="I4731">
        <v>7</v>
      </c>
      <c r="J4731" s="10">
        <v>9</v>
      </c>
      <c r="K4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31">
        <v>10</v>
      </c>
      <c r="M47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1">
        <v>450</v>
      </c>
      <c r="O4731" s="23" t="s">
        <v>291</v>
      </c>
      <c r="P4731">
        <v>450</v>
      </c>
      <c r="Q4731" s="23" t="s">
        <v>179</v>
      </c>
    </row>
    <row r="4732" spans="1:17" x14ac:dyDescent="0.25">
      <c r="A4732" s="23" t="s">
        <v>1150</v>
      </c>
      <c r="B4732" s="23" t="s">
        <v>1145</v>
      </c>
      <c r="C4732" s="23" t="s">
        <v>176</v>
      </c>
      <c r="D4732" s="23" t="s">
        <v>704</v>
      </c>
      <c r="E4732" s="23" t="s">
        <v>705</v>
      </c>
      <c r="F4732">
        <v>2</v>
      </c>
      <c r="G4732" s="23" t="s">
        <v>177</v>
      </c>
      <c r="H4732">
        <v>0</v>
      </c>
      <c r="I4732">
        <v>250</v>
      </c>
      <c r="J4732" s="10">
        <v>302</v>
      </c>
      <c r="K4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32">
        <v>0</v>
      </c>
      <c r="M47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2">
        <v>0.9</v>
      </c>
      <c r="O4732" s="23" t="s">
        <v>827</v>
      </c>
      <c r="P4732">
        <v>1.8</v>
      </c>
      <c r="Q4732" s="23" t="s">
        <v>222</v>
      </c>
    </row>
    <row r="4733" spans="1:17" x14ac:dyDescent="0.25">
      <c r="A4733" s="23" t="s">
        <v>1150</v>
      </c>
      <c r="B4733" s="23" t="s">
        <v>1145</v>
      </c>
      <c r="C4733" s="23" t="s">
        <v>176</v>
      </c>
      <c r="D4733" s="23" t="s">
        <v>594</v>
      </c>
      <c r="E4733" s="23" t="s">
        <v>595</v>
      </c>
      <c r="F4733">
        <v>4</v>
      </c>
      <c r="G4733" s="23" t="s">
        <v>177</v>
      </c>
      <c r="H4733">
        <v>4</v>
      </c>
      <c r="I4733">
        <v>46</v>
      </c>
      <c r="J4733" s="10">
        <v>12</v>
      </c>
      <c r="K4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33">
        <v>0</v>
      </c>
      <c r="M47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3">
        <v>100</v>
      </c>
      <c r="O4733" s="23" t="s">
        <v>1032</v>
      </c>
      <c r="P4733">
        <v>400</v>
      </c>
      <c r="Q4733" s="23" t="s">
        <v>178</v>
      </c>
    </row>
    <row r="4734" spans="1:17" x14ac:dyDescent="0.25">
      <c r="A4734" s="23" t="s">
        <v>1150</v>
      </c>
      <c r="B4734" s="23" t="s">
        <v>1145</v>
      </c>
      <c r="C4734" s="23" t="s">
        <v>176</v>
      </c>
      <c r="D4734" s="23" t="s">
        <v>474</v>
      </c>
      <c r="E4734" s="23" t="s">
        <v>475</v>
      </c>
      <c r="F4734">
        <v>44</v>
      </c>
      <c r="G4734" s="23" t="s">
        <v>177</v>
      </c>
      <c r="H4734">
        <v>0</v>
      </c>
      <c r="I4734">
        <v>880</v>
      </c>
      <c r="J4734" s="10">
        <v>414</v>
      </c>
      <c r="K4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34">
        <v>0</v>
      </c>
      <c r="M47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4">
        <v>2.1</v>
      </c>
      <c r="O4734" s="23" t="s">
        <v>242</v>
      </c>
      <c r="P4734">
        <v>92.4</v>
      </c>
      <c r="Q4734" s="23" t="s">
        <v>181</v>
      </c>
    </row>
    <row r="4735" spans="1:17" x14ac:dyDescent="0.25">
      <c r="A4735" s="23" t="s">
        <v>1144</v>
      </c>
      <c r="B4735" s="23" t="s">
        <v>1145</v>
      </c>
      <c r="C4735" s="23" t="s">
        <v>176</v>
      </c>
      <c r="D4735" s="23" t="s">
        <v>474</v>
      </c>
      <c r="E4735" s="23" t="s">
        <v>475</v>
      </c>
      <c r="F4735">
        <v>44</v>
      </c>
      <c r="G4735" s="23" t="s">
        <v>177</v>
      </c>
      <c r="H4735">
        <v>0</v>
      </c>
      <c r="I4735">
        <v>880</v>
      </c>
      <c r="J4735" s="10">
        <v>414</v>
      </c>
      <c r="K4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35">
        <v>0</v>
      </c>
      <c r="M47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5">
        <v>2.1</v>
      </c>
      <c r="O4735" s="23" t="s">
        <v>242</v>
      </c>
      <c r="P4735">
        <v>92.4</v>
      </c>
      <c r="Q4735" s="23" t="s">
        <v>181</v>
      </c>
    </row>
    <row r="4736" spans="1:17" x14ac:dyDescent="0.25">
      <c r="A4736" s="23" t="s">
        <v>1197</v>
      </c>
      <c r="B4736" s="23" t="s">
        <v>1198</v>
      </c>
      <c r="C4736" s="23" t="s">
        <v>176</v>
      </c>
      <c r="D4736" s="23" t="s">
        <v>606</v>
      </c>
      <c r="E4736" s="23" t="s">
        <v>607</v>
      </c>
      <c r="F4736">
        <v>4</v>
      </c>
      <c r="G4736" s="23" t="s">
        <v>177</v>
      </c>
      <c r="H4736">
        <v>0</v>
      </c>
      <c r="I4736">
        <v>33</v>
      </c>
      <c r="J4736" s="10">
        <v>6</v>
      </c>
      <c r="K4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736">
        <v>0</v>
      </c>
      <c r="M47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736">
        <v>172.31</v>
      </c>
      <c r="O4736" s="23" t="s">
        <v>637</v>
      </c>
      <c r="P4736">
        <v>689.24</v>
      </c>
      <c r="Q4736" s="23" t="s">
        <v>178</v>
      </c>
    </row>
    <row r="4737" spans="1:17" x14ac:dyDescent="0.25">
      <c r="A4737" s="23" t="s">
        <v>1147</v>
      </c>
      <c r="B4737" s="23" t="s">
        <v>1145</v>
      </c>
      <c r="C4737" s="23" t="s">
        <v>176</v>
      </c>
      <c r="D4737" s="23" t="s">
        <v>594</v>
      </c>
      <c r="E4737" s="23" t="s">
        <v>595</v>
      </c>
      <c r="F4737">
        <v>4</v>
      </c>
      <c r="G4737" s="23" t="s">
        <v>177</v>
      </c>
      <c r="H4737">
        <v>0</v>
      </c>
      <c r="I4737">
        <v>46</v>
      </c>
      <c r="J4737" s="10">
        <v>12</v>
      </c>
      <c r="K4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37">
        <v>0</v>
      </c>
      <c r="M47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7">
        <v>100</v>
      </c>
      <c r="O4737" s="23" t="s">
        <v>1032</v>
      </c>
      <c r="P4737">
        <v>400</v>
      </c>
      <c r="Q4737" s="23" t="s">
        <v>178</v>
      </c>
    </row>
    <row r="4738" spans="1:17" x14ac:dyDescent="0.25">
      <c r="A4738" s="23" t="s">
        <v>1148</v>
      </c>
      <c r="B4738" s="23" t="s">
        <v>1054</v>
      </c>
      <c r="C4738" s="23" t="s">
        <v>176</v>
      </c>
      <c r="D4738" s="23" t="s">
        <v>784</v>
      </c>
      <c r="E4738" s="23" t="s">
        <v>785</v>
      </c>
      <c r="F4738">
        <v>1</v>
      </c>
      <c r="G4738" s="23" t="s">
        <v>177</v>
      </c>
      <c r="H4738">
        <v>0</v>
      </c>
      <c r="I4738">
        <v>7</v>
      </c>
      <c r="J4738" s="10">
        <v>9</v>
      </c>
      <c r="K4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38">
        <v>10</v>
      </c>
      <c r="M47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8">
        <v>450</v>
      </c>
      <c r="O4738" s="23" t="s">
        <v>291</v>
      </c>
      <c r="P4738">
        <v>450</v>
      </c>
      <c r="Q4738" s="23" t="s">
        <v>179</v>
      </c>
    </row>
    <row r="4739" spans="1:17" x14ac:dyDescent="0.25">
      <c r="A4739" s="23" t="s">
        <v>1148</v>
      </c>
      <c r="B4739" s="23" t="s">
        <v>1054</v>
      </c>
      <c r="C4739" s="23" t="s">
        <v>176</v>
      </c>
      <c r="D4739" s="23" t="s">
        <v>474</v>
      </c>
      <c r="E4739" s="23" t="s">
        <v>475</v>
      </c>
      <c r="F4739">
        <v>40</v>
      </c>
      <c r="G4739" s="23" t="s">
        <v>177</v>
      </c>
      <c r="H4739">
        <v>0</v>
      </c>
      <c r="I4739">
        <v>880</v>
      </c>
      <c r="J4739" s="10">
        <v>414</v>
      </c>
      <c r="K4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39">
        <v>0</v>
      </c>
      <c r="M47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39">
        <v>2.1</v>
      </c>
      <c r="O4739" s="23" t="s">
        <v>242</v>
      </c>
      <c r="P4739">
        <v>84</v>
      </c>
      <c r="Q4739" s="23" t="s">
        <v>181</v>
      </c>
    </row>
    <row r="4740" spans="1:17" x14ac:dyDescent="0.25">
      <c r="A4740" s="23" t="s">
        <v>1144</v>
      </c>
      <c r="B4740" s="23" t="s">
        <v>1145</v>
      </c>
      <c r="C4740" s="23" t="s">
        <v>176</v>
      </c>
      <c r="D4740" s="23" t="s">
        <v>704</v>
      </c>
      <c r="E4740" s="23" t="s">
        <v>705</v>
      </c>
      <c r="F4740">
        <v>2</v>
      </c>
      <c r="G4740" s="23" t="s">
        <v>177</v>
      </c>
      <c r="H4740">
        <v>0</v>
      </c>
      <c r="I4740">
        <v>250</v>
      </c>
      <c r="J4740" s="10">
        <v>302</v>
      </c>
      <c r="K4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40">
        <v>0</v>
      </c>
      <c r="M47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0">
        <v>0.9</v>
      </c>
      <c r="O4740" s="23" t="s">
        <v>827</v>
      </c>
      <c r="P4740">
        <v>1.8</v>
      </c>
      <c r="Q4740" s="23" t="s">
        <v>222</v>
      </c>
    </row>
    <row r="4741" spans="1:17" x14ac:dyDescent="0.25">
      <c r="A4741" s="23" t="s">
        <v>1146</v>
      </c>
      <c r="B4741" s="23" t="s">
        <v>1145</v>
      </c>
      <c r="C4741" s="23" t="s">
        <v>176</v>
      </c>
      <c r="D4741" s="23" t="s">
        <v>704</v>
      </c>
      <c r="E4741" s="23" t="s">
        <v>705</v>
      </c>
      <c r="F4741">
        <v>4</v>
      </c>
      <c r="G4741" s="23" t="s">
        <v>177</v>
      </c>
      <c r="H4741">
        <v>0</v>
      </c>
      <c r="I4741">
        <v>250</v>
      </c>
      <c r="J4741" s="10">
        <v>302</v>
      </c>
      <c r="K4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741">
        <v>0</v>
      </c>
      <c r="M47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1">
        <v>0.9</v>
      </c>
      <c r="O4741" s="23" t="s">
        <v>827</v>
      </c>
      <c r="P4741">
        <v>3.6</v>
      </c>
      <c r="Q4741" s="23" t="s">
        <v>222</v>
      </c>
    </row>
    <row r="4742" spans="1:17" x14ac:dyDescent="0.25">
      <c r="A4742" s="23" t="s">
        <v>1149</v>
      </c>
      <c r="B4742" s="23" t="s">
        <v>1145</v>
      </c>
      <c r="C4742" s="23" t="s">
        <v>176</v>
      </c>
      <c r="D4742" s="23" t="s">
        <v>594</v>
      </c>
      <c r="E4742" s="23" t="s">
        <v>595</v>
      </c>
      <c r="F4742">
        <v>4</v>
      </c>
      <c r="G4742" s="23" t="s">
        <v>177</v>
      </c>
      <c r="H4742">
        <v>0</v>
      </c>
      <c r="I4742">
        <v>46</v>
      </c>
      <c r="J4742" s="10">
        <v>12</v>
      </c>
      <c r="K4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42">
        <v>0</v>
      </c>
      <c r="M47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2">
        <v>100</v>
      </c>
      <c r="O4742" s="23" t="s">
        <v>1032</v>
      </c>
      <c r="P4742">
        <v>400</v>
      </c>
      <c r="Q4742" s="23" t="s">
        <v>178</v>
      </c>
    </row>
    <row r="4743" spans="1:17" x14ac:dyDescent="0.25">
      <c r="A4743" s="23" t="s">
        <v>1144</v>
      </c>
      <c r="B4743" s="23" t="s">
        <v>1145</v>
      </c>
      <c r="C4743" s="23" t="s">
        <v>176</v>
      </c>
      <c r="D4743" s="23" t="s">
        <v>594</v>
      </c>
      <c r="E4743" s="23" t="s">
        <v>595</v>
      </c>
      <c r="F4743">
        <v>4</v>
      </c>
      <c r="G4743" s="23" t="s">
        <v>177</v>
      </c>
      <c r="H4743">
        <v>0</v>
      </c>
      <c r="I4743">
        <v>46</v>
      </c>
      <c r="J4743" s="10">
        <v>12</v>
      </c>
      <c r="K4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43">
        <v>0</v>
      </c>
      <c r="M47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3">
        <v>100</v>
      </c>
      <c r="O4743" s="23" t="s">
        <v>1032</v>
      </c>
      <c r="P4743">
        <v>400</v>
      </c>
      <c r="Q4743" s="23" t="s">
        <v>178</v>
      </c>
    </row>
    <row r="4744" spans="1:17" x14ac:dyDescent="0.25">
      <c r="A4744" s="23" t="s">
        <v>1146</v>
      </c>
      <c r="B4744" s="23" t="s">
        <v>1145</v>
      </c>
      <c r="C4744" s="23" t="s">
        <v>176</v>
      </c>
      <c r="D4744" s="23" t="s">
        <v>594</v>
      </c>
      <c r="E4744" s="23" t="s">
        <v>595</v>
      </c>
      <c r="F4744">
        <v>4</v>
      </c>
      <c r="G4744" s="23" t="s">
        <v>177</v>
      </c>
      <c r="H4744">
        <v>0</v>
      </c>
      <c r="I4744">
        <v>46</v>
      </c>
      <c r="J4744" s="10">
        <v>12</v>
      </c>
      <c r="K4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44">
        <v>0</v>
      </c>
      <c r="M47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4">
        <v>100</v>
      </c>
      <c r="O4744" s="23" t="s">
        <v>1032</v>
      </c>
      <c r="P4744">
        <v>400</v>
      </c>
      <c r="Q4744" s="23" t="s">
        <v>178</v>
      </c>
    </row>
    <row r="4745" spans="1:17" x14ac:dyDescent="0.25">
      <c r="A4745" s="23" t="s">
        <v>1149</v>
      </c>
      <c r="B4745" s="23" t="s">
        <v>1145</v>
      </c>
      <c r="C4745" s="23" t="s">
        <v>176</v>
      </c>
      <c r="D4745" s="23" t="s">
        <v>784</v>
      </c>
      <c r="E4745" s="23" t="s">
        <v>785</v>
      </c>
      <c r="F4745">
        <v>1</v>
      </c>
      <c r="G4745" s="23" t="s">
        <v>177</v>
      </c>
      <c r="H4745">
        <v>0</v>
      </c>
      <c r="I4745">
        <v>7</v>
      </c>
      <c r="J4745" s="10">
        <v>9</v>
      </c>
      <c r="K4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45">
        <v>10</v>
      </c>
      <c r="M47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5">
        <v>450</v>
      </c>
      <c r="O4745" s="23" t="s">
        <v>291</v>
      </c>
      <c r="P4745">
        <v>450</v>
      </c>
      <c r="Q4745" s="23" t="s">
        <v>179</v>
      </c>
    </row>
    <row r="4746" spans="1:17" x14ac:dyDescent="0.25">
      <c r="A4746" s="23" t="s">
        <v>1149</v>
      </c>
      <c r="B4746" s="23" t="s">
        <v>1145</v>
      </c>
      <c r="C4746" s="23" t="s">
        <v>176</v>
      </c>
      <c r="D4746" s="23" t="s">
        <v>474</v>
      </c>
      <c r="E4746" s="23" t="s">
        <v>475</v>
      </c>
      <c r="F4746">
        <v>38</v>
      </c>
      <c r="G4746" s="23" t="s">
        <v>177</v>
      </c>
      <c r="H4746">
        <v>0</v>
      </c>
      <c r="I4746">
        <v>880</v>
      </c>
      <c r="J4746" s="10">
        <v>414</v>
      </c>
      <c r="K4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46">
        <v>0</v>
      </c>
      <c r="M47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6">
        <v>2.1</v>
      </c>
      <c r="O4746" s="23" t="s">
        <v>242</v>
      </c>
      <c r="P4746">
        <v>79.8</v>
      </c>
      <c r="Q4746" s="23" t="s">
        <v>181</v>
      </c>
    </row>
    <row r="4747" spans="1:17" x14ac:dyDescent="0.25">
      <c r="A4747" s="23" t="s">
        <v>1146</v>
      </c>
      <c r="B4747" s="23" t="s">
        <v>1145</v>
      </c>
      <c r="C4747" s="23" t="s">
        <v>176</v>
      </c>
      <c r="D4747" s="23" t="s">
        <v>474</v>
      </c>
      <c r="E4747" s="23" t="s">
        <v>475</v>
      </c>
      <c r="F4747">
        <v>38</v>
      </c>
      <c r="G4747" s="23" t="s">
        <v>177</v>
      </c>
      <c r="H4747">
        <v>0</v>
      </c>
      <c r="I4747">
        <v>880</v>
      </c>
      <c r="J4747" s="10">
        <v>414</v>
      </c>
      <c r="K4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47">
        <v>0</v>
      </c>
      <c r="M47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7">
        <v>2.1</v>
      </c>
      <c r="O4747" s="23" t="s">
        <v>242</v>
      </c>
      <c r="P4747">
        <v>79.8</v>
      </c>
      <c r="Q4747" s="23" t="s">
        <v>181</v>
      </c>
    </row>
    <row r="4748" spans="1:17" x14ac:dyDescent="0.25">
      <c r="A4748" s="23" t="s">
        <v>1055</v>
      </c>
      <c r="B4748" s="23" t="s">
        <v>1056</v>
      </c>
      <c r="C4748" s="23" t="s">
        <v>176</v>
      </c>
      <c r="D4748" s="23" t="s">
        <v>594</v>
      </c>
      <c r="E4748" s="23" t="s">
        <v>595</v>
      </c>
      <c r="F4748">
        <v>4</v>
      </c>
      <c r="G4748" s="23" t="s">
        <v>177</v>
      </c>
      <c r="H4748">
        <v>0</v>
      </c>
      <c r="I4748">
        <v>46</v>
      </c>
      <c r="J4748" s="10">
        <v>12</v>
      </c>
      <c r="K4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48">
        <v>0</v>
      </c>
      <c r="M47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8">
        <v>100</v>
      </c>
      <c r="O4748" s="23" t="s">
        <v>1032</v>
      </c>
      <c r="P4748">
        <v>400</v>
      </c>
      <c r="Q4748" s="23" t="s">
        <v>178</v>
      </c>
    </row>
    <row r="4749" spans="1:17" x14ac:dyDescent="0.25">
      <c r="A4749" s="23" t="s">
        <v>1099</v>
      </c>
      <c r="B4749" s="23" t="s">
        <v>1056</v>
      </c>
      <c r="C4749" s="23" t="s">
        <v>176</v>
      </c>
      <c r="D4749" s="23" t="s">
        <v>594</v>
      </c>
      <c r="E4749" s="23" t="s">
        <v>595</v>
      </c>
      <c r="F4749">
        <v>4</v>
      </c>
      <c r="G4749" s="23" t="s">
        <v>177</v>
      </c>
      <c r="H4749">
        <v>4</v>
      </c>
      <c r="I4749">
        <v>46</v>
      </c>
      <c r="J4749" s="10">
        <v>12</v>
      </c>
      <c r="K4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749">
        <v>0</v>
      </c>
      <c r="M47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49">
        <v>100</v>
      </c>
      <c r="O4749" s="23" t="s">
        <v>1032</v>
      </c>
      <c r="P4749">
        <v>400</v>
      </c>
      <c r="Q4749" s="23" t="s">
        <v>178</v>
      </c>
    </row>
    <row r="4750" spans="1:17" x14ac:dyDescent="0.25">
      <c r="A4750" s="23" t="s">
        <v>1099</v>
      </c>
      <c r="B4750" s="23" t="s">
        <v>1056</v>
      </c>
      <c r="C4750" s="23" t="s">
        <v>176</v>
      </c>
      <c r="D4750" s="23" t="s">
        <v>862</v>
      </c>
      <c r="E4750" s="23" t="s">
        <v>863</v>
      </c>
      <c r="F4750">
        <v>12</v>
      </c>
      <c r="G4750" s="23" t="s">
        <v>177</v>
      </c>
      <c r="H4750">
        <v>0</v>
      </c>
      <c r="I4750">
        <v>178</v>
      </c>
      <c r="J4750" s="10">
        <v>0</v>
      </c>
      <c r="K4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-142</v>
      </c>
      <c r="L4750">
        <v>0</v>
      </c>
      <c r="M47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0">
        <v>3.45</v>
      </c>
      <c r="O4750" s="23" t="s">
        <v>861</v>
      </c>
      <c r="P4750">
        <v>41.400000000000006</v>
      </c>
      <c r="Q4750" s="23" t="s">
        <v>181</v>
      </c>
    </row>
    <row r="4751" spans="1:17" x14ac:dyDescent="0.25">
      <c r="A4751" s="23" t="s">
        <v>1147</v>
      </c>
      <c r="B4751" s="23" t="s">
        <v>1145</v>
      </c>
      <c r="C4751" s="23" t="s">
        <v>176</v>
      </c>
      <c r="D4751" s="23" t="s">
        <v>784</v>
      </c>
      <c r="E4751" s="23" t="s">
        <v>785</v>
      </c>
      <c r="F4751">
        <v>1</v>
      </c>
      <c r="G4751" s="23" t="s">
        <v>177</v>
      </c>
      <c r="H4751">
        <v>0</v>
      </c>
      <c r="I4751">
        <v>7</v>
      </c>
      <c r="J4751" s="10">
        <v>9</v>
      </c>
      <c r="K4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751">
        <v>10</v>
      </c>
      <c r="M47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1">
        <v>450</v>
      </c>
      <c r="O4751" s="23" t="s">
        <v>291</v>
      </c>
      <c r="P4751">
        <v>450</v>
      </c>
      <c r="Q4751" s="23" t="s">
        <v>179</v>
      </c>
    </row>
    <row r="4752" spans="1:17" x14ac:dyDescent="0.25">
      <c r="A4752" s="23" t="s">
        <v>1055</v>
      </c>
      <c r="B4752" s="23" t="s">
        <v>1056</v>
      </c>
      <c r="C4752" s="23" t="s">
        <v>176</v>
      </c>
      <c r="D4752" s="23" t="s">
        <v>474</v>
      </c>
      <c r="E4752" s="23" t="s">
        <v>475</v>
      </c>
      <c r="F4752">
        <v>38</v>
      </c>
      <c r="G4752" s="23" t="s">
        <v>177</v>
      </c>
      <c r="H4752">
        <v>0</v>
      </c>
      <c r="I4752">
        <v>880</v>
      </c>
      <c r="J4752" s="10">
        <v>414</v>
      </c>
      <c r="K4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52">
        <v>0</v>
      </c>
      <c r="M47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2">
        <v>2.1</v>
      </c>
      <c r="O4752" s="23" t="s">
        <v>242</v>
      </c>
      <c r="P4752">
        <v>79.8</v>
      </c>
      <c r="Q4752" s="23" t="s">
        <v>181</v>
      </c>
    </row>
    <row r="4753" spans="1:17" x14ac:dyDescent="0.25">
      <c r="A4753" s="23" t="s">
        <v>1100</v>
      </c>
      <c r="B4753" s="23" t="s">
        <v>1101</v>
      </c>
      <c r="C4753" s="23" t="s">
        <v>176</v>
      </c>
      <c r="D4753" s="23" t="s">
        <v>474</v>
      </c>
      <c r="E4753" s="23" t="s">
        <v>475</v>
      </c>
      <c r="F4753">
        <v>98</v>
      </c>
      <c r="G4753" s="23" t="s">
        <v>177</v>
      </c>
      <c r="H4753">
        <v>0</v>
      </c>
      <c r="I4753">
        <v>880</v>
      </c>
      <c r="J4753" s="10">
        <v>414</v>
      </c>
      <c r="K4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53">
        <v>0</v>
      </c>
      <c r="M47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3">
        <v>2.1</v>
      </c>
      <c r="O4753" s="23" t="s">
        <v>242</v>
      </c>
      <c r="P4753">
        <v>205.8</v>
      </c>
      <c r="Q4753" s="23" t="s">
        <v>181</v>
      </c>
    </row>
    <row r="4754" spans="1:17" x14ac:dyDescent="0.25">
      <c r="A4754" s="23" t="s">
        <v>1147</v>
      </c>
      <c r="B4754" s="23" t="s">
        <v>1145</v>
      </c>
      <c r="C4754" s="23" t="s">
        <v>176</v>
      </c>
      <c r="D4754" s="23" t="s">
        <v>474</v>
      </c>
      <c r="E4754" s="23" t="s">
        <v>475</v>
      </c>
      <c r="F4754">
        <v>38</v>
      </c>
      <c r="G4754" s="23" t="s">
        <v>177</v>
      </c>
      <c r="H4754">
        <v>0</v>
      </c>
      <c r="I4754">
        <v>880</v>
      </c>
      <c r="J4754" s="10">
        <v>414</v>
      </c>
      <c r="K4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54">
        <v>0</v>
      </c>
      <c r="M47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4">
        <v>2.1</v>
      </c>
      <c r="O4754" s="23" t="s">
        <v>242</v>
      </c>
      <c r="P4754">
        <v>79.8</v>
      </c>
      <c r="Q4754" s="23" t="s">
        <v>181</v>
      </c>
    </row>
    <row r="4755" spans="1:17" x14ac:dyDescent="0.25">
      <c r="A4755" s="23" t="s">
        <v>1099</v>
      </c>
      <c r="B4755" s="23" t="s">
        <v>1056</v>
      </c>
      <c r="C4755" s="23" t="s">
        <v>176</v>
      </c>
      <c r="D4755" s="23" t="s">
        <v>474</v>
      </c>
      <c r="E4755" s="23" t="s">
        <v>475</v>
      </c>
      <c r="F4755">
        <v>30</v>
      </c>
      <c r="G4755" s="23" t="s">
        <v>177</v>
      </c>
      <c r="H4755">
        <v>0</v>
      </c>
      <c r="I4755">
        <v>880</v>
      </c>
      <c r="J4755" s="10">
        <v>414</v>
      </c>
      <c r="K4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755">
        <v>0</v>
      </c>
      <c r="M47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5">
        <v>2.1</v>
      </c>
      <c r="O4755" s="23" t="s">
        <v>242</v>
      </c>
      <c r="P4755">
        <v>63</v>
      </c>
      <c r="Q4755" s="23" t="s">
        <v>181</v>
      </c>
    </row>
    <row r="4756" spans="1:17" x14ac:dyDescent="0.25">
      <c r="A4756" s="23" t="s">
        <v>1149</v>
      </c>
      <c r="B4756" s="23" t="s">
        <v>1145</v>
      </c>
      <c r="C4756" s="23" t="s">
        <v>176</v>
      </c>
      <c r="D4756" s="23" t="s">
        <v>162</v>
      </c>
      <c r="E4756" s="23" t="s">
        <v>163</v>
      </c>
      <c r="F4756">
        <v>1</v>
      </c>
      <c r="G4756" s="23" t="s">
        <v>177</v>
      </c>
      <c r="H4756">
        <v>0</v>
      </c>
      <c r="I4756">
        <v>2</v>
      </c>
      <c r="J4756" s="10">
        <v>8</v>
      </c>
      <c r="K4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756">
        <v>3</v>
      </c>
      <c r="M47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756">
        <v>6057.5</v>
      </c>
      <c r="O4756" s="23" t="s">
        <v>228</v>
      </c>
      <c r="P4756">
        <v>6057.5</v>
      </c>
      <c r="Q4756" s="23" t="s">
        <v>222</v>
      </c>
    </row>
    <row r="4757" spans="1:17" x14ac:dyDescent="0.25">
      <c r="A4757" s="23" t="s">
        <v>1148</v>
      </c>
      <c r="B4757" s="23" t="s">
        <v>1054</v>
      </c>
      <c r="C4757" s="23" t="s">
        <v>176</v>
      </c>
      <c r="D4757" s="23" t="s">
        <v>162</v>
      </c>
      <c r="E4757" s="23" t="s">
        <v>163</v>
      </c>
      <c r="F4757">
        <v>1</v>
      </c>
      <c r="G4757" s="23" t="s">
        <v>177</v>
      </c>
      <c r="H4757">
        <v>0</v>
      </c>
      <c r="I4757">
        <v>2</v>
      </c>
      <c r="J4757" s="10">
        <v>8</v>
      </c>
      <c r="K4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757">
        <v>3</v>
      </c>
      <c r="M47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757">
        <v>6057.5</v>
      </c>
      <c r="O4757" s="23" t="s">
        <v>228</v>
      </c>
      <c r="P4757">
        <v>6057.5</v>
      </c>
      <c r="Q4757" s="23" t="s">
        <v>222</v>
      </c>
    </row>
    <row r="4758" spans="1:17" x14ac:dyDescent="0.25">
      <c r="A4758" s="23" t="s">
        <v>1097</v>
      </c>
      <c r="B4758" s="23" t="s">
        <v>1095</v>
      </c>
      <c r="C4758" s="23" t="s">
        <v>176</v>
      </c>
      <c r="D4758" s="23" t="s">
        <v>387</v>
      </c>
      <c r="E4758" s="23" t="s">
        <v>614</v>
      </c>
      <c r="F4758">
        <v>1</v>
      </c>
      <c r="G4758" s="23" t="s">
        <v>183</v>
      </c>
      <c r="H4758">
        <v>0</v>
      </c>
      <c r="I4758">
        <v>15.9</v>
      </c>
      <c r="J4758" s="10">
        <v>39.329999999999977</v>
      </c>
      <c r="K4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758">
        <v>11.895</v>
      </c>
      <c r="M47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8">
        <v>641.03</v>
      </c>
      <c r="O4758" s="23" t="s">
        <v>224</v>
      </c>
      <c r="P4758">
        <v>641.03</v>
      </c>
      <c r="Q4758" s="23" t="s">
        <v>182</v>
      </c>
    </row>
    <row r="4759" spans="1:17" x14ac:dyDescent="0.25">
      <c r="A4759" s="23" t="s">
        <v>1197</v>
      </c>
      <c r="B4759" s="23" t="s">
        <v>1198</v>
      </c>
      <c r="C4759" s="23" t="s">
        <v>176</v>
      </c>
      <c r="D4759" s="23" t="s">
        <v>387</v>
      </c>
      <c r="E4759" s="23" t="s">
        <v>614</v>
      </c>
      <c r="F4759">
        <v>1</v>
      </c>
      <c r="G4759" s="23" t="s">
        <v>183</v>
      </c>
      <c r="H4759">
        <v>0</v>
      </c>
      <c r="I4759">
        <v>15.9</v>
      </c>
      <c r="J4759" s="10">
        <v>39.329999999999977</v>
      </c>
      <c r="K4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759">
        <v>11.895</v>
      </c>
      <c r="M47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59">
        <v>641.03</v>
      </c>
      <c r="O4759" s="23" t="s">
        <v>224</v>
      </c>
      <c r="P4759">
        <v>641.03</v>
      </c>
      <c r="Q4759" s="23" t="s">
        <v>182</v>
      </c>
    </row>
    <row r="4760" spans="1:17" x14ac:dyDescent="0.25">
      <c r="A4760" s="23" t="s">
        <v>1097</v>
      </c>
      <c r="B4760" s="23" t="s">
        <v>1095</v>
      </c>
      <c r="C4760" s="23" t="s">
        <v>176</v>
      </c>
      <c r="D4760" s="23" t="s">
        <v>837</v>
      </c>
      <c r="E4760" s="23" t="s">
        <v>838</v>
      </c>
      <c r="F4760">
        <v>120</v>
      </c>
      <c r="G4760" s="23" t="s">
        <v>180</v>
      </c>
      <c r="H4760">
        <v>0</v>
      </c>
      <c r="I4760">
        <v>0</v>
      </c>
      <c r="J4760" s="10">
        <v>0</v>
      </c>
      <c r="K4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760">
        <v>0</v>
      </c>
      <c r="M47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0">
        <v>0</v>
      </c>
      <c r="O4760" s="23"/>
      <c r="P4760">
        <v>0</v>
      </c>
      <c r="Q4760" s="23" t="s">
        <v>185</v>
      </c>
    </row>
    <row r="4761" spans="1:17" x14ac:dyDescent="0.25">
      <c r="A4761" s="23" t="s">
        <v>1100</v>
      </c>
      <c r="B4761" s="23" t="s">
        <v>1101</v>
      </c>
      <c r="C4761" s="23" t="s">
        <v>176</v>
      </c>
      <c r="D4761" s="23" t="s">
        <v>764</v>
      </c>
      <c r="E4761" s="23" t="s">
        <v>765</v>
      </c>
      <c r="F4761">
        <v>1</v>
      </c>
      <c r="G4761" s="23" t="s">
        <v>177</v>
      </c>
      <c r="H4761">
        <v>0</v>
      </c>
      <c r="I4761">
        <v>5</v>
      </c>
      <c r="J4761" s="10">
        <v>7</v>
      </c>
      <c r="K4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61">
        <v>8</v>
      </c>
      <c r="M47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1">
        <v>401.17</v>
      </c>
      <c r="O4761" s="23" t="s">
        <v>766</v>
      </c>
      <c r="P4761">
        <v>401.17</v>
      </c>
      <c r="Q4761" s="23" t="s">
        <v>222</v>
      </c>
    </row>
    <row r="4762" spans="1:17" x14ac:dyDescent="0.25">
      <c r="A4762" s="23" t="s">
        <v>1147</v>
      </c>
      <c r="B4762" s="23" t="s">
        <v>1145</v>
      </c>
      <c r="C4762" s="23" t="s">
        <v>176</v>
      </c>
      <c r="D4762" s="23" t="s">
        <v>1081</v>
      </c>
      <c r="E4762" s="23" t="s">
        <v>1082</v>
      </c>
      <c r="F4762">
        <v>2</v>
      </c>
      <c r="G4762" s="23" t="s">
        <v>177</v>
      </c>
      <c r="H4762">
        <v>0</v>
      </c>
      <c r="I4762">
        <v>17</v>
      </c>
      <c r="J4762" s="10">
        <v>16</v>
      </c>
      <c r="K4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762">
        <v>30</v>
      </c>
      <c r="M47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2">
        <v>67.22</v>
      </c>
      <c r="O4762" s="23" t="s">
        <v>593</v>
      </c>
      <c r="P4762">
        <v>134.44</v>
      </c>
      <c r="Q4762" s="23" t="s">
        <v>179</v>
      </c>
    </row>
    <row r="4763" spans="1:17" x14ac:dyDescent="0.25">
      <c r="A4763" s="23" t="s">
        <v>1148</v>
      </c>
      <c r="B4763" s="23" t="s">
        <v>1054</v>
      </c>
      <c r="C4763" s="23" t="s">
        <v>176</v>
      </c>
      <c r="D4763" s="23" t="s">
        <v>1081</v>
      </c>
      <c r="E4763" s="23" t="s">
        <v>1082</v>
      </c>
      <c r="F4763">
        <v>2</v>
      </c>
      <c r="G4763" s="23" t="s">
        <v>177</v>
      </c>
      <c r="H4763">
        <v>0</v>
      </c>
      <c r="I4763">
        <v>17</v>
      </c>
      <c r="J4763" s="10">
        <v>16</v>
      </c>
      <c r="K4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763">
        <v>30</v>
      </c>
      <c r="M47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3">
        <v>67.22</v>
      </c>
      <c r="O4763" s="23" t="s">
        <v>593</v>
      </c>
      <c r="P4763">
        <v>134.44</v>
      </c>
      <c r="Q4763" s="23" t="s">
        <v>179</v>
      </c>
    </row>
    <row r="4764" spans="1:17" x14ac:dyDescent="0.25">
      <c r="A4764" s="23" t="s">
        <v>1147</v>
      </c>
      <c r="B4764" s="23" t="s">
        <v>1145</v>
      </c>
      <c r="C4764" s="23" t="s">
        <v>176</v>
      </c>
      <c r="D4764" s="23" t="s">
        <v>478</v>
      </c>
      <c r="E4764" s="23" t="s">
        <v>565</v>
      </c>
      <c r="F4764">
        <v>0.5</v>
      </c>
      <c r="G4764" s="23" t="s">
        <v>177</v>
      </c>
      <c r="H4764">
        <v>0</v>
      </c>
      <c r="I4764">
        <v>100</v>
      </c>
      <c r="J4764" s="10">
        <v>0</v>
      </c>
      <c r="K4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764">
        <v>0</v>
      </c>
      <c r="M47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4">
        <v>13.5</v>
      </c>
      <c r="O4764" s="23" t="s">
        <v>242</v>
      </c>
      <c r="P4764">
        <v>6.75</v>
      </c>
      <c r="Q4764" s="23" t="s">
        <v>181</v>
      </c>
    </row>
    <row r="4765" spans="1:17" x14ac:dyDescent="0.25">
      <c r="A4765" s="23" t="s">
        <v>1057</v>
      </c>
      <c r="B4765" s="23" t="s">
        <v>1056</v>
      </c>
      <c r="C4765" s="23" t="s">
        <v>176</v>
      </c>
      <c r="D4765" s="23" t="s">
        <v>837</v>
      </c>
      <c r="E4765" s="23" t="s">
        <v>838</v>
      </c>
      <c r="F4765">
        <v>20</v>
      </c>
      <c r="G4765" s="23" t="s">
        <v>180</v>
      </c>
      <c r="H4765">
        <v>0</v>
      </c>
      <c r="I4765">
        <v>0</v>
      </c>
      <c r="J4765" s="10">
        <v>0</v>
      </c>
      <c r="K4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765">
        <v>0</v>
      </c>
      <c r="M47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5">
        <v>0</v>
      </c>
      <c r="O4765" s="23"/>
      <c r="P4765">
        <v>0</v>
      </c>
      <c r="Q4765" s="23" t="s">
        <v>185</v>
      </c>
    </row>
    <row r="4766" spans="1:17" x14ac:dyDescent="0.25">
      <c r="A4766" s="23" t="s">
        <v>1057</v>
      </c>
      <c r="B4766" s="23" t="s">
        <v>1056</v>
      </c>
      <c r="C4766" s="23" t="s">
        <v>176</v>
      </c>
      <c r="D4766" s="23" t="s">
        <v>387</v>
      </c>
      <c r="E4766" s="23" t="s">
        <v>614</v>
      </c>
      <c r="F4766">
        <v>1</v>
      </c>
      <c r="G4766" s="23" t="s">
        <v>183</v>
      </c>
      <c r="H4766">
        <v>0</v>
      </c>
      <c r="I4766">
        <v>15.9</v>
      </c>
      <c r="J4766" s="10">
        <v>39.329999999999977</v>
      </c>
      <c r="K4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766">
        <v>11.895</v>
      </c>
      <c r="M47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6">
        <v>641.03</v>
      </c>
      <c r="O4766" s="23" t="s">
        <v>224</v>
      </c>
      <c r="P4766">
        <v>641.03</v>
      </c>
      <c r="Q4766" s="23" t="s">
        <v>182</v>
      </c>
    </row>
    <row r="4767" spans="1:17" x14ac:dyDescent="0.25">
      <c r="A4767" s="23" t="s">
        <v>1143</v>
      </c>
      <c r="B4767" s="23" t="s">
        <v>1054</v>
      </c>
      <c r="C4767" s="23" t="s">
        <v>176</v>
      </c>
      <c r="D4767" s="23" t="s">
        <v>387</v>
      </c>
      <c r="E4767" s="23" t="s">
        <v>614</v>
      </c>
      <c r="F4767">
        <v>1</v>
      </c>
      <c r="G4767" s="23" t="s">
        <v>183</v>
      </c>
      <c r="H4767">
        <v>0</v>
      </c>
      <c r="I4767">
        <v>15.9</v>
      </c>
      <c r="J4767" s="10">
        <v>39.329999999999977</v>
      </c>
      <c r="K4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767">
        <v>11.895</v>
      </c>
      <c r="M47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67">
        <v>641.03</v>
      </c>
      <c r="O4767" s="23" t="s">
        <v>224</v>
      </c>
      <c r="P4767">
        <v>641.03</v>
      </c>
      <c r="Q4767" s="23" t="s">
        <v>182</v>
      </c>
    </row>
    <row r="4768" spans="1:17" x14ac:dyDescent="0.25">
      <c r="A4768" s="23" t="s">
        <v>1098</v>
      </c>
      <c r="B4768" s="23" t="s">
        <v>1053</v>
      </c>
      <c r="C4768" s="23" t="s">
        <v>176</v>
      </c>
      <c r="D4768" s="23" t="s">
        <v>735</v>
      </c>
      <c r="E4768" s="23" t="s">
        <v>736</v>
      </c>
      <c r="F4768">
        <v>1</v>
      </c>
      <c r="G4768" s="23" t="s">
        <v>177</v>
      </c>
      <c r="H4768">
        <v>0</v>
      </c>
      <c r="I4768">
        <v>12</v>
      </c>
      <c r="J4768" s="10">
        <v>15</v>
      </c>
      <c r="K4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68">
        <v>0</v>
      </c>
      <c r="M47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768">
        <v>565.83000000000004</v>
      </c>
      <c r="O4768" s="23" t="s">
        <v>668</v>
      </c>
      <c r="P4768">
        <v>565.83000000000004</v>
      </c>
      <c r="Q4768" s="23" t="s">
        <v>678</v>
      </c>
    </row>
    <row r="4769" spans="1:17" x14ac:dyDescent="0.25">
      <c r="A4769" s="23" t="s">
        <v>1197</v>
      </c>
      <c r="B4769" s="23" t="s">
        <v>1198</v>
      </c>
      <c r="C4769" s="23" t="s">
        <v>176</v>
      </c>
      <c r="D4769" s="23" t="s">
        <v>735</v>
      </c>
      <c r="E4769" s="23" t="s">
        <v>736</v>
      </c>
      <c r="F4769">
        <v>1</v>
      </c>
      <c r="G4769" s="23" t="s">
        <v>177</v>
      </c>
      <c r="H4769">
        <v>0</v>
      </c>
      <c r="I4769">
        <v>12</v>
      </c>
      <c r="J4769" s="10">
        <v>15</v>
      </c>
      <c r="K4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69">
        <v>0</v>
      </c>
      <c r="M47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769">
        <v>565.83000000000004</v>
      </c>
      <c r="O4769" s="23" t="s">
        <v>668</v>
      </c>
      <c r="P4769">
        <v>565.83000000000004</v>
      </c>
      <c r="Q4769" s="23" t="s">
        <v>678</v>
      </c>
    </row>
    <row r="4770" spans="1:17" x14ac:dyDescent="0.25">
      <c r="A4770" s="23" t="s">
        <v>1197</v>
      </c>
      <c r="B4770" s="23" t="s">
        <v>1198</v>
      </c>
      <c r="C4770" s="23" t="s">
        <v>176</v>
      </c>
      <c r="D4770" s="23" t="s">
        <v>764</v>
      </c>
      <c r="E4770" s="23" t="s">
        <v>765</v>
      </c>
      <c r="F4770">
        <v>1</v>
      </c>
      <c r="G4770" s="23" t="s">
        <v>177</v>
      </c>
      <c r="H4770">
        <v>0</v>
      </c>
      <c r="I4770">
        <v>5</v>
      </c>
      <c r="J4770" s="10">
        <v>7</v>
      </c>
      <c r="K4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70">
        <v>8</v>
      </c>
      <c r="M47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0">
        <v>401.17</v>
      </c>
      <c r="O4770" s="23" t="s">
        <v>766</v>
      </c>
      <c r="P4770">
        <v>401.17</v>
      </c>
      <c r="Q4770" s="23" t="s">
        <v>222</v>
      </c>
    </row>
    <row r="4771" spans="1:17" x14ac:dyDescent="0.25">
      <c r="A4771" s="23" t="s">
        <v>1098</v>
      </c>
      <c r="B4771" s="23" t="s">
        <v>1053</v>
      </c>
      <c r="C4771" s="23" t="s">
        <v>176</v>
      </c>
      <c r="D4771" s="23" t="s">
        <v>1081</v>
      </c>
      <c r="E4771" s="23" t="s">
        <v>1082</v>
      </c>
      <c r="F4771">
        <v>3</v>
      </c>
      <c r="G4771" s="23" t="s">
        <v>177</v>
      </c>
      <c r="H4771">
        <v>0</v>
      </c>
      <c r="I4771">
        <v>17</v>
      </c>
      <c r="J4771" s="10">
        <v>16</v>
      </c>
      <c r="K4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771">
        <v>30</v>
      </c>
      <c r="M47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1">
        <v>67.22</v>
      </c>
      <c r="O4771" s="23" t="s">
        <v>593</v>
      </c>
      <c r="P4771">
        <v>201.66</v>
      </c>
      <c r="Q4771" s="23" t="s">
        <v>179</v>
      </c>
    </row>
    <row r="4772" spans="1:17" x14ac:dyDescent="0.25">
      <c r="A4772" s="23" t="s">
        <v>1142</v>
      </c>
      <c r="B4772" s="23" t="s">
        <v>1054</v>
      </c>
      <c r="C4772" s="23" t="s">
        <v>176</v>
      </c>
      <c r="D4772" s="23" t="s">
        <v>320</v>
      </c>
      <c r="E4772" s="23" t="s">
        <v>321</v>
      </c>
      <c r="F4772">
        <v>0.13</v>
      </c>
      <c r="G4772" s="23" t="s">
        <v>187</v>
      </c>
      <c r="H4772">
        <v>0</v>
      </c>
      <c r="I4772">
        <v>0</v>
      </c>
      <c r="J4772" s="10">
        <v>4.543000000000017</v>
      </c>
      <c r="K4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772">
        <v>0</v>
      </c>
      <c r="M47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772">
        <v>19500</v>
      </c>
      <c r="O4772" s="23" t="s">
        <v>763</v>
      </c>
      <c r="P4772">
        <v>2535</v>
      </c>
      <c r="Q4772" s="23" t="s">
        <v>182</v>
      </c>
    </row>
    <row r="4773" spans="1:17" x14ac:dyDescent="0.25">
      <c r="A4773" s="23" t="s">
        <v>1062</v>
      </c>
      <c r="B4773" s="23" t="s">
        <v>1053</v>
      </c>
      <c r="C4773" s="23" t="s">
        <v>176</v>
      </c>
      <c r="D4773" s="23" t="s">
        <v>735</v>
      </c>
      <c r="E4773" s="23" t="s">
        <v>736</v>
      </c>
      <c r="F4773">
        <v>1</v>
      </c>
      <c r="G4773" s="23" t="s">
        <v>177</v>
      </c>
      <c r="H4773">
        <v>1</v>
      </c>
      <c r="I4773">
        <v>12</v>
      </c>
      <c r="J4773" s="10">
        <v>15</v>
      </c>
      <c r="K4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773">
        <v>0</v>
      </c>
      <c r="M47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773">
        <v>565.83000000000004</v>
      </c>
      <c r="O4773" s="23" t="s">
        <v>668</v>
      </c>
      <c r="P4773">
        <v>565.83000000000004</v>
      </c>
      <c r="Q4773" s="23" t="s">
        <v>678</v>
      </c>
    </row>
    <row r="4774" spans="1:17" x14ac:dyDescent="0.25">
      <c r="A4774" s="23" t="s">
        <v>1098</v>
      </c>
      <c r="B4774" s="23" t="s">
        <v>1053</v>
      </c>
      <c r="C4774" s="23" t="s">
        <v>176</v>
      </c>
      <c r="D4774" s="23" t="s">
        <v>764</v>
      </c>
      <c r="E4774" s="23" t="s">
        <v>765</v>
      </c>
      <c r="F4774">
        <v>1</v>
      </c>
      <c r="G4774" s="23" t="s">
        <v>177</v>
      </c>
      <c r="H4774">
        <v>0</v>
      </c>
      <c r="I4774">
        <v>5</v>
      </c>
      <c r="J4774" s="10">
        <v>7</v>
      </c>
      <c r="K4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74">
        <v>8</v>
      </c>
      <c r="M47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4">
        <v>401.17</v>
      </c>
      <c r="O4774" s="23" t="s">
        <v>766</v>
      </c>
      <c r="P4774">
        <v>401.17</v>
      </c>
      <c r="Q4774" s="23" t="s">
        <v>222</v>
      </c>
    </row>
    <row r="4775" spans="1:17" x14ac:dyDescent="0.25">
      <c r="A4775" s="23" t="s">
        <v>1057</v>
      </c>
      <c r="B4775" s="23" t="s">
        <v>1056</v>
      </c>
      <c r="C4775" s="23" t="s">
        <v>176</v>
      </c>
      <c r="D4775" s="23" t="s">
        <v>320</v>
      </c>
      <c r="E4775" s="23" t="s">
        <v>321</v>
      </c>
      <c r="F4775">
        <v>0.105</v>
      </c>
      <c r="G4775" s="23" t="s">
        <v>187</v>
      </c>
      <c r="H4775">
        <v>0.105</v>
      </c>
      <c r="I4775">
        <v>0</v>
      </c>
      <c r="J4775" s="10">
        <v>4.543000000000017</v>
      </c>
      <c r="K4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775">
        <v>0</v>
      </c>
      <c r="M47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775">
        <v>19500</v>
      </c>
      <c r="O4775" s="23" t="s">
        <v>763</v>
      </c>
      <c r="P4775">
        <v>2047.5</v>
      </c>
      <c r="Q4775" s="23" t="s">
        <v>182</v>
      </c>
    </row>
    <row r="4776" spans="1:17" x14ac:dyDescent="0.25">
      <c r="A4776" s="23" t="s">
        <v>1143</v>
      </c>
      <c r="B4776" s="23" t="s">
        <v>1054</v>
      </c>
      <c r="C4776" s="23" t="s">
        <v>176</v>
      </c>
      <c r="D4776" s="23" t="s">
        <v>320</v>
      </c>
      <c r="E4776" s="23" t="s">
        <v>321</v>
      </c>
      <c r="F4776">
        <v>0.14400000000000002</v>
      </c>
      <c r="G4776" s="23" t="s">
        <v>187</v>
      </c>
      <c r="H4776">
        <v>0</v>
      </c>
      <c r="I4776">
        <v>0</v>
      </c>
      <c r="J4776" s="10">
        <v>4.543000000000017</v>
      </c>
      <c r="K4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776">
        <v>0</v>
      </c>
      <c r="M47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776">
        <v>19500</v>
      </c>
      <c r="O4776" s="23" t="s">
        <v>763</v>
      </c>
      <c r="P4776">
        <v>2808.0000000000005</v>
      </c>
      <c r="Q4776" s="23" t="s">
        <v>182</v>
      </c>
    </row>
    <row r="4777" spans="1:17" x14ac:dyDescent="0.25">
      <c r="A4777" s="23" t="s">
        <v>1058</v>
      </c>
      <c r="B4777" s="23" t="s">
        <v>1059</v>
      </c>
      <c r="C4777" s="23" t="s">
        <v>176</v>
      </c>
      <c r="D4777" s="23" t="s">
        <v>478</v>
      </c>
      <c r="E4777" s="23" t="s">
        <v>565</v>
      </c>
      <c r="F4777">
        <v>0.5</v>
      </c>
      <c r="G4777" s="23" t="s">
        <v>177</v>
      </c>
      <c r="H4777">
        <v>0</v>
      </c>
      <c r="I4777">
        <v>100</v>
      </c>
      <c r="J4777" s="10">
        <v>0</v>
      </c>
      <c r="K4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777">
        <v>0</v>
      </c>
      <c r="M47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7">
        <v>13.5</v>
      </c>
      <c r="O4777" s="23" t="s">
        <v>242</v>
      </c>
      <c r="P4777">
        <v>6.75</v>
      </c>
      <c r="Q4777" s="23" t="s">
        <v>181</v>
      </c>
    </row>
    <row r="4778" spans="1:17" x14ac:dyDescent="0.25">
      <c r="A4778" s="23" t="s">
        <v>1197</v>
      </c>
      <c r="B4778" s="23" t="s">
        <v>1198</v>
      </c>
      <c r="C4778" s="23" t="s">
        <v>176</v>
      </c>
      <c r="D4778" s="23" t="s">
        <v>1089</v>
      </c>
      <c r="E4778" s="23" t="s">
        <v>1090</v>
      </c>
      <c r="F4778">
        <v>1</v>
      </c>
      <c r="G4778" s="23" t="s">
        <v>177</v>
      </c>
      <c r="H4778">
        <v>0</v>
      </c>
      <c r="I4778">
        <v>2</v>
      </c>
      <c r="J4778" s="10">
        <v>4</v>
      </c>
      <c r="K4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778">
        <v>0</v>
      </c>
      <c r="M47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78">
        <v>3500</v>
      </c>
      <c r="O4778" s="23" t="s">
        <v>1091</v>
      </c>
      <c r="P4778">
        <v>3500</v>
      </c>
      <c r="Q4778" s="23" t="s">
        <v>222</v>
      </c>
    </row>
    <row r="4779" spans="1:17" x14ac:dyDescent="0.25">
      <c r="A4779" s="23" t="s">
        <v>1097</v>
      </c>
      <c r="B4779" s="23" t="s">
        <v>1095</v>
      </c>
      <c r="C4779" s="23" t="s">
        <v>176</v>
      </c>
      <c r="D4779" s="23" t="s">
        <v>661</v>
      </c>
      <c r="E4779" s="23" t="s">
        <v>662</v>
      </c>
      <c r="F4779">
        <v>1</v>
      </c>
      <c r="G4779" s="23" t="s">
        <v>186</v>
      </c>
      <c r="H4779">
        <v>0</v>
      </c>
      <c r="I4779">
        <v>0</v>
      </c>
      <c r="J4779" s="10">
        <v>0</v>
      </c>
      <c r="K4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779">
        <v>0</v>
      </c>
      <c r="M47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779">
        <v>80.98</v>
      </c>
      <c r="O4779" s="23" t="s">
        <v>224</v>
      </c>
      <c r="P4779">
        <v>80.98</v>
      </c>
      <c r="Q4779" s="23" t="s">
        <v>184</v>
      </c>
    </row>
    <row r="4780" spans="1:17" x14ac:dyDescent="0.25">
      <c r="A4780" s="23" t="s">
        <v>1197</v>
      </c>
      <c r="B4780" s="23" t="s">
        <v>1198</v>
      </c>
      <c r="C4780" s="23" t="s">
        <v>176</v>
      </c>
      <c r="D4780" s="23" t="s">
        <v>612</v>
      </c>
      <c r="E4780" s="23" t="s">
        <v>613</v>
      </c>
      <c r="F4780">
        <v>45</v>
      </c>
      <c r="G4780" s="23" t="s">
        <v>183</v>
      </c>
      <c r="H4780">
        <v>0</v>
      </c>
      <c r="I4780">
        <v>136.5</v>
      </c>
      <c r="J4780" s="10">
        <v>5.5</v>
      </c>
      <c r="K4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780">
        <v>110.5</v>
      </c>
      <c r="M47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780">
        <v>200.15</v>
      </c>
      <c r="O4780" s="23" t="s">
        <v>224</v>
      </c>
      <c r="P4780">
        <v>9006.75</v>
      </c>
      <c r="Q4780" s="23" t="s">
        <v>182</v>
      </c>
    </row>
    <row r="4781" spans="1:17" x14ac:dyDescent="0.25">
      <c r="A4781" s="23" t="s">
        <v>1098</v>
      </c>
      <c r="B4781" s="23" t="s">
        <v>1053</v>
      </c>
      <c r="C4781" s="23" t="s">
        <v>176</v>
      </c>
      <c r="D4781" s="23" t="s">
        <v>612</v>
      </c>
      <c r="E4781" s="23" t="s">
        <v>613</v>
      </c>
      <c r="F4781">
        <v>50</v>
      </c>
      <c r="G4781" s="23" t="s">
        <v>183</v>
      </c>
      <c r="H4781">
        <v>0</v>
      </c>
      <c r="I4781">
        <v>136.5</v>
      </c>
      <c r="J4781" s="10">
        <v>5.5</v>
      </c>
      <c r="K4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781">
        <v>110.5</v>
      </c>
      <c r="M47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781">
        <v>200.15</v>
      </c>
      <c r="O4781" s="23" t="s">
        <v>224</v>
      </c>
      <c r="P4781">
        <v>10007.5</v>
      </c>
      <c r="Q4781" s="23" t="s">
        <v>182</v>
      </c>
    </row>
    <row r="4782" spans="1:17" x14ac:dyDescent="0.25">
      <c r="A4782" s="23" t="s">
        <v>1098</v>
      </c>
      <c r="B4782" s="23" t="s">
        <v>1053</v>
      </c>
      <c r="C4782" s="23" t="s">
        <v>176</v>
      </c>
      <c r="D4782" s="23" t="s">
        <v>661</v>
      </c>
      <c r="E4782" s="23" t="s">
        <v>662</v>
      </c>
      <c r="F4782">
        <v>1</v>
      </c>
      <c r="G4782" s="23" t="s">
        <v>186</v>
      </c>
      <c r="H4782">
        <v>0</v>
      </c>
      <c r="I4782">
        <v>0</v>
      </c>
      <c r="J4782" s="10">
        <v>0</v>
      </c>
      <c r="K4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782">
        <v>0</v>
      </c>
      <c r="M47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782">
        <v>80.98</v>
      </c>
      <c r="O4782" s="23" t="s">
        <v>224</v>
      </c>
      <c r="P4782">
        <v>80.98</v>
      </c>
      <c r="Q4782" s="23" t="s">
        <v>184</v>
      </c>
    </row>
    <row r="4783" spans="1:17" x14ac:dyDescent="0.25">
      <c r="A4783" s="23" t="s">
        <v>1058</v>
      </c>
      <c r="B4783" s="23" t="s">
        <v>1059</v>
      </c>
      <c r="C4783" s="23" t="s">
        <v>176</v>
      </c>
      <c r="D4783" s="23" t="s">
        <v>661</v>
      </c>
      <c r="E4783" s="23" t="s">
        <v>662</v>
      </c>
      <c r="F4783">
        <v>1</v>
      </c>
      <c r="G4783" s="23" t="s">
        <v>186</v>
      </c>
      <c r="H4783">
        <v>0</v>
      </c>
      <c r="I4783">
        <v>0</v>
      </c>
      <c r="J4783" s="10">
        <v>0</v>
      </c>
      <c r="K4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783">
        <v>0</v>
      </c>
      <c r="M47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783">
        <v>80.98</v>
      </c>
      <c r="O4783" s="23" t="s">
        <v>224</v>
      </c>
      <c r="P4783">
        <v>80.98</v>
      </c>
      <c r="Q4783" s="23" t="s">
        <v>184</v>
      </c>
    </row>
    <row r="4784" spans="1:17" x14ac:dyDescent="0.25">
      <c r="A4784" s="23" t="s">
        <v>1055</v>
      </c>
      <c r="B4784" s="23" t="s">
        <v>1056</v>
      </c>
      <c r="C4784" s="23" t="s">
        <v>176</v>
      </c>
      <c r="D4784" s="23" t="s">
        <v>661</v>
      </c>
      <c r="E4784" s="23" t="s">
        <v>662</v>
      </c>
      <c r="F4784">
        <v>1</v>
      </c>
      <c r="G4784" s="23" t="s">
        <v>186</v>
      </c>
      <c r="H4784">
        <v>0</v>
      </c>
      <c r="I4784">
        <v>0</v>
      </c>
      <c r="J4784" s="10">
        <v>0</v>
      </c>
      <c r="K4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784">
        <v>0</v>
      </c>
      <c r="M47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784">
        <v>80.98</v>
      </c>
      <c r="O4784" s="23" t="s">
        <v>224</v>
      </c>
      <c r="P4784">
        <v>80.98</v>
      </c>
      <c r="Q4784" s="23" t="s">
        <v>184</v>
      </c>
    </row>
    <row r="4785" spans="1:17" x14ac:dyDescent="0.25">
      <c r="A4785" s="23" t="s">
        <v>1099</v>
      </c>
      <c r="B4785" s="23" t="s">
        <v>1056</v>
      </c>
      <c r="C4785" s="23" t="s">
        <v>176</v>
      </c>
      <c r="D4785" s="23" t="s">
        <v>650</v>
      </c>
      <c r="E4785" s="23" t="s">
        <v>651</v>
      </c>
      <c r="F4785">
        <v>5</v>
      </c>
      <c r="G4785" s="23" t="s">
        <v>186</v>
      </c>
      <c r="H4785">
        <v>0</v>
      </c>
      <c r="I4785">
        <v>65</v>
      </c>
      <c r="J4785" s="10">
        <v>0</v>
      </c>
      <c r="K4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785">
        <v>0</v>
      </c>
      <c r="M47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785">
        <v>1119.95</v>
      </c>
      <c r="O4785" s="23" t="s">
        <v>649</v>
      </c>
      <c r="P4785">
        <v>5599.75</v>
      </c>
      <c r="Q4785" s="23" t="s">
        <v>184</v>
      </c>
    </row>
    <row r="4786" spans="1:17" x14ac:dyDescent="0.25">
      <c r="A4786" s="23" t="s">
        <v>1147</v>
      </c>
      <c r="B4786" s="23" t="s">
        <v>1145</v>
      </c>
      <c r="C4786" s="23" t="s">
        <v>176</v>
      </c>
      <c r="D4786" s="23" t="s">
        <v>650</v>
      </c>
      <c r="E4786" s="23" t="s">
        <v>651</v>
      </c>
      <c r="F4786">
        <v>6</v>
      </c>
      <c r="G4786" s="23" t="s">
        <v>186</v>
      </c>
      <c r="H4786">
        <v>0</v>
      </c>
      <c r="I4786">
        <v>65</v>
      </c>
      <c r="J4786" s="10">
        <v>0</v>
      </c>
      <c r="K4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786">
        <v>0</v>
      </c>
      <c r="M47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786">
        <v>1119.95</v>
      </c>
      <c r="O4786" s="23" t="s">
        <v>649</v>
      </c>
      <c r="P4786">
        <v>6719.7000000000007</v>
      </c>
      <c r="Q4786" s="23" t="s">
        <v>184</v>
      </c>
    </row>
    <row r="4787" spans="1:17" x14ac:dyDescent="0.25">
      <c r="A4787" s="23" t="s">
        <v>1150</v>
      </c>
      <c r="B4787" s="23" t="s">
        <v>1145</v>
      </c>
      <c r="C4787" s="23" t="s">
        <v>176</v>
      </c>
      <c r="D4787" s="23" t="s">
        <v>650</v>
      </c>
      <c r="E4787" s="23" t="s">
        <v>651</v>
      </c>
      <c r="F4787">
        <v>6</v>
      </c>
      <c r="G4787" s="23" t="s">
        <v>186</v>
      </c>
      <c r="H4787">
        <v>0</v>
      </c>
      <c r="I4787">
        <v>65</v>
      </c>
      <c r="J4787" s="10">
        <v>0</v>
      </c>
      <c r="K4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787">
        <v>0</v>
      </c>
      <c r="M47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787">
        <v>1119.95</v>
      </c>
      <c r="O4787" s="23" t="s">
        <v>649</v>
      </c>
      <c r="P4787">
        <v>6719.7000000000007</v>
      </c>
      <c r="Q4787" s="23" t="s">
        <v>184</v>
      </c>
    </row>
    <row r="4788" spans="1:17" x14ac:dyDescent="0.25">
      <c r="A4788" s="23" t="s">
        <v>1150</v>
      </c>
      <c r="B4788" s="23" t="s">
        <v>1145</v>
      </c>
      <c r="C4788" s="23" t="s">
        <v>176</v>
      </c>
      <c r="D4788" s="23" t="s">
        <v>646</v>
      </c>
      <c r="E4788" s="23" t="s">
        <v>647</v>
      </c>
      <c r="F4788">
        <v>1</v>
      </c>
      <c r="G4788" s="23" t="s">
        <v>177</v>
      </c>
      <c r="H4788">
        <v>0</v>
      </c>
      <c r="I4788">
        <v>3</v>
      </c>
      <c r="J4788" s="10">
        <v>8</v>
      </c>
      <c r="K4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88">
        <v>0</v>
      </c>
      <c r="M47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788">
        <v>1820</v>
      </c>
      <c r="O4788" s="23" t="s">
        <v>264</v>
      </c>
      <c r="P4788">
        <v>1820</v>
      </c>
      <c r="Q4788" s="23" t="s">
        <v>642</v>
      </c>
    </row>
    <row r="4789" spans="1:17" x14ac:dyDescent="0.25">
      <c r="A4789" s="23" t="s">
        <v>1148</v>
      </c>
      <c r="B4789" s="23" t="s">
        <v>1054</v>
      </c>
      <c r="C4789" s="23" t="s">
        <v>176</v>
      </c>
      <c r="D4789" s="23" t="s">
        <v>646</v>
      </c>
      <c r="E4789" s="23" t="s">
        <v>647</v>
      </c>
      <c r="F4789">
        <v>1</v>
      </c>
      <c r="G4789" s="23" t="s">
        <v>177</v>
      </c>
      <c r="H4789">
        <v>0</v>
      </c>
      <c r="I4789">
        <v>3</v>
      </c>
      <c r="J4789" s="10">
        <v>8</v>
      </c>
      <c r="K4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89">
        <v>0</v>
      </c>
      <c r="M47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789">
        <v>1820</v>
      </c>
      <c r="O4789" s="23" t="s">
        <v>264</v>
      </c>
      <c r="P4789">
        <v>1820</v>
      </c>
      <c r="Q4789" s="23" t="s">
        <v>642</v>
      </c>
    </row>
    <row r="4790" spans="1:17" x14ac:dyDescent="0.25">
      <c r="A4790" s="23" t="s">
        <v>1197</v>
      </c>
      <c r="B4790" s="23" t="s">
        <v>1198</v>
      </c>
      <c r="C4790" s="23" t="s">
        <v>176</v>
      </c>
      <c r="D4790" s="23" t="s">
        <v>1164</v>
      </c>
      <c r="E4790" s="23" t="s">
        <v>1165</v>
      </c>
      <c r="F4790">
        <v>2</v>
      </c>
      <c r="G4790" s="23" t="s">
        <v>177</v>
      </c>
      <c r="H4790">
        <v>0</v>
      </c>
      <c r="I4790">
        <v>500</v>
      </c>
      <c r="J4790" s="10">
        <v>500</v>
      </c>
      <c r="K4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790">
        <v>0</v>
      </c>
      <c r="M47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0">
        <v>0.55000000000000004</v>
      </c>
      <c r="O4790" s="23" t="s">
        <v>827</v>
      </c>
      <c r="P4790">
        <v>1.1000000000000001</v>
      </c>
      <c r="Q4790" s="23" t="s">
        <v>222</v>
      </c>
    </row>
    <row r="4791" spans="1:17" x14ac:dyDescent="0.25">
      <c r="A4791" s="23" t="s">
        <v>1197</v>
      </c>
      <c r="B4791" s="23" t="s">
        <v>1198</v>
      </c>
      <c r="C4791" s="23" t="s">
        <v>176</v>
      </c>
      <c r="D4791" s="23" t="s">
        <v>557</v>
      </c>
      <c r="E4791" s="23" t="s">
        <v>558</v>
      </c>
      <c r="F4791">
        <v>0.1</v>
      </c>
      <c r="G4791" s="23" t="s">
        <v>177</v>
      </c>
      <c r="H4791">
        <v>0</v>
      </c>
      <c r="I4791">
        <v>33</v>
      </c>
      <c r="J4791" s="10">
        <v>6.1</v>
      </c>
      <c r="K4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791">
        <v>0</v>
      </c>
      <c r="M47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1">
        <v>25</v>
      </c>
      <c r="O4791" s="23" t="s">
        <v>242</v>
      </c>
      <c r="P4791">
        <v>2.5</v>
      </c>
      <c r="Q4791" s="23" t="s">
        <v>181</v>
      </c>
    </row>
    <row r="4792" spans="1:17" x14ac:dyDescent="0.25">
      <c r="A4792" s="23" t="s">
        <v>1098</v>
      </c>
      <c r="B4792" s="23" t="s">
        <v>1053</v>
      </c>
      <c r="C4792" s="23" t="s">
        <v>176</v>
      </c>
      <c r="D4792" s="23" t="s">
        <v>576</v>
      </c>
      <c r="E4792" s="23" t="s">
        <v>577</v>
      </c>
      <c r="F4792">
        <v>5.3999999999999995</v>
      </c>
      <c r="G4792" s="23" t="s">
        <v>177</v>
      </c>
      <c r="H4792">
        <v>0</v>
      </c>
      <c r="I4792">
        <v>85</v>
      </c>
      <c r="J4792" s="10">
        <v>3.6499999999999986</v>
      </c>
      <c r="K4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792">
        <v>0</v>
      </c>
      <c r="M47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792">
        <v>348.11</v>
      </c>
      <c r="O4792" s="23" t="s">
        <v>252</v>
      </c>
      <c r="P4792">
        <v>1879.7939999999999</v>
      </c>
      <c r="Q4792" s="23" t="s">
        <v>184</v>
      </c>
    </row>
    <row r="4793" spans="1:17" x14ac:dyDescent="0.25">
      <c r="A4793" s="23" t="s">
        <v>1197</v>
      </c>
      <c r="B4793" s="23" t="s">
        <v>1198</v>
      </c>
      <c r="C4793" s="23" t="s">
        <v>176</v>
      </c>
      <c r="D4793" s="23" t="s">
        <v>576</v>
      </c>
      <c r="E4793" s="23" t="s">
        <v>577</v>
      </c>
      <c r="F4793">
        <v>4.5</v>
      </c>
      <c r="G4793" s="23" t="s">
        <v>177</v>
      </c>
      <c r="H4793">
        <v>0</v>
      </c>
      <c r="I4793">
        <v>85</v>
      </c>
      <c r="J4793" s="10">
        <v>3.6499999999999986</v>
      </c>
      <c r="K4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793">
        <v>0</v>
      </c>
      <c r="M47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793">
        <v>348.11</v>
      </c>
      <c r="O4793" s="23" t="s">
        <v>252</v>
      </c>
      <c r="P4793">
        <v>1566.4950000000001</v>
      </c>
      <c r="Q4793" s="23" t="s">
        <v>184</v>
      </c>
    </row>
    <row r="4794" spans="1:17" x14ac:dyDescent="0.25">
      <c r="A4794" s="23" t="s">
        <v>1197</v>
      </c>
      <c r="B4794" s="23" t="s">
        <v>1198</v>
      </c>
      <c r="C4794" s="23" t="s">
        <v>176</v>
      </c>
      <c r="D4794" s="23" t="s">
        <v>650</v>
      </c>
      <c r="E4794" s="23" t="s">
        <v>651</v>
      </c>
      <c r="F4794">
        <v>6</v>
      </c>
      <c r="G4794" s="23" t="s">
        <v>186</v>
      </c>
      <c r="H4794">
        <v>0</v>
      </c>
      <c r="I4794">
        <v>65</v>
      </c>
      <c r="J4794" s="10">
        <v>0</v>
      </c>
      <c r="K4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794">
        <v>0</v>
      </c>
      <c r="M47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794">
        <v>1119.95</v>
      </c>
      <c r="O4794" s="23" t="s">
        <v>649</v>
      </c>
      <c r="P4794">
        <v>6719.7000000000007</v>
      </c>
      <c r="Q4794" s="23" t="s">
        <v>184</v>
      </c>
    </row>
    <row r="4795" spans="1:17" x14ac:dyDescent="0.25">
      <c r="A4795" s="23" t="s">
        <v>1057</v>
      </c>
      <c r="B4795" s="23" t="s">
        <v>1056</v>
      </c>
      <c r="C4795" s="23" t="s">
        <v>176</v>
      </c>
      <c r="D4795" s="23" t="s">
        <v>859</v>
      </c>
      <c r="E4795" s="23" t="s">
        <v>860</v>
      </c>
      <c r="F4795">
        <v>12</v>
      </c>
      <c r="G4795" s="23" t="s">
        <v>177</v>
      </c>
      <c r="H4795">
        <v>0</v>
      </c>
      <c r="I4795">
        <v>100</v>
      </c>
      <c r="J4795" s="10">
        <v>0</v>
      </c>
      <c r="K4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-64</v>
      </c>
      <c r="L4795">
        <v>0</v>
      </c>
      <c r="M47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795">
        <v>21.45</v>
      </c>
      <c r="O4795" s="23" t="s">
        <v>861</v>
      </c>
      <c r="P4795">
        <v>257.39999999999998</v>
      </c>
      <c r="Q4795" s="23" t="s">
        <v>181</v>
      </c>
    </row>
    <row r="4796" spans="1:17" x14ac:dyDescent="0.25">
      <c r="A4796" s="23" t="s">
        <v>1094</v>
      </c>
      <c r="B4796" s="23" t="s">
        <v>1095</v>
      </c>
      <c r="C4796" s="23" t="s">
        <v>176</v>
      </c>
      <c r="D4796" s="23" t="s">
        <v>650</v>
      </c>
      <c r="E4796" s="23" t="s">
        <v>651</v>
      </c>
      <c r="F4796">
        <v>6</v>
      </c>
      <c r="G4796" s="23" t="s">
        <v>186</v>
      </c>
      <c r="H4796">
        <v>0</v>
      </c>
      <c r="I4796">
        <v>65</v>
      </c>
      <c r="J4796" s="10">
        <v>0</v>
      </c>
      <c r="K4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796">
        <v>0</v>
      </c>
      <c r="M47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796">
        <v>1119.95</v>
      </c>
      <c r="O4796" s="23" t="s">
        <v>649</v>
      </c>
      <c r="P4796">
        <v>6719.7000000000007</v>
      </c>
      <c r="Q4796" s="23" t="s">
        <v>184</v>
      </c>
    </row>
    <row r="4797" spans="1:17" x14ac:dyDescent="0.25">
      <c r="A4797" s="23" t="s">
        <v>1094</v>
      </c>
      <c r="B4797" s="23" t="s">
        <v>1095</v>
      </c>
      <c r="C4797" s="23" t="s">
        <v>176</v>
      </c>
      <c r="D4797" s="23" t="s">
        <v>646</v>
      </c>
      <c r="E4797" s="23" t="s">
        <v>647</v>
      </c>
      <c r="F4797">
        <v>1</v>
      </c>
      <c r="G4797" s="23" t="s">
        <v>177</v>
      </c>
      <c r="H4797">
        <v>0</v>
      </c>
      <c r="I4797">
        <v>3</v>
      </c>
      <c r="J4797" s="10">
        <v>8</v>
      </c>
      <c r="K4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97">
        <v>0</v>
      </c>
      <c r="M47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797">
        <v>1820</v>
      </c>
      <c r="O4797" s="23" t="s">
        <v>264</v>
      </c>
      <c r="P4797">
        <v>1820</v>
      </c>
      <c r="Q4797" s="23" t="s">
        <v>642</v>
      </c>
    </row>
    <row r="4798" spans="1:17" x14ac:dyDescent="0.25">
      <c r="A4798" s="23" t="s">
        <v>1057</v>
      </c>
      <c r="B4798" s="23" t="s">
        <v>1056</v>
      </c>
      <c r="C4798" s="23" t="s">
        <v>176</v>
      </c>
      <c r="D4798" s="23" t="s">
        <v>646</v>
      </c>
      <c r="E4798" s="23" t="s">
        <v>647</v>
      </c>
      <c r="F4798">
        <v>1</v>
      </c>
      <c r="G4798" s="23" t="s">
        <v>177</v>
      </c>
      <c r="H4798">
        <v>1</v>
      </c>
      <c r="I4798">
        <v>3</v>
      </c>
      <c r="J4798" s="10">
        <v>8</v>
      </c>
      <c r="K4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98">
        <v>0</v>
      </c>
      <c r="M47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798">
        <v>1820</v>
      </c>
      <c r="O4798" s="23" t="s">
        <v>264</v>
      </c>
      <c r="P4798">
        <v>1820</v>
      </c>
      <c r="Q4798" s="23" t="s">
        <v>642</v>
      </c>
    </row>
    <row r="4799" spans="1:17" x14ac:dyDescent="0.25">
      <c r="A4799" s="23" t="s">
        <v>1143</v>
      </c>
      <c r="B4799" s="23" t="s">
        <v>1054</v>
      </c>
      <c r="C4799" s="23" t="s">
        <v>176</v>
      </c>
      <c r="D4799" s="23" t="s">
        <v>646</v>
      </c>
      <c r="E4799" s="23" t="s">
        <v>647</v>
      </c>
      <c r="F4799">
        <v>1</v>
      </c>
      <c r="G4799" s="23" t="s">
        <v>177</v>
      </c>
      <c r="H4799">
        <v>0</v>
      </c>
      <c r="I4799">
        <v>3</v>
      </c>
      <c r="J4799" s="10">
        <v>8</v>
      </c>
      <c r="K4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799">
        <v>0</v>
      </c>
      <c r="M47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4799">
        <v>1820</v>
      </c>
      <c r="O4799" s="23" t="s">
        <v>264</v>
      </c>
      <c r="P4799">
        <v>1820</v>
      </c>
      <c r="Q4799" s="23" t="s">
        <v>642</v>
      </c>
    </row>
    <row r="4800" spans="1:17" x14ac:dyDescent="0.25">
      <c r="A4800" s="23" t="s">
        <v>1055</v>
      </c>
      <c r="B4800" s="23" t="s">
        <v>1056</v>
      </c>
      <c r="C4800" s="23" t="s">
        <v>176</v>
      </c>
      <c r="D4800" s="23" t="s">
        <v>322</v>
      </c>
      <c r="E4800" s="23" t="s">
        <v>323</v>
      </c>
      <c r="F4800">
        <v>4</v>
      </c>
      <c r="G4800" s="23" t="s">
        <v>177</v>
      </c>
      <c r="H4800">
        <v>4</v>
      </c>
      <c r="I4800">
        <v>84</v>
      </c>
      <c r="J4800" s="10">
        <v>195.90000000000006</v>
      </c>
      <c r="K4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4800">
        <v>0</v>
      </c>
      <c r="M48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0">
        <v>29</v>
      </c>
      <c r="O4800" s="23" t="s">
        <v>242</v>
      </c>
      <c r="P4800">
        <v>116</v>
      </c>
      <c r="Q4800" s="23" t="s">
        <v>181</v>
      </c>
    </row>
    <row r="4801" spans="1:17" x14ac:dyDescent="0.25">
      <c r="A4801" s="23" t="s">
        <v>1057</v>
      </c>
      <c r="B4801" s="23" t="s">
        <v>1056</v>
      </c>
      <c r="C4801" s="23" t="s">
        <v>176</v>
      </c>
      <c r="D4801" s="23" t="s">
        <v>322</v>
      </c>
      <c r="E4801" s="23" t="s">
        <v>323</v>
      </c>
      <c r="F4801">
        <v>4</v>
      </c>
      <c r="G4801" s="23" t="s">
        <v>177</v>
      </c>
      <c r="H4801">
        <v>4</v>
      </c>
      <c r="I4801">
        <v>84</v>
      </c>
      <c r="J4801" s="10">
        <v>195.90000000000006</v>
      </c>
      <c r="K4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4801">
        <v>0</v>
      </c>
      <c r="M48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1">
        <v>29</v>
      </c>
      <c r="O4801" s="23" t="s">
        <v>242</v>
      </c>
      <c r="P4801">
        <v>116</v>
      </c>
      <c r="Q4801" s="23" t="s">
        <v>181</v>
      </c>
    </row>
    <row r="4802" spans="1:17" x14ac:dyDescent="0.25">
      <c r="A4802" s="23" t="s">
        <v>1099</v>
      </c>
      <c r="B4802" s="23" t="s">
        <v>1056</v>
      </c>
      <c r="C4802" s="23" t="s">
        <v>176</v>
      </c>
      <c r="D4802" s="23" t="s">
        <v>245</v>
      </c>
      <c r="E4802" s="23" t="s">
        <v>246</v>
      </c>
      <c r="F4802">
        <v>1</v>
      </c>
      <c r="G4802" s="23" t="s">
        <v>177</v>
      </c>
      <c r="H4802">
        <v>1</v>
      </c>
      <c r="I4802">
        <v>20</v>
      </c>
      <c r="J4802" s="10">
        <v>7</v>
      </c>
      <c r="K4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4802">
        <v>0</v>
      </c>
      <c r="M48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2">
        <v>60</v>
      </c>
      <c r="O4802" s="23" t="s">
        <v>629</v>
      </c>
      <c r="P4802">
        <v>60</v>
      </c>
      <c r="Q4802" s="23" t="s">
        <v>181</v>
      </c>
    </row>
    <row r="4803" spans="1:17" x14ac:dyDescent="0.25">
      <c r="A4803" s="23" t="s">
        <v>1099</v>
      </c>
      <c r="B4803" s="23" t="s">
        <v>1056</v>
      </c>
      <c r="C4803" s="23" t="s">
        <v>176</v>
      </c>
      <c r="D4803" s="23" t="s">
        <v>48</v>
      </c>
      <c r="E4803" s="23" t="s">
        <v>49</v>
      </c>
      <c r="F4803">
        <v>4</v>
      </c>
      <c r="G4803" s="23" t="s">
        <v>177</v>
      </c>
      <c r="H4803">
        <v>4</v>
      </c>
      <c r="I4803">
        <v>24</v>
      </c>
      <c r="J4803" s="10">
        <v>27</v>
      </c>
      <c r="K4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803">
        <v>0</v>
      </c>
      <c r="M48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4803">
        <v>42</v>
      </c>
      <c r="O4803" s="23" t="s">
        <v>247</v>
      </c>
      <c r="P4803">
        <v>168</v>
      </c>
      <c r="Q4803" s="23" t="s">
        <v>181</v>
      </c>
    </row>
    <row r="4804" spans="1:17" x14ac:dyDescent="0.25">
      <c r="A4804" s="23" t="s">
        <v>1099</v>
      </c>
      <c r="B4804" s="23" t="s">
        <v>1056</v>
      </c>
      <c r="C4804" s="23" t="s">
        <v>176</v>
      </c>
      <c r="D4804" s="23" t="s">
        <v>91</v>
      </c>
      <c r="E4804" s="23" t="s">
        <v>92</v>
      </c>
      <c r="F4804">
        <v>1</v>
      </c>
      <c r="G4804" s="23" t="s">
        <v>177</v>
      </c>
      <c r="H4804">
        <v>1</v>
      </c>
      <c r="I4804">
        <v>6</v>
      </c>
      <c r="J4804" s="10">
        <v>10</v>
      </c>
      <c r="K4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804">
        <v>0</v>
      </c>
      <c r="M48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4804">
        <v>1776.43</v>
      </c>
      <c r="O4804" s="23" t="s">
        <v>635</v>
      </c>
      <c r="P4804">
        <v>1776.43</v>
      </c>
      <c r="Q4804" s="23" t="s">
        <v>179</v>
      </c>
    </row>
    <row r="4805" spans="1:17" x14ac:dyDescent="0.25">
      <c r="A4805" s="23" t="s">
        <v>1058</v>
      </c>
      <c r="B4805" s="23" t="s">
        <v>1059</v>
      </c>
      <c r="C4805" s="23" t="s">
        <v>176</v>
      </c>
      <c r="D4805" s="23" t="s">
        <v>91</v>
      </c>
      <c r="E4805" s="23" t="s">
        <v>92</v>
      </c>
      <c r="F4805">
        <v>1</v>
      </c>
      <c r="G4805" s="23" t="s">
        <v>177</v>
      </c>
      <c r="H4805">
        <v>1</v>
      </c>
      <c r="I4805">
        <v>6</v>
      </c>
      <c r="J4805" s="10">
        <v>10</v>
      </c>
      <c r="K4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805">
        <v>0</v>
      </c>
      <c r="M48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4805">
        <v>1776.43</v>
      </c>
      <c r="O4805" s="23" t="s">
        <v>635</v>
      </c>
      <c r="P4805">
        <v>1776.43</v>
      </c>
      <c r="Q4805" s="23" t="s">
        <v>179</v>
      </c>
    </row>
    <row r="4806" spans="1:17" x14ac:dyDescent="0.25">
      <c r="A4806" s="23" t="s">
        <v>1062</v>
      </c>
      <c r="B4806" s="23" t="s">
        <v>1053</v>
      </c>
      <c r="C4806" s="23" t="s">
        <v>176</v>
      </c>
      <c r="D4806" s="23" t="s">
        <v>650</v>
      </c>
      <c r="E4806" s="23" t="s">
        <v>651</v>
      </c>
      <c r="F4806">
        <v>8</v>
      </c>
      <c r="G4806" s="23" t="s">
        <v>186</v>
      </c>
      <c r="H4806">
        <v>0</v>
      </c>
      <c r="I4806">
        <v>65</v>
      </c>
      <c r="J4806" s="10">
        <v>0</v>
      </c>
      <c r="K4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806">
        <v>0</v>
      </c>
      <c r="M48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806">
        <v>1119.95</v>
      </c>
      <c r="O4806" s="23" t="s">
        <v>649</v>
      </c>
      <c r="P4806">
        <v>8959.6</v>
      </c>
      <c r="Q4806" s="23" t="s">
        <v>184</v>
      </c>
    </row>
    <row r="4807" spans="1:17" x14ac:dyDescent="0.25">
      <c r="A4807" s="23" t="s">
        <v>1197</v>
      </c>
      <c r="B4807" s="23" t="s">
        <v>1198</v>
      </c>
      <c r="C4807" s="23" t="s">
        <v>176</v>
      </c>
      <c r="D4807" s="23" t="s">
        <v>951</v>
      </c>
      <c r="E4807" s="23" t="s">
        <v>952</v>
      </c>
      <c r="F4807">
        <v>4</v>
      </c>
      <c r="G4807" s="23" t="s">
        <v>177</v>
      </c>
      <c r="H4807">
        <v>0</v>
      </c>
      <c r="I4807">
        <v>996</v>
      </c>
      <c r="J4807" s="10">
        <v>0</v>
      </c>
      <c r="K4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-980</v>
      </c>
      <c r="L4807">
        <v>0</v>
      </c>
      <c r="M48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7">
        <v>1.8</v>
      </c>
      <c r="O4807" s="23" t="s">
        <v>242</v>
      </c>
      <c r="P4807">
        <v>7.2</v>
      </c>
      <c r="Q4807" s="23" t="s">
        <v>181</v>
      </c>
    </row>
    <row r="4808" spans="1:17" x14ac:dyDescent="0.25">
      <c r="A4808" s="23" t="s">
        <v>1142</v>
      </c>
      <c r="B4808" s="23" t="s">
        <v>1054</v>
      </c>
      <c r="C4808" s="23" t="s">
        <v>176</v>
      </c>
      <c r="D4808" s="23" t="s">
        <v>1164</v>
      </c>
      <c r="E4808" s="23" t="s">
        <v>1165</v>
      </c>
      <c r="F4808">
        <v>2</v>
      </c>
      <c r="G4808" s="23" t="s">
        <v>177</v>
      </c>
      <c r="H4808">
        <v>0</v>
      </c>
      <c r="I4808">
        <v>500</v>
      </c>
      <c r="J4808" s="10">
        <v>500</v>
      </c>
      <c r="K4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08">
        <v>0</v>
      </c>
      <c r="M48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8">
        <v>0.55000000000000004</v>
      </c>
      <c r="O4808" s="23" t="s">
        <v>827</v>
      </c>
      <c r="P4808">
        <v>1.1000000000000001</v>
      </c>
      <c r="Q4808" s="23" t="s">
        <v>222</v>
      </c>
    </row>
    <row r="4809" spans="1:17" x14ac:dyDescent="0.25">
      <c r="A4809" s="23" t="s">
        <v>1142</v>
      </c>
      <c r="B4809" s="23" t="s">
        <v>1054</v>
      </c>
      <c r="C4809" s="23" t="s">
        <v>176</v>
      </c>
      <c r="D4809" s="23" t="s">
        <v>600</v>
      </c>
      <c r="E4809" s="23" t="s">
        <v>601</v>
      </c>
      <c r="F4809">
        <v>4</v>
      </c>
      <c r="G4809" s="23" t="s">
        <v>177</v>
      </c>
      <c r="H4809">
        <v>0</v>
      </c>
      <c r="I4809">
        <v>45</v>
      </c>
      <c r="J4809" s="10">
        <v>6</v>
      </c>
      <c r="K4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4809">
        <v>0</v>
      </c>
      <c r="M48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09">
        <v>313.76</v>
      </c>
      <c r="O4809" s="23" t="s">
        <v>637</v>
      </c>
      <c r="P4809">
        <v>1255.04</v>
      </c>
      <c r="Q4809" s="23" t="s">
        <v>178</v>
      </c>
    </row>
    <row r="4810" spans="1:17" x14ac:dyDescent="0.25">
      <c r="A4810" s="23" t="s">
        <v>1142</v>
      </c>
      <c r="B4810" s="23" t="s">
        <v>1054</v>
      </c>
      <c r="C4810" s="23" t="s">
        <v>176</v>
      </c>
      <c r="D4810" s="23" t="s">
        <v>557</v>
      </c>
      <c r="E4810" s="23" t="s">
        <v>558</v>
      </c>
      <c r="F4810">
        <v>0.1</v>
      </c>
      <c r="G4810" s="23" t="s">
        <v>177</v>
      </c>
      <c r="H4810">
        <v>0</v>
      </c>
      <c r="I4810">
        <v>33</v>
      </c>
      <c r="J4810" s="10">
        <v>6.1</v>
      </c>
      <c r="K4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4810">
        <v>0</v>
      </c>
      <c r="M48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0">
        <v>25</v>
      </c>
      <c r="O4810" s="23" t="s">
        <v>242</v>
      </c>
      <c r="P4810">
        <v>2.5</v>
      </c>
      <c r="Q4810" s="23" t="s">
        <v>181</v>
      </c>
    </row>
    <row r="4811" spans="1:17" x14ac:dyDescent="0.25">
      <c r="A4811" s="23" t="s">
        <v>1096</v>
      </c>
      <c r="B4811" s="23" t="s">
        <v>1053</v>
      </c>
      <c r="C4811" s="23" t="s">
        <v>176</v>
      </c>
      <c r="D4811" s="23" t="s">
        <v>576</v>
      </c>
      <c r="E4811" s="23" t="s">
        <v>577</v>
      </c>
      <c r="F4811">
        <v>5.299999999999998</v>
      </c>
      <c r="G4811" s="23" t="s">
        <v>177</v>
      </c>
      <c r="H4811">
        <v>0</v>
      </c>
      <c r="I4811">
        <v>85</v>
      </c>
      <c r="J4811" s="10">
        <v>3.6499999999999986</v>
      </c>
      <c r="K4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4811">
        <v>0</v>
      </c>
      <c r="M48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4811">
        <v>348.11</v>
      </c>
      <c r="O4811" s="23" t="s">
        <v>252</v>
      </c>
      <c r="P4811">
        <v>1844.9829999999995</v>
      </c>
      <c r="Q4811" s="23" t="s">
        <v>184</v>
      </c>
    </row>
    <row r="4812" spans="1:17" x14ac:dyDescent="0.25">
      <c r="A4812" s="23" t="s">
        <v>1142</v>
      </c>
      <c r="B4812" s="23" t="s">
        <v>1054</v>
      </c>
      <c r="C4812" s="23" t="s">
        <v>176</v>
      </c>
      <c r="D4812" s="23" t="s">
        <v>650</v>
      </c>
      <c r="E4812" s="23" t="s">
        <v>651</v>
      </c>
      <c r="F4812">
        <v>6</v>
      </c>
      <c r="G4812" s="23" t="s">
        <v>186</v>
      </c>
      <c r="H4812">
        <v>0</v>
      </c>
      <c r="I4812">
        <v>65</v>
      </c>
      <c r="J4812" s="10">
        <v>0</v>
      </c>
      <c r="K4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4812">
        <v>0</v>
      </c>
      <c r="M48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4812">
        <v>1119.95</v>
      </c>
      <c r="O4812" s="23" t="s">
        <v>649</v>
      </c>
      <c r="P4812">
        <v>6719.7000000000007</v>
      </c>
      <c r="Q4812" s="23" t="s">
        <v>184</v>
      </c>
    </row>
    <row r="4813" spans="1:17" x14ac:dyDescent="0.25">
      <c r="A4813" s="23" t="s">
        <v>1094</v>
      </c>
      <c r="B4813" s="23" t="s">
        <v>1095</v>
      </c>
      <c r="C4813" s="23" t="s">
        <v>176</v>
      </c>
      <c r="D4813" s="23" t="s">
        <v>970</v>
      </c>
      <c r="E4813" s="23" t="s">
        <v>971</v>
      </c>
      <c r="F4813">
        <v>0.6</v>
      </c>
      <c r="G4813" s="23" t="s">
        <v>183</v>
      </c>
      <c r="H4813">
        <v>0</v>
      </c>
      <c r="I4813">
        <v>0</v>
      </c>
      <c r="J4813" s="10">
        <v>30.760000000000009</v>
      </c>
      <c r="K4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4813">
        <v>0</v>
      </c>
      <c r="M48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4813">
        <v>1748.21</v>
      </c>
      <c r="O4813" s="23" t="s">
        <v>224</v>
      </c>
      <c r="P4813">
        <v>1048.9259999999999</v>
      </c>
      <c r="Q4813" s="23" t="s">
        <v>182</v>
      </c>
    </row>
    <row r="4814" spans="1:17" x14ac:dyDescent="0.25">
      <c r="A4814" s="23" t="s">
        <v>1143</v>
      </c>
      <c r="B4814" s="23" t="s">
        <v>1054</v>
      </c>
      <c r="C4814" s="23" t="s">
        <v>176</v>
      </c>
      <c r="D4814" s="23" t="s">
        <v>782</v>
      </c>
      <c r="E4814" s="23" t="s">
        <v>783</v>
      </c>
      <c r="F4814">
        <v>1</v>
      </c>
      <c r="G4814" s="23" t="s">
        <v>177</v>
      </c>
      <c r="H4814">
        <v>0</v>
      </c>
      <c r="I4814">
        <v>6</v>
      </c>
      <c r="J4814" s="10">
        <v>7</v>
      </c>
      <c r="K4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14">
        <v>10</v>
      </c>
      <c r="M48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4">
        <v>750</v>
      </c>
      <c r="O4814" s="23" t="s">
        <v>291</v>
      </c>
      <c r="P4814">
        <v>750</v>
      </c>
      <c r="Q4814" s="23" t="s">
        <v>179</v>
      </c>
    </row>
    <row r="4815" spans="1:17" x14ac:dyDescent="0.25">
      <c r="A4815" s="23" t="s">
        <v>1057</v>
      </c>
      <c r="B4815" s="23" t="s">
        <v>1056</v>
      </c>
      <c r="C4815" s="23" t="s">
        <v>176</v>
      </c>
      <c r="D4815" s="23" t="s">
        <v>779</v>
      </c>
      <c r="E4815" s="23" t="s">
        <v>133</v>
      </c>
      <c r="F4815">
        <v>22</v>
      </c>
      <c r="G4815" s="23" t="s">
        <v>177</v>
      </c>
      <c r="H4815">
        <v>0</v>
      </c>
      <c r="I4815">
        <v>574</v>
      </c>
      <c r="J4815" s="10">
        <v>98</v>
      </c>
      <c r="K4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15">
        <v>0</v>
      </c>
      <c r="M48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5">
        <v>6.67</v>
      </c>
      <c r="O4815" s="23" t="s">
        <v>1195</v>
      </c>
      <c r="P4815">
        <v>146.74</v>
      </c>
      <c r="Q4815" s="23" t="s">
        <v>222</v>
      </c>
    </row>
    <row r="4816" spans="1:17" x14ac:dyDescent="0.25">
      <c r="A4816" s="23" t="s">
        <v>1143</v>
      </c>
      <c r="B4816" s="23" t="s">
        <v>1054</v>
      </c>
      <c r="C4816" s="23" t="s">
        <v>176</v>
      </c>
      <c r="D4816" s="23" t="s">
        <v>779</v>
      </c>
      <c r="E4816" s="23" t="s">
        <v>133</v>
      </c>
      <c r="F4816">
        <v>20</v>
      </c>
      <c r="G4816" s="23" t="s">
        <v>177</v>
      </c>
      <c r="H4816">
        <v>0</v>
      </c>
      <c r="I4816">
        <v>574</v>
      </c>
      <c r="J4816" s="10">
        <v>98</v>
      </c>
      <c r="K4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16">
        <v>0</v>
      </c>
      <c r="M48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6">
        <v>6.67</v>
      </c>
      <c r="O4816" s="23" t="s">
        <v>1195</v>
      </c>
      <c r="P4816">
        <v>133.4</v>
      </c>
      <c r="Q4816" s="23" t="s">
        <v>222</v>
      </c>
    </row>
    <row r="4817" spans="1:17" x14ac:dyDescent="0.25">
      <c r="A4817" s="23" t="s">
        <v>1096</v>
      </c>
      <c r="B4817" s="23" t="s">
        <v>1053</v>
      </c>
      <c r="C4817" s="23" t="s">
        <v>176</v>
      </c>
      <c r="D4817" s="23" t="s">
        <v>779</v>
      </c>
      <c r="E4817" s="23" t="s">
        <v>133</v>
      </c>
      <c r="F4817">
        <v>18</v>
      </c>
      <c r="G4817" s="23" t="s">
        <v>177</v>
      </c>
      <c r="H4817">
        <v>0</v>
      </c>
      <c r="I4817">
        <v>574</v>
      </c>
      <c r="J4817" s="10">
        <v>98</v>
      </c>
      <c r="K4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17">
        <v>0</v>
      </c>
      <c r="M48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17">
        <v>6.67</v>
      </c>
      <c r="O4817" s="23" t="s">
        <v>1195</v>
      </c>
      <c r="P4817">
        <v>120.06</v>
      </c>
      <c r="Q4817" s="23" t="s">
        <v>222</v>
      </c>
    </row>
    <row r="4818" spans="1:17" x14ac:dyDescent="0.25">
      <c r="A4818" s="23" t="s">
        <v>1142</v>
      </c>
      <c r="B4818" s="23" t="s">
        <v>1054</v>
      </c>
      <c r="C4818" s="23" t="s">
        <v>176</v>
      </c>
      <c r="D4818" s="23" t="s">
        <v>604</v>
      </c>
      <c r="E4818" s="23" t="s">
        <v>605</v>
      </c>
      <c r="F4818">
        <v>2</v>
      </c>
      <c r="G4818" s="23" t="s">
        <v>177</v>
      </c>
      <c r="H4818">
        <v>0</v>
      </c>
      <c r="I4818">
        <v>9</v>
      </c>
      <c r="J4818" s="10">
        <v>6</v>
      </c>
      <c r="K4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18">
        <v>0</v>
      </c>
      <c r="M48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4818">
        <v>75.61</v>
      </c>
      <c r="O4818" s="23" t="s">
        <v>637</v>
      </c>
      <c r="P4818">
        <v>151.22</v>
      </c>
      <c r="Q4818" s="23" t="s">
        <v>178</v>
      </c>
    </row>
    <row r="4819" spans="1:17" x14ac:dyDescent="0.25">
      <c r="A4819" s="23" t="s">
        <v>1142</v>
      </c>
      <c r="B4819" s="23" t="s">
        <v>1054</v>
      </c>
      <c r="C4819" s="23" t="s">
        <v>176</v>
      </c>
      <c r="D4819" s="23" t="s">
        <v>739</v>
      </c>
      <c r="E4819" s="23" t="s">
        <v>740</v>
      </c>
      <c r="F4819">
        <v>1</v>
      </c>
      <c r="G4819" s="23" t="s">
        <v>177</v>
      </c>
      <c r="H4819">
        <v>0</v>
      </c>
      <c r="I4819">
        <v>12</v>
      </c>
      <c r="J4819" s="10">
        <v>14</v>
      </c>
      <c r="K4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19">
        <v>0</v>
      </c>
      <c r="M48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819">
        <v>116.67</v>
      </c>
      <c r="O4819" s="23" t="s">
        <v>668</v>
      </c>
      <c r="P4819">
        <v>116.67</v>
      </c>
      <c r="Q4819" s="23" t="s">
        <v>178</v>
      </c>
    </row>
    <row r="4820" spans="1:17" x14ac:dyDescent="0.25">
      <c r="A4820" s="23" t="s">
        <v>1142</v>
      </c>
      <c r="B4820" s="23" t="s">
        <v>1054</v>
      </c>
      <c r="C4820" s="23" t="s">
        <v>176</v>
      </c>
      <c r="D4820" s="23" t="s">
        <v>779</v>
      </c>
      <c r="E4820" s="23" t="s">
        <v>133</v>
      </c>
      <c r="F4820">
        <v>14</v>
      </c>
      <c r="G4820" s="23" t="s">
        <v>177</v>
      </c>
      <c r="H4820">
        <v>0</v>
      </c>
      <c r="I4820">
        <v>574</v>
      </c>
      <c r="J4820" s="10">
        <v>98</v>
      </c>
      <c r="K4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4820">
        <v>0</v>
      </c>
      <c r="M48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0">
        <v>6.67</v>
      </c>
      <c r="O4820" s="23" t="s">
        <v>1195</v>
      </c>
      <c r="P4820">
        <v>93.38</v>
      </c>
      <c r="Q4820" s="23" t="s">
        <v>222</v>
      </c>
    </row>
    <row r="4821" spans="1:17" x14ac:dyDescent="0.25">
      <c r="A4821" s="23" t="s">
        <v>1143</v>
      </c>
      <c r="B4821" s="23" t="s">
        <v>1054</v>
      </c>
      <c r="C4821" s="23" t="s">
        <v>176</v>
      </c>
      <c r="D4821" s="23" t="s">
        <v>1049</v>
      </c>
      <c r="E4821" s="23" t="s">
        <v>1050</v>
      </c>
      <c r="F4821">
        <v>1</v>
      </c>
      <c r="G4821" s="23" t="s">
        <v>177</v>
      </c>
      <c r="H4821">
        <v>0</v>
      </c>
      <c r="I4821">
        <v>3</v>
      </c>
      <c r="J4821" s="10">
        <v>6</v>
      </c>
      <c r="K4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4821">
        <v>0</v>
      </c>
      <c r="M48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4821">
        <v>12138.93</v>
      </c>
      <c r="O4821" s="23" t="s">
        <v>635</v>
      </c>
      <c r="P4821">
        <v>12138.93</v>
      </c>
      <c r="Q4821" s="23" t="s">
        <v>178</v>
      </c>
    </row>
    <row r="4822" spans="1:17" x14ac:dyDescent="0.25">
      <c r="A4822" s="23" t="s">
        <v>1142</v>
      </c>
      <c r="B4822" s="23" t="s">
        <v>1054</v>
      </c>
      <c r="C4822" s="23" t="s">
        <v>176</v>
      </c>
      <c r="D4822" s="23" t="s">
        <v>608</v>
      </c>
      <c r="E4822" s="23" t="s">
        <v>609</v>
      </c>
      <c r="F4822">
        <v>2</v>
      </c>
      <c r="G4822" s="23" t="s">
        <v>177</v>
      </c>
      <c r="H4822">
        <v>0</v>
      </c>
      <c r="I4822">
        <v>2</v>
      </c>
      <c r="J4822" s="10">
        <v>8</v>
      </c>
      <c r="K4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822">
        <v>0</v>
      </c>
      <c r="M48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4822">
        <v>56.58</v>
      </c>
      <c r="O4822" s="23" t="s">
        <v>637</v>
      </c>
      <c r="P4822">
        <v>113.16</v>
      </c>
      <c r="Q4822" s="23" t="s">
        <v>178</v>
      </c>
    </row>
    <row r="4823" spans="1:17" x14ac:dyDescent="0.25">
      <c r="A4823" s="23" t="s">
        <v>1096</v>
      </c>
      <c r="B4823" s="23" t="s">
        <v>1053</v>
      </c>
      <c r="C4823" s="23" t="s">
        <v>176</v>
      </c>
      <c r="D4823" s="23" t="s">
        <v>787</v>
      </c>
      <c r="E4823" s="23" t="s">
        <v>788</v>
      </c>
      <c r="F4823">
        <v>4.5</v>
      </c>
      <c r="G4823" s="23" t="s">
        <v>180</v>
      </c>
      <c r="H4823">
        <v>0</v>
      </c>
      <c r="I4823">
        <v>100</v>
      </c>
      <c r="J4823" s="10">
        <v>185.5</v>
      </c>
      <c r="K4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-88.5</v>
      </c>
      <c r="L4823">
        <v>0</v>
      </c>
      <c r="M48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3">
        <v>57.6</v>
      </c>
      <c r="O4823" s="23" t="s">
        <v>827</v>
      </c>
      <c r="P4823">
        <v>259.2</v>
      </c>
      <c r="Q4823" s="23" t="s">
        <v>222</v>
      </c>
    </row>
    <row r="4824" spans="1:17" x14ac:dyDescent="0.25">
      <c r="A4824" s="23" t="s">
        <v>1094</v>
      </c>
      <c r="B4824" s="23" t="s">
        <v>1095</v>
      </c>
      <c r="C4824" s="23" t="s">
        <v>176</v>
      </c>
      <c r="D4824" s="23" t="s">
        <v>733</v>
      </c>
      <c r="E4824" s="23" t="s">
        <v>734</v>
      </c>
      <c r="F4824">
        <v>18</v>
      </c>
      <c r="G4824" s="23" t="s">
        <v>186</v>
      </c>
      <c r="H4824">
        <v>0</v>
      </c>
      <c r="I4824">
        <v>63</v>
      </c>
      <c r="J4824" s="10">
        <v>-1.4210854715202004E-14</v>
      </c>
      <c r="K4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4824">
        <v>0</v>
      </c>
      <c r="M48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4824">
        <v>1097.8900000000001</v>
      </c>
      <c r="O4824" s="23" t="s">
        <v>649</v>
      </c>
      <c r="P4824">
        <v>19762.02</v>
      </c>
      <c r="Q4824" s="23" t="s">
        <v>184</v>
      </c>
    </row>
    <row r="4825" spans="1:17" x14ac:dyDescent="0.25">
      <c r="A4825" s="23" t="s">
        <v>1096</v>
      </c>
      <c r="B4825" s="23" t="s">
        <v>1053</v>
      </c>
      <c r="C4825" s="23" t="s">
        <v>176</v>
      </c>
      <c r="D4825" s="23" t="s">
        <v>1066</v>
      </c>
      <c r="E4825" s="23" t="s">
        <v>1067</v>
      </c>
      <c r="F4825">
        <v>8</v>
      </c>
      <c r="G4825" s="23" t="s">
        <v>180</v>
      </c>
      <c r="H4825">
        <v>0</v>
      </c>
      <c r="I4825">
        <v>100</v>
      </c>
      <c r="J4825" s="10">
        <v>84</v>
      </c>
      <c r="K4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4825">
        <v>0</v>
      </c>
      <c r="M48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5">
        <v>14.85</v>
      </c>
      <c r="O4825" s="23" t="s">
        <v>827</v>
      </c>
      <c r="P4825">
        <v>118.8</v>
      </c>
      <c r="Q4825" s="23" t="s">
        <v>222</v>
      </c>
    </row>
    <row r="4826" spans="1:17" x14ac:dyDescent="0.25">
      <c r="A4826" s="23" t="s">
        <v>1142</v>
      </c>
      <c r="B4826" s="23" t="s">
        <v>1054</v>
      </c>
      <c r="C4826" s="23" t="s">
        <v>176</v>
      </c>
      <c r="D4826" s="23" t="s">
        <v>717</v>
      </c>
      <c r="E4826" s="23" t="s">
        <v>718</v>
      </c>
      <c r="F4826">
        <v>0.2</v>
      </c>
      <c r="G4826" s="23" t="s">
        <v>180</v>
      </c>
      <c r="H4826">
        <v>0</v>
      </c>
      <c r="I4826">
        <v>200</v>
      </c>
      <c r="J4826" s="10">
        <v>85.649999999999977</v>
      </c>
      <c r="K4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826">
        <v>0</v>
      </c>
      <c r="M48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6">
        <v>3.62</v>
      </c>
      <c r="O4826" s="23" t="s">
        <v>827</v>
      </c>
      <c r="P4826">
        <v>0.72400000000000009</v>
      </c>
      <c r="Q4826" s="23" t="s">
        <v>222</v>
      </c>
    </row>
    <row r="4827" spans="1:17" x14ac:dyDescent="0.25">
      <c r="A4827" s="23" t="s">
        <v>1096</v>
      </c>
      <c r="B4827" s="23" t="s">
        <v>1053</v>
      </c>
      <c r="C4827" s="23" t="s">
        <v>176</v>
      </c>
      <c r="D4827" s="23" t="s">
        <v>717</v>
      </c>
      <c r="E4827" s="23" t="s">
        <v>718</v>
      </c>
      <c r="F4827">
        <v>0.2</v>
      </c>
      <c r="G4827" s="23" t="s">
        <v>180</v>
      </c>
      <c r="H4827">
        <v>0</v>
      </c>
      <c r="I4827">
        <v>200</v>
      </c>
      <c r="J4827" s="10">
        <v>85.649999999999977</v>
      </c>
      <c r="K4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827">
        <v>0</v>
      </c>
      <c r="M48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7">
        <v>3.62</v>
      </c>
      <c r="O4827" s="23" t="s">
        <v>827</v>
      </c>
      <c r="P4827">
        <v>0.72400000000000009</v>
      </c>
      <c r="Q4827" s="23" t="s">
        <v>222</v>
      </c>
    </row>
    <row r="4828" spans="1:17" x14ac:dyDescent="0.25">
      <c r="A4828" s="23" t="s">
        <v>1143</v>
      </c>
      <c r="B4828" s="23" t="s">
        <v>1054</v>
      </c>
      <c r="C4828" s="23" t="s">
        <v>176</v>
      </c>
      <c r="D4828" s="23" t="s">
        <v>717</v>
      </c>
      <c r="E4828" s="23" t="s">
        <v>718</v>
      </c>
      <c r="F4828">
        <v>0.2</v>
      </c>
      <c r="G4828" s="23" t="s">
        <v>180</v>
      </c>
      <c r="H4828">
        <v>0</v>
      </c>
      <c r="I4828">
        <v>200</v>
      </c>
      <c r="J4828" s="10">
        <v>85.649999999999977</v>
      </c>
      <c r="K4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828">
        <v>0</v>
      </c>
      <c r="M48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8">
        <v>3.62</v>
      </c>
      <c r="O4828" s="23" t="s">
        <v>827</v>
      </c>
      <c r="P4828">
        <v>0.72400000000000009</v>
      </c>
      <c r="Q4828" s="23" t="s">
        <v>222</v>
      </c>
    </row>
    <row r="4829" spans="1:17" x14ac:dyDescent="0.25">
      <c r="A4829" s="23" t="s">
        <v>1099</v>
      </c>
      <c r="B4829" s="23" t="s">
        <v>1056</v>
      </c>
      <c r="C4829" s="23" t="s">
        <v>176</v>
      </c>
      <c r="D4829" s="23" t="s">
        <v>287</v>
      </c>
      <c r="E4829" s="23" t="s">
        <v>288</v>
      </c>
      <c r="F4829">
        <v>0.25</v>
      </c>
      <c r="G4829" s="23" t="s">
        <v>186</v>
      </c>
      <c r="H4829">
        <v>0.25</v>
      </c>
      <c r="I4829">
        <v>10</v>
      </c>
      <c r="J4829" s="10">
        <v>14.129999999999992</v>
      </c>
      <c r="K4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4829">
        <v>10</v>
      </c>
      <c r="M48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29">
        <v>393.83</v>
      </c>
      <c r="O4829" s="23" t="s">
        <v>491</v>
      </c>
      <c r="P4829">
        <v>98.457499999999996</v>
      </c>
      <c r="Q4829" s="23" t="s">
        <v>184</v>
      </c>
    </row>
    <row r="4830" spans="1:17" x14ac:dyDescent="0.25">
      <c r="A4830" s="23" t="s">
        <v>1055</v>
      </c>
      <c r="B4830" s="23" t="s">
        <v>1056</v>
      </c>
      <c r="C4830" s="23" t="s">
        <v>176</v>
      </c>
      <c r="D4830" s="23" t="s">
        <v>782</v>
      </c>
      <c r="E4830" s="23" t="s">
        <v>783</v>
      </c>
      <c r="F4830">
        <v>1</v>
      </c>
      <c r="G4830" s="23" t="s">
        <v>177</v>
      </c>
      <c r="H4830">
        <v>1</v>
      </c>
      <c r="I4830">
        <v>6</v>
      </c>
      <c r="J4830" s="10">
        <v>7</v>
      </c>
      <c r="K4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30">
        <v>10</v>
      </c>
      <c r="M48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0">
        <v>750</v>
      </c>
      <c r="O4830" s="23" t="s">
        <v>291</v>
      </c>
      <c r="P4830">
        <v>750</v>
      </c>
      <c r="Q4830" s="23" t="s">
        <v>179</v>
      </c>
    </row>
    <row r="4831" spans="1:17" x14ac:dyDescent="0.25">
      <c r="A4831" s="23" t="s">
        <v>1099</v>
      </c>
      <c r="B4831" s="23" t="s">
        <v>1056</v>
      </c>
      <c r="C4831" s="23" t="s">
        <v>176</v>
      </c>
      <c r="D4831" s="23" t="s">
        <v>782</v>
      </c>
      <c r="E4831" s="23" t="s">
        <v>783</v>
      </c>
      <c r="F4831">
        <v>1</v>
      </c>
      <c r="G4831" s="23" t="s">
        <v>177</v>
      </c>
      <c r="H4831">
        <v>1</v>
      </c>
      <c r="I4831">
        <v>6</v>
      </c>
      <c r="J4831" s="10">
        <v>7</v>
      </c>
      <c r="K4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31">
        <v>10</v>
      </c>
      <c r="M48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1">
        <v>750</v>
      </c>
      <c r="O4831" s="23" t="s">
        <v>291</v>
      </c>
      <c r="P4831">
        <v>750</v>
      </c>
      <c r="Q4831" s="23" t="s">
        <v>179</v>
      </c>
    </row>
    <row r="4832" spans="1:17" x14ac:dyDescent="0.25">
      <c r="A4832" s="23" t="s">
        <v>1058</v>
      </c>
      <c r="B4832" s="23" t="s">
        <v>1059</v>
      </c>
      <c r="C4832" s="23" t="s">
        <v>176</v>
      </c>
      <c r="D4832" s="23" t="s">
        <v>782</v>
      </c>
      <c r="E4832" s="23" t="s">
        <v>783</v>
      </c>
      <c r="F4832">
        <v>1</v>
      </c>
      <c r="G4832" s="23" t="s">
        <v>177</v>
      </c>
      <c r="H4832">
        <v>1</v>
      </c>
      <c r="I4832">
        <v>6</v>
      </c>
      <c r="J4832" s="10">
        <v>7</v>
      </c>
      <c r="K4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32">
        <v>10</v>
      </c>
      <c r="M48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2">
        <v>750</v>
      </c>
      <c r="O4832" s="23" t="s">
        <v>291</v>
      </c>
      <c r="P4832">
        <v>750</v>
      </c>
      <c r="Q4832" s="23" t="s">
        <v>179</v>
      </c>
    </row>
    <row r="4833" spans="1:17" x14ac:dyDescent="0.25">
      <c r="A4833" s="23" t="s">
        <v>1096</v>
      </c>
      <c r="B4833" s="23" t="s">
        <v>1053</v>
      </c>
      <c r="C4833" s="23" t="s">
        <v>176</v>
      </c>
      <c r="D4833" s="23" t="s">
        <v>239</v>
      </c>
      <c r="E4833" s="23" t="s">
        <v>307</v>
      </c>
      <c r="F4833">
        <v>2</v>
      </c>
      <c r="G4833" s="23" t="s">
        <v>177</v>
      </c>
      <c r="H4833">
        <v>2</v>
      </c>
      <c r="I4833">
        <v>40</v>
      </c>
      <c r="J4833" s="10">
        <v>18</v>
      </c>
      <c r="K4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833">
        <v>0</v>
      </c>
      <c r="M48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3">
        <v>45.3</v>
      </c>
      <c r="O4833" s="23" t="s">
        <v>827</v>
      </c>
      <c r="P4833">
        <v>90.6</v>
      </c>
      <c r="Q4833" s="23" t="s">
        <v>222</v>
      </c>
    </row>
    <row r="4834" spans="1:17" x14ac:dyDescent="0.25">
      <c r="A4834" s="23" t="s">
        <v>1197</v>
      </c>
      <c r="B4834" s="23" t="s">
        <v>1198</v>
      </c>
      <c r="C4834" s="23" t="s">
        <v>176</v>
      </c>
      <c r="D4834" s="23" t="s">
        <v>717</v>
      </c>
      <c r="E4834" s="23" t="s">
        <v>718</v>
      </c>
      <c r="F4834">
        <v>0.2</v>
      </c>
      <c r="G4834" s="23" t="s">
        <v>180</v>
      </c>
      <c r="H4834">
        <v>0</v>
      </c>
      <c r="I4834">
        <v>200</v>
      </c>
      <c r="J4834" s="10">
        <v>85.649999999999977</v>
      </c>
      <c r="K4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4834">
        <v>0</v>
      </c>
      <c r="M48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4">
        <v>3.62</v>
      </c>
      <c r="O4834" s="23" t="s">
        <v>827</v>
      </c>
      <c r="P4834">
        <v>0.72400000000000009</v>
      </c>
      <c r="Q4834" s="23" t="s">
        <v>222</v>
      </c>
    </row>
    <row r="4835" spans="1:17" x14ac:dyDescent="0.25">
      <c r="A4835" s="23" t="s">
        <v>1057</v>
      </c>
      <c r="B4835" s="23" t="s">
        <v>1056</v>
      </c>
      <c r="C4835" s="23" t="s">
        <v>176</v>
      </c>
      <c r="D4835" s="23" t="s">
        <v>970</v>
      </c>
      <c r="E4835" s="23" t="s">
        <v>971</v>
      </c>
      <c r="F4835">
        <v>0.3</v>
      </c>
      <c r="G4835" s="23" t="s">
        <v>183</v>
      </c>
      <c r="H4835">
        <v>0</v>
      </c>
      <c r="I4835">
        <v>0</v>
      </c>
      <c r="J4835" s="10">
        <v>30.760000000000009</v>
      </c>
      <c r="K4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4835">
        <v>0</v>
      </c>
      <c r="M48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4835">
        <v>1748.21</v>
      </c>
      <c r="O4835" s="23" t="s">
        <v>224</v>
      </c>
      <c r="P4835">
        <v>524.46299999999997</v>
      </c>
      <c r="Q4835" s="23" t="s">
        <v>182</v>
      </c>
    </row>
    <row r="4836" spans="1:17" x14ac:dyDescent="0.25">
      <c r="A4836" s="23" t="s">
        <v>1143</v>
      </c>
      <c r="B4836" s="23" t="s">
        <v>1054</v>
      </c>
      <c r="C4836" s="23" t="s">
        <v>176</v>
      </c>
      <c r="D4836" s="23" t="s">
        <v>970</v>
      </c>
      <c r="E4836" s="23" t="s">
        <v>971</v>
      </c>
      <c r="F4836">
        <v>0.6</v>
      </c>
      <c r="G4836" s="23" t="s">
        <v>183</v>
      </c>
      <c r="H4836">
        <v>0</v>
      </c>
      <c r="I4836">
        <v>0</v>
      </c>
      <c r="J4836" s="10">
        <v>30.760000000000009</v>
      </c>
      <c r="K4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4.4399999999999995</v>
      </c>
      <c r="L4836">
        <v>0</v>
      </c>
      <c r="M48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7762.0523999999996</v>
      </c>
      <c r="N4836">
        <v>1748.21</v>
      </c>
      <c r="O4836" s="23" t="s">
        <v>224</v>
      </c>
      <c r="P4836">
        <v>1048.9259999999999</v>
      </c>
      <c r="Q4836" s="23" t="s">
        <v>182</v>
      </c>
    </row>
    <row r="4837" spans="1:17" x14ac:dyDescent="0.25">
      <c r="A4837" s="23" t="s">
        <v>1142</v>
      </c>
      <c r="B4837" s="23" t="s">
        <v>1054</v>
      </c>
      <c r="C4837" s="23" t="s">
        <v>176</v>
      </c>
      <c r="D4837" s="23" t="s">
        <v>1156</v>
      </c>
      <c r="E4837" s="23" t="s">
        <v>1157</v>
      </c>
      <c r="F4837">
        <v>6</v>
      </c>
      <c r="G4837" s="23" t="s">
        <v>177</v>
      </c>
      <c r="H4837">
        <v>0</v>
      </c>
      <c r="I4837">
        <v>0</v>
      </c>
      <c r="J4837" s="10">
        <v>0</v>
      </c>
      <c r="K4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4837">
        <v>0</v>
      </c>
      <c r="M48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21.12</v>
      </c>
      <c r="N4837">
        <v>0.88</v>
      </c>
      <c r="O4837" s="23" t="s">
        <v>636</v>
      </c>
      <c r="P4837">
        <v>5.28</v>
      </c>
      <c r="Q4837" s="23" t="s">
        <v>222</v>
      </c>
    </row>
    <row r="4838" spans="1:17" x14ac:dyDescent="0.25">
      <c r="A4838" s="23" t="s">
        <v>1094</v>
      </c>
      <c r="B4838" s="23" t="s">
        <v>1095</v>
      </c>
      <c r="C4838" s="23" t="s">
        <v>176</v>
      </c>
      <c r="D4838" s="23" t="s">
        <v>739</v>
      </c>
      <c r="E4838" s="23" t="s">
        <v>740</v>
      </c>
      <c r="F4838">
        <v>1</v>
      </c>
      <c r="G4838" s="23" t="s">
        <v>177</v>
      </c>
      <c r="H4838">
        <v>0</v>
      </c>
      <c r="I4838">
        <v>12</v>
      </c>
      <c r="J4838" s="10">
        <v>14</v>
      </c>
      <c r="K4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38">
        <v>0</v>
      </c>
      <c r="M48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4838">
        <v>116.67</v>
      </c>
      <c r="O4838" s="23" t="s">
        <v>668</v>
      </c>
      <c r="P4838">
        <v>116.67</v>
      </c>
      <c r="Q4838" s="23" t="s">
        <v>178</v>
      </c>
    </row>
    <row r="4839" spans="1:17" x14ac:dyDescent="0.25">
      <c r="A4839" s="23" t="s">
        <v>1142</v>
      </c>
      <c r="B4839" s="23" t="s">
        <v>1054</v>
      </c>
      <c r="C4839" s="23" t="s">
        <v>176</v>
      </c>
      <c r="D4839" s="23" t="s">
        <v>782</v>
      </c>
      <c r="E4839" s="23" t="s">
        <v>783</v>
      </c>
      <c r="F4839">
        <v>1</v>
      </c>
      <c r="G4839" s="23" t="s">
        <v>177</v>
      </c>
      <c r="H4839">
        <v>0</v>
      </c>
      <c r="I4839">
        <v>6</v>
      </c>
      <c r="J4839" s="10">
        <v>7</v>
      </c>
      <c r="K4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39">
        <v>10</v>
      </c>
      <c r="M48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39">
        <v>750</v>
      </c>
      <c r="O4839" s="23" t="s">
        <v>291</v>
      </c>
      <c r="P4839">
        <v>750</v>
      </c>
      <c r="Q4839" s="23" t="s">
        <v>179</v>
      </c>
    </row>
    <row r="4840" spans="1:17" x14ac:dyDescent="0.25">
      <c r="A4840" s="23" t="s">
        <v>1097</v>
      </c>
      <c r="B4840" s="23" t="s">
        <v>1095</v>
      </c>
      <c r="C4840" s="23" t="s">
        <v>176</v>
      </c>
      <c r="D4840" s="23" t="s">
        <v>784</v>
      </c>
      <c r="E4840" s="23" t="s">
        <v>785</v>
      </c>
      <c r="F4840">
        <v>1</v>
      </c>
      <c r="G4840" s="23" t="s">
        <v>177</v>
      </c>
      <c r="H4840">
        <v>0</v>
      </c>
      <c r="I4840">
        <v>7</v>
      </c>
      <c r="J4840" s="10">
        <v>9</v>
      </c>
      <c r="K4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840">
        <v>10</v>
      </c>
      <c r="M48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0">
        <v>450</v>
      </c>
      <c r="O4840" s="23" t="s">
        <v>291</v>
      </c>
      <c r="P4840">
        <v>450</v>
      </c>
      <c r="Q4840" s="23" t="s">
        <v>179</v>
      </c>
    </row>
    <row r="4841" spans="1:17" x14ac:dyDescent="0.25">
      <c r="A4841" s="23" t="s">
        <v>1197</v>
      </c>
      <c r="B4841" s="23" t="s">
        <v>1198</v>
      </c>
      <c r="C4841" s="23" t="s">
        <v>176</v>
      </c>
      <c r="D4841" s="23" t="s">
        <v>784</v>
      </c>
      <c r="E4841" s="23" t="s">
        <v>785</v>
      </c>
      <c r="F4841">
        <v>1</v>
      </c>
      <c r="G4841" s="23" t="s">
        <v>177</v>
      </c>
      <c r="H4841">
        <v>0</v>
      </c>
      <c r="I4841">
        <v>7</v>
      </c>
      <c r="J4841" s="10">
        <v>9</v>
      </c>
      <c r="K4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841">
        <v>10</v>
      </c>
      <c r="M48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1">
        <v>450</v>
      </c>
      <c r="O4841" s="23" t="s">
        <v>291</v>
      </c>
      <c r="P4841">
        <v>450</v>
      </c>
      <c r="Q4841" s="23" t="s">
        <v>179</v>
      </c>
    </row>
    <row r="4842" spans="1:17" x14ac:dyDescent="0.25">
      <c r="A4842" s="23" t="s">
        <v>1097</v>
      </c>
      <c r="B4842" s="23" t="s">
        <v>1095</v>
      </c>
      <c r="C4842" s="23" t="s">
        <v>176</v>
      </c>
      <c r="D4842" s="23" t="s">
        <v>474</v>
      </c>
      <c r="E4842" s="23" t="s">
        <v>475</v>
      </c>
      <c r="F4842">
        <v>52</v>
      </c>
      <c r="G4842" s="23" t="s">
        <v>177</v>
      </c>
      <c r="H4842">
        <v>0</v>
      </c>
      <c r="I4842">
        <v>880</v>
      </c>
      <c r="J4842" s="10">
        <v>414</v>
      </c>
      <c r="K4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842">
        <v>0</v>
      </c>
      <c r="M48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2">
        <v>2.1</v>
      </c>
      <c r="O4842" s="23" t="s">
        <v>242</v>
      </c>
      <c r="P4842">
        <v>109.2</v>
      </c>
      <c r="Q4842" s="23" t="s">
        <v>181</v>
      </c>
    </row>
    <row r="4843" spans="1:17" x14ac:dyDescent="0.25">
      <c r="A4843" s="23" t="s">
        <v>1062</v>
      </c>
      <c r="B4843" s="23" t="s">
        <v>1053</v>
      </c>
      <c r="C4843" s="23" t="s">
        <v>176</v>
      </c>
      <c r="D4843" s="23" t="s">
        <v>474</v>
      </c>
      <c r="E4843" s="23" t="s">
        <v>475</v>
      </c>
      <c r="F4843">
        <v>52</v>
      </c>
      <c r="G4843" s="23" t="s">
        <v>177</v>
      </c>
      <c r="H4843">
        <v>0</v>
      </c>
      <c r="I4843">
        <v>880</v>
      </c>
      <c r="J4843" s="10">
        <v>414</v>
      </c>
      <c r="K4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843">
        <v>0</v>
      </c>
      <c r="M48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3">
        <v>2.1</v>
      </c>
      <c r="O4843" s="23" t="s">
        <v>242</v>
      </c>
      <c r="P4843">
        <v>109.2</v>
      </c>
      <c r="Q4843" s="23" t="s">
        <v>181</v>
      </c>
    </row>
    <row r="4844" spans="1:17" x14ac:dyDescent="0.25">
      <c r="A4844" s="23" t="s">
        <v>1097</v>
      </c>
      <c r="B4844" s="23" t="s">
        <v>1095</v>
      </c>
      <c r="C4844" s="23" t="s">
        <v>176</v>
      </c>
      <c r="D4844" s="23" t="s">
        <v>506</v>
      </c>
      <c r="E4844" s="23" t="s">
        <v>507</v>
      </c>
      <c r="F4844">
        <v>1</v>
      </c>
      <c r="G4844" s="23" t="s">
        <v>177</v>
      </c>
      <c r="H4844">
        <v>0</v>
      </c>
      <c r="I4844">
        <v>8</v>
      </c>
      <c r="J4844" s="10">
        <v>9</v>
      </c>
      <c r="K4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844">
        <v>36</v>
      </c>
      <c r="M48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4">
        <v>101.4</v>
      </c>
      <c r="O4844" s="23" t="s">
        <v>1065</v>
      </c>
      <c r="P4844">
        <v>101.4</v>
      </c>
      <c r="Q4844" s="23" t="s">
        <v>222</v>
      </c>
    </row>
    <row r="4845" spans="1:17" x14ac:dyDescent="0.25">
      <c r="A4845" s="23" t="s">
        <v>1197</v>
      </c>
      <c r="B4845" s="23" t="s">
        <v>1198</v>
      </c>
      <c r="C4845" s="23" t="s">
        <v>176</v>
      </c>
      <c r="D4845" s="23" t="s">
        <v>1160</v>
      </c>
      <c r="E4845" s="23" t="s">
        <v>1161</v>
      </c>
      <c r="F4845">
        <v>6</v>
      </c>
      <c r="G4845" s="23" t="s">
        <v>177</v>
      </c>
      <c r="H4845">
        <v>0</v>
      </c>
      <c r="I4845">
        <v>0</v>
      </c>
      <c r="J4845" s="10">
        <v>0</v>
      </c>
      <c r="K4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4845">
        <v>0</v>
      </c>
      <c r="M48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4845">
        <v>0.36</v>
      </c>
      <c r="O4845" s="23" t="s">
        <v>883</v>
      </c>
      <c r="P4845">
        <v>2.16</v>
      </c>
      <c r="Q4845" s="23" t="s">
        <v>181</v>
      </c>
    </row>
    <row r="4846" spans="1:17" x14ac:dyDescent="0.25">
      <c r="A4846" s="23" t="s">
        <v>1097</v>
      </c>
      <c r="B4846" s="23" t="s">
        <v>1095</v>
      </c>
      <c r="C4846" s="23" t="s">
        <v>176</v>
      </c>
      <c r="D4846" s="23" t="s">
        <v>683</v>
      </c>
      <c r="E4846" s="23" t="s">
        <v>684</v>
      </c>
      <c r="F4846">
        <v>2</v>
      </c>
      <c r="G4846" s="23" t="s">
        <v>177</v>
      </c>
      <c r="H4846">
        <v>0</v>
      </c>
      <c r="I4846">
        <v>34</v>
      </c>
      <c r="J4846" s="10">
        <v>27</v>
      </c>
      <c r="K4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846">
        <v>0</v>
      </c>
      <c r="M48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6">
        <v>500</v>
      </c>
      <c r="O4846" s="23" t="s">
        <v>585</v>
      </c>
      <c r="P4846">
        <v>1000</v>
      </c>
      <c r="Q4846" s="23" t="s">
        <v>178</v>
      </c>
    </row>
    <row r="4847" spans="1:17" x14ac:dyDescent="0.25">
      <c r="A4847" s="23" t="s">
        <v>1097</v>
      </c>
      <c r="B4847" s="23" t="s">
        <v>1095</v>
      </c>
      <c r="C4847" s="23" t="s">
        <v>176</v>
      </c>
      <c r="D4847" s="23" t="s">
        <v>685</v>
      </c>
      <c r="E4847" s="23" t="s">
        <v>686</v>
      </c>
      <c r="F4847">
        <v>1</v>
      </c>
      <c r="G4847" s="23" t="s">
        <v>177</v>
      </c>
      <c r="H4847">
        <v>0</v>
      </c>
      <c r="I4847">
        <v>23</v>
      </c>
      <c r="J4847" s="10">
        <v>17</v>
      </c>
      <c r="K4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847">
        <v>0</v>
      </c>
      <c r="M48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7">
        <v>750</v>
      </c>
      <c r="O4847" s="23" t="s">
        <v>585</v>
      </c>
      <c r="P4847">
        <v>750</v>
      </c>
      <c r="Q4847" s="23" t="s">
        <v>178</v>
      </c>
    </row>
    <row r="4848" spans="1:17" x14ac:dyDescent="0.25">
      <c r="A4848" s="23" t="s">
        <v>1098</v>
      </c>
      <c r="B4848" s="23" t="s">
        <v>1053</v>
      </c>
      <c r="C4848" s="23" t="s">
        <v>176</v>
      </c>
      <c r="D4848" s="23" t="s">
        <v>656</v>
      </c>
      <c r="E4848" s="23" t="s">
        <v>657</v>
      </c>
      <c r="F4848">
        <v>2</v>
      </c>
      <c r="G4848" s="23" t="s">
        <v>177</v>
      </c>
      <c r="H4848">
        <v>0</v>
      </c>
      <c r="I4848">
        <v>216</v>
      </c>
      <c r="J4848" s="10">
        <v>118</v>
      </c>
      <c r="K4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848">
        <v>0</v>
      </c>
      <c r="M48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8">
        <v>3.95</v>
      </c>
      <c r="O4848" s="23" t="s">
        <v>221</v>
      </c>
      <c r="P4848">
        <v>7.9</v>
      </c>
      <c r="Q4848" s="23" t="s">
        <v>222</v>
      </c>
    </row>
    <row r="4849" spans="1:17" x14ac:dyDescent="0.25">
      <c r="A4849" s="23" t="s">
        <v>1098</v>
      </c>
      <c r="B4849" s="23" t="s">
        <v>1053</v>
      </c>
      <c r="C4849" s="23" t="s">
        <v>176</v>
      </c>
      <c r="D4849" s="23" t="s">
        <v>506</v>
      </c>
      <c r="E4849" s="23" t="s">
        <v>507</v>
      </c>
      <c r="F4849">
        <v>1</v>
      </c>
      <c r="G4849" s="23" t="s">
        <v>177</v>
      </c>
      <c r="H4849">
        <v>0</v>
      </c>
      <c r="I4849">
        <v>8</v>
      </c>
      <c r="J4849" s="10">
        <v>9</v>
      </c>
      <c r="K4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849">
        <v>36</v>
      </c>
      <c r="M48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49">
        <v>101.4</v>
      </c>
      <c r="O4849" s="23" t="s">
        <v>1065</v>
      </c>
      <c r="P4849">
        <v>101.4</v>
      </c>
      <c r="Q4849" s="23" t="s">
        <v>222</v>
      </c>
    </row>
    <row r="4850" spans="1:17" x14ac:dyDescent="0.25">
      <c r="A4850" s="23" t="s">
        <v>1097</v>
      </c>
      <c r="B4850" s="23" t="s">
        <v>1095</v>
      </c>
      <c r="C4850" s="23" t="s">
        <v>176</v>
      </c>
      <c r="D4850" s="23" t="s">
        <v>737</v>
      </c>
      <c r="E4850" s="23" t="s">
        <v>738</v>
      </c>
      <c r="F4850">
        <v>1</v>
      </c>
      <c r="G4850" s="23" t="s">
        <v>177</v>
      </c>
      <c r="H4850">
        <v>0</v>
      </c>
      <c r="I4850">
        <v>14</v>
      </c>
      <c r="J4850" s="10">
        <v>15</v>
      </c>
      <c r="K4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850">
        <v>0</v>
      </c>
      <c r="M48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0">
        <v>400</v>
      </c>
      <c r="O4850" s="23" t="s">
        <v>668</v>
      </c>
      <c r="P4850">
        <v>400</v>
      </c>
      <c r="Q4850" s="23" t="s">
        <v>178</v>
      </c>
    </row>
    <row r="4851" spans="1:17" x14ac:dyDescent="0.25">
      <c r="A4851" s="23" t="s">
        <v>1097</v>
      </c>
      <c r="B4851" s="23" t="s">
        <v>1095</v>
      </c>
      <c r="C4851" s="23" t="s">
        <v>176</v>
      </c>
      <c r="D4851" s="23" t="s">
        <v>591</v>
      </c>
      <c r="E4851" s="23" t="s">
        <v>592</v>
      </c>
      <c r="F4851">
        <v>1</v>
      </c>
      <c r="G4851" s="23" t="s">
        <v>177</v>
      </c>
      <c r="H4851">
        <v>0</v>
      </c>
      <c r="I4851">
        <v>6</v>
      </c>
      <c r="J4851" s="10">
        <v>8</v>
      </c>
      <c r="K4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51">
        <v>10</v>
      </c>
      <c r="M48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1">
        <v>583.77</v>
      </c>
      <c r="O4851" s="23" t="s">
        <v>593</v>
      </c>
      <c r="P4851">
        <v>583.77</v>
      </c>
      <c r="Q4851" s="23" t="s">
        <v>181</v>
      </c>
    </row>
    <row r="4852" spans="1:17" x14ac:dyDescent="0.25">
      <c r="A4852" s="23" t="s">
        <v>1098</v>
      </c>
      <c r="B4852" s="23" t="s">
        <v>1053</v>
      </c>
      <c r="C4852" s="23" t="s">
        <v>176</v>
      </c>
      <c r="D4852" s="23" t="s">
        <v>591</v>
      </c>
      <c r="E4852" s="23" t="s">
        <v>592</v>
      </c>
      <c r="F4852">
        <v>1</v>
      </c>
      <c r="G4852" s="23" t="s">
        <v>177</v>
      </c>
      <c r="H4852">
        <v>0</v>
      </c>
      <c r="I4852">
        <v>6</v>
      </c>
      <c r="J4852" s="10">
        <v>8</v>
      </c>
      <c r="K4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52">
        <v>10</v>
      </c>
      <c r="M48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2">
        <v>583.77</v>
      </c>
      <c r="O4852" s="23" t="s">
        <v>593</v>
      </c>
      <c r="P4852">
        <v>583.77</v>
      </c>
      <c r="Q4852" s="23" t="s">
        <v>181</v>
      </c>
    </row>
    <row r="4853" spans="1:17" x14ac:dyDescent="0.25">
      <c r="A4853" s="23" t="s">
        <v>1197</v>
      </c>
      <c r="B4853" s="23" t="s">
        <v>1198</v>
      </c>
      <c r="C4853" s="23" t="s">
        <v>176</v>
      </c>
      <c r="D4853" s="23" t="s">
        <v>506</v>
      </c>
      <c r="E4853" s="23" t="s">
        <v>507</v>
      </c>
      <c r="F4853">
        <v>1</v>
      </c>
      <c r="G4853" s="23" t="s">
        <v>177</v>
      </c>
      <c r="H4853">
        <v>0</v>
      </c>
      <c r="I4853">
        <v>8</v>
      </c>
      <c r="J4853" s="10">
        <v>9</v>
      </c>
      <c r="K4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853">
        <v>36</v>
      </c>
      <c r="M48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3">
        <v>101.4</v>
      </c>
      <c r="O4853" s="23" t="s">
        <v>1065</v>
      </c>
      <c r="P4853">
        <v>101.4</v>
      </c>
      <c r="Q4853" s="23" t="s">
        <v>222</v>
      </c>
    </row>
    <row r="4854" spans="1:17" x14ac:dyDescent="0.25">
      <c r="A4854" s="23" t="s">
        <v>1098</v>
      </c>
      <c r="B4854" s="23" t="s">
        <v>1053</v>
      </c>
      <c r="C4854" s="23" t="s">
        <v>176</v>
      </c>
      <c r="D4854" s="23" t="s">
        <v>683</v>
      </c>
      <c r="E4854" s="23" t="s">
        <v>684</v>
      </c>
      <c r="F4854">
        <v>2</v>
      </c>
      <c r="G4854" s="23" t="s">
        <v>177</v>
      </c>
      <c r="H4854">
        <v>0</v>
      </c>
      <c r="I4854">
        <v>34</v>
      </c>
      <c r="J4854" s="10">
        <v>27</v>
      </c>
      <c r="K4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854">
        <v>0</v>
      </c>
      <c r="M48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4">
        <v>500</v>
      </c>
      <c r="O4854" s="23" t="s">
        <v>585</v>
      </c>
      <c r="P4854">
        <v>1000</v>
      </c>
      <c r="Q4854" s="23" t="s">
        <v>178</v>
      </c>
    </row>
    <row r="4855" spans="1:17" x14ac:dyDescent="0.25">
      <c r="A4855" s="23" t="s">
        <v>1197</v>
      </c>
      <c r="B4855" s="23" t="s">
        <v>1198</v>
      </c>
      <c r="C4855" s="23" t="s">
        <v>176</v>
      </c>
      <c r="D4855" s="23" t="s">
        <v>683</v>
      </c>
      <c r="E4855" s="23" t="s">
        <v>684</v>
      </c>
      <c r="F4855">
        <v>2</v>
      </c>
      <c r="G4855" s="23" t="s">
        <v>177</v>
      </c>
      <c r="H4855">
        <v>0</v>
      </c>
      <c r="I4855">
        <v>34</v>
      </c>
      <c r="J4855" s="10">
        <v>27</v>
      </c>
      <c r="K4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855">
        <v>0</v>
      </c>
      <c r="M48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5">
        <v>500</v>
      </c>
      <c r="O4855" s="23" t="s">
        <v>585</v>
      </c>
      <c r="P4855">
        <v>1000</v>
      </c>
      <c r="Q4855" s="23" t="s">
        <v>178</v>
      </c>
    </row>
    <row r="4856" spans="1:17" x14ac:dyDescent="0.25">
      <c r="A4856" s="23" t="s">
        <v>1098</v>
      </c>
      <c r="B4856" s="23" t="s">
        <v>1053</v>
      </c>
      <c r="C4856" s="23" t="s">
        <v>176</v>
      </c>
      <c r="D4856" s="23" t="s">
        <v>685</v>
      </c>
      <c r="E4856" s="23" t="s">
        <v>686</v>
      </c>
      <c r="F4856">
        <v>1</v>
      </c>
      <c r="G4856" s="23" t="s">
        <v>177</v>
      </c>
      <c r="H4856">
        <v>0</v>
      </c>
      <c r="I4856">
        <v>23</v>
      </c>
      <c r="J4856" s="10">
        <v>17</v>
      </c>
      <c r="K4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856">
        <v>0</v>
      </c>
      <c r="M48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6">
        <v>750</v>
      </c>
      <c r="O4856" s="23" t="s">
        <v>585</v>
      </c>
      <c r="P4856">
        <v>750</v>
      </c>
      <c r="Q4856" s="23" t="s">
        <v>178</v>
      </c>
    </row>
    <row r="4857" spans="1:17" x14ac:dyDescent="0.25">
      <c r="A4857" s="23" t="s">
        <v>1197</v>
      </c>
      <c r="B4857" s="23" t="s">
        <v>1198</v>
      </c>
      <c r="C4857" s="23" t="s">
        <v>176</v>
      </c>
      <c r="D4857" s="23" t="s">
        <v>685</v>
      </c>
      <c r="E4857" s="23" t="s">
        <v>686</v>
      </c>
      <c r="F4857">
        <v>1</v>
      </c>
      <c r="G4857" s="23" t="s">
        <v>177</v>
      </c>
      <c r="H4857">
        <v>0</v>
      </c>
      <c r="I4857">
        <v>23</v>
      </c>
      <c r="J4857" s="10">
        <v>17</v>
      </c>
      <c r="K4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857">
        <v>0</v>
      </c>
      <c r="M48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7">
        <v>750</v>
      </c>
      <c r="O4857" s="23" t="s">
        <v>585</v>
      </c>
      <c r="P4857">
        <v>750</v>
      </c>
      <c r="Q4857" s="23" t="s">
        <v>178</v>
      </c>
    </row>
    <row r="4858" spans="1:17" x14ac:dyDescent="0.25">
      <c r="A4858" s="23" t="s">
        <v>1094</v>
      </c>
      <c r="B4858" s="23" t="s">
        <v>1095</v>
      </c>
      <c r="C4858" s="23" t="s">
        <v>176</v>
      </c>
      <c r="D4858" s="23" t="s">
        <v>506</v>
      </c>
      <c r="E4858" s="23" t="s">
        <v>507</v>
      </c>
      <c r="F4858">
        <v>1</v>
      </c>
      <c r="G4858" s="23" t="s">
        <v>177</v>
      </c>
      <c r="H4858">
        <v>0</v>
      </c>
      <c r="I4858">
        <v>8</v>
      </c>
      <c r="J4858" s="10">
        <v>9</v>
      </c>
      <c r="K4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858">
        <v>36</v>
      </c>
      <c r="M48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58">
        <v>101.4</v>
      </c>
      <c r="O4858" s="23" t="s">
        <v>1065</v>
      </c>
      <c r="P4858">
        <v>101.4</v>
      </c>
      <c r="Q4858" s="23" t="s">
        <v>222</v>
      </c>
    </row>
    <row r="4859" spans="1:17" x14ac:dyDescent="0.25">
      <c r="A4859" s="23" t="s">
        <v>1142</v>
      </c>
      <c r="B4859" s="23" t="s">
        <v>1054</v>
      </c>
      <c r="C4859" s="23" t="s">
        <v>176</v>
      </c>
      <c r="D4859" s="23" t="s">
        <v>1160</v>
      </c>
      <c r="E4859" s="23" t="s">
        <v>1161</v>
      </c>
      <c r="F4859">
        <v>6</v>
      </c>
      <c r="G4859" s="23" t="s">
        <v>177</v>
      </c>
      <c r="H4859">
        <v>0</v>
      </c>
      <c r="I4859">
        <v>0</v>
      </c>
      <c r="J4859" s="10">
        <v>0</v>
      </c>
      <c r="K4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42</v>
      </c>
      <c r="L4859">
        <v>0</v>
      </c>
      <c r="M48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15.12</v>
      </c>
      <c r="N4859">
        <v>0.36</v>
      </c>
      <c r="O4859" s="23" t="s">
        <v>883</v>
      </c>
      <c r="P4859">
        <v>2.16</v>
      </c>
      <c r="Q4859" s="23" t="s">
        <v>181</v>
      </c>
    </row>
    <row r="4860" spans="1:17" x14ac:dyDescent="0.25">
      <c r="A4860" s="23" t="s">
        <v>1094</v>
      </c>
      <c r="B4860" s="23" t="s">
        <v>1095</v>
      </c>
      <c r="C4860" s="23" t="s">
        <v>176</v>
      </c>
      <c r="D4860" s="23" t="s">
        <v>452</v>
      </c>
      <c r="E4860" s="23" t="s">
        <v>453</v>
      </c>
      <c r="F4860">
        <v>1</v>
      </c>
      <c r="G4860" s="23" t="s">
        <v>177</v>
      </c>
      <c r="H4860">
        <v>0</v>
      </c>
      <c r="I4860">
        <v>6</v>
      </c>
      <c r="J4860" s="10">
        <v>7</v>
      </c>
      <c r="K4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60">
        <v>6</v>
      </c>
      <c r="M48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4860">
        <v>1600</v>
      </c>
      <c r="O4860" s="23" t="s">
        <v>242</v>
      </c>
      <c r="P4860">
        <v>1600</v>
      </c>
      <c r="Q4860" s="23" t="s">
        <v>179</v>
      </c>
    </row>
    <row r="4861" spans="1:17" x14ac:dyDescent="0.25">
      <c r="A4861" s="23" t="s">
        <v>1143</v>
      </c>
      <c r="B4861" s="23" t="s">
        <v>1054</v>
      </c>
      <c r="C4861" s="23" t="s">
        <v>176</v>
      </c>
      <c r="D4861" s="23" t="s">
        <v>803</v>
      </c>
      <c r="E4861" s="23" t="s">
        <v>823</v>
      </c>
      <c r="F4861">
        <v>1</v>
      </c>
      <c r="G4861" s="23" t="s">
        <v>177</v>
      </c>
      <c r="H4861">
        <v>0</v>
      </c>
      <c r="I4861">
        <v>20.5</v>
      </c>
      <c r="J4861" s="10">
        <v>5</v>
      </c>
      <c r="K4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4861">
        <v>0</v>
      </c>
      <c r="M48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1">
        <v>175</v>
      </c>
      <c r="O4861" s="23" t="s">
        <v>218</v>
      </c>
      <c r="P4861">
        <v>175</v>
      </c>
      <c r="Q4861" s="23" t="s">
        <v>181</v>
      </c>
    </row>
    <row r="4862" spans="1:17" x14ac:dyDescent="0.25">
      <c r="A4862" s="23" t="s">
        <v>1143</v>
      </c>
      <c r="B4862" s="23" t="s">
        <v>1054</v>
      </c>
      <c r="C4862" s="23" t="s">
        <v>176</v>
      </c>
      <c r="D4862" s="23" t="s">
        <v>591</v>
      </c>
      <c r="E4862" s="23" t="s">
        <v>592</v>
      </c>
      <c r="F4862">
        <v>1</v>
      </c>
      <c r="G4862" s="23" t="s">
        <v>177</v>
      </c>
      <c r="H4862">
        <v>0</v>
      </c>
      <c r="I4862">
        <v>6</v>
      </c>
      <c r="J4862" s="10">
        <v>8</v>
      </c>
      <c r="K4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62">
        <v>10</v>
      </c>
      <c r="M48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2">
        <v>583.77</v>
      </c>
      <c r="O4862" s="23" t="s">
        <v>593</v>
      </c>
      <c r="P4862">
        <v>583.77</v>
      </c>
      <c r="Q4862" s="23" t="s">
        <v>181</v>
      </c>
    </row>
    <row r="4863" spans="1:17" x14ac:dyDescent="0.25">
      <c r="A4863" s="23" t="s">
        <v>1094</v>
      </c>
      <c r="B4863" s="23" t="s">
        <v>1095</v>
      </c>
      <c r="C4863" s="23" t="s">
        <v>176</v>
      </c>
      <c r="D4863" s="23" t="s">
        <v>591</v>
      </c>
      <c r="E4863" s="23" t="s">
        <v>592</v>
      </c>
      <c r="F4863">
        <v>1</v>
      </c>
      <c r="G4863" s="23" t="s">
        <v>177</v>
      </c>
      <c r="H4863">
        <v>0</v>
      </c>
      <c r="I4863">
        <v>6</v>
      </c>
      <c r="J4863" s="10">
        <v>8</v>
      </c>
      <c r="K4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4863">
        <v>10</v>
      </c>
      <c r="M48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3">
        <v>583.77</v>
      </c>
      <c r="O4863" s="23" t="s">
        <v>593</v>
      </c>
      <c r="P4863">
        <v>583.77</v>
      </c>
      <c r="Q4863" s="23" t="s">
        <v>181</v>
      </c>
    </row>
    <row r="4864" spans="1:17" x14ac:dyDescent="0.25">
      <c r="A4864" s="23" t="s">
        <v>1057</v>
      </c>
      <c r="B4864" s="23" t="s">
        <v>1056</v>
      </c>
      <c r="C4864" s="23" t="s">
        <v>176</v>
      </c>
      <c r="D4864" s="23" t="s">
        <v>656</v>
      </c>
      <c r="E4864" s="23" t="s">
        <v>657</v>
      </c>
      <c r="F4864">
        <v>2</v>
      </c>
      <c r="G4864" s="23" t="s">
        <v>177</v>
      </c>
      <c r="H4864">
        <v>0</v>
      </c>
      <c r="I4864">
        <v>216</v>
      </c>
      <c r="J4864" s="10">
        <v>118</v>
      </c>
      <c r="K4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864">
        <v>0</v>
      </c>
      <c r="M48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4">
        <v>3.95</v>
      </c>
      <c r="O4864" s="23" t="s">
        <v>221</v>
      </c>
      <c r="P4864">
        <v>7.9</v>
      </c>
      <c r="Q4864" s="23" t="s">
        <v>222</v>
      </c>
    </row>
    <row r="4865" spans="1:17" x14ac:dyDescent="0.25">
      <c r="A4865" s="23" t="s">
        <v>1143</v>
      </c>
      <c r="B4865" s="23" t="s">
        <v>1054</v>
      </c>
      <c r="C4865" s="23" t="s">
        <v>176</v>
      </c>
      <c r="D4865" s="23" t="s">
        <v>656</v>
      </c>
      <c r="E4865" s="23" t="s">
        <v>657</v>
      </c>
      <c r="F4865">
        <v>2</v>
      </c>
      <c r="G4865" s="23" t="s">
        <v>177</v>
      </c>
      <c r="H4865">
        <v>0</v>
      </c>
      <c r="I4865">
        <v>216</v>
      </c>
      <c r="J4865" s="10">
        <v>118</v>
      </c>
      <c r="K4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4865">
        <v>0</v>
      </c>
      <c r="M48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5">
        <v>3.95</v>
      </c>
      <c r="O4865" s="23" t="s">
        <v>221</v>
      </c>
      <c r="P4865">
        <v>7.9</v>
      </c>
      <c r="Q4865" s="23" t="s">
        <v>222</v>
      </c>
    </row>
    <row r="4866" spans="1:17" x14ac:dyDescent="0.25">
      <c r="A4866" s="23" t="s">
        <v>1147</v>
      </c>
      <c r="B4866" s="23" t="s">
        <v>1145</v>
      </c>
      <c r="C4866" s="23" t="s">
        <v>176</v>
      </c>
      <c r="D4866" s="23" t="s">
        <v>1176</v>
      </c>
      <c r="E4866" s="23" t="s">
        <v>1177</v>
      </c>
      <c r="F4866">
        <v>2</v>
      </c>
      <c r="G4866" s="23" t="s">
        <v>177</v>
      </c>
      <c r="H4866">
        <v>0</v>
      </c>
      <c r="I4866">
        <v>500</v>
      </c>
      <c r="J4866" s="10">
        <v>500</v>
      </c>
      <c r="K4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66">
        <v>0</v>
      </c>
      <c r="M48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6">
        <v>0.65</v>
      </c>
      <c r="O4866" s="23" t="s">
        <v>827</v>
      </c>
      <c r="P4866">
        <v>1.3</v>
      </c>
      <c r="Q4866" s="23" t="s">
        <v>222</v>
      </c>
    </row>
    <row r="4867" spans="1:17" x14ac:dyDescent="0.25">
      <c r="A4867" s="23" t="s">
        <v>1147</v>
      </c>
      <c r="B4867" s="23" t="s">
        <v>1145</v>
      </c>
      <c r="C4867" s="23" t="s">
        <v>176</v>
      </c>
      <c r="D4867" s="23" t="s">
        <v>1178</v>
      </c>
      <c r="E4867" s="23" t="s">
        <v>1179</v>
      </c>
      <c r="F4867">
        <v>2</v>
      </c>
      <c r="G4867" s="23" t="s">
        <v>177</v>
      </c>
      <c r="H4867">
        <v>0</v>
      </c>
      <c r="I4867">
        <v>500</v>
      </c>
      <c r="J4867" s="10">
        <v>500</v>
      </c>
      <c r="K4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67">
        <v>0</v>
      </c>
      <c r="M48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67">
        <v>0.39</v>
      </c>
      <c r="O4867" s="23" t="s">
        <v>827</v>
      </c>
      <c r="P4867">
        <v>0.78</v>
      </c>
      <c r="Q4867" s="23" t="s">
        <v>222</v>
      </c>
    </row>
    <row r="4868" spans="1:17" x14ac:dyDescent="0.25">
      <c r="A4868" s="23" t="s">
        <v>1057</v>
      </c>
      <c r="B4868" s="23" t="s">
        <v>1056</v>
      </c>
      <c r="C4868" s="23" t="s">
        <v>176</v>
      </c>
      <c r="D4868" s="23" t="s">
        <v>275</v>
      </c>
      <c r="E4868" s="23" t="s">
        <v>276</v>
      </c>
      <c r="F4868">
        <v>1</v>
      </c>
      <c r="G4868" s="23" t="s">
        <v>177</v>
      </c>
      <c r="H4868">
        <v>1</v>
      </c>
      <c r="I4868">
        <v>9</v>
      </c>
      <c r="J4868" s="10">
        <v>8</v>
      </c>
      <c r="K4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868">
        <v>0</v>
      </c>
      <c r="M48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868">
        <v>487.56</v>
      </c>
      <c r="O4868" s="23" t="s">
        <v>277</v>
      </c>
      <c r="P4868">
        <v>487.56</v>
      </c>
      <c r="Q4868" s="23" t="s">
        <v>178</v>
      </c>
    </row>
    <row r="4869" spans="1:17" x14ac:dyDescent="0.25">
      <c r="A4869" s="23" t="s">
        <v>1094</v>
      </c>
      <c r="B4869" s="23" t="s">
        <v>1095</v>
      </c>
      <c r="C4869" s="23" t="s">
        <v>176</v>
      </c>
      <c r="D4869" s="23" t="s">
        <v>275</v>
      </c>
      <c r="E4869" s="23" t="s">
        <v>276</v>
      </c>
      <c r="F4869">
        <v>1</v>
      </c>
      <c r="G4869" s="23" t="s">
        <v>177</v>
      </c>
      <c r="H4869">
        <v>0</v>
      </c>
      <c r="I4869">
        <v>9</v>
      </c>
      <c r="J4869" s="10">
        <v>8</v>
      </c>
      <c r="K4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4869">
        <v>0</v>
      </c>
      <c r="M48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4869">
        <v>487.56</v>
      </c>
      <c r="O4869" s="23" t="s">
        <v>277</v>
      </c>
      <c r="P4869">
        <v>487.56</v>
      </c>
      <c r="Q4869" s="23" t="s">
        <v>178</v>
      </c>
    </row>
    <row r="4870" spans="1:17" x14ac:dyDescent="0.25">
      <c r="A4870" s="23" t="s">
        <v>1094</v>
      </c>
      <c r="B4870" s="23" t="s">
        <v>1095</v>
      </c>
      <c r="C4870" s="23" t="s">
        <v>176</v>
      </c>
      <c r="D4870" s="23" t="s">
        <v>434</v>
      </c>
      <c r="E4870" s="23" t="s">
        <v>435</v>
      </c>
      <c r="F4870">
        <v>1</v>
      </c>
      <c r="G4870" s="23" t="s">
        <v>177</v>
      </c>
      <c r="H4870">
        <v>0</v>
      </c>
      <c r="I4870">
        <v>14</v>
      </c>
      <c r="J4870" s="10">
        <v>3</v>
      </c>
      <c r="K4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870">
        <v>0</v>
      </c>
      <c r="M48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0">
        <v>1678.88</v>
      </c>
      <c r="O4870" s="23" t="s">
        <v>637</v>
      </c>
      <c r="P4870">
        <v>1678.88</v>
      </c>
      <c r="Q4870" s="23" t="s">
        <v>179</v>
      </c>
    </row>
    <row r="4871" spans="1:17" x14ac:dyDescent="0.25">
      <c r="A4871" s="23" t="s">
        <v>1096</v>
      </c>
      <c r="B4871" s="23" t="s">
        <v>1053</v>
      </c>
      <c r="C4871" s="23" t="s">
        <v>176</v>
      </c>
      <c r="D4871" s="23" t="s">
        <v>570</v>
      </c>
      <c r="E4871" s="23" t="s">
        <v>571</v>
      </c>
      <c r="F4871">
        <v>4</v>
      </c>
      <c r="G4871" s="23" t="s">
        <v>177</v>
      </c>
      <c r="H4871">
        <v>0</v>
      </c>
      <c r="I4871">
        <v>1000</v>
      </c>
      <c r="J4871" s="10">
        <v>1222</v>
      </c>
      <c r="K4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871">
        <v>0</v>
      </c>
      <c r="M48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1">
        <v>1.1399999999999999</v>
      </c>
      <c r="O4871" s="23" t="s">
        <v>883</v>
      </c>
      <c r="P4871">
        <v>4.5599999999999996</v>
      </c>
      <c r="Q4871" s="23" t="s">
        <v>181</v>
      </c>
    </row>
    <row r="4872" spans="1:17" x14ac:dyDescent="0.25">
      <c r="A4872" s="23" t="s">
        <v>1094</v>
      </c>
      <c r="B4872" s="23" t="s">
        <v>1095</v>
      </c>
      <c r="C4872" s="23" t="s">
        <v>176</v>
      </c>
      <c r="D4872" s="23" t="s">
        <v>570</v>
      </c>
      <c r="E4872" s="23" t="s">
        <v>571</v>
      </c>
      <c r="F4872">
        <v>4</v>
      </c>
      <c r="G4872" s="23" t="s">
        <v>177</v>
      </c>
      <c r="H4872">
        <v>0</v>
      </c>
      <c r="I4872">
        <v>1000</v>
      </c>
      <c r="J4872" s="10">
        <v>1222</v>
      </c>
      <c r="K4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4872">
        <v>0</v>
      </c>
      <c r="M48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2">
        <v>1.1399999999999999</v>
      </c>
      <c r="O4872" s="23" t="s">
        <v>883</v>
      </c>
      <c r="P4872">
        <v>4.5599999999999996</v>
      </c>
      <c r="Q4872" s="23" t="s">
        <v>181</v>
      </c>
    </row>
    <row r="4873" spans="1:17" x14ac:dyDescent="0.25">
      <c r="A4873" s="23" t="s">
        <v>1057</v>
      </c>
      <c r="B4873" s="23" t="s">
        <v>1056</v>
      </c>
      <c r="C4873" s="23" t="s">
        <v>176</v>
      </c>
      <c r="D4873" s="23" t="s">
        <v>273</v>
      </c>
      <c r="E4873" s="23" t="s">
        <v>621</v>
      </c>
      <c r="F4873">
        <v>1</v>
      </c>
      <c r="G4873" s="23" t="s">
        <v>177</v>
      </c>
      <c r="H4873">
        <v>0</v>
      </c>
      <c r="I4873">
        <v>8</v>
      </c>
      <c r="J4873" s="10">
        <v>4</v>
      </c>
      <c r="K4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873">
        <v>0</v>
      </c>
      <c r="M48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3">
        <v>1723.12</v>
      </c>
      <c r="O4873" s="23" t="s">
        <v>637</v>
      </c>
      <c r="P4873">
        <v>1723.12</v>
      </c>
      <c r="Q4873" s="23" t="s">
        <v>179</v>
      </c>
    </row>
    <row r="4874" spans="1:17" x14ac:dyDescent="0.25">
      <c r="A4874" s="23" t="s">
        <v>1197</v>
      </c>
      <c r="B4874" s="23" t="s">
        <v>1198</v>
      </c>
      <c r="C4874" s="23" t="s">
        <v>176</v>
      </c>
      <c r="D4874" s="23" t="s">
        <v>1176</v>
      </c>
      <c r="E4874" s="23" t="s">
        <v>1177</v>
      </c>
      <c r="F4874">
        <v>2</v>
      </c>
      <c r="G4874" s="23" t="s">
        <v>177</v>
      </c>
      <c r="H4874">
        <v>0</v>
      </c>
      <c r="I4874">
        <v>500</v>
      </c>
      <c r="J4874" s="10">
        <v>500</v>
      </c>
      <c r="K4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74">
        <v>0</v>
      </c>
      <c r="M48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4">
        <v>0.65</v>
      </c>
      <c r="O4874" s="23" t="s">
        <v>827</v>
      </c>
      <c r="P4874">
        <v>1.3</v>
      </c>
      <c r="Q4874" s="23" t="s">
        <v>222</v>
      </c>
    </row>
    <row r="4875" spans="1:17" x14ac:dyDescent="0.25">
      <c r="A4875" s="23" t="s">
        <v>1142</v>
      </c>
      <c r="B4875" s="23" t="s">
        <v>1054</v>
      </c>
      <c r="C4875" s="23" t="s">
        <v>176</v>
      </c>
      <c r="D4875" s="23" t="s">
        <v>880</v>
      </c>
      <c r="E4875" s="23" t="s">
        <v>881</v>
      </c>
      <c r="F4875">
        <v>1</v>
      </c>
      <c r="G4875" s="23" t="s">
        <v>177</v>
      </c>
      <c r="H4875">
        <v>0</v>
      </c>
      <c r="I4875">
        <v>10</v>
      </c>
      <c r="J4875" s="10">
        <v>7</v>
      </c>
      <c r="K4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875">
        <v>15</v>
      </c>
      <c r="M48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5">
        <v>776.15</v>
      </c>
      <c r="O4875" s="23" t="s">
        <v>882</v>
      </c>
      <c r="P4875">
        <v>776.15</v>
      </c>
      <c r="Q4875" s="23" t="s">
        <v>222</v>
      </c>
    </row>
    <row r="4876" spans="1:17" x14ac:dyDescent="0.25">
      <c r="A4876" s="23" t="s">
        <v>1197</v>
      </c>
      <c r="B4876" s="23" t="s">
        <v>1198</v>
      </c>
      <c r="C4876" s="23" t="s">
        <v>176</v>
      </c>
      <c r="D4876" s="23" t="s">
        <v>1178</v>
      </c>
      <c r="E4876" s="23" t="s">
        <v>1179</v>
      </c>
      <c r="F4876">
        <v>2</v>
      </c>
      <c r="G4876" s="23" t="s">
        <v>177</v>
      </c>
      <c r="H4876">
        <v>0</v>
      </c>
      <c r="I4876">
        <v>500</v>
      </c>
      <c r="J4876" s="10">
        <v>500</v>
      </c>
      <c r="K4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4876">
        <v>0</v>
      </c>
      <c r="M48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6">
        <v>0.39</v>
      </c>
      <c r="O4876" s="23" t="s">
        <v>827</v>
      </c>
      <c r="P4876">
        <v>0.78</v>
      </c>
      <c r="Q4876" s="23" t="s">
        <v>222</v>
      </c>
    </row>
    <row r="4877" spans="1:17" x14ac:dyDescent="0.25">
      <c r="A4877" s="23" t="s">
        <v>1094</v>
      </c>
      <c r="B4877" s="23" t="s">
        <v>1095</v>
      </c>
      <c r="C4877" s="23" t="s">
        <v>176</v>
      </c>
      <c r="D4877" s="23" t="s">
        <v>719</v>
      </c>
      <c r="E4877" s="23" t="s">
        <v>720</v>
      </c>
      <c r="F4877">
        <v>1</v>
      </c>
      <c r="G4877" s="23" t="s">
        <v>177</v>
      </c>
      <c r="H4877">
        <v>0</v>
      </c>
      <c r="I4877">
        <v>1</v>
      </c>
      <c r="J4877" s="10">
        <v>4</v>
      </c>
      <c r="K4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4877">
        <v>0</v>
      </c>
      <c r="M48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4877">
        <v>12990.78</v>
      </c>
      <c r="O4877" s="23" t="s">
        <v>590</v>
      </c>
      <c r="P4877">
        <v>12990.78</v>
      </c>
      <c r="Q4877" s="23" t="s">
        <v>178</v>
      </c>
    </row>
    <row r="4878" spans="1:17" x14ac:dyDescent="0.25">
      <c r="A4878" s="23" t="s">
        <v>1094</v>
      </c>
      <c r="B4878" s="23" t="s">
        <v>1095</v>
      </c>
      <c r="C4878" s="23" t="s">
        <v>176</v>
      </c>
      <c r="D4878" s="23" t="s">
        <v>880</v>
      </c>
      <c r="E4878" s="23" t="s">
        <v>881</v>
      </c>
      <c r="F4878">
        <v>1</v>
      </c>
      <c r="G4878" s="23" t="s">
        <v>177</v>
      </c>
      <c r="H4878">
        <v>0</v>
      </c>
      <c r="I4878">
        <v>10</v>
      </c>
      <c r="J4878" s="10">
        <v>7</v>
      </c>
      <c r="K4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878">
        <v>15</v>
      </c>
      <c r="M48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8">
        <v>776.15</v>
      </c>
      <c r="O4878" s="23" t="s">
        <v>882</v>
      </c>
      <c r="P4878">
        <v>776.15</v>
      </c>
      <c r="Q4878" s="23" t="s">
        <v>222</v>
      </c>
    </row>
    <row r="4879" spans="1:17" x14ac:dyDescent="0.25">
      <c r="A4879" s="23" t="s">
        <v>1094</v>
      </c>
      <c r="B4879" s="23" t="s">
        <v>1095</v>
      </c>
      <c r="C4879" s="23" t="s">
        <v>176</v>
      </c>
      <c r="D4879" s="23" t="s">
        <v>1138</v>
      </c>
      <c r="E4879" s="23" t="s">
        <v>1139</v>
      </c>
      <c r="F4879">
        <v>2</v>
      </c>
      <c r="G4879" s="23" t="s">
        <v>177</v>
      </c>
      <c r="H4879">
        <v>0</v>
      </c>
      <c r="I4879">
        <v>29</v>
      </c>
      <c r="J4879" s="10">
        <v>0</v>
      </c>
      <c r="K4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</v>
      </c>
      <c r="L4879">
        <v>0</v>
      </c>
      <c r="M48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79">
        <v>213.48</v>
      </c>
      <c r="O4879" s="23" t="s">
        <v>637</v>
      </c>
      <c r="P4879">
        <v>426.96</v>
      </c>
      <c r="Q4879" s="23" t="s">
        <v>179</v>
      </c>
    </row>
    <row r="4880" spans="1:17" x14ac:dyDescent="0.25">
      <c r="A4880" s="23" t="s">
        <v>1055</v>
      </c>
      <c r="B4880" s="23" t="s">
        <v>1056</v>
      </c>
      <c r="C4880" s="23" t="s">
        <v>176</v>
      </c>
      <c r="D4880" s="23" t="s">
        <v>341</v>
      </c>
      <c r="E4880" s="23" t="s">
        <v>342</v>
      </c>
      <c r="F4880">
        <v>1.5</v>
      </c>
      <c r="G4880" s="23" t="s">
        <v>177</v>
      </c>
      <c r="H4880">
        <v>1.5</v>
      </c>
      <c r="I4880">
        <v>75</v>
      </c>
      <c r="J4880" s="10">
        <v>42.700000000000159</v>
      </c>
      <c r="K4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4880">
        <v>0</v>
      </c>
      <c r="M48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0">
        <v>15</v>
      </c>
      <c r="O4880" s="23" t="s">
        <v>242</v>
      </c>
      <c r="P4880">
        <v>22.5</v>
      </c>
      <c r="Q4880" s="23" t="s">
        <v>181</v>
      </c>
    </row>
    <row r="4881" spans="1:17" x14ac:dyDescent="0.25">
      <c r="A4881" s="23" t="s">
        <v>1058</v>
      </c>
      <c r="B4881" s="23" t="s">
        <v>1059</v>
      </c>
      <c r="C4881" s="23" t="s">
        <v>176</v>
      </c>
      <c r="D4881" s="23" t="s">
        <v>341</v>
      </c>
      <c r="E4881" s="23" t="s">
        <v>342</v>
      </c>
      <c r="F4881">
        <v>1.5</v>
      </c>
      <c r="G4881" s="23" t="s">
        <v>177</v>
      </c>
      <c r="H4881">
        <v>1.5</v>
      </c>
      <c r="I4881">
        <v>75</v>
      </c>
      <c r="J4881" s="10">
        <v>42.700000000000159</v>
      </c>
      <c r="K4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4881">
        <v>0</v>
      </c>
      <c r="M48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1">
        <v>15</v>
      </c>
      <c r="O4881" s="23" t="s">
        <v>242</v>
      </c>
      <c r="P4881">
        <v>22.5</v>
      </c>
      <c r="Q4881" s="23" t="s">
        <v>181</v>
      </c>
    </row>
    <row r="4882" spans="1:17" x14ac:dyDescent="0.25">
      <c r="A4882" s="23" t="s">
        <v>1055</v>
      </c>
      <c r="B4882" s="23" t="s">
        <v>1056</v>
      </c>
      <c r="C4882" s="23" t="s">
        <v>176</v>
      </c>
      <c r="D4882" s="23" t="s">
        <v>780</v>
      </c>
      <c r="E4882" s="23" t="s">
        <v>781</v>
      </c>
      <c r="F4882">
        <v>2</v>
      </c>
      <c r="G4882" s="23" t="s">
        <v>177</v>
      </c>
      <c r="H4882">
        <v>2</v>
      </c>
      <c r="I4882">
        <v>3</v>
      </c>
      <c r="J4882" s="10">
        <v>12</v>
      </c>
      <c r="K4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882">
        <v>0</v>
      </c>
      <c r="M48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882">
        <v>444.13</v>
      </c>
      <c r="O4882" s="23" t="s">
        <v>590</v>
      </c>
      <c r="P4882">
        <v>888.26</v>
      </c>
      <c r="Q4882" s="23" t="s">
        <v>178</v>
      </c>
    </row>
    <row r="4883" spans="1:17" x14ac:dyDescent="0.25">
      <c r="A4883" s="23" t="s">
        <v>1057</v>
      </c>
      <c r="B4883" s="23" t="s">
        <v>1056</v>
      </c>
      <c r="C4883" s="23" t="s">
        <v>176</v>
      </c>
      <c r="D4883" s="23" t="s">
        <v>780</v>
      </c>
      <c r="E4883" s="23" t="s">
        <v>781</v>
      </c>
      <c r="F4883">
        <v>2</v>
      </c>
      <c r="G4883" s="23" t="s">
        <v>177</v>
      </c>
      <c r="H4883">
        <v>2</v>
      </c>
      <c r="I4883">
        <v>3</v>
      </c>
      <c r="J4883" s="10">
        <v>12</v>
      </c>
      <c r="K4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4883">
        <v>0</v>
      </c>
      <c r="M48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4883">
        <v>444.13</v>
      </c>
      <c r="O4883" s="23" t="s">
        <v>590</v>
      </c>
      <c r="P4883">
        <v>888.26</v>
      </c>
      <c r="Q4883" s="23" t="s">
        <v>178</v>
      </c>
    </row>
    <row r="4884" spans="1:17" x14ac:dyDescent="0.25">
      <c r="A4884" s="23" t="s">
        <v>1055</v>
      </c>
      <c r="B4884" s="23" t="s">
        <v>1056</v>
      </c>
      <c r="C4884" s="23" t="s">
        <v>176</v>
      </c>
      <c r="D4884" s="23" t="s">
        <v>107</v>
      </c>
      <c r="E4884" s="23" t="s">
        <v>108</v>
      </c>
      <c r="F4884">
        <v>1</v>
      </c>
      <c r="G4884" s="23" t="s">
        <v>177</v>
      </c>
      <c r="H4884">
        <v>1</v>
      </c>
      <c r="I4884">
        <v>9</v>
      </c>
      <c r="J4884" s="10">
        <v>8</v>
      </c>
      <c r="K4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884">
        <v>5</v>
      </c>
      <c r="M48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4">
        <v>1200</v>
      </c>
      <c r="O4884" s="23" t="s">
        <v>218</v>
      </c>
      <c r="P4884">
        <v>1200</v>
      </c>
      <c r="Q4884" s="23" t="s">
        <v>179</v>
      </c>
    </row>
    <row r="4885" spans="1:17" x14ac:dyDescent="0.25">
      <c r="A4885" s="23" t="s">
        <v>1058</v>
      </c>
      <c r="B4885" s="23" t="s">
        <v>1059</v>
      </c>
      <c r="C4885" s="23" t="s">
        <v>176</v>
      </c>
      <c r="D4885" s="23" t="s">
        <v>107</v>
      </c>
      <c r="E4885" s="23" t="s">
        <v>108</v>
      </c>
      <c r="F4885">
        <v>1</v>
      </c>
      <c r="G4885" s="23" t="s">
        <v>177</v>
      </c>
      <c r="H4885">
        <v>1</v>
      </c>
      <c r="I4885">
        <v>9</v>
      </c>
      <c r="J4885" s="10">
        <v>8</v>
      </c>
      <c r="K4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4885">
        <v>5</v>
      </c>
      <c r="M48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5">
        <v>1200</v>
      </c>
      <c r="O4885" s="23" t="s">
        <v>218</v>
      </c>
      <c r="P4885">
        <v>1200</v>
      </c>
      <c r="Q4885" s="23" t="s">
        <v>179</v>
      </c>
    </row>
    <row r="4886" spans="1:17" x14ac:dyDescent="0.25">
      <c r="A4886" s="23" t="s">
        <v>1099</v>
      </c>
      <c r="B4886" s="23" t="s">
        <v>1056</v>
      </c>
      <c r="C4886" s="23" t="s">
        <v>176</v>
      </c>
      <c r="D4886" s="23" t="s">
        <v>336</v>
      </c>
      <c r="E4886" s="23" t="s">
        <v>623</v>
      </c>
      <c r="F4886">
        <v>1</v>
      </c>
      <c r="G4886" s="23" t="s">
        <v>177</v>
      </c>
      <c r="H4886">
        <v>1</v>
      </c>
      <c r="I4886">
        <v>5</v>
      </c>
      <c r="J4886" s="10">
        <v>4</v>
      </c>
      <c r="K4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86">
        <v>0</v>
      </c>
      <c r="M48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886">
        <v>1723.12</v>
      </c>
      <c r="O4886" s="23" t="s">
        <v>637</v>
      </c>
      <c r="P4886">
        <v>1723.12</v>
      </c>
      <c r="Q4886" s="23" t="s">
        <v>179</v>
      </c>
    </row>
    <row r="4887" spans="1:17" x14ac:dyDescent="0.25">
      <c r="A4887" s="23" t="s">
        <v>1058</v>
      </c>
      <c r="B4887" s="23" t="s">
        <v>1059</v>
      </c>
      <c r="C4887" s="23" t="s">
        <v>176</v>
      </c>
      <c r="D4887" s="23" t="s">
        <v>336</v>
      </c>
      <c r="E4887" s="23" t="s">
        <v>623</v>
      </c>
      <c r="F4887">
        <v>1</v>
      </c>
      <c r="G4887" s="23" t="s">
        <v>177</v>
      </c>
      <c r="H4887">
        <v>1</v>
      </c>
      <c r="I4887">
        <v>5</v>
      </c>
      <c r="J4887" s="10">
        <v>4</v>
      </c>
      <c r="K4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87">
        <v>0</v>
      </c>
      <c r="M48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887">
        <v>1723.12</v>
      </c>
      <c r="O4887" s="23" t="s">
        <v>637</v>
      </c>
      <c r="P4887">
        <v>1723.12</v>
      </c>
      <c r="Q4887" s="23" t="s">
        <v>179</v>
      </c>
    </row>
    <row r="4888" spans="1:17" x14ac:dyDescent="0.25">
      <c r="A4888" s="23" t="s">
        <v>1150</v>
      </c>
      <c r="B4888" s="23" t="s">
        <v>1145</v>
      </c>
      <c r="C4888" s="23" t="s">
        <v>176</v>
      </c>
      <c r="D4888" s="23" t="s">
        <v>336</v>
      </c>
      <c r="E4888" s="23" t="s">
        <v>623</v>
      </c>
      <c r="F4888">
        <v>1</v>
      </c>
      <c r="G4888" s="23" t="s">
        <v>177</v>
      </c>
      <c r="H4888">
        <v>1</v>
      </c>
      <c r="I4888">
        <v>5</v>
      </c>
      <c r="J4888" s="10">
        <v>4</v>
      </c>
      <c r="K4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888">
        <v>0</v>
      </c>
      <c r="M48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4888">
        <v>1723.12</v>
      </c>
      <c r="O4888" s="23" t="s">
        <v>637</v>
      </c>
      <c r="P4888">
        <v>1723.12</v>
      </c>
      <c r="Q4888" s="23" t="s">
        <v>179</v>
      </c>
    </row>
    <row r="4889" spans="1:17" x14ac:dyDescent="0.25">
      <c r="A4889" s="23" t="s">
        <v>1143</v>
      </c>
      <c r="B4889" s="23" t="s">
        <v>1054</v>
      </c>
      <c r="C4889" s="23" t="s">
        <v>176</v>
      </c>
      <c r="D4889" s="23" t="s">
        <v>880</v>
      </c>
      <c r="E4889" s="23" t="s">
        <v>881</v>
      </c>
      <c r="F4889">
        <v>1</v>
      </c>
      <c r="G4889" s="23" t="s">
        <v>177</v>
      </c>
      <c r="H4889">
        <v>0</v>
      </c>
      <c r="I4889">
        <v>10</v>
      </c>
      <c r="J4889" s="10">
        <v>7</v>
      </c>
      <c r="K4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889">
        <v>15</v>
      </c>
      <c r="M48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89">
        <v>776.15</v>
      </c>
      <c r="O4889" s="23" t="s">
        <v>882</v>
      </c>
      <c r="P4889">
        <v>776.15</v>
      </c>
      <c r="Q4889" s="23" t="s">
        <v>222</v>
      </c>
    </row>
    <row r="4890" spans="1:17" x14ac:dyDescent="0.25">
      <c r="A4890" s="23" t="s">
        <v>1055</v>
      </c>
      <c r="B4890" s="23" t="s">
        <v>1056</v>
      </c>
      <c r="C4890" s="23" t="s">
        <v>176</v>
      </c>
      <c r="D4890" s="23" t="s">
        <v>880</v>
      </c>
      <c r="E4890" s="23" t="s">
        <v>881</v>
      </c>
      <c r="F4890">
        <v>1</v>
      </c>
      <c r="G4890" s="23" t="s">
        <v>177</v>
      </c>
      <c r="H4890">
        <v>1</v>
      </c>
      <c r="I4890">
        <v>10</v>
      </c>
      <c r="J4890" s="10">
        <v>7</v>
      </c>
      <c r="K4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890">
        <v>15</v>
      </c>
      <c r="M48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0">
        <v>776.15</v>
      </c>
      <c r="O4890" s="23" t="s">
        <v>882</v>
      </c>
      <c r="P4890">
        <v>776.15</v>
      </c>
      <c r="Q4890" s="23" t="s">
        <v>222</v>
      </c>
    </row>
    <row r="4891" spans="1:17" x14ac:dyDescent="0.25">
      <c r="A4891" s="23" t="s">
        <v>1057</v>
      </c>
      <c r="B4891" s="23" t="s">
        <v>1056</v>
      </c>
      <c r="C4891" s="23" t="s">
        <v>176</v>
      </c>
      <c r="D4891" s="23" t="s">
        <v>880</v>
      </c>
      <c r="E4891" s="23" t="s">
        <v>881</v>
      </c>
      <c r="F4891">
        <v>1</v>
      </c>
      <c r="G4891" s="23" t="s">
        <v>177</v>
      </c>
      <c r="H4891">
        <v>1</v>
      </c>
      <c r="I4891">
        <v>10</v>
      </c>
      <c r="J4891" s="10">
        <v>7</v>
      </c>
      <c r="K4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891">
        <v>15</v>
      </c>
      <c r="M48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1">
        <v>776.15</v>
      </c>
      <c r="O4891" s="23" t="s">
        <v>882</v>
      </c>
      <c r="P4891">
        <v>776.15</v>
      </c>
      <c r="Q4891" s="23" t="s">
        <v>222</v>
      </c>
    </row>
    <row r="4892" spans="1:17" x14ac:dyDescent="0.25">
      <c r="A4892" s="23" t="s">
        <v>1099</v>
      </c>
      <c r="B4892" s="23" t="s">
        <v>1056</v>
      </c>
      <c r="C4892" s="23" t="s">
        <v>176</v>
      </c>
      <c r="D4892" s="23" t="s">
        <v>880</v>
      </c>
      <c r="E4892" s="23" t="s">
        <v>881</v>
      </c>
      <c r="F4892">
        <v>1</v>
      </c>
      <c r="G4892" s="23" t="s">
        <v>177</v>
      </c>
      <c r="H4892">
        <v>1</v>
      </c>
      <c r="I4892">
        <v>10</v>
      </c>
      <c r="J4892" s="10">
        <v>7</v>
      </c>
      <c r="K4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4892">
        <v>15</v>
      </c>
      <c r="M48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892">
        <v>776.15</v>
      </c>
      <c r="O4892" s="23" t="s">
        <v>882</v>
      </c>
      <c r="P4892">
        <v>776.15</v>
      </c>
      <c r="Q4892" s="23" t="s">
        <v>222</v>
      </c>
    </row>
    <row r="4893" spans="1:17" x14ac:dyDescent="0.25">
      <c r="A4893" s="23" t="s">
        <v>1099</v>
      </c>
      <c r="B4893" s="23" t="s">
        <v>1056</v>
      </c>
      <c r="C4893" s="23" t="s">
        <v>176</v>
      </c>
      <c r="D4893" s="23" t="s">
        <v>661</v>
      </c>
      <c r="E4893" s="23" t="s">
        <v>662</v>
      </c>
      <c r="F4893">
        <v>1</v>
      </c>
      <c r="G4893" s="23" t="s">
        <v>186</v>
      </c>
      <c r="H4893">
        <v>0</v>
      </c>
      <c r="I4893">
        <v>0</v>
      </c>
      <c r="J4893" s="10">
        <v>0</v>
      </c>
      <c r="K4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893">
        <v>0</v>
      </c>
      <c r="M48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893">
        <v>80.98</v>
      </c>
      <c r="O4893" s="23" t="s">
        <v>224</v>
      </c>
      <c r="P4893">
        <v>80.98</v>
      </c>
      <c r="Q4893" s="23" t="s">
        <v>184</v>
      </c>
    </row>
    <row r="4894" spans="1:17" x14ac:dyDescent="0.25">
      <c r="A4894" s="23" t="s">
        <v>1148</v>
      </c>
      <c r="B4894" s="23" t="s">
        <v>1054</v>
      </c>
      <c r="C4894" s="23" t="s">
        <v>176</v>
      </c>
      <c r="D4894" s="23" t="s">
        <v>661</v>
      </c>
      <c r="E4894" s="23" t="s">
        <v>662</v>
      </c>
      <c r="F4894">
        <v>1</v>
      </c>
      <c r="G4894" s="23" t="s">
        <v>186</v>
      </c>
      <c r="H4894">
        <v>0</v>
      </c>
      <c r="I4894">
        <v>0</v>
      </c>
      <c r="J4894" s="10">
        <v>0</v>
      </c>
      <c r="K4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894">
        <v>0</v>
      </c>
      <c r="M48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894">
        <v>80.98</v>
      </c>
      <c r="O4894" s="23" t="s">
        <v>224</v>
      </c>
      <c r="P4894">
        <v>80.98</v>
      </c>
      <c r="Q4894" s="23" t="s">
        <v>184</v>
      </c>
    </row>
    <row r="4895" spans="1:17" x14ac:dyDescent="0.25">
      <c r="A4895" s="23" t="s">
        <v>1147</v>
      </c>
      <c r="B4895" s="23" t="s">
        <v>1145</v>
      </c>
      <c r="C4895" s="23" t="s">
        <v>176</v>
      </c>
      <c r="D4895" s="23" t="s">
        <v>627</v>
      </c>
      <c r="E4895" s="23" t="s">
        <v>628</v>
      </c>
      <c r="F4895">
        <v>2</v>
      </c>
      <c r="G4895" s="23" t="s">
        <v>177</v>
      </c>
      <c r="H4895">
        <v>0</v>
      </c>
      <c r="I4895">
        <v>9</v>
      </c>
      <c r="J4895" s="10">
        <v>20</v>
      </c>
      <c r="K4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895">
        <v>0</v>
      </c>
      <c r="M48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4895">
        <v>14946.25</v>
      </c>
      <c r="O4895" s="23" t="s">
        <v>626</v>
      </c>
      <c r="P4895">
        <v>29892.5</v>
      </c>
      <c r="Q4895" s="23" t="s">
        <v>179</v>
      </c>
    </row>
    <row r="4896" spans="1:17" x14ac:dyDescent="0.25">
      <c r="A4896" s="23" t="s">
        <v>1099</v>
      </c>
      <c r="B4896" s="23" t="s">
        <v>1056</v>
      </c>
      <c r="C4896" s="23" t="s">
        <v>176</v>
      </c>
      <c r="D4896" s="23" t="s">
        <v>663</v>
      </c>
      <c r="E4896" s="23" t="s">
        <v>664</v>
      </c>
      <c r="F4896">
        <v>14</v>
      </c>
      <c r="G4896" s="23" t="s">
        <v>186</v>
      </c>
      <c r="H4896">
        <v>0</v>
      </c>
      <c r="I4896">
        <v>63</v>
      </c>
      <c r="J4896" s="10">
        <v>142.05000000000001</v>
      </c>
      <c r="K4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896">
        <v>0</v>
      </c>
      <c r="M48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896">
        <v>1094.67</v>
      </c>
      <c r="O4896" s="23" t="s">
        <v>649</v>
      </c>
      <c r="P4896">
        <v>15325.380000000001</v>
      </c>
      <c r="Q4896" s="23" t="s">
        <v>184</v>
      </c>
    </row>
    <row r="4897" spans="1:17" x14ac:dyDescent="0.25">
      <c r="A4897" s="23" t="s">
        <v>1147</v>
      </c>
      <c r="B4897" s="23" t="s">
        <v>1145</v>
      </c>
      <c r="C4897" s="23" t="s">
        <v>176</v>
      </c>
      <c r="D4897" s="23" t="s">
        <v>663</v>
      </c>
      <c r="E4897" s="23" t="s">
        <v>664</v>
      </c>
      <c r="F4897">
        <v>18</v>
      </c>
      <c r="G4897" s="23" t="s">
        <v>186</v>
      </c>
      <c r="H4897">
        <v>0</v>
      </c>
      <c r="I4897">
        <v>63</v>
      </c>
      <c r="J4897" s="10">
        <v>142.05000000000001</v>
      </c>
      <c r="K4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897">
        <v>0</v>
      </c>
      <c r="M48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897">
        <v>1094.67</v>
      </c>
      <c r="O4897" s="23" t="s">
        <v>649</v>
      </c>
      <c r="P4897">
        <v>19704.060000000001</v>
      </c>
      <c r="Q4897" s="23" t="s">
        <v>184</v>
      </c>
    </row>
    <row r="4898" spans="1:17" x14ac:dyDescent="0.25">
      <c r="A4898" s="23" t="s">
        <v>1097</v>
      </c>
      <c r="B4898" s="23" t="s">
        <v>1095</v>
      </c>
      <c r="C4898" s="23" t="s">
        <v>176</v>
      </c>
      <c r="D4898" s="23" t="s">
        <v>612</v>
      </c>
      <c r="E4898" s="23" t="s">
        <v>613</v>
      </c>
      <c r="F4898">
        <v>50</v>
      </c>
      <c r="G4898" s="23" t="s">
        <v>183</v>
      </c>
      <c r="H4898">
        <v>0</v>
      </c>
      <c r="I4898">
        <v>136.5</v>
      </c>
      <c r="J4898" s="10">
        <v>5.5</v>
      </c>
      <c r="K4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898">
        <v>110.5</v>
      </c>
      <c r="M48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898">
        <v>200.15</v>
      </c>
      <c r="O4898" s="23" t="s">
        <v>224</v>
      </c>
      <c r="P4898">
        <v>10007.5</v>
      </c>
      <c r="Q4898" s="23" t="s">
        <v>182</v>
      </c>
    </row>
    <row r="4899" spans="1:17" x14ac:dyDescent="0.25">
      <c r="A4899" s="23" t="s">
        <v>1197</v>
      </c>
      <c r="B4899" s="23" t="s">
        <v>1198</v>
      </c>
      <c r="C4899" s="23" t="s">
        <v>176</v>
      </c>
      <c r="D4899" s="23" t="s">
        <v>661</v>
      </c>
      <c r="E4899" s="23" t="s">
        <v>662</v>
      </c>
      <c r="F4899">
        <v>1</v>
      </c>
      <c r="G4899" s="23" t="s">
        <v>186</v>
      </c>
      <c r="H4899">
        <v>0</v>
      </c>
      <c r="I4899">
        <v>0</v>
      </c>
      <c r="J4899" s="10">
        <v>0</v>
      </c>
      <c r="K4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899">
        <v>0</v>
      </c>
      <c r="M48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899">
        <v>80.98</v>
      </c>
      <c r="O4899" s="23" t="s">
        <v>224</v>
      </c>
      <c r="P4899">
        <v>80.98</v>
      </c>
      <c r="Q4899" s="23" t="s">
        <v>184</v>
      </c>
    </row>
    <row r="4900" spans="1:17" x14ac:dyDescent="0.25">
      <c r="A4900" s="23" t="s">
        <v>1097</v>
      </c>
      <c r="B4900" s="23" t="s">
        <v>1095</v>
      </c>
      <c r="C4900" s="23" t="s">
        <v>176</v>
      </c>
      <c r="D4900" s="23" t="s">
        <v>627</v>
      </c>
      <c r="E4900" s="23" t="s">
        <v>628</v>
      </c>
      <c r="F4900">
        <v>2</v>
      </c>
      <c r="G4900" s="23" t="s">
        <v>177</v>
      </c>
      <c r="H4900">
        <v>0</v>
      </c>
      <c r="I4900">
        <v>9</v>
      </c>
      <c r="J4900" s="10">
        <v>20</v>
      </c>
      <c r="K4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00">
        <v>0</v>
      </c>
      <c r="M49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4900">
        <v>14946.25</v>
      </c>
      <c r="O4900" s="23" t="s">
        <v>626</v>
      </c>
      <c r="P4900">
        <v>29892.5</v>
      </c>
      <c r="Q4900" s="23" t="s">
        <v>179</v>
      </c>
    </row>
    <row r="4901" spans="1:17" x14ac:dyDescent="0.25">
      <c r="A4901" s="23" t="s">
        <v>1098</v>
      </c>
      <c r="B4901" s="23" t="s">
        <v>1053</v>
      </c>
      <c r="C4901" s="23" t="s">
        <v>176</v>
      </c>
      <c r="D4901" s="23" t="s">
        <v>627</v>
      </c>
      <c r="E4901" s="23" t="s">
        <v>628</v>
      </c>
      <c r="F4901">
        <v>2</v>
      </c>
      <c r="G4901" s="23" t="s">
        <v>177</v>
      </c>
      <c r="H4901">
        <v>0</v>
      </c>
      <c r="I4901">
        <v>9</v>
      </c>
      <c r="J4901" s="10">
        <v>20</v>
      </c>
      <c r="K4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01">
        <v>0</v>
      </c>
      <c r="M49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4901">
        <v>14946.25</v>
      </c>
      <c r="O4901" s="23" t="s">
        <v>626</v>
      </c>
      <c r="P4901">
        <v>29892.5</v>
      </c>
      <c r="Q4901" s="23" t="s">
        <v>179</v>
      </c>
    </row>
    <row r="4902" spans="1:17" x14ac:dyDescent="0.25">
      <c r="A4902" s="23" t="s">
        <v>1197</v>
      </c>
      <c r="B4902" s="23" t="s">
        <v>1198</v>
      </c>
      <c r="C4902" s="23" t="s">
        <v>176</v>
      </c>
      <c r="D4902" s="23" t="s">
        <v>627</v>
      </c>
      <c r="E4902" s="23" t="s">
        <v>628</v>
      </c>
      <c r="F4902">
        <v>2</v>
      </c>
      <c r="G4902" s="23" t="s">
        <v>177</v>
      </c>
      <c r="H4902">
        <v>0</v>
      </c>
      <c r="I4902">
        <v>9</v>
      </c>
      <c r="J4902" s="10">
        <v>20</v>
      </c>
      <c r="K4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02">
        <v>0</v>
      </c>
      <c r="M49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4902">
        <v>14946.25</v>
      </c>
      <c r="O4902" s="23" t="s">
        <v>626</v>
      </c>
      <c r="P4902">
        <v>29892.5</v>
      </c>
      <c r="Q4902" s="23" t="s">
        <v>179</v>
      </c>
    </row>
    <row r="4903" spans="1:17" x14ac:dyDescent="0.25">
      <c r="A4903" s="23" t="s">
        <v>1097</v>
      </c>
      <c r="B4903" s="23" t="s">
        <v>1095</v>
      </c>
      <c r="C4903" s="23" t="s">
        <v>176</v>
      </c>
      <c r="D4903" s="23" t="s">
        <v>663</v>
      </c>
      <c r="E4903" s="23" t="s">
        <v>664</v>
      </c>
      <c r="F4903">
        <v>18</v>
      </c>
      <c r="G4903" s="23" t="s">
        <v>186</v>
      </c>
      <c r="H4903">
        <v>0</v>
      </c>
      <c r="I4903">
        <v>63</v>
      </c>
      <c r="J4903" s="10">
        <v>142.05000000000001</v>
      </c>
      <c r="K4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903">
        <v>0</v>
      </c>
      <c r="M49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903">
        <v>1094.67</v>
      </c>
      <c r="O4903" s="23" t="s">
        <v>649</v>
      </c>
      <c r="P4903">
        <v>19704.060000000001</v>
      </c>
      <c r="Q4903" s="23" t="s">
        <v>184</v>
      </c>
    </row>
    <row r="4904" spans="1:17" x14ac:dyDescent="0.25">
      <c r="A4904" s="23" t="s">
        <v>1062</v>
      </c>
      <c r="B4904" s="23" t="s">
        <v>1053</v>
      </c>
      <c r="C4904" s="23" t="s">
        <v>176</v>
      </c>
      <c r="D4904" s="23" t="s">
        <v>661</v>
      </c>
      <c r="E4904" s="23" t="s">
        <v>662</v>
      </c>
      <c r="F4904">
        <v>1</v>
      </c>
      <c r="G4904" s="23" t="s">
        <v>186</v>
      </c>
      <c r="H4904">
        <v>0</v>
      </c>
      <c r="I4904">
        <v>0</v>
      </c>
      <c r="J4904" s="10">
        <v>0</v>
      </c>
      <c r="K4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904">
        <v>0</v>
      </c>
      <c r="M49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904">
        <v>80.98</v>
      </c>
      <c r="O4904" s="23" t="s">
        <v>224</v>
      </c>
      <c r="P4904">
        <v>80.98</v>
      </c>
      <c r="Q4904" s="23" t="s">
        <v>184</v>
      </c>
    </row>
    <row r="4905" spans="1:17" x14ac:dyDescent="0.25">
      <c r="A4905" s="23" t="s">
        <v>1062</v>
      </c>
      <c r="B4905" s="23" t="s">
        <v>1053</v>
      </c>
      <c r="C4905" s="23" t="s">
        <v>176</v>
      </c>
      <c r="D4905" s="23" t="s">
        <v>627</v>
      </c>
      <c r="E4905" s="23" t="s">
        <v>628</v>
      </c>
      <c r="F4905">
        <v>2</v>
      </c>
      <c r="G4905" s="23" t="s">
        <v>177</v>
      </c>
      <c r="H4905">
        <v>2</v>
      </c>
      <c r="I4905">
        <v>9</v>
      </c>
      <c r="J4905" s="10">
        <v>20</v>
      </c>
      <c r="K4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05">
        <v>0</v>
      </c>
      <c r="M49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4905">
        <v>14946.25</v>
      </c>
      <c r="O4905" s="23" t="s">
        <v>626</v>
      </c>
      <c r="P4905">
        <v>29892.5</v>
      </c>
      <c r="Q4905" s="23" t="s">
        <v>179</v>
      </c>
    </row>
    <row r="4906" spans="1:17" x14ac:dyDescent="0.25">
      <c r="A4906" s="23" t="s">
        <v>1062</v>
      </c>
      <c r="B4906" s="23" t="s">
        <v>1053</v>
      </c>
      <c r="C4906" s="23" t="s">
        <v>176</v>
      </c>
      <c r="D4906" s="23" t="s">
        <v>663</v>
      </c>
      <c r="E4906" s="23" t="s">
        <v>664</v>
      </c>
      <c r="F4906">
        <v>18</v>
      </c>
      <c r="G4906" s="23" t="s">
        <v>186</v>
      </c>
      <c r="H4906">
        <v>0</v>
      </c>
      <c r="I4906">
        <v>63</v>
      </c>
      <c r="J4906" s="10">
        <v>142.05000000000001</v>
      </c>
      <c r="K4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37</v>
      </c>
      <c r="L4906">
        <v>0</v>
      </c>
      <c r="M49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40502.79</v>
      </c>
      <c r="N4906">
        <v>1094.67</v>
      </c>
      <c r="O4906" s="23" t="s">
        <v>649</v>
      </c>
      <c r="P4906">
        <v>19704.060000000001</v>
      </c>
      <c r="Q4906" s="23" t="s">
        <v>184</v>
      </c>
    </row>
    <row r="4907" spans="1:17" x14ac:dyDescent="0.25">
      <c r="A4907" s="23" t="s">
        <v>1142</v>
      </c>
      <c r="B4907" s="23" t="s">
        <v>1054</v>
      </c>
      <c r="C4907" s="23" t="s">
        <v>176</v>
      </c>
      <c r="D4907" s="23" t="s">
        <v>612</v>
      </c>
      <c r="E4907" s="23" t="s">
        <v>613</v>
      </c>
      <c r="F4907">
        <v>15</v>
      </c>
      <c r="G4907" s="23" t="s">
        <v>183</v>
      </c>
      <c r="H4907">
        <v>0</v>
      </c>
      <c r="I4907">
        <v>136.5</v>
      </c>
      <c r="J4907" s="10">
        <v>5.5</v>
      </c>
      <c r="K4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4907">
        <v>110.5</v>
      </c>
      <c r="M49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4907">
        <v>200.15</v>
      </c>
      <c r="O4907" s="23" t="s">
        <v>224</v>
      </c>
      <c r="P4907">
        <v>3002.25</v>
      </c>
      <c r="Q4907" s="23" t="s">
        <v>182</v>
      </c>
    </row>
    <row r="4908" spans="1:17" x14ac:dyDescent="0.25">
      <c r="A4908" s="23" t="s">
        <v>1057</v>
      </c>
      <c r="B4908" s="23" t="s">
        <v>1056</v>
      </c>
      <c r="C4908" s="23" t="s">
        <v>176</v>
      </c>
      <c r="D4908" s="23" t="s">
        <v>661</v>
      </c>
      <c r="E4908" s="23" t="s">
        <v>662</v>
      </c>
      <c r="F4908">
        <v>1</v>
      </c>
      <c r="G4908" s="23" t="s">
        <v>186</v>
      </c>
      <c r="H4908">
        <v>0</v>
      </c>
      <c r="I4908">
        <v>0</v>
      </c>
      <c r="J4908" s="10">
        <v>0</v>
      </c>
      <c r="K4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908">
        <v>0</v>
      </c>
      <c r="M49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908">
        <v>80.98</v>
      </c>
      <c r="O4908" s="23" t="s">
        <v>224</v>
      </c>
      <c r="P4908">
        <v>80.98</v>
      </c>
      <c r="Q4908" s="23" t="s">
        <v>184</v>
      </c>
    </row>
    <row r="4909" spans="1:17" x14ac:dyDescent="0.25">
      <c r="A4909" s="23" t="s">
        <v>1099</v>
      </c>
      <c r="B4909" s="23" t="s">
        <v>1056</v>
      </c>
      <c r="C4909" s="23" t="s">
        <v>176</v>
      </c>
      <c r="D4909" s="23" t="s">
        <v>403</v>
      </c>
      <c r="E4909" s="23" t="s">
        <v>404</v>
      </c>
      <c r="F4909">
        <v>2</v>
      </c>
      <c r="G4909" s="23" t="s">
        <v>177</v>
      </c>
      <c r="H4909">
        <v>2</v>
      </c>
      <c r="I4909">
        <v>28</v>
      </c>
      <c r="J4909" s="10">
        <v>12</v>
      </c>
      <c r="K4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4909">
        <v>0</v>
      </c>
      <c r="M49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09">
        <v>15</v>
      </c>
      <c r="O4909" s="23" t="s">
        <v>221</v>
      </c>
      <c r="P4909">
        <v>30</v>
      </c>
      <c r="Q4909" s="23" t="s">
        <v>222</v>
      </c>
    </row>
    <row r="4910" spans="1:17" x14ac:dyDescent="0.25">
      <c r="A4910" s="23" t="s">
        <v>1142</v>
      </c>
      <c r="B4910" s="23" t="s">
        <v>1054</v>
      </c>
      <c r="C4910" s="23" t="s">
        <v>176</v>
      </c>
      <c r="D4910" s="23" t="s">
        <v>661</v>
      </c>
      <c r="E4910" s="23" t="s">
        <v>662</v>
      </c>
      <c r="F4910">
        <v>1</v>
      </c>
      <c r="G4910" s="23" t="s">
        <v>186</v>
      </c>
      <c r="H4910">
        <v>0</v>
      </c>
      <c r="I4910">
        <v>0</v>
      </c>
      <c r="J4910" s="10">
        <v>0</v>
      </c>
      <c r="K4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910">
        <v>0</v>
      </c>
      <c r="M49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910">
        <v>80.98</v>
      </c>
      <c r="O4910" s="23" t="s">
        <v>224</v>
      </c>
      <c r="P4910">
        <v>80.98</v>
      </c>
      <c r="Q4910" s="23" t="s">
        <v>184</v>
      </c>
    </row>
    <row r="4911" spans="1:17" x14ac:dyDescent="0.25">
      <c r="A4911" s="23" t="s">
        <v>1096</v>
      </c>
      <c r="B4911" s="23" t="s">
        <v>1053</v>
      </c>
      <c r="C4911" s="23" t="s">
        <v>176</v>
      </c>
      <c r="D4911" s="23" t="s">
        <v>661</v>
      </c>
      <c r="E4911" s="23" t="s">
        <v>662</v>
      </c>
      <c r="F4911">
        <v>1</v>
      </c>
      <c r="G4911" s="23" t="s">
        <v>186</v>
      </c>
      <c r="H4911">
        <v>0</v>
      </c>
      <c r="I4911">
        <v>0</v>
      </c>
      <c r="J4911" s="10">
        <v>0</v>
      </c>
      <c r="K4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4911">
        <v>0</v>
      </c>
      <c r="M49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4911">
        <v>80.98</v>
      </c>
      <c r="O4911" s="23" t="s">
        <v>224</v>
      </c>
      <c r="P4911">
        <v>80.98</v>
      </c>
      <c r="Q4911" s="23" t="s">
        <v>184</v>
      </c>
    </row>
    <row r="4912" spans="1:17" x14ac:dyDescent="0.25">
      <c r="A4912" s="23" t="s">
        <v>1096</v>
      </c>
      <c r="B4912" s="23" t="s">
        <v>1053</v>
      </c>
      <c r="C4912" s="23" t="s">
        <v>176</v>
      </c>
      <c r="D4912" s="23" t="s">
        <v>627</v>
      </c>
      <c r="E4912" s="23" t="s">
        <v>628</v>
      </c>
      <c r="F4912">
        <v>2</v>
      </c>
      <c r="G4912" s="23" t="s">
        <v>177</v>
      </c>
      <c r="H4912">
        <v>2</v>
      </c>
      <c r="I4912">
        <v>9</v>
      </c>
      <c r="J4912" s="10">
        <v>20</v>
      </c>
      <c r="K4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4912">
        <v>0</v>
      </c>
      <c r="M49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4912">
        <v>14946.25</v>
      </c>
      <c r="O4912" s="23" t="s">
        <v>626</v>
      </c>
      <c r="P4912">
        <v>29892.5</v>
      </c>
      <c r="Q4912" s="23" t="s">
        <v>179</v>
      </c>
    </row>
    <row r="4913" spans="1:17" x14ac:dyDescent="0.25">
      <c r="A4913" s="23" t="s">
        <v>1180</v>
      </c>
      <c r="B4913" s="23" t="s">
        <v>1181</v>
      </c>
      <c r="C4913" s="23" t="s">
        <v>176</v>
      </c>
      <c r="D4913" s="23" t="s">
        <v>1208</v>
      </c>
      <c r="E4913" s="23" t="s">
        <v>1209</v>
      </c>
      <c r="F4913">
        <v>0.28000000000000003</v>
      </c>
      <c r="G4913" s="23" t="s">
        <v>177</v>
      </c>
      <c r="H4913">
        <v>0</v>
      </c>
      <c r="I4913">
        <v>0</v>
      </c>
      <c r="J4913" s="10">
        <v>1</v>
      </c>
      <c r="K4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0.28000000000000003</v>
      </c>
      <c r="L4913">
        <v>0</v>
      </c>
      <c r="M49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75.9696</v>
      </c>
      <c r="N4913">
        <v>271.32</v>
      </c>
      <c r="O4913" s="23" t="s">
        <v>491</v>
      </c>
      <c r="P4913">
        <v>75.9696</v>
      </c>
      <c r="Q4913" s="23" t="s">
        <v>184</v>
      </c>
    </row>
    <row r="4914" spans="1:17" x14ac:dyDescent="0.25">
      <c r="A4914" s="23" t="s">
        <v>1148</v>
      </c>
      <c r="B4914" s="23" t="s">
        <v>1054</v>
      </c>
      <c r="C4914" s="23" t="s">
        <v>176</v>
      </c>
      <c r="D4914" s="23" t="s">
        <v>478</v>
      </c>
      <c r="E4914" s="23" t="s">
        <v>565</v>
      </c>
      <c r="F4914">
        <v>0.5</v>
      </c>
      <c r="G4914" s="23" t="s">
        <v>177</v>
      </c>
      <c r="H4914">
        <v>0</v>
      </c>
      <c r="I4914">
        <v>100</v>
      </c>
      <c r="J4914" s="10">
        <v>0</v>
      </c>
      <c r="K4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14">
        <v>0</v>
      </c>
      <c r="M49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4">
        <v>13.5</v>
      </c>
      <c r="O4914" s="23" t="s">
        <v>242</v>
      </c>
      <c r="P4914">
        <v>6.75</v>
      </c>
      <c r="Q4914" s="23" t="s">
        <v>181</v>
      </c>
    </row>
    <row r="4915" spans="1:17" x14ac:dyDescent="0.25">
      <c r="A4915" s="23" t="s">
        <v>1099</v>
      </c>
      <c r="B4915" s="23" t="s">
        <v>1056</v>
      </c>
      <c r="C4915" s="23" t="s">
        <v>176</v>
      </c>
      <c r="D4915" s="23" t="s">
        <v>478</v>
      </c>
      <c r="E4915" s="23" t="s">
        <v>565</v>
      </c>
      <c r="F4915">
        <v>0.5</v>
      </c>
      <c r="G4915" s="23" t="s">
        <v>177</v>
      </c>
      <c r="H4915">
        <v>0</v>
      </c>
      <c r="I4915">
        <v>100</v>
      </c>
      <c r="J4915" s="10">
        <v>0</v>
      </c>
      <c r="K4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15">
        <v>0</v>
      </c>
      <c r="M49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5">
        <v>13.5</v>
      </c>
      <c r="O4915" s="23" t="s">
        <v>242</v>
      </c>
      <c r="P4915">
        <v>6.75</v>
      </c>
      <c r="Q4915" s="23" t="s">
        <v>181</v>
      </c>
    </row>
    <row r="4916" spans="1:17" x14ac:dyDescent="0.25">
      <c r="A4916" s="23" t="s">
        <v>1097</v>
      </c>
      <c r="B4916" s="23" t="s">
        <v>1095</v>
      </c>
      <c r="C4916" s="23" t="s">
        <v>176</v>
      </c>
      <c r="D4916" s="23" t="s">
        <v>735</v>
      </c>
      <c r="E4916" s="23" t="s">
        <v>736</v>
      </c>
      <c r="F4916">
        <v>1</v>
      </c>
      <c r="G4916" s="23" t="s">
        <v>177</v>
      </c>
      <c r="H4916">
        <v>0</v>
      </c>
      <c r="I4916">
        <v>12</v>
      </c>
      <c r="J4916" s="10">
        <v>15</v>
      </c>
      <c r="K4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916">
        <v>0</v>
      </c>
      <c r="M49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916">
        <v>565.83000000000004</v>
      </c>
      <c r="O4916" s="23" t="s">
        <v>668</v>
      </c>
      <c r="P4916">
        <v>565.83000000000004</v>
      </c>
      <c r="Q4916" s="23" t="s">
        <v>678</v>
      </c>
    </row>
    <row r="4917" spans="1:17" x14ac:dyDescent="0.25">
      <c r="A4917" s="23" t="s">
        <v>1097</v>
      </c>
      <c r="B4917" s="23" t="s">
        <v>1095</v>
      </c>
      <c r="C4917" s="23" t="s">
        <v>176</v>
      </c>
      <c r="D4917" s="23" t="s">
        <v>764</v>
      </c>
      <c r="E4917" s="23" t="s">
        <v>765</v>
      </c>
      <c r="F4917">
        <v>1</v>
      </c>
      <c r="G4917" s="23" t="s">
        <v>177</v>
      </c>
      <c r="H4917">
        <v>0</v>
      </c>
      <c r="I4917">
        <v>5</v>
      </c>
      <c r="J4917" s="10">
        <v>7</v>
      </c>
      <c r="K4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917">
        <v>8</v>
      </c>
      <c r="M49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7">
        <v>401.17</v>
      </c>
      <c r="O4917" s="23" t="s">
        <v>766</v>
      </c>
      <c r="P4917">
        <v>401.17</v>
      </c>
      <c r="Q4917" s="23" t="s">
        <v>222</v>
      </c>
    </row>
    <row r="4918" spans="1:17" x14ac:dyDescent="0.25">
      <c r="A4918" s="23" t="s">
        <v>1097</v>
      </c>
      <c r="B4918" s="23" t="s">
        <v>1095</v>
      </c>
      <c r="C4918" s="23" t="s">
        <v>176</v>
      </c>
      <c r="D4918" s="23" t="s">
        <v>1081</v>
      </c>
      <c r="E4918" s="23" t="s">
        <v>1082</v>
      </c>
      <c r="F4918">
        <v>3</v>
      </c>
      <c r="G4918" s="23" t="s">
        <v>177</v>
      </c>
      <c r="H4918">
        <v>0</v>
      </c>
      <c r="I4918">
        <v>17</v>
      </c>
      <c r="J4918" s="10">
        <v>16</v>
      </c>
      <c r="K4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918">
        <v>30</v>
      </c>
      <c r="M49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8">
        <v>67.22</v>
      </c>
      <c r="O4918" s="23" t="s">
        <v>593</v>
      </c>
      <c r="P4918">
        <v>201.66</v>
      </c>
      <c r="Q4918" s="23" t="s">
        <v>179</v>
      </c>
    </row>
    <row r="4919" spans="1:17" x14ac:dyDescent="0.25">
      <c r="A4919" s="23" t="s">
        <v>1197</v>
      </c>
      <c r="B4919" s="23" t="s">
        <v>1198</v>
      </c>
      <c r="C4919" s="23" t="s">
        <v>176</v>
      </c>
      <c r="D4919" s="23" t="s">
        <v>1081</v>
      </c>
      <c r="E4919" s="23" t="s">
        <v>1082</v>
      </c>
      <c r="F4919">
        <v>2</v>
      </c>
      <c r="G4919" s="23" t="s">
        <v>177</v>
      </c>
      <c r="H4919">
        <v>0</v>
      </c>
      <c r="I4919">
        <v>17</v>
      </c>
      <c r="J4919" s="10">
        <v>16</v>
      </c>
      <c r="K4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4919">
        <v>30</v>
      </c>
      <c r="M49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19">
        <v>67.22</v>
      </c>
      <c r="O4919" s="23" t="s">
        <v>593</v>
      </c>
      <c r="P4919">
        <v>134.44</v>
      </c>
      <c r="Q4919" s="23" t="s">
        <v>179</v>
      </c>
    </row>
    <row r="4920" spans="1:17" x14ac:dyDescent="0.25">
      <c r="A4920" s="23" t="s">
        <v>1143</v>
      </c>
      <c r="B4920" s="23" t="s">
        <v>1054</v>
      </c>
      <c r="C4920" s="23" t="s">
        <v>176</v>
      </c>
      <c r="D4920" s="23" t="s">
        <v>506</v>
      </c>
      <c r="E4920" s="23" t="s">
        <v>507</v>
      </c>
      <c r="F4920">
        <v>1</v>
      </c>
      <c r="G4920" s="23" t="s">
        <v>177</v>
      </c>
      <c r="H4920">
        <v>0</v>
      </c>
      <c r="I4920">
        <v>8</v>
      </c>
      <c r="J4920" s="10">
        <v>9</v>
      </c>
      <c r="K4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4920">
        <v>36</v>
      </c>
      <c r="M49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0">
        <v>101.4</v>
      </c>
      <c r="O4920" s="23" t="s">
        <v>1065</v>
      </c>
      <c r="P4920">
        <v>101.4</v>
      </c>
      <c r="Q4920" s="23" t="s">
        <v>222</v>
      </c>
    </row>
    <row r="4921" spans="1:17" x14ac:dyDescent="0.25">
      <c r="A4921" s="23" t="s">
        <v>1057</v>
      </c>
      <c r="B4921" s="23" t="s">
        <v>1056</v>
      </c>
      <c r="C4921" s="23" t="s">
        <v>176</v>
      </c>
      <c r="D4921" s="23" t="s">
        <v>683</v>
      </c>
      <c r="E4921" s="23" t="s">
        <v>684</v>
      </c>
      <c r="F4921">
        <v>1</v>
      </c>
      <c r="G4921" s="23" t="s">
        <v>177</v>
      </c>
      <c r="H4921">
        <v>0</v>
      </c>
      <c r="I4921">
        <v>34</v>
      </c>
      <c r="J4921" s="10">
        <v>27</v>
      </c>
      <c r="K4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21">
        <v>0</v>
      </c>
      <c r="M49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1">
        <v>500</v>
      </c>
      <c r="O4921" s="23" t="s">
        <v>585</v>
      </c>
      <c r="P4921">
        <v>500</v>
      </c>
      <c r="Q4921" s="23" t="s">
        <v>178</v>
      </c>
    </row>
    <row r="4922" spans="1:17" x14ac:dyDescent="0.25">
      <c r="A4922" s="23" t="s">
        <v>1143</v>
      </c>
      <c r="B4922" s="23" t="s">
        <v>1054</v>
      </c>
      <c r="C4922" s="23" t="s">
        <v>176</v>
      </c>
      <c r="D4922" s="23" t="s">
        <v>683</v>
      </c>
      <c r="E4922" s="23" t="s">
        <v>684</v>
      </c>
      <c r="F4922">
        <v>2</v>
      </c>
      <c r="G4922" s="23" t="s">
        <v>177</v>
      </c>
      <c r="H4922">
        <v>0</v>
      </c>
      <c r="I4922">
        <v>34</v>
      </c>
      <c r="J4922" s="10">
        <v>27</v>
      </c>
      <c r="K4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22">
        <v>0</v>
      </c>
      <c r="M49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2">
        <v>500</v>
      </c>
      <c r="O4922" s="23" t="s">
        <v>585</v>
      </c>
      <c r="P4922">
        <v>1000</v>
      </c>
      <c r="Q4922" s="23" t="s">
        <v>178</v>
      </c>
    </row>
    <row r="4923" spans="1:17" x14ac:dyDescent="0.25">
      <c r="A4923" s="23" t="s">
        <v>1057</v>
      </c>
      <c r="B4923" s="23" t="s">
        <v>1056</v>
      </c>
      <c r="C4923" s="23" t="s">
        <v>176</v>
      </c>
      <c r="D4923" s="23" t="s">
        <v>685</v>
      </c>
      <c r="E4923" s="23" t="s">
        <v>686</v>
      </c>
      <c r="F4923">
        <v>1</v>
      </c>
      <c r="G4923" s="23" t="s">
        <v>177</v>
      </c>
      <c r="H4923">
        <v>0</v>
      </c>
      <c r="I4923">
        <v>23</v>
      </c>
      <c r="J4923" s="10">
        <v>17</v>
      </c>
      <c r="K4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4923">
        <v>0</v>
      </c>
      <c r="M49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3">
        <v>750</v>
      </c>
      <c r="O4923" s="23" t="s">
        <v>585</v>
      </c>
      <c r="P4923">
        <v>750</v>
      </c>
      <c r="Q4923" s="23" t="s">
        <v>178</v>
      </c>
    </row>
    <row r="4924" spans="1:17" x14ac:dyDescent="0.25">
      <c r="A4924" s="23" t="s">
        <v>1146</v>
      </c>
      <c r="B4924" s="23" t="s">
        <v>1145</v>
      </c>
      <c r="C4924" s="23" t="s">
        <v>176</v>
      </c>
      <c r="D4924" s="23" t="s">
        <v>19</v>
      </c>
      <c r="E4924" s="23" t="s">
        <v>20</v>
      </c>
      <c r="F4924">
        <v>3</v>
      </c>
      <c r="G4924" s="23" t="s">
        <v>177</v>
      </c>
      <c r="H4924">
        <v>3</v>
      </c>
      <c r="I4924">
        <v>13</v>
      </c>
      <c r="J4924" s="10">
        <v>22</v>
      </c>
      <c r="K4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24">
        <v>30</v>
      </c>
      <c r="M49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4">
        <v>122.1</v>
      </c>
      <c r="O4924" s="23" t="s">
        <v>228</v>
      </c>
      <c r="P4924">
        <v>366.29999999999995</v>
      </c>
      <c r="Q4924" s="23" t="s">
        <v>222</v>
      </c>
    </row>
    <row r="4925" spans="1:17" x14ac:dyDescent="0.25">
      <c r="A4925" s="23" t="s">
        <v>1062</v>
      </c>
      <c r="B4925" s="23" t="s">
        <v>1053</v>
      </c>
      <c r="C4925" s="23" t="s">
        <v>176</v>
      </c>
      <c r="D4925" s="23" t="s">
        <v>19</v>
      </c>
      <c r="E4925" s="23" t="s">
        <v>20</v>
      </c>
      <c r="F4925">
        <v>4</v>
      </c>
      <c r="G4925" s="23" t="s">
        <v>177</v>
      </c>
      <c r="H4925">
        <v>4</v>
      </c>
      <c r="I4925">
        <v>13</v>
      </c>
      <c r="J4925" s="10">
        <v>22</v>
      </c>
      <c r="K4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4925">
        <v>30</v>
      </c>
      <c r="M49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5">
        <v>122.1</v>
      </c>
      <c r="O4925" s="23" t="s">
        <v>228</v>
      </c>
      <c r="P4925">
        <v>488.4</v>
      </c>
      <c r="Q4925" s="23" t="s">
        <v>222</v>
      </c>
    </row>
    <row r="4926" spans="1:17" x14ac:dyDescent="0.25">
      <c r="A4926" s="23" t="s">
        <v>1098</v>
      </c>
      <c r="B4926" s="23" t="s">
        <v>1053</v>
      </c>
      <c r="C4926" s="23" t="s">
        <v>176</v>
      </c>
      <c r="D4926" s="23" t="s">
        <v>598</v>
      </c>
      <c r="E4926" s="23" t="s">
        <v>599</v>
      </c>
      <c r="F4926">
        <v>2</v>
      </c>
      <c r="G4926" s="23" t="s">
        <v>177</v>
      </c>
      <c r="H4926">
        <v>0</v>
      </c>
      <c r="I4926">
        <v>33</v>
      </c>
      <c r="J4926" s="10">
        <v>5</v>
      </c>
      <c r="K4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926">
        <v>0</v>
      </c>
      <c r="M49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6">
        <v>354.91</v>
      </c>
      <c r="O4926" s="23" t="s">
        <v>637</v>
      </c>
      <c r="P4926">
        <v>709.82</v>
      </c>
      <c r="Q4926" s="23" t="s">
        <v>178</v>
      </c>
    </row>
    <row r="4927" spans="1:17" x14ac:dyDescent="0.25">
      <c r="A4927" s="23" t="s">
        <v>1197</v>
      </c>
      <c r="B4927" s="23" t="s">
        <v>1198</v>
      </c>
      <c r="C4927" s="23" t="s">
        <v>176</v>
      </c>
      <c r="D4927" s="23" t="s">
        <v>598</v>
      </c>
      <c r="E4927" s="23" t="s">
        <v>599</v>
      </c>
      <c r="F4927">
        <v>2</v>
      </c>
      <c r="G4927" s="23" t="s">
        <v>177</v>
      </c>
      <c r="H4927">
        <v>0</v>
      </c>
      <c r="I4927">
        <v>33</v>
      </c>
      <c r="J4927" s="10">
        <v>5</v>
      </c>
      <c r="K4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927">
        <v>0</v>
      </c>
      <c r="M49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7">
        <v>354.91</v>
      </c>
      <c r="O4927" s="23" t="s">
        <v>637</v>
      </c>
      <c r="P4927">
        <v>709.82</v>
      </c>
      <c r="Q4927" s="23" t="s">
        <v>178</v>
      </c>
    </row>
    <row r="4928" spans="1:17" x14ac:dyDescent="0.25">
      <c r="A4928" s="23" t="s">
        <v>1062</v>
      </c>
      <c r="B4928" s="23" t="s">
        <v>1053</v>
      </c>
      <c r="C4928" s="23" t="s">
        <v>176</v>
      </c>
      <c r="D4928" s="23" t="s">
        <v>631</v>
      </c>
      <c r="E4928" s="23" t="s">
        <v>632</v>
      </c>
      <c r="F4928">
        <v>562</v>
      </c>
      <c r="G4928" s="23" t="s">
        <v>177</v>
      </c>
      <c r="H4928">
        <v>0</v>
      </c>
      <c r="I4928">
        <v>8000</v>
      </c>
      <c r="J4928" s="10">
        <v>11449</v>
      </c>
      <c r="K4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28">
        <v>0</v>
      </c>
      <c r="M49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8">
        <v>0.54</v>
      </c>
      <c r="O4928" s="23" t="s">
        <v>629</v>
      </c>
      <c r="P4928">
        <v>303.48</v>
      </c>
      <c r="Q4928" s="23" t="s">
        <v>181</v>
      </c>
    </row>
    <row r="4929" spans="1:17" x14ac:dyDescent="0.25">
      <c r="A4929" s="23" t="s">
        <v>1097</v>
      </c>
      <c r="B4929" s="23" t="s">
        <v>1095</v>
      </c>
      <c r="C4929" s="23" t="s">
        <v>176</v>
      </c>
      <c r="D4929" s="23" t="s">
        <v>631</v>
      </c>
      <c r="E4929" s="23" t="s">
        <v>632</v>
      </c>
      <c r="F4929">
        <v>430</v>
      </c>
      <c r="G4929" s="23" t="s">
        <v>177</v>
      </c>
      <c r="H4929">
        <v>0</v>
      </c>
      <c r="I4929">
        <v>8000</v>
      </c>
      <c r="J4929" s="10">
        <v>11449</v>
      </c>
      <c r="K4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29">
        <v>0</v>
      </c>
      <c r="M49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29">
        <v>0.54</v>
      </c>
      <c r="O4929" s="23" t="s">
        <v>629</v>
      </c>
      <c r="P4929">
        <v>232.20000000000002</v>
      </c>
      <c r="Q4929" s="23" t="s">
        <v>181</v>
      </c>
    </row>
    <row r="4930" spans="1:17" x14ac:dyDescent="0.25">
      <c r="A4930" s="23" t="s">
        <v>1097</v>
      </c>
      <c r="B4930" s="23" t="s">
        <v>1095</v>
      </c>
      <c r="C4930" s="23" t="s">
        <v>176</v>
      </c>
      <c r="D4930" s="23" t="s">
        <v>643</v>
      </c>
      <c r="E4930" s="23" t="s">
        <v>644</v>
      </c>
      <c r="F4930">
        <v>3</v>
      </c>
      <c r="G4930" s="23" t="s">
        <v>177</v>
      </c>
      <c r="H4930">
        <v>0</v>
      </c>
      <c r="I4930">
        <v>11</v>
      </c>
      <c r="J4930" s="10">
        <v>19</v>
      </c>
      <c r="K4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30">
        <v>0</v>
      </c>
      <c r="M49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30">
        <v>3072</v>
      </c>
      <c r="O4930" s="23" t="s">
        <v>648</v>
      </c>
      <c r="P4930">
        <v>9216</v>
      </c>
      <c r="Q4930" s="23" t="s">
        <v>178</v>
      </c>
    </row>
    <row r="4931" spans="1:17" x14ac:dyDescent="0.25">
      <c r="A4931" s="23" t="s">
        <v>1058</v>
      </c>
      <c r="B4931" s="23" t="s">
        <v>1059</v>
      </c>
      <c r="C4931" s="23" t="s">
        <v>176</v>
      </c>
      <c r="D4931" s="23" t="s">
        <v>631</v>
      </c>
      <c r="E4931" s="23" t="s">
        <v>632</v>
      </c>
      <c r="F4931">
        <v>278</v>
      </c>
      <c r="G4931" s="23" t="s">
        <v>177</v>
      </c>
      <c r="H4931">
        <v>0</v>
      </c>
      <c r="I4931">
        <v>8000</v>
      </c>
      <c r="J4931" s="10">
        <v>11449</v>
      </c>
      <c r="K4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31">
        <v>0</v>
      </c>
      <c r="M49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1">
        <v>0.54</v>
      </c>
      <c r="O4931" s="23" t="s">
        <v>629</v>
      </c>
      <c r="P4931">
        <v>150.12</v>
      </c>
      <c r="Q4931" s="23" t="s">
        <v>181</v>
      </c>
    </row>
    <row r="4932" spans="1:17" x14ac:dyDescent="0.25">
      <c r="A4932" s="23" t="s">
        <v>1150</v>
      </c>
      <c r="B4932" s="23" t="s">
        <v>1145</v>
      </c>
      <c r="C4932" s="23" t="s">
        <v>176</v>
      </c>
      <c r="D4932" s="23" t="s">
        <v>631</v>
      </c>
      <c r="E4932" s="23" t="s">
        <v>632</v>
      </c>
      <c r="F4932">
        <v>278</v>
      </c>
      <c r="G4932" s="23" t="s">
        <v>177</v>
      </c>
      <c r="H4932">
        <v>0</v>
      </c>
      <c r="I4932">
        <v>8000</v>
      </c>
      <c r="J4932" s="10">
        <v>11449</v>
      </c>
      <c r="K4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32">
        <v>0</v>
      </c>
      <c r="M49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2">
        <v>0.54</v>
      </c>
      <c r="O4932" s="23" t="s">
        <v>629</v>
      </c>
      <c r="P4932">
        <v>150.12</v>
      </c>
      <c r="Q4932" s="23" t="s">
        <v>181</v>
      </c>
    </row>
    <row r="4933" spans="1:17" x14ac:dyDescent="0.25">
      <c r="A4933" s="23" t="s">
        <v>1150</v>
      </c>
      <c r="B4933" s="23" t="s">
        <v>1145</v>
      </c>
      <c r="C4933" s="23" t="s">
        <v>176</v>
      </c>
      <c r="D4933" s="23" t="s">
        <v>643</v>
      </c>
      <c r="E4933" s="23" t="s">
        <v>644</v>
      </c>
      <c r="F4933">
        <v>4</v>
      </c>
      <c r="G4933" s="23" t="s">
        <v>177</v>
      </c>
      <c r="H4933">
        <v>0</v>
      </c>
      <c r="I4933">
        <v>11</v>
      </c>
      <c r="J4933" s="10">
        <v>19</v>
      </c>
      <c r="K4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33">
        <v>0</v>
      </c>
      <c r="M49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33">
        <v>3072</v>
      </c>
      <c r="O4933" s="23" t="s">
        <v>648</v>
      </c>
      <c r="P4933">
        <v>12288</v>
      </c>
      <c r="Q4933" s="23" t="s">
        <v>178</v>
      </c>
    </row>
    <row r="4934" spans="1:17" x14ac:dyDescent="0.25">
      <c r="A4934" s="23" t="s">
        <v>1148</v>
      </c>
      <c r="B4934" s="23" t="s">
        <v>1054</v>
      </c>
      <c r="C4934" s="23" t="s">
        <v>176</v>
      </c>
      <c r="D4934" s="23" t="s">
        <v>631</v>
      </c>
      <c r="E4934" s="23" t="s">
        <v>632</v>
      </c>
      <c r="F4934">
        <v>430</v>
      </c>
      <c r="G4934" s="23" t="s">
        <v>177</v>
      </c>
      <c r="H4934">
        <v>0</v>
      </c>
      <c r="I4934">
        <v>8000</v>
      </c>
      <c r="J4934" s="10">
        <v>11449</v>
      </c>
      <c r="K4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34">
        <v>0</v>
      </c>
      <c r="M49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4">
        <v>0.54</v>
      </c>
      <c r="O4934" s="23" t="s">
        <v>629</v>
      </c>
      <c r="P4934">
        <v>232.20000000000002</v>
      </c>
      <c r="Q4934" s="23" t="s">
        <v>181</v>
      </c>
    </row>
    <row r="4935" spans="1:17" x14ac:dyDescent="0.25">
      <c r="A4935" s="23" t="s">
        <v>1148</v>
      </c>
      <c r="B4935" s="23" t="s">
        <v>1054</v>
      </c>
      <c r="C4935" s="23" t="s">
        <v>176</v>
      </c>
      <c r="D4935" s="23" t="s">
        <v>643</v>
      </c>
      <c r="E4935" s="23" t="s">
        <v>644</v>
      </c>
      <c r="F4935">
        <v>3</v>
      </c>
      <c r="G4935" s="23" t="s">
        <v>177</v>
      </c>
      <c r="H4935">
        <v>0</v>
      </c>
      <c r="I4935">
        <v>11</v>
      </c>
      <c r="J4935" s="10">
        <v>19</v>
      </c>
      <c r="K4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35">
        <v>0</v>
      </c>
      <c r="M49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35">
        <v>3072</v>
      </c>
      <c r="O4935" s="23" t="s">
        <v>648</v>
      </c>
      <c r="P4935">
        <v>9216</v>
      </c>
      <c r="Q4935" s="23" t="s">
        <v>178</v>
      </c>
    </row>
    <row r="4936" spans="1:17" x14ac:dyDescent="0.25">
      <c r="A4936" s="23" t="s">
        <v>1098</v>
      </c>
      <c r="B4936" s="23" t="s">
        <v>1053</v>
      </c>
      <c r="C4936" s="23" t="s">
        <v>176</v>
      </c>
      <c r="D4936" s="23" t="s">
        <v>741</v>
      </c>
      <c r="E4936" s="23" t="s">
        <v>742</v>
      </c>
      <c r="F4936">
        <v>1</v>
      </c>
      <c r="G4936" s="23" t="s">
        <v>177</v>
      </c>
      <c r="H4936">
        <v>0</v>
      </c>
      <c r="I4936">
        <v>19</v>
      </c>
      <c r="J4936" s="10">
        <v>15</v>
      </c>
      <c r="K4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36">
        <v>0</v>
      </c>
      <c r="M49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6">
        <v>41.67</v>
      </c>
      <c r="O4936" s="23" t="s">
        <v>668</v>
      </c>
      <c r="P4936">
        <v>41.67</v>
      </c>
      <c r="Q4936" s="23" t="s">
        <v>178</v>
      </c>
    </row>
    <row r="4937" spans="1:17" x14ac:dyDescent="0.25">
      <c r="A4937" s="23" t="s">
        <v>1094</v>
      </c>
      <c r="B4937" s="23" t="s">
        <v>1095</v>
      </c>
      <c r="C4937" s="23" t="s">
        <v>176</v>
      </c>
      <c r="D4937" s="23" t="s">
        <v>741</v>
      </c>
      <c r="E4937" s="23" t="s">
        <v>742</v>
      </c>
      <c r="F4937">
        <v>1</v>
      </c>
      <c r="G4937" s="23" t="s">
        <v>177</v>
      </c>
      <c r="H4937">
        <v>0</v>
      </c>
      <c r="I4937">
        <v>19</v>
      </c>
      <c r="J4937" s="10">
        <v>15</v>
      </c>
      <c r="K4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37">
        <v>0</v>
      </c>
      <c r="M49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7">
        <v>41.67</v>
      </c>
      <c r="O4937" s="23" t="s">
        <v>668</v>
      </c>
      <c r="P4937">
        <v>41.67</v>
      </c>
      <c r="Q4937" s="23" t="s">
        <v>178</v>
      </c>
    </row>
    <row r="4938" spans="1:17" x14ac:dyDescent="0.25">
      <c r="A4938" s="23" t="s">
        <v>1094</v>
      </c>
      <c r="B4938" s="23" t="s">
        <v>1095</v>
      </c>
      <c r="C4938" s="23" t="s">
        <v>176</v>
      </c>
      <c r="D4938" s="23" t="s">
        <v>631</v>
      </c>
      <c r="E4938" s="23" t="s">
        <v>632</v>
      </c>
      <c r="F4938">
        <v>430</v>
      </c>
      <c r="G4938" s="23" t="s">
        <v>177</v>
      </c>
      <c r="H4938">
        <v>0</v>
      </c>
      <c r="I4938">
        <v>8000</v>
      </c>
      <c r="J4938" s="10">
        <v>11449</v>
      </c>
      <c r="K4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38">
        <v>0</v>
      </c>
      <c r="M49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38">
        <v>0.54</v>
      </c>
      <c r="O4938" s="23" t="s">
        <v>629</v>
      </c>
      <c r="P4938">
        <v>232.20000000000002</v>
      </c>
      <c r="Q4938" s="23" t="s">
        <v>181</v>
      </c>
    </row>
    <row r="4939" spans="1:17" x14ac:dyDescent="0.25">
      <c r="A4939" s="23" t="s">
        <v>1094</v>
      </c>
      <c r="B4939" s="23" t="s">
        <v>1095</v>
      </c>
      <c r="C4939" s="23" t="s">
        <v>176</v>
      </c>
      <c r="D4939" s="23" t="s">
        <v>643</v>
      </c>
      <c r="E4939" s="23" t="s">
        <v>644</v>
      </c>
      <c r="F4939">
        <v>3</v>
      </c>
      <c r="G4939" s="23" t="s">
        <v>177</v>
      </c>
      <c r="H4939">
        <v>0</v>
      </c>
      <c r="I4939">
        <v>11</v>
      </c>
      <c r="J4939" s="10">
        <v>19</v>
      </c>
      <c r="K4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39">
        <v>0</v>
      </c>
      <c r="M49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39">
        <v>3072</v>
      </c>
      <c r="O4939" s="23" t="s">
        <v>648</v>
      </c>
      <c r="P4939">
        <v>9216</v>
      </c>
      <c r="Q4939" s="23" t="s">
        <v>178</v>
      </c>
    </row>
    <row r="4940" spans="1:17" x14ac:dyDescent="0.25">
      <c r="A4940" s="23" t="s">
        <v>1055</v>
      </c>
      <c r="B4940" s="23" t="s">
        <v>1056</v>
      </c>
      <c r="C4940" s="23" t="s">
        <v>176</v>
      </c>
      <c r="D4940" s="23" t="s">
        <v>643</v>
      </c>
      <c r="E4940" s="23" t="s">
        <v>644</v>
      </c>
      <c r="F4940">
        <v>5</v>
      </c>
      <c r="G4940" s="23" t="s">
        <v>177</v>
      </c>
      <c r="H4940">
        <v>5</v>
      </c>
      <c r="I4940">
        <v>11</v>
      </c>
      <c r="J4940" s="10">
        <v>19</v>
      </c>
      <c r="K4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40">
        <v>0</v>
      </c>
      <c r="M49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40">
        <v>3072</v>
      </c>
      <c r="O4940" s="23" t="s">
        <v>648</v>
      </c>
      <c r="P4940">
        <v>15360</v>
      </c>
      <c r="Q4940" s="23" t="s">
        <v>178</v>
      </c>
    </row>
    <row r="4941" spans="1:17" x14ac:dyDescent="0.25">
      <c r="A4941" s="23" t="s">
        <v>1099</v>
      </c>
      <c r="B4941" s="23" t="s">
        <v>1056</v>
      </c>
      <c r="C4941" s="23" t="s">
        <v>176</v>
      </c>
      <c r="D4941" s="23" t="s">
        <v>643</v>
      </c>
      <c r="E4941" s="23" t="s">
        <v>644</v>
      </c>
      <c r="F4941">
        <v>5</v>
      </c>
      <c r="G4941" s="23" t="s">
        <v>177</v>
      </c>
      <c r="H4941">
        <v>5</v>
      </c>
      <c r="I4941">
        <v>11</v>
      </c>
      <c r="J4941" s="10">
        <v>19</v>
      </c>
      <c r="K4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41">
        <v>0</v>
      </c>
      <c r="M49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41">
        <v>3072</v>
      </c>
      <c r="O4941" s="23" t="s">
        <v>648</v>
      </c>
      <c r="P4941">
        <v>15360</v>
      </c>
      <c r="Q4941" s="23" t="s">
        <v>178</v>
      </c>
    </row>
    <row r="4942" spans="1:17" x14ac:dyDescent="0.25">
      <c r="A4942" s="23" t="s">
        <v>1058</v>
      </c>
      <c r="B4942" s="23" t="s">
        <v>1059</v>
      </c>
      <c r="C4942" s="23" t="s">
        <v>176</v>
      </c>
      <c r="D4942" s="23" t="s">
        <v>643</v>
      </c>
      <c r="E4942" s="23" t="s">
        <v>644</v>
      </c>
      <c r="F4942">
        <v>4</v>
      </c>
      <c r="G4942" s="23" t="s">
        <v>177</v>
      </c>
      <c r="H4942">
        <v>4</v>
      </c>
      <c r="I4942">
        <v>11</v>
      </c>
      <c r="J4942" s="10">
        <v>19</v>
      </c>
      <c r="K4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42">
        <v>0</v>
      </c>
      <c r="M49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42">
        <v>3072</v>
      </c>
      <c r="O4942" s="23" t="s">
        <v>648</v>
      </c>
      <c r="P4942">
        <v>12288</v>
      </c>
      <c r="Q4942" s="23" t="s">
        <v>178</v>
      </c>
    </row>
    <row r="4943" spans="1:17" x14ac:dyDescent="0.25">
      <c r="A4943" s="23" t="s">
        <v>1146</v>
      </c>
      <c r="B4943" s="23" t="s">
        <v>1145</v>
      </c>
      <c r="C4943" s="23" t="s">
        <v>176</v>
      </c>
      <c r="D4943" s="23" t="s">
        <v>643</v>
      </c>
      <c r="E4943" s="23" t="s">
        <v>644</v>
      </c>
      <c r="F4943">
        <v>4</v>
      </c>
      <c r="G4943" s="23" t="s">
        <v>177</v>
      </c>
      <c r="H4943">
        <v>0</v>
      </c>
      <c r="I4943">
        <v>11</v>
      </c>
      <c r="J4943" s="10">
        <v>19</v>
      </c>
      <c r="K4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43">
        <v>0</v>
      </c>
      <c r="M49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43">
        <v>3072</v>
      </c>
      <c r="O4943" s="23" t="s">
        <v>648</v>
      </c>
      <c r="P4943">
        <v>12288</v>
      </c>
      <c r="Q4943" s="23" t="s">
        <v>178</v>
      </c>
    </row>
    <row r="4944" spans="1:17" x14ac:dyDescent="0.25">
      <c r="A4944" s="23" t="s">
        <v>1144</v>
      </c>
      <c r="B4944" s="23" t="s">
        <v>1145</v>
      </c>
      <c r="C4944" s="23" t="s">
        <v>176</v>
      </c>
      <c r="D4944" s="23" t="s">
        <v>643</v>
      </c>
      <c r="E4944" s="23" t="s">
        <v>644</v>
      </c>
      <c r="F4944">
        <v>4</v>
      </c>
      <c r="G4944" s="23" t="s">
        <v>177</v>
      </c>
      <c r="H4944">
        <v>0</v>
      </c>
      <c r="I4944">
        <v>11</v>
      </c>
      <c r="J4944" s="10">
        <v>19</v>
      </c>
      <c r="K4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44">
        <v>0</v>
      </c>
      <c r="M49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44">
        <v>3072</v>
      </c>
      <c r="O4944" s="23" t="s">
        <v>648</v>
      </c>
      <c r="P4944">
        <v>12288</v>
      </c>
      <c r="Q4944" s="23" t="s">
        <v>178</v>
      </c>
    </row>
    <row r="4945" spans="1:17" x14ac:dyDescent="0.25">
      <c r="A4945" s="23" t="s">
        <v>1100</v>
      </c>
      <c r="B4945" s="23" t="s">
        <v>1101</v>
      </c>
      <c r="C4945" s="23" t="s">
        <v>176</v>
      </c>
      <c r="D4945" s="23" t="s">
        <v>631</v>
      </c>
      <c r="E4945" s="23" t="s">
        <v>632</v>
      </c>
      <c r="F4945">
        <v>525</v>
      </c>
      <c r="G4945" s="23" t="s">
        <v>177</v>
      </c>
      <c r="H4945">
        <v>0</v>
      </c>
      <c r="I4945">
        <v>8000</v>
      </c>
      <c r="J4945" s="10">
        <v>11449</v>
      </c>
      <c r="K4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45">
        <v>0</v>
      </c>
      <c r="M49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5">
        <v>0.54</v>
      </c>
      <c r="O4945" s="23" t="s">
        <v>629</v>
      </c>
      <c r="P4945">
        <v>283.5</v>
      </c>
      <c r="Q4945" s="23" t="s">
        <v>181</v>
      </c>
    </row>
    <row r="4946" spans="1:17" x14ac:dyDescent="0.25">
      <c r="A4946" s="23" t="s">
        <v>1143</v>
      </c>
      <c r="B4946" s="23" t="s">
        <v>1054</v>
      </c>
      <c r="C4946" s="23" t="s">
        <v>176</v>
      </c>
      <c r="D4946" s="23" t="s">
        <v>741</v>
      </c>
      <c r="E4946" s="23" t="s">
        <v>742</v>
      </c>
      <c r="F4946">
        <v>1</v>
      </c>
      <c r="G4946" s="23" t="s">
        <v>177</v>
      </c>
      <c r="H4946">
        <v>0</v>
      </c>
      <c r="I4946">
        <v>19</v>
      </c>
      <c r="J4946" s="10">
        <v>15</v>
      </c>
      <c r="K4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4946">
        <v>0</v>
      </c>
      <c r="M49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6">
        <v>41.67</v>
      </c>
      <c r="O4946" s="23" t="s">
        <v>668</v>
      </c>
      <c r="P4946">
        <v>41.67</v>
      </c>
      <c r="Q4946" s="23" t="s">
        <v>178</v>
      </c>
    </row>
    <row r="4947" spans="1:17" x14ac:dyDescent="0.25">
      <c r="A4947" s="23" t="s">
        <v>1057</v>
      </c>
      <c r="B4947" s="23" t="s">
        <v>1056</v>
      </c>
      <c r="C4947" s="23" t="s">
        <v>176</v>
      </c>
      <c r="D4947" s="23" t="s">
        <v>849</v>
      </c>
      <c r="E4947" s="23" t="s">
        <v>850</v>
      </c>
      <c r="F4947">
        <v>3</v>
      </c>
      <c r="G4947" s="23" t="s">
        <v>177</v>
      </c>
      <c r="H4947">
        <v>0</v>
      </c>
      <c r="I4947">
        <v>22</v>
      </c>
      <c r="J4947" s="10">
        <v>18</v>
      </c>
      <c r="K4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4947">
        <v>0</v>
      </c>
      <c r="M49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7">
        <v>19.600000000000001</v>
      </c>
      <c r="O4947" s="23" t="s">
        <v>1135</v>
      </c>
      <c r="P4947">
        <v>58.800000000000004</v>
      </c>
      <c r="Q4947" s="23" t="s">
        <v>222</v>
      </c>
    </row>
    <row r="4948" spans="1:17" x14ac:dyDescent="0.25">
      <c r="A4948" s="23" t="s">
        <v>1142</v>
      </c>
      <c r="B4948" s="23" t="s">
        <v>1054</v>
      </c>
      <c r="C4948" s="23" t="s">
        <v>176</v>
      </c>
      <c r="D4948" s="23" t="s">
        <v>1166</v>
      </c>
      <c r="E4948" s="23" t="s">
        <v>1167</v>
      </c>
      <c r="F4948">
        <v>2</v>
      </c>
      <c r="G4948" s="23" t="s">
        <v>177</v>
      </c>
      <c r="H4948">
        <v>0</v>
      </c>
      <c r="I4948">
        <v>1000</v>
      </c>
      <c r="J4948" s="10">
        <v>1000</v>
      </c>
      <c r="K4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-986</v>
      </c>
      <c r="L4948">
        <v>0</v>
      </c>
      <c r="M49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8">
        <v>0.28000000000000003</v>
      </c>
      <c r="O4948" s="23" t="s">
        <v>827</v>
      </c>
      <c r="P4948">
        <v>0.56000000000000005</v>
      </c>
      <c r="Q4948" s="23" t="s">
        <v>222</v>
      </c>
    </row>
    <row r="4949" spans="1:17" x14ac:dyDescent="0.25">
      <c r="A4949" s="23" t="s">
        <v>1142</v>
      </c>
      <c r="B4949" s="23" t="s">
        <v>1054</v>
      </c>
      <c r="C4949" s="23" t="s">
        <v>176</v>
      </c>
      <c r="D4949" s="23" t="s">
        <v>631</v>
      </c>
      <c r="E4949" s="23" t="s">
        <v>632</v>
      </c>
      <c r="F4949">
        <v>278</v>
      </c>
      <c r="G4949" s="23" t="s">
        <v>177</v>
      </c>
      <c r="H4949">
        <v>0</v>
      </c>
      <c r="I4949">
        <v>8000</v>
      </c>
      <c r="J4949" s="10">
        <v>11449</v>
      </c>
      <c r="K4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49">
        <v>0</v>
      </c>
      <c r="M49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49">
        <v>0.54</v>
      </c>
      <c r="O4949" s="23" t="s">
        <v>629</v>
      </c>
      <c r="P4949">
        <v>150.12</v>
      </c>
      <c r="Q4949" s="23" t="s">
        <v>181</v>
      </c>
    </row>
    <row r="4950" spans="1:17" x14ac:dyDescent="0.25">
      <c r="A4950" s="23" t="s">
        <v>1096</v>
      </c>
      <c r="B4950" s="23" t="s">
        <v>1053</v>
      </c>
      <c r="C4950" s="23" t="s">
        <v>176</v>
      </c>
      <c r="D4950" s="23" t="s">
        <v>631</v>
      </c>
      <c r="E4950" s="23" t="s">
        <v>632</v>
      </c>
      <c r="F4950">
        <v>562</v>
      </c>
      <c r="G4950" s="23" t="s">
        <v>177</v>
      </c>
      <c r="H4950">
        <v>0</v>
      </c>
      <c r="I4950">
        <v>8000</v>
      </c>
      <c r="J4950" s="10">
        <v>11449</v>
      </c>
      <c r="K4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4950">
        <v>0</v>
      </c>
      <c r="M49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0">
        <v>0.54</v>
      </c>
      <c r="O4950" s="23" t="s">
        <v>629</v>
      </c>
      <c r="P4950">
        <v>303.48</v>
      </c>
      <c r="Q4950" s="23" t="s">
        <v>181</v>
      </c>
    </row>
    <row r="4951" spans="1:17" x14ac:dyDescent="0.25">
      <c r="A4951" s="23" t="s">
        <v>1142</v>
      </c>
      <c r="B4951" s="23" t="s">
        <v>1054</v>
      </c>
      <c r="C4951" s="23" t="s">
        <v>176</v>
      </c>
      <c r="D4951" s="23" t="s">
        <v>643</v>
      </c>
      <c r="E4951" s="23" t="s">
        <v>644</v>
      </c>
      <c r="F4951">
        <v>4</v>
      </c>
      <c r="G4951" s="23" t="s">
        <v>177</v>
      </c>
      <c r="H4951">
        <v>0</v>
      </c>
      <c r="I4951">
        <v>11</v>
      </c>
      <c r="J4951" s="10">
        <v>19</v>
      </c>
      <c r="K4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4951">
        <v>0</v>
      </c>
      <c r="M49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4951">
        <v>3072</v>
      </c>
      <c r="O4951" s="23" t="s">
        <v>648</v>
      </c>
      <c r="P4951">
        <v>12288</v>
      </c>
      <c r="Q4951" s="23" t="s">
        <v>178</v>
      </c>
    </row>
    <row r="4952" spans="1:17" x14ac:dyDescent="0.25">
      <c r="A4952" s="23" t="s">
        <v>1197</v>
      </c>
      <c r="B4952" s="23" t="s">
        <v>1198</v>
      </c>
      <c r="C4952" s="23" t="s">
        <v>176</v>
      </c>
      <c r="D4952" s="23" t="s">
        <v>474</v>
      </c>
      <c r="E4952" s="23" t="s">
        <v>475</v>
      </c>
      <c r="F4952">
        <v>38</v>
      </c>
      <c r="G4952" s="23" t="s">
        <v>177</v>
      </c>
      <c r="H4952">
        <v>0</v>
      </c>
      <c r="I4952">
        <v>880</v>
      </c>
      <c r="J4952" s="10">
        <v>414</v>
      </c>
      <c r="K4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4952">
        <v>0</v>
      </c>
      <c r="M49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2">
        <v>2.1</v>
      </c>
      <c r="O4952" s="23" t="s">
        <v>242</v>
      </c>
      <c r="P4952">
        <v>79.8</v>
      </c>
      <c r="Q4952" s="23" t="s">
        <v>181</v>
      </c>
    </row>
    <row r="4953" spans="1:17" x14ac:dyDescent="0.25">
      <c r="A4953" s="23" t="s">
        <v>1097</v>
      </c>
      <c r="B4953" s="23" t="s">
        <v>1095</v>
      </c>
      <c r="C4953" s="23" t="s">
        <v>176</v>
      </c>
      <c r="D4953" s="23" t="s">
        <v>162</v>
      </c>
      <c r="E4953" s="23" t="s">
        <v>163</v>
      </c>
      <c r="F4953">
        <v>1</v>
      </c>
      <c r="G4953" s="23" t="s">
        <v>177</v>
      </c>
      <c r="H4953">
        <v>0</v>
      </c>
      <c r="I4953">
        <v>2</v>
      </c>
      <c r="J4953" s="10">
        <v>8</v>
      </c>
      <c r="K4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53">
        <v>3</v>
      </c>
      <c r="M49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53">
        <v>6057.5</v>
      </c>
      <c r="O4953" s="23" t="s">
        <v>228</v>
      </c>
      <c r="P4953">
        <v>6057.5</v>
      </c>
      <c r="Q4953" s="23" t="s">
        <v>222</v>
      </c>
    </row>
    <row r="4954" spans="1:17" x14ac:dyDescent="0.25">
      <c r="A4954" s="23" t="s">
        <v>1098</v>
      </c>
      <c r="B4954" s="23" t="s">
        <v>1053</v>
      </c>
      <c r="C4954" s="23" t="s">
        <v>176</v>
      </c>
      <c r="D4954" s="23" t="s">
        <v>162</v>
      </c>
      <c r="E4954" s="23" t="s">
        <v>163</v>
      </c>
      <c r="F4954">
        <v>1</v>
      </c>
      <c r="G4954" s="23" t="s">
        <v>177</v>
      </c>
      <c r="H4954">
        <v>0</v>
      </c>
      <c r="I4954">
        <v>2</v>
      </c>
      <c r="J4954" s="10">
        <v>8</v>
      </c>
      <c r="K4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54">
        <v>3</v>
      </c>
      <c r="M49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54">
        <v>6057.5</v>
      </c>
      <c r="O4954" s="23" t="s">
        <v>228</v>
      </c>
      <c r="P4954">
        <v>6057.5</v>
      </c>
      <c r="Q4954" s="23" t="s">
        <v>222</v>
      </c>
    </row>
    <row r="4955" spans="1:17" x14ac:dyDescent="0.25">
      <c r="A4955" s="23" t="s">
        <v>1197</v>
      </c>
      <c r="B4955" s="23" t="s">
        <v>1198</v>
      </c>
      <c r="C4955" s="23" t="s">
        <v>176</v>
      </c>
      <c r="D4955" s="23" t="s">
        <v>162</v>
      </c>
      <c r="E4955" s="23" t="s">
        <v>163</v>
      </c>
      <c r="F4955">
        <v>1</v>
      </c>
      <c r="G4955" s="23" t="s">
        <v>177</v>
      </c>
      <c r="H4955">
        <v>0</v>
      </c>
      <c r="I4955">
        <v>2</v>
      </c>
      <c r="J4955" s="10">
        <v>8</v>
      </c>
      <c r="K4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55">
        <v>3</v>
      </c>
      <c r="M49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55">
        <v>6057.5</v>
      </c>
      <c r="O4955" s="23" t="s">
        <v>228</v>
      </c>
      <c r="P4955">
        <v>6057.5</v>
      </c>
      <c r="Q4955" s="23" t="s">
        <v>222</v>
      </c>
    </row>
    <row r="4956" spans="1:17" x14ac:dyDescent="0.25">
      <c r="A4956" s="23" t="s">
        <v>1146</v>
      </c>
      <c r="B4956" s="23" t="s">
        <v>1145</v>
      </c>
      <c r="C4956" s="23" t="s">
        <v>176</v>
      </c>
      <c r="D4956" s="23" t="s">
        <v>162</v>
      </c>
      <c r="E4956" s="23" t="s">
        <v>163</v>
      </c>
      <c r="F4956">
        <v>1</v>
      </c>
      <c r="G4956" s="23" t="s">
        <v>177</v>
      </c>
      <c r="H4956">
        <v>0</v>
      </c>
      <c r="I4956">
        <v>2</v>
      </c>
      <c r="J4956" s="10">
        <v>8</v>
      </c>
      <c r="K4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56">
        <v>3</v>
      </c>
      <c r="M49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56">
        <v>6057.5</v>
      </c>
      <c r="O4956" s="23" t="s">
        <v>228</v>
      </c>
      <c r="P4956">
        <v>6057.5</v>
      </c>
      <c r="Q4956" s="23" t="s">
        <v>222</v>
      </c>
    </row>
    <row r="4957" spans="1:17" x14ac:dyDescent="0.25">
      <c r="A4957" s="23" t="s">
        <v>1144</v>
      </c>
      <c r="B4957" s="23" t="s">
        <v>1145</v>
      </c>
      <c r="C4957" s="23" t="s">
        <v>176</v>
      </c>
      <c r="D4957" s="23" t="s">
        <v>162</v>
      </c>
      <c r="E4957" s="23" t="s">
        <v>163</v>
      </c>
      <c r="F4957">
        <v>1</v>
      </c>
      <c r="G4957" s="23" t="s">
        <v>177</v>
      </c>
      <c r="H4957">
        <v>0</v>
      </c>
      <c r="I4957">
        <v>2</v>
      </c>
      <c r="J4957" s="10">
        <v>8</v>
      </c>
      <c r="K4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57">
        <v>3</v>
      </c>
      <c r="M49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57">
        <v>6057.5</v>
      </c>
      <c r="O4957" s="23" t="s">
        <v>228</v>
      </c>
      <c r="P4957">
        <v>6057.5</v>
      </c>
      <c r="Q4957" s="23" t="s">
        <v>222</v>
      </c>
    </row>
    <row r="4958" spans="1:17" x14ac:dyDescent="0.25">
      <c r="A4958" s="23" t="s">
        <v>1197</v>
      </c>
      <c r="B4958" s="23" t="s">
        <v>1198</v>
      </c>
      <c r="C4958" s="23" t="s">
        <v>176</v>
      </c>
      <c r="D4958" s="23" t="s">
        <v>704</v>
      </c>
      <c r="E4958" s="23" t="s">
        <v>705</v>
      </c>
      <c r="F4958">
        <v>2</v>
      </c>
      <c r="G4958" s="23" t="s">
        <v>177</v>
      </c>
      <c r="H4958">
        <v>0</v>
      </c>
      <c r="I4958">
        <v>250</v>
      </c>
      <c r="J4958" s="10">
        <v>302</v>
      </c>
      <c r="K4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958">
        <v>0</v>
      </c>
      <c r="M49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8">
        <v>0.9</v>
      </c>
      <c r="O4958" s="23" t="s">
        <v>827</v>
      </c>
      <c r="P4958">
        <v>1.8</v>
      </c>
      <c r="Q4958" s="23" t="s">
        <v>222</v>
      </c>
    </row>
    <row r="4959" spans="1:17" x14ac:dyDescent="0.25">
      <c r="A4959" s="23" t="s">
        <v>1098</v>
      </c>
      <c r="B4959" s="23" t="s">
        <v>1053</v>
      </c>
      <c r="C4959" s="23" t="s">
        <v>176</v>
      </c>
      <c r="D4959" s="23" t="s">
        <v>704</v>
      </c>
      <c r="E4959" s="23" t="s">
        <v>705</v>
      </c>
      <c r="F4959">
        <v>4</v>
      </c>
      <c r="G4959" s="23" t="s">
        <v>177</v>
      </c>
      <c r="H4959">
        <v>0</v>
      </c>
      <c r="I4959">
        <v>250</v>
      </c>
      <c r="J4959" s="10">
        <v>302</v>
      </c>
      <c r="K4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4959">
        <v>0</v>
      </c>
      <c r="M49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59">
        <v>0.9</v>
      </c>
      <c r="O4959" s="23" t="s">
        <v>827</v>
      </c>
      <c r="P4959">
        <v>3.6</v>
      </c>
      <c r="Q4959" s="23" t="s">
        <v>222</v>
      </c>
    </row>
    <row r="4960" spans="1:17" x14ac:dyDescent="0.25">
      <c r="A4960" s="23" t="s">
        <v>1197</v>
      </c>
      <c r="B4960" s="23" t="s">
        <v>1198</v>
      </c>
      <c r="C4960" s="23" t="s">
        <v>176</v>
      </c>
      <c r="D4960" s="23" t="s">
        <v>594</v>
      </c>
      <c r="E4960" s="23" t="s">
        <v>595</v>
      </c>
      <c r="F4960">
        <v>4</v>
      </c>
      <c r="G4960" s="23" t="s">
        <v>177</v>
      </c>
      <c r="H4960">
        <v>0</v>
      </c>
      <c r="I4960">
        <v>46</v>
      </c>
      <c r="J4960" s="10">
        <v>12</v>
      </c>
      <c r="K4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4960">
        <v>0</v>
      </c>
      <c r="M49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0">
        <v>100</v>
      </c>
      <c r="O4960" s="23" t="s">
        <v>1032</v>
      </c>
      <c r="P4960">
        <v>400</v>
      </c>
      <c r="Q4960" s="23" t="s">
        <v>178</v>
      </c>
    </row>
    <row r="4961" spans="1:17" x14ac:dyDescent="0.25">
      <c r="A4961" s="23" t="s">
        <v>1098</v>
      </c>
      <c r="B4961" s="23" t="s">
        <v>1053</v>
      </c>
      <c r="C4961" s="23" t="s">
        <v>176</v>
      </c>
      <c r="D4961" s="23" t="s">
        <v>784</v>
      </c>
      <c r="E4961" s="23" t="s">
        <v>785</v>
      </c>
      <c r="F4961">
        <v>1</v>
      </c>
      <c r="G4961" s="23" t="s">
        <v>177</v>
      </c>
      <c r="H4961">
        <v>0</v>
      </c>
      <c r="I4961">
        <v>7</v>
      </c>
      <c r="J4961" s="10">
        <v>9</v>
      </c>
      <c r="K4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961">
        <v>10</v>
      </c>
      <c r="M49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1">
        <v>450</v>
      </c>
      <c r="O4961" s="23" t="s">
        <v>291</v>
      </c>
      <c r="P4961">
        <v>450</v>
      </c>
      <c r="Q4961" s="23" t="s">
        <v>179</v>
      </c>
    </row>
    <row r="4962" spans="1:17" x14ac:dyDescent="0.25">
      <c r="A4962" s="23" t="s">
        <v>1058</v>
      </c>
      <c r="B4962" s="23" t="s">
        <v>1059</v>
      </c>
      <c r="C4962" s="23" t="s">
        <v>176</v>
      </c>
      <c r="D4962" s="23" t="s">
        <v>162</v>
      </c>
      <c r="E4962" s="23" t="s">
        <v>163</v>
      </c>
      <c r="F4962">
        <v>1</v>
      </c>
      <c r="G4962" s="23" t="s">
        <v>177</v>
      </c>
      <c r="H4962">
        <v>1</v>
      </c>
      <c r="I4962">
        <v>2</v>
      </c>
      <c r="J4962" s="10">
        <v>8</v>
      </c>
      <c r="K4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62">
        <v>3</v>
      </c>
      <c r="M49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62">
        <v>6057.5</v>
      </c>
      <c r="O4962" s="23" t="s">
        <v>228</v>
      </c>
      <c r="P4962">
        <v>6057.5</v>
      </c>
      <c r="Q4962" s="23" t="s">
        <v>222</v>
      </c>
    </row>
    <row r="4963" spans="1:17" x14ac:dyDescent="0.25">
      <c r="A4963" s="23" t="s">
        <v>1099</v>
      </c>
      <c r="B4963" s="23" t="s">
        <v>1056</v>
      </c>
      <c r="C4963" s="23" t="s">
        <v>176</v>
      </c>
      <c r="D4963" s="23" t="s">
        <v>162</v>
      </c>
      <c r="E4963" s="23" t="s">
        <v>163</v>
      </c>
      <c r="F4963">
        <v>1</v>
      </c>
      <c r="G4963" s="23" t="s">
        <v>177</v>
      </c>
      <c r="H4963">
        <v>1</v>
      </c>
      <c r="I4963">
        <v>2</v>
      </c>
      <c r="J4963" s="10">
        <v>8</v>
      </c>
      <c r="K4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63">
        <v>3</v>
      </c>
      <c r="M49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63">
        <v>6057.5</v>
      </c>
      <c r="O4963" s="23" t="s">
        <v>228</v>
      </c>
      <c r="P4963">
        <v>6057.5</v>
      </c>
      <c r="Q4963" s="23" t="s">
        <v>222</v>
      </c>
    </row>
    <row r="4964" spans="1:17" x14ac:dyDescent="0.25">
      <c r="A4964" s="23" t="s">
        <v>1142</v>
      </c>
      <c r="B4964" s="23" t="s">
        <v>1054</v>
      </c>
      <c r="C4964" s="23" t="s">
        <v>176</v>
      </c>
      <c r="D4964" s="23" t="s">
        <v>606</v>
      </c>
      <c r="E4964" s="23" t="s">
        <v>607</v>
      </c>
      <c r="F4964">
        <v>4</v>
      </c>
      <c r="G4964" s="23" t="s">
        <v>177</v>
      </c>
      <c r="H4964">
        <v>0</v>
      </c>
      <c r="I4964">
        <v>33</v>
      </c>
      <c r="J4964" s="10">
        <v>6</v>
      </c>
      <c r="K4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964">
        <v>0</v>
      </c>
      <c r="M49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964">
        <v>172.31</v>
      </c>
      <c r="O4964" s="23" t="s">
        <v>637</v>
      </c>
      <c r="P4964">
        <v>689.24</v>
      </c>
      <c r="Q4964" s="23" t="s">
        <v>178</v>
      </c>
    </row>
    <row r="4965" spans="1:17" x14ac:dyDescent="0.25">
      <c r="A4965" s="23" t="s">
        <v>1057</v>
      </c>
      <c r="B4965" s="23" t="s">
        <v>1056</v>
      </c>
      <c r="C4965" s="23" t="s">
        <v>176</v>
      </c>
      <c r="D4965" s="23" t="s">
        <v>862</v>
      </c>
      <c r="E4965" s="23" t="s">
        <v>863</v>
      </c>
      <c r="F4965">
        <v>12</v>
      </c>
      <c r="G4965" s="23" t="s">
        <v>177</v>
      </c>
      <c r="H4965">
        <v>0</v>
      </c>
      <c r="I4965">
        <v>178</v>
      </c>
      <c r="J4965" s="10">
        <v>0</v>
      </c>
      <c r="K4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-142</v>
      </c>
      <c r="L4965">
        <v>0</v>
      </c>
      <c r="M49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5">
        <v>3.45</v>
      </c>
      <c r="O4965" s="23" t="s">
        <v>861</v>
      </c>
      <c r="P4965">
        <v>41.400000000000006</v>
      </c>
      <c r="Q4965" s="23" t="s">
        <v>181</v>
      </c>
    </row>
    <row r="4966" spans="1:17" x14ac:dyDescent="0.25">
      <c r="A4966" s="23" t="s">
        <v>1098</v>
      </c>
      <c r="B4966" s="23" t="s">
        <v>1053</v>
      </c>
      <c r="C4966" s="23" t="s">
        <v>176</v>
      </c>
      <c r="D4966" s="23" t="s">
        <v>606</v>
      </c>
      <c r="E4966" s="23" t="s">
        <v>607</v>
      </c>
      <c r="F4966">
        <v>4</v>
      </c>
      <c r="G4966" s="23" t="s">
        <v>177</v>
      </c>
      <c r="H4966">
        <v>0</v>
      </c>
      <c r="I4966">
        <v>33</v>
      </c>
      <c r="J4966" s="10">
        <v>6</v>
      </c>
      <c r="K4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4966">
        <v>0</v>
      </c>
      <c r="M49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4966">
        <v>172.31</v>
      </c>
      <c r="O4966" s="23" t="s">
        <v>637</v>
      </c>
      <c r="P4966">
        <v>689.24</v>
      </c>
      <c r="Q4966" s="23" t="s">
        <v>178</v>
      </c>
    </row>
    <row r="4967" spans="1:17" x14ac:dyDescent="0.25">
      <c r="A4967" s="23" t="s">
        <v>1058</v>
      </c>
      <c r="B4967" s="23" t="s">
        <v>1059</v>
      </c>
      <c r="C4967" s="23" t="s">
        <v>176</v>
      </c>
      <c r="D4967" s="23" t="s">
        <v>862</v>
      </c>
      <c r="E4967" s="23" t="s">
        <v>863</v>
      </c>
      <c r="F4967">
        <v>12</v>
      </c>
      <c r="G4967" s="23" t="s">
        <v>177</v>
      </c>
      <c r="H4967">
        <v>0</v>
      </c>
      <c r="I4967">
        <v>178</v>
      </c>
      <c r="J4967" s="10">
        <v>0</v>
      </c>
      <c r="K4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-142</v>
      </c>
      <c r="L4967">
        <v>0</v>
      </c>
      <c r="M49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7">
        <v>3.45</v>
      </c>
      <c r="O4967" s="23" t="s">
        <v>861</v>
      </c>
      <c r="P4967">
        <v>41.400000000000006</v>
      </c>
      <c r="Q4967" s="23" t="s">
        <v>181</v>
      </c>
    </row>
    <row r="4968" spans="1:17" x14ac:dyDescent="0.25">
      <c r="A4968" s="23" t="s">
        <v>1100</v>
      </c>
      <c r="B4968" s="23" t="s">
        <v>1101</v>
      </c>
      <c r="C4968" s="23" t="s">
        <v>176</v>
      </c>
      <c r="D4968" s="23" t="s">
        <v>784</v>
      </c>
      <c r="E4968" s="23" t="s">
        <v>785</v>
      </c>
      <c r="F4968">
        <v>1</v>
      </c>
      <c r="G4968" s="23" t="s">
        <v>177</v>
      </c>
      <c r="H4968">
        <v>0</v>
      </c>
      <c r="I4968">
        <v>7</v>
      </c>
      <c r="J4968" s="10">
        <v>9</v>
      </c>
      <c r="K4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4968">
        <v>10</v>
      </c>
      <c r="M49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68">
        <v>450</v>
      </c>
      <c r="O4968" s="23" t="s">
        <v>291</v>
      </c>
      <c r="P4968">
        <v>450</v>
      </c>
      <c r="Q4968" s="23" t="s">
        <v>179</v>
      </c>
    </row>
    <row r="4969" spans="1:17" x14ac:dyDescent="0.25">
      <c r="A4969" s="23" t="s">
        <v>1180</v>
      </c>
      <c r="B4969" s="23" t="s">
        <v>1181</v>
      </c>
      <c r="C4969" s="23" t="s">
        <v>176</v>
      </c>
      <c r="D4969" s="23" t="s">
        <v>162</v>
      </c>
      <c r="E4969" s="23" t="s">
        <v>163</v>
      </c>
      <c r="F4969">
        <v>1</v>
      </c>
      <c r="G4969" s="23" t="s">
        <v>177</v>
      </c>
      <c r="H4969">
        <v>0</v>
      </c>
      <c r="I4969">
        <v>2</v>
      </c>
      <c r="J4969" s="10">
        <v>8</v>
      </c>
      <c r="K4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4969">
        <v>3</v>
      </c>
      <c r="M49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4969">
        <v>6057.5</v>
      </c>
      <c r="O4969" s="23" t="s">
        <v>228</v>
      </c>
      <c r="P4969">
        <v>6057.5</v>
      </c>
      <c r="Q4969" s="23" t="s">
        <v>222</v>
      </c>
    </row>
    <row r="4970" spans="1:17" x14ac:dyDescent="0.25">
      <c r="A4970" s="23" t="s">
        <v>1197</v>
      </c>
      <c r="B4970" s="23" t="s">
        <v>1198</v>
      </c>
      <c r="C4970" s="23" t="s">
        <v>176</v>
      </c>
      <c r="D4970" s="23" t="s">
        <v>478</v>
      </c>
      <c r="E4970" s="23" t="s">
        <v>565</v>
      </c>
      <c r="F4970">
        <v>0.5</v>
      </c>
      <c r="G4970" s="23" t="s">
        <v>177</v>
      </c>
      <c r="H4970">
        <v>0</v>
      </c>
      <c r="I4970">
        <v>100</v>
      </c>
      <c r="J4970" s="10">
        <v>0</v>
      </c>
      <c r="K4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70">
        <v>0</v>
      </c>
      <c r="M49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0">
        <v>13.5</v>
      </c>
      <c r="O4970" s="23" t="s">
        <v>242</v>
      </c>
      <c r="P4970">
        <v>6.75</v>
      </c>
      <c r="Q4970" s="23" t="s">
        <v>181</v>
      </c>
    </row>
    <row r="4971" spans="1:17" x14ac:dyDescent="0.25">
      <c r="A4971" s="23" t="s">
        <v>1098</v>
      </c>
      <c r="B4971" s="23" t="s">
        <v>1053</v>
      </c>
      <c r="C4971" s="23" t="s">
        <v>176</v>
      </c>
      <c r="D4971" s="23" t="s">
        <v>478</v>
      </c>
      <c r="E4971" s="23" t="s">
        <v>565</v>
      </c>
      <c r="F4971">
        <v>0.5</v>
      </c>
      <c r="G4971" s="23" t="s">
        <v>177</v>
      </c>
      <c r="H4971">
        <v>0</v>
      </c>
      <c r="I4971">
        <v>100</v>
      </c>
      <c r="J4971" s="10">
        <v>0</v>
      </c>
      <c r="K4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71">
        <v>0</v>
      </c>
      <c r="M49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1">
        <v>13.5</v>
      </c>
      <c r="O4971" s="23" t="s">
        <v>242</v>
      </c>
      <c r="P4971">
        <v>6.75</v>
      </c>
      <c r="Q4971" s="23" t="s">
        <v>181</v>
      </c>
    </row>
    <row r="4972" spans="1:17" x14ac:dyDescent="0.25">
      <c r="A4972" s="23" t="s">
        <v>1094</v>
      </c>
      <c r="B4972" s="23" t="s">
        <v>1095</v>
      </c>
      <c r="C4972" s="23" t="s">
        <v>176</v>
      </c>
      <c r="D4972" s="23" t="s">
        <v>735</v>
      </c>
      <c r="E4972" s="23" t="s">
        <v>736</v>
      </c>
      <c r="F4972">
        <v>1</v>
      </c>
      <c r="G4972" s="23" t="s">
        <v>177</v>
      </c>
      <c r="H4972">
        <v>0</v>
      </c>
      <c r="I4972">
        <v>12</v>
      </c>
      <c r="J4972" s="10">
        <v>15</v>
      </c>
      <c r="K4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972">
        <v>0</v>
      </c>
      <c r="M49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972">
        <v>565.83000000000004</v>
      </c>
      <c r="O4972" s="23" t="s">
        <v>668</v>
      </c>
      <c r="P4972">
        <v>565.83000000000004</v>
      </c>
      <c r="Q4972" s="23" t="s">
        <v>678</v>
      </c>
    </row>
    <row r="4973" spans="1:17" x14ac:dyDescent="0.25">
      <c r="A4973" s="23" t="s">
        <v>1057</v>
      </c>
      <c r="B4973" s="23" t="s">
        <v>1056</v>
      </c>
      <c r="C4973" s="23" t="s">
        <v>176</v>
      </c>
      <c r="D4973" s="23" t="s">
        <v>764</v>
      </c>
      <c r="E4973" s="23" t="s">
        <v>765</v>
      </c>
      <c r="F4973">
        <v>1</v>
      </c>
      <c r="G4973" s="23" t="s">
        <v>177</v>
      </c>
      <c r="H4973">
        <v>1</v>
      </c>
      <c r="I4973">
        <v>5</v>
      </c>
      <c r="J4973" s="10">
        <v>7</v>
      </c>
      <c r="K4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973">
        <v>8</v>
      </c>
      <c r="M49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3">
        <v>401.17</v>
      </c>
      <c r="O4973" s="23" t="s">
        <v>766</v>
      </c>
      <c r="P4973">
        <v>401.17</v>
      </c>
      <c r="Q4973" s="23" t="s">
        <v>222</v>
      </c>
    </row>
    <row r="4974" spans="1:17" x14ac:dyDescent="0.25">
      <c r="A4974" s="23" t="s">
        <v>1143</v>
      </c>
      <c r="B4974" s="23" t="s">
        <v>1054</v>
      </c>
      <c r="C4974" s="23" t="s">
        <v>176</v>
      </c>
      <c r="D4974" s="23" t="s">
        <v>764</v>
      </c>
      <c r="E4974" s="23" t="s">
        <v>765</v>
      </c>
      <c r="F4974">
        <v>1</v>
      </c>
      <c r="G4974" s="23" t="s">
        <v>177</v>
      </c>
      <c r="H4974">
        <v>0</v>
      </c>
      <c r="I4974">
        <v>5</v>
      </c>
      <c r="J4974" s="10">
        <v>7</v>
      </c>
      <c r="K4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974">
        <v>8</v>
      </c>
      <c r="M49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4">
        <v>401.17</v>
      </c>
      <c r="O4974" s="23" t="s">
        <v>766</v>
      </c>
      <c r="P4974">
        <v>401.17</v>
      </c>
      <c r="Q4974" s="23" t="s">
        <v>222</v>
      </c>
    </row>
    <row r="4975" spans="1:17" x14ac:dyDescent="0.25">
      <c r="A4975" s="23" t="s">
        <v>1097</v>
      </c>
      <c r="B4975" s="23" t="s">
        <v>1095</v>
      </c>
      <c r="C4975" s="23" t="s">
        <v>176</v>
      </c>
      <c r="D4975" s="23" t="s">
        <v>320</v>
      </c>
      <c r="E4975" s="23" t="s">
        <v>321</v>
      </c>
      <c r="F4975">
        <v>0.124</v>
      </c>
      <c r="G4975" s="23" t="s">
        <v>187</v>
      </c>
      <c r="H4975">
        <v>0</v>
      </c>
      <c r="I4975">
        <v>0</v>
      </c>
      <c r="J4975" s="10">
        <v>4.543000000000017</v>
      </c>
      <c r="K4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975">
        <v>0</v>
      </c>
      <c r="M49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975">
        <v>19500</v>
      </c>
      <c r="O4975" s="23" t="s">
        <v>763</v>
      </c>
      <c r="P4975">
        <v>2418</v>
      </c>
      <c r="Q4975" s="23" t="s">
        <v>182</v>
      </c>
    </row>
    <row r="4976" spans="1:17" x14ac:dyDescent="0.25">
      <c r="A4976" s="23" t="s">
        <v>1197</v>
      </c>
      <c r="B4976" s="23" t="s">
        <v>1198</v>
      </c>
      <c r="C4976" s="23" t="s">
        <v>176</v>
      </c>
      <c r="D4976" s="23" t="s">
        <v>320</v>
      </c>
      <c r="E4976" s="23" t="s">
        <v>321</v>
      </c>
      <c r="F4976">
        <v>0.13</v>
      </c>
      <c r="G4976" s="23" t="s">
        <v>187</v>
      </c>
      <c r="H4976">
        <v>0</v>
      </c>
      <c r="I4976">
        <v>0</v>
      </c>
      <c r="J4976" s="10">
        <v>4.543000000000017</v>
      </c>
      <c r="K4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976">
        <v>0</v>
      </c>
      <c r="M49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976">
        <v>19500</v>
      </c>
      <c r="O4976" s="23" t="s">
        <v>763</v>
      </c>
      <c r="P4976">
        <v>2535</v>
      </c>
      <c r="Q4976" s="23" t="s">
        <v>182</v>
      </c>
    </row>
    <row r="4977" spans="1:17" x14ac:dyDescent="0.25">
      <c r="A4977" s="23" t="s">
        <v>1142</v>
      </c>
      <c r="B4977" s="23" t="s">
        <v>1054</v>
      </c>
      <c r="C4977" s="23" t="s">
        <v>176</v>
      </c>
      <c r="D4977" s="23" t="s">
        <v>387</v>
      </c>
      <c r="E4977" s="23" t="s">
        <v>614</v>
      </c>
      <c r="F4977">
        <v>1</v>
      </c>
      <c r="G4977" s="23" t="s">
        <v>183</v>
      </c>
      <c r="H4977">
        <v>0</v>
      </c>
      <c r="I4977">
        <v>15.9</v>
      </c>
      <c r="J4977" s="10">
        <v>39.329999999999977</v>
      </c>
      <c r="K4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4977">
        <v>11.895</v>
      </c>
      <c r="M49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7">
        <v>641.03</v>
      </c>
      <c r="O4977" s="23" t="s">
        <v>224</v>
      </c>
      <c r="P4977">
        <v>641.03</v>
      </c>
      <c r="Q4977" s="23" t="s">
        <v>182</v>
      </c>
    </row>
    <row r="4978" spans="1:17" x14ac:dyDescent="0.25">
      <c r="A4978" s="23" t="s">
        <v>1094</v>
      </c>
      <c r="B4978" s="23" t="s">
        <v>1095</v>
      </c>
      <c r="C4978" s="23" t="s">
        <v>176</v>
      </c>
      <c r="D4978" s="23" t="s">
        <v>1125</v>
      </c>
      <c r="E4978" s="23" t="s">
        <v>1126</v>
      </c>
      <c r="F4978">
        <v>50</v>
      </c>
      <c r="G4978" s="23" t="s">
        <v>183</v>
      </c>
      <c r="H4978">
        <v>0</v>
      </c>
      <c r="I4978">
        <v>0</v>
      </c>
      <c r="J4978" s="10">
        <v>9.2500000000000711</v>
      </c>
      <c r="K4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50</v>
      </c>
      <c r="L4978">
        <v>0</v>
      </c>
      <c r="M49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9727</v>
      </c>
      <c r="N4978">
        <v>194.54</v>
      </c>
      <c r="O4978" s="23" t="s">
        <v>224</v>
      </c>
      <c r="P4978">
        <v>9727</v>
      </c>
      <c r="Q4978" s="23" t="s">
        <v>182</v>
      </c>
    </row>
    <row r="4979" spans="1:17" x14ac:dyDescent="0.25">
      <c r="A4979" s="23" t="s">
        <v>1094</v>
      </c>
      <c r="B4979" s="23" t="s">
        <v>1095</v>
      </c>
      <c r="C4979" s="23" t="s">
        <v>176</v>
      </c>
      <c r="D4979" s="23" t="s">
        <v>837</v>
      </c>
      <c r="E4979" s="23" t="s">
        <v>838</v>
      </c>
      <c r="F4979">
        <v>120</v>
      </c>
      <c r="G4979" s="23" t="s">
        <v>180</v>
      </c>
      <c r="H4979">
        <v>0</v>
      </c>
      <c r="I4979">
        <v>0</v>
      </c>
      <c r="J4979" s="10">
        <v>0</v>
      </c>
      <c r="K4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979">
        <v>0</v>
      </c>
      <c r="M49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79">
        <v>0</v>
      </c>
      <c r="O4979" s="23"/>
      <c r="P4979">
        <v>0</v>
      </c>
      <c r="Q4979" s="23" t="s">
        <v>185</v>
      </c>
    </row>
    <row r="4980" spans="1:17" x14ac:dyDescent="0.25">
      <c r="A4980" s="23" t="s">
        <v>1096</v>
      </c>
      <c r="B4980" s="23" t="s">
        <v>1053</v>
      </c>
      <c r="C4980" s="23" t="s">
        <v>176</v>
      </c>
      <c r="D4980" s="23" t="s">
        <v>837</v>
      </c>
      <c r="E4980" s="23" t="s">
        <v>838</v>
      </c>
      <c r="F4980">
        <v>120</v>
      </c>
      <c r="G4980" s="23" t="s">
        <v>180</v>
      </c>
      <c r="H4980">
        <v>0</v>
      </c>
      <c r="I4980">
        <v>0</v>
      </c>
      <c r="J4980" s="10">
        <v>0</v>
      </c>
      <c r="K4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1760</v>
      </c>
      <c r="L4980">
        <v>0</v>
      </c>
      <c r="M49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0">
        <v>0</v>
      </c>
      <c r="O4980" s="23"/>
      <c r="P4980">
        <v>0</v>
      </c>
      <c r="Q4980" s="23" t="s">
        <v>185</v>
      </c>
    </row>
    <row r="4981" spans="1:17" x14ac:dyDescent="0.25">
      <c r="A4981" s="23" t="s">
        <v>1057</v>
      </c>
      <c r="B4981" s="23" t="s">
        <v>1056</v>
      </c>
      <c r="C4981" s="23" t="s">
        <v>176</v>
      </c>
      <c r="D4981" s="23" t="s">
        <v>953</v>
      </c>
      <c r="E4981" s="23" t="s">
        <v>954</v>
      </c>
      <c r="F4981">
        <v>2</v>
      </c>
      <c r="G4981" s="23" t="s">
        <v>177</v>
      </c>
      <c r="H4981">
        <v>0</v>
      </c>
      <c r="I4981">
        <v>48</v>
      </c>
      <c r="J4981" s="10">
        <v>2</v>
      </c>
      <c r="K4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</v>
      </c>
      <c r="L4981">
        <v>0</v>
      </c>
      <c r="M49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1">
        <v>428.46</v>
      </c>
      <c r="O4981" s="23" t="s">
        <v>637</v>
      </c>
      <c r="P4981">
        <v>856.92</v>
      </c>
      <c r="Q4981" s="23" t="s">
        <v>179</v>
      </c>
    </row>
    <row r="4982" spans="1:17" x14ac:dyDescent="0.25">
      <c r="A4982" s="23" t="s">
        <v>1094</v>
      </c>
      <c r="B4982" s="23" t="s">
        <v>1095</v>
      </c>
      <c r="C4982" s="23" t="s">
        <v>176</v>
      </c>
      <c r="D4982" s="23" t="s">
        <v>320</v>
      </c>
      <c r="E4982" s="23" t="s">
        <v>321</v>
      </c>
      <c r="F4982">
        <v>0.124</v>
      </c>
      <c r="G4982" s="23" t="s">
        <v>187</v>
      </c>
      <c r="H4982">
        <v>0</v>
      </c>
      <c r="I4982">
        <v>0</v>
      </c>
      <c r="J4982" s="10">
        <v>4.543000000000017</v>
      </c>
      <c r="K4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4982">
        <v>0</v>
      </c>
      <c r="M49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4982">
        <v>19500</v>
      </c>
      <c r="O4982" s="23" t="s">
        <v>763</v>
      </c>
      <c r="P4982">
        <v>2418</v>
      </c>
      <c r="Q4982" s="23" t="s">
        <v>182</v>
      </c>
    </row>
    <row r="4983" spans="1:17" x14ac:dyDescent="0.25">
      <c r="A4983" s="23" t="s">
        <v>1100</v>
      </c>
      <c r="B4983" s="23" t="s">
        <v>1101</v>
      </c>
      <c r="C4983" s="23" t="s">
        <v>176</v>
      </c>
      <c r="D4983" s="23" t="s">
        <v>478</v>
      </c>
      <c r="E4983" s="23" t="s">
        <v>565</v>
      </c>
      <c r="F4983">
        <v>0.5</v>
      </c>
      <c r="G4983" s="23" t="s">
        <v>177</v>
      </c>
      <c r="H4983">
        <v>0</v>
      </c>
      <c r="I4983">
        <v>100</v>
      </c>
      <c r="J4983" s="10">
        <v>0</v>
      </c>
      <c r="K4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83">
        <v>0</v>
      </c>
      <c r="M49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3">
        <v>13.5</v>
      </c>
      <c r="O4983" s="23" t="s">
        <v>242</v>
      </c>
      <c r="P4983">
        <v>6.75</v>
      </c>
      <c r="Q4983" s="23" t="s">
        <v>181</v>
      </c>
    </row>
    <row r="4984" spans="1:17" x14ac:dyDescent="0.25">
      <c r="A4984" s="23" t="s">
        <v>1097</v>
      </c>
      <c r="B4984" s="23" t="s">
        <v>1095</v>
      </c>
      <c r="C4984" s="23" t="s">
        <v>176</v>
      </c>
      <c r="D4984" s="23" t="s">
        <v>478</v>
      </c>
      <c r="E4984" s="23" t="s">
        <v>565</v>
      </c>
      <c r="F4984">
        <v>0.5</v>
      </c>
      <c r="G4984" s="23" t="s">
        <v>177</v>
      </c>
      <c r="H4984">
        <v>0</v>
      </c>
      <c r="I4984">
        <v>100</v>
      </c>
      <c r="J4984" s="10">
        <v>0</v>
      </c>
      <c r="K49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84">
        <v>0</v>
      </c>
      <c r="M49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4">
        <v>13.5</v>
      </c>
      <c r="O4984" s="23" t="s">
        <v>242</v>
      </c>
      <c r="P4984">
        <v>6.75</v>
      </c>
      <c r="Q4984" s="23" t="s">
        <v>181</v>
      </c>
    </row>
    <row r="4985" spans="1:17" x14ac:dyDescent="0.25">
      <c r="A4985" s="23" t="s">
        <v>1142</v>
      </c>
      <c r="B4985" s="23" t="s">
        <v>1054</v>
      </c>
      <c r="C4985" s="23" t="s">
        <v>176</v>
      </c>
      <c r="D4985" s="23" t="s">
        <v>735</v>
      </c>
      <c r="E4985" s="23" t="s">
        <v>736</v>
      </c>
      <c r="F4985">
        <v>1</v>
      </c>
      <c r="G4985" s="23" t="s">
        <v>177</v>
      </c>
      <c r="H4985">
        <v>0</v>
      </c>
      <c r="I4985">
        <v>12</v>
      </c>
      <c r="J4985" s="10">
        <v>15</v>
      </c>
      <c r="K49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985">
        <v>0</v>
      </c>
      <c r="M49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985">
        <v>565.83000000000004</v>
      </c>
      <c r="O4985" s="23" t="s">
        <v>668</v>
      </c>
      <c r="P4985">
        <v>565.83000000000004</v>
      </c>
      <c r="Q4985" s="23" t="s">
        <v>678</v>
      </c>
    </row>
    <row r="4986" spans="1:17" x14ac:dyDescent="0.25">
      <c r="A4986" s="23" t="s">
        <v>1143</v>
      </c>
      <c r="B4986" s="23" t="s">
        <v>1054</v>
      </c>
      <c r="C4986" s="23" t="s">
        <v>176</v>
      </c>
      <c r="D4986" s="23" t="s">
        <v>735</v>
      </c>
      <c r="E4986" s="23" t="s">
        <v>736</v>
      </c>
      <c r="F4986">
        <v>1</v>
      </c>
      <c r="G4986" s="23" t="s">
        <v>177</v>
      </c>
      <c r="H4986">
        <v>0</v>
      </c>
      <c r="I4986">
        <v>12</v>
      </c>
      <c r="J4986" s="10">
        <v>15</v>
      </c>
      <c r="K49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986">
        <v>0</v>
      </c>
      <c r="M49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4986">
        <v>565.83000000000004</v>
      </c>
      <c r="O4986" s="23" t="s">
        <v>668</v>
      </c>
      <c r="P4986">
        <v>565.83000000000004</v>
      </c>
      <c r="Q4986" s="23" t="s">
        <v>678</v>
      </c>
    </row>
    <row r="4987" spans="1:17" x14ac:dyDescent="0.25">
      <c r="A4987" s="23" t="s">
        <v>1142</v>
      </c>
      <c r="B4987" s="23" t="s">
        <v>1054</v>
      </c>
      <c r="C4987" s="23" t="s">
        <v>176</v>
      </c>
      <c r="D4987" s="23" t="s">
        <v>764</v>
      </c>
      <c r="E4987" s="23" t="s">
        <v>765</v>
      </c>
      <c r="F4987">
        <v>1</v>
      </c>
      <c r="G4987" s="23" t="s">
        <v>177</v>
      </c>
      <c r="H4987">
        <v>0</v>
      </c>
      <c r="I4987">
        <v>5</v>
      </c>
      <c r="J4987" s="10">
        <v>7</v>
      </c>
      <c r="K49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4987">
        <v>8</v>
      </c>
      <c r="M49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7">
        <v>401.17</v>
      </c>
      <c r="O4987" s="23" t="s">
        <v>766</v>
      </c>
      <c r="P4987">
        <v>401.17</v>
      </c>
      <c r="Q4987" s="23" t="s">
        <v>222</v>
      </c>
    </row>
    <row r="4988" spans="1:17" x14ac:dyDescent="0.25">
      <c r="A4988" s="23" t="s">
        <v>1057</v>
      </c>
      <c r="B4988" s="23" t="s">
        <v>1056</v>
      </c>
      <c r="C4988" s="23" t="s">
        <v>176</v>
      </c>
      <c r="D4988" s="23" t="s">
        <v>478</v>
      </c>
      <c r="E4988" s="23" t="s">
        <v>565</v>
      </c>
      <c r="F4988">
        <v>0.5</v>
      </c>
      <c r="G4988" s="23" t="s">
        <v>177</v>
      </c>
      <c r="H4988">
        <v>0</v>
      </c>
      <c r="I4988">
        <v>100</v>
      </c>
      <c r="J4988" s="10">
        <v>0</v>
      </c>
      <c r="K49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88">
        <v>0</v>
      </c>
      <c r="M49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8">
        <v>13.5</v>
      </c>
      <c r="O4988" s="23" t="s">
        <v>242</v>
      </c>
      <c r="P4988">
        <v>6.75</v>
      </c>
      <c r="Q4988" s="23" t="s">
        <v>181</v>
      </c>
    </row>
    <row r="4989" spans="1:17" x14ac:dyDescent="0.25">
      <c r="A4989" s="23" t="s">
        <v>1062</v>
      </c>
      <c r="B4989" s="23" t="s">
        <v>1053</v>
      </c>
      <c r="C4989" s="23" t="s">
        <v>176</v>
      </c>
      <c r="D4989" s="23" t="s">
        <v>478</v>
      </c>
      <c r="E4989" s="23" t="s">
        <v>565</v>
      </c>
      <c r="F4989">
        <v>0.5</v>
      </c>
      <c r="G4989" s="23" t="s">
        <v>177</v>
      </c>
      <c r="H4989">
        <v>0</v>
      </c>
      <c r="I4989">
        <v>100</v>
      </c>
      <c r="J4989" s="10">
        <v>0</v>
      </c>
      <c r="K49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89">
        <v>0</v>
      </c>
      <c r="M49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89">
        <v>13.5</v>
      </c>
      <c r="O4989" s="23" t="s">
        <v>242</v>
      </c>
      <c r="P4989">
        <v>6.75</v>
      </c>
      <c r="Q4989" s="23" t="s">
        <v>181</v>
      </c>
    </row>
    <row r="4990" spans="1:17" x14ac:dyDescent="0.25">
      <c r="A4990" s="23" t="s">
        <v>1142</v>
      </c>
      <c r="B4990" s="23" t="s">
        <v>1054</v>
      </c>
      <c r="C4990" s="23" t="s">
        <v>176</v>
      </c>
      <c r="D4990" s="23" t="s">
        <v>478</v>
      </c>
      <c r="E4990" s="23" t="s">
        <v>565</v>
      </c>
      <c r="F4990">
        <v>0.5</v>
      </c>
      <c r="G4990" s="23" t="s">
        <v>177</v>
      </c>
      <c r="H4990">
        <v>0</v>
      </c>
      <c r="I4990">
        <v>100</v>
      </c>
      <c r="J4990" s="10">
        <v>0</v>
      </c>
      <c r="K49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90">
        <v>0</v>
      </c>
      <c r="M49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0">
        <v>13.5</v>
      </c>
      <c r="O4990" s="23" t="s">
        <v>242</v>
      </c>
      <c r="P4990">
        <v>6.75</v>
      </c>
      <c r="Q4990" s="23" t="s">
        <v>181</v>
      </c>
    </row>
    <row r="4991" spans="1:17" x14ac:dyDescent="0.25">
      <c r="A4991" s="23" t="s">
        <v>1096</v>
      </c>
      <c r="B4991" s="23" t="s">
        <v>1053</v>
      </c>
      <c r="C4991" s="23" t="s">
        <v>176</v>
      </c>
      <c r="D4991" s="23" t="s">
        <v>478</v>
      </c>
      <c r="E4991" s="23" t="s">
        <v>565</v>
      </c>
      <c r="F4991">
        <v>0.5</v>
      </c>
      <c r="G4991" s="23" t="s">
        <v>177</v>
      </c>
      <c r="H4991">
        <v>0</v>
      </c>
      <c r="I4991">
        <v>100</v>
      </c>
      <c r="J4991" s="10">
        <v>0</v>
      </c>
      <c r="K49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4991">
        <v>0</v>
      </c>
      <c r="M49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1">
        <v>13.5</v>
      </c>
      <c r="O4991" s="23" t="s">
        <v>242</v>
      </c>
      <c r="P4991">
        <v>6.75</v>
      </c>
      <c r="Q4991" s="23" t="s">
        <v>181</v>
      </c>
    </row>
    <row r="4992" spans="1:17" x14ac:dyDescent="0.25">
      <c r="A4992" s="23" t="s">
        <v>1143</v>
      </c>
      <c r="B4992" s="23" t="s">
        <v>1054</v>
      </c>
      <c r="C4992" s="23" t="s">
        <v>176</v>
      </c>
      <c r="D4992" s="23" t="s">
        <v>513</v>
      </c>
      <c r="E4992" s="23" t="s">
        <v>514</v>
      </c>
      <c r="F4992">
        <v>2</v>
      </c>
      <c r="G4992" s="23" t="s">
        <v>177</v>
      </c>
      <c r="H4992">
        <v>0</v>
      </c>
      <c r="I4992">
        <v>6</v>
      </c>
      <c r="J4992" s="10">
        <v>8</v>
      </c>
      <c r="K49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992">
        <v>0</v>
      </c>
      <c r="M49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992">
        <v>1603.33</v>
      </c>
      <c r="O4992" s="23" t="s">
        <v>264</v>
      </c>
      <c r="P4992">
        <v>3206.66</v>
      </c>
      <c r="Q4992" s="23" t="s">
        <v>222</v>
      </c>
    </row>
    <row r="4993" spans="1:17" x14ac:dyDescent="0.25">
      <c r="A4993" s="23" t="s">
        <v>1055</v>
      </c>
      <c r="B4993" s="23" t="s">
        <v>1056</v>
      </c>
      <c r="C4993" s="23" t="s">
        <v>176</v>
      </c>
      <c r="D4993" s="23" t="s">
        <v>793</v>
      </c>
      <c r="E4993" s="23" t="s">
        <v>137</v>
      </c>
      <c r="F4993">
        <v>8</v>
      </c>
      <c r="G4993" s="23" t="s">
        <v>177</v>
      </c>
      <c r="H4993">
        <v>0</v>
      </c>
      <c r="I4993">
        <v>524</v>
      </c>
      <c r="J4993" s="10">
        <v>352</v>
      </c>
      <c r="K49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4993">
        <v>0</v>
      </c>
      <c r="M49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3">
        <v>8.1</v>
      </c>
      <c r="O4993" s="23" t="s">
        <v>505</v>
      </c>
      <c r="P4993">
        <v>64.8</v>
      </c>
      <c r="Q4993" s="23" t="s">
        <v>222</v>
      </c>
    </row>
    <row r="4994" spans="1:17" x14ac:dyDescent="0.25">
      <c r="A4994" s="23" t="s">
        <v>1100</v>
      </c>
      <c r="B4994" s="23" t="s">
        <v>1101</v>
      </c>
      <c r="C4994" s="23" t="s">
        <v>176</v>
      </c>
      <c r="D4994" s="23" t="s">
        <v>1140</v>
      </c>
      <c r="E4994" s="23" t="s">
        <v>1141</v>
      </c>
      <c r="F4994">
        <v>1</v>
      </c>
      <c r="G4994" s="23" t="s">
        <v>177</v>
      </c>
      <c r="H4994">
        <v>0</v>
      </c>
      <c r="I4994">
        <v>0</v>
      </c>
      <c r="J4994" s="10">
        <v>0</v>
      </c>
      <c r="K49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4994">
        <v>0</v>
      </c>
      <c r="M49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4">
        <v>0</v>
      </c>
      <c r="O4994" s="23"/>
      <c r="P4994">
        <v>0</v>
      </c>
      <c r="Q4994" s="23" t="s">
        <v>178</v>
      </c>
    </row>
    <row r="4995" spans="1:17" x14ac:dyDescent="0.25">
      <c r="A4995" s="23" t="s">
        <v>1100</v>
      </c>
      <c r="B4995" s="23" t="s">
        <v>1101</v>
      </c>
      <c r="C4995" s="23" t="s">
        <v>176</v>
      </c>
      <c r="D4995" s="23" t="s">
        <v>513</v>
      </c>
      <c r="E4995" s="23" t="s">
        <v>514</v>
      </c>
      <c r="F4995">
        <v>2</v>
      </c>
      <c r="G4995" s="23" t="s">
        <v>177</v>
      </c>
      <c r="H4995">
        <v>0</v>
      </c>
      <c r="I4995">
        <v>6</v>
      </c>
      <c r="J4995" s="10">
        <v>8</v>
      </c>
      <c r="K49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4995">
        <v>0</v>
      </c>
      <c r="M49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4995">
        <v>1603.33</v>
      </c>
      <c r="O4995" s="23" t="s">
        <v>264</v>
      </c>
      <c r="P4995">
        <v>3206.66</v>
      </c>
      <c r="Q4995" s="23" t="s">
        <v>222</v>
      </c>
    </row>
    <row r="4996" spans="1:17" x14ac:dyDescent="0.25">
      <c r="A4996" s="23" t="s">
        <v>1058</v>
      </c>
      <c r="B4996" s="23" t="s">
        <v>1059</v>
      </c>
      <c r="C4996" s="23" t="s">
        <v>176</v>
      </c>
      <c r="D4996" s="23" t="s">
        <v>687</v>
      </c>
      <c r="E4996" s="23" t="s">
        <v>688</v>
      </c>
      <c r="F4996">
        <v>1</v>
      </c>
      <c r="G4996" s="23" t="s">
        <v>177</v>
      </c>
      <c r="H4996">
        <v>0</v>
      </c>
      <c r="I4996">
        <v>0</v>
      </c>
      <c r="J4996" s="10">
        <v>1</v>
      </c>
      <c r="K49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996">
        <v>0</v>
      </c>
      <c r="M49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4996">
        <v>1541.99</v>
      </c>
      <c r="O4996" s="23" t="s">
        <v>689</v>
      </c>
      <c r="P4996">
        <v>1541.99</v>
      </c>
      <c r="Q4996" s="23" t="s">
        <v>178</v>
      </c>
    </row>
    <row r="4997" spans="1:17" x14ac:dyDescent="0.25">
      <c r="A4997" s="23" t="s">
        <v>1097</v>
      </c>
      <c r="B4997" s="23" t="s">
        <v>1095</v>
      </c>
      <c r="C4997" s="23" t="s">
        <v>176</v>
      </c>
      <c r="D4997" s="23" t="s">
        <v>687</v>
      </c>
      <c r="E4997" s="23" t="s">
        <v>688</v>
      </c>
      <c r="F4997">
        <v>1</v>
      </c>
      <c r="G4997" s="23" t="s">
        <v>177</v>
      </c>
      <c r="H4997">
        <v>0</v>
      </c>
      <c r="I4997">
        <v>0</v>
      </c>
      <c r="J4997" s="10">
        <v>1</v>
      </c>
      <c r="K49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4997">
        <v>0</v>
      </c>
      <c r="M49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4997">
        <v>1541.99</v>
      </c>
      <c r="O4997" s="23" t="s">
        <v>689</v>
      </c>
      <c r="P4997">
        <v>1541.99</v>
      </c>
      <c r="Q4997" s="23" t="s">
        <v>178</v>
      </c>
    </row>
    <row r="4998" spans="1:17" x14ac:dyDescent="0.25">
      <c r="A4998" s="23" t="s">
        <v>1094</v>
      </c>
      <c r="B4998" s="23" t="s">
        <v>1095</v>
      </c>
      <c r="C4998" s="23" t="s">
        <v>176</v>
      </c>
      <c r="D4998" s="23" t="s">
        <v>845</v>
      </c>
      <c r="E4998" s="23" t="s">
        <v>846</v>
      </c>
      <c r="F4998">
        <v>4</v>
      </c>
      <c r="G4998" s="23" t="s">
        <v>177</v>
      </c>
      <c r="H4998">
        <v>0</v>
      </c>
      <c r="I4998">
        <v>42</v>
      </c>
      <c r="J4998" s="10">
        <v>20</v>
      </c>
      <c r="K49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4998">
        <v>0</v>
      </c>
      <c r="M49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4998">
        <v>348.7</v>
      </c>
      <c r="O4998" s="23" t="s">
        <v>637</v>
      </c>
      <c r="P4998">
        <v>1394.8</v>
      </c>
      <c r="Q4998" s="23" t="s">
        <v>178</v>
      </c>
    </row>
    <row r="4999" spans="1:17" x14ac:dyDescent="0.25">
      <c r="A4999" s="23" t="s">
        <v>1057</v>
      </c>
      <c r="B4999" s="23" t="s">
        <v>1056</v>
      </c>
      <c r="C4999" s="23" t="s">
        <v>176</v>
      </c>
      <c r="D4999" s="23" t="s">
        <v>831</v>
      </c>
      <c r="E4999" s="23" t="s">
        <v>832</v>
      </c>
      <c r="F4999">
        <v>5</v>
      </c>
      <c r="G4999" s="23" t="s">
        <v>180</v>
      </c>
      <c r="H4999">
        <v>0</v>
      </c>
      <c r="I4999">
        <v>100</v>
      </c>
      <c r="J4999" s="10">
        <v>0</v>
      </c>
      <c r="K49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4999">
        <v>214.64</v>
      </c>
      <c r="M49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4999">
        <v>50.81</v>
      </c>
      <c r="O4999" s="23" t="s">
        <v>833</v>
      </c>
      <c r="P4999">
        <v>254.05</v>
      </c>
      <c r="Q4999" s="23" t="s">
        <v>185</v>
      </c>
    </row>
    <row r="5000" spans="1:17" x14ac:dyDescent="0.25">
      <c r="A5000" s="23" t="s">
        <v>1143</v>
      </c>
      <c r="B5000" s="23" t="s">
        <v>1054</v>
      </c>
      <c r="C5000" s="23" t="s">
        <v>176</v>
      </c>
      <c r="D5000" s="23" t="s">
        <v>831</v>
      </c>
      <c r="E5000" s="23" t="s">
        <v>832</v>
      </c>
      <c r="F5000">
        <v>5</v>
      </c>
      <c r="G5000" s="23" t="s">
        <v>180</v>
      </c>
      <c r="H5000">
        <v>0</v>
      </c>
      <c r="I5000">
        <v>100</v>
      </c>
      <c r="J5000" s="10">
        <v>0</v>
      </c>
      <c r="K50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5000">
        <v>214.64</v>
      </c>
      <c r="M50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0">
        <v>50.81</v>
      </c>
      <c r="O5000" s="23" t="s">
        <v>833</v>
      </c>
      <c r="P5000">
        <v>254.05</v>
      </c>
      <c r="Q5000" s="23" t="s">
        <v>185</v>
      </c>
    </row>
    <row r="5001" spans="1:17" x14ac:dyDescent="0.25">
      <c r="A5001" s="23" t="s">
        <v>1143</v>
      </c>
      <c r="B5001" s="23" t="s">
        <v>1054</v>
      </c>
      <c r="C5001" s="23" t="s">
        <v>176</v>
      </c>
      <c r="D5001" s="23" t="s">
        <v>135</v>
      </c>
      <c r="E5001" s="23" t="s">
        <v>136</v>
      </c>
      <c r="F5001">
        <v>6.5</v>
      </c>
      <c r="G5001" s="23" t="s">
        <v>180</v>
      </c>
      <c r="H5001">
        <v>0</v>
      </c>
      <c r="I5001">
        <v>60</v>
      </c>
      <c r="J5001" s="10">
        <v>52</v>
      </c>
      <c r="K50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5001">
        <v>80</v>
      </c>
      <c r="M50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5001">
        <v>49</v>
      </c>
      <c r="O5001" s="23" t="s">
        <v>673</v>
      </c>
      <c r="P5001">
        <v>318.5</v>
      </c>
      <c r="Q5001" s="23" t="s">
        <v>185</v>
      </c>
    </row>
    <row r="5002" spans="1:17" x14ac:dyDescent="0.25">
      <c r="A5002" s="23" t="s">
        <v>1057</v>
      </c>
      <c r="B5002" s="23" t="s">
        <v>1056</v>
      </c>
      <c r="C5002" s="23" t="s">
        <v>176</v>
      </c>
      <c r="D5002" s="23" t="s">
        <v>135</v>
      </c>
      <c r="E5002" s="23" t="s">
        <v>136</v>
      </c>
      <c r="F5002">
        <v>6</v>
      </c>
      <c r="G5002" s="23" t="s">
        <v>180</v>
      </c>
      <c r="H5002">
        <v>0</v>
      </c>
      <c r="I5002">
        <v>60</v>
      </c>
      <c r="J5002" s="10">
        <v>52</v>
      </c>
      <c r="K50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5002">
        <v>80</v>
      </c>
      <c r="M50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5002">
        <v>49</v>
      </c>
      <c r="O5002" s="23" t="s">
        <v>673</v>
      </c>
      <c r="P5002">
        <v>294</v>
      </c>
      <c r="Q5002" s="23" t="s">
        <v>185</v>
      </c>
    </row>
    <row r="5003" spans="1:17" x14ac:dyDescent="0.25">
      <c r="A5003" s="23" t="s">
        <v>1094</v>
      </c>
      <c r="B5003" s="23" t="s">
        <v>1095</v>
      </c>
      <c r="C5003" s="23" t="s">
        <v>176</v>
      </c>
      <c r="D5003" s="23" t="s">
        <v>135</v>
      </c>
      <c r="E5003" s="23" t="s">
        <v>136</v>
      </c>
      <c r="F5003">
        <v>7.5</v>
      </c>
      <c r="G5003" s="23" t="s">
        <v>180</v>
      </c>
      <c r="H5003">
        <v>0</v>
      </c>
      <c r="I5003">
        <v>60</v>
      </c>
      <c r="J5003" s="10">
        <v>52</v>
      </c>
      <c r="K50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5003">
        <v>80</v>
      </c>
      <c r="M50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5003">
        <v>49</v>
      </c>
      <c r="O5003" s="23" t="s">
        <v>673</v>
      </c>
      <c r="P5003">
        <v>367.5</v>
      </c>
      <c r="Q5003" s="23" t="s">
        <v>185</v>
      </c>
    </row>
    <row r="5004" spans="1:17" x14ac:dyDescent="0.25">
      <c r="A5004" s="23" t="s">
        <v>1096</v>
      </c>
      <c r="B5004" s="23" t="s">
        <v>1053</v>
      </c>
      <c r="C5004" s="23" t="s">
        <v>176</v>
      </c>
      <c r="D5004" s="23" t="s">
        <v>135</v>
      </c>
      <c r="E5004" s="23" t="s">
        <v>136</v>
      </c>
      <c r="F5004">
        <v>5</v>
      </c>
      <c r="G5004" s="23" t="s">
        <v>180</v>
      </c>
      <c r="H5004">
        <v>0</v>
      </c>
      <c r="I5004">
        <v>60</v>
      </c>
      <c r="J5004" s="10">
        <v>52</v>
      </c>
      <c r="K50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5004">
        <v>80</v>
      </c>
      <c r="M50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5004">
        <v>49</v>
      </c>
      <c r="O5004" s="23" t="s">
        <v>673</v>
      </c>
      <c r="P5004">
        <v>245</v>
      </c>
      <c r="Q5004" s="23" t="s">
        <v>185</v>
      </c>
    </row>
    <row r="5005" spans="1:17" x14ac:dyDescent="0.25">
      <c r="A5005" s="23" t="s">
        <v>1057</v>
      </c>
      <c r="B5005" s="23" t="s">
        <v>1056</v>
      </c>
      <c r="C5005" s="23" t="s">
        <v>176</v>
      </c>
      <c r="D5005" s="23" t="s">
        <v>158</v>
      </c>
      <c r="E5005" s="23" t="s">
        <v>159</v>
      </c>
      <c r="F5005">
        <v>1</v>
      </c>
      <c r="G5005" s="23" t="s">
        <v>177</v>
      </c>
      <c r="H5005">
        <v>0</v>
      </c>
      <c r="I5005">
        <v>4</v>
      </c>
      <c r="J5005" s="10">
        <v>22</v>
      </c>
      <c r="K50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05">
        <v>20</v>
      </c>
      <c r="M50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5">
        <v>65</v>
      </c>
      <c r="O5005" s="23" t="s">
        <v>762</v>
      </c>
      <c r="P5005">
        <v>65</v>
      </c>
      <c r="Q5005" s="23" t="s">
        <v>179</v>
      </c>
    </row>
    <row r="5006" spans="1:17" x14ac:dyDescent="0.25">
      <c r="A5006" s="23" t="s">
        <v>1143</v>
      </c>
      <c r="B5006" s="23" t="s">
        <v>1054</v>
      </c>
      <c r="C5006" s="23" t="s">
        <v>176</v>
      </c>
      <c r="D5006" s="23" t="s">
        <v>158</v>
      </c>
      <c r="E5006" s="23" t="s">
        <v>159</v>
      </c>
      <c r="F5006">
        <v>1</v>
      </c>
      <c r="G5006" s="23" t="s">
        <v>177</v>
      </c>
      <c r="H5006">
        <v>0</v>
      </c>
      <c r="I5006">
        <v>4</v>
      </c>
      <c r="J5006" s="10">
        <v>22</v>
      </c>
      <c r="K50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06">
        <v>20</v>
      </c>
      <c r="M50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6">
        <v>65</v>
      </c>
      <c r="O5006" s="23" t="s">
        <v>762</v>
      </c>
      <c r="P5006">
        <v>65</v>
      </c>
      <c r="Q5006" s="23" t="s">
        <v>179</v>
      </c>
    </row>
    <row r="5007" spans="1:17" x14ac:dyDescent="0.25">
      <c r="A5007" s="23" t="s">
        <v>1096</v>
      </c>
      <c r="B5007" s="23" t="s">
        <v>1053</v>
      </c>
      <c r="C5007" s="23" t="s">
        <v>176</v>
      </c>
      <c r="D5007" s="23" t="s">
        <v>638</v>
      </c>
      <c r="E5007" s="23" t="s">
        <v>639</v>
      </c>
      <c r="F5007">
        <v>1</v>
      </c>
      <c r="G5007" s="23" t="s">
        <v>177</v>
      </c>
      <c r="H5007">
        <v>0</v>
      </c>
      <c r="I5007">
        <v>19</v>
      </c>
      <c r="J5007" s="10">
        <v>17</v>
      </c>
      <c r="K50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07">
        <v>0</v>
      </c>
      <c r="M50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7">
        <v>113.64</v>
      </c>
      <c r="O5007" s="23" t="s">
        <v>640</v>
      </c>
      <c r="P5007">
        <v>113.64</v>
      </c>
      <c r="Q5007" s="23" t="s">
        <v>641</v>
      </c>
    </row>
    <row r="5008" spans="1:17" x14ac:dyDescent="0.25">
      <c r="A5008" s="23" t="s">
        <v>1057</v>
      </c>
      <c r="B5008" s="23" t="s">
        <v>1056</v>
      </c>
      <c r="C5008" s="23" t="s">
        <v>176</v>
      </c>
      <c r="D5008" s="23" t="s">
        <v>296</v>
      </c>
      <c r="E5008" s="23" t="s">
        <v>297</v>
      </c>
      <c r="F5008">
        <v>3</v>
      </c>
      <c r="G5008" s="23" t="s">
        <v>180</v>
      </c>
      <c r="H5008">
        <v>3</v>
      </c>
      <c r="I5008">
        <v>118</v>
      </c>
      <c r="J5008" s="10">
        <v>21</v>
      </c>
      <c r="K50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5008">
        <v>0</v>
      </c>
      <c r="M50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8">
        <v>14.33</v>
      </c>
      <c r="O5008" s="23" t="s">
        <v>827</v>
      </c>
      <c r="P5008">
        <v>42.99</v>
      </c>
      <c r="Q5008" s="23" t="s">
        <v>222</v>
      </c>
    </row>
    <row r="5009" spans="1:17" x14ac:dyDescent="0.25">
      <c r="A5009" s="23" t="s">
        <v>1058</v>
      </c>
      <c r="B5009" s="23" t="s">
        <v>1059</v>
      </c>
      <c r="C5009" s="23" t="s">
        <v>176</v>
      </c>
      <c r="D5009" s="23" t="s">
        <v>654</v>
      </c>
      <c r="E5009" s="23" t="s">
        <v>655</v>
      </c>
      <c r="F5009">
        <v>0.05</v>
      </c>
      <c r="G5009" s="23" t="s">
        <v>186</v>
      </c>
      <c r="H5009">
        <v>0.05</v>
      </c>
      <c r="I5009">
        <v>1.8</v>
      </c>
      <c r="J5009" s="10">
        <v>0.85000000000000098</v>
      </c>
      <c r="K50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5009">
        <v>1.75</v>
      </c>
      <c r="M50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09">
        <v>645.64</v>
      </c>
      <c r="O5009" s="23" t="s">
        <v>491</v>
      </c>
      <c r="P5009">
        <v>32.282000000000004</v>
      </c>
      <c r="Q5009" s="23" t="s">
        <v>184</v>
      </c>
    </row>
    <row r="5010" spans="1:17" x14ac:dyDescent="0.25">
      <c r="A5010" s="23" t="s">
        <v>1144</v>
      </c>
      <c r="B5010" s="23" t="s">
        <v>1145</v>
      </c>
      <c r="C5010" s="23" t="s">
        <v>176</v>
      </c>
      <c r="D5010" s="23" t="s">
        <v>671</v>
      </c>
      <c r="E5010" s="23" t="s">
        <v>672</v>
      </c>
      <c r="F5010">
        <v>1</v>
      </c>
      <c r="G5010" s="23" t="s">
        <v>177</v>
      </c>
      <c r="H5010">
        <v>1</v>
      </c>
      <c r="I5010">
        <v>12</v>
      </c>
      <c r="J5010" s="10">
        <v>13</v>
      </c>
      <c r="K50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10">
        <v>0</v>
      </c>
      <c r="M50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0">
        <v>28339.38</v>
      </c>
      <c r="O5010" s="23" t="s">
        <v>215</v>
      </c>
      <c r="P5010">
        <v>28339.38</v>
      </c>
      <c r="Q5010" s="23" t="s">
        <v>178</v>
      </c>
    </row>
    <row r="5011" spans="1:17" x14ac:dyDescent="0.25">
      <c r="A5011" s="23" t="s">
        <v>1057</v>
      </c>
      <c r="B5011" s="23" t="s">
        <v>1056</v>
      </c>
      <c r="C5011" s="23" t="s">
        <v>176</v>
      </c>
      <c r="D5011" s="23" t="s">
        <v>638</v>
      </c>
      <c r="E5011" s="23" t="s">
        <v>639</v>
      </c>
      <c r="F5011">
        <v>1</v>
      </c>
      <c r="G5011" s="23" t="s">
        <v>177</v>
      </c>
      <c r="H5011">
        <v>0</v>
      </c>
      <c r="I5011">
        <v>19</v>
      </c>
      <c r="J5011" s="10">
        <v>17</v>
      </c>
      <c r="K50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11">
        <v>0</v>
      </c>
      <c r="M50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1">
        <v>113.64</v>
      </c>
      <c r="O5011" s="23" t="s">
        <v>640</v>
      </c>
      <c r="P5011">
        <v>113.64</v>
      </c>
      <c r="Q5011" s="23" t="s">
        <v>641</v>
      </c>
    </row>
    <row r="5012" spans="1:17" x14ac:dyDescent="0.25">
      <c r="A5012" s="23" t="s">
        <v>1100</v>
      </c>
      <c r="B5012" s="23" t="s">
        <v>1101</v>
      </c>
      <c r="C5012" s="23" t="s">
        <v>176</v>
      </c>
      <c r="D5012" s="23" t="s">
        <v>115</v>
      </c>
      <c r="E5012" s="23" t="s">
        <v>116</v>
      </c>
      <c r="F5012">
        <v>1.6700000000000002</v>
      </c>
      <c r="G5012" s="23" t="s">
        <v>186</v>
      </c>
      <c r="H5012">
        <v>1.6700000000000002</v>
      </c>
      <c r="I5012">
        <v>0</v>
      </c>
      <c r="J5012" s="10">
        <v>65.03100000000002</v>
      </c>
      <c r="K50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012">
        <v>0</v>
      </c>
      <c r="M50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012">
        <v>389.53</v>
      </c>
      <c r="O5012" s="23" t="s">
        <v>491</v>
      </c>
      <c r="P5012">
        <v>650.51509999999996</v>
      </c>
      <c r="Q5012" s="23" t="s">
        <v>184</v>
      </c>
    </row>
    <row r="5013" spans="1:17" x14ac:dyDescent="0.25">
      <c r="A5013" s="23" t="s">
        <v>1058</v>
      </c>
      <c r="B5013" s="23" t="s">
        <v>1059</v>
      </c>
      <c r="C5013" s="23" t="s">
        <v>176</v>
      </c>
      <c r="D5013" s="23" t="s">
        <v>111</v>
      </c>
      <c r="E5013" s="23" t="s">
        <v>112</v>
      </c>
      <c r="F5013">
        <v>1</v>
      </c>
      <c r="G5013" s="23" t="s">
        <v>177</v>
      </c>
      <c r="H5013">
        <v>1</v>
      </c>
      <c r="I5013">
        <v>2</v>
      </c>
      <c r="J5013" s="10">
        <v>8</v>
      </c>
      <c r="K50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13">
        <v>11</v>
      </c>
      <c r="M50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3">
        <v>675</v>
      </c>
      <c r="O5013" s="23" t="s">
        <v>633</v>
      </c>
      <c r="P5013">
        <v>675</v>
      </c>
      <c r="Q5013" s="23" t="s">
        <v>178</v>
      </c>
    </row>
    <row r="5014" spans="1:17" x14ac:dyDescent="0.25">
      <c r="A5014" s="23" t="s">
        <v>1098</v>
      </c>
      <c r="B5014" s="23" t="s">
        <v>1053</v>
      </c>
      <c r="C5014" s="23" t="s">
        <v>176</v>
      </c>
      <c r="D5014" s="23" t="s">
        <v>671</v>
      </c>
      <c r="E5014" s="23" t="s">
        <v>672</v>
      </c>
      <c r="F5014">
        <v>1</v>
      </c>
      <c r="G5014" s="23" t="s">
        <v>177</v>
      </c>
      <c r="H5014">
        <v>1</v>
      </c>
      <c r="I5014">
        <v>12</v>
      </c>
      <c r="J5014" s="10">
        <v>13</v>
      </c>
      <c r="K50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14">
        <v>0</v>
      </c>
      <c r="M50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4">
        <v>28339.38</v>
      </c>
      <c r="O5014" s="23" t="s">
        <v>215</v>
      </c>
      <c r="P5014">
        <v>28339.38</v>
      </c>
      <c r="Q5014" s="23" t="s">
        <v>178</v>
      </c>
    </row>
    <row r="5015" spans="1:17" x14ac:dyDescent="0.25">
      <c r="A5015" s="23" t="s">
        <v>1057</v>
      </c>
      <c r="B5015" s="23" t="s">
        <v>1056</v>
      </c>
      <c r="C5015" s="23" t="s">
        <v>176</v>
      </c>
      <c r="D5015" s="23" t="s">
        <v>878</v>
      </c>
      <c r="E5015" s="23" t="s">
        <v>879</v>
      </c>
      <c r="F5015">
        <v>2</v>
      </c>
      <c r="G5015" s="23" t="s">
        <v>177</v>
      </c>
      <c r="H5015">
        <v>2</v>
      </c>
      <c r="I5015">
        <v>4</v>
      </c>
      <c r="J5015" s="10">
        <v>12</v>
      </c>
      <c r="K50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015">
        <v>0</v>
      </c>
      <c r="M50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5">
        <v>1028.73</v>
      </c>
      <c r="O5015" s="23" t="s">
        <v>637</v>
      </c>
      <c r="P5015">
        <v>2057.46</v>
      </c>
      <c r="Q5015" s="23" t="s">
        <v>179</v>
      </c>
    </row>
    <row r="5016" spans="1:17" x14ac:dyDescent="0.25">
      <c r="A5016" s="23" t="s">
        <v>1055</v>
      </c>
      <c r="B5016" s="23" t="s">
        <v>1056</v>
      </c>
      <c r="C5016" s="23" t="s">
        <v>176</v>
      </c>
      <c r="D5016" s="23" t="s">
        <v>296</v>
      </c>
      <c r="E5016" s="23" t="s">
        <v>297</v>
      </c>
      <c r="F5016">
        <v>3</v>
      </c>
      <c r="G5016" s="23" t="s">
        <v>180</v>
      </c>
      <c r="H5016">
        <v>3</v>
      </c>
      <c r="I5016">
        <v>118</v>
      </c>
      <c r="J5016" s="10">
        <v>21</v>
      </c>
      <c r="K50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5016">
        <v>0</v>
      </c>
      <c r="M50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6">
        <v>14.33</v>
      </c>
      <c r="O5016" s="23" t="s">
        <v>827</v>
      </c>
      <c r="P5016">
        <v>42.99</v>
      </c>
      <c r="Q5016" s="23" t="s">
        <v>222</v>
      </c>
    </row>
    <row r="5017" spans="1:17" x14ac:dyDescent="0.25">
      <c r="A5017" s="23" t="s">
        <v>1057</v>
      </c>
      <c r="B5017" s="23" t="s">
        <v>1056</v>
      </c>
      <c r="C5017" s="23" t="s">
        <v>176</v>
      </c>
      <c r="D5017" s="23" t="s">
        <v>0</v>
      </c>
      <c r="E5017" s="23" t="s">
        <v>1</v>
      </c>
      <c r="F5017">
        <v>2</v>
      </c>
      <c r="G5017" s="23" t="s">
        <v>177</v>
      </c>
      <c r="H5017">
        <v>2</v>
      </c>
      <c r="I5017">
        <v>69</v>
      </c>
      <c r="J5017" s="10">
        <v>22</v>
      </c>
      <c r="K50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017">
        <v>0</v>
      </c>
      <c r="M50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7">
        <v>640</v>
      </c>
      <c r="O5017" s="23" t="s">
        <v>221</v>
      </c>
      <c r="P5017">
        <v>1280</v>
      </c>
      <c r="Q5017" s="23" t="s">
        <v>222</v>
      </c>
    </row>
    <row r="5018" spans="1:17" x14ac:dyDescent="0.25">
      <c r="A5018" s="23" t="s">
        <v>1055</v>
      </c>
      <c r="B5018" s="23" t="s">
        <v>1056</v>
      </c>
      <c r="C5018" s="23" t="s">
        <v>176</v>
      </c>
      <c r="D5018" s="23" t="s">
        <v>58</v>
      </c>
      <c r="E5018" s="23" t="s">
        <v>59</v>
      </c>
      <c r="F5018">
        <v>1</v>
      </c>
      <c r="G5018" s="23" t="s">
        <v>177</v>
      </c>
      <c r="H5018">
        <v>1</v>
      </c>
      <c r="I5018">
        <v>18</v>
      </c>
      <c r="J5018" s="10">
        <v>10</v>
      </c>
      <c r="K50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18">
        <v>0</v>
      </c>
      <c r="M50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8">
        <v>1094.4000000000001</v>
      </c>
      <c r="O5018" s="23" t="s">
        <v>827</v>
      </c>
      <c r="P5018">
        <v>1094.4000000000001</v>
      </c>
      <c r="Q5018" s="23" t="s">
        <v>222</v>
      </c>
    </row>
    <row r="5019" spans="1:17" x14ac:dyDescent="0.25">
      <c r="A5019" s="23" t="s">
        <v>1100</v>
      </c>
      <c r="B5019" s="23" t="s">
        <v>1101</v>
      </c>
      <c r="C5019" s="23" t="s">
        <v>176</v>
      </c>
      <c r="D5019" s="23" t="s">
        <v>446</v>
      </c>
      <c r="E5019" s="23" t="s">
        <v>630</v>
      </c>
      <c r="F5019">
        <v>2</v>
      </c>
      <c r="G5019" s="23" t="s">
        <v>177</v>
      </c>
      <c r="H5019">
        <v>0</v>
      </c>
      <c r="I5019">
        <v>115</v>
      </c>
      <c r="J5019" s="10">
        <v>28</v>
      </c>
      <c r="K50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019">
        <v>0</v>
      </c>
      <c r="M50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19">
        <v>250</v>
      </c>
      <c r="O5019" s="23" t="s">
        <v>629</v>
      </c>
      <c r="P5019">
        <v>500</v>
      </c>
      <c r="Q5019" s="23" t="s">
        <v>181</v>
      </c>
    </row>
    <row r="5020" spans="1:17" x14ac:dyDescent="0.25">
      <c r="A5020" s="23" t="s">
        <v>1057</v>
      </c>
      <c r="B5020" s="23" t="s">
        <v>1056</v>
      </c>
      <c r="C5020" s="23" t="s">
        <v>176</v>
      </c>
      <c r="D5020" s="23" t="s">
        <v>279</v>
      </c>
      <c r="E5020" s="23" t="s">
        <v>317</v>
      </c>
      <c r="F5020">
        <v>1</v>
      </c>
      <c r="G5020" s="23" t="s">
        <v>177</v>
      </c>
      <c r="H5020">
        <v>0</v>
      </c>
      <c r="I5020">
        <v>27</v>
      </c>
      <c r="J5020" s="10">
        <v>4</v>
      </c>
      <c r="K50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020">
        <v>0</v>
      </c>
      <c r="M50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0">
        <v>287.01</v>
      </c>
      <c r="O5020" s="23" t="s">
        <v>637</v>
      </c>
      <c r="P5020">
        <v>287.01</v>
      </c>
      <c r="Q5020" s="23" t="s">
        <v>179</v>
      </c>
    </row>
    <row r="5021" spans="1:17" x14ac:dyDescent="0.25">
      <c r="A5021" s="23" t="s">
        <v>1100</v>
      </c>
      <c r="B5021" s="23" t="s">
        <v>1101</v>
      </c>
      <c r="C5021" s="23" t="s">
        <v>176</v>
      </c>
      <c r="D5021" s="23" t="s">
        <v>243</v>
      </c>
      <c r="E5021" s="23" t="s">
        <v>244</v>
      </c>
      <c r="F5021">
        <v>1.35</v>
      </c>
      <c r="G5021" s="23" t="s">
        <v>177</v>
      </c>
      <c r="H5021">
        <v>1.35</v>
      </c>
      <c r="I5021">
        <v>49</v>
      </c>
      <c r="J5021" s="10">
        <v>1.599999999999973</v>
      </c>
      <c r="K50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021">
        <v>0</v>
      </c>
      <c r="M50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1">
        <v>60</v>
      </c>
      <c r="O5021" s="23" t="s">
        <v>491</v>
      </c>
      <c r="P5021">
        <v>81</v>
      </c>
      <c r="Q5021" s="23" t="s">
        <v>181</v>
      </c>
    </row>
    <row r="5022" spans="1:17" x14ac:dyDescent="0.25">
      <c r="A5022" s="23" t="s">
        <v>1100</v>
      </c>
      <c r="B5022" s="23" t="s">
        <v>1101</v>
      </c>
      <c r="C5022" s="23" t="s">
        <v>176</v>
      </c>
      <c r="D5022" s="23" t="s">
        <v>654</v>
      </c>
      <c r="E5022" s="23" t="s">
        <v>655</v>
      </c>
      <c r="F5022">
        <v>0.2</v>
      </c>
      <c r="G5022" s="23" t="s">
        <v>186</v>
      </c>
      <c r="H5022">
        <v>0.2</v>
      </c>
      <c r="I5022">
        <v>1.8</v>
      </c>
      <c r="J5022" s="10">
        <v>0.85000000000000098</v>
      </c>
      <c r="K50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5022">
        <v>1.75</v>
      </c>
      <c r="M50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2">
        <v>645.64</v>
      </c>
      <c r="O5022" s="23" t="s">
        <v>491</v>
      </c>
      <c r="P5022">
        <v>129.12800000000001</v>
      </c>
      <c r="Q5022" s="23" t="s">
        <v>184</v>
      </c>
    </row>
    <row r="5023" spans="1:17" x14ac:dyDescent="0.25">
      <c r="A5023" s="23" t="s">
        <v>1142</v>
      </c>
      <c r="B5023" s="23" t="s">
        <v>1054</v>
      </c>
      <c r="C5023" s="23" t="s">
        <v>176</v>
      </c>
      <c r="D5023" s="23" t="s">
        <v>638</v>
      </c>
      <c r="E5023" s="23" t="s">
        <v>639</v>
      </c>
      <c r="F5023">
        <v>1</v>
      </c>
      <c r="G5023" s="23" t="s">
        <v>177</v>
      </c>
      <c r="H5023">
        <v>0</v>
      </c>
      <c r="I5023">
        <v>19</v>
      </c>
      <c r="J5023" s="10">
        <v>17</v>
      </c>
      <c r="K50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23">
        <v>0</v>
      </c>
      <c r="M50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3">
        <v>113.64</v>
      </c>
      <c r="O5023" s="23" t="s">
        <v>640</v>
      </c>
      <c r="P5023">
        <v>113.64</v>
      </c>
      <c r="Q5023" s="23" t="s">
        <v>641</v>
      </c>
    </row>
    <row r="5024" spans="1:17" x14ac:dyDescent="0.25">
      <c r="A5024" s="23" t="s">
        <v>1096</v>
      </c>
      <c r="B5024" s="23" t="s">
        <v>1053</v>
      </c>
      <c r="C5024" s="23" t="s">
        <v>176</v>
      </c>
      <c r="D5024" s="23" t="s">
        <v>671</v>
      </c>
      <c r="E5024" s="23" t="s">
        <v>672</v>
      </c>
      <c r="F5024">
        <v>1</v>
      </c>
      <c r="G5024" s="23" t="s">
        <v>177</v>
      </c>
      <c r="H5024">
        <v>1</v>
      </c>
      <c r="I5024">
        <v>12</v>
      </c>
      <c r="J5024" s="10">
        <v>13</v>
      </c>
      <c r="K50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024">
        <v>0</v>
      </c>
      <c r="M50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4">
        <v>28339.38</v>
      </c>
      <c r="O5024" s="23" t="s">
        <v>215</v>
      </c>
      <c r="P5024">
        <v>28339.38</v>
      </c>
      <c r="Q5024" s="23" t="s">
        <v>178</v>
      </c>
    </row>
    <row r="5025" spans="1:17" x14ac:dyDescent="0.25">
      <c r="A5025" s="23" t="s">
        <v>1142</v>
      </c>
      <c r="B5025" s="23" t="s">
        <v>1054</v>
      </c>
      <c r="C5025" s="23" t="s">
        <v>176</v>
      </c>
      <c r="D5025" s="23" t="s">
        <v>704</v>
      </c>
      <c r="E5025" s="23" t="s">
        <v>705</v>
      </c>
      <c r="F5025">
        <v>6</v>
      </c>
      <c r="G5025" s="23" t="s">
        <v>177</v>
      </c>
      <c r="H5025">
        <v>0</v>
      </c>
      <c r="I5025">
        <v>250</v>
      </c>
      <c r="J5025" s="10">
        <v>302</v>
      </c>
      <c r="K50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025">
        <v>0</v>
      </c>
      <c r="M50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5">
        <v>0.9</v>
      </c>
      <c r="O5025" s="23" t="s">
        <v>827</v>
      </c>
      <c r="P5025">
        <v>5.4</v>
      </c>
      <c r="Q5025" s="23" t="s">
        <v>222</v>
      </c>
    </row>
    <row r="5026" spans="1:17" x14ac:dyDescent="0.25">
      <c r="A5026" s="23" t="s">
        <v>1142</v>
      </c>
      <c r="B5026" s="23" t="s">
        <v>1054</v>
      </c>
      <c r="C5026" s="23" t="s">
        <v>176</v>
      </c>
      <c r="D5026" s="23" t="s">
        <v>594</v>
      </c>
      <c r="E5026" s="23" t="s">
        <v>595</v>
      </c>
      <c r="F5026">
        <v>4</v>
      </c>
      <c r="G5026" s="23" t="s">
        <v>177</v>
      </c>
      <c r="H5026">
        <v>0</v>
      </c>
      <c r="I5026">
        <v>46</v>
      </c>
      <c r="J5026" s="10">
        <v>12</v>
      </c>
      <c r="K50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26">
        <v>0</v>
      </c>
      <c r="M50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6">
        <v>100</v>
      </c>
      <c r="O5026" s="23" t="s">
        <v>1032</v>
      </c>
      <c r="P5026">
        <v>400</v>
      </c>
      <c r="Q5026" s="23" t="s">
        <v>178</v>
      </c>
    </row>
    <row r="5027" spans="1:17" x14ac:dyDescent="0.25">
      <c r="A5027" s="23" t="s">
        <v>1142</v>
      </c>
      <c r="B5027" s="23" t="s">
        <v>1054</v>
      </c>
      <c r="C5027" s="23" t="s">
        <v>176</v>
      </c>
      <c r="D5027" s="23" t="s">
        <v>474</v>
      </c>
      <c r="E5027" s="23" t="s">
        <v>475</v>
      </c>
      <c r="F5027">
        <v>30</v>
      </c>
      <c r="G5027" s="23" t="s">
        <v>177</v>
      </c>
      <c r="H5027">
        <v>0</v>
      </c>
      <c r="I5027">
        <v>880</v>
      </c>
      <c r="J5027" s="10">
        <v>414</v>
      </c>
      <c r="K50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027">
        <v>0</v>
      </c>
      <c r="M50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7">
        <v>2.1</v>
      </c>
      <c r="O5027" s="23" t="s">
        <v>242</v>
      </c>
      <c r="P5027">
        <v>63</v>
      </c>
      <c r="Q5027" s="23" t="s">
        <v>181</v>
      </c>
    </row>
    <row r="5028" spans="1:17" x14ac:dyDescent="0.25">
      <c r="A5028" s="23" t="s">
        <v>1098</v>
      </c>
      <c r="B5028" s="23" t="s">
        <v>1053</v>
      </c>
      <c r="C5028" s="23" t="s">
        <v>176</v>
      </c>
      <c r="D5028" s="23" t="s">
        <v>474</v>
      </c>
      <c r="E5028" s="23" t="s">
        <v>475</v>
      </c>
      <c r="F5028">
        <v>44</v>
      </c>
      <c r="G5028" s="23" t="s">
        <v>177</v>
      </c>
      <c r="H5028">
        <v>0</v>
      </c>
      <c r="I5028">
        <v>880</v>
      </c>
      <c r="J5028" s="10">
        <v>414</v>
      </c>
      <c r="K50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028">
        <v>0</v>
      </c>
      <c r="M50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28">
        <v>2.1</v>
      </c>
      <c r="O5028" s="23" t="s">
        <v>242</v>
      </c>
      <c r="P5028">
        <v>92.4</v>
      </c>
      <c r="Q5028" s="23" t="s">
        <v>181</v>
      </c>
    </row>
    <row r="5029" spans="1:17" x14ac:dyDescent="0.25">
      <c r="A5029" s="23" t="s">
        <v>1062</v>
      </c>
      <c r="B5029" s="23" t="s">
        <v>1053</v>
      </c>
      <c r="C5029" s="23" t="s">
        <v>176</v>
      </c>
      <c r="D5029" s="23" t="s">
        <v>162</v>
      </c>
      <c r="E5029" s="23" t="s">
        <v>163</v>
      </c>
      <c r="F5029">
        <v>1</v>
      </c>
      <c r="G5029" s="23" t="s">
        <v>177</v>
      </c>
      <c r="H5029">
        <v>1</v>
      </c>
      <c r="I5029">
        <v>2</v>
      </c>
      <c r="J5029" s="10">
        <v>8</v>
      </c>
      <c r="K50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029">
        <v>3</v>
      </c>
      <c r="M50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029">
        <v>6057.5</v>
      </c>
      <c r="O5029" s="23" t="s">
        <v>228</v>
      </c>
      <c r="P5029">
        <v>6057.5</v>
      </c>
      <c r="Q5029" s="23" t="s">
        <v>222</v>
      </c>
    </row>
    <row r="5030" spans="1:17" x14ac:dyDescent="0.25">
      <c r="A5030" s="23" t="s">
        <v>1142</v>
      </c>
      <c r="B5030" s="23" t="s">
        <v>1054</v>
      </c>
      <c r="C5030" s="23" t="s">
        <v>176</v>
      </c>
      <c r="D5030" s="23" t="s">
        <v>784</v>
      </c>
      <c r="E5030" s="23" t="s">
        <v>785</v>
      </c>
      <c r="F5030">
        <v>1</v>
      </c>
      <c r="G5030" s="23" t="s">
        <v>177</v>
      </c>
      <c r="H5030">
        <v>0</v>
      </c>
      <c r="I5030">
        <v>7</v>
      </c>
      <c r="J5030" s="10">
        <v>9</v>
      </c>
      <c r="K50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030">
        <v>10</v>
      </c>
      <c r="M50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0">
        <v>450</v>
      </c>
      <c r="O5030" s="23" t="s">
        <v>291</v>
      </c>
      <c r="P5030">
        <v>450</v>
      </c>
      <c r="Q5030" s="23" t="s">
        <v>179</v>
      </c>
    </row>
    <row r="5031" spans="1:17" x14ac:dyDescent="0.25">
      <c r="A5031" s="23" t="s">
        <v>1094</v>
      </c>
      <c r="B5031" s="23" t="s">
        <v>1095</v>
      </c>
      <c r="C5031" s="23" t="s">
        <v>176</v>
      </c>
      <c r="D5031" s="23" t="s">
        <v>474</v>
      </c>
      <c r="E5031" s="23" t="s">
        <v>475</v>
      </c>
      <c r="F5031">
        <v>52</v>
      </c>
      <c r="G5031" s="23" t="s">
        <v>177</v>
      </c>
      <c r="H5031">
        <v>0</v>
      </c>
      <c r="I5031">
        <v>880</v>
      </c>
      <c r="J5031" s="10">
        <v>414</v>
      </c>
      <c r="K50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031">
        <v>0</v>
      </c>
      <c r="M50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1">
        <v>2.1</v>
      </c>
      <c r="O5031" s="23" t="s">
        <v>242</v>
      </c>
      <c r="P5031">
        <v>109.2</v>
      </c>
      <c r="Q5031" s="23" t="s">
        <v>181</v>
      </c>
    </row>
    <row r="5032" spans="1:17" x14ac:dyDescent="0.25">
      <c r="A5032" s="23" t="s">
        <v>1142</v>
      </c>
      <c r="B5032" s="23" t="s">
        <v>1054</v>
      </c>
      <c r="C5032" s="23" t="s">
        <v>176</v>
      </c>
      <c r="D5032" s="23" t="s">
        <v>162</v>
      </c>
      <c r="E5032" s="23" t="s">
        <v>163</v>
      </c>
      <c r="F5032">
        <v>1</v>
      </c>
      <c r="G5032" s="23" t="s">
        <v>177</v>
      </c>
      <c r="H5032">
        <v>0</v>
      </c>
      <c r="I5032">
        <v>2</v>
      </c>
      <c r="J5032" s="10">
        <v>8</v>
      </c>
      <c r="K50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032">
        <v>3</v>
      </c>
      <c r="M50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032">
        <v>6057.5</v>
      </c>
      <c r="O5032" s="23" t="s">
        <v>228</v>
      </c>
      <c r="P5032">
        <v>6057.5</v>
      </c>
      <c r="Q5032" s="23" t="s">
        <v>222</v>
      </c>
    </row>
    <row r="5033" spans="1:17" x14ac:dyDescent="0.25">
      <c r="A5033" s="23" t="s">
        <v>1094</v>
      </c>
      <c r="B5033" s="23" t="s">
        <v>1095</v>
      </c>
      <c r="C5033" s="23" t="s">
        <v>176</v>
      </c>
      <c r="D5033" s="23" t="s">
        <v>553</v>
      </c>
      <c r="E5033" s="23" t="s">
        <v>554</v>
      </c>
      <c r="F5033">
        <v>0.67</v>
      </c>
      <c r="G5033" s="23" t="s">
        <v>177</v>
      </c>
      <c r="H5033">
        <v>0</v>
      </c>
      <c r="I5033">
        <v>14</v>
      </c>
      <c r="J5033" s="10">
        <v>9.9999999999999964</v>
      </c>
      <c r="K50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033">
        <v>0</v>
      </c>
      <c r="M50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5033">
        <v>215</v>
      </c>
      <c r="O5033" s="23" t="s">
        <v>242</v>
      </c>
      <c r="P5033">
        <v>144.05000000000001</v>
      </c>
      <c r="Q5033" s="23" t="s">
        <v>181</v>
      </c>
    </row>
    <row r="5034" spans="1:17" x14ac:dyDescent="0.25">
      <c r="A5034" s="23" t="s">
        <v>1057</v>
      </c>
      <c r="B5034" s="23" t="s">
        <v>1056</v>
      </c>
      <c r="C5034" s="23" t="s">
        <v>176</v>
      </c>
      <c r="D5034" s="23" t="s">
        <v>561</v>
      </c>
      <c r="E5034" s="23" t="s">
        <v>562</v>
      </c>
      <c r="F5034">
        <v>0.7</v>
      </c>
      <c r="G5034" s="23" t="s">
        <v>177</v>
      </c>
      <c r="H5034">
        <v>0</v>
      </c>
      <c r="I5034">
        <v>272</v>
      </c>
      <c r="J5034" s="10">
        <v>4.3</v>
      </c>
      <c r="K50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034">
        <v>0</v>
      </c>
      <c r="M50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4">
        <v>30</v>
      </c>
      <c r="O5034" s="23" t="s">
        <v>242</v>
      </c>
      <c r="P5034">
        <v>21</v>
      </c>
      <c r="Q5034" s="23" t="s">
        <v>181</v>
      </c>
    </row>
    <row r="5035" spans="1:17" x14ac:dyDescent="0.25">
      <c r="A5035" s="23" t="s">
        <v>1143</v>
      </c>
      <c r="B5035" s="23" t="s">
        <v>1054</v>
      </c>
      <c r="C5035" s="23" t="s">
        <v>176</v>
      </c>
      <c r="D5035" s="23" t="s">
        <v>561</v>
      </c>
      <c r="E5035" s="23" t="s">
        <v>562</v>
      </c>
      <c r="F5035">
        <v>1.5</v>
      </c>
      <c r="G5035" s="23" t="s">
        <v>177</v>
      </c>
      <c r="H5035">
        <v>0</v>
      </c>
      <c r="I5035">
        <v>272</v>
      </c>
      <c r="J5035" s="10">
        <v>4.3</v>
      </c>
      <c r="K50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035">
        <v>0</v>
      </c>
      <c r="M50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5">
        <v>30</v>
      </c>
      <c r="O5035" s="23" t="s">
        <v>242</v>
      </c>
      <c r="P5035">
        <v>45</v>
      </c>
      <c r="Q5035" s="23" t="s">
        <v>181</v>
      </c>
    </row>
    <row r="5036" spans="1:17" x14ac:dyDescent="0.25">
      <c r="A5036" s="23" t="s">
        <v>1055</v>
      </c>
      <c r="B5036" s="23" t="s">
        <v>1056</v>
      </c>
      <c r="C5036" s="23" t="s">
        <v>176</v>
      </c>
      <c r="D5036" s="23" t="s">
        <v>401</v>
      </c>
      <c r="E5036" s="23" t="s">
        <v>402</v>
      </c>
      <c r="F5036">
        <v>2</v>
      </c>
      <c r="G5036" s="23" t="s">
        <v>177</v>
      </c>
      <c r="H5036">
        <v>2</v>
      </c>
      <c r="I5036">
        <v>31</v>
      </c>
      <c r="J5036" s="10">
        <v>12</v>
      </c>
      <c r="K50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036">
        <v>0</v>
      </c>
      <c r="M50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6">
        <v>15</v>
      </c>
      <c r="O5036" s="23" t="s">
        <v>221</v>
      </c>
      <c r="P5036">
        <v>30</v>
      </c>
      <c r="Q5036" s="23" t="s">
        <v>222</v>
      </c>
    </row>
    <row r="5037" spans="1:17" x14ac:dyDescent="0.25">
      <c r="A5037" s="23" t="s">
        <v>1062</v>
      </c>
      <c r="B5037" s="23" t="s">
        <v>1053</v>
      </c>
      <c r="C5037" s="23" t="s">
        <v>176</v>
      </c>
      <c r="D5037" s="23" t="s">
        <v>1077</v>
      </c>
      <c r="E5037" s="23" t="s">
        <v>1078</v>
      </c>
      <c r="F5037">
        <v>1</v>
      </c>
      <c r="G5037" s="23" t="s">
        <v>177</v>
      </c>
      <c r="H5037">
        <v>1</v>
      </c>
      <c r="I5037">
        <v>4</v>
      </c>
      <c r="J5037" s="10">
        <v>7</v>
      </c>
      <c r="K50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037">
        <v>10</v>
      </c>
      <c r="M50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7">
        <v>3097.63</v>
      </c>
      <c r="O5037" s="23" t="s">
        <v>593</v>
      </c>
      <c r="P5037">
        <v>3097.63</v>
      </c>
      <c r="Q5037" s="23" t="s">
        <v>179</v>
      </c>
    </row>
    <row r="5038" spans="1:17" x14ac:dyDescent="0.25">
      <c r="A5038" s="23" t="s">
        <v>1057</v>
      </c>
      <c r="B5038" s="23" t="s">
        <v>1056</v>
      </c>
      <c r="C5038" s="23" t="s">
        <v>176</v>
      </c>
      <c r="D5038" s="23" t="s">
        <v>547</v>
      </c>
      <c r="E5038" s="23" t="s">
        <v>548</v>
      </c>
      <c r="F5038">
        <v>2</v>
      </c>
      <c r="G5038" s="23" t="s">
        <v>177</v>
      </c>
      <c r="H5038">
        <v>2</v>
      </c>
      <c r="I5038">
        <v>109</v>
      </c>
      <c r="J5038" s="10">
        <v>6</v>
      </c>
      <c r="K50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5038">
        <v>0</v>
      </c>
      <c r="M50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8">
        <v>90</v>
      </c>
      <c r="O5038" s="23"/>
      <c r="P5038">
        <v>180</v>
      </c>
      <c r="Q5038" s="23" t="s">
        <v>181</v>
      </c>
    </row>
    <row r="5039" spans="1:17" x14ac:dyDescent="0.25">
      <c r="A5039" s="23" t="s">
        <v>1057</v>
      </c>
      <c r="B5039" s="23" t="s">
        <v>1056</v>
      </c>
      <c r="C5039" s="23" t="s">
        <v>176</v>
      </c>
      <c r="D5039" s="23" t="s">
        <v>549</v>
      </c>
      <c r="E5039" s="23" t="s">
        <v>550</v>
      </c>
      <c r="F5039">
        <v>23</v>
      </c>
      <c r="G5039" s="23" t="s">
        <v>177</v>
      </c>
      <c r="H5039">
        <v>23</v>
      </c>
      <c r="I5039">
        <v>800</v>
      </c>
      <c r="J5039" s="10">
        <v>0</v>
      </c>
      <c r="K50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039">
        <v>0</v>
      </c>
      <c r="M50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39">
        <v>13.75</v>
      </c>
      <c r="O5039" s="23" t="s">
        <v>629</v>
      </c>
      <c r="P5039">
        <v>316.25</v>
      </c>
      <c r="Q5039" s="23" t="s">
        <v>181</v>
      </c>
    </row>
    <row r="5040" spans="1:17" x14ac:dyDescent="0.25">
      <c r="A5040" s="23" t="s">
        <v>1096</v>
      </c>
      <c r="B5040" s="23" t="s">
        <v>1053</v>
      </c>
      <c r="C5040" s="23" t="s">
        <v>176</v>
      </c>
      <c r="D5040" s="23" t="s">
        <v>581</v>
      </c>
      <c r="E5040" s="23" t="s">
        <v>582</v>
      </c>
      <c r="F5040">
        <v>35.25</v>
      </c>
      <c r="G5040" s="23" t="s">
        <v>186</v>
      </c>
      <c r="H5040">
        <v>35.25</v>
      </c>
      <c r="I5040">
        <v>140</v>
      </c>
      <c r="J5040" s="10">
        <v>139.95999999999989</v>
      </c>
      <c r="K50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040">
        <v>80</v>
      </c>
      <c r="M50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0">
        <v>164.09</v>
      </c>
      <c r="O5040" s="23" t="s">
        <v>491</v>
      </c>
      <c r="P5040">
        <v>5784.1724999999997</v>
      </c>
      <c r="Q5040" s="23" t="s">
        <v>184</v>
      </c>
    </row>
    <row r="5041" spans="1:17" x14ac:dyDescent="0.25">
      <c r="A5041" s="23" t="s">
        <v>1099</v>
      </c>
      <c r="B5041" s="23" t="s">
        <v>1056</v>
      </c>
      <c r="C5041" s="23" t="s">
        <v>176</v>
      </c>
      <c r="D5041" s="23" t="s">
        <v>266</v>
      </c>
      <c r="E5041" s="23" t="s">
        <v>267</v>
      </c>
      <c r="F5041">
        <v>1</v>
      </c>
      <c r="G5041" s="23" t="s">
        <v>177</v>
      </c>
      <c r="H5041">
        <v>1</v>
      </c>
      <c r="I5041">
        <v>1</v>
      </c>
      <c r="J5041" s="10">
        <v>7</v>
      </c>
      <c r="K50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041">
        <v>0</v>
      </c>
      <c r="M50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5041">
        <v>4633.34</v>
      </c>
      <c r="O5041" s="23" t="s">
        <v>215</v>
      </c>
      <c r="P5041">
        <v>4633.34</v>
      </c>
      <c r="Q5041" s="23" t="s">
        <v>178</v>
      </c>
    </row>
    <row r="5042" spans="1:17" x14ac:dyDescent="0.25">
      <c r="A5042" s="23" t="s">
        <v>1055</v>
      </c>
      <c r="B5042" s="23" t="s">
        <v>1056</v>
      </c>
      <c r="C5042" s="23" t="s">
        <v>176</v>
      </c>
      <c r="D5042" s="23" t="s">
        <v>1083</v>
      </c>
      <c r="E5042" s="23" t="s">
        <v>1084</v>
      </c>
      <c r="F5042">
        <v>2</v>
      </c>
      <c r="G5042" s="23" t="s">
        <v>177</v>
      </c>
      <c r="H5042">
        <v>2</v>
      </c>
      <c r="I5042">
        <v>16</v>
      </c>
      <c r="J5042" s="10">
        <v>14</v>
      </c>
      <c r="K50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42">
        <v>20</v>
      </c>
      <c r="M50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2">
        <v>194</v>
      </c>
      <c r="O5042" s="23" t="s">
        <v>218</v>
      </c>
      <c r="P5042">
        <v>388</v>
      </c>
      <c r="Q5042" s="23" t="s">
        <v>178</v>
      </c>
    </row>
    <row r="5043" spans="1:17" x14ac:dyDescent="0.25">
      <c r="A5043" s="23" t="s">
        <v>1096</v>
      </c>
      <c r="B5043" s="23" t="s">
        <v>1053</v>
      </c>
      <c r="C5043" s="23" t="s">
        <v>176</v>
      </c>
      <c r="D5043" s="23" t="s">
        <v>1083</v>
      </c>
      <c r="E5043" s="23" t="s">
        <v>1084</v>
      </c>
      <c r="F5043">
        <v>2</v>
      </c>
      <c r="G5043" s="23" t="s">
        <v>177</v>
      </c>
      <c r="H5043">
        <v>2</v>
      </c>
      <c r="I5043">
        <v>16</v>
      </c>
      <c r="J5043" s="10">
        <v>14</v>
      </c>
      <c r="K50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043">
        <v>20</v>
      </c>
      <c r="M50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3">
        <v>194</v>
      </c>
      <c r="O5043" s="23" t="s">
        <v>218</v>
      </c>
      <c r="P5043">
        <v>388</v>
      </c>
      <c r="Q5043" s="23" t="s">
        <v>178</v>
      </c>
    </row>
    <row r="5044" spans="1:17" x14ac:dyDescent="0.25">
      <c r="A5044" s="23" t="s">
        <v>1055</v>
      </c>
      <c r="B5044" s="23" t="s">
        <v>1056</v>
      </c>
      <c r="C5044" s="23" t="s">
        <v>176</v>
      </c>
      <c r="D5044" s="23" t="s">
        <v>549</v>
      </c>
      <c r="E5044" s="23" t="s">
        <v>550</v>
      </c>
      <c r="F5044">
        <v>23</v>
      </c>
      <c r="G5044" s="23" t="s">
        <v>177</v>
      </c>
      <c r="H5044">
        <v>23</v>
      </c>
      <c r="I5044">
        <v>800</v>
      </c>
      <c r="J5044" s="10">
        <v>0</v>
      </c>
      <c r="K50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044">
        <v>0</v>
      </c>
      <c r="M50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4">
        <v>13.75</v>
      </c>
      <c r="O5044" s="23" t="s">
        <v>629</v>
      </c>
      <c r="P5044">
        <v>316.25</v>
      </c>
      <c r="Q5044" s="23" t="s">
        <v>181</v>
      </c>
    </row>
    <row r="5045" spans="1:17" x14ac:dyDescent="0.25">
      <c r="A5045" s="23" t="s">
        <v>1058</v>
      </c>
      <c r="B5045" s="23" t="s">
        <v>1059</v>
      </c>
      <c r="C5045" s="23" t="s">
        <v>176</v>
      </c>
      <c r="D5045" s="23" t="s">
        <v>561</v>
      </c>
      <c r="E5045" s="23" t="s">
        <v>562</v>
      </c>
      <c r="F5045">
        <v>2.7</v>
      </c>
      <c r="G5045" s="23" t="s">
        <v>177</v>
      </c>
      <c r="H5045">
        <v>2.7</v>
      </c>
      <c r="I5045">
        <v>272</v>
      </c>
      <c r="J5045" s="10">
        <v>4.3</v>
      </c>
      <c r="K50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045">
        <v>0</v>
      </c>
      <c r="M50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5">
        <v>30</v>
      </c>
      <c r="O5045" s="23" t="s">
        <v>242</v>
      </c>
      <c r="P5045">
        <v>81</v>
      </c>
      <c r="Q5045" s="23" t="s">
        <v>181</v>
      </c>
    </row>
    <row r="5046" spans="1:17" x14ac:dyDescent="0.25">
      <c r="A5046" s="23" t="s">
        <v>1098</v>
      </c>
      <c r="B5046" s="23" t="s">
        <v>1053</v>
      </c>
      <c r="C5046" s="23" t="s">
        <v>176</v>
      </c>
      <c r="D5046" s="23" t="s">
        <v>581</v>
      </c>
      <c r="E5046" s="23" t="s">
        <v>582</v>
      </c>
      <c r="F5046">
        <v>23.71</v>
      </c>
      <c r="G5046" s="23" t="s">
        <v>186</v>
      </c>
      <c r="H5046">
        <v>23.71</v>
      </c>
      <c r="I5046">
        <v>140</v>
      </c>
      <c r="J5046" s="10">
        <v>139.95999999999989</v>
      </c>
      <c r="K50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046">
        <v>80</v>
      </c>
      <c r="M50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6">
        <v>164.09</v>
      </c>
      <c r="O5046" s="23" t="s">
        <v>491</v>
      </c>
      <c r="P5046">
        <v>3890.5739000000003</v>
      </c>
      <c r="Q5046" s="23" t="s">
        <v>184</v>
      </c>
    </row>
    <row r="5047" spans="1:17" x14ac:dyDescent="0.25">
      <c r="A5047" s="23" t="s">
        <v>1055</v>
      </c>
      <c r="B5047" s="23" t="s">
        <v>1056</v>
      </c>
      <c r="C5047" s="23" t="s">
        <v>176</v>
      </c>
      <c r="D5047" s="23" t="s">
        <v>929</v>
      </c>
      <c r="E5047" s="23" t="s">
        <v>930</v>
      </c>
      <c r="F5047">
        <v>3</v>
      </c>
      <c r="G5047" s="23" t="s">
        <v>177</v>
      </c>
      <c r="H5047">
        <v>3</v>
      </c>
      <c r="I5047">
        <v>16</v>
      </c>
      <c r="J5047" s="10">
        <v>9</v>
      </c>
      <c r="K50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047">
        <v>0</v>
      </c>
      <c r="M50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7">
        <v>110</v>
      </c>
      <c r="O5047" s="23" t="s">
        <v>931</v>
      </c>
      <c r="P5047">
        <v>330</v>
      </c>
      <c r="Q5047" s="23" t="s">
        <v>178</v>
      </c>
    </row>
    <row r="5048" spans="1:17" x14ac:dyDescent="0.25">
      <c r="A5048" s="23" t="s">
        <v>1099</v>
      </c>
      <c r="B5048" s="23" t="s">
        <v>1056</v>
      </c>
      <c r="C5048" s="23" t="s">
        <v>176</v>
      </c>
      <c r="D5048" s="23" t="s">
        <v>1035</v>
      </c>
      <c r="E5048" s="23" t="s">
        <v>1036</v>
      </c>
      <c r="F5048">
        <v>1</v>
      </c>
      <c r="G5048" s="23" t="s">
        <v>177</v>
      </c>
      <c r="H5048">
        <v>1</v>
      </c>
      <c r="I5048">
        <v>2</v>
      </c>
      <c r="J5048" s="10">
        <v>2</v>
      </c>
      <c r="K50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048">
        <v>0</v>
      </c>
      <c r="M50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8">
        <v>400</v>
      </c>
      <c r="O5048" s="23" t="s">
        <v>1032</v>
      </c>
      <c r="P5048">
        <v>400</v>
      </c>
      <c r="Q5048" s="23" t="s">
        <v>179</v>
      </c>
    </row>
    <row r="5049" spans="1:17" x14ac:dyDescent="0.25">
      <c r="A5049" s="23" t="s">
        <v>1099</v>
      </c>
      <c r="B5049" s="23" t="s">
        <v>1056</v>
      </c>
      <c r="C5049" s="23" t="s">
        <v>176</v>
      </c>
      <c r="D5049" s="23" t="s">
        <v>131</v>
      </c>
      <c r="E5049" s="23" t="s">
        <v>132</v>
      </c>
      <c r="F5049">
        <v>106</v>
      </c>
      <c r="G5049" s="23" t="s">
        <v>177</v>
      </c>
      <c r="H5049">
        <v>0</v>
      </c>
      <c r="I5049">
        <v>2750</v>
      </c>
      <c r="J5049" s="10">
        <v>0</v>
      </c>
      <c r="K50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-747</v>
      </c>
      <c r="L5049">
        <v>0</v>
      </c>
      <c r="M50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49">
        <v>0.7</v>
      </c>
      <c r="O5049" s="23" t="s">
        <v>242</v>
      </c>
      <c r="P5049">
        <v>74.199999999999989</v>
      </c>
      <c r="Q5049" s="23" t="s">
        <v>181</v>
      </c>
    </row>
    <row r="5050" spans="1:17" x14ac:dyDescent="0.25">
      <c r="A5050" s="23" t="s">
        <v>1096</v>
      </c>
      <c r="B5050" s="23" t="s">
        <v>1053</v>
      </c>
      <c r="C5050" s="23" t="s">
        <v>176</v>
      </c>
      <c r="D5050" s="23" t="s">
        <v>125</v>
      </c>
      <c r="E5050" s="23" t="s">
        <v>126</v>
      </c>
      <c r="F5050">
        <v>10.62</v>
      </c>
      <c r="G5050" s="23" t="s">
        <v>186</v>
      </c>
      <c r="H5050">
        <v>10.62</v>
      </c>
      <c r="I5050">
        <v>0</v>
      </c>
      <c r="J5050" s="10">
        <v>297.61000000000013</v>
      </c>
      <c r="K50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050">
        <v>0</v>
      </c>
      <c r="M50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050">
        <v>136.18</v>
      </c>
      <c r="O5050" s="23" t="s">
        <v>254</v>
      </c>
      <c r="P5050">
        <v>1446.2316000000001</v>
      </c>
      <c r="Q5050" s="23" t="s">
        <v>184</v>
      </c>
    </row>
    <row r="5051" spans="1:17" x14ac:dyDescent="0.25">
      <c r="A5051" s="23" t="s">
        <v>1096</v>
      </c>
      <c r="B5051" s="23" t="s">
        <v>1053</v>
      </c>
      <c r="C5051" s="23" t="s">
        <v>176</v>
      </c>
      <c r="D5051" s="23" t="s">
        <v>54</v>
      </c>
      <c r="E5051" s="23" t="s">
        <v>55</v>
      </c>
      <c r="F5051">
        <v>1</v>
      </c>
      <c r="G5051" s="23" t="s">
        <v>177</v>
      </c>
      <c r="H5051">
        <v>1</v>
      </c>
      <c r="I5051">
        <v>10</v>
      </c>
      <c r="J5051" s="10">
        <v>12</v>
      </c>
      <c r="K50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051">
        <v>4</v>
      </c>
      <c r="M50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1">
        <v>1600</v>
      </c>
      <c r="O5051" s="23" t="s">
        <v>218</v>
      </c>
      <c r="P5051">
        <v>1600</v>
      </c>
      <c r="Q5051" s="23" t="s">
        <v>222</v>
      </c>
    </row>
    <row r="5052" spans="1:17" x14ac:dyDescent="0.25">
      <c r="A5052" s="23" t="s">
        <v>1098</v>
      </c>
      <c r="B5052" s="23" t="s">
        <v>1053</v>
      </c>
      <c r="C5052" s="23" t="s">
        <v>176</v>
      </c>
      <c r="D5052" s="23" t="s">
        <v>472</v>
      </c>
      <c r="E5052" s="23" t="s">
        <v>473</v>
      </c>
      <c r="F5052">
        <v>8</v>
      </c>
      <c r="G5052" s="23" t="s">
        <v>177</v>
      </c>
      <c r="H5052">
        <v>0</v>
      </c>
      <c r="I5052">
        <v>200</v>
      </c>
      <c r="J5052" s="10">
        <v>343</v>
      </c>
      <c r="K50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052">
        <v>0</v>
      </c>
      <c r="M50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2">
        <v>9</v>
      </c>
      <c r="O5052" s="23" t="s">
        <v>242</v>
      </c>
      <c r="P5052">
        <v>72</v>
      </c>
      <c r="Q5052" s="23" t="s">
        <v>181</v>
      </c>
    </row>
    <row r="5053" spans="1:17" x14ac:dyDescent="0.25">
      <c r="A5053" s="23" t="s">
        <v>1097</v>
      </c>
      <c r="B5053" s="23" t="s">
        <v>1095</v>
      </c>
      <c r="C5053" s="23" t="s">
        <v>176</v>
      </c>
      <c r="D5053" s="23" t="s">
        <v>265</v>
      </c>
      <c r="E5053" s="23" t="s">
        <v>420</v>
      </c>
      <c r="F5053">
        <v>1</v>
      </c>
      <c r="G5053" s="23" t="s">
        <v>177</v>
      </c>
      <c r="H5053">
        <v>0</v>
      </c>
      <c r="I5053">
        <v>0</v>
      </c>
      <c r="J5053" s="10">
        <v>10</v>
      </c>
      <c r="K50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53">
        <v>5</v>
      </c>
      <c r="M50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053">
        <v>5994.01</v>
      </c>
      <c r="O5053" s="23" t="s">
        <v>228</v>
      </c>
      <c r="P5053">
        <v>5994.01</v>
      </c>
      <c r="Q5053" s="23" t="s">
        <v>222</v>
      </c>
    </row>
    <row r="5054" spans="1:17" x14ac:dyDescent="0.25">
      <c r="A5054" s="23" t="s">
        <v>1197</v>
      </c>
      <c r="B5054" s="23" t="s">
        <v>1198</v>
      </c>
      <c r="C5054" s="23" t="s">
        <v>176</v>
      </c>
      <c r="D5054" s="23" t="s">
        <v>265</v>
      </c>
      <c r="E5054" s="23" t="s">
        <v>420</v>
      </c>
      <c r="F5054">
        <v>1</v>
      </c>
      <c r="G5054" s="23" t="s">
        <v>177</v>
      </c>
      <c r="H5054">
        <v>0</v>
      </c>
      <c r="I5054">
        <v>0</v>
      </c>
      <c r="J5054" s="10">
        <v>10</v>
      </c>
      <c r="K50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54">
        <v>5</v>
      </c>
      <c r="M50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054">
        <v>5994.01</v>
      </c>
      <c r="O5054" s="23" t="s">
        <v>228</v>
      </c>
      <c r="P5054">
        <v>5994.01</v>
      </c>
      <c r="Q5054" s="23" t="s">
        <v>222</v>
      </c>
    </row>
    <row r="5055" spans="1:17" x14ac:dyDescent="0.25">
      <c r="A5055" s="23" t="s">
        <v>1098</v>
      </c>
      <c r="B5055" s="23" t="s">
        <v>1053</v>
      </c>
      <c r="C5055" s="23" t="s">
        <v>176</v>
      </c>
      <c r="D5055" s="23" t="s">
        <v>265</v>
      </c>
      <c r="E5055" s="23" t="s">
        <v>420</v>
      </c>
      <c r="F5055">
        <v>1</v>
      </c>
      <c r="G5055" s="23" t="s">
        <v>177</v>
      </c>
      <c r="H5055">
        <v>0</v>
      </c>
      <c r="I5055">
        <v>0</v>
      </c>
      <c r="J5055" s="10">
        <v>10</v>
      </c>
      <c r="K50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55">
        <v>5</v>
      </c>
      <c r="M50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055">
        <v>5994.01</v>
      </c>
      <c r="O5055" s="23" t="s">
        <v>228</v>
      </c>
      <c r="P5055">
        <v>5994.01</v>
      </c>
      <c r="Q5055" s="23" t="s">
        <v>222</v>
      </c>
    </row>
    <row r="5056" spans="1:17" x14ac:dyDescent="0.25">
      <c r="A5056" s="23" t="s">
        <v>1143</v>
      </c>
      <c r="B5056" s="23" t="s">
        <v>1054</v>
      </c>
      <c r="C5056" s="23" t="s">
        <v>176</v>
      </c>
      <c r="D5056" s="23" t="s">
        <v>1075</v>
      </c>
      <c r="E5056" s="23" t="s">
        <v>1076</v>
      </c>
      <c r="F5056">
        <v>1</v>
      </c>
      <c r="G5056" s="23" t="s">
        <v>177</v>
      </c>
      <c r="H5056">
        <v>0</v>
      </c>
      <c r="I5056">
        <v>0</v>
      </c>
      <c r="J5056" s="10">
        <v>0</v>
      </c>
      <c r="K50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056">
        <v>0</v>
      </c>
      <c r="M50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6">
        <v>0</v>
      </c>
      <c r="O5056" s="23"/>
      <c r="P5056">
        <v>0</v>
      </c>
      <c r="Q5056" s="23" t="s">
        <v>178</v>
      </c>
    </row>
    <row r="5057" spans="1:17" x14ac:dyDescent="0.25">
      <c r="A5057" s="23" t="s">
        <v>1142</v>
      </c>
      <c r="B5057" s="23" t="s">
        <v>1054</v>
      </c>
      <c r="C5057" s="23" t="s">
        <v>176</v>
      </c>
      <c r="D5057" s="23" t="s">
        <v>1075</v>
      </c>
      <c r="E5057" s="23" t="s">
        <v>1076</v>
      </c>
      <c r="F5057">
        <v>1</v>
      </c>
      <c r="G5057" s="23" t="s">
        <v>177</v>
      </c>
      <c r="H5057">
        <v>0</v>
      </c>
      <c r="I5057">
        <v>0</v>
      </c>
      <c r="J5057" s="10">
        <v>0</v>
      </c>
      <c r="K50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057">
        <v>0</v>
      </c>
      <c r="M50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7">
        <v>0</v>
      </c>
      <c r="O5057" s="23"/>
      <c r="P5057">
        <v>0</v>
      </c>
      <c r="Q5057" s="23" t="s">
        <v>178</v>
      </c>
    </row>
    <row r="5058" spans="1:17" x14ac:dyDescent="0.25">
      <c r="A5058" s="23" t="s">
        <v>1057</v>
      </c>
      <c r="B5058" s="23" t="s">
        <v>1056</v>
      </c>
      <c r="C5058" s="23" t="s">
        <v>176</v>
      </c>
      <c r="D5058" s="23" t="s">
        <v>472</v>
      </c>
      <c r="E5058" s="23" t="s">
        <v>473</v>
      </c>
      <c r="F5058">
        <v>4</v>
      </c>
      <c r="G5058" s="23" t="s">
        <v>177</v>
      </c>
      <c r="H5058">
        <v>0</v>
      </c>
      <c r="I5058">
        <v>200</v>
      </c>
      <c r="J5058" s="10">
        <v>343</v>
      </c>
      <c r="K50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058">
        <v>0</v>
      </c>
      <c r="M50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8">
        <v>9</v>
      </c>
      <c r="O5058" s="23" t="s">
        <v>242</v>
      </c>
      <c r="P5058">
        <v>36</v>
      </c>
      <c r="Q5058" s="23" t="s">
        <v>181</v>
      </c>
    </row>
    <row r="5059" spans="1:17" x14ac:dyDescent="0.25">
      <c r="A5059" s="23" t="s">
        <v>1143</v>
      </c>
      <c r="B5059" s="23" t="s">
        <v>1054</v>
      </c>
      <c r="C5059" s="23" t="s">
        <v>176</v>
      </c>
      <c r="D5059" s="23" t="s">
        <v>472</v>
      </c>
      <c r="E5059" s="23" t="s">
        <v>473</v>
      </c>
      <c r="F5059">
        <v>4</v>
      </c>
      <c r="G5059" s="23" t="s">
        <v>177</v>
      </c>
      <c r="H5059">
        <v>0</v>
      </c>
      <c r="I5059">
        <v>200</v>
      </c>
      <c r="J5059" s="10">
        <v>343</v>
      </c>
      <c r="K50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059">
        <v>0</v>
      </c>
      <c r="M50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59">
        <v>9</v>
      </c>
      <c r="O5059" s="23" t="s">
        <v>242</v>
      </c>
      <c r="P5059">
        <v>36</v>
      </c>
      <c r="Q5059" s="23" t="s">
        <v>181</v>
      </c>
    </row>
    <row r="5060" spans="1:17" x14ac:dyDescent="0.25">
      <c r="A5060" s="23" t="s">
        <v>1143</v>
      </c>
      <c r="B5060" s="23" t="s">
        <v>1054</v>
      </c>
      <c r="C5060" s="23" t="s">
        <v>176</v>
      </c>
      <c r="D5060" s="23" t="s">
        <v>476</v>
      </c>
      <c r="E5060" s="23" t="s">
        <v>477</v>
      </c>
      <c r="F5060">
        <v>0.25</v>
      </c>
      <c r="G5060" s="23" t="s">
        <v>177</v>
      </c>
      <c r="H5060">
        <v>0</v>
      </c>
      <c r="I5060">
        <v>6</v>
      </c>
      <c r="J5060" s="10">
        <v>0</v>
      </c>
      <c r="K50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060">
        <v>0</v>
      </c>
      <c r="M50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060">
        <v>20</v>
      </c>
      <c r="O5060" s="23" t="s">
        <v>227</v>
      </c>
      <c r="P5060">
        <v>5</v>
      </c>
      <c r="Q5060" s="23" t="s">
        <v>181</v>
      </c>
    </row>
    <row r="5061" spans="1:17" x14ac:dyDescent="0.25">
      <c r="A5061" s="23" t="s">
        <v>1057</v>
      </c>
      <c r="B5061" s="23" t="s">
        <v>1056</v>
      </c>
      <c r="C5061" s="23" t="s">
        <v>176</v>
      </c>
      <c r="D5061" s="23" t="s">
        <v>265</v>
      </c>
      <c r="E5061" s="23" t="s">
        <v>420</v>
      </c>
      <c r="F5061">
        <v>1</v>
      </c>
      <c r="G5061" s="23" t="s">
        <v>177</v>
      </c>
      <c r="H5061">
        <v>1</v>
      </c>
      <c r="I5061">
        <v>0</v>
      </c>
      <c r="J5061" s="10">
        <v>10</v>
      </c>
      <c r="K50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61">
        <v>5</v>
      </c>
      <c r="M50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061">
        <v>5994.01</v>
      </c>
      <c r="O5061" s="23" t="s">
        <v>228</v>
      </c>
      <c r="P5061">
        <v>5994.01</v>
      </c>
      <c r="Q5061" s="23" t="s">
        <v>222</v>
      </c>
    </row>
    <row r="5062" spans="1:17" x14ac:dyDescent="0.25">
      <c r="A5062" s="23" t="s">
        <v>1143</v>
      </c>
      <c r="B5062" s="23" t="s">
        <v>1054</v>
      </c>
      <c r="C5062" s="23" t="s">
        <v>176</v>
      </c>
      <c r="D5062" s="23" t="s">
        <v>265</v>
      </c>
      <c r="E5062" s="23" t="s">
        <v>420</v>
      </c>
      <c r="F5062">
        <v>1</v>
      </c>
      <c r="G5062" s="23" t="s">
        <v>177</v>
      </c>
      <c r="H5062">
        <v>0</v>
      </c>
      <c r="I5062">
        <v>0</v>
      </c>
      <c r="J5062" s="10">
        <v>10</v>
      </c>
      <c r="K50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62">
        <v>5</v>
      </c>
      <c r="M50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062">
        <v>5994.01</v>
      </c>
      <c r="O5062" s="23" t="s">
        <v>228</v>
      </c>
      <c r="P5062">
        <v>5994.01</v>
      </c>
      <c r="Q5062" s="23" t="s">
        <v>222</v>
      </c>
    </row>
    <row r="5063" spans="1:17" x14ac:dyDescent="0.25">
      <c r="A5063" s="23" t="s">
        <v>1058</v>
      </c>
      <c r="B5063" s="23" t="s">
        <v>1059</v>
      </c>
      <c r="C5063" s="23" t="s">
        <v>176</v>
      </c>
      <c r="D5063" s="23" t="s">
        <v>405</v>
      </c>
      <c r="E5063" s="23" t="s">
        <v>406</v>
      </c>
      <c r="F5063">
        <v>5</v>
      </c>
      <c r="G5063" s="23" t="s">
        <v>177</v>
      </c>
      <c r="H5063">
        <v>5</v>
      </c>
      <c r="I5063">
        <v>234</v>
      </c>
      <c r="J5063" s="10">
        <v>30</v>
      </c>
      <c r="K50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5063">
        <v>0</v>
      </c>
      <c r="M50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3">
        <v>15.21</v>
      </c>
      <c r="O5063" s="23" t="s">
        <v>827</v>
      </c>
      <c r="P5063">
        <v>76.050000000000011</v>
      </c>
      <c r="Q5063" s="23" t="s">
        <v>222</v>
      </c>
    </row>
    <row r="5064" spans="1:17" x14ac:dyDescent="0.25">
      <c r="A5064" s="23" t="s">
        <v>1094</v>
      </c>
      <c r="B5064" s="23" t="s">
        <v>1095</v>
      </c>
      <c r="C5064" s="23" t="s">
        <v>176</v>
      </c>
      <c r="D5064" s="23" t="s">
        <v>154</v>
      </c>
      <c r="E5064" s="23" t="s">
        <v>155</v>
      </c>
      <c r="F5064">
        <v>4</v>
      </c>
      <c r="G5064" s="23" t="s">
        <v>177</v>
      </c>
      <c r="H5064">
        <v>0</v>
      </c>
      <c r="I5064">
        <v>55</v>
      </c>
      <c r="J5064" s="10">
        <v>17</v>
      </c>
      <c r="K50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5064">
        <v>0</v>
      </c>
      <c r="M50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4">
        <v>199.45</v>
      </c>
      <c r="O5064" s="23" t="s">
        <v>277</v>
      </c>
      <c r="P5064">
        <v>797.8</v>
      </c>
      <c r="Q5064" s="23" t="s">
        <v>181</v>
      </c>
    </row>
    <row r="5065" spans="1:17" x14ac:dyDescent="0.25">
      <c r="A5065" s="23" t="s">
        <v>1143</v>
      </c>
      <c r="B5065" s="23" t="s">
        <v>1054</v>
      </c>
      <c r="C5065" s="23" t="s">
        <v>176</v>
      </c>
      <c r="D5065" s="23" t="s">
        <v>154</v>
      </c>
      <c r="E5065" s="23" t="s">
        <v>155</v>
      </c>
      <c r="F5065">
        <v>10</v>
      </c>
      <c r="G5065" s="23" t="s">
        <v>177</v>
      </c>
      <c r="H5065">
        <v>0</v>
      </c>
      <c r="I5065">
        <v>55</v>
      </c>
      <c r="J5065" s="10">
        <v>17</v>
      </c>
      <c r="K50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5065">
        <v>0</v>
      </c>
      <c r="M50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5">
        <v>199.45</v>
      </c>
      <c r="O5065" s="23" t="s">
        <v>277</v>
      </c>
      <c r="P5065">
        <v>1994.5</v>
      </c>
      <c r="Q5065" s="23" t="s">
        <v>181</v>
      </c>
    </row>
    <row r="5066" spans="1:17" x14ac:dyDescent="0.25">
      <c r="A5066" s="23" t="s">
        <v>1094</v>
      </c>
      <c r="B5066" s="23" t="s">
        <v>1095</v>
      </c>
      <c r="C5066" s="23" t="s">
        <v>176</v>
      </c>
      <c r="D5066" s="23" t="s">
        <v>472</v>
      </c>
      <c r="E5066" s="23" t="s">
        <v>473</v>
      </c>
      <c r="F5066">
        <v>16</v>
      </c>
      <c r="G5066" s="23" t="s">
        <v>177</v>
      </c>
      <c r="H5066">
        <v>0</v>
      </c>
      <c r="I5066">
        <v>200</v>
      </c>
      <c r="J5066" s="10">
        <v>343</v>
      </c>
      <c r="K50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066">
        <v>0</v>
      </c>
      <c r="M50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66">
        <v>9</v>
      </c>
      <c r="O5066" s="23" t="s">
        <v>242</v>
      </c>
      <c r="P5066">
        <v>144</v>
      </c>
      <c r="Q5066" s="23" t="s">
        <v>181</v>
      </c>
    </row>
    <row r="5067" spans="1:17" x14ac:dyDescent="0.25">
      <c r="A5067" s="23" t="s">
        <v>1057</v>
      </c>
      <c r="B5067" s="23" t="s">
        <v>1056</v>
      </c>
      <c r="C5067" s="23" t="s">
        <v>176</v>
      </c>
      <c r="D5067" s="23" t="s">
        <v>476</v>
      </c>
      <c r="E5067" s="23" t="s">
        <v>477</v>
      </c>
      <c r="F5067">
        <v>1</v>
      </c>
      <c r="G5067" s="23" t="s">
        <v>177</v>
      </c>
      <c r="H5067">
        <v>0</v>
      </c>
      <c r="I5067">
        <v>6</v>
      </c>
      <c r="J5067" s="10">
        <v>0</v>
      </c>
      <c r="K50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067">
        <v>0</v>
      </c>
      <c r="M50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067">
        <v>20</v>
      </c>
      <c r="O5067" s="23" t="s">
        <v>227</v>
      </c>
      <c r="P5067">
        <v>20</v>
      </c>
      <c r="Q5067" s="23" t="s">
        <v>181</v>
      </c>
    </row>
    <row r="5068" spans="1:17" x14ac:dyDescent="0.25">
      <c r="A5068" s="23" t="s">
        <v>1094</v>
      </c>
      <c r="B5068" s="23" t="s">
        <v>1095</v>
      </c>
      <c r="C5068" s="23" t="s">
        <v>176</v>
      </c>
      <c r="D5068" s="23" t="s">
        <v>476</v>
      </c>
      <c r="E5068" s="23" t="s">
        <v>477</v>
      </c>
      <c r="F5068">
        <v>1</v>
      </c>
      <c r="G5068" s="23" t="s">
        <v>177</v>
      </c>
      <c r="H5068">
        <v>0</v>
      </c>
      <c r="I5068">
        <v>6</v>
      </c>
      <c r="J5068" s="10">
        <v>0</v>
      </c>
      <c r="K50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068">
        <v>0</v>
      </c>
      <c r="M50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068">
        <v>20</v>
      </c>
      <c r="O5068" s="23" t="s">
        <v>227</v>
      </c>
      <c r="P5068">
        <v>20</v>
      </c>
      <c r="Q5068" s="23" t="s">
        <v>181</v>
      </c>
    </row>
    <row r="5069" spans="1:17" x14ac:dyDescent="0.25">
      <c r="A5069" s="23" t="s">
        <v>1094</v>
      </c>
      <c r="B5069" s="23" t="s">
        <v>1095</v>
      </c>
      <c r="C5069" s="23" t="s">
        <v>176</v>
      </c>
      <c r="D5069" s="23" t="s">
        <v>265</v>
      </c>
      <c r="E5069" s="23" t="s">
        <v>420</v>
      </c>
      <c r="F5069">
        <v>1</v>
      </c>
      <c r="G5069" s="23" t="s">
        <v>177</v>
      </c>
      <c r="H5069">
        <v>0</v>
      </c>
      <c r="I5069">
        <v>0</v>
      </c>
      <c r="J5069" s="10">
        <v>10</v>
      </c>
      <c r="K50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069">
        <v>5</v>
      </c>
      <c r="M50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069">
        <v>5994.01</v>
      </c>
      <c r="O5069" s="23" t="s">
        <v>228</v>
      </c>
      <c r="P5069">
        <v>5994.01</v>
      </c>
      <c r="Q5069" s="23" t="s">
        <v>222</v>
      </c>
    </row>
    <row r="5070" spans="1:17" x14ac:dyDescent="0.25">
      <c r="A5070" s="23" t="s">
        <v>1058</v>
      </c>
      <c r="B5070" s="23" t="s">
        <v>1059</v>
      </c>
      <c r="C5070" s="23" t="s">
        <v>176</v>
      </c>
      <c r="D5070" s="23" t="s">
        <v>270</v>
      </c>
      <c r="E5070" s="23" t="s">
        <v>589</v>
      </c>
      <c r="F5070">
        <v>1</v>
      </c>
      <c r="G5070" s="23" t="s">
        <v>177</v>
      </c>
      <c r="H5070">
        <v>1</v>
      </c>
      <c r="I5070">
        <v>1</v>
      </c>
      <c r="J5070" s="10">
        <v>11</v>
      </c>
      <c r="K50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070">
        <v>0</v>
      </c>
      <c r="M50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070">
        <v>13310.52</v>
      </c>
      <c r="O5070" s="23" t="s">
        <v>590</v>
      </c>
      <c r="P5070">
        <v>13310.52</v>
      </c>
      <c r="Q5070" s="23" t="s">
        <v>178</v>
      </c>
    </row>
    <row r="5071" spans="1:17" x14ac:dyDescent="0.25">
      <c r="A5071" s="23" t="s">
        <v>1055</v>
      </c>
      <c r="B5071" s="23" t="s">
        <v>1056</v>
      </c>
      <c r="C5071" s="23" t="s">
        <v>198</v>
      </c>
      <c r="D5071" s="23" t="s">
        <v>497</v>
      </c>
      <c r="E5071" s="23" t="s">
        <v>498</v>
      </c>
      <c r="F5071">
        <v>1</v>
      </c>
      <c r="G5071" s="23" t="s">
        <v>177</v>
      </c>
      <c r="H5071">
        <v>1</v>
      </c>
      <c r="I5071">
        <v>3</v>
      </c>
      <c r="J5071" s="10">
        <v>8</v>
      </c>
      <c r="K50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071">
        <v>0</v>
      </c>
      <c r="M50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071" s="23" t="s">
        <v>714</v>
      </c>
      <c r="Q5071" s="23" t="s">
        <v>761</v>
      </c>
    </row>
    <row r="5072" spans="1:17" x14ac:dyDescent="0.25">
      <c r="A5072" s="23" t="s">
        <v>1058</v>
      </c>
      <c r="B5072" s="23" t="s">
        <v>1059</v>
      </c>
      <c r="C5072" s="23" t="s">
        <v>198</v>
      </c>
      <c r="D5072" s="23" t="s">
        <v>497</v>
      </c>
      <c r="E5072" s="23" t="s">
        <v>498</v>
      </c>
      <c r="F5072">
        <v>1</v>
      </c>
      <c r="G5072" s="23" t="s">
        <v>177</v>
      </c>
      <c r="H5072">
        <v>1</v>
      </c>
      <c r="I5072">
        <v>3</v>
      </c>
      <c r="J5072" s="10">
        <v>8</v>
      </c>
      <c r="K50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072">
        <v>0</v>
      </c>
      <c r="M50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072" s="23" t="s">
        <v>714</v>
      </c>
      <c r="Q5072" s="23" t="s">
        <v>761</v>
      </c>
    </row>
    <row r="5073" spans="1:17" x14ac:dyDescent="0.25">
      <c r="A5073" s="23" t="s">
        <v>1097</v>
      </c>
      <c r="B5073" s="23" t="s">
        <v>1095</v>
      </c>
      <c r="C5073" s="23" t="s">
        <v>176</v>
      </c>
      <c r="D5073" s="23" t="s">
        <v>295</v>
      </c>
      <c r="E5073" s="23" t="s">
        <v>324</v>
      </c>
      <c r="F5073">
        <v>0.09</v>
      </c>
      <c r="G5073" s="23" t="s">
        <v>186</v>
      </c>
      <c r="H5073">
        <v>0</v>
      </c>
      <c r="I5073">
        <v>2.5</v>
      </c>
      <c r="J5073" s="10">
        <v>0</v>
      </c>
      <c r="K50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-0.61999999999999944</v>
      </c>
      <c r="L5073">
        <v>0</v>
      </c>
      <c r="M50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3">
        <v>2400</v>
      </c>
      <c r="O5073" s="23" t="s">
        <v>221</v>
      </c>
      <c r="P5073">
        <v>216</v>
      </c>
      <c r="Q5073" s="23" t="s">
        <v>181</v>
      </c>
    </row>
    <row r="5074" spans="1:17" x14ac:dyDescent="0.25">
      <c r="A5074" s="23" t="s">
        <v>1062</v>
      </c>
      <c r="B5074" s="23" t="s">
        <v>1053</v>
      </c>
      <c r="C5074" s="23" t="s">
        <v>176</v>
      </c>
      <c r="D5074" s="23" t="s">
        <v>472</v>
      </c>
      <c r="E5074" s="23" t="s">
        <v>473</v>
      </c>
      <c r="F5074">
        <v>16</v>
      </c>
      <c r="G5074" s="23" t="s">
        <v>177</v>
      </c>
      <c r="H5074">
        <v>0</v>
      </c>
      <c r="I5074">
        <v>200</v>
      </c>
      <c r="J5074" s="10">
        <v>343</v>
      </c>
      <c r="K50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074">
        <v>0</v>
      </c>
      <c r="M50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4">
        <v>9</v>
      </c>
      <c r="O5074" s="23" t="s">
        <v>242</v>
      </c>
      <c r="P5074">
        <v>144</v>
      </c>
      <c r="Q5074" s="23" t="s">
        <v>181</v>
      </c>
    </row>
    <row r="5075" spans="1:17" x14ac:dyDescent="0.25">
      <c r="A5075" s="23" t="s">
        <v>1062</v>
      </c>
      <c r="B5075" s="23" t="s">
        <v>1053</v>
      </c>
      <c r="C5075" s="23" t="s">
        <v>176</v>
      </c>
      <c r="D5075" s="23" t="s">
        <v>476</v>
      </c>
      <c r="E5075" s="23" t="s">
        <v>477</v>
      </c>
      <c r="F5075">
        <v>1</v>
      </c>
      <c r="G5075" s="23" t="s">
        <v>177</v>
      </c>
      <c r="H5075">
        <v>0</v>
      </c>
      <c r="I5075">
        <v>6</v>
      </c>
      <c r="J5075" s="10">
        <v>0</v>
      </c>
      <c r="K50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075">
        <v>0</v>
      </c>
      <c r="M50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075">
        <v>20</v>
      </c>
      <c r="O5075" s="23" t="s">
        <v>227</v>
      </c>
      <c r="P5075">
        <v>20</v>
      </c>
      <c r="Q5075" s="23" t="s">
        <v>181</v>
      </c>
    </row>
    <row r="5076" spans="1:17" x14ac:dyDescent="0.25">
      <c r="A5076" s="23" t="s">
        <v>1096</v>
      </c>
      <c r="B5076" s="23" t="s">
        <v>1053</v>
      </c>
      <c r="C5076" s="23" t="s">
        <v>176</v>
      </c>
      <c r="D5076" s="23" t="s">
        <v>472</v>
      </c>
      <c r="E5076" s="23" t="s">
        <v>473</v>
      </c>
      <c r="F5076">
        <v>16</v>
      </c>
      <c r="G5076" s="23" t="s">
        <v>177</v>
      </c>
      <c r="H5076">
        <v>0</v>
      </c>
      <c r="I5076">
        <v>200</v>
      </c>
      <c r="J5076" s="10">
        <v>343</v>
      </c>
      <c r="K50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076">
        <v>0</v>
      </c>
      <c r="M50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6">
        <v>9</v>
      </c>
      <c r="O5076" s="23" t="s">
        <v>242</v>
      </c>
      <c r="P5076">
        <v>144</v>
      </c>
      <c r="Q5076" s="23" t="s">
        <v>181</v>
      </c>
    </row>
    <row r="5077" spans="1:17" x14ac:dyDescent="0.25">
      <c r="A5077" s="23" t="s">
        <v>1096</v>
      </c>
      <c r="B5077" s="23" t="s">
        <v>1053</v>
      </c>
      <c r="C5077" s="23" t="s">
        <v>176</v>
      </c>
      <c r="D5077" s="23" t="s">
        <v>476</v>
      </c>
      <c r="E5077" s="23" t="s">
        <v>477</v>
      </c>
      <c r="F5077">
        <v>1</v>
      </c>
      <c r="G5077" s="23" t="s">
        <v>177</v>
      </c>
      <c r="H5077">
        <v>0</v>
      </c>
      <c r="I5077">
        <v>6</v>
      </c>
      <c r="J5077" s="10">
        <v>0</v>
      </c>
      <c r="K50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077">
        <v>0</v>
      </c>
      <c r="M50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077">
        <v>20</v>
      </c>
      <c r="O5077" s="23" t="s">
        <v>227</v>
      </c>
      <c r="P5077">
        <v>20</v>
      </c>
      <c r="Q5077" s="23" t="s">
        <v>181</v>
      </c>
    </row>
    <row r="5078" spans="1:17" x14ac:dyDescent="0.25">
      <c r="A5078" s="23" t="s">
        <v>1142</v>
      </c>
      <c r="B5078" s="23" t="s">
        <v>1054</v>
      </c>
      <c r="C5078" s="23" t="s">
        <v>176</v>
      </c>
      <c r="D5078" s="23" t="s">
        <v>1049</v>
      </c>
      <c r="E5078" s="23" t="s">
        <v>1050</v>
      </c>
      <c r="F5078">
        <v>1</v>
      </c>
      <c r="G5078" s="23" t="s">
        <v>177</v>
      </c>
      <c r="H5078">
        <v>0</v>
      </c>
      <c r="I5078">
        <v>3</v>
      </c>
      <c r="J5078" s="10">
        <v>6</v>
      </c>
      <c r="K50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078">
        <v>0</v>
      </c>
      <c r="M50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078">
        <v>12138.93</v>
      </c>
      <c r="O5078" s="23" t="s">
        <v>635</v>
      </c>
      <c r="P5078">
        <v>12138.93</v>
      </c>
      <c r="Q5078" s="23" t="s">
        <v>178</v>
      </c>
    </row>
    <row r="5079" spans="1:17" x14ac:dyDescent="0.25">
      <c r="A5079" s="23" t="s">
        <v>1098</v>
      </c>
      <c r="B5079" s="23" t="s">
        <v>1053</v>
      </c>
      <c r="C5079" s="23" t="s">
        <v>176</v>
      </c>
      <c r="D5079" s="23" t="s">
        <v>479</v>
      </c>
      <c r="E5079" s="23" t="s">
        <v>480</v>
      </c>
      <c r="F5079">
        <v>40</v>
      </c>
      <c r="G5079" s="23" t="s">
        <v>177</v>
      </c>
      <c r="H5079">
        <v>0</v>
      </c>
      <c r="I5079">
        <v>950</v>
      </c>
      <c r="J5079" s="10">
        <v>380</v>
      </c>
      <c r="K50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5079">
        <v>0</v>
      </c>
      <c r="M50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79">
        <v>0.4</v>
      </c>
      <c r="O5079" s="23" t="s">
        <v>883</v>
      </c>
      <c r="P5079">
        <v>16</v>
      </c>
      <c r="Q5079" s="23" t="s">
        <v>181</v>
      </c>
    </row>
    <row r="5080" spans="1:17" x14ac:dyDescent="0.25">
      <c r="A5080" s="23" t="s">
        <v>1097</v>
      </c>
      <c r="B5080" s="23" t="s">
        <v>1095</v>
      </c>
      <c r="C5080" s="23" t="s">
        <v>176</v>
      </c>
      <c r="D5080" s="23" t="s">
        <v>615</v>
      </c>
      <c r="E5080" s="23" t="s">
        <v>616</v>
      </c>
      <c r="F5080">
        <v>0.5</v>
      </c>
      <c r="G5080" s="23" t="s">
        <v>186</v>
      </c>
      <c r="H5080">
        <v>0</v>
      </c>
      <c r="I5080">
        <v>72</v>
      </c>
      <c r="J5080" s="10">
        <v>7.0000000000000071</v>
      </c>
      <c r="K50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80">
        <v>0</v>
      </c>
      <c r="M50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0">
        <v>212.93</v>
      </c>
      <c r="O5080" s="23" t="s">
        <v>255</v>
      </c>
      <c r="P5080">
        <v>106.465</v>
      </c>
      <c r="Q5080" s="23" t="s">
        <v>182</v>
      </c>
    </row>
    <row r="5081" spans="1:17" x14ac:dyDescent="0.25">
      <c r="A5081" s="23" t="s">
        <v>1062</v>
      </c>
      <c r="B5081" s="23" t="s">
        <v>1053</v>
      </c>
      <c r="C5081" s="23" t="s">
        <v>176</v>
      </c>
      <c r="D5081" s="23" t="s">
        <v>615</v>
      </c>
      <c r="E5081" s="23" t="s">
        <v>616</v>
      </c>
      <c r="F5081">
        <v>0.5</v>
      </c>
      <c r="G5081" s="23" t="s">
        <v>186</v>
      </c>
      <c r="H5081">
        <v>0</v>
      </c>
      <c r="I5081">
        <v>72</v>
      </c>
      <c r="J5081" s="10">
        <v>7.0000000000000071</v>
      </c>
      <c r="K50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81">
        <v>0</v>
      </c>
      <c r="M50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1">
        <v>212.93</v>
      </c>
      <c r="O5081" s="23" t="s">
        <v>255</v>
      </c>
      <c r="P5081">
        <v>106.465</v>
      </c>
      <c r="Q5081" s="23" t="s">
        <v>182</v>
      </c>
    </row>
    <row r="5082" spans="1:17" x14ac:dyDescent="0.25">
      <c r="A5082" s="23" t="s">
        <v>1097</v>
      </c>
      <c r="B5082" s="23" t="s">
        <v>1095</v>
      </c>
      <c r="C5082" s="23" t="s">
        <v>176</v>
      </c>
      <c r="D5082" s="23" t="s">
        <v>583</v>
      </c>
      <c r="E5082" s="23" t="s">
        <v>584</v>
      </c>
      <c r="F5082">
        <v>5.9</v>
      </c>
      <c r="G5082" s="23" t="s">
        <v>186</v>
      </c>
      <c r="H5082">
        <v>0</v>
      </c>
      <c r="I5082">
        <v>100</v>
      </c>
      <c r="J5082" s="10">
        <v>197.39999999999992</v>
      </c>
      <c r="K50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5082">
        <v>100</v>
      </c>
      <c r="M50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2">
        <v>232.75</v>
      </c>
      <c r="O5082" s="23" t="s">
        <v>491</v>
      </c>
      <c r="P5082">
        <v>1373.2250000000001</v>
      </c>
      <c r="Q5082" s="23" t="s">
        <v>184</v>
      </c>
    </row>
    <row r="5083" spans="1:17" x14ac:dyDescent="0.25">
      <c r="A5083" s="23" t="s">
        <v>1062</v>
      </c>
      <c r="B5083" s="23" t="s">
        <v>1053</v>
      </c>
      <c r="C5083" s="23" t="s">
        <v>176</v>
      </c>
      <c r="D5083" s="23" t="s">
        <v>583</v>
      </c>
      <c r="E5083" s="23" t="s">
        <v>584</v>
      </c>
      <c r="F5083">
        <v>5.9</v>
      </c>
      <c r="G5083" s="23" t="s">
        <v>186</v>
      </c>
      <c r="H5083">
        <v>0</v>
      </c>
      <c r="I5083">
        <v>100</v>
      </c>
      <c r="J5083" s="10">
        <v>197.39999999999992</v>
      </c>
      <c r="K50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5083">
        <v>100</v>
      </c>
      <c r="M50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3">
        <v>232.75</v>
      </c>
      <c r="O5083" s="23" t="s">
        <v>491</v>
      </c>
      <c r="P5083">
        <v>1373.2250000000001</v>
      </c>
      <c r="Q5083" s="23" t="s">
        <v>184</v>
      </c>
    </row>
    <row r="5084" spans="1:17" x14ac:dyDescent="0.25">
      <c r="A5084" s="23" t="s">
        <v>1147</v>
      </c>
      <c r="B5084" s="23" t="s">
        <v>1145</v>
      </c>
      <c r="C5084" s="23" t="s">
        <v>176</v>
      </c>
      <c r="D5084" s="23" t="s">
        <v>804</v>
      </c>
      <c r="E5084" s="23" t="s">
        <v>805</v>
      </c>
      <c r="F5084">
        <v>1</v>
      </c>
      <c r="G5084" s="23" t="s">
        <v>177</v>
      </c>
      <c r="H5084">
        <v>0</v>
      </c>
      <c r="I5084">
        <v>7</v>
      </c>
      <c r="J5084" s="10">
        <v>2</v>
      </c>
      <c r="K50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84">
        <v>0</v>
      </c>
      <c r="M50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4">
        <v>337.5</v>
      </c>
      <c r="O5084" s="23" t="s">
        <v>248</v>
      </c>
      <c r="P5084">
        <v>337.5</v>
      </c>
      <c r="Q5084" s="23" t="s">
        <v>178</v>
      </c>
    </row>
    <row r="5085" spans="1:17" x14ac:dyDescent="0.25">
      <c r="A5085" s="23" t="s">
        <v>1100</v>
      </c>
      <c r="B5085" s="23" t="s">
        <v>1101</v>
      </c>
      <c r="C5085" s="23" t="s">
        <v>176</v>
      </c>
      <c r="D5085" s="23" t="s">
        <v>864</v>
      </c>
      <c r="E5085" s="23" t="s">
        <v>865</v>
      </c>
      <c r="F5085">
        <v>2</v>
      </c>
      <c r="G5085" s="23" t="s">
        <v>177</v>
      </c>
      <c r="H5085">
        <v>0</v>
      </c>
      <c r="I5085">
        <v>6</v>
      </c>
      <c r="J5085" s="10">
        <v>0</v>
      </c>
      <c r="K50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85">
        <v>0</v>
      </c>
      <c r="M50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5">
        <v>4864</v>
      </c>
      <c r="O5085" s="23" t="s">
        <v>648</v>
      </c>
      <c r="P5085">
        <v>9728</v>
      </c>
      <c r="Q5085" s="23" t="s">
        <v>178</v>
      </c>
    </row>
    <row r="5086" spans="1:17" x14ac:dyDescent="0.25">
      <c r="A5086" s="23" t="s">
        <v>1096</v>
      </c>
      <c r="B5086" s="23" t="s">
        <v>1053</v>
      </c>
      <c r="C5086" s="23" t="s">
        <v>176</v>
      </c>
      <c r="D5086" s="23" t="s">
        <v>479</v>
      </c>
      <c r="E5086" s="23" t="s">
        <v>480</v>
      </c>
      <c r="F5086">
        <v>50</v>
      </c>
      <c r="G5086" s="23" t="s">
        <v>177</v>
      </c>
      <c r="H5086">
        <v>0</v>
      </c>
      <c r="I5086">
        <v>950</v>
      </c>
      <c r="J5086" s="10">
        <v>380</v>
      </c>
      <c r="K50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</v>
      </c>
      <c r="L5086">
        <v>0</v>
      </c>
      <c r="M50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6">
        <v>0.4</v>
      </c>
      <c r="O5086" s="23" t="s">
        <v>883</v>
      </c>
      <c r="P5086">
        <v>20</v>
      </c>
      <c r="Q5086" s="23" t="s">
        <v>181</v>
      </c>
    </row>
    <row r="5087" spans="1:17" x14ac:dyDescent="0.25">
      <c r="A5087" s="23" t="s">
        <v>1057</v>
      </c>
      <c r="B5087" s="23" t="s">
        <v>1056</v>
      </c>
      <c r="C5087" s="23" t="s">
        <v>176</v>
      </c>
      <c r="D5087" s="23" t="s">
        <v>615</v>
      </c>
      <c r="E5087" s="23" t="s">
        <v>616</v>
      </c>
      <c r="F5087">
        <v>1.5</v>
      </c>
      <c r="G5087" s="23" t="s">
        <v>186</v>
      </c>
      <c r="H5087">
        <v>0</v>
      </c>
      <c r="I5087">
        <v>72</v>
      </c>
      <c r="J5087" s="10">
        <v>7.0000000000000071</v>
      </c>
      <c r="K50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87">
        <v>0</v>
      </c>
      <c r="M50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7">
        <v>212.93</v>
      </c>
      <c r="O5087" s="23" t="s">
        <v>255</v>
      </c>
      <c r="P5087">
        <v>319.39499999999998</v>
      </c>
      <c r="Q5087" s="23" t="s">
        <v>182</v>
      </c>
    </row>
    <row r="5088" spans="1:17" x14ac:dyDescent="0.25">
      <c r="A5088" s="23" t="s">
        <v>1094</v>
      </c>
      <c r="B5088" s="23" t="s">
        <v>1095</v>
      </c>
      <c r="C5088" s="23" t="s">
        <v>176</v>
      </c>
      <c r="D5088" s="23" t="s">
        <v>615</v>
      </c>
      <c r="E5088" s="23" t="s">
        <v>616</v>
      </c>
      <c r="F5088">
        <v>0.5</v>
      </c>
      <c r="G5088" s="23" t="s">
        <v>186</v>
      </c>
      <c r="H5088">
        <v>0</v>
      </c>
      <c r="I5088">
        <v>72</v>
      </c>
      <c r="J5088" s="10">
        <v>7.0000000000000071</v>
      </c>
      <c r="K50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-51.5</v>
      </c>
      <c r="L5088">
        <v>0</v>
      </c>
      <c r="M50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8">
        <v>212.93</v>
      </c>
      <c r="O5088" s="23" t="s">
        <v>255</v>
      </c>
      <c r="P5088">
        <v>106.465</v>
      </c>
      <c r="Q5088" s="23" t="s">
        <v>182</v>
      </c>
    </row>
    <row r="5089" spans="1:17" x14ac:dyDescent="0.25">
      <c r="A5089" s="23" t="s">
        <v>1197</v>
      </c>
      <c r="B5089" s="23" t="s">
        <v>1198</v>
      </c>
      <c r="C5089" s="23" t="s">
        <v>176</v>
      </c>
      <c r="D5089" s="23" t="s">
        <v>804</v>
      </c>
      <c r="E5089" s="23" t="s">
        <v>805</v>
      </c>
      <c r="F5089">
        <v>1</v>
      </c>
      <c r="G5089" s="23" t="s">
        <v>177</v>
      </c>
      <c r="H5089">
        <v>0</v>
      </c>
      <c r="I5089">
        <v>7</v>
      </c>
      <c r="J5089" s="10">
        <v>2</v>
      </c>
      <c r="K50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89">
        <v>0</v>
      </c>
      <c r="M50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89">
        <v>337.5</v>
      </c>
      <c r="O5089" s="23" t="s">
        <v>248</v>
      </c>
      <c r="P5089">
        <v>337.5</v>
      </c>
      <c r="Q5089" s="23" t="s">
        <v>178</v>
      </c>
    </row>
    <row r="5090" spans="1:17" x14ac:dyDescent="0.25">
      <c r="A5090" s="23" t="s">
        <v>1097</v>
      </c>
      <c r="B5090" s="23" t="s">
        <v>1095</v>
      </c>
      <c r="C5090" s="23" t="s">
        <v>176</v>
      </c>
      <c r="D5090" s="23" t="s">
        <v>866</v>
      </c>
      <c r="E5090" s="23" t="s">
        <v>645</v>
      </c>
      <c r="F5090">
        <v>2</v>
      </c>
      <c r="G5090" s="23" t="s">
        <v>177</v>
      </c>
      <c r="H5090">
        <v>0</v>
      </c>
      <c r="I5090">
        <v>5</v>
      </c>
      <c r="J5090" s="10">
        <v>7</v>
      </c>
      <c r="K50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090">
        <v>0</v>
      </c>
      <c r="M50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090">
        <v>3532.8</v>
      </c>
      <c r="O5090" s="23" t="s">
        <v>648</v>
      </c>
      <c r="P5090">
        <v>7065.6</v>
      </c>
      <c r="Q5090" s="23" t="s">
        <v>178</v>
      </c>
    </row>
    <row r="5091" spans="1:17" x14ac:dyDescent="0.25">
      <c r="A5091" s="23" t="s">
        <v>1062</v>
      </c>
      <c r="B5091" s="23" t="s">
        <v>1053</v>
      </c>
      <c r="C5091" s="23" t="s">
        <v>176</v>
      </c>
      <c r="D5091" s="23" t="s">
        <v>866</v>
      </c>
      <c r="E5091" s="23" t="s">
        <v>645</v>
      </c>
      <c r="F5091">
        <v>3</v>
      </c>
      <c r="G5091" s="23" t="s">
        <v>177</v>
      </c>
      <c r="H5091">
        <v>3</v>
      </c>
      <c r="I5091">
        <v>5</v>
      </c>
      <c r="J5091" s="10">
        <v>7</v>
      </c>
      <c r="K50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091">
        <v>0</v>
      </c>
      <c r="M50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091">
        <v>3532.8</v>
      </c>
      <c r="O5091" s="23" t="s">
        <v>648</v>
      </c>
      <c r="P5091">
        <v>10598.400000000001</v>
      </c>
      <c r="Q5091" s="23" t="s">
        <v>178</v>
      </c>
    </row>
    <row r="5092" spans="1:17" x14ac:dyDescent="0.25">
      <c r="A5092" s="23" t="s">
        <v>1143</v>
      </c>
      <c r="B5092" s="23" t="s">
        <v>1054</v>
      </c>
      <c r="C5092" s="23" t="s">
        <v>176</v>
      </c>
      <c r="D5092" s="23" t="s">
        <v>583</v>
      </c>
      <c r="E5092" s="23" t="s">
        <v>584</v>
      </c>
      <c r="F5092">
        <v>5.9</v>
      </c>
      <c r="G5092" s="23" t="s">
        <v>186</v>
      </c>
      <c r="H5092">
        <v>0</v>
      </c>
      <c r="I5092">
        <v>100</v>
      </c>
      <c r="J5092" s="10">
        <v>197.39999999999992</v>
      </c>
      <c r="K50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5092">
        <v>100</v>
      </c>
      <c r="M50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2">
        <v>232.75</v>
      </c>
      <c r="O5092" s="23" t="s">
        <v>491</v>
      </c>
      <c r="P5092">
        <v>1373.2250000000001</v>
      </c>
      <c r="Q5092" s="23" t="s">
        <v>184</v>
      </c>
    </row>
    <row r="5093" spans="1:17" x14ac:dyDescent="0.25">
      <c r="A5093" s="23" t="s">
        <v>1143</v>
      </c>
      <c r="B5093" s="23" t="s">
        <v>1054</v>
      </c>
      <c r="C5093" s="23" t="s">
        <v>176</v>
      </c>
      <c r="D5093" s="23" t="s">
        <v>864</v>
      </c>
      <c r="E5093" s="23" t="s">
        <v>865</v>
      </c>
      <c r="F5093">
        <v>2</v>
      </c>
      <c r="G5093" s="23" t="s">
        <v>177</v>
      </c>
      <c r="H5093">
        <v>0</v>
      </c>
      <c r="I5093">
        <v>6</v>
      </c>
      <c r="J5093" s="10">
        <v>0</v>
      </c>
      <c r="K50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093">
        <v>0</v>
      </c>
      <c r="M50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3">
        <v>4864</v>
      </c>
      <c r="O5093" s="23" t="s">
        <v>648</v>
      </c>
      <c r="P5093">
        <v>9728</v>
      </c>
      <c r="Q5093" s="23" t="s">
        <v>178</v>
      </c>
    </row>
    <row r="5094" spans="1:17" x14ac:dyDescent="0.25">
      <c r="A5094" s="23" t="s">
        <v>1094</v>
      </c>
      <c r="B5094" s="23" t="s">
        <v>1095</v>
      </c>
      <c r="C5094" s="23" t="s">
        <v>176</v>
      </c>
      <c r="D5094" s="23" t="s">
        <v>866</v>
      </c>
      <c r="E5094" s="23" t="s">
        <v>645</v>
      </c>
      <c r="F5094">
        <v>2</v>
      </c>
      <c r="G5094" s="23" t="s">
        <v>177</v>
      </c>
      <c r="H5094">
        <v>0</v>
      </c>
      <c r="I5094">
        <v>5</v>
      </c>
      <c r="J5094" s="10">
        <v>7</v>
      </c>
      <c r="K50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094">
        <v>0</v>
      </c>
      <c r="M50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094">
        <v>3532.8</v>
      </c>
      <c r="O5094" s="23" t="s">
        <v>648</v>
      </c>
      <c r="P5094">
        <v>7065.6</v>
      </c>
      <c r="Q5094" s="23" t="s">
        <v>178</v>
      </c>
    </row>
    <row r="5095" spans="1:17" x14ac:dyDescent="0.25">
      <c r="A5095" s="23" t="s">
        <v>1142</v>
      </c>
      <c r="B5095" s="23" t="s">
        <v>1054</v>
      </c>
      <c r="C5095" s="23" t="s">
        <v>176</v>
      </c>
      <c r="D5095" s="23" t="s">
        <v>583</v>
      </c>
      <c r="E5095" s="23" t="s">
        <v>584</v>
      </c>
      <c r="F5095">
        <v>5.9</v>
      </c>
      <c r="G5095" s="23" t="s">
        <v>186</v>
      </c>
      <c r="H5095">
        <v>0</v>
      </c>
      <c r="I5095">
        <v>100</v>
      </c>
      <c r="J5095" s="10">
        <v>197.39999999999992</v>
      </c>
      <c r="K50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5095">
        <v>100</v>
      </c>
      <c r="M50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5">
        <v>232.75</v>
      </c>
      <c r="O5095" s="23" t="s">
        <v>491</v>
      </c>
      <c r="P5095">
        <v>1373.2250000000001</v>
      </c>
      <c r="Q5095" s="23" t="s">
        <v>184</v>
      </c>
    </row>
    <row r="5096" spans="1:17" x14ac:dyDescent="0.25">
      <c r="A5096" s="23" t="s">
        <v>1096</v>
      </c>
      <c r="B5096" s="23" t="s">
        <v>1053</v>
      </c>
      <c r="C5096" s="23" t="s">
        <v>176</v>
      </c>
      <c r="D5096" s="23" t="s">
        <v>583</v>
      </c>
      <c r="E5096" s="23" t="s">
        <v>584</v>
      </c>
      <c r="F5096">
        <v>5.9</v>
      </c>
      <c r="G5096" s="23" t="s">
        <v>186</v>
      </c>
      <c r="H5096">
        <v>0</v>
      </c>
      <c r="I5096">
        <v>100</v>
      </c>
      <c r="J5096" s="10">
        <v>197.39999999999992</v>
      </c>
      <c r="K50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5096">
        <v>100</v>
      </c>
      <c r="M50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6">
        <v>232.75</v>
      </c>
      <c r="O5096" s="23" t="s">
        <v>491</v>
      </c>
      <c r="P5096">
        <v>1373.2250000000001</v>
      </c>
      <c r="Q5096" s="23" t="s">
        <v>184</v>
      </c>
    </row>
    <row r="5097" spans="1:17" x14ac:dyDescent="0.25">
      <c r="A5097" s="23" t="s">
        <v>1143</v>
      </c>
      <c r="B5097" s="23" t="s">
        <v>1054</v>
      </c>
      <c r="C5097" s="23" t="s">
        <v>176</v>
      </c>
      <c r="D5097" s="23" t="s">
        <v>866</v>
      </c>
      <c r="E5097" s="23" t="s">
        <v>645</v>
      </c>
      <c r="F5097">
        <v>3</v>
      </c>
      <c r="G5097" s="23" t="s">
        <v>177</v>
      </c>
      <c r="H5097">
        <v>0</v>
      </c>
      <c r="I5097">
        <v>5</v>
      </c>
      <c r="J5097" s="10">
        <v>7</v>
      </c>
      <c r="K50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097">
        <v>0</v>
      </c>
      <c r="M50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097">
        <v>3532.8</v>
      </c>
      <c r="O5097" s="23" t="s">
        <v>648</v>
      </c>
      <c r="P5097">
        <v>10598.400000000001</v>
      </c>
      <c r="Q5097" s="23" t="s">
        <v>178</v>
      </c>
    </row>
    <row r="5098" spans="1:17" x14ac:dyDescent="0.25">
      <c r="A5098" s="23" t="s">
        <v>1055</v>
      </c>
      <c r="B5098" s="23" t="s">
        <v>1056</v>
      </c>
      <c r="C5098" s="23" t="s">
        <v>176</v>
      </c>
      <c r="D5098" s="23" t="s">
        <v>559</v>
      </c>
      <c r="E5098" s="23" t="s">
        <v>560</v>
      </c>
      <c r="F5098">
        <v>1</v>
      </c>
      <c r="G5098" s="23" t="s">
        <v>177</v>
      </c>
      <c r="H5098">
        <v>1</v>
      </c>
      <c r="I5098">
        <v>46</v>
      </c>
      <c r="J5098" s="10">
        <v>85.88</v>
      </c>
      <c r="K50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098">
        <v>0</v>
      </c>
      <c r="M50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8">
        <v>55</v>
      </c>
      <c r="O5098" s="23" t="s">
        <v>242</v>
      </c>
      <c r="P5098">
        <v>55</v>
      </c>
      <c r="Q5098" s="23" t="s">
        <v>181</v>
      </c>
    </row>
    <row r="5099" spans="1:17" x14ac:dyDescent="0.25">
      <c r="A5099" s="23" t="s">
        <v>1057</v>
      </c>
      <c r="B5099" s="23" t="s">
        <v>1056</v>
      </c>
      <c r="C5099" s="23" t="s">
        <v>176</v>
      </c>
      <c r="D5099" s="23" t="s">
        <v>559</v>
      </c>
      <c r="E5099" s="23" t="s">
        <v>560</v>
      </c>
      <c r="F5099">
        <v>1</v>
      </c>
      <c r="G5099" s="23" t="s">
        <v>177</v>
      </c>
      <c r="H5099">
        <v>1</v>
      </c>
      <c r="I5099">
        <v>46</v>
      </c>
      <c r="J5099" s="10">
        <v>85.88</v>
      </c>
      <c r="K50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099">
        <v>0</v>
      </c>
      <c r="M50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099">
        <v>55</v>
      </c>
      <c r="O5099" s="23" t="s">
        <v>242</v>
      </c>
      <c r="P5099">
        <v>55</v>
      </c>
      <c r="Q5099" s="23" t="s">
        <v>181</v>
      </c>
    </row>
    <row r="5100" spans="1:17" x14ac:dyDescent="0.25">
      <c r="A5100" s="23" t="s">
        <v>1142</v>
      </c>
      <c r="B5100" s="23" t="s">
        <v>1054</v>
      </c>
      <c r="C5100" s="23" t="s">
        <v>176</v>
      </c>
      <c r="D5100" s="23" t="s">
        <v>866</v>
      </c>
      <c r="E5100" s="23" t="s">
        <v>645</v>
      </c>
      <c r="F5100">
        <v>1</v>
      </c>
      <c r="G5100" s="23" t="s">
        <v>177</v>
      </c>
      <c r="H5100">
        <v>0</v>
      </c>
      <c r="I5100">
        <v>5</v>
      </c>
      <c r="J5100" s="10">
        <v>7</v>
      </c>
      <c r="K51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100">
        <v>0</v>
      </c>
      <c r="M51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100">
        <v>3532.8</v>
      </c>
      <c r="O5100" s="23" t="s">
        <v>648</v>
      </c>
      <c r="P5100">
        <v>3532.8</v>
      </c>
      <c r="Q5100" s="23" t="s">
        <v>178</v>
      </c>
    </row>
    <row r="5101" spans="1:17" x14ac:dyDescent="0.25">
      <c r="A5101" s="23" t="s">
        <v>1058</v>
      </c>
      <c r="B5101" s="23" t="s">
        <v>1059</v>
      </c>
      <c r="C5101" s="23" t="s">
        <v>176</v>
      </c>
      <c r="D5101" s="23" t="s">
        <v>95</v>
      </c>
      <c r="E5101" s="23" t="s">
        <v>96</v>
      </c>
      <c r="F5101">
        <v>1</v>
      </c>
      <c r="G5101" s="23" t="s">
        <v>177</v>
      </c>
      <c r="H5101">
        <v>1</v>
      </c>
      <c r="I5101">
        <v>13</v>
      </c>
      <c r="J5101" s="10">
        <v>6</v>
      </c>
      <c r="K51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01">
        <v>0</v>
      </c>
      <c r="M51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1">
        <v>1145.83</v>
      </c>
      <c r="O5101" s="23" t="s">
        <v>249</v>
      </c>
      <c r="P5101">
        <v>1145.83</v>
      </c>
      <c r="Q5101" s="23" t="s">
        <v>178</v>
      </c>
    </row>
    <row r="5102" spans="1:17" x14ac:dyDescent="0.25">
      <c r="A5102" s="23" t="s">
        <v>1058</v>
      </c>
      <c r="B5102" s="23" t="s">
        <v>1059</v>
      </c>
      <c r="C5102" s="23" t="s">
        <v>176</v>
      </c>
      <c r="D5102" s="23" t="s">
        <v>866</v>
      </c>
      <c r="E5102" s="23" t="s">
        <v>645</v>
      </c>
      <c r="F5102">
        <v>1</v>
      </c>
      <c r="G5102" s="23" t="s">
        <v>177</v>
      </c>
      <c r="H5102">
        <v>1</v>
      </c>
      <c r="I5102">
        <v>5</v>
      </c>
      <c r="J5102" s="10">
        <v>7</v>
      </c>
      <c r="K51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102">
        <v>0</v>
      </c>
      <c r="M51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102">
        <v>3532.8</v>
      </c>
      <c r="O5102" s="23" t="s">
        <v>648</v>
      </c>
      <c r="P5102">
        <v>3532.8</v>
      </c>
      <c r="Q5102" s="23" t="s">
        <v>178</v>
      </c>
    </row>
    <row r="5103" spans="1:17" x14ac:dyDescent="0.25">
      <c r="A5103" s="23" t="s">
        <v>1057</v>
      </c>
      <c r="B5103" s="23" t="s">
        <v>1056</v>
      </c>
      <c r="C5103" s="23" t="s">
        <v>176</v>
      </c>
      <c r="D5103" s="23" t="s">
        <v>583</v>
      </c>
      <c r="E5103" s="23" t="s">
        <v>584</v>
      </c>
      <c r="F5103">
        <v>5.9</v>
      </c>
      <c r="G5103" s="23" t="s">
        <v>186</v>
      </c>
      <c r="H5103">
        <v>5.9</v>
      </c>
      <c r="I5103">
        <v>100</v>
      </c>
      <c r="J5103" s="10">
        <v>197.39999999999992</v>
      </c>
      <c r="K51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-105.59999999999998</v>
      </c>
      <c r="L5103">
        <v>100</v>
      </c>
      <c r="M51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3">
        <v>232.75</v>
      </c>
      <c r="O5103" s="23" t="s">
        <v>491</v>
      </c>
      <c r="P5103">
        <v>1373.2250000000001</v>
      </c>
      <c r="Q5103" s="23" t="s">
        <v>184</v>
      </c>
    </row>
    <row r="5104" spans="1:17" x14ac:dyDescent="0.25">
      <c r="A5104" s="23" t="s">
        <v>1142</v>
      </c>
      <c r="B5104" s="23" t="s">
        <v>1054</v>
      </c>
      <c r="C5104" s="23" t="s">
        <v>176</v>
      </c>
      <c r="D5104" s="23" t="s">
        <v>549</v>
      </c>
      <c r="E5104" s="23" t="s">
        <v>550</v>
      </c>
      <c r="F5104">
        <v>28</v>
      </c>
      <c r="G5104" s="23" t="s">
        <v>177</v>
      </c>
      <c r="H5104">
        <v>0</v>
      </c>
      <c r="I5104">
        <v>800</v>
      </c>
      <c r="J5104" s="10">
        <v>0</v>
      </c>
      <c r="K51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104">
        <v>0</v>
      </c>
      <c r="M51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4">
        <v>13.75</v>
      </c>
      <c r="O5104" s="23" t="s">
        <v>629</v>
      </c>
      <c r="P5104">
        <v>385</v>
      </c>
      <c r="Q5104" s="23" t="s">
        <v>181</v>
      </c>
    </row>
    <row r="5105" spans="1:17" x14ac:dyDescent="0.25">
      <c r="A5105" s="23" t="s">
        <v>1096</v>
      </c>
      <c r="B5105" s="23" t="s">
        <v>1053</v>
      </c>
      <c r="C5105" s="23" t="s">
        <v>176</v>
      </c>
      <c r="D5105" s="23" t="s">
        <v>549</v>
      </c>
      <c r="E5105" s="23" t="s">
        <v>550</v>
      </c>
      <c r="F5105">
        <v>37</v>
      </c>
      <c r="G5105" s="23" t="s">
        <v>177</v>
      </c>
      <c r="H5105">
        <v>0</v>
      </c>
      <c r="I5105">
        <v>800</v>
      </c>
      <c r="J5105" s="10">
        <v>0</v>
      </c>
      <c r="K51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105">
        <v>0</v>
      </c>
      <c r="M51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5">
        <v>13.75</v>
      </c>
      <c r="O5105" s="23" t="s">
        <v>629</v>
      </c>
      <c r="P5105">
        <v>508.75</v>
      </c>
      <c r="Q5105" s="23" t="s">
        <v>181</v>
      </c>
    </row>
    <row r="5106" spans="1:17" x14ac:dyDescent="0.25">
      <c r="A5106" s="23" t="s">
        <v>1142</v>
      </c>
      <c r="B5106" s="23" t="s">
        <v>1054</v>
      </c>
      <c r="C5106" s="23" t="s">
        <v>176</v>
      </c>
      <c r="D5106" s="23" t="s">
        <v>553</v>
      </c>
      <c r="E5106" s="23" t="s">
        <v>554</v>
      </c>
      <c r="F5106">
        <v>1</v>
      </c>
      <c r="G5106" s="23" t="s">
        <v>177</v>
      </c>
      <c r="H5106">
        <v>0</v>
      </c>
      <c r="I5106">
        <v>14</v>
      </c>
      <c r="J5106" s="10">
        <v>9.9999999999999964</v>
      </c>
      <c r="K51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106">
        <v>0</v>
      </c>
      <c r="M51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5106">
        <v>215</v>
      </c>
      <c r="O5106" s="23" t="s">
        <v>242</v>
      </c>
      <c r="P5106">
        <v>215</v>
      </c>
      <c r="Q5106" s="23" t="s">
        <v>181</v>
      </c>
    </row>
    <row r="5107" spans="1:17" x14ac:dyDescent="0.25">
      <c r="A5107" s="23" t="s">
        <v>1143</v>
      </c>
      <c r="B5107" s="23" t="s">
        <v>1054</v>
      </c>
      <c r="C5107" s="23" t="s">
        <v>176</v>
      </c>
      <c r="D5107" s="23" t="s">
        <v>553</v>
      </c>
      <c r="E5107" s="23" t="s">
        <v>554</v>
      </c>
      <c r="F5107">
        <v>0.73</v>
      </c>
      <c r="G5107" s="23" t="s">
        <v>177</v>
      </c>
      <c r="H5107">
        <v>0</v>
      </c>
      <c r="I5107">
        <v>14</v>
      </c>
      <c r="J5107" s="10">
        <v>9.9999999999999964</v>
      </c>
      <c r="K51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107">
        <v>0</v>
      </c>
      <c r="M51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5107">
        <v>215</v>
      </c>
      <c r="O5107" s="23" t="s">
        <v>242</v>
      </c>
      <c r="P5107">
        <v>156.94999999999999</v>
      </c>
      <c r="Q5107" s="23" t="s">
        <v>181</v>
      </c>
    </row>
    <row r="5108" spans="1:17" x14ac:dyDescent="0.25">
      <c r="A5108" s="23" t="s">
        <v>1142</v>
      </c>
      <c r="B5108" s="23" t="s">
        <v>1054</v>
      </c>
      <c r="C5108" s="23" t="s">
        <v>176</v>
      </c>
      <c r="D5108" s="23" t="s">
        <v>561</v>
      </c>
      <c r="E5108" s="23" t="s">
        <v>562</v>
      </c>
      <c r="F5108">
        <v>3.2</v>
      </c>
      <c r="G5108" s="23" t="s">
        <v>177</v>
      </c>
      <c r="H5108">
        <v>0</v>
      </c>
      <c r="I5108">
        <v>272</v>
      </c>
      <c r="J5108" s="10">
        <v>4.3</v>
      </c>
      <c r="K51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108">
        <v>0</v>
      </c>
      <c r="M51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8">
        <v>30</v>
      </c>
      <c r="O5108" s="23" t="s">
        <v>242</v>
      </c>
      <c r="P5108">
        <v>96</v>
      </c>
      <c r="Q5108" s="23" t="s">
        <v>181</v>
      </c>
    </row>
    <row r="5109" spans="1:17" x14ac:dyDescent="0.25">
      <c r="A5109" s="23" t="s">
        <v>1096</v>
      </c>
      <c r="B5109" s="23" t="s">
        <v>1053</v>
      </c>
      <c r="C5109" s="23" t="s">
        <v>176</v>
      </c>
      <c r="D5109" s="23" t="s">
        <v>561</v>
      </c>
      <c r="E5109" s="23" t="s">
        <v>562</v>
      </c>
      <c r="F5109">
        <v>1.5</v>
      </c>
      <c r="G5109" s="23" t="s">
        <v>177</v>
      </c>
      <c r="H5109">
        <v>0</v>
      </c>
      <c r="I5109">
        <v>272</v>
      </c>
      <c r="J5109" s="10">
        <v>4.3</v>
      </c>
      <c r="K51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109">
        <v>0</v>
      </c>
      <c r="M51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09">
        <v>30</v>
      </c>
      <c r="O5109" s="23" t="s">
        <v>242</v>
      </c>
      <c r="P5109">
        <v>45</v>
      </c>
      <c r="Q5109" s="23" t="s">
        <v>181</v>
      </c>
    </row>
    <row r="5110" spans="1:17" x14ac:dyDescent="0.25">
      <c r="A5110" s="23" t="s">
        <v>1057</v>
      </c>
      <c r="B5110" s="23" t="s">
        <v>1056</v>
      </c>
      <c r="C5110" s="23" t="s">
        <v>176</v>
      </c>
      <c r="D5110" s="23" t="s">
        <v>64</v>
      </c>
      <c r="E5110" s="23" t="s">
        <v>65</v>
      </c>
      <c r="F5110">
        <v>1</v>
      </c>
      <c r="G5110" s="23" t="s">
        <v>177</v>
      </c>
      <c r="H5110">
        <v>1</v>
      </c>
      <c r="I5110">
        <v>38</v>
      </c>
      <c r="J5110" s="10">
        <v>10</v>
      </c>
      <c r="K51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110">
        <v>0</v>
      </c>
      <c r="M51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0">
        <v>95</v>
      </c>
      <c r="O5110" s="23" t="s">
        <v>218</v>
      </c>
      <c r="P5110">
        <v>95</v>
      </c>
      <c r="Q5110" s="23" t="s">
        <v>181</v>
      </c>
    </row>
    <row r="5111" spans="1:17" x14ac:dyDescent="0.25">
      <c r="A5111" s="23" t="s">
        <v>1058</v>
      </c>
      <c r="B5111" s="23" t="s">
        <v>1059</v>
      </c>
      <c r="C5111" s="23" t="s">
        <v>176</v>
      </c>
      <c r="D5111" s="23" t="s">
        <v>125</v>
      </c>
      <c r="E5111" s="23" t="s">
        <v>126</v>
      </c>
      <c r="F5111">
        <v>7</v>
      </c>
      <c r="G5111" s="23" t="s">
        <v>186</v>
      </c>
      <c r="H5111">
        <v>7</v>
      </c>
      <c r="I5111">
        <v>0</v>
      </c>
      <c r="J5111" s="10">
        <v>297.61000000000013</v>
      </c>
      <c r="K51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111">
        <v>0</v>
      </c>
      <c r="M51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111">
        <v>136.18</v>
      </c>
      <c r="O5111" s="23" t="s">
        <v>254</v>
      </c>
      <c r="P5111">
        <v>953.26</v>
      </c>
      <c r="Q5111" s="23" t="s">
        <v>184</v>
      </c>
    </row>
    <row r="5112" spans="1:17" x14ac:dyDescent="0.25">
      <c r="A5112" s="23" t="s">
        <v>1096</v>
      </c>
      <c r="B5112" s="23" t="s">
        <v>1053</v>
      </c>
      <c r="C5112" s="23" t="s">
        <v>176</v>
      </c>
      <c r="D5112" s="23" t="s">
        <v>19</v>
      </c>
      <c r="E5112" s="23" t="s">
        <v>20</v>
      </c>
      <c r="F5112">
        <v>4</v>
      </c>
      <c r="G5112" s="23" t="s">
        <v>177</v>
      </c>
      <c r="H5112">
        <v>4</v>
      </c>
      <c r="I5112">
        <v>13</v>
      </c>
      <c r="J5112" s="10">
        <v>22</v>
      </c>
      <c r="K51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12">
        <v>30</v>
      </c>
      <c r="M51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2">
        <v>122.1</v>
      </c>
      <c r="O5112" s="23" t="s">
        <v>228</v>
      </c>
      <c r="P5112">
        <v>488.4</v>
      </c>
      <c r="Q5112" s="23" t="s">
        <v>222</v>
      </c>
    </row>
    <row r="5113" spans="1:17" x14ac:dyDescent="0.25">
      <c r="A5113" s="23" t="s">
        <v>1057</v>
      </c>
      <c r="B5113" s="23" t="s">
        <v>1056</v>
      </c>
      <c r="C5113" s="23" t="s">
        <v>176</v>
      </c>
      <c r="D5113" s="23" t="s">
        <v>506</v>
      </c>
      <c r="E5113" s="23" t="s">
        <v>507</v>
      </c>
      <c r="F5113">
        <v>1</v>
      </c>
      <c r="G5113" s="23" t="s">
        <v>177</v>
      </c>
      <c r="H5113">
        <v>1</v>
      </c>
      <c r="I5113">
        <v>8</v>
      </c>
      <c r="J5113" s="10">
        <v>9</v>
      </c>
      <c r="K51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113">
        <v>36</v>
      </c>
      <c r="M51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3">
        <v>101.4</v>
      </c>
      <c r="O5113" s="23" t="s">
        <v>1065</v>
      </c>
      <c r="P5113">
        <v>101.4</v>
      </c>
      <c r="Q5113" s="23" t="s">
        <v>222</v>
      </c>
    </row>
    <row r="5114" spans="1:17" x14ac:dyDescent="0.25">
      <c r="A5114" s="23" t="s">
        <v>1062</v>
      </c>
      <c r="B5114" s="23" t="s">
        <v>1053</v>
      </c>
      <c r="C5114" s="23" t="s">
        <v>176</v>
      </c>
      <c r="D5114" s="23" t="s">
        <v>506</v>
      </c>
      <c r="E5114" s="23" t="s">
        <v>507</v>
      </c>
      <c r="F5114">
        <v>1</v>
      </c>
      <c r="G5114" s="23" t="s">
        <v>177</v>
      </c>
      <c r="H5114">
        <v>1</v>
      </c>
      <c r="I5114">
        <v>8</v>
      </c>
      <c r="J5114" s="10">
        <v>9</v>
      </c>
      <c r="K51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114">
        <v>36</v>
      </c>
      <c r="M51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4">
        <v>101.4</v>
      </c>
      <c r="O5114" s="23" t="s">
        <v>1065</v>
      </c>
      <c r="P5114">
        <v>101.4</v>
      </c>
      <c r="Q5114" s="23" t="s">
        <v>222</v>
      </c>
    </row>
    <row r="5115" spans="1:17" x14ac:dyDescent="0.25">
      <c r="A5115" s="23" t="s">
        <v>1144</v>
      </c>
      <c r="B5115" s="23" t="s">
        <v>1145</v>
      </c>
      <c r="C5115" s="23" t="s">
        <v>176</v>
      </c>
      <c r="D5115" s="23" t="s">
        <v>274</v>
      </c>
      <c r="E5115" s="23" t="s">
        <v>622</v>
      </c>
      <c r="F5115">
        <v>1</v>
      </c>
      <c r="G5115" s="23" t="s">
        <v>177</v>
      </c>
      <c r="H5115">
        <v>1</v>
      </c>
      <c r="I5115">
        <v>11</v>
      </c>
      <c r="J5115" s="10">
        <v>4</v>
      </c>
      <c r="K51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115">
        <v>0</v>
      </c>
      <c r="M51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5">
        <v>1678.88</v>
      </c>
      <c r="O5115" s="23" t="s">
        <v>637</v>
      </c>
      <c r="P5115">
        <v>1678.88</v>
      </c>
      <c r="Q5115" s="23" t="s">
        <v>179</v>
      </c>
    </row>
    <row r="5116" spans="1:17" x14ac:dyDescent="0.25">
      <c r="A5116" s="23" t="s">
        <v>1098</v>
      </c>
      <c r="B5116" s="23" t="s">
        <v>1053</v>
      </c>
      <c r="C5116" s="23" t="s">
        <v>176</v>
      </c>
      <c r="D5116" s="23" t="s">
        <v>19</v>
      </c>
      <c r="E5116" s="23" t="s">
        <v>20</v>
      </c>
      <c r="F5116">
        <v>2</v>
      </c>
      <c r="G5116" s="23" t="s">
        <v>177</v>
      </c>
      <c r="H5116">
        <v>2</v>
      </c>
      <c r="I5116">
        <v>13</v>
      </c>
      <c r="J5116" s="10">
        <v>22</v>
      </c>
      <c r="K51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16">
        <v>30</v>
      </c>
      <c r="M51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6">
        <v>122.1</v>
      </c>
      <c r="O5116" s="23" t="s">
        <v>228</v>
      </c>
      <c r="P5116">
        <v>244.2</v>
      </c>
      <c r="Q5116" s="23" t="s">
        <v>222</v>
      </c>
    </row>
    <row r="5117" spans="1:17" x14ac:dyDescent="0.25">
      <c r="A5117" s="23" t="s">
        <v>1143</v>
      </c>
      <c r="B5117" s="23" t="s">
        <v>1054</v>
      </c>
      <c r="C5117" s="23" t="s">
        <v>176</v>
      </c>
      <c r="D5117" s="23" t="s">
        <v>452</v>
      </c>
      <c r="E5117" s="23" t="s">
        <v>453</v>
      </c>
      <c r="F5117">
        <v>1</v>
      </c>
      <c r="G5117" s="23" t="s">
        <v>177</v>
      </c>
      <c r="H5117">
        <v>0</v>
      </c>
      <c r="I5117">
        <v>6</v>
      </c>
      <c r="J5117" s="10">
        <v>7</v>
      </c>
      <c r="K51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117">
        <v>6</v>
      </c>
      <c r="M51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5117">
        <v>1600</v>
      </c>
      <c r="O5117" s="23" t="s">
        <v>242</v>
      </c>
      <c r="P5117">
        <v>1600</v>
      </c>
      <c r="Q5117" s="23" t="s">
        <v>179</v>
      </c>
    </row>
    <row r="5118" spans="1:17" x14ac:dyDescent="0.25">
      <c r="A5118" s="23" t="s">
        <v>1057</v>
      </c>
      <c r="B5118" s="23" t="s">
        <v>1056</v>
      </c>
      <c r="C5118" s="23" t="s">
        <v>176</v>
      </c>
      <c r="D5118" s="23" t="s">
        <v>274</v>
      </c>
      <c r="E5118" s="23" t="s">
        <v>622</v>
      </c>
      <c r="F5118">
        <v>1</v>
      </c>
      <c r="G5118" s="23" t="s">
        <v>177</v>
      </c>
      <c r="H5118">
        <v>0</v>
      </c>
      <c r="I5118">
        <v>11</v>
      </c>
      <c r="J5118" s="10">
        <v>4</v>
      </c>
      <c r="K51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118">
        <v>0</v>
      </c>
      <c r="M51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8">
        <v>1678.88</v>
      </c>
      <c r="O5118" s="23" t="s">
        <v>637</v>
      </c>
      <c r="P5118">
        <v>1678.88</v>
      </c>
      <c r="Q5118" s="23" t="s">
        <v>179</v>
      </c>
    </row>
    <row r="5119" spans="1:17" x14ac:dyDescent="0.25">
      <c r="A5119" s="23" t="s">
        <v>1096</v>
      </c>
      <c r="B5119" s="23" t="s">
        <v>1053</v>
      </c>
      <c r="C5119" s="23" t="s">
        <v>176</v>
      </c>
      <c r="D5119" s="23" t="s">
        <v>803</v>
      </c>
      <c r="E5119" s="23" t="s">
        <v>823</v>
      </c>
      <c r="F5119">
        <v>1</v>
      </c>
      <c r="G5119" s="23" t="s">
        <v>177</v>
      </c>
      <c r="H5119">
        <v>0</v>
      </c>
      <c r="I5119">
        <v>20.5</v>
      </c>
      <c r="J5119" s="10">
        <v>5</v>
      </c>
      <c r="K51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119">
        <v>0</v>
      </c>
      <c r="M51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19">
        <v>175</v>
      </c>
      <c r="O5119" s="23" t="s">
        <v>218</v>
      </c>
      <c r="P5119">
        <v>175</v>
      </c>
      <c r="Q5119" s="23" t="s">
        <v>181</v>
      </c>
    </row>
    <row r="5120" spans="1:17" x14ac:dyDescent="0.25">
      <c r="A5120" s="23" t="s">
        <v>1094</v>
      </c>
      <c r="B5120" s="23" t="s">
        <v>1095</v>
      </c>
      <c r="C5120" s="23" t="s">
        <v>176</v>
      </c>
      <c r="D5120" s="23" t="s">
        <v>737</v>
      </c>
      <c r="E5120" s="23" t="s">
        <v>738</v>
      </c>
      <c r="F5120">
        <v>1</v>
      </c>
      <c r="G5120" s="23" t="s">
        <v>177</v>
      </c>
      <c r="H5120">
        <v>0</v>
      </c>
      <c r="I5120">
        <v>14</v>
      </c>
      <c r="J5120" s="10">
        <v>15</v>
      </c>
      <c r="K51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120">
        <v>0</v>
      </c>
      <c r="M51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0">
        <v>400</v>
      </c>
      <c r="O5120" s="23" t="s">
        <v>668</v>
      </c>
      <c r="P5120">
        <v>400</v>
      </c>
      <c r="Q5120" s="23" t="s">
        <v>178</v>
      </c>
    </row>
    <row r="5121" spans="1:17" x14ac:dyDescent="0.25">
      <c r="A5121" s="23" t="s">
        <v>1142</v>
      </c>
      <c r="B5121" s="23" t="s">
        <v>1054</v>
      </c>
      <c r="C5121" s="23" t="s">
        <v>176</v>
      </c>
      <c r="D5121" s="23" t="s">
        <v>656</v>
      </c>
      <c r="E5121" s="23" t="s">
        <v>657</v>
      </c>
      <c r="F5121">
        <v>2</v>
      </c>
      <c r="G5121" s="23" t="s">
        <v>177</v>
      </c>
      <c r="H5121">
        <v>0</v>
      </c>
      <c r="I5121">
        <v>216</v>
      </c>
      <c r="J5121" s="10">
        <v>118</v>
      </c>
      <c r="K51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5121">
        <v>0</v>
      </c>
      <c r="M51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1">
        <v>3.95</v>
      </c>
      <c r="O5121" s="23" t="s">
        <v>221</v>
      </c>
      <c r="P5121">
        <v>7.9</v>
      </c>
      <c r="Q5121" s="23" t="s">
        <v>222</v>
      </c>
    </row>
    <row r="5122" spans="1:17" x14ac:dyDescent="0.25">
      <c r="A5122" s="23" t="s">
        <v>1143</v>
      </c>
      <c r="B5122" s="23" t="s">
        <v>1054</v>
      </c>
      <c r="C5122" s="23" t="s">
        <v>176</v>
      </c>
      <c r="D5122" s="23" t="s">
        <v>685</v>
      </c>
      <c r="E5122" s="23" t="s">
        <v>686</v>
      </c>
      <c r="F5122">
        <v>1</v>
      </c>
      <c r="G5122" s="23" t="s">
        <v>177</v>
      </c>
      <c r="H5122">
        <v>0</v>
      </c>
      <c r="I5122">
        <v>23</v>
      </c>
      <c r="J5122" s="10">
        <v>17</v>
      </c>
      <c r="K51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122">
        <v>0</v>
      </c>
      <c r="M51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2">
        <v>750</v>
      </c>
      <c r="O5122" s="23" t="s">
        <v>585</v>
      </c>
      <c r="P5122">
        <v>750</v>
      </c>
      <c r="Q5122" s="23" t="s">
        <v>178</v>
      </c>
    </row>
    <row r="5123" spans="1:17" x14ac:dyDescent="0.25">
      <c r="A5123" s="23" t="s">
        <v>1055</v>
      </c>
      <c r="B5123" s="23" t="s">
        <v>1056</v>
      </c>
      <c r="C5123" s="23" t="s">
        <v>176</v>
      </c>
      <c r="D5123" s="23" t="s">
        <v>26</v>
      </c>
      <c r="E5123" s="23" t="s">
        <v>27</v>
      </c>
      <c r="F5123">
        <v>1</v>
      </c>
      <c r="G5123" s="23" t="s">
        <v>177</v>
      </c>
      <c r="H5123">
        <v>1</v>
      </c>
      <c r="I5123">
        <v>24</v>
      </c>
      <c r="J5123" s="10">
        <v>4</v>
      </c>
      <c r="K51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123">
        <v>0</v>
      </c>
      <c r="M51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3">
        <v>625</v>
      </c>
      <c r="O5123" s="23" t="s">
        <v>227</v>
      </c>
      <c r="P5123">
        <v>625</v>
      </c>
      <c r="Q5123" s="23" t="s">
        <v>181</v>
      </c>
    </row>
    <row r="5124" spans="1:17" x14ac:dyDescent="0.25">
      <c r="A5124" s="23" t="s">
        <v>1055</v>
      </c>
      <c r="B5124" s="23" t="s">
        <v>1056</v>
      </c>
      <c r="C5124" s="23" t="s">
        <v>176</v>
      </c>
      <c r="D5124" s="23" t="s">
        <v>1015</v>
      </c>
      <c r="E5124" s="23" t="s">
        <v>1016</v>
      </c>
      <c r="F5124">
        <v>1</v>
      </c>
      <c r="G5124" s="23" t="s">
        <v>177</v>
      </c>
      <c r="H5124">
        <v>1</v>
      </c>
      <c r="I5124">
        <v>8</v>
      </c>
      <c r="J5124" s="10">
        <v>4</v>
      </c>
      <c r="K51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124">
        <v>0</v>
      </c>
      <c r="M51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4">
        <v>250</v>
      </c>
      <c r="O5124" s="23" t="s">
        <v>227</v>
      </c>
      <c r="P5124">
        <v>250</v>
      </c>
      <c r="Q5124" s="23" t="s">
        <v>181</v>
      </c>
    </row>
    <row r="5125" spans="1:17" x14ac:dyDescent="0.25">
      <c r="A5125" s="23" t="s">
        <v>1055</v>
      </c>
      <c r="B5125" s="23" t="s">
        <v>1056</v>
      </c>
      <c r="C5125" s="23" t="s">
        <v>176</v>
      </c>
      <c r="D5125" s="23" t="s">
        <v>803</v>
      </c>
      <c r="E5125" s="23" t="s">
        <v>823</v>
      </c>
      <c r="F5125">
        <v>2</v>
      </c>
      <c r="G5125" s="23" t="s">
        <v>177</v>
      </c>
      <c r="H5125">
        <v>2</v>
      </c>
      <c r="I5125">
        <v>20.5</v>
      </c>
      <c r="J5125" s="10">
        <v>5</v>
      </c>
      <c r="K51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125">
        <v>0</v>
      </c>
      <c r="M51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5">
        <v>175</v>
      </c>
      <c r="O5125" s="23" t="s">
        <v>218</v>
      </c>
      <c r="P5125">
        <v>350</v>
      </c>
      <c r="Q5125" s="23" t="s">
        <v>181</v>
      </c>
    </row>
    <row r="5126" spans="1:17" x14ac:dyDescent="0.25">
      <c r="A5126" s="23" t="s">
        <v>1055</v>
      </c>
      <c r="B5126" s="23" t="s">
        <v>1056</v>
      </c>
      <c r="C5126" s="23" t="s">
        <v>176</v>
      </c>
      <c r="D5126" s="23" t="s">
        <v>591</v>
      </c>
      <c r="E5126" s="23" t="s">
        <v>592</v>
      </c>
      <c r="F5126">
        <v>1</v>
      </c>
      <c r="G5126" s="23" t="s">
        <v>177</v>
      </c>
      <c r="H5126">
        <v>1</v>
      </c>
      <c r="I5126">
        <v>6</v>
      </c>
      <c r="J5126" s="10">
        <v>8</v>
      </c>
      <c r="K51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126">
        <v>10</v>
      </c>
      <c r="M51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6">
        <v>583.77</v>
      </c>
      <c r="O5126" s="23" t="s">
        <v>593</v>
      </c>
      <c r="P5126">
        <v>583.77</v>
      </c>
      <c r="Q5126" s="23" t="s">
        <v>181</v>
      </c>
    </row>
    <row r="5127" spans="1:17" x14ac:dyDescent="0.25">
      <c r="A5127" s="23" t="s">
        <v>1096</v>
      </c>
      <c r="B5127" s="23" t="s">
        <v>1053</v>
      </c>
      <c r="C5127" s="23" t="s">
        <v>176</v>
      </c>
      <c r="D5127" s="23" t="s">
        <v>727</v>
      </c>
      <c r="E5127" s="23" t="s">
        <v>728</v>
      </c>
      <c r="F5127">
        <v>1</v>
      </c>
      <c r="G5127" s="23" t="s">
        <v>177</v>
      </c>
      <c r="H5127">
        <v>1</v>
      </c>
      <c r="I5127">
        <v>5</v>
      </c>
      <c r="J5127" s="10">
        <v>5</v>
      </c>
      <c r="K51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127">
        <v>0</v>
      </c>
      <c r="M51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127">
        <v>10899.55</v>
      </c>
      <c r="O5127" s="23" t="s">
        <v>635</v>
      </c>
      <c r="P5127">
        <v>10899.55</v>
      </c>
      <c r="Q5127" s="23" t="s">
        <v>179</v>
      </c>
    </row>
    <row r="5128" spans="1:17" x14ac:dyDescent="0.25">
      <c r="A5128" s="23" t="s">
        <v>1096</v>
      </c>
      <c r="B5128" s="23" t="s">
        <v>1053</v>
      </c>
      <c r="C5128" s="23" t="s">
        <v>176</v>
      </c>
      <c r="D5128" s="23" t="s">
        <v>23</v>
      </c>
      <c r="E5128" s="23" t="s">
        <v>305</v>
      </c>
      <c r="F5128">
        <v>1</v>
      </c>
      <c r="G5128" s="23" t="s">
        <v>177</v>
      </c>
      <c r="H5128">
        <v>0</v>
      </c>
      <c r="I5128">
        <v>0</v>
      </c>
      <c r="J5128" s="10">
        <v>7</v>
      </c>
      <c r="K51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128">
        <v>0</v>
      </c>
      <c r="M51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5128">
        <v>40</v>
      </c>
      <c r="O5128" s="23" t="s">
        <v>636</v>
      </c>
      <c r="P5128">
        <v>40</v>
      </c>
      <c r="Q5128" s="23" t="s">
        <v>222</v>
      </c>
    </row>
    <row r="5129" spans="1:17" x14ac:dyDescent="0.25">
      <c r="A5129" s="23" t="s">
        <v>1057</v>
      </c>
      <c r="B5129" s="23" t="s">
        <v>1056</v>
      </c>
      <c r="C5129" s="23" t="s">
        <v>176</v>
      </c>
      <c r="D5129" s="23" t="s">
        <v>591</v>
      </c>
      <c r="E5129" s="23" t="s">
        <v>592</v>
      </c>
      <c r="F5129">
        <v>1</v>
      </c>
      <c r="G5129" s="23" t="s">
        <v>177</v>
      </c>
      <c r="H5129">
        <v>1</v>
      </c>
      <c r="I5129">
        <v>6</v>
      </c>
      <c r="J5129" s="10">
        <v>8</v>
      </c>
      <c r="K51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129">
        <v>10</v>
      </c>
      <c r="M51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29">
        <v>583.77</v>
      </c>
      <c r="O5129" s="23" t="s">
        <v>593</v>
      </c>
      <c r="P5129">
        <v>583.77</v>
      </c>
      <c r="Q5129" s="23" t="s">
        <v>181</v>
      </c>
    </row>
    <row r="5130" spans="1:17" x14ac:dyDescent="0.25">
      <c r="A5130" s="23" t="s">
        <v>1096</v>
      </c>
      <c r="B5130" s="23" t="s">
        <v>1053</v>
      </c>
      <c r="C5130" s="23" t="s">
        <v>176</v>
      </c>
      <c r="D5130" s="23" t="s">
        <v>591</v>
      </c>
      <c r="E5130" s="23" t="s">
        <v>592</v>
      </c>
      <c r="F5130">
        <v>1</v>
      </c>
      <c r="G5130" s="23" t="s">
        <v>177</v>
      </c>
      <c r="H5130">
        <v>1</v>
      </c>
      <c r="I5130">
        <v>6</v>
      </c>
      <c r="J5130" s="10">
        <v>8</v>
      </c>
      <c r="K51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130">
        <v>10</v>
      </c>
      <c r="M51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0">
        <v>583.77</v>
      </c>
      <c r="O5130" s="23" t="s">
        <v>593</v>
      </c>
      <c r="P5130">
        <v>583.77</v>
      </c>
      <c r="Q5130" s="23" t="s">
        <v>181</v>
      </c>
    </row>
    <row r="5131" spans="1:17" x14ac:dyDescent="0.25">
      <c r="A5131" s="23" t="s">
        <v>1096</v>
      </c>
      <c r="B5131" s="23" t="s">
        <v>1053</v>
      </c>
      <c r="C5131" s="23" t="s">
        <v>176</v>
      </c>
      <c r="D5131" s="23" t="s">
        <v>737</v>
      </c>
      <c r="E5131" s="23" t="s">
        <v>738</v>
      </c>
      <c r="F5131">
        <v>1</v>
      </c>
      <c r="G5131" s="23" t="s">
        <v>177</v>
      </c>
      <c r="H5131">
        <v>1</v>
      </c>
      <c r="I5131">
        <v>14</v>
      </c>
      <c r="J5131" s="10">
        <v>15</v>
      </c>
      <c r="K51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131">
        <v>0</v>
      </c>
      <c r="M51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1">
        <v>400</v>
      </c>
      <c r="O5131" s="23" t="s">
        <v>668</v>
      </c>
      <c r="P5131">
        <v>400</v>
      </c>
      <c r="Q5131" s="23" t="s">
        <v>178</v>
      </c>
    </row>
    <row r="5132" spans="1:17" x14ac:dyDescent="0.25">
      <c r="A5132" s="23" t="s">
        <v>1062</v>
      </c>
      <c r="B5132" s="23" t="s">
        <v>1053</v>
      </c>
      <c r="C5132" s="23" t="s">
        <v>176</v>
      </c>
      <c r="D5132" s="23" t="s">
        <v>727</v>
      </c>
      <c r="E5132" s="23" t="s">
        <v>728</v>
      </c>
      <c r="F5132">
        <v>1</v>
      </c>
      <c r="G5132" s="23" t="s">
        <v>177</v>
      </c>
      <c r="H5132">
        <v>1</v>
      </c>
      <c r="I5132">
        <v>5</v>
      </c>
      <c r="J5132" s="10">
        <v>5</v>
      </c>
      <c r="K51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132">
        <v>0</v>
      </c>
      <c r="M51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132">
        <v>10899.55</v>
      </c>
      <c r="O5132" s="23" t="s">
        <v>635</v>
      </c>
      <c r="P5132">
        <v>10899.55</v>
      </c>
      <c r="Q5132" s="23" t="s">
        <v>179</v>
      </c>
    </row>
    <row r="5133" spans="1:17" x14ac:dyDescent="0.25">
      <c r="A5133" s="23" t="s">
        <v>1099</v>
      </c>
      <c r="B5133" s="23" t="s">
        <v>1056</v>
      </c>
      <c r="C5133" s="23" t="s">
        <v>176</v>
      </c>
      <c r="D5133" s="23" t="s">
        <v>274</v>
      </c>
      <c r="E5133" s="23" t="s">
        <v>622</v>
      </c>
      <c r="F5133">
        <v>1</v>
      </c>
      <c r="G5133" s="23" t="s">
        <v>177</v>
      </c>
      <c r="H5133">
        <v>1</v>
      </c>
      <c r="I5133">
        <v>11</v>
      </c>
      <c r="J5133" s="10">
        <v>4</v>
      </c>
      <c r="K51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133">
        <v>0</v>
      </c>
      <c r="M51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3">
        <v>1678.88</v>
      </c>
      <c r="O5133" s="23" t="s">
        <v>637</v>
      </c>
      <c r="P5133">
        <v>1678.88</v>
      </c>
      <c r="Q5133" s="23" t="s">
        <v>179</v>
      </c>
    </row>
    <row r="5134" spans="1:17" x14ac:dyDescent="0.25">
      <c r="A5134" s="23" t="s">
        <v>1096</v>
      </c>
      <c r="B5134" s="23" t="s">
        <v>1053</v>
      </c>
      <c r="C5134" s="23" t="s">
        <v>176</v>
      </c>
      <c r="D5134" s="23" t="s">
        <v>452</v>
      </c>
      <c r="E5134" s="23" t="s">
        <v>453</v>
      </c>
      <c r="F5134">
        <v>1</v>
      </c>
      <c r="G5134" s="23" t="s">
        <v>177</v>
      </c>
      <c r="H5134">
        <v>1</v>
      </c>
      <c r="I5134">
        <v>6</v>
      </c>
      <c r="J5134" s="10">
        <v>7</v>
      </c>
      <c r="K51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134">
        <v>6</v>
      </c>
      <c r="M51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5134">
        <v>1600</v>
      </c>
      <c r="O5134" s="23" t="s">
        <v>242</v>
      </c>
      <c r="P5134">
        <v>1600</v>
      </c>
      <c r="Q5134" s="23" t="s">
        <v>179</v>
      </c>
    </row>
    <row r="5135" spans="1:17" x14ac:dyDescent="0.25">
      <c r="A5135" s="23" t="s">
        <v>1055</v>
      </c>
      <c r="B5135" s="23" t="s">
        <v>1056</v>
      </c>
      <c r="C5135" s="23" t="s">
        <v>176</v>
      </c>
      <c r="D5135" s="23" t="s">
        <v>19</v>
      </c>
      <c r="E5135" s="23" t="s">
        <v>20</v>
      </c>
      <c r="F5135">
        <v>4</v>
      </c>
      <c r="G5135" s="23" t="s">
        <v>177</v>
      </c>
      <c r="H5135">
        <v>4</v>
      </c>
      <c r="I5135">
        <v>13</v>
      </c>
      <c r="J5135" s="10">
        <v>22</v>
      </c>
      <c r="K51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35">
        <v>30</v>
      </c>
      <c r="M51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5">
        <v>122.1</v>
      </c>
      <c r="O5135" s="23" t="s">
        <v>228</v>
      </c>
      <c r="P5135">
        <v>488.4</v>
      </c>
      <c r="Q5135" s="23" t="s">
        <v>222</v>
      </c>
    </row>
    <row r="5136" spans="1:17" x14ac:dyDescent="0.25">
      <c r="A5136" s="23" t="s">
        <v>1057</v>
      </c>
      <c r="B5136" s="23" t="s">
        <v>1056</v>
      </c>
      <c r="C5136" s="23" t="s">
        <v>176</v>
      </c>
      <c r="D5136" s="23" t="s">
        <v>1015</v>
      </c>
      <c r="E5136" s="23" t="s">
        <v>1016</v>
      </c>
      <c r="F5136">
        <v>1</v>
      </c>
      <c r="G5136" s="23" t="s">
        <v>177</v>
      </c>
      <c r="H5136">
        <v>1</v>
      </c>
      <c r="I5136">
        <v>8</v>
      </c>
      <c r="J5136" s="10">
        <v>4</v>
      </c>
      <c r="K51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136">
        <v>0</v>
      </c>
      <c r="M51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6">
        <v>250</v>
      </c>
      <c r="O5136" s="23" t="s">
        <v>227</v>
      </c>
      <c r="P5136">
        <v>250</v>
      </c>
      <c r="Q5136" s="23" t="s">
        <v>181</v>
      </c>
    </row>
    <row r="5137" spans="1:17" x14ac:dyDescent="0.25">
      <c r="A5137" s="23" t="s">
        <v>1057</v>
      </c>
      <c r="B5137" s="23" t="s">
        <v>1056</v>
      </c>
      <c r="C5137" s="23" t="s">
        <v>176</v>
      </c>
      <c r="D5137" s="23" t="s">
        <v>803</v>
      </c>
      <c r="E5137" s="23" t="s">
        <v>823</v>
      </c>
      <c r="F5137">
        <v>2</v>
      </c>
      <c r="G5137" s="23" t="s">
        <v>177</v>
      </c>
      <c r="H5137">
        <v>2</v>
      </c>
      <c r="I5137">
        <v>20.5</v>
      </c>
      <c r="J5137" s="10">
        <v>5</v>
      </c>
      <c r="K51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137">
        <v>0</v>
      </c>
      <c r="M51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7">
        <v>175</v>
      </c>
      <c r="O5137" s="23" t="s">
        <v>218</v>
      </c>
      <c r="P5137">
        <v>350</v>
      </c>
      <c r="Q5137" s="23" t="s">
        <v>181</v>
      </c>
    </row>
    <row r="5138" spans="1:17" x14ac:dyDescent="0.25">
      <c r="A5138" s="23" t="s">
        <v>1096</v>
      </c>
      <c r="B5138" s="23" t="s">
        <v>1053</v>
      </c>
      <c r="C5138" s="23" t="s">
        <v>176</v>
      </c>
      <c r="D5138" s="23" t="s">
        <v>753</v>
      </c>
      <c r="E5138" s="23" t="s">
        <v>754</v>
      </c>
      <c r="F5138">
        <v>1</v>
      </c>
      <c r="G5138" s="23" t="s">
        <v>177</v>
      </c>
      <c r="H5138">
        <v>1</v>
      </c>
      <c r="I5138">
        <v>5</v>
      </c>
      <c r="J5138" s="10">
        <v>2</v>
      </c>
      <c r="K51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138">
        <v>0</v>
      </c>
      <c r="M51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8">
        <v>7450</v>
      </c>
      <c r="O5138" s="23" t="s">
        <v>585</v>
      </c>
      <c r="P5138">
        <v>7450</v>
      </c>
      <c r="Q5138" s="23" t="s">
        <v>178</v>
      </c>
    </row>
    <row r="5139" spans="1:17" x14ac:dyDescent="0.25">
      <c r="A5139" s="23" t="s">
        <v>1057</v>
      </c>
      <c r="B5139" s="23" t="s">
        <v>1056</v>
      </c>
      <c r="C5139" s="23" t="s">
        <v>176</v>
      </c>
      <c r="D5139" s="23" t="s">
        <v>1083</v>
      </c>
      <c r="E5139" s="23" t="s">
        <v>1084</v>
      </c>
      <c r="F5139">
        <v>2</v>
      </c>
      <c r="G5139" s="23" t="s">
        <v>177</v>
      </c>
      <c r="H5139">
        <v>2</v>
      </c>
      <c r="I5139">
        <v>16</v>
      </c>
      <c r="J5139" s="10">
        <v>14</v>
      </c>
      <c r="K51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139">
        <v>20</v>
      </c>
      <c r="M51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39">
        <v>194</v>
      </c>
      <c r="O5139" s="23" t="s">
        <v>218</v>
      </c>
      <c r="P5139">
        <v>388</v>
      </c>
      <c r="Q5139" s="23" t="s">
        <v>178</v>
      </c>
    </row>
    <row r="5140" spans="1:17" x14ac:dyDescent="0.25">
      <c r="A5140" s="23" t="s">
        <v>1057</v>
      </c>
      <c r="B5140" s="23" t="s">
        <v>1056</v>
      </c>
      <c r="C5140" s="23" t="s">
        <v>176</v>
      </c>
      <c r="D5140" s="23" t="s">
        <v>1077</v>
      </c>
      <c r="E5140" s="23" t="s">
        <v>1078</v>
      </c>
      <c r="F5140">
        <v>1</v>
      </c>
      <c r="G5140" s="23" t="s">
        <v>177</v>
      </c>
      <c r="H5140">
        <v>1</v>
      </c>
      <c r="I5140">
        <v>4</v>
      </c>
      <c r="J5140" s="10">
        <v>7</v>
      </c>
      <c r="K51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40">
        <v>10</v>
      </c>
      <c r="M51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0">
        <v>3097.63</v>
      </c>
      <c r="O5140" s="23" t="s">
        <v>593</v>
      </c>
      <c r="P5140">
        <v>3097.63</v>
      </c>
      <c r="Q5140" s="23" t="s">
        <v>179</v>
      </c>
    </row>
    <row r="5141" spans="1:17" x14ac:dyDescent="0.25">
      <c r="A5141" s="23" t="s">
        <v>1055</v>
      </c>
      <c r="B5141" s="23" t="s">
        <v>1056</v>
      </c>
      <c r="C5141" s="23" t="s">
        <v>176</v>
      </c>
      <c r="D5141" s="23" t="s">
        <v>709</v>
      </c>
      <c r="E5141" s="23" t="s">
        <v>710</v>
      </c>
      <c r="F5141">
        <v>3</v>
      </c>
      <c r="G5141" s="23" t="s">
        <v>180</v>
      </c>
      <c r="H5141">
        <v>3</v>
      </c>
      <c r="I5141">
        <v>400</v>
      </c>
      <c r="J5141" s="10">
        <v>32</v>
      </c>
      <c r="K51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5141">
        <v>0</v>
      </c>
      <c r="M51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1">
        <v>11.5</v>
      </c>
      <c r="O5141" s="23" t="s">
        <v>636</v>
      </c>
      <c r="P5141">
        <v>34.5</v>
      </c>
      <c r="Q5141" s="23" t="s">
        <v>222</v>
      </c>
    </row>
    <row r="5142" spans="1:17" x14ac:dyDescent="0.25">
      <c r="A5142" s="23" t="s">
        <v>1099</v>
      </c>
      <c r="B5142" s="23" t="s">
        <v>1056</v>
      </c>
      <c r="C5142" s="23" t="s">
        <v>176</v>
      </c>
      <c r="D5142" s="23" t="s">
        <v>709</v>
      </c>
      <c r="E5142" s="23" t="s">
        <v>710</v>
      </c>
      <c r="F5142">
        <v>3</v>
      </c>
      <c r="G5142" s="23" t="s">
        <v>180</v>
      </c>
      <c r="H5142">
        <v>3</v>
      </c>
      <c r="I5142">
        <v>400</v>
      </c>
      <c r="J5142" s="10">
        <v>32</v>
      </c>
      <c r="K51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5142">
        <v>0</v>
      </c>
      <c r="M51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2">
        <v>11.5</v>
      </c>
      <c r="O5142" s="23" t="s">
        <v>636</v>
      </c>
      <c r="P5142">
        <v>34.5</v>
      </c>
      <c r="Q5142" s="23" t="s">
        <v>222</v>
      </c>
    </row>
    <row r="5143" spans="1:17" x14ac:dyDescent="0.25">
      <c r="A5143" s="23" t="s">
        <v>1057</v>
      </c>
      <c r="B5143" s="23" t="s">
        <v>1056</v>
      </c>
      <c r="C5143" s="23" t="s">
        <v>176</v>
      </c>
      <c r="D5143" s="23" t="s">
        <v>50</v>
      </c>
      <c r="E5143" s="23" t="s">
        <v>51</v>
      </c>
      <c r="F5143">
        <v>1</v>
      </c>
      <c r="G5143" s="23" t="s">
        <v>177</v>
      </c>
      <c r="H5143">
        <v>1</v>
      </c>
      <c r="I5143">
        <v>4</v>
      </c>
      <c r="J5143" s="10">
        <v>10</v>
      </c>
      <c r="K51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143">
        <v>0</v>
      </c>
      <c r="M51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5143">
        <v>5206.1400000000003</v>
      </c>
      <c r="O5143" s="23" t="s">
        <v>216</v>
      </c>
      <c r="P5143">
        <v>5206.1400000000003</v>
      </c>
      <c r="Q5143" s="23" t="s">
        <v>222</v>
      </c>
    </row>
    <row r="5144" spans="1:17" x14ac:dyDescent="0.25">
      <c r="A5144" s="23" t="s">
        <v>1096</v>
      </c>
      <c r="B5144" s="23" t="s">
        <v>1053</v>
      </c>
      <c r="C5144" s="23" t="s">
        <v>176</v>
      </c>
      <c r="D5144" s="23" t="s">
        <v>553</v>
      </c>
      <c r="E5144" s="23" t="s">
        <v>554</v>
      </c>
      <c r="F5144">
        <v>0.8</v>
      </c>
      <c r="G5144" s="23" t="s">
        <v>177</v>
      </c>
      <c r="H5144">
        <v>0</v>
      </c>
      <c r="I5144">
        <v>14</v>
      </c>
      <c r="J5144" s="10">
        <v>9.9999999999999964</v>
      </c>
      <c r="K51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144">
        <v>0</v>
      </c>
      <c r="M51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5144">
        <v>215</v>
      </c>
      <c r="O5144" s="23" t="s">
        <v>242</v>
      </c>
      <c r="P5144">
        <v>172</v>
      </c>
      <c r="Q5144" s="23" t="s">
        <v>181</v>
      </c>
    </row>
    <row r="5145" spans="1:17" x14ac:dyDescent="0.25">
      <c r="A5145" s="23" t="s">
        <v>1146</v>
      </c>
      <c r="B5145" s="23" t="s">
        <v>1145</v>
      </c>
      <c r="C5145" s="23" t="s">
        <v>176</v>
      </c>
      <c r="D5145" s="23" t="s">
        <v>401</v>
      </c>
      <c r="E5145" s="23" t="s">
        <v>402</v>
      </c>
      <c r="F5145">
        <v>1</v>
      </c>
      <c r="G5145" s="23" t="s">
        <v>177</v>
      </c>
      <c r="H5145">
        <v>0</v>
      </c>
      <c r="I5145">
        <v>31</v>
      </c>
      <c r="J5145" s="10">
        <v>12</v>
      </c>
      <c r="K51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145">
        <v>0</v>
      </c>
      <c r="M51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5">
        <v>15</v>
      </c>
      <c r="O5145" s="23" t="s">
        <v>221</v>
      </c>
      <c r="P5145">
        <v>15</v>
      </c>
      <c r="Q5145" s="23" t="s">
        <v>222</v>
      </c>
    </row>
    <row r="5146" spans="1:17" x14ac:dyDescent="0.25">
      <c r="A5146" s="23" t="s">
        <v>1057</v>
      </c>
      <c r="B5146" s="23" t="s">
        <v>1056</v>
      </c>
      <c r="C5146" s="23" t="s">
        <v>176</v>
      </c>
      <c r="D5146" s="23" t="s">
        <v>929</v>
      </c>
      <c r="E5146" s="23" t="s">
        <v>930</v>
      </c>
      <c r="F5146">
        <v>3</v>
      </c>
      <c r="G5146" s="23" t="s">
        <v>177</v>
      </c>
      <c r="H5146">
        <v>3</v>
      </c>
      <c r="I5146">
        <v>16</v>
      </c>
      <c r="J5146" s="10">
        <v>9</v>
      </c>
      <c r="K51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146">
        <v>0</v>
      </c>
      <c r="M51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6">
        <v>110</v>
      </c>
      <c r="O5146" s="23" t="s">
        <v>931</v>
      </c>
      <c r="P5146">
        <v>330</v>
      </c>
      <c r="Q5146" s="23" t="s">
        <v>178</v>
      </c>
    </row>
    <row r="5147" spans="1:17" x14ac:dyDescent="0.25">
      <c r="A5147" s="23" t="s">
        <v>1062</v>
      </c>
      <c r="B5147" s="23" t="s">
        <v>1053</v>
      </c>
      <c r="C5147" s="23" t="s">
        <v>176</v>
      </c>
      <c r="D5147" s="23" t="s">
        <v>690</v>
      </c>
      <c r="E5147" s="23" t="s">
        <v>691</v>
      </c>
      <c r="F5147">
        <v>1</v>
      </c>
      <c r="G5147" s="23" t="s">
        <v>177</v>
      </c>
      <c r="H5147">
        <v>1</v>
      </c>
      <c r="I5147">
        <v>25</v>
      </c>
      <c r="J5147" s="10">
        <v>3</v>
      </c>
      <c r="K51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147">
        <v>0</v>
      </c>
      <c r="M51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7">
        <v>871.93</v>
      </c>
      <c r="O5147" s="23" t="s">
        <v>692</v>
      </c>
      <c r="P5147">
        <v>871.93</v>
      </c>
      <c r="Q5147" s="23" t="s">
        <v>178</v>
      </c>
    </row>
    <row r="5148" spans="1:17" x14ac:dyDescent="0.25">
      <c r="A5148" s="23" t="s">
        <v>1062</v>
      </c>
      <c r="B5148" s="23" t="s">
        <v>1053</v>
      </c>
      <c r="C5148" s="23" t="s">
        <v>176</v>
      </c>
      <c r="D5148" s="23" t="s">
        <v>1083</v>
      </c>
      <c r="E5148" s="23" t="s">
        <v>1084</v>
      </c>
      <c r="F5148">
        <v>2</v>
      </c>
      <c r="G5148" s="23" t="s">
        <v>177</v>
      </c>
      <c r="H5148">
        <v>2</v>
      </c>
      <c r="I5148">
        <v>16</v>
      </c>
      <c r="J5148" s="10">
        <v>14</v>
      </c>
      <c r="K51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148">
        <v>20</v>
      </c>
      <c r="M51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8">
        <v>194</v>
      </c>
      <c r="O5148" s="23" t="s">
        <v>218</v>
      </c>
      <c r="P5148">
        <v>388</v>
      </c>
      <c r="Q5148" s="23" t="s">
        <v>178</v>
      </c>
    </row>
    <row r="5149" spans="1:17" x14ac:dyDescent="0.25">
      <c r="A5149" s="23" t="s">
        <v>1099</v>
      </c>
      <c r="B5149" s="23" t="s">
        <v>1056</v>
      </c>
      <c r="C5149" s="23" t="s">
        <v>176</v>
      </c>
      <c r="D5149" s="23" t="s">
        <v>278</v>
      </c>
      <c r="E5149" s="23" t="s">
        <v>316</v>
      </c>
      <c r="F5149">
        <v>1</v>
      </c>
      <c r="G5149" s="23" t="s">
        <v>177</v>
      </c>
      <c r="H5149">
        <v>1</v>
      </c>
      <c r="I5149">
        <v>28</v>
      </c>
      <c r="J5149" s="10">
        <v>4</v>
      </c>
      <c r="K51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149">
        <v>0</v>
      </c>
      <c r="M51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49">
        <v>290.62</v>
      </c>
      <c r="O5149" s="23" t="s">
        <v>637</v>
      </c>
      <c r="P5149">
        <v>290.62</v>
      </c>
      <c r="Q5149" s="23" t="s">
        <v>179</v>
      </c>
    </row>
    <row r="5150" spans="1:17" x14ac:dyDescent="0.25">
      <c r="A5150" s="23" t="s">
        <v>1144</v>
      </c>
      <c r="B5150" s="23" t="s">
        <v>1145</v>
      </c>
      <c r="C5150" s="23" t="s">
        <v>176</v>
      </c>
      <c r="D5150" s="23" t="s">
        <v>278</v>
      </c>
      <c r="E5150" s="23" t="s">
        <v>316</v>
      </c>
      <c r="F5150">
        <v>1</v>
      </c>
      <c r="G5150" s="23" t="s">
        <v>177</v>
      </c>
      <c r="H5150">
        <v>1</v>
      </c>
      <c r="I5150">
        <v>28</v>
      </c>
      <c r="J5150" s="10">
        <v>4</v>
      </c>
      <c r="K51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150">
        <v>0</v>
      </c>
      <c r="M51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0">
        <v>290.62</v>
      </c>
      <c r="O5150" s="23" t="s">
        <v>637</v>
      </c>
      <c r="P5150">
        <v>290.62</v>
      </c>
      <c r="Q5150" s="23" t="s">
        <v>179</v>
      </c>
    </row>
    <row r="5151" spans="1:17" x14ac:dyDescent="0.25">
      <c r="A5151" s="23" t="s">
        <v>1099</v>
      </c>
      <c r="B5151" s="23" t="s">
        <v>1056</v>
      </c>
      <c r="C5151" s="23" t="s">
        <v>176</v>
      </c>
      <c r="D5151" s="23" t="s">
        <v>1077</v>
      </c>
      <c r="E5151" s="23" t="s">
        <v>1078</v>
      </c>
      <c r="F5151">
        <v>1</v>
      </c>
      <c r="G5151" s="23" t="s">
        <v>177</v>
      </c>
      <c r="H5151">
        <v>1</v>
      </c>
      <c r="I5151">
        <v>4</v>
      </c>
      <c r="J5151" s="10">
        <v>7</v>
      </c>
      <c r="K51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151">
        <v>10</v>
      </c>
      <c r="M51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1">
        <v>3097.63</v>
      </c>
      <c r="O5151" s="23" t="s">
        <v>593</v>
      </c>
      <c r="P5151">
        <v>3097.63</v>
      </c>
      <c r="Q5151" s="23" t="s">
        <v>179</v>
      </c>
    </row>
    <row r="5152" spans="1:17" x14ac:dyDescent="0.25">
      <c r="A5152" s="23" t="s">
        <v>1062</v>
      </c>
      <c r="B5152" s="23" t="s">
        <v>1053</v>
      </c>
      <c r="C5152" s="23" t="s">
        <v>176</v>
      </c>
      <c r="D5152" s="23" t="s">
        <v>401</v>
      </c>
      <c r="E5152" s="23" t="s">
        <v>402</v>
      </c>
      <c r="F5152">
        <v>2</v>
      </c>
      <c r="G5152" s="23" t="s">
        <v>177</v>
      </c>
      <c r="H5152">
        <v>2</v>
      </c>
      <c r="I5152">
        <v>31</v>
      </c>
      <c r="J5152" s="10">
        <v>12</v>
      </c>
      <c r="K51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152">
        <v>0</v>
      </c>
      <c r="M51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2">
        <v>15</v>
      </c>
      <c r="O5152" s="23" t="s">
        <v>221</v>
      </c>
      <c r="P5152">
        <v>30</v>
      </c>
      <c r="Q5152" s="23" t="s">
        <v>222</v>
      </c>
    </row>
    <row r="5153" spans="1:17" x14ac:dyDescent="0.25">
      <c r="A5153" s="23" t="s">
        <v>1099</v>
      </c>
      <c r="B5153" s="23" t="s">
        <v>1056</v>
      </c>
      <c r="C5153" s="23" t="s">
        <v>176</v>
      </c>
      <c r="D5153" s="23" t="s">
        <v>700</v>
      </c>
      <c r="E5153" s="23" t="s">
        <v>701</v>
      </c>
      <c r="F5153">
        <v>2</v>
      </c>
      <c r="G5153" s="23" t="s">
        <v>177</v>
      </c>
      <c r="H5153">
        <v>2</v>
      </c>
      <c r="I5153">
        <v>136</v>
      </c>
      <c r="J5153" s="10">
        <v>6</v>
      </c>
      <c r="K51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5153">
        <v>0</v>
      </c>
      <c r="M51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3">
        <v>39.6</v>
      </c>
      <c r="O5153" s="23" t="s">
        <v>221</v>
      </c>
      <c r="P5153">
        <v>79.2</v>
      </c>
      <c r="Q5153" s="23" t="s">
        <v>222</v>
      </c>
    </row>
    <row r="5154" spans="1:17" x14ac:dyDescent="0.25">
      <c r="A5154" s="23" t="s">
        <v>1062</v>
      </c>
      <c r="B5154" s="23" t="s">
        <v>1053</v>
      </c>
      <c r="C5154" s="23" t="s">
        <v>176</v>
      </c>
      <c r="D5154" s="23" t="s">
        <v>700</v>
      </c>
      <c r="E5154" s="23" t="s">
        <v>701</v>
      </c>
      <c r="F5154">
        <v>1</v>
      </c>
      <c r="G5154" s="23" t="s">
        <v>177</v>
      </c>
      <c r="H5154">
        <v>1</v>
      </c>
      <c r="I5154">
        <v>136</v>
      </c>
      <c r="J5154" s="10">
        <v>6</v>
      </c>
      <c r="K51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5154">
        <v>0</v>
      </c>
      <c r="M51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4">
        <v>39.6</v>
      </c>
      <c r="O5154" s="23" t="s">
        <v>221</v>
      </c>
      <c r="P5154">
        <v>39.6</v>
      </c>
      <c r="Q5154" s="23" t="s">
        <v>222</v>
      </c>
    </row>
    <row r="5155" spans="1:17" x14ac:dyDescent="0.25">
      <c r="A5155" s="23" t="s">
        <v>1143</v>
      </c>
      <c r="B5155" s="23" t="s">
        <v>1054</v>
      </c>
      <c r="C5155" s="23" t="s">
        <v>176</v>
      </c>
      <c r="D5155" s="23" t="s">
        <v>392</v>
      </c>
      <c r="E5155" s="23" t="s">
        <v>393</v>
      </c>
      <c r="F5155">
        <v>10</v>
      </c>
      <c r="G5155" s="23" t="s">
        <v>177</v>
      </c>
      <c r="H5155">
        <v>0</v>
      </c>
      <c r="I5155">
        <v>0</v>
      </c>
      <c r="J5155" s="10">
        <v>24.050000000000068</v>
      </c>
      <c r="K51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155">
        <v>34</v>
      </c>
      <c r="M51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155">
        <v>1691.67</v>
      </c>
      <c r="O5155" s="23" t="s">
        <v>224</v>
      </c>
      <c r="P5155">
        <v>16916.7</v>
      </c>
      <c r="Q5155" s="23" t="s">
        <v>182</v>
      </c>
    </row>
    <row r="5156" spans="1:17" x14ac:dyDescent="0.25">
      <c r="A5156" s="23" t="s">
        <v>1057</v>
      </c>
      <c r="B5156" s="23" t="s">
        <v>1056</v>
      </c>
      <c r="C5156" s="23" t="s">
        <v>176</v>
      </c>
      <c r="D5156" s="23" t="s">
        <v>509</v>
      </c>
      <c r="E5156" s="23" t="s">
        <v>510</v>
      </c>
      <c r="F5156">
        <v>1</v>
      </c>
      <c r="G5156" s="23" t="s">
        <v>177</v>
      </c>
      <c r="H5156">
        <v>1</v>
      </c>
      <c r="I5156">
        <v>6</v>
      </c>
      <c r="J5156" s="10">
        <v>9</v>
      </c>
      <c r="K51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56">
        <v>7</v>
      </c>
      <c r="M51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6">
        <v>1535.25</v>
      </c>
      <c r="O5156" s="23" t="s">
        <v>508</v>
      </c>
      <c r="P5156">
        <v>1535.25</v>
      </c>
      <c r="Q5156" s="23" t="s">
        <v>222</v>
      </c>
    </row>
    <row r="5157" spans="1:17" x14ac:dyDescent="0.25">
      <c r="A5157" s="23" t="s">
        <v>1094</v>
      </c>
      <c r="B5157" s="23" t="s">
        <v>1095</v>
      </c>
      <c r="C5157" s="23" t="s">
        <v>176</v>
      </c>
      <c r="D5157" s="23" t="s">
        <v>509</v>
      </c>
      <c r="E5157" s="23" t="s">
        <v>510</v>
      </c>
      <c r="F5157">
        <v>1</v>
      </c>
      <c r="G5157" s="23" t="s">
        <v>177</v>
      </c>
      <c r="H5157">
        <v>0</v>
      </c>
      <c r="I5157">
        <v>6</v>
      </c>
      <c r="J5157" s="10">
        <v>9</v>
      </c>
      <c r="K51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57">
        <v>7</v>
      </c>
      <c r="M51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7">
        <v>1535.25</v>
      </c>
      <c r="O5157" s="23" t="s">
        <v>508</v>
      </c>
      <c r="P5157">
        <v>1535.25</v>
      </c>
      <c r="Q5157" s="23" t="s">
        <v>222</v>
      </c>
    </row>
    <row r="5158" spans="1:17" x14ac:dyDescent="0.25">
      <c r="A5158" s="23" t="s">
        <v>1096</v>
      </c>
      <c r="B5158" s="23" t="s">
        <v>1053</v>
      </c>
      <c r="C5158" s="23" t="s">
        <v>176</v>
      </c>
      <c r="D5158" s="23" t="s">
        <v>509</v>
      </c>
      <c r="E5158" s="23" t="s">
        <v>510</v>
      </c>
      <c r="F5158">
        <v>1</v>
      </c>
      <c r="G5158" s="23" t="s">
        <v>177</v>
      </c>
      <c r="H5158">
        <v>1</v>
      </c>
      <c r="I5158">
        <v>6</v>
      </c>
      <c r="J5158" s="10">
        <v>9</v>
      </c>
      <c r="K51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58">
        <v>7</v>
      </c>
      <c r="M51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8">
        <v>1535.25</v>
      </c>
      <c r="O5158" s="23" t="s">
        <v>508</v>
      </c>
      <c r="P5158">
        <v>1535.25</v>
      </c>
      <c r="Q5158" s="23" t="s">
        <v>222</v>
      </c>
    </row>
    <row r="5159" spans="1:17" x14ac:dyDescent="0.25">
      <c r="A5159" s="23" t="s">
        <v>1142</v>
      </c>
      <c r="B5159" s="23" t="s">
        <v>1054</v>
      </c>
      <c r="C5159" s="23" t="s">
        <v>176</v>
      </c>
      <c r="D5159" s="23" t="s">
        <v>793</v>
      </c>
      <c r="E5159" s="23" t="s">
        <v>137</v>
      </c>
      <c r="F5159">
        <v>8</v>
      </c>
      <c r="G5159" s="23" t="s">
        <v>177</v>
      </c>
      <c r="H5159">
        <v>0</v>
      </c>
      <c r="I5159">
        <v>524</v>
      </c>
      <c r="J5159" s="10">
        <v>352</v>
      </c>
      <c r="K51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159">
        <v>0</v>
      </c>
      <c r="M51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59">
        <v>8.1</v>
      </c>
      <c r="O5159" s="23" t="s">
        <v>505</v>
      </c>
      <c r="P5159">
        <v>64.8</v>
      </c>
      <c r="Q5159" s="23" t="s">
        <v>222</v>
      </c>
    </row>
    <row r="5160" spans="1:17" x14ac:dyDescent="0.25">
      <c r="A5160" s="23" t="s">
        <v>1094</v>
      </c>
      <c r="B5160" s="23" t="s">
        <v>1095</v>
      </c>
      <c r="C5160" s="23" t="s">
        <v>176</v>
      </c>
      <c r="D5160" s="23" t="s">
        <v>513</v>
      </c>
      <c r="E5160" s="23" t="s">
        <v>514</v>
      </c>
      <c r="F5160">
        <v>2</v>
      </c>
      <c r="G5160" s="23" t="s">
        <v>177</v>
      </c>
      <c r="H5160">
        <v>0</v>
      </c>
      <c r="I5160">
        <v>6</v>
      </c>
      <c r="J5160" s="10">
        <v>8</v>
      </c>
      <c r="K51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160">
        <v>0</v>
      </c>
      <c r="M51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160">
        <v>1603.33</v>
      </c>
      <c r="O5160" s="23" t="s">
        <v>264</v>
      </c>
      <c r="P5160">
        <v>3206.66</v>
      </c>
      <c r="Q5160" s="23" t="s">
        <v>222</v>
      </c>
    </row>
    <row r="5161" spans="1:17" x14ac:dyDescent="0.25">
      <c r="A5161" s="23" t="s">
        <v>1062</v>
      </c>
      <c r="B5161" s="23" t="s">
        <v>1053</v>
      </c>
      <c r="C5161" s="23" t="s">
        <v>176</v>
      </c>
      <c r="D5161" s="23" t="s">
        <v>687</v>
      </c>
      <c r="E5161" s="23" t="s">
        <v>688</v>
      </c>
      <c r="F5161">
        <v>1</v>
      </c>
      <c r="G5161" s="23" t="s">
        <v>177</v>
      </c>
      <c r="H5161">
        <v>0</v>
      </c>
      <c r="I5161">
        <v>0</v>
      </c>
      <c r="J5161" s="10">
        <v>1</v>
      </c>
      <c r="K51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61">
        <v>0</v>
      </c>
      <c r="M51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5161">
        <v>1541.99</v>
      </c>
      <c r="O5161" s="23" t="s">
        <v>689</v>
      </c>
      <c r="P5161">
        <v>1541.99</v>
      </c>
      <c r="Q5161" s="23" t="s">
        <v>178</v>
      </c>
    </row>
    <row r="5162" spans="1:17" x14ac:dyDescent="0.25">
      <c r="A5162" s="23" t="s">
        <v>1098</v>
      </c>
      <c r="B5162" s="23" t="s">
        <v>1053</v>
      </c>
      <c r="C5162" s="23" t="s">
        <v>176</v>
      </c>
      <c r="D5162" s="23" t="s">
        <v>687</v>
      </c>
      <c r="E5162" s="23" t="s">
        <v>688</v>
      </c>
      <c r="F5162">
        <v>1</v>
      </c>
      <c r="G5162" s="23" t="s">
        <v>177</v>
      </c>
      <c r="H5162">
        <v>0</v>
      </c>
      <c r="I5162">
        <v>0</v>
      </c>
      <c r="J5162" s="10">
        <v>1</v>
      </c>
      <c r="K51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62">
        <v>0</v>
      </c>
      <c r="M51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5162">
        <v>1541.99</v>
      </c>
      <c r="O5162" s="23" t="s">
        <v>689</v>
      </c>
      <c r="P5162">
        <v>1541.99</v>
      </c>
      <c r="Q5162" s="23" t="s">
        <v>178</v>
      </c>
    </row>
    <row r="5163" spans="1:17" x14ac:dyDescent="0.25">
      <c r="A5163" s="23" t="s">
        <v>1096</v>
      </c>
      <c r="B5163" s="23" t="s">
        <v>1053</v>
      </c>
      <c r="C5163" s="23" t="s">
        <v>176</v>
      </c>
      <c r="D5163" s="23" t="s">
        <v>793</v>
      </c>
      <c r="E5163" s="23" t="s">
        <v>137</v>
      </c>
      <c r="F5163">
        <v>8</v>
      </c>
      <c r="G5163" s="23" t="s">
        <v>177</v>
      </c>
      <c r="H5163">
        <v>0</v>
      </c>
      <c r="I5163">
        <v>524</v>
      </c>
      <c r="J5163" s="10">
        <v>352</v>
      </c>
      <c r="K51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163">
        <v>0</v>
      </c>
      <c r="M51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3">
        <v>8.1</v>
      </c>
      <c r="O5163" s="23" t="s">
        <v>505</v>
      </c>
      <c r="P5163">
        <v>64.8</v>
      </c>
      <c r="Q5163" s="23" t="s">
        <v>222</v>
      </c>
    </row>
    <row r="5164" spans="1:17" x14ac:dyDescent="0.25">
      <c r="A5164" s="23" t="s">
        <v>1143</v>
      </c>
      <c r="B5164" s="23" t="s">
        <v>1054</v>
      </c>
      <c r="C5164" s="23" t="s">
        <v>176</v>
      </c>
      <c r="D5164" s="23" t="s">
        <v>793</v>
      </c>
      <c r="E5164" s="23" t="s">
        <v>137</v>
      </c>
      <c r="F5164">
        <v>8</v>
      </c>
      <c r="G5164" s="23" t="s">
        <v>177</v>
      </c>
      <c r="H5164">
        <v>0</v>
      </c>
      <c r="I5164">
        <v>524</v>
      </c>
      <c r="J5164" s="10">
        <v>352</v>
      </c>
      <c r="K51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164">
        <v>0</v>
      </c>
      <c r="M51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4">
        <v>8.1</v>
      </c>
      <c r="O5164" s="23" t="s">
        <v>505</v>
      </c>
      <c r="P5164">
        <v>64.8</v>
      </c>
      <c r="Q5164" s="23" t="s">
        <v>222</v>
      </c>
    </row>
    <row r="5165" spans="1:17" x14ac:dyDescent="0.25">
      <c r="A5165" s="23" t="s">
        <v>1142</v>
      </c>
      <c r="B5165" s="23" t="s">
        <v>1054</v>
      </c>
      <c r="C5165" s="23" t="s">
        <v>176</v>
      </c>
      <c r="D5165" s="23" t="s">
        <v>513</v>
      </c>
      <c r="E5165" s="23" t="s">
        <v>514</v>
      </c>
      <c r="F5165">
        <v>2</v>
      </c>
      <c r="G5165" s="23" t="s">
        <v>177</v>
      </c>
      <c r="H5165">
        <v>0</v>
      </c>
      <c r="I5165">
        <v>6</v>
      </c>
      <c r="J5165" s="10">
        <v>8</v>
      </c>
      <c r="K51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165">
        <v>0</v>
      </c>
      <c r="M51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165">
        <v>1603.33</v>
      </c>
      <c r="O5165" s="23" t="s">
        <v>264</v>
      </c>
      <c r="P5165">
        <v>3206.66</v>
      </c>
      <c r="Q5165" s="23" t="s">
        <v>222</v>
      </c>
    </row>
    <row r="5166" spans="1:17" x14ac:dyDescent="0.25">
      <c r="A5166" s="23" t="s">
        <v>1096</v>
      </c>
      <c r="B5166" s="23" t="s">
        <v>1053</v>
      </c>
      <c r="C5166" s="23" t="s">
        <v>176</v>
      </c>
      <c r="D5166" s="23" t="s">
        <v>513</v>
      </c>
      <c r="E5166" s="23" t="s">
        <v>514</v>
      </c>
      <c r="F5166">
        <v>2</v>
      </c>
      <c r="G5166" s="23" t="s">
        <v>177</v>
      </c>
      <c r="H5166">
        <v>2</v>
      </c>
      <c r="I5166">
        <v>6</v>
      </c>
      <c r="J5166" s="10">
        <v>8</v>
      </c>
      <c r="K51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166">
        <v>0</v>
      </c>
      <c r="M51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166">
        <v>1603.33</v>
      </c>
      <c r="O5166" s="23" t="s">
        <v>264</v>
      </c>
      <c r="P5166">
        <v>3206.66</v>
      </c>
      <c r="Q5166" s="23" t="s">
        <v>222</v>
      </c>
    </row>
    <row r="5167" spans="1:17" x14ac:dyDescent="0.25">
      <c r="A5167" s="23" t="s">
        <v>1094</v>
      </c>
      <c r="B5167" s="23" t="s">
        <v>1095</v>
      </c>
      <c r="C5167" s="23" t="s">
        <v>176</v>
      </c>
      <c r="D5167" s="23" t="s">
        <v>687</v>
      </c>
      <c r="E5167" s="23" t="s">
        <v>688</v>
      </c>
      <c r="F5167">
        <v>1</v>
      </c>
      <c r="G5167" s="23" t="s">
        <v>177</v>
      </c>
      <c r="H5167">
        <v>0</v>
      </c>
      <c r="I5167">
        <v>0</v>
      </c>
      <c r="J5167" s="10">
        <v>1</v>
      </c>
      <c r="K51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67">
        <v>0</v>
      </c>
      <c r="M51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5167">
        <v>1541.99</v>
      </c>
      <c r="O5167" s="23" t="s">
        <v>689</v>
      </c>
      <c r="P5167">
        <v>1541.99</v>
      </c>
      <c r="Q5167" s="23" t="s">
        <v>178</v>
      </c>
    </row>
    <row r="5168" spans="1:17" x14ac:dyDescent="0.25">
      <c r="A5168" s="23" t="s">
        <v>1096</v>
      </c>
      <c r="B5168" s="23" t="s">
        <v>1053</v>
      </c>
      <c r="C5168" s="23" t="s">
        <v>176</v>
      </c>
      <c r="D5168" s="23" t="s">
        <v>687</v>
      </c>
      <c r="E5168" s="23" t="s">
        <v>688</v>
      </c>
      <c r="F5168">
        <v>1</v>
      </c>
      <c r="G5168" s="23" t="s">
        <v>177</v>
      </c>
      <c r="H5168">
        <v>0</v>
      </c>
      <c r="I5168">
        <v>0</v>
      </c>
      <c r="J5168" s="10">
        <v>1</v>
      </c>
      <c r="K51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68">
        <v>0</v>
      </c>
      <c r="M51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5168">
        <v>1541.99</v>
      </c>
      <c r="O5168" s="23" t="s">
        <v>689</v>
      </c>
      <c r="P5168">
        <v>1541.99</v>
      </c>
      <c r="Q5168" s="23" t="s">
        <v>178</v>
      </c>
    </row>
    <row r="5169" spans="1:17" x14ac:dyDescent="0.25">
      <c r="A5169" s="23" t="s">
        <v>1099</v>
      </c>
      <c r="B5169" s="23" t="s">
        <v>1056</v>
      </c>
      <c r="C5169" s="23" t="s">
        <v>176</v>
      </c>
      <c r="D5169" s="23" t="s">
        <v>906</v>
      </c>
      <c r="E5169" s="23" t="s">
        <v>907</v>
      </c>
      <c r="F5169">
        <v>1</v>
      </c>
      <c r="G5169" s="23" t="s">
        <v>177</v>
      </c>
      <c r="H5169">
        <v>1</v>
      </c>
      <c r="I5169">
        <v>13</v>
      </c>
      <c r="J5169" s="10">
        <v>6</v>
      </c>
      <c r="K51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169">
        <v>0</v>
      </c>
      <c r="M51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69">
        <v>344.14</v>
      </c>
      <c r="O5169" s="23" t="s">
        <v>908</v>
      </c>
      <c r="P5169">
        <v>344.14</v>
      </c>
      <c r="Q5169" s="23" t="s">
        <v>181</v>
      </c>
    </row>
    <row r="5170" spans="1:17" x14ac:dyDescent="0.25">
      <c r="A5170" s="23" t="s">
        <v>1057</v>
      </c>
      <c r="B5170" s="23" t="s">
        <v>1056</v>
      </c>
      <c r="C5170" s="23" t="s">
        <v>176</v>
      </c>
      <c r="D5170" s="23" t="s">
        <v>292</v>
      </c>
      <c r="E5170" s="23" t="s">
        <v>293</v>
      </c>
      <c r="F5170">
        <v>12</v>
      </c>
      <c r="G5170" s="23" t="s">
        <v>177</v>
      </c>
      <c r="H5170">
        <v>12</v>
      </c>
      <c r="I5170">
        <v>133</v>
      </c>
      <c r="J5170" s="10">
        <v>46</v>
      </c>
      <c r="K51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170">
        <v>0</v>
      </c>
      <c r="M51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0">
        <v>3.75</v>
      </c>
      <c r="O5170" s="23" t="s">
        <v>629</v>
      </c>
      <c r="P5170">
        <v>45</v>
      </c>
      <c r="Q5170" s="23" t="s">
        <v>181</v>
      </c>
    </row>
    <row r="5171" spans="1:17" x14ac:dyDescent="0.25">
      <c r="A5171" s="23" t="s">
        <v>1058</v>
      </c>
      <c r="B5171" s="23" t="s">
        <v>1059</v>
      </c>
      <c r="C5171" s="23" t="s">
        <v>176</v>
      </c>
      <c r="D5171" s="23" t="s">
        <v>301</v>
      </c>
      <c r="E5171" s="23" t="s">
        <v>302</v>
      </c>
      <c r="F5171">
        <v>26</v>
      </c>
      <c r="G5171" s="23" t="s">
        <v>177</v>
      </c>
      <c r="H5171">
        <v>26</v>
      </c>
      <c r="I5171">
        <v>180</v>
      </c>
      <c r="J5171" s="10">
        <v>80</v>
      </c>
      <c r="K51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171">
        <v>0</v>
      </c>
      <c r="M51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171">
        <v>240</v>
      </c>
      <c r="O5171" s="23" t="s">
        <v>242</v>
      </c>
      <c r="P5171">
        <v>6240</v>
      </c>
      <c r="Q5171" s="23" t="s">
        <v>181</v>
      </c>
    </row>
    <row r="5172" spans="1:17" x14ac:dyDescent="0.25">
      <c r="A5172" s="23" t="s">
        <v>1055</v>
      </c>
      <c r="B5172" s="23" t="s">
        <v>1056</v>
      </c>
      <c r="C5172" s="23" t="s">
        <v>176</v>
      </c>
      <c r="D5172" s="23" t="s">
        <v>339</v>
      </c>
      <c r="E5172" s="23" t="s">
        <v>340</v>
      </c>
      <c r="F5172">
        <v>2.4700000000000002</v>
      </c>
      <c r="G5172" s="23" t="s">
        <v>186</v>
      </c>
      <c r="H5172">
        <v>2.4700000000000002</v>
      </c>
      <c r="I5172">
        <v>0</v>
      </c>
      <c r="J5172" s="10">
        <v>154.95000000000007</v>
      </c>
      <c r="K51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172">
        <v>60</v>
      </c>
      <c r="M51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172">
        <v>194.75</v>
      </c>
      <c r="O5172" s="23" t="s">
        <v>491</v>
      </c>
      <c r="P5172">
        <v>481.03250000000003</v>
      </c>
      <c r="Q5172" s="23" t="s">
        <v>184</v>
      </c>
    </row>
    <row r="5173" spans="1:17" x14ac:dyDescent="0.25">
      <c r="A5173" s="23" t="s">
        <v>1057</v>
      </c>
      <c r="B5173" s="23" t="s">
        <v>1056</v>
      </c>
      <c r="C5173" s="23" t="s">
        <v>176</v>
      </c>
      <c r="D5173" s="23" t="s">
        <v>339</v>
      </c>
      <c r="E5173" s="23" t="s">
        <v>340</v>
      </c>
      <c r="F5173">
        <v>2.4700000000000002</v>
      </c>
      <c r="G5173" s="23" t="s">
        <v>186</v>
      </c>
      <c r="H5173">
        <v>2.4700000000000002</v>
      </c>
      <c r="I5173">
        <v>0</v>
      </c>
      <c r="J5173" s="10">
        <v>154.95000000000007</v>
      </c>
      <c r="K51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173">
        <v>60</v>
      </c>
      <c r="M51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173">
        <v>194.75</v>
      </c>
      <c r="O5173" s="23" t="s">
        <v>491</v>
      </c>
      <c r="P5173">
        <v>481.03250000000003</v>
      </c>
      <c r="Q5173" s="23" t="s">
        <v>184</v>
      </c>
    </row>
    <row r="5174" spans="1:17" x14ac:dyDescent="0.25">
      <c r="A5174" s="23" t="s">
        <v>1096</v>
      </c>
      <c r="B5174" s="23" t="s">
        <v>1053</v>
      </c>
      <c r="C5174" s="23" t="s">
        <v>176</v>
      </c>
      <c r="D5174" s="23" t="s">
        <v>117</v>
      </c>
      <c r="E5174" s="23" t="s">
        <v>118</v>
      </c>
      <c r="F5174">
        <v>124.53999999999999</v>
      </c>
      <c r="G5174" s="23" t="s">
        <v>186</v>
      </c>
      <c r="H5174">
        <v>124.53999999999999</v>
      </c>
      <c r="I5174">
        <v>1840</v>
      </c>
      <c r="J5174" s="10">
        <v>973.62000000000012</v>
      </c>
      <c r="K51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174">
        <v>920</v>
      </c>
      <c r="M51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4">
        <v>94.86</v>
      </c>
      <c r="O5174" s="23" t="s">
        <v>491</v>
      </c>
      <c r="P5174">
        <v>11813.864399999999</v>
      </c>
      <c r="Q5174" s="23" t="s">
        <v>184</v>
      </c>
    </row>
    <row r="5175" spans="1:17" x14ac:dyDescent="0.25">
      <c r="A5175" s="23" t="s">
        <v>1100</v>
      </c>
      <c r="B5175" s="23" t="s">
        <v>1101</v>
      </c>
      <c r="C5175" s="23" t="s">
        <v>176</v>
      </c>
      <c r="D5175" s="23" t="s">
        <v>339</v>
      </c>
      <c r="E5175" s="23" t="s">
        <v>340</v>
      </c>
      <c r="F5175">
        <v>7.7500000000000009</v>
      </c>
      <c r="G5175" s="23" t="s">
        <v>186</v>
      </c>
      <c r="H5175">
        <v>7.7500000000000009</v>
      </c>
      <c r="I5175">
        <v>0</v>
      </c>
      <c r="J5175" s="10">
        <v>154.95000000000007</v>
      </c>
      <c r="K51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175">
        <v>60</v>
      </c>
      <c r="M51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175">
        <v>194.75</v>
      </c>
      <c r="O5175" s="23" t="s">
        <v>491</v>
      </c>
      <c r="P5175">
        <v>1509.3125000000002</v>
      </c>
      <c r="Q5175" s="23" t="s">
        <v>184</v>
      </c>
    </row>
    <row r="5176" spans="1:17" x14ac:dyDescent="0.25">
      <c r="A5176" s="23" t="s">
        <v>1062</v>
      </c>
      <c r="B5176" s="23" t="s">
        <v>1053</v>
      </c>
      <c r="C5176" s="23" t="s">
        <v>176</v>
      </c>
      <c r="D5176" s="23" t="s">
        <v>117</v>
      </c>
      <c r="E5176" s="23" t="s">
        <v>118</v>
      </c>
      <c r="F5176">
        <v>124.54</v>
      </c>
      <c r="G5176" s="23" t="s">
        <v>186</v>
      </c>
      <c r="H5176">
        <v>124.54</v>
      </c>
      <c r="I5176">
        <v>1840</v>
      </c>
      <c r="J5176" s="10">
        <v>973.62000000000012</v>
      </c>
      <c r="K51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176">
        <v>920</v>
      </c>
      <c r="M51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6">
        <v>94.86</v>
      </c>
      <c r="O5176" s="23" t="s">
        <v>491</v>
      </c>
      <c r="P5176">
        <v>11813.8644</v>
      </c>
      <c r="Q5176" s="23" t="s">
        <v>184</v>
      </c>
    </row>
    <row r="5177" spans="1:17" x14ac:dyDescent="0.25">
      <c r="A5177" s="23" t="s">
        <v>1062</v>
      </c>
      <c r="B5177" s="23" t="s">
        <v>1053</v>
      </c>
      <c r="C5177" s="23" t="s">
        <v>176</v>
      </c>
      <c r="D5177" s="23" t="s">
        <v>392</v>
      </c>
      <c r="E5177" s="23" t="s">
        <v>393</v>
      </c>
      <c r="F5177">
        <v>12</v>
      </c>
      <c r="G5177" s="23" t="s">
        <v>177</v>
      </c>
      <c r="H5177">
        <v>12</v>
      </c>
      <c r="I5177">
        <v>0</v>
      </c>
      <c r="J5177" s="10">
        <v>24.050000000000068</v>
      </c>
      <c r="K51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177">
        <v>34</v>
      </c>
      <c r="M51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177">
        <v>1691.67</v>
      </c>
      <c r="O5177" s="23" t="s">
        <v>224</v>
      </c>
      <c r="P5177">
        <v>20300.04</v>
      </c>
      <c r="Q5177" s="23" t="s">
        <v>182</v>
      </c>
    </row>
    <row r="5178" spans="1:17" x14ac:dyDescent="0.25">
      <c r="A5178" s="23" t="s">
        <v>1062</v>
      </c>
      <c r="B5178" s="23" t="s">
        <v>1053</v>
      </c>
      <c r="C5178" s="23" t="s">
        <v>176</v>
      </c>
      <c r="D5178" s="23" t="s">
        <v>509</v>
      </c>
      <c r="E5178" s="23" t="s">
        <v>510</v>
      </c>
      <c r="F5178">
        <v>1</v>
      </c>
      <c r="G5178" s="23" t="s">
        <v>177</v>
      </c>
      <c r="H5178">
        <v>1</v>
      </c>
      <c r="I5178">
        <v>6</v>
      </c>
      <c r="J5178" s="10">
        <v>9</v>
      </c>
      <c r="K51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78">
        <v>7</v>
      </c>
      <c r="M51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78">
        <v>1535.25</v>
      </c>
      <c r="O5178" s="23" t="s">
        <v>508</v>
      </c>
      <c r="P5178">
        <v>1535.25</v>
      </c>
      <c r="Q5178" s="23" t="s">
        <v>222</v>
      </c>
    </row>
    <row r="5179" spans="1:17" x14ac:dyDescent="0.25">
      <c r="A5179" s="23" t="s">
        <v>1143</v>
      </c>
      <c r="B5179" s="23" t="s">
        <v>1054</v>
      </c>
      <c r="C5179" s="23" t="s">
        <v>176</v>
      </c>
      <c r="D5179" s="23" t="s">
        <v>687</v>
      </c>
      <c r="E5179" s="23" t="s">
        <v>688</v>
      </c>
      <c r="F5179">
        <v>1</v>
      </c>
      <c r="G5179" s="23" t="s">
        <v>177</v>
      </c>
      <c r="H5179">
        <v>0</v>
      </c>
      <c r="I5179">
        <v>0</v>
      </c>
      <c r="J5179" s="10">
        <v>1</v>
      </c>
      <c r="K51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179">
        <v>0</v>
      </c>
      <c r="M51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13877.91</v>
      </c>
      <c r="N5179">
        <v>1541.99</v>
      </c>
      <c r="O5179" s="23" t="s">
        <v>689</v>
      </c>
      <c r="P5179">
        <v>1541.99</v>
      </c>
      <c r="Q5179" s="23" t="s">
        <v>178</v>
      </c>
    </row>
    <row r="5180" spans="1:17" x14ac:dyDescent="0.25">
      <c r="A5180" s="23" t="s">
        <v>1055</v>
      </c>
      <c r="B5180" s="23" t="s">
        <v>1056</v>
      </c>
      <c r="C5180" s="23" t="s">
        <v>176</v>
      </c>
      <c r="D5180" s="23" t="s">
        <v>60</v>
      </c>
      <c r="E5180" s="23" t="s">
        <v>61</v>
      </c>
      <c r="F5180">
        <v>1</v>
      </c>
      <c r="G5180" s="23" t="s">
        <v>177</v>
      </c>
      <c r="H5180">
        <v>1</v>
      </c>
      <c r="I5180">
        <v>18</v>
      </c>
      <c r="J5180" s="10">
        <v>10</v>
      </c>
      <c r="K51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180">
        <v>0</v>
      </c>
      <c r="M51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0">
        <v>115.6</v>
      </c>
      <c r="O5180" s="23" t="s">
        <v>827</v>
      </c>
      <c r="P5180">
        <v>115.6</v>
      </c>
      <c r="Q5180" s="23" t="s">
        <v>222</v>
      </c>
    </row>
    <row r="5181" spans="1:17" x14ac:dyDescent="0.25">
      <c r="A5181" s="23" t="s">
        <v>1057</v>
      </c>
      <c r="B5181" s="23" t="s">
        <v>1056</v>
      </c>
      <c r="C5181" s="23" t="s">
        <v>176</v>
      </c>
      <c r="D5181" s="23" t="s">
        <v>60</v>
      </c>
      <c r="E5181" s="23" t="s">
        <v>61</v>
      </c>
      <c r="F5181">
        <v>1</v>
      </c>
      <c r="G5181" s="23" t="s">
        <v>177</v>
      </c>
      <c r="H5181">
        <v>1</v>
      </c>
      <c r="I5181">
        <v>18</v>
      </c>
      <c r="J5181" s="10">
        <v>10</v>
      </c>
      <c r="K51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181">
        <v>0</v>
      </c>
      <c r="M51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1">
        <v>115.6</v>
      </c>
      <c r="O5181" s="23" t="s">
        <v>827</v>
      </c>
      <c r="P5181">
        <v>115.6</v>
      </c>
      <c r="Q5181" s="23" t="s">
        <v>222</v>
      </c>
    </row>
    <row r="5182" spans="1:17" x14ac:dyDescent="0.25">
      <c r="A5182" s="23" t="s">
        <v>1099</v>
      </c>
      <c r="B5182" s="23" t="s">
        <v>1056</v>
      </c>
      <c r="C5182" s="23" t="s">
        <v>176</v>
      </c>
      <c r="D5182" s="23" t="s">
        <v>407</v>
      </c>
      <c r="E5182" s="23" t="s">
        <v>408</v>
      </c>
      <c r="F5182">
        <v>1</v>
      </c>
      <c r="G5182" s="23" t="s">
        <v>177</v>
      </c>
      <c r="H5182">
        <v>1</v>
      </c>
      <c r="I5182">
        <v>35</v>
      </c>
      <c r="J5182" s="10">
        <v>61</v>
      </c>
      <c r="K51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182">
        <v>0</v>
      </c>
      <c r="M51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2">
        <v>19.07</v>
      </c>
      <c r="O5182" s="23" t="s">
        <v>827</v>
      </c>
      <c r="P5182">
        <v>19.07</v>
      </c>
      <c r="Q5182" s="23" t="s">
        <v>222</v>
      </c>
    </row>
    <row r="5183" spans="1:17" x14ac:dyDescent="0.25">
      <c r="A5183" s="23" t="s">
        <v>1058</v>
      </c>
      <c r="B5183" s="23" t="s">
        <v>1059</v>
      </c>
      <c r="C5183" s="23" t="s">
        <v>176</v>
      </c>
      <c r="D5183" s="23" t="s">
        <v>407</v>
      </c>
      <c r="E5183" s="23" t="s">
        <v>408</v>
      </c>
      <c r="F5183">
        <v>1</v>
      </c>
      <c r="G5183" s="23" t="s">
        <v>177</v>
      </c>
      <c r="H5183">
        <v>1</v>
      </c>
      <c r="I5183">
        <v>35</v>
      </c>
      <c r="J5183" s="10">
        <v>61</v>
      </c>
      <c r="K51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183">
        <v>0</v>
      </c>
      <c r="M51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3">
        <v>19.07</v>
      </c>
      <c r="O5183" s="23" t="s">
        <v>827</v>
      </c>
      <c r="P5183">
        <v>19.07</v>
      </c>
      <c r="Q5183" s="23" t="s">
        <v>222</v>
      </c>
    </row>
    <row r="5184" spans="1:17" x14ac:dyDescent="0.25">
      <c r="A5184" s="23" t="s">
        <v>1094</v>
      </c>
      <c r="B5184" s="23" t="s">
        <v>1095</v>
      </c>
      <c r="C5184" s="23" t="s">
        <v>176</v>
      </c>
      <c r="D5184" s="23" t="s">
        <v>328</v>
      </c>
      <c r="E5184" s="23" t="s">
        <v>329</v>
      </c>
      <c r="F5184">
        <v>0.1</v>
      </c>
      <c r="G5184" s="23" t="s">
        <v>177</v>
      </c>
      <c r="H5184">
        <v>0</v>
      </c>
      <c r="I5184">
        <v>1</v>
      </c>
      <c r="J5184" s="10">
        <v>0.92999999999999972</v>
      </c>
      <c r="K51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184">
        <v>0</v>
      </c>
      <c r="M51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184">
        <v>1525</v>
      </c>
      <c r="O5184" s="23" t="s">
        <v>242</v>
      </c>
      <c r="P5184">
        <v>152.5</v>
      </c>
      <c r="Q5184" s="23" t="s">
        <v>181</v>
      </c>
    </row>
    <row r="5185" spans="1:17" x14ac:dyDescent="0.25">
      <c r="A5185" s="23" t="s">
        <v>1099</v>
      </c>
      <c r="B5185" s="23" t="s">
        <v>1056</v>
      </c>
      <c r="C5185" s="23" t="s">
        <v>176</v>
      </c>
      <c r="D5185" s="23" t="s">
        <v>392</v>
      </c>
      <c r="E5185" s="23" t="s">
        <v>393</v>
      </c>
      <c r="F5185">
        <v>5.5</v>
      </c>
      <c r="G5185" s="23" t="s">
        <v>177</v>
      </c>
      <c r="H5185">
        <v>5.5</v>
      </c>
      <c r="I5185">
        <v>0</v>
      </c>
      <c r="J5185" s="10">
        <v>24.050000000000068</v>
      </c>
      <c r="K51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185">
        <v>34</v>
      </c>
      <c r="M51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185">
        <v>1691.67</v>
      </c>
      <c r="O5185" s="23" t="s">
        <v>224</v>
      </c>
      <c r="P5185">
        <v>9304.1850000000013</v>
      </c>
      <c r="Q5185" s="23" t="s">
        <v>182</v>
      </c>
    </row>
    <row r="5186" spans="1:17" x14ac:dyDescent="0.25">
      <c r="A5186" s="23" t="s">
        <v>1099</v>
      </c>
      <c r="B5186" s="23" t="s">
        <v>1056</v>
      </c>
      <c r="C5186" s="23" t="s">
        <v>176</v>
      </c>
      <c r="D5186" s="23" t="s">
        <v>509</v>
      </c>
      <c r="E5186" s="23" t="s">
        <v>510</v>
      </c>
      <c r="F5186">
        <v>1</v>
      </c>
      <c r="G5186" s="23" t="s">
        <v>177</v>
      </c>
      <c r="H5186">
        <v>1</v>
      </c>
      <c r="I5186">
        <v>6</v>
      </c>
      <c r="J5186" s="10">
        <v>9</v>
      </c>
      <c r="K51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86">
        <v>7</v>
      </c>
      <c r="M51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6">
        <v>1535.25</v>
      </c>
      <c r="O5186" s="23" t="s">
        <v>508</v>
      </c>
      <c r="P5186">
        <v>1535.25</v>
      </c>
      <c r="Q5186" s="23" t="s">
        <v>222</v>
      </c>
    </row>
    <row r="5187" spans="1:17" x14ac:dyDescent="0.25">
      <c r="A5187" s="23" t="s">
        <v>1096</v>
      </c>
      <c r="B5187" s="23" t="s">
        <v>1053</v>
      </c>
      <c r="C5187" s="23" t="s">
        <v>176</v>
      </c>
      <c r="D5187" s="23" t="s">
        <v>292</v>
      </c>
      <c r="E5187" s="23" t="s">
        <v>293</v>
      </c>
      <c r="F5187">
        <v>4</v>
      </c>
      <c r="G5187" s="23" t="s">
        <v>177</v>
      </c>
      <c r="H5187">
        <v>4</v>
      </c>
      <c r="I5187">
        <v>133</v>
      </c>
      <c r="J5187" s="10">
        <v>46</v>
      </c>
      <c r="K51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187">
        <v>0</v>
      </c>
      <c r="M51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7">
        <v>3.75</v>
      </c>
      <c r="O5187" s="23" t="s">
        <v>629</v>
      </c>
      <c r="P5187">
        <v>15</v>
      </c>
      <c r="Q5187" s="23" t="s">
        <v>181</v>
      </c>
    </row>
    <row r="5188" spans="1:17" x14ac:dyDescent="0.25">
      <c r="A5188" s="23" t="s">
        <v>1062</v>
      </c>
      <c r="B5188" s="23" t="s">
        <v>1053</v>
      </c>
      <c r="C5188" s="23" t="s">
        <v>176</v>
      </c>
      <c r="D5188" s="23" t="s">
        <v>339</v>
      </c>
      <c r="E5188" s="23" t="s">
        <v>340</v>
      </c>
      <c r="F5188">
        <v>8.4700000000000006</v>
      </c>
      <c r="G5188" s="23" t="s">
        <v>186</v>
      </c>
      <c r="H5188">
        <v>8.4700000000000006</v>
      </c>
      <c r="I5188">
        <v>0</v>
      </c>
      <c r="J5188" s="10">
        <v>154.95000000000007</v>
      </c>
      <c r="K51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188">
        <v>60</v>
      </c>
      <c r="M51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188">
        <v>194.75</v>
      </c>
      <c r="O5188" s="23" t="s">
        <v>491</v>
      </c>
      <c r="P5188">
        <v>1649.5325</v>
      </c>
      <c r="Q5188" s="23" t="s">
        <v>184</v>
      </c>
    </row>
    <row r="5189" spans="1:17" x14ac:dyDescent="0.25">
      <c r="A5189" s="23" t="s">
        <v>1098</v>
      </c>
      <c r="B5189" s="23" t="s">
        <v>1053</v>
      </c>
      <c r="C5189" s="23" t="s">
        <v>176</v>
      </c>
      <c r="D5189" s="23" t="s">
        <v>117</v>
      </c>
      <c r="E5189" s="23" t="s">
        <v>118</v>
      </c>
      <c r="F5189">
        <v>114.32999999999998</v>
      </c>
      <c r="G5189" s="23" t="s">
        <v>186</v>
      </c>
      <c r="H5189">
        <v>114.32999999999998</v>
      </c>
      <c r="I5189">
        <v>1840</v>
      </c>
      <c r="J5189" s="10">
        <v>973.62000000000012</v>
      </c>
      <c r="K51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189">
        <v>920</v>
      </c>
      <c r="M51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89">
        <v>94.86</v>
      </c>
      <c r="O5189" s="23" t="s">
        <v>491</v>
      </c>
      <c r="P5189">
        <v>10845.343799999999</v>
      </c>
      <c r="Q5189" s="23" t="s">
        <v>184</v>
      </c>
    </row>
    <row r="5190" spans="1:17" x14ac:dyDescent="0.25">
      <c r="A5190" s="23" t="s">
        <v>1058</v>
      </c>
      <c r="B5190" s="23" t="s">
        <v>1059</v>
      </c>
      <c r="C5190" s="23" t="s">
        <v>176</v>
      </c>
      <c r="D5190" s="23" t="s">
        <v>117</v>
      </c>
      <c r="E5190" s="23" t="s">
        <v>118</v>
      </c>
      <c r="F5190">
        <v>91.87</v>
      </c>
      <c r="G5190" s="23" t="s">
        <v>186</v>
      </c>
      <c r="H5190">
        <v>91.87</v>
      </c>
      <c r="I5190">
        <v>1840</v>
      </c>
      <c r="J5190" s="10">
        <v>973.62000000000012</v>
      </c>
      <c r="K51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190">
        <v>920</v>
      </c>
      <c r="M51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0">
        <v>94.86</v>
      </c>
      <c r="O5190" s="23" t="s">
        <v>491</v>
      </c>
      <c r="P5190">
        <v>8714.7882000000009</v>
      </c>
      <c r="Q5190" s="23" t="s">
        <v>184</v>
      </c>
    </row>
    <row r="5191" spans="1:17" x14ac:dyDescent="0.25">
      <c r="A5191" s="23" t="s">
        <v>1099</v>
      </c>
      <c r="B5191" s="23" t="s">
        <v>1056</v>
      </c>
      <c r="C5191" s="23" t="s">
        <v>176</v>
      </c>
      <c r="D5191" s="23" t="s">
        <v>806</v>
      </c>
      <c r="E5191" s="23" t="s">
        <v>807</v>
      </c>
      <c r="F5191">
        <v>1</v>
      </c>
      <c r="G5191" s="23" t="s">
        <v>177</v>
      </c>
      <c r="H5191">
        <v>1</v>
      </c>
      <c r="I5191">
        <v>14</v>
      </c>
      <c r="J5191" s="10">
        <v>1</v>
      </c>
      <c r="K51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5191">
        <v>0</v>
      </c>
      <c r="M51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1">
        <v>458.33</v>
      </c>
      <c r="O5191" s="23" t="s">
        <v>629</v>
      </c>
      <c r="P5191">
        <v>458.33</v>
      </c>
      <c r="Q5191" s="23" t="s">
        <v>178</v>
      </c>
    </row>
    <row r="5192" spans="1:17" x14ac:dyDescent="0.25">
      <c r="A5192" s="23" t="s">
        <v>1055</v>
      </c>
      <c r="B5192" s="23" t="s">
        <v>1056</v>
      </c>
      <c r="C5192" s="23" t="s">
        <v>176</v>
      </c>
      <c r="D5192" s="23" t="s">
        <v>56</v>
      </c>
      <c r="E5192" s="23" t="s">
        <v>57</v>
      </c>
      <c r="F5192">
        <v>6</v>
      </c>
      <c r="G5192" s="23" t="s">
        <v>180</v>
      </c>
      <c r="H5192">
        <v>6</v>
      </c>
      <c r="I5192">
        <v>140</v>
      </c>
      <c r="J5192" s="10">
        <v>0</v>
      </c>
      <c r="K51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-122</v>
      </c>
      <c r="L5192">
        <v>0</v>
      </c>
      <c r="M51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2">
        <v>25.42</v>
      </c>
      <c r="O5192" s="23" t="s">
        <v>827</v>
      </c>
      <c r="P5192">
        <v>152.52000000000001</v>
      </c>
      <c r="Q5192" s="23" t="s">
        <v>222</v>
      </c>
    </row>
    <row r="5193" spans="1:17" x14ac:dyDescent="0.25">
      <c r="A5193" s="23" t="s">
        <v>1055</v>
      </c>
      <c r="B5193" s="23" t="s">
        <v>1056</v>
      </c>
      <c r="C5193" s="23" t="s">
        <v>176</v>
      </c>
      <c r="D5193" s="23" t="s">
        <v>52</v>
      </c>
      <c r="E5193" s="23" t="s">
        <v>53</v>
      </c>
      <c r="F5193">
        <v>1</v>
      </c>
      <c r="G5193" s="23" t="s">
        <v>177</v>
      </c>
      <c r="H5193">
        <v>1</v>
      </c>
      <c r="I5193">
        <v>5</v>
      </c>
      <c r="J5193" s="10">
        <v>10</v>
      </c>
      <c r="K51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193">
        <v>0</v>
      </c>
      <c r="M51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5193">
        <v>12234.43</v>
      </c>
      <c r="O5193" s="23" t="s">
        <v>216</v>
      </c>
      <c r="P5193">
        <v>12234.43</v>
      </c>
      <c r="Q5193" s="23" t="s">
        <v>222</v>
      </c>
    </row>
    <row r="5194" spans="1:17" x14ac:dyDescent="0.25">
      <c r="A5194" s="23" t="s">
        <v>1057</v>
      </c>
      <c r="B5194" s="23" t="s">
        <v>1056</v>
      </c>
      <c r="C5194" s="23" t="s">
        <v>176</v>
      </c>
      <c r="D5194" s="23" t="s">
        <v>52</v>
      </c>
      <c r="E5194" s="23" t="s">
        <v>53</v>
      </c>
      <c r="F5194">
        <v>1</v>
      </c>
      <c r="G5194" s="23" t="s">
        <v>177</v>
      </c>
      <c r="H5194">
        <v>1</v>
      </c>
      <c r="I5194">
        <v>5</v>
      </c>
      <c r="J5194" s="10">
        <v>10</v>
      </c>
      <c r="K51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194">
        <v>0</v>
      </c>
      <c r="M51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5194">
        <v>12234.43</v>
      </c>
      <c r="O5194" s="23" t="s">
        <v>216</v>
      </c>
      <c r="P5194">
        <v>12234.43</v>
      </c>
      <c r="Q5194" s="23" t="s">
        <v>222</v>
      </c>
    </row>
    <row r="5195" spans="1:17" x14ac:dyDescent="0.25">
      <c r="A5195" s="23" t="s">
        <v>1058</v>
      </c>
      <c r="B5195" s="23" t="s">
        <v>1059</v>
      </c>
      <c r="C5195" s="23" t="s">
        <v>176</v>
      </c>
      <c r="D5195" s="23" t="s">
        <v>513</v>
      </c>
      <c r="E5195" s="23" t="s">
        <v>514</v>
      </c>
      <c r="F5195">
        <v>4</v>
      </c>
      <c r="G5195" s="23" t="s">
        <v>177</v>
      </c>
      <c r="H5195">
        <v>4</v>
      </c>
      <c r="I5195">
        <v>6</v>
      </c>
      <c r="J5195" s="10">
        <v>8</v>
      </c>
      <c r="K51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26</v>
      </c>
      <c r="L5195">
        <v>0</v>
      </c>
      <c r="M51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41686.58</v>
      </c>
      <c r="N5195">
        <v>1603.33</v>
      </c>
      <c r="O5195" s="23" t="s">
        <v>264</v>
      </c>
      <c r="P5195">
        <v>6413.32</v>
      </c>
      <c r="Q5195" s="23" t="s">
        <v>222</v>
      </c>
    </row>
    <row r="5196" spans="1:17" x14ac:dyDescent="0.25">
      <c r="A5196" s="23" t="s">
        <v>1057</v>
      </c>
      <c r="B5196" s="23" t="s">
        <v>1056</v>
      </c>
      <c r="C5196" s="23" t="s">
        <v>176</v>
      </c>
      <c r="D5196" s="23" t="s">
        <v>906</v>
      </c>
      <c r="E5196" s="23" t="s">
        <v>907</v>
      </c>
      <c r="F5196">
        <v>1</v>
      </c>
      <c r="G5196" s="23" t="s">
        <v>177</v>
      </c>
      <c r="H5196">
        <v>1</v>
      </c>
      <c r="I5196">
        <v>13</v>
      </c>
      <c r="J5196" s="10">
        <v>6</v>
      </c>
      <c r="K51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196">
        <v>0</v>
      </c>
      <c r="M51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6">
        <v>344.14</v>
      </c>
      <c r="O5196" s="23" t="s">
        <v>908</v>
      </c>
      <c r="P5196">
        <v>344.14</v>
      </c>
      <c r="Q5196" s="23" t="s">
        <v>181</v>
      </c>
    </row>
    <row r="5197" spans="1:17" x14ac:dyDescent="0.25">
      <c r="A5197" s="23" t="s">
        <v>1055</v>
      </c>
      <c r="B5197" s="23" t="s">
        <v>1056</v>
      </c>
      <c r="C5197" s="23" t="s">
        <v>176</v>
      </c>
      <c r="D5197" s="23" t="s">
        <v>1010</v>
      </c>
      <c r="E5197" s="23" t="s">
        <v>1011</v>
      </c>
      <c r="F5197">
        <v>0.5</v>
      </c>
      <c r="G5197" s="23" t="s">
        <v>177</v>
      </c>
      <c r="H5197">
        <v>0.5</v>
      </c>
      <c r="I5197">
        <v>0</v>
      </c>
      <c r="J5197" s="10">
        <v>2</v>
      </c>
      <c r="K51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197">
        <v>0</v>
      </c>
      <c r="M51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7">
        <v>2010.25</v>
      </c>
      <c r="O5197" s="23" t="s">
        <v>1012</v>
      </c>
      <c r="P5197">
        <v>1005.125</v>
      </c>
      <c r="Q5197" s="23" t="s">
        <v>181</v>
      </c>
    </row>
    <row r="5198" spans="1:17" x14ac:dyDescent="0.25">
      <c r="A5198" s="23" t="s">
        <v>1097</v>
      </c>
      <c r="B5198" s="23" t="s">
        <v>1095</v>
      </c>
      <c r="C5198" s="23" t="s">
        <v>176</v>
      </c>
      <c r="D5198" s="23" t="s">
        <v>392</v>
      </c>
      <c r="E5198" s="23" t="s">
        <v>393</v>
      </c>
      <c r="F5198">
        <v>16.240000000000002</v>
      </c>
      <c r="G5198" s="23" t="s">
        <v>177</v>
      </c>
      <c r="H5198">
        <v>0</v>
      </c>
      <c r="I5198">
        <v>0</v>
      </c>
      <c r="J5198" s="10">
        <v>24.050000000000068</v>
      </c>
      <c r="K51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198">
        <v>34</v>
      </c>
      <c r="M51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198">
        <v>1691.67</v>
      </c>
      <c r="O5198" s="23" t="s">
        <v>224</v>
      </c>
      <c r="P5198">
        <v>27472.720800000003</v>
      </c>
      <c r="Q5198" s="23" t="s">
        <v>182</v>
      </c>
    </row>
    <row r="5199" spans="1:17" x14ac:dyDescent="0.25">
      <c r="A5199" s="23" t="s">
        <v>1150</v>
      </c>
      <c r="B5199" s="23" t="s">
        <v>1145</v>
      </c>
      <c r="C5199" s="23" t="s">
        <v>176</v>
      </c>
      <c r="D5199" s="23" t="s">
        <v>806</v>
      </c>
      <c r="E5199" s="23" t="s">
        <v>807</v>
      </c>
      <c r="F5199">
        <v>1</v>
      </c>
      <c r="G5199" s="23" t="s">
        <v>177</v>
      </c>
      <c r="H5199">
        <v>0</v>
      </c>
      <c r="I5199">
        <v>14</v>
      </c>
      <c r="J5199" s="10">
        <v>1</v>
      </c>
      <c r="K51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</v>
      </c>
      <c r="L5199">
        <v>0</v>
      </c>
      <c r="M51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199">
        <v>458.33</v>
      </c>
      <c r="O5199" s="23" t="s">
        <v>629</v>
      </c>
      <c r="P5199">
        <v>458.33</v>
      </c>
      <c r="Q5199" s="23" t="s">
        <v>178</v>
      </c>
    </row>
    <row r="5200" spans="1:17" x14ac:dyDescent="0.25">
      <c r="A5200" s="23" t="s">
        <v>1143</v>
      </c>
      <c r="B5200" s="23" t="s">
        <v>1054</v>
      </c>
      <c r="C5200" s="23" t="s">
        <v>176</v>
      </c>
      <c r="D5200" s="23" t="s">
        <v>459</v>
      </c>
      <c r="E5200" s="23" t="s">
        <v>460</v>
      </c>
      <c r="F5200">
        <v>0.01</v>
      </c>
      <c r="G5200" s="23" t="s">
        <v>177</v>
      </c>
      <c r="H5200">
        <v>0</v>
      </c>
      <c r="I5200">
        <v>6</v>
      </c>
      <c r="J5200" s="10">
        <v>22.53</v>
      </c>
      <c r="K52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5200">
        <v>0</v>
      </c>
      <c r="M52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0">
        <v>133</v>
      </c>
      <c r="O5200" s="23" t="s">
        <v>217</v>
      </c>
      <c r="P5200">
        <v>1.33</v>
      </c>
      <c r="Q5200" s="23" t="s">
        <v>184</v>
      </c>
    </row>
    <row r="5201" spans="1:17" x14ac:dyDescent="0.25">
      <c r="A5201" s="23" t="s">
        <v>1144</v>
      </c>
      <c r="B5201" s="23" t="s">
        <v>1145</v>
      </c>
      <c r="C5201" s="23" t="s">
        <v>176</v>
      </c>
      <c r="D5201" s="23" t="s">
        <v>328</v>
      </c>
      <c r="E5201" s="23" t="s">
        <v>329</v>
      </c>
      <c r="F5201">
        <v>0.05</v>
      </c>
      <c r="G5201" s="23" t="s">
        <v>177</v>
      </c>
      <c r="H5201">
        <v>0</v>
      </c>
      <c r="I5201">
        <v>1</v>
      </c>
      <c r="J5201" s="10">
        <v>0.92999999999999972</v>
      </c>
      <c r="K52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0.26000000000000023</v>
      </c>
      <c r="L5201">
        <v>0</v>
      </c>
      <c r="M52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396.50000000000034</v>
      </c>
      <c r="N5201">
        <v>1525</v>
      </c>
      <c r="O5201" s="23" t="s">
        <v>242</v>
      </c>
      <c r="P5201">
        <v>76.25</v>
      </c>
      <c r="Q5201" s="23" t="s">
        <v>181</v>
      </c>
    </row>
    <row r="5202" spans="1:17" x14ac:dyDescent="0.25">
      <c r="A5202" s="23" t="s">
        <v>1096</v>
      </c>
      <c r="B5202" s="23" t="s">
        <v>1053</v>
      </c>
      <c r="C5202" s="23" t="s">
        <v>176</v>
      </c>
      <c r="D5202" s="23" t="s">
        <v>52</v>
      </c>
      <c r="E5202" s="23" t="s">
        <v>53</v>
      </c>
      <c r="F5202">
        <v>1</v>
      </c>
      <c r="G5202" s="23" t="s">
        <v>177</v>
      </c>
      <c r="H5202">
        <v>1</v>
      </c>
      <c r="I5202">
        <v>5</v>
      </c>
      <c r="J5202" s="10">
        <v>10</v>
      </c>
      <c r="K52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202">
        <v>0</v>
      </c>
      <c r="M52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5202">
        <v>12234.43</v>
      </c>
      <c r="O5202" s="23" t="s">
        <v>216</v>
      </c>
      <c r="P5202">
        <v>12234.43</v>
      </c>
      <c r="Q5202" s="23" t="s">
        <v>222</v>
      </c>
    </row>
    <row r="5203" spans="1:17" x14ac:dyDescent="0.25">
      <c r="A5203" s="23" t="s">
        <v>1055</v>
      </c>
      <c r="B5203" s="23" t="s">
        <v>1056</v>
      </c>
      <c r="C5203" s="23" t="s">
        <v>176</v>
      </c>
      <c r="D5203" s="23" t="s">
        <v>509</v>
      </c>
      <c r="E5203" s="23" t="s">
        <v>510</v>
      </c>
      <c r="F5203">
        <v>1</v>
      </c>
      <c r="G5203" s="23" t="s">
        <v>177</v>
      </c>
      <c r="H5203">
        <v>1</v>
      </c>
      <c r="I5203">
        <v>6</v>
      </c>
      <c r="J5203" s="10">
        <v>9</v>
      </c>
      <c r="K52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03">
        <v>7</v>
      </c>
      <c r="M52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3">
        <v>1535.25</v>
      </c>
      <c r="O5203" s="23" t="s">
        <v>508</v>
      </c>
      <c r="P5203">
        <v>1535.25</v>
      </c>
      <c r="Q5203" s="23" t="s">
        <v>222</v>
      </c>
    </row>
    <row r="5204" spans="1:17" x14ac:dyDescent="0.25">
      <c r="A5204" s="23" t="s">
        <v>1055</v>
      </c>
      <c r="B5204" s="23" t="s">
        <v>1056</v>
      </c>
      <c r="C5204" s="23" t="s">
        <v>176</v>
      </c>
      <c r="D5204" s="23" t="s">
        <v>906</v>
      </c>
      <c r="E5204" s="23" t="s">
        <v>907</v>
      </c>
      <c r="F5204">
        <v>1</v>
      </c>
      <c r="G5204" s="23" t="s">
        <v>177</v>
      </c>
      <c r="H5204">
        <v>1</v>
      </c>
      <c r="I5204">
        <v>13</v>
      </c>
      <c r="J5204" s="10">
        <v>6</v>
      </c>
      <c r="K52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204">
        <v>0</v>
      </c>
      <c r="M52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4">
        <v>344.14</v>
      </c>
      <c r="O5204" s="23" t="s">
        <v>908</v>
      </c>
      <c r="P5204">
        <v>344.14</v>
      </c>
      <c r="Q5204" s="23" t="s">
        <v>181</v>
      </c>
    </row>
    <row r="5205" spans="1:17" x14ac:dyDescent="0.25">
      <c r="A5205" s="23" t="s">
        <v>1062</v>
      </c>
      <c r="B5205" s="23" t="s">
        <v>1053</v>
      </c>
      <c r="C5205" s="23" t="s">
        <v>176</v>
      </c>
      <c r="D5205" s="23" t="s">
        <v>1081</v>
      </c>
      <c r="E5205" s="23" t="s">
        <v>1082</v>
      </c>
      <c r="F5205">
        <v>3</v>
      </c>
      <c r="G5205" s="23" t="s">
        <v>177</v>
      </c>
      <c r="H5205">
        <v>3</v>
      </c>
      <c r="I5205">
        <v>17</v>
      </c>
      <c r="J5205" s="10">
        <v>16</v>
      </c>
      <c r="K52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205">
        <v>30</v>
      </c>
      <c r="M52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5">
        <v>67.22</v>
      </c>
      <c r="O5205" s="23" t="s">
        <v>593</v>
      </c>
      <c r="P5205">
        <v>201.66</v>
      </c>
      <c r="Q5205" s="23" t="s">
        <v>179</v>
      </c>
    </row>
    <row r="5206" spans="1:17" x14ac:dyDescent="0.25">
      <c r="A5206" s="23" t="s">
        <v>1094</v>
      </c>
      <c r="B5206" s="23" t="s">
        <v>1095</v>
      </c>
      <c r="C5206" s="23" t="s">
        <v>176</v>
      </c>
      <c r="D5206" s="23" t="s">
        <v>764</v>
      </c>
      <c r="E5206" s="23" t="s">
        <v>765</v>
      </c>
      <c r="F5206">
        <v>1</v>
      </c>
      <c r="G5206" s="23" t="s">
        <v>177</v>
      </c>
      <c r="H5206">
        <v>0</v>
      </c>
      <c r="I5206">
        <v>5</v>
      </c>
      <c r="J5206" s="10">
        <v>7</v>
      </c>
      <c r="K52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06">
        <v>8</v>
      </c>
      <c r="M52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6">
        <v>401.17</v>
      </c>
      <c r="O5206" s="23" t="s">
        <v>766</v>
      </c>
      <c r="P5206">
        <v>401.17</v>
      </c>
      <c r="Q5206" s="23" t="s">
        <v>222</v>
      </c>
    </row>
    <row r="5207" spans="1:17" x14ac:dyDescent="0.25">
      <c r="A5207" s="23" t="s">
        <v>1142</v>
      </c>
      <c r="B5207" s="23" t="s">
        <v>1054</v>
      </c>
      <c r="C5207" s="23" t="s">
        <v>176</v>
      </c>
      <c r="D5207" s="23" t="s">
        <v>1081</v>
      </c>
      <c r="E5207" s="23" t="s">
        <v>1082</v>
      </c>
      <c r="F5207">
        <v>2</v>
      </c>
      <c r="G5207" s="23" t="s">
        <v>177</v>
      </c>
      <c r="H5207">
        <v>0</v>
      </c>
      <c r="I5207">
        <v>17</v>
      </c>
      <c r="J5207" s="10">
        <v>16</v>
      </c>
      <c r="K52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207">
        <v>30</v>
      </c>
      <c r="M52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7">
        <v>67.22</v>
      </c>
      <c r="O5207" s="23" t="s">
        <v>593</v>
      </c>
      <c r="P5207">
        <v>134.44</v>
      </c>
      <c r="Q5207" s="23" t="s">
        <v>179</v>
      </c>
    </row>
    <row r="5208" spans="1:17" x14ac:dyDescent="0.25">
      <c r="A5208" s="23" t="s">
        <v>1055</v>
      </c>
      <c r="B5208" s="23" t="s">
        <v>1056</v>
      </c>
      <c r="C5208" s="23" t="s">
        <v>176</v>
      </c>
      <c r="D5208" s="23" t="s">
        <v>547</v>
      </c>
      <c r="E5208" s="23" t="s">
        <v>548</v>
      </c>
      <c r="F5208">
        <v>2</v>
      </c>
      <c r="G5208" s="23" t="s">
        <v>177</v>
      </c>
      <c r="H5208">
        <v>2</v>
      </c>
      <c r="I5208">
        <v>109</v>
      </c>
      <c r="J5208" s="10">
        <v>6</v>
      </c>
      <c r="K52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5208">
        <v>0</v>
      </c>
      <c r="M52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8">
        <v>90</v>
      </c>
      <c r="O5208" s="23"/>
      <c r="P5208">
        <v>180</v>
      </c>
      <c r="Q5208" s="23" t="s">
        <v>181</v>
      </c>
    </row>
    <row r="5209" spans="1:17" x14ac:dyDescent="0.25">
      <c r="A5209" s="23" t="s">
        <v>1062</v>
      </c>
      <c r="B5209" s="23" t="s">
        <v>1053</v>
      </c>
      <c r="C5209" s="23" t="s">
        <v>176</v>
      </c>
      <c r="D5209" s="23" t="s">
        <v>549</v>
      </c>
      <c r="E5209" s="23" t="s">
        <v>550</v>
      </c>
      <c r="F5209">
        <v>37</v>
      </c>
      <c r="G5209" s="23" t="s">
        <v>177</v>
      </c>
      <c r="H5209">
        <v>37</v>
      </c>
      <c r="I5209">
        <v>800</v>
      </c>
      <c r="J5209" s="10">
        <v>0</v>
      </c>
      <c r="K52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-414</v>
      </c>
      <c r="L5209">
        <v>0</v>
      </c>
      <c r="M52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09">
        <v>13.75</v>
      </c>
      <c r="O5209" s="23" t="s">
        <v>629</v>
      </c>
      <c r="P5209">
        <v>508.75</v>
      </c>
      <c r="Q5209" s="23" t="s">
        <v>181</v>
      </c>
    </row>
    <row r="5210" spans="1:17" x14ac:dyDescent="0.25">
      <c r="A5210" s="23" t="s">
        <v>1146</v>
      </c>
      <c r="B5210" s="23" t="s">
        <v>1145</v>
      </c>
      <c r="C5210" s="23" t="s">
        <v>176</v>
      </c>
      <c r="D5210" s="23" t="s">
        <v>581</v>
      </c>
      <c r="E5210" s="23" t="s">
        <v>582</v>
      </c>
      <c r="F5210">
        <v>18.8</v>
      </c>
      <c r="G5210" s="23" t="s">
        <v>186</v>
      </c>
      <c r="H5210">
        <v>18.8</v>
      </c>
      <c r="I5210">
        <v>140</v>
      </c>
      <c r="J5210" s="10">
        <v>139.95999999999989</v>
      </c>
      <c r="K52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210">
        <v>80</v>
      </c>
      <c r="M52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0">
        <v>164.09</v>
      </c>
      <c r="O5210" s="23" t="s">
        <v>491</v>
      </c>
      <c r="P5210">
        <v>3084.8920000000003</v>
      </c>
      <c r="Q5210" s="23" t="s">
        <v>184</v>
      </c>
    </row>
    <row r="5211" spans="1:17" x14ac:dyDescent="0.25">
      <c r="A5211" s="23" t="s">
        <v>1055</v>
      </c>
      <c r="B5211" s="23" t="s">
        <v>1056</v>
      </c>
      <c r="C5211" s="23" t="s">
        <v>176</v>
      </c>
      <c r="D5211" s="23" t="s">
        <v>266</v>
      </c>
      <c r="E5211" s="23" t="s">
        <v>267</v>
      </c>
      <c r="F5211">
        <v>1</v>
      </c>
      <c r="G5211" s="23" t="s">
        <v>177</v>
      </c>
      <c r="H5211">
        <v>1</v>
      </c>
      <c r="I5211">
        <v>1</v>
      </c>
      <c r="J5211" s="10">
        <v>7</v>
      </c>
      <c r="K52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211">
        <v>0</v>
      </c>
      <c r="M52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5211">
        <v>4633.34</v>
      </c>
      <c r="O5211" s="23" t="s">
        <v>215</v>
      </c>
      <c r="P5211">
        <v>4633.34</v>
      </c>
      <c r="Q5211" s="23" t="s">
        <v>178</v>
      </c>
    </row>
    <row r="5212" spans="1:17" x14ac:dyDescent="0.25">
      <c r="A5212" s="23" t="s">
        <v>1057</v>
      </c>
      <c r="B5212" s="23" t="s">
        <v>1056</v>
      </c>
      <c r="C5212" s="23" t="s">
        <v>176</v>
      </c>
      <c r="D5212" s="23" t="s">
        <v>266</v>
      </c>
      <c r="E5212" s="23" t="s">
        <v>267</v>
      </c>
      <c r="F5212">
        <v>1</v>
      </c>
      <c r="G5212" s="23" t="s">
        <v>177</v>
      </c>
      <c r="H5212">
        <v>1</v>
      </c>
      <c r="I5212">
        <v>1</v>
      </c>
      <c r="J5212" s="10">
        <v>7</v>
      </c>
      <c r="K52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212">
        <v>0</v>
      </c>
      <c r="M52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5212">
        <v>4633.34</v>
      </c>
      <c r="O5212" s="23" t="s">
        <v>215</v>
      </c>
      <c r="P5212">
        <v>4633.34</v>
      </c>
      <c r="Q5212" s="23" t="s">
        <v>178</v>
      </c>
    </row>
    <row r="5213" spans="1:17" x14ac:dyDescent="0.25">
      <c r="A5213" s="23" t="s">
        <v>1096</v>
      </c>
      <c r="B5213" s="23" t="s">
        <v>1053</v>
      </c>
      <c r="C5213" s="23" t="s">
        <v>176</v>
      </c>
      <c r="D5213" s="23" t="s">
        <v>690</v>
      </c>
      <c r="E5213" s="23" t="s">
        <v>691</v>
      </c>
      <c r="F5213">
        <v>1</v>
      </c>
      <c r="G5213" s="23" t="s">
        <v>177</v>
      </c>
      <c r="H5213">
        <v>1</v>
      </c>
      <c r="I5213">
        <v>25</v>
      </c>
      <c r="J5213" s="10">
        <v>3</v>
      </c>
      <c r="K52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213">
        <v>0</v>
      </c>
      <c r="M52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3">
        <v>871.93</v>
      </c>
      <c r="O5213" s="23" t="s">
        <v>692</v>
      </c>
      <c r="P5213">
        <v>871.93</v>
      </c>
      <c r="Q5213" s="23" t="s">
        <v>178</v>
      </c>
    </row>
    <row r="5214" spans="1:17" x14ac:dyDescent="0.25">
      <c r="A5214" s="23" t="s">
        <v>1057</v>
      </c>
      <c r="B5214" s="23" t="s">
        <v>1056</v>
      </c>
      <c r="C5214" s="23" t="s">
        <v>176</v>
      </c>
      <c r="D5214" s="23" t="s">
        <v>581</v>
      </c>
      <c r="E5214" s="23" t="s">
        <v>582</v>
      </c>
      <c r="F5214">
        <v>17.8</v>
      </c>
      <c r="G5214" s="23" t="s">
        <v>186</v>
      </c>
      <c r="H5214">
        <v>17.8</v>
      </c>
      <c r="I5214">
        <v>140</v>
      </c>
      <c r="J5214" s="10">
        <v>139.95999999999989</v>
      </c>
      <c r="K52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214">
        <v>80</v>
      </c>
      <c r="M52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4">
        <v>164.09</v>
      </c>
      <c r="O5214" s="23" t="s">
        <v>491</v>
      </c>
      <c r="P5214">
        <v>2920.8020000000001</v>
      </c>
      <c r="Q5214" s="23" t="s">
        <v>184</v>
      </c>
    </row>
    <row r="5215" spans="1:17" x14ac:dyDescent="0.25">
      <c r="A5215" s="23" t="s">
        <v>1149</v>
      </c>
      <c r="B5215" s="23" t="s">
        <v>1145</v>
      </c>
      <c r="C5215" s="23" t="s">
        <v>176</v>
      </c>
      <c r="D5215" s="23" t="s">
        <v>553</v>
      </c>
      <c r="E5215" s="23" t="s">
        <v>554</v>
      </c>
      <c r="F5215">
        <v>1</v>
      </c>
      <c r="G5215" s="23" t="s">
        <v>177</v>
      </c>
      <c r="H5215">
        <v>0</v>
      </c>
      <c r="I5215">
        <v>14</v>
      </c>
      <c r="J5215" s="10">
        <v>9.9999999999999964</v>
      </c>
      <c r="K52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2.5700000000000003</v>
      </c>
      <c r="L5215">
        <v>0</v>
      </c>
      <c r="M52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552.55000000000007</v>
      </c>
      <c r="N5215">
        <v>215</v>
      </c>
      <c r="O5215" s="23" t="s">
        <v>242</v>
      </c>
      <c r="P5215">
        <v>215</v>
      </c>
      <c r="Q5215" s="23" t="s">
        <v>181</v>
      </c>
    </row>
    <row r="5216" spans="1:17" x14ac:dyDescent="0.25">
      <c r="A5216" s="23" t="s">
        <v>1099</v>
      </c>
      <c r="B5216" s="23" t="s">
        <v>1056</v>
      </c>
      <c r="C5216" s="23" t="s">
        <v>176</v>
      </c>
      <c r="D5216" s="23" t="s">
        <v>281</v>
      </c>
      <c r="E5216" s="23" t="s">
        <v>319</v>
      </c>
      <c r="F5216">
        <v>1</v>
      </c>
      <c r="G5216" s="23" t="s">
        <v>177</v>
      </c>
      <c r="H5216">
        <v>1</v>
      </c>
      <c r="I5216">
        <v>27</v>
      </c>
      <c r="J5216" s="10">
        <v>4</v>
      </c>
      <c r="K52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216">
        <v>0</v>
      </c>
      <c r="M52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6">
        <v>290.62</v>
      </c>
      <c r="O5216" s="23" t="s">
        <v>637</v>
      </c>
      <c r="P5216">
        <v>290.62</v>
      </c>
      <c r="Q5216" s="23" t="s">
        <v>179</v>
      </c>
    </row>
    <row r="5217" spans="1:17" x14ac:dyDescent="0.25">
      <c r="A5217" s="23" t="s">
        <v>1057</v>
      </c>
      <c r="B5217" s="23" t="s">
        <v>1056</v>
      </c>
      <c r="C5217" s="23" t="s">
        <v>176</v>
      </c>
      <c r="D5217" s="23" t="s">
        <v>704</v>
      </c>
      <c r="E5217" s="23" t="s">
        <v>705</v>
      </c>
      <c r="F5217">
        <v>4</v>
      </c>
      <c r="G5217" s="23" t="s">
        <v>177</v>
      </c>
      <c r="H5217">
        <v>0</v>
      </c>
      <c r="I5217">
        <v>250</v>
      </c>
      <c r="J5217" s="10">
        <v>302</v>
      </c>
      <c r="K52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217">
        <v>0</v>
      </c>
      <c r="M52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7">
        <v>0.9</v>
      </c>
      <c r="O5217" s="23" t="s">
        <v>827</v>
      </c>
      <c r="P5217">
        <v>3.6</v>
      </c>
      <c r="Q5217" s="23" t="s">
        <v>222</v>
      </c>
    </row>
    <row r="5218" spans="1:17" x14ac:dyDescent="0.25">
      <c r="A5218" s="23" t="s">
        <v>1143</v>
      </c>
      <c r="B5218" s="23" t="s">
        <v>1054</v>
      </c>
      <c r="C5218" s="23" t="s">
        <v>176</v>
      </c>
      <c r="D5218" s="23" t="s">
        <v>704</v>
      </c>
      <c r="E5218" s="23" t="s">
        <v>705</v>
      </c>
      <c r="F5218">
        <v>4</v>
      </c>
      <c r="G5218" s="23" t="s">
        <v>177</v>
      </c>
      <c r="H5218">
        <v>0</v>
      </c>
      <c r="I5218">
        <v>250</v>
      </c>
      <c r="J5218" s="10">
        <v>302</v>
      </c>
      <c r="K52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-202</v>
      </c>
      <c r="L5218">
        <v>0</v>
      </c>
      <c r="M52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8">
        <v>0.9</v>
      </c>
      <c r="O5218" s="23" t="s">
        <v>827</v>
      </c>
      <c r="P5218">
        <v>3.6</v>
      </c>
      <c r="Q5218" s="23" t="s">
        <v>222</v>
      </c>
    </row>
    <row r="5219" spans="1:17" x14ac:dyDescent="0.25">
      <c r="A5219" s="23" t="s">
        <v>1057</v>
      </c>
      <c r="B5219" s="23" t="s">
        <v>1056</v>
      </c>
      <c r="C5219" s="23" t="s">
        <v>176</v>
      </c>
      <c r="D5219" s="23" t="s">
        <v>594</v>
      </c>
      <c r="E5219" s="23" t="s">
        <v>595</v>
      </c>
      <c r="F5219">
        <v>4</v>
      </c>
      <c r="G5219" s="23" t="s">
        <v>177</v>
      </c>
      <c r="H5219">
        <v>0</v>
      </c>
      <c r="I5219">
        <v>46</v>
      </c>
      <c r="J5219" s="10">
        <v>12</v>
      </c>
      <c r="K52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219">
        <v>0</v>
      </c>
      <c r="M52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19">
        <v>100</v>
      </c>
      <c r="O5219" s="23" t="s">
        <v>1032</v>
      </c>
      <c r="P5219">
        <v>400</v>
      </c>
      <c r="Q5219" s="23" t="s">
        <v>178</v>
      </c>
    </row>
    <row r="5220" spans="1:17" x14ac:dyDescent="0.25">
      <c r="A5220" s="23" t="s">
        <v>1094</v>
      </c>
      <c r="B5220" s="23" t="s">
        <v>1095</v>
      </c>
      <c r="C5220" s="23" t="s">
        <v>176</v>
      </c>
      <c r="D5220" s="23" t="s">
        <v>784</v>
      </c>
      <c r="E5220" s="23" t="s">
        <v>785</v>
      </c>
      <c r="F5220">
        <v>1</v>
      </c>
      <c r="G5220" s="23" t="s">
        <v>177</v>
      </c>
      <c r="H5220">
        <v>0</v>
      </c>
      <c r="I5220">
        <v>7</v>
      </c>
      <c r="J5220" s="10">
        <v>9</v>
      </c>
      <c r="K52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20">
        <v>10</v>
      </c>
      <c r="M52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0">
        <v>450</v>
      </c>
      <c r="O5220" s="23" t="s">
        <v>291</v>
      </c>
      <c r="P5220">
        <v>450</v>
      </c>
      <c r="Q5220" s="23" t="s">
        <v>179</v>
      </c>
    </row>
    <row r="5221" spans="1:17" x14ac:dyDescent="0.25">
      <c r="A5221" s="23" t="s">
        <v>1096</v>
      </c>
      <c r="B5221" s="23" t="s">
        <v>1053</v>
      </c>
      <c r="C5221" s="23" t="s">
        <v>176</v>
      </c>
      <c r="D5221" s="23" t="s">
        <v>474</v>
      </c>
      <c r="E5221" s="23" t="s">
        <v>475</v>
      </c>
      <c r="F5221">
        <v>52</v>
      </c>
      <c r="G5221" s="23" t="s">
        <v>177</v>
      </c>
      <c r="H5221">
        <v>0</v>
      </c>
      <c r="I5221">
        <v>880</v>
      </c>
      <c r="J5221" s="10">
        <v>414</v>
      </c>
      <c r="K52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221">
        <v>0</v>
      </c>
      <c r="M52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1">
        <v>2.1</v>
      </c>
      <c r="O5221" s="23" t="s">
        <v>242</v>
      </c>
      <c r="P5221">
        <v>109.2</v>
      </c>
      <c r="Q5221" s="23" t="s">
        <v>181</v>
      </c>
    </row>
    <row r="5222" spans="1:17" x14ac:dyDescent="0.25">
      <c r="A5222" s="23" t="s">
        <v>1094</v>
      </c>
      <c r="B5222" s="23" t="s">
        <v>1095</v>
      </c>
      <c r="C5222" s="23" t="s">
        <v>176</v>
      </c>
      <c r="D5222" s="23" t="s">
        <v>162</v>
      </c>
      <c r="E5222" s="23" t="s">
        <v>163</v>
      </c>
      <c r="F5222">
        <v>1</v>
      </c>
      <c r="G5222" s="23" t="s">
        <v>177</v>
      </c>
      <c r="H5222">
        <v>0</v>
      </c>
      <c r="I5222">
        <v>2</v>
      </c>
      <c r="J5222" s="10">
        <v>8</v>
      </c>
      <c r="K52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22">
        <v>3</v>
      </c>
      <c r="M52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222">
        <v>6057.5</v>
      </c>
      <c r="O5222" s="23" t="s">
        <v>228</v>
      </c>
      <c r="P5222">
        <v>6057.5</v>
      </c>
      <c r="Q5222" s="23" t="s">
        <v>222</v>
      </c>
    </row>
    <row r="5223" spans="1:17" x14ac:dyDescent="0.25">
      <c r="A5223" s="23" t="s">
        <v>1062</v>
      </c>
      <c r="B5223" s="23" t="s">
        <v>1053</v>
      </c>
      <c r="C5223" s="23" t="s">
        <v>176</v>
      </c>
      <c r="D5223" s="23" t="s">
        <v>258</v>
      </c>
      <c r="E5223" s="23" t="s">
        <v>259</v>
      </c>
      <c r="F5223">
        <v>1.6</v>
      </c>
      <c r="G5223" s="23" t="s">
        <v>177</v>
      </c>
      <c r="H5223">
        <v>1.6</v>
      </c>
      <c r="I5223">
        <v>14</v>
      </c>
      <c r="J5223" s="10">
        <v>6.7999999999999901</v>
      </c>
      <c r="K52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5223">
        <v>12</v>
      </c>
      <c r="M52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5223">
        <v>328.85</v>
      </c>
      <c r="O5223" s="23" t="s">
        <v>260</v>
      </c>
      <c r="P5223">
        <v>526.16000000000008</v>
      </c>
      <c r="Q5223" s="23" t="s">
        <v>184</v>
      </c>
    </row>
    <row r="5224" spans="1:17" x14ac:dyDescent="0.25">
      <c r="A5224" s="23" t="s">
        <v>1055</v>
      </c>
      <c r="B5224" s="23" t="s">
        <v>1056</v>
      </c>
      <c r="C5224" s="23" t="s">
        <v>176</v>
      </c>
      <c r="D5224" s="23" t="s">
        <v>99</v>
      </c>
      <c r="E5224" s="23" t="s">
        <v>250</v>
      </c>
      <c r="F5224">
        <v>4</v>
      </c>
      <c r="G5224" s="23" t="s">
        <v>177</v>
      </c>
      <c r="H5224">
        <v>4</v>
      </c>
      <c r="I5224">
        <v>230</v>
      </c>
      <c r="J5224" s="10">
        <v>72</v>
      </c>
      <c r="K52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224">
        <v>0</v>
      </c>
      <c r="M52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4">
        <v>225</v>
      </c>
      <c r="O5224" s="23" t="s">
        <v>826</v>
      </c>
      <c r="P5224">
        <v>900</v>
      </c>
      <c r="Q5224" s="23" t="s">
        <v>178</v>
      </c>
    </row>
    <row r="5225" spans="1:17" x14ac:dyDescent="0.25">
      <c r="A5225" s="23" t="s">
        <v>1096</v>
      </c>
      <c r="B5225" s="23" t="s">
        <v>1053</v>
      </c>
      <c r="C5225" s="23" t="s">
        <v>176</v>
      </c>
      <c r="D5225" s="23" t="s">
        <v>388</v>
      </c>
      <c r="E5225" s="23" t="s">
        <v>389</v>
      </c>
      <c r="F5225">
        <v>26</v>
      </c>
      <c r="G5225" s="23" t="s">
        <v>177</v>
      </c>
      <c r="H5225">
        <v>0</v>
      </c>
      <c r="I5225">
        <v>1100</v>
      </c>
      <c r="J5225" s="10">
        <v>780</v>
      </c>
      <c r="K52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5225">
        <v>0</v>
      </c>
      <c r="M52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5">
        <v>0.32</v>
      </c>
      <c r="O5225" s="23" t="s">
        <v>242</v>
      </c>
      <c r="P5225">
        <v>8.32</v>
      </c>
      <c r="Q5225" s="23" t="s">
        <v>181</v>
      </c>
    </row>
    <row r="5226" spans="1:17" x14ac:dyDescent="0.25">
      <c r="A5226" s="23" t="s">
        <v>1057</v>
      </c>
      <c r="B5226" s="23" t="s">
        <v>1056</v>
      </c>
      <c r="C5226" s="23" t="s">
        <v>176</v>
      </c>
      <c r="D5226" s="23" t="s">
        <v>784</v>
      </c>
      <c r="E5226" s="23" t="s">
        <v>785</v>
      </c>
      <c r="F5226">
        <v>1</v>
      </c>
      <c r="G5226" s="23" t="s">
        <v>177</v>
      </c>
      <c r="H5226">
        <v>1</v>
      </c>
      <c r="I5226">
        <v>7</v>
      </c>
      <c r="J5226" s="10">
        <v>9</v>
      </c>
      <c r="K52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26">
        <v>10</v>
      </c>
      <c r="M52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6">
        <v>450</v>
      </c>
      <c r="O5226" s="23" t="s">
        <v>291</v>
      </c>
      <c r="P5226">
        <v>450</v>
      </c>
      <c r="Q5226" s="23" t="s">
        <v>179</v>
      </c>
    </row>
    <row r="5227" spans="1:17" x14ac:dyDescent="0.25">
      <c r="A5227" s="23" t="s">
        <v>1143</v>
      </c>
      <c r="B5227" s="23" t="s">
        <v>1054</v>
      </c>
      <c r="C5227" s="23" t="s">
        <v>176</v>
      </c>
      <c r="D5227" s="23" t="s">
        <v>784</v>
      </c>
      <c r="E5227" s="23" t="s">
        <v>785</v>
      </c>
      <c r="F5227">
        <v>1</v>
      </c>
      <c r="G5227" s="23" t="s">
        <v>177</v>
      </c>
      <c r="H5227">
        <v>0</v>
      </c>
      <c r="I5227">
        <v>7</v>
      </c>
      <c r="J5227" s="10">
        <v>9</v>
      </c>
      <c r="K52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27">
        <v>10</v>
      </c>
      <c r="M52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7">
        <v>450</v>
      </c>
      <c r="O5227" s="23" t="s">
        <v>291</v>
      </c>
      <c r="P5227">
        <v>450</v>
      </c>
      <c r="Q5227" s="23" t="s">
        <v>179</v>
      </c>
    </row>
    <row r="5228" spans="1:17" x14ac:dyDescent="0.25">
      <c r="A5228" s="23" t="s">
        <v>1057</v>
      </c>
      <c r="B5228" s="23" t="s">
        <v>1056</v>
      </c>
      <c r="C5228" s="23" t="s">
        <v>176</v>
      </c>
      <c r="D5228" s="23" t="s">
        <v>474</v>
      </c>
      <c r="E5228" s="23" t="s">
        <v>475</v>
      </c>
      <c r="F5228">
        <v>30</v>
      </c>
      <c r="G5228" s="23" t="s">
        <v>177</v>
      </c>
      <c r="H5228">
        <v>0</v>
      </c>
      <c r="I5228">
        <v>880</v>
      </c>
      <c r="J5228" s="10">
        <v>414</v>
      </c>
      <c r="K52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228">
        <v>0</v>
      </c>
      <c r="M52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8">
        <v>2.1</v>
      </c>
      <c r="O5228" s="23" t="s">
        <v>242</v>
      </c>
      <c r="P5228">
        <v>63</v>
      </c>
      <c r="Q5228" s="23" t="s">
        <v>181</v>
      </c>
    </row>
    <row r="5229" spans="1:17" x14ac:dyDescent="0.25">
      <c r="A5229" s="23" t="s">
        <v>1143</v>
      </c>
      <c r="B5229" s="23" t="s">
        <v>1054</v>
      </c>
      <c r="C5229" s="23" t="s">
        <v>176</v>
      </c>
      <c r="D5229" s="23" t="s">
        <v>474</v>
      </c>
      <c r="E5229" s="23" t="s">
        <v>475</v>
      </c>
      <c r="F5229">
        <v>40</v>
      </c>
      <c r="G5229" s="23" t="s">
        <v>177</v>
      </c>
      <c r="H5229">
        <v>0</v>
      </c>
      <c r="I5229">
        <v>880</v>
      </c>
      <c r="J5229" s="10">
        <v>414</v>
      </c>
      <c r="K52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229">
        <v>0</v>
      </c>
      <c r="M52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29">
        <v>2.1</v>
      </c>
      <c r="O5229" s="23" t="s">
        <v>242</v>
      </c>
      <c r="P5229">
        <v>84</v>
      </c>
      <c r="Q5229" s="23" t="s">
        <v>181</v>
      </c>
    </row>
    <row r="5230" spans="1:17" x14ac:dyDescent="0.25">
      <c r="A5230" s="23" t="s">
        <v>1055</v>
      </c>
      <c r="B5230" s="23" t="s">
        <v>1056</v>
      </c>
      <c r="C5230" s="23" t="s">
        <v>176</v>
      </c>
      <c r="D5230" s="23" t="s">
        <v>784</v>
      </c>
      <c r="E5230" s="23" t="s">
        <v>785</v>
      </c>
      <c r="F5230">
        <v>1</v>
      </c>
      <c r="G5230" s="23" t="s">
        <v>177</v>
      </c>
      <c r="H5230">
        <v>1</v>
      </c>
      <c r="I5230">
        <v>7</v>
      </c>
      <c r="J5230" s="10">
        <v>9</v>
      </c>
      <c r="K52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30">
        <v>10</v>
      </c>
      <c r="M52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0">
        <v>450</v>
      </c>
      <c r="O5230" s="23" t="s">
        <v>291</v>
      </c>
      <c r="P5230">
        <v>450</v>
      </c>
      <c r="Q5230" s="23" t="s">
        <v>179</v>
      </c>
    </row>
    <row r="5231" spans="1:17" x14ac:dyDescent="0.25">
      <c r="A5231" s="23" t="s">
        <v>1058</v>
      </c>
      <c r="B5231" s="23" t="s">
        <v>1059</v>
      </c>
      <c r="C5231" s="23" t="s">
        <v>176</v>
      </c>
      <c r="D5231" s="23" t="s">
        <v>784</v>
      </c>
      <c r="E5231" s="23" t="s">
        <v>785</v>
      </c>
      <c r="F5231">
        <v>1</v>
      </c>
      <c r="G5231" s="23" t="s">
        <v>177</v>
      </c>
      <c r="H5231">
        <v>1</v>
      </c>
      <c r="I5231">
        <v>7</v>
      </c>
      <c r="J5231" s="10">
        <v>9</v>
      </c>
      <c r="K52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31">
        <v>10</v>
      </c>
      <c r="M52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1">
        <v>450</v>
      </c>
      <c r="O5231" s="23" t="s">
        <v>291</v>
      </c>
      <c r="P5231">
        <v>450</v>
      </c>
      <c r="Q5231" s="23" t="s">
        <v>179</v>
      </c>
    </row>
    <row r="5232" spans="1:17" x14ac:dyDescent="0.25">
      <c r="A5232" s="23" t="s">
        <v>1057</v>
      </c>
      <c r="B5232" s="23" t="s">
        <v>1056</v>
      </c>
      <c r="C5232" s="23" t="s">
        <v>176</v>
      </c>
      <c r="D5232" s="23" t="s">
        <v>9</v>
      </c>
      <c r="E5232" s="23" t="s">
        <v>10</v>
      </c>
      <c r="F5232">
        <v>4</v>
      </c>
      <c r="G5232" s="23" t="s">
        <v>177</v>
      </c>
      <c r="H5232">
        <v>4</v>
      </c>
      <c r="I5232">
        <v>19</v>
      </c>
      <c r="J5232" s="10">
        <v>32</v>
      </c>
      <c r="K52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232">
        <v>20</v>
      </c>
      <c r="M52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2">
        <v>72.819999999999993</v>
      </c>
      <c r="O5232" s="23" t="s">
        <v>228</v>
      </c>
      <c r="P5232">
        <v>291.27999999999997</v>
      </c>
      <c r="Q5232" s="23" t="s">
        <v>222</v>
      </c>
    </row>
    <row r="5233" spans="1:17" x14ac:dyDescent="0.25">
      <c r="A5233" s="23" t="s">
        <v>1058</v>
      </c>
      <c r="B5233" s="23" t="s">
        <v>1059</v>
      </c>
      <c r="C5233" s="23" t="s">
        <v>176</v>
      </c>
      <c r="D5233" s="23" t="s">
        <v>666</v>
      </c>
      <c r="E5233" s="23" t="s">
        <v>667</v>
      </c>
      <c r="F5233">
        <v>1</v>
      </c>
      <c r="G5233" s="23" t="s">
        <v>177</v>
      </c>
      <c r="H5233">
        <v>1</v>
      </c>
      <c r="I5233">
        <v>0</v>
      </c>
      <c r="J5233" s="10">
        <v>4</v>
      </c>
      <c r="K52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33">
        <v>20</v>
      </c>
      <c r="M52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3">
        <v>28000</v>
      </c>
      <c r="O5233" s="23" t="s">
        <v>830</v>
      </c>
      <c r="P5233">
        <v>28000</v>
      </c>
      <c r="Q5233" s="23" t="s">
        <v>222</v>
      </c>
    </row>
    <row r="5234" spans="1:17" x14ac:dyDescent="0.25">
      <c r="A5234" s="23" t="s">
        <v>1096</v>
      </c>
      <c r="B5234" s="23" t="s">
        <v>1053</v>
      </c>
      <c r="C5234" s="23" t="s">
        <v>176</v>
      </c>
      <c r="D5234" s="23" t="s">
        <v>764</v>
      </c>
      <c r="E5234" s="23" t="s">
        <v>765</v>
      </c>
      <c r="F5234">
        <v>1</v>
      </c>
      <c r="G5234" s="23" t="s">
        <v>177</v>
      </c>
      <c r="H5234">
        <v>1</v>
      </c>
      <c r="I5234">
        <v>5</v>
      </c>
      <c r="J5234" s="10">
        <v>7</v>
      </c>
      <c r="K52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34">
        <v>8</v>
      </c>
      <c r="M52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4">
        <v>401.17</v>
      </c>
      <c r="O5234" s="23" t="s">
        <v>766</v>
      </c>
      <c r="P5234">
        <v>401.17</v>
      </c>
      <c r="Q5234" s="23" t="s">
        <v>222</v>
      </c>
    </row>
    <row r="5235" spans="1:17" x14ac:dyDescent="0.25">
      <c r="A5235" s="23" t="s">
        <v>1058</v>
      </c>
      <c r="B5235" s="23" t="s">
        <v>1059</v>
      </c>
      <c r="C5235" s="23" t="s">
        <v>176</v>
      </c>
      <c r="D5235" s="23" t="s">
        <v>1081</v>
      </c>
      <c r="E5235" s="23" t="s">
        <v>1082</v>
      </c>
      <c r="F5235">
        <v>3</v>
      </c>
      <c r="G5235" s="23" t="s">
        <v>177</v>
      </c>
      <c r="H5235">
        <v>3</v>
      </c>
      <c r="I5235">
        <v>17</v>
      </c>
      <c r="J5235" s="10">
        <v>16</v>
      </c>
      <c r="K52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235">
        <v>30</v>
      </c>
      <c r="M52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5">
        <v>67.22</v>
      </c>
      <c r="O5235" s="23" t="s">
        <v>593</v>
      </c>
      <c r="P5235">
        <v>201.66</v>
      </c>
      <c r="Q5235" s="23" t="s">
        <v>179</v>
      </c>
    </row>
    <row r="5236" spans="1:17" x14ac:dyDescent="0.25">
      <c r="A5236" s="23" t="s">
        <v>1099</v>
      </c>
      <c r="B5236" s="23" t="s">
        <v>1056</v>
      </c>
      <c r="C5236" s="23" t="s">
        <v>176</v>
      </c>
      <c r="D5236" s="23" t="s">
        <v>517</v>
      </c>
      <c r="E5236" s="23" t="s">
        <v>518</v>
      </c>
      <c r="F5236">
        <v>0.6</v>
      </c>
      <c r="G5236" s="23" t="s">
        <v>177</v>
      </c>
      <c r="H5236">
        <v>0.6</v>
      </c>
      <c r="I5236">
        <v>91</v>
      </c>
      <c r="J5236" s="10">
        <v>17.799999999999994</v>
      </c>
      <c r="K52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236">
        <v>0</v>
      </c>
      <c r="M52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6">
        <v>85</v>
      </c>
      <c r="O5236" s="23" t="s">
        <v>347</v>
      </c>
      <c r="P5236">
        <v>51</v>
      </c>
      <c r="Q5236" s="23" t="s">
        <v>181</v>
      </c>
    </row>
    <row r="5237" spans="1:17" x14ac:dyDescent="0.25">
      <c r="A5237" s="23" t="s">
        <v>1100</v>
      </c>
      <c r="B5237" s="23" t="s">
        <v>1101</v>
      </c>
      <c r="C5237" s="23" t="s">
        <v>176</v>
      </c>
      <c r="D5237" s="23" t="s">
        <v>146</v>
      </c>
      <c r="E5237" s="23" t="s">
        <v>147</v>
      </c>
      <c r="F5237">
        <v>3</v>
      </c>
      <c r="G5237" s="23" t="s">
        <v>177</v>
      </c>
      <c r="H5237">
        <v>3</v>
      </c>
      <c r="I5237">
        <v>0</v>
      </c>
      <c r="J5237" s="10">
        <v>-8.4376949871511897E-15</v>
      </c>
      <c r="K52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237">
        <v>4</v>
      </c>
      <c r="M52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237">
        <v>1041.6600000000001</v>
      </c>
      <c r="O5237" s="23" t="s">
        <v>224</v>
      </c>
      <c r="P5237">
        <v>3124.9800000000005</v>
      </c>
      <c r="Q5237" s="23" t="s">
        <v>182</v>
      </c>
    </row>
    <row r="5238" spans="1:17" x14ac:dyDescent="0.25">
      <c r="A5238" s="23" t="s">
        <v>1099</v>
      </c>
      <c r="B5238" s="23" t="s">
        <v>1056</v>
      </c>
      <c r="C5238" s="23" t="s">
        <v>176</v>
      </c>
      <c r="D5238" s="23" t="s">
        <v>320</v>
      </c>
      <c r="E5238" s="23" t="s">
        <v>321</v>
      </c>
      <c r="F5238">
        <v>0.105</v>
      </c>
      <c r="G5238" s="23" t="s">
        <v>187</v>
      </c>
      <c r="H5238">
        <v>0.105</v>
      </c>
      <c r="I5238">
        <v>0</v>
      </c>
      <c r="J5238" s="10">
        <v>4.543000000000017</v>
      </c>
      <c r="K52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5238">
        <v>0</v>
      </c>
      <c r="M52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5238">
        <v>19500</v>
      </c>
      <c r="O5238" s="23" t="s">
        <v>763</v>
      </c>
      <c r="P5238">
        <v>2047.5</v>
      </c>
      <c r="Q5238" s="23" t="s">
        <v>182</v>
      </c>
    </row>
    <row r="5239" spans="1:17" x14ac:dyDescent="0.25">
      <c r="A5239" s="23" t="s">
        <v>1099</v>
      </c>
      <c r="B5239" s="23" t="s">
        <v>1056</v>
      </c>
      <c r="C5239" s="23" t="s">
        <v>176</v>
      </c>
      <c r="D5239" s="23" t="s">
        <v>387</v>
      </c>
      <c r="E5239" s="23" t="s">
        <v>614</v>
      </c>
      <c r="F5239">
        <v>1</v>
      </c>
      <c r="G5239" s="23" t="s">
        <v>183</v>
      </c>
      <c r="H5239">
        <v>1</v>
      </c>
      <c r="I5239">
        <v>15.9</v>
      </c>
      <c r="J5239" s="10">
        <v>39.329999999999977</v>
      </c>
      <c r="K52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5239">
        <v>11.895</v>
      </c>
      <c r="M52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39">
        <v>641.03</v>
      </c>
      <c r="O5239" s="23" t="s">
        <v>224</v>
      </c>
      <c r="P5239">
        <v>641.03</v>
      </c>
      <c r="Q5239" s="23" t="s">
        <v>182</v>
      </c>
    </row>
    <row r="5240" spans="1:17" x14ac:dyDescent="0.25">
      <c r="A5240" s="23" t="s">
        <v>1058</v>
      </c>
      <c r="B5240" s="23" t="s">
        <v>1059</v>
      </c>
      <c r="C5240" s="23" t="s">
        <v>176</v>
      </c>
      <c r="D5240" s="23" t="s">
        <v>698</v>
      </c>
      <c r="E5240" s="23" t="s">
        <v>699</v>
      </c>
      <c r="F5240">
        <v>1</v>
      </c>
      <c r="G5240" s="23" t="s">
        <v>177</v>
      </c>
      <c r="H5240">
        <v>1</v>
      </c>
      <c r="I5240">
        <v>7</v>
      </c>
      <c r="J5240" s="10">
        <v>4</v>
      </c>
      <c r="K52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40">
        <v>0</v>
      </c>
      <c r="M52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5240">
        <v>2200</v>
      </c>
      <c r="O5240" s="23" t="s">
        <v>253</v>
      </c>
      <c r="P5240">
        <v>2200</v>
      </c>
      <c r="Q5240" s="23" t="s">
        <v>179</v>
      </c>
    </row>
    <row r="5241" spans="1:17" x14ac:dyDescent="0.25">
      <c r="A5241" s="23" t="s">
        <v>1055</v>
      </c>
      <c r="B5241" s="23" t="s">
        <v>1056</v>
      </c>
      <c r="C5241" s="23" t="s">
        <v>176</v>
      </c>
      <c r="D5241" s="23" t="s">
        <v>146</v>
      </c>
      <c r="E5241" s="23" t="s">
        <v>147</v>
      </c>
      <c r="F5241">
        <v>2.2999999999999998</v>
      </c>
      <c r="G5241" s="23" t="s">
        <v>177</v>
      </c>
      <c r="H5241">
        <v>2.2999999999999998</v>
      </c>
      <c r="I5241">
        <v>0</v>
      </c>
      <c r="J5241" s="10">
        <v>-8.4376949871511897E-15</v>
      </c>
      <c r="K52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241">
        <v>4</v>
      </c>
      <c r="M52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241">
        <v>1041.6600000000001</v>
      </c>
      <c r="O5241" s="23" t="s">
        <v>224</v>
      </c>
      <c r="P5241">
        <v>2395.8180000000002</v>
      </c>
      <c r="Q5241" s="23" t="s">
        <v>182</v>
      </c>
    </row>
    <row r="5242" spans="1:17" x14ac:dyDescent="0.25">
      <c r="A5242" s="23" t="s">
        <v>1099</v>
      </c>
      <c r="B5242" s="23" t="s">
        <v>1056</v>
      </c>
      <c r="C5242" s="23" t="s">
        <v>176</v>
      </c>
      <c r="D5242" s="23" t="s">
        <v>146</v>
      </c>
      <c r="E5242" s="23" t="s">
        <v>147</v>
      </c>
      <c r="F5242">
        <v>2.2999999999999998</v>
      </c>
      <c r="G5242" s="23" t="s">
        <v>177</v>
      </c>
      <c r="H5242">
        <v>2.2999999999999998</v>
      </c>
      <c r="I5242">
        <v>0</v>
      </c>
      <c r="J5242" s="10">
        <v>-8.4376949871511897E-15</v>
      </c>
      <c r="K52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242">
        <v>4</v>
      </c>
      <c r="M52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242">
        <v>1041.6600000000001</v>
      </c>
      <c r="O5242" s="23" t="s">
        <v>224</v>
      </c>
      <c r="P5242">
        <v>2395.8180000000002</v>
      </c>
      <c r="Q5242" s="23" t="s">
        <v>182</v>
      </c>
    </row>
    <row r="5243" spans="1:17" x14ac:dyDescent="0.25">
      <c r="A5243" s="23" t="s">
        <v>1057</v>
      </c>
      <c r="B5243" s="23" t="s">
        <v>1056</v>
      </c>
      <c r="C5243" s="23" t="s">
        <v>176</v>
      </c>
      <c r="D5243" s="23" t="s">
        <v>1030</v>
      </c>
      <c r="E5243" s="23" t="s">
        <v>1031</v>
      </c>
      <c r="F5243">
        <v>1</v>
      </c>
      <c r="G5243" s="23" t="s">
        <v>177</v>
      </c>
      <c r="H5243">
        <v>1</v>
      </c>
      <c r="I5243">
        <v>2</v>
      </c>
      <c r="J5243" s="10">
        <v>2</v>
      </c>
      <c r="K52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243">
        <v>0</v>
      </c>
      <c r="M52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3">
        <v>400</v>
      </c>
      <c r="O5243" s="23" t="s">
        <v>1032</v>
      </c>
      <c r="P5243">
        <v>400</v>
      </c>
      <c r="Q5243" s="23" t="s">
        <v>179</v>
      </c>
    </row>
    <row r="5244" spans="1:17" x14ac:dyDescent="0.25">
      <c r="A5244" s="23" t="s">
        <v>1099</v>
      </c>
      <c r="B5244" s="23" t="s">
        <v>1056</v>
      </c>
      <c r="C5244" s="23" t="s">
        <v>176</v>
      </c>
      <c r="D5244" s="23" t="s">
        <v>109</v>
      </c>
      <c r="E5244" s="23" t="s">
        <v>110</v>
      </c>
      <c r="F5244">
        <v>1</v>
      </c>
      <c r="G5244" s="23" t="s">
        <v>177</v>
      </c>
      <c r="H5244">
        <v>1</v>
      </c>
      <c r="I5244">
        <v>0</v>
      </c>
      <c r="J5244" s="10">
        <v>5.5699999999999843</v>
      </c>
      <c r="K52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44">
        <v>0</v>
      </c>
      <c r="M52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5244">
        <v>1416.67</v>
      </c>
      <c r="O5244" s="23" t="s">
        <v>224</v>
      </c>
      <c r="P5244">
        <v>1416.67</v>
      </c>
      <c r="Q5244" s="23" t="s">
        <v>182</v>
      </c>
    </row>
    <row r="5245" spans="1:17" x14ac:dyDescent="0.25">
      <c r="A5245" s="23" t="s">
        <v>1096</v>
      </c>
      <c r="B5245" s="23" t="s">
        <v>1053</v>
      </c>
      <c r="C5245" s="23" t="s">
        <v>176</v>
      </c>
      <c r="D5245" s="23" t="s">
        <v>698</v>
      </c>
      <c r="E5245" s="23" t="s">
        <v>699</v>
      </c>
      <c r="F5245">
        <v>1</v>
      </c>
      <c r="G5245" s="23" t="s">
        <v>177</v>
      </c>
      <c r="H5245">
        <v>1</v>
      </c>
      <c r="I5245">
        <v>7</v>
      </c>
      <c r="J5245" s="10">
        <v>4</v>
      </c>
      <c r="K52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45">
        <v>0</v>
      </c>
      <c r="M52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5245">
        <v>2200</v>
      </c>
      <c r="O5245" s="23" t="s">
        <v>253</v>
      </c>
      <c r="P5245">
        <v>2200</v>
      </c>
      <c r="Q5245" s="23" t="s">
        <v>179</v>
      </c>
    </row>
    <row r="5246" spans="1:17" x14ac:dyDescent="0.25">
      <c r="A5246" s="23" t="s">
        <v>1055</v>
      </c>
      <c r="B5246" s="23" t="s">
        <v>1056</v>
      </c>
      <c r="C5246" s="23" t="s">
        <v>176</v>
      </c>
      <c r="D5246" s="23" t="s">
        <v>764</v>
      </c>
      <c r="E5246" s="23" t="s">
        <v>765</v>
      </c>
      <c r="F5246">
        <v>1</v>
      </c>
      <c r="G5246" s="23" t="s">
        <v>177</v>
      </c>
      <c r="H5246">
        <v>1</v>
      </c>
      <c r="I5246">
        <v>5</v>
      </c>
      <c r="J5246" s="10">
        <v>7</v>
      </c>
      <c r="K52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46">
        <v>8</v>
      </c>
      <c r="M52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46">
        <v>401.17</v>
      </c>
      <c r="O5246" s="23" t="s">
        <v>766</v>
      </c>
      <c r="P5246">
        <v>401.17</v>
      </c>
      <c r="Q5246" s="23" t="s">
        <v>222</v>
      </c>
    </row>
    <row r="5247" spans="1:17" x14ac:dyDescent="0.25">
      <c r="A5247" s="23" t="s">
        <v>1096</v>
      </c>
      <c r="B5247" s="23" t="s">
        <v>1053</v>
      </c>
      <c r="C5247" s="23" t="s">
        <v>176</v>
      </c>
      <c r="D5247" s="23" t="s">
        <v>735</v>
      </c>
      <c r="E5247" s="23" t="s">
        <v>736</v>
      </c>
      <c r="F5247">
        <v>1</v>
      </c>
      <c r="G5247" s="23" t="s">
        <v>177</v>
      </c>
      <c r="H5247">
        <v>1</v>
      </c>
      <c r="I5247">
        <v>12</v>
      </c>
      <c r="J5247" s="10">
        <v>15</v>
      </c>
      <c r="K52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247">
        <v>0</v>
      </c>
      <c r="M52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5247">
        <v>565.83000000000004</v>
      </c>
      <c r="O5247" s="23" t="s">
        <v>668</v>
      </c>
      <c r="P5247">
        <v>565.83000000000004</v>
      </c>
      <c r="Q5247" s="23" t="s">
        <v>678</v>
      </c>
    </row>
    <row r="5248" spans="1:17" x14ac:dyDescent="0.25">
      <c r="A5248" s="23" t="s">
        <v>1055</v>
      </c>
      <c r="B5248" s="23" t="s">
        <v>1056</v>
      </c>
      <c r="C5248" s="23" t="s">
        <v>176</v>
      </c>
      <c r="D5248" s="23" t="s">
        <v>109</v>
      </c>
      <c r="E5248" s="23" t="s">
        <v>110</v>
      </c>
      <c r="F5248">
        <v>1</v>
      </c>
      <c r="G5248" s="23" t="s">
        <v>177</v>
      </c>
      <c r="H5248">
        <v>1</v>
      </c>
      <c r="I5248">
        <v>0</v>
      </c>
      <c r="J5248" s="10">
        <v>5.5699999999999843</v>
      </c>
      <c r="K52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48">
        <v>0</v>
      </c>
      <c r="M52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5248">
        <v>1416.67</v>
      </c>
      <c r="O5248" s="23" t="s">
        <v>224</v>
      </c>
      <c r="P5248">
        <v>1416.67</v>
      </c>
      <c r="Q5248" s="23" t="s">
        <v>182</v>
      </c>
    </row>
    <row r="5249" spans="1:17" x14ac:dyDescent="0.25">
      <c r="A5249" s="23" t="s">
        <v>1057</v>
      </c>
      <c r="B5249" s="23" t="s">
        <v>1056</v>
      </c>
      <c r="C5249" s="23" t="s">
        <v>176</v>
      </c>
      <c r="D5249" s="23" t="s">
        <v>109</v>
      </c>
      <c r="E5249" s="23" t="s">
        <v>110</v>
      </c>
      <c r="F5249">
        <v>1</v>
      </c>
      <c r="G5249" s="23" t="s">
        <v>177</v>
      </c>
      <c r="H5249">
        <v>1</v>
      </c>
      <c r="I5249">
        <v>0</v>
      </c>
      <c r="J5249" s="10">
        <v>5.5699999999999843</v>
      </c>
      <c r="K52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249">
        <v>0</v>
      </c>
      <c r="M52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7083.35</v>
      </c>
      <c r="N5249">
        <v>1416.67</v>
      </c>
      <c r="O5249" s="23" t="s">
        <v>224</v>
      </c>
      <c r="P5249">
        <v>1416.67</v>
      </c>
      <c r="Q5249" s="23" t="s">
        <v>182</v>
      </c>
    </row>
    <row r="5250" spans="1:17" x14ac:dyDescent="0.25">
      <c r="A5250" s="23" t="s">
        <v>1057</v>
      </c>
      <c r="B5250" s="23" t="s">
        <v>1056</v>
      </c>
      <c r="C5250" s="23" t="s">
        <v>176</v>
      </c>
      <c r="D5250" s="23" t="s">
        <v>146</v>
      </c>
      <c r="E5250" s="23" t="s">
        <v>147</v>
      </c>
      <c r="F5250">
        <v>2.2999999999999998</v>
      </c>
      <c r="G5250" s="23" t="s">
        <v>177</v>
      </c>
      <c r="H5250">
        <v>2.2999999999999998</v>
      </c>
      <c r="I5250">
        <v>0</v>
      </c>
      <c r="J5250" s="10">
        <v>-8.4376949871511897E-15</v>
      </c>
      <c r="K52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46.999999999999993</v>
      </c>
      <c r="L5250">
        <v>4</v>
      </c>
      <c r="M52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48958.02</v>
      </c>
      <c r="N5250">
        <v>1041.6600000000001</v>
      </c>
      <c r="O5250" s="23" t="s">
        <v>224</v>
      </c>
      <c r="P5250">
        <v>2395.8180000000002</v>
      </c>
      <c r="Q5250" s="23" t="s">
        <v>182</v>
      </c>
    </row>
    <row r="5251" spans="1:17" x14ac:dyDescent="0.25">
      <c r="A5251" s="23" t="s">
        <v>1100</v>
      </c>
      <c r="B5251" s="23" t="s">
        <v>1101</v>
      </c>
      <c r="C5251" s="23" t="s">
        <v>176</v>
      </c>
      <c r="D5251" s="23" t="s">
        <v>320</v>
      </c>
      <c r="E5251" s="23" t="s">
        <v>321</v>
      </c>
      <c r="F5251">
        <v>0.14400000000000002</v>
      </c>
      <c r="G5251" s="23" t="s">
        <v>187</v>
      </c>
      <c r="H5251">
        <v>0.14400000000000002</v>
      </c>
      <c r="I5251">
        <v>0</v>
      </c>
      <c r="J5251" s="10">
        <v>4.543000000000017</v>
      </c>
      <c r="K52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5251">
        <v>0</v>
      </c>
      <c r="M52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5251">
        <v>19500</v>
      </c>
      <c r="O5251" s="23" t="s">
        <v>763</v>
      </c>
      <c r="P5251">
        <v>2808.0000000000005</v>
      </c>
      <c r="Q5251" s="23" t="s">
        <v>182</v>
      </c>
    </row>
    <row r="5252" spans="1:17" x14ac:dyDescent="0.25">
      <c r="A5252" s="23" t="s">
        <v>1100</v>
      </c>
      <c r="B5252" s="23" t="s">
        <v>1101</v>
      </c>
      <c r="C5252" s="23" t="s">
        <v>176</v>
      </c>
      <c r="D5252" s="23" t="s">
        <v>138</v>
      </c>
      <c r="E5252" s="23" t="s">
        <v>139</v>
      </c>
      <c r="F5252">
        <v>5</v>
      </c>
      <c r="G5252" s="23" t="s">
        <v>177</v>
      </c>
      <c r="H5252">
        <v>5</v>
      </c>
      <c r="I5252">
        <v>23</v>
      </c>
      <c r="J5252" s="10">
        <v>22</v>
      </c>
      <c r="K52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252">
        <v>10</v>
      </c>
      <c r="M52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2">
        <v>71.77</v>
      </c>
      <c r="O5252" s="23" t="s">
        <v>228</v>
      </c>
      <c r="P5252">
        <v>358.84999999999997</v>
      </c>
      <c r="Q5252" s="23" t="s">
        <v>222</v>
      </c>
    </row>
    <row r="5253" spans="1:17" x14ac:dyDescent="0.25">
      <c r="A5253" s="23" t="s">
        <v>1096</v>
      </c>
      <c r="B5253" s="23" t="s">
        <v>1053</v>
      </c>
      <c r="C5253" s="23" t="s">
        <v>176</v>
      </c>
      <c r="D5253" s="23" t="s">
        <v>533</v>
      </c>
      <c r="E5253" s="23" t="s">
        <v>534</v>
      </c>
      <c r="F5253">
        <v>10</v>
      </c>
      <c r="G5253" s="23" t="s">
        <v>180</v>
      </c>
      <c r="H5253">
        <v>0</v>
      </c>
      <c r="I5253">
        <v>0</v>
      </c>
      <c r="J5253" s="10">
        <v>0</v>
      </c>
      <c r="K52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-220</v>
      </c>
      <c r="L5253">
        <v>400</v>
      </c>
      <c r="M52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3">
        <v>5</v>
      </c>
      <c r="O5253" s="23" t="s">
        <v>225</v>
      </c>
      <c r="P5253">
        <v>50</v>
      </c>
      <c r="Q5253" s="23" t="s">
        <v>181</v>
      </c>
    </row>
    <row r="5254" spans="1:17" x14ac:dyDescent="0.25">
      <c r="A5254" s="23" t="s">
        <v>1096</v>
      </c>
      <c r="B5254" s="23" t="s">
        <v>1053</v>
      </c>
      <c r="C5254" s="23" t="s">
        <v>176</v>
      </c>
      <c r="D5254" s="23" t="s">
        <v>681</v>
      </c>
      <c r="E5254" s="23" t="s">
        <v>682</v>
      </c>
      <c r="F5254">
        <v>1</v>
      </c>
      <c r="G5254" s="23" t="s">
        <v>177</v>
      </c>
      <c r="H5254">
        <v>1</v>
      </c>
      <c r="I5254">
        <v>11</v>
      </c>
      <c r="J5254" s="10">
        <v>3</v>
      </c>
      <c r="K52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254">
        <v>0</v>
      </c>
      <c r="M52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4">
        <v>252</v>
      </c>
      <c r="O5254" s="23" t="s">
        <v>248</v>
      </c>
      <c r="P5254">
        <v>252</v>
      </c>
      <c r="Q5254" s="23" t="s">
        <v>181</v>
      </c>
    </row>
    <row r="5255" spans="1:17" x14ac:dyDescent="0.25">
      <c r="A5255" s="23" t="s">
        <v>1062</v>
      </c>
      <c r="B5255" s="23" t="s">
        <v>1053</v>
      </c>
      <c r="C5255" s="23" t="s">
        <v>176</v>
      </c>
      <c r="D5255" s="23" t="s">
        <v>121</v>
      </c>
      <c r="E5255" s="23" t="s">
        <v>312</v>
      </c>
      <c r="F5255">
        <v>2.2999999999999998</v>
      </c>
      <c r="G5255" s="23" t="s">
        <v>177</v>
      </c>
      <c r="H5255">
        <v>2.2999999999999998</v>
      </c>
      <c r="I5255">
        <v>24</v>
      </c>
      <c r="J5255" s="10">
        <v>18.499999999999972</v>
      </c>
      <c r="K52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5255">
        <v>0</v>
      </c>
      <c r="M52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5255">
        <v>120</v>
      </c>
      <c r="O5255" s="23" t="s">
        <v>242</v>
      </c>
      <c r="P5255">
        <v>276</v>
      </c>
      <c r="Q5255" s="23" t="s">
        <v>184</v>
      </c>
    </row>
    <row r="5256" spans="1:17" x14ac:dyDescent="0.25">
      <c r="A5256" s="23" t="s">
        <v>1062</v>
      </c>
      <c r="B5256" s="23" t="s">
        <v>1053</v>
      </c>
      <c r="C5256" s="23" t="s">
        <v>176</v>
      </c>
      <c r="D5256" s="23" t="s">
        <v>764</v>
      </c>
      <c r="E5256" s="23" t="s">
        <v>765</v>
      </c>
      <c r="F5256">
        <v>1</v>
      </c>
      <c r="G5256" s="23" t="s">
        <v>177</v>
      </c>
      <c r="H5256">
        <v>1</v>
      </c>
      <c r="I5256">
        <v>5</v>
      </c>
      <c r="J5256" s="10">
        <v>7</v>
      </c>
      <c r="K52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56">
        <v>8</v>
      </c>
      <c r="M52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6">
        <v>401.17</v>
      </c>
      <c r="O5256" s="23" t="s">
        <v>766</v>
      </c>
      <c r="P5256">
        <v>401.17</v>
      </c>
      <c r="Q5256" s="23" t="s">
        <v>222</v>
      </c>
    </row>
    <row r="5257" spans="1:17" x14ac:dyDescent="0.25">
      <c r="A5257" s="23" t="s">
        <v>1098</v>
      </c>
      <c r="B5257" s="23" t="s">
        <v>1053</v>
      </c>
      <c r="C5257" s="23" t="s">
        <v>176</v>
      </c>
      <c r="D5257" s="23" t="s">
        <v>563</v>
      </c>
      <c r="E5257" s="23" t="s">
        <v>564</v>
      </c>
      <c r="F5257">
        <v>7</v>
      </c>
      <c r="G5257" s="23" t="s">
        <v>177</v>
      </c>
      <c r="H5257">
        <v>0</v>
      </c>
      <c r="I5257">
        <v>3000</v>
      </c>
      <c r="J5257" s="10">
        <v>0</v>
      </c>
      <c r="K52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-2847</v>
      </c>
      <c r="L5257">
        <v>0</v>
      </c>
      <c r="M52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57">
        <v>0.7</v>
      </c>
      <c r="O5257" s="23" t="s">
        <v>242</v>
      </c>
      <c r="P5257">
        <v>4.8999999999999995</v>
      </c>
      <c r="Q5257" s="23" t="s">
        <v>181</v>
      </c>
    </row>
    <row r="5258" spans="1:17" x14ac:dyDescent="0.25">
      <c r="A5258" s="23" t="s">
        <v>1057</v>
      </c>
      <c r="B5258" s="23" t="s">
        <v>1056</v>
      </c>
      <c r="C5258" s="23" t="s">
        <v>176</v>
      </c>
      <c r="D5258" s="23" t="s">
        <v>612</v>
      </c>
      <c r="E5258" s="23" t="s">
        <v>613</v>
      </c>
      <c r="F5258">
        <v>6</v>
      </c>
      <c r="G5258" s="23" t="s">
        <v>183</v>
      </c>
      <c r="H5258">
        <v>0</v>
      </c>
      <c r="I5258">
        <v>136.5</v>
      </c>
      <c r="J5258" s="10">
        <v>5.5</v>
      </c>
      <c r="K52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5258">
        <v>110.5</v>
      </c>
      <c r="M52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5258">
        <v>200.15</v>
      </c>
      <c r="O5258" s="23" t="s">
        <v>224</v>
      </c>
      <c r="P5258">
        <v>1200.9000000000001</v>
      </c>
      <c r="Q5258" s="23" t="s">
        <v>182</v>
      </c>
    </row>
    <row r="5259" spans="1:17" x14ac:dyDescent="0.25">
      <c r="A5259" s="23" t="s">
        <v>1143</v>
      </c>
      <c r="B5259" s="23" t="s">
        <v>1054</v>
      </c>
      <c r="C5259" s="23" t="s">
        <v>176</v>
      </c>
      <c r="D5259" s="23" t="s">
        <v>612</v>
      </c>
      <c r="E5259" s="23" t="s">
        <v>613</v>
      </c>
      <c r="F5259">
        <v>55</v>
      </c>
      <c r="G5259" s="23" t="s">
        <v>183</v>
      </c>
      <c r="H5259">
        <v>0</v>
      </c>
      <c r="I5259">
        <v>136.5</v>
      </c>
      <c r="J5259" s="10">
        <v>5.5</v>
      </c>
      <c r="K52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175</v>
      </c>
      <c r="L5259">
        <v>110.5</v>
      </c>
      <c r="M52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35026.25</v>
      </c>
      <c r="N5259">
        <v>200.15</v>
      </c>
      <c r="O5259" s="23" t="s">
        <v>224</v>
      </c>
      <c r="P5259">
        <v>11008.25</v>
      </c>
      <c r="Q5259" s="23" t="s">
        <v>182</v>
      </c>
    </row>
    <row r="5260" spans="1:17" x14ac:dyDescent="0.25">
      <c r="A5260" s="23" t="s">
        <v>1197</v>
      </c>
      <c r="B5260" s="23" t="s">
        <v>1198</v>
      </c>
      <c r="C5260" s="23" t="s">
        <v>176</v>
      </c>
      <c r="D5260" s="23" t="s">
        <v>362</v>
      </c>
      <c r="E5260" s="23" t="s">
        <v>363</v>
      </c>
      <c r="F5260">
        <v>7.5</v>
      </c>
      <c r="G5260" s="23" t="s">
        <v>180</v>
      </c>
      <c r="H5260">
        <v>0</v>
      </c>
      <c r="I5260">
        <v>200</v>
      </c>
      <c r="J5260" s="10">
        <v>39.999999999999659</v>
      </c>
      <c r="K52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5260">
        <v>0</v>
      </c>
      <c r="M52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0">
        <v>22.5</v>
      </c>
      <c r="O5260" s="23" t="s">
        <v>315</v>
      </c>
      <c r="P5260">
        <v>168.75</v>
      </c>
      <c r="Q5260" s="23" t="s">
        <v>179</v>
      </c>
    </row>
    <row r="5261" spans="1:17" x14ac:dyDescent="0.25">
      <c r="A5261" s="23" t="s">
        <v>1062</v>
      </c>
      <c r="B5261" s="23" t="s">
        <v>1053</v>
      </c>
      <c r="C5261" s="23" t="s">
        <v>176</v>
      </c>
      <c r="D5261" s="23" t="s">
        <v>494</v>
      </c>
      <c r="E5261" s="23" t="s">
        <v>495</v>
      </c>
      <c r="F5261">
        <v>25</v>
      </c>
      <c r="G5261" s="23" t="s">
        <v>496</v>
      </c>
      <c r="H5261">
        <v>0</v>
      </c>
      <c r="I5261">
        <v>200</v>
      </c>
      <c r="J5261" s="10">
        <v>86</v>
      </c>
      <c r="K52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61">
        <v>0</v>
      </c>
      <c r="M52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61">
        <v>105</v>
      </c>
      <c r="O5261" s="23" t="s">
        <v>298</v>
      </c>
      <c r="P5261">
        <v>2625</v>
      </c>
      <c r="Q5261" s="23" t="s">
        <v>185</v>
      </c>
    </row>
    <row r="5262" spans="1:17" x14ac:dyDescent="0.25">
      <c r="A5262" s="23" t="s">
        <v>1097</v>
      </c>
      <c r="B5262" s="23" t="s">
        <v>1095</v>
      </c>
      <c r="C5262" s="23" t="s">
        <v>176</v>
      </c>
      <c r="D5262" s="23" t="s">
        <v>494</v>
      </c>
      <c r="E5262" s="23" t="s">
        <v>495</v>
      </c>
      <c r="F5262">
        <v>22</v>
      </c>
      <c r="G5262" s="23" t="s">
        <v>496</v>
      </c>
      <c r="H5262">
        <v>0</v>
      </c>
      <c r="I5262">
        <v>200</v>
      </c>
      <c r="J5262" s="10">
        <v>86</v>
      </c>
      <c r="K52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62">
        <v>0</v>
      </c>
      <c r="M52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62">
        <v>105</v>
      </c>
      <c r="O5262" s="23" t="s">
        <v>298</v>
      </c>
      <c r="P5262">
        <v>2310</v>
      </c>
      <c r="Q5262" s="23" t="s">
        <v>185</v>
      </c>
    </row>
    <row r="5263" spans="1:17" x14ac:dyDescent="0.25">
      <c r="A5263" s="23" t="s">
        <v>1057</v>
      </c>
      <c r="B5263" s="23" t="s">
        <v>1056</v>
      </c>
      <c r="C5263" s="23" t="s">
        <v>176</v>
      </c>
      <c r="D5263" s="23" t="s">
        <v>494</v>
      </c>
      <c r="E5263" s="23" t="s">
        <v>495</v>
      </c>
      <c r="F5263">
        <v>22</v>
      </c>
      <c r="G5263" s="23" t="s">
        <v>496</v>
      </c>
      <c r="H5263">
        <v>0</v>
      </c>
      <c r="I5263">
        <v>200</v>
      </c>
      <c r="J5263" s="10">
        <v>86</v>
      </c>
      <c r="K52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63">
        <v>0</v>
      </c>
      <c r="M52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63">
        <v>105</v>
      </c>
      <c r="O5263" s="23" t="s">
        <v>298</v>
      </c>
      <c r="P5263">
        <v>2310</v>
      </c>
      <c r="Q5263" s="23" t="s">
        <v>185</v>
      </c>
    </row>
    <row r="5264" spans="1:17" x14ac:dyDescent="0.25">
      <c r="A5264" s="23" t="s">
        <v>1096</v>
      </c>
      <c r="B5264" s="23" t="s">
        <v>1053</v>
      </c>
      <c r="C5264" s="23" t="s">
        <v>176</v>
      </c>
      <c r="D5264" s="23" t="s">
        <v>494</v>
      </c>
      <c r="E5264" s="23" t="s">
        <v>495</v>
      </c>
      <c r="F5264">
        <v>25</v>
      </c>
      <c r="G5264" s="23" t="s">
        <v>496</v>
      </c>
      <c r="H5264">
        <v>0</v>
      </c>
      <c r="I5264">
        <v>200</v>
      </c>
      <c r="J5264" s="10">
        <v>86</v>
      </c>
      <c r="K52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64">
        <v>0</v>
      </c>
      <c r="M52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64">
        <v>105</v>
      </c>
      <c r="O5264" s="23" t="s">
        <v>298</v>
      </c>
      <c r="P5264">
        <v>2625</v>
      </c>
      <c r="Q5264" s="23" t="s">
        <v>185</v>
      </c>
    </row>
    <row r="5265" spans="1:17" x14ac:dyDescent="0.25">
      <c r="A5265" s="23" t="s">
        <v>1143</v>
      </c>
      <c r="B5265" s="23" t="s">
        <v>1054</v>
      </c>
      <c r="C5265" s="23" t="s">
        <v>176</v>
      </c>
      <c r="D5265" s="23" t="s">
        <v>494</v>
      </c>
      <c r="E5265" s="23" t="s">
        <v>495</v>
      </c>
      <c r="F5265">
        <v>25</v>
      </c>
      <c r="G5265" s="23" t="s">
        <v>496</v>
      </c>
      <c r="H5265">
        <v>0</v>
      </c>
      <c r="I5265">
        <v>200</v>
      </c>
      <c r="J5265" s="10">
        <v>86</v>
      </c>
      <c r="K52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65">
        <v>0</v>
      </c>
      <c r="M52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65">
        <v>105</v>
      </c>
      <c r="O5265" s="23" t="s">
        <v>298</v>
      </c>
      <c r="P5265">
        <v>2625</v>
      </c>
      <c r="Q5265" s="23" t="s">
        <v>185</v>
      </c>
    </row>
    <row r="5266" spans="1:17" x14ac:dyDescent="0.25">
      <c r="A5266" s="23" t="s">
        <v>1143</v>
      </c>
      <c r="B5266" s="23" t="s">
        <v>1054</v>
      </c>
      <c r="C5266" s="23" t="s">
        <v>176</v>
      </c>
      <c r="D5266" s="23" t="s">
        <v>759</v>
      </c>
      <c r="E5266" s="23" t="s">
        <v>760</v>
      </c>
      <c r="F5266">
        <v>1</v>
      </c>
      <c r="G5266" s="23" t="s">
        <v>177</v>
      </c>
      <c r="H5266">
        <v>0</v>
      </c>
      <c r="I5266">
        <v>7</v>
      </c>
      <c r="J5266" s="10">
        <v>4</v>
      </c>
      <c r="K52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66">
        <v>0</v>
      </c>
      <c r="M52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6">
        <v>8495.43</v>
      </c>
      <c r="O5266" s="23" t="s">
        <v>277</v>
      </c>
      <c r="P5266">
        <v>8495.43</v>
      </c>
      <c r="Q5266" s="23" t="s">
        <v>178</v>
      </c>
    </row>
    <row r="5267" spans="1:17" x14ac:dyDescent="0.25">
      <c r="A5267" s="23" t="s">
        <v>1150</v>
      </c>
      <c r="B5267" s="23" t="s">
        <v>1145</v>
      </c>
      <c r="C5267" s="23" t="s">
        <v>176</v>
      </c>
      <c r="D5267" s="23" t="s">
        <v>494</v>
      </c>
      <c r="E5267" s="23" t="s">
        <v>495</v>
      </c>
      <c r="F5267">
        <v>27</v>
      </c>
      <c r="G5267" s="23" t="s">
        <v>496</v>
      </c>
      <c r="H5267">
        <v>0</v>
      </c>
      <c r="I5267">
        <v>200</v>
      </c>
      <c r="J5267" s="10">
        <v>86</v>
      </c>
      <c r="K52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67">
        <v>0</v>
      </c>
      <c r="M52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67">
        <v>105</v>
      </c>
      <c r="O5267" s="23" t="s">
        <v>298</v>
      </c>
      <c r="P5267">
        <v>2835</v>
      </c>
      <c r="Q5267" s="23" t="s">
        <v>185</v>
      </c>
    </row>
    <row r="5268" spans="1:17" x14ac:dyDescent="0.25">
      <c r="A5268" s="23" t="s">
        <v>1100</v>
      </c>
      <c r="B5268" s="23" t="s">
        <v>1101</v>
      </c>
      <c r="C5268" s="23" t="s">
        <v>176</v>
      </c>
      <c r="D5268" s="23" t="s">
        <v>602</v>
      </c>
      <c r="E5268" s="23" t="s">
        <v>603</v>
      </c>
      <c r="F5268">
        <v>2</v>
      </c>
      <c r="G5268" s="23" t="s">
        <v>177</v>
      </c>
      <c r="H5268">
        <v>0</v>
      </c>
      <c r="I5268">
        <v>28</v>
      </c>
      <c r="J5268" s="10">
        <v>6</v>
      </c>
      <c r="K52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268">
        <v>0</v>
      </c>
      <c r="M52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8">
        <v>50.41</v>
      </c>
      <c r="O5268" s="23" t="s">
        <v>637</v>
      </c>
      <c r="P5268">
        <v>100.82</v>
      </c>
      <c r="Q5268" s="23" t="s">
        <v>178</v>
      </c>
    </row>
    <row r="5269" spans="1:17" x14ac:dyDescent="0.25">
      <c r="A5269" s="23" t="s">
        <v>1098</v>
      </c>
      <c r="B5269" s="23" t="s">
        <v>1053</v>
      </c>
      <c r="C5269" s="23" t="s">
        <v>176</v>
      </c>
      <c r="D5269" s="23" t="s">
        <v>759</v>
      </c>
      <c r="E5269" s="23" t="s">
        <v>760</v>
      </c>
      <c r="F5269">
        <v>1</v>
      </c>
      <c r="G5269" s="23" t="s">
        <v>177</v>
      </c>
      <c r="H5269">
        <v>0</v>
      </c>
      <c r="I5269">
        <v>7</v>
      </c>
      <c r="J5269" s="10">
        <v>4</v>
      </c>
      <c r="K52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69">
        <v>0</v>
      </c>
      <c r="M52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69">
        <v>8495.43</v>
      </c>
      <c r="O5269" s="23" t="s">
        <v>277</v>
      </c>
      <c r="P5269">
        <v>8495.43</v>
      </c>
      <c r="Q5269" s="23" t="s">
        <v>178</v>
      </c>
    </row>
    <row r="5270" spans="1:17" x14ac:dyDescent="0.25">
      <c r="A5270" s="23" t="s">
        <v>1147</v>
      </c>
      <c r="B5270" s="23" t="s">
        <v>1145</v>
      </c>
      <c r="C5270" s="23" t="s">
        <v>176</v>
      </c>
      <c r="D5270" s="23" t="s">
        <v>494</v>
      </c>
      <c r="E5270" s="23" t="s">
        <v>495</v>
      </c>
      <c r="F5270">
        <v>22</v>
      </c>
      <c r="G5270" s="23" t="s">
        <v>496</v>
      </c>
      <c r="H5270">
        <v>0</v>
      </c>
      <c r="I5270">
        <v>200</v>
      </c>
      <c r="J5270" s="10">
        <v>86</v>
      </c>
      <c r="K52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70">
        <v>0</v>
      </c>
      <c r="M52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70">
        <v>105</v>
      </c>
      <c r="O5270" s="23" t="s">
        <v>298</v>
      </c>
      <c r="P5270">
        <v>2310</v>
      </c>
      <c r="Q5270" s="23" t="s">
        <v>185</v>
      </c>
    </row>
    <row r="5271" spans="1:17" x14ac:dyDescent="0.25">
      <c r="A5271" s="23" t="s">
        <v>1148</v>
      </c>
      <c r="B5271" s="23" t="s">
        <v>1054</v>
      </c>
      <c r="C5271" s="23" t="s">
        <v>176</v>
      </c>
      <c r="D5271" s="23" t="s">
        <v>494</v>
      </c>
      <c r="E5271" s="23" t="s">
        <v>495</v>
      </c>
      <c r="F5271">
        <v>22</v>
      </c>
      <c r="G5271" s="23" t="s">
        <v>496</v>
      </c>
      <c r="H5271">
        <v>0</v>
      </c>
      <c r="I5271">
        <v>200</v>
      </c>
      <c r="J5271" s="10">
        <v>86</v>
      </c>
      <c r="K52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71">
        <v>0</v>
      </c>
      <c r="M52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71">
        <v>105</v>
      </c>
      <c r="O5271" s="23" t="s">
        <v>298</v>
      </c>
      <c r="P5271">
        <v>2310</v>
      </c>
      <c r="Q5271" s="23" t="s">
        <v>185</v>
      </c>
    </row>
    <row r="5272" spans="1:17" x14ac:dyDescent="0.25">
      <c r="A5272" s="23" t="s">
        <v>1100</v>
      </c>
      <c r="B5272" s="23" t="s">
        <v>1101</v>
      </c>
      <c r="C5272" s="23" t="s">
        <v>176</v>
      </c>
      <c r="D5272" s="23" t="s">
        <v>759</v>
      </c>
      <c r="E5272" s="23" t="s">
        <v>760</v>
      </c>
      <c r="F5272">
        <v>1</v>
      </c>
      <c r="G5272" s="23" t="s">
        <v>177</v>
      </c>
      <c r="H5272">
        <v>0</v>
      </c>
      <c r="I5272">
        <v>7</v>
      </c>
      <c r="J5272" s="10">
        <v>4</v>
      </c>
      <c r="K52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72">
        <v>0</v>
      </c>
      <c r="M52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2">
        <v>8495.43</v>
      </c>
      <c r="O5272" s="23" t="s">
        <v>277</v>
      </c>
      <c r="P5272">
        <v>8495.43</v>
      </c>
      <c r="Q5272" s="23" t="s">
        <v>178</v>
      </c>
    </row>
    <row r="5273" spans="1:17" x14ac:dyDescent="0.25">
      <c r="A5273" s="23" t="s">
        <v>1197</v>
      </c>
      <c r="B5273" s="23" t="s">
        <v>1198</v>
      </c>
      <c r="C5273" s="23" t="s">
        <v>176</v>
      </c>
      <c r="D5273" s="23" t="s">
        <v>494</v>
      </c>
      <c r="E5273" s="23" t="s">
        <v>495</v>
      </c>
      <c r="F5273">
        <v>27</v>
      </c>
      <c r="G5273" s="23" t="s">
        <v>496</v>
      </c>
      <c r="H5273">
        <v>0</v>
      </c>
      <c r="I5273">
        <v>200</v>
      </c>
      <c r="J5273" s="10">
        <v>86</v>
      </c>
      <c r="K52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73">
        <v>0</v>
      </c>
      <c r="M52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73">
        <v>105</v>
      </c>
      <c r="O5273" s="23" t="s">
        <v>298</v>
      </c>
      <c r="P5273">
        <v>2835</v>
      </c>
      <c r="Q5273" s="23" t="s">
        <v>185</v>
      </c>
    </row>
    <row r="5274" spans="1:17" x14ac:dyDescent="0.25">
      <c r="A5274" s="23" t="s">
        <v>1098</v>
      </c>
      <c r="B5274" s="23" t="s">
        <v>1053</v>
      </c>
      <c r="C5274" s="23" t="s">
        <v>176</v>
      </c>
      <c r="D5274" s="23" t="s">
        <v>494</v>
      </c>
      <c r="E5274" s="23" t="s">
        <v>495</v>
      </c>
      <c r="F5274">
        <v>22</v>
      </c>
      <c r="G5274" s="23" t="s">
        <v>496</v>
      </c>
      <c r="H5274">
        <v>0</v>
      </c>
      <c r="I5274">
        <v>200</v>
      </c>
      <c r="J5274" s="10">
        <v>86</v>
      </c>
      <c r="K52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74">
        <v>0</v>
      </c>
      <c r="M52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74">
        <v>105</v>
      </c>
      <c r="O5274" s="23" t="s">
        <v>298</v>
      </c>
      <c r="P5274">
        <v>2310</v>
      </c>
      <c r="Q5274" s="23" t="s">
        <v>185</v>
      </c>
    </row>
    <row r="5275" spans="1:17" x14ac:dyDescent="0.25">
      <c r="A5275" s="23" t="s">
        <v>1094</v>
      </c>
      <c r="B5275" s="23" t="s">
        <v>1095</v>
      </c>
      <c r="C5275" s="23" t="s">
        <v>176</v>
      </c>
      <c r="D5275" s="23" t="s">
        <v>494</v>
      </c>
      <c r="E5275" s="23" t="s">
        <v>495</v>
      </c>
      <c r="F5275">
        <v>22</v>
      </c>
      <c r="G5275" s="23" t="s">
        <v>496</v>
      </c>
      <c r="H5275">
        <v>0</v>
      </c>
      <c r="I5275">
        <v>200</v>
      </c>
      <c r="J5275" s="10">
        <v>86</v>
      </c>
      <c r="K52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75">
        <v>0</v>
      </c>
      <c r="M52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75">
        <v>105</v>
      </c>
      <c r="O5275" s="23" t="s">
        <v>298</v>
      </c>
      <c r="P5275">
        <v>2310</v>
      </c>
      <c r="Q5275" s="23" t="s">
        <v>185</v>
      </c>
    </row>
    <row r="5276" spans="1:17" x14ac:dyDescent="0.25">
      <c r="A5276" s="23" t="s">
        <v>1058</v>
      </c>
      <c r="B5276" s="23" t="s">
        <v>1059</v>
      </c>
      <c r="C5276" s="23" t="s">
        <v>176</v>
      </c>
      <c r="D5276" s="23" t="s">
        <v>447</v>
      </c>
      <c r="E5276" s="23" t="s">
        <v>448</v>
      </c>
      <c r="F5276">
        <v>1</v>
      </c>
      <c r="G5276" s="23" t="s">
        <v>177</v>
      </c>
      <c r="H5276">
        <v>1</v>
      </c>
      <c r="I5276">
        <v>15</v>
      </c>
      <c r="J5276" s="10">
        <v>11</v>
      </c>
      <c r="K52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276">
        <v>0</v>
      </c>
      <c r="M52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6">
        <v>237.5</v>
      </c>
      <c r="O5276" s="23" t="s">
        <v>629</v>
      </c>
      <c r="P5276">
        <v>237.5</v>
      </c>
      <c r="Q5276" s="23" t="s">
        <v>181</v>
      </c>
    </row>
    <row r="5277" spans="1:17" x14ac:dyDescent="0.25">
      <c r="A5277" s="23" t="s">
        <v>1096</v>
      </c>
      <c r="B5277" s="23" t="s">
        <v>1053</v>
      </c>
      <c r="C5277" s="23" t="s">
        <v>176</v>
      </c>
      <c r="D5277" s="23" t="s">
        <v>759</v>
      </c>
      <c r="E5277" s="23" t="s">
        <v>760</v>
      </c>
      <c r="F5277">
        <v>1</v>
      </c>
      <c r="G5277" s="23" t="s">
        <v>177</v>
      </c>
      <c r="H5277">
        <v>1</v>
      </c>
      <c r="I5277">
        <v>7</v>
      </c>
      <c r="J5277" s="10">
        <v>4</v>
      </c>
      <c r="K52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77">
        <v>0</v>
      </c>
      <c r="M52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7">
        <v>8495.43</v>
      </c>
      <c r="O5277" s="23" t="s">
        <v>277</v>
      </c>
      <c r="P5277">
        <v>8495.43</v>
      </c>
      <c r="Q5277" s="23" t="s">
        <v>178</v>
      </c>
    </row>
    <row r="5278" spans="1:17" x14ac:dyDescent="0.25">
      <c r="A5278" s="23" t="s">
        <v>1057</v>
      </c>
      <c r="B5278" s="23" t="s">
        <v>1056</v>
      </c>
      <c r="C5278" s="23" t="s">
        <v>176</v>
      </c>
      <c r="D5278" s="23" t="s">
        <v>934</v>
      </c>
      <c r="E5278" s="23" t="s">
        <v>935</v>
      </c>
      <c r="F5278">
        <v>2</v>
      </c>
      <c r="G5278" s="23" t="s">
        <v>177</v>
      </c>
      <c r="H5278">
        <v>2</v>
      </c>
      <c r="I5278">
        <v>33</v>
      </c>
      <c r="J5278" s="10">
        <v>16</v>
      </c>
      <c r="K52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278">
        <v>0</v>
      </c>
      <c r="M52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8">
        <v>930</v>
      </c>
      <c r="O5278" s="23" t="s">
        <v>221</v>
      </c>
      <c r="P5278">
        <v>1860</v>
      </c>
      <c r="Q5278" s="23" t="s">
        <v>222</v>
      </c>
    </row>
    <row r="5279" spans="1:17" x14ac:dyDescent="0.25">
      <c r="A5279" s="23" t="s">
        <v>1098</v>
      </c>
      <c r="B5279" s="23" t="s">
        <v>1053</v>
      </c>
      <c r="C5279" s="23" t="s">
        <v>176</v>
      </c>
      <c r="D5279" s="23" t="s">
        <v>602</v>
      </c>
      <c r="E5279" s="23" t="s">
        <v>603</v>
      </c>
      <c r="F5279">
        <v>2</v>
      </c>
      <c r="G5279" s="23" t="s">
        <v>177</v>
      </c>
      <c r="H5279">
        <v>0</v>
      </c>
      <c r="I5279">
        <v>28</v>
      </c>
      <c r="J5279" s="10">
        <v>6</v>
      </c>
      <c r="K52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279">
        <v>0</v>
      </c>
      <c r="M52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79">
        <v>50.41</v>
      </c>
      <c r="O5279" s="23" t="s">
        <v>637</v>
      </c>
      <c r="P5279">
        <v>100.82</v>
      </c>
      <c r="Q5279" s="23" t="s">
        <v>178</v>
      </c>
    </row>
    <row r="5280" spans="1:17" x14ac:dyDescent="0.25">
      <c r="A5280" s="23" t="s">
        <v>1142</v>
      </c>
      <c r="B5280" s="23" t="s">
        <v>1054</v>
      </c>
      <c r="C5280" s="23" t="s">
        <v>176</v>
      </c>
      <c r="D5280" s="23" t="s">
        <v>602</v>
      </c>
      <c r="E5280" s="23" t="s">
        <v>603</v>
      </c>
      <c r="F5280">
        <v>2</v>
      </c>
      <c r="G5280" s="23" t="s">
        <v>177</v>
      </c>
      <c r="H5280">
        <v>0</v>
      </c>
      <c r="I5280">
        <v>28</v>
      </c>
      <c r="J5280" s="10">
        <v>6</v>
      </c>
      <c r="K52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280">
        <v>0</v>
      </c>
      <c r="M52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0">
        <v>50.41</v>
      </c>
      <c r="O5280" s="23" t="s">
        <v>637</v>
      </c>
      <c r="P5280">
        <v>100.82</v>
      </c>
      <c r="Q5280" s="23" t="s">
        <v>178</v>
      </c>
    </row>
    <row r="5281" spans="1:17" x14ac:dyDescent="0.25">
      <c r="A5281" s="23" t="s">
        <v>1098</v>
      </c>
      <c r="B5281" s="23" t="s">
        <v>1053</v>
      </c>
      <c r="C5281" s="23" t="s">
        <v>176</v>
      </c>
      <c r="D5281" s="23" t="s">
        <v>240</v>
      </c>
      <c r="E5281" s="23" t="s">
        <v>241</v>
      </c>
      <c r="F5281">
        <v>3.71</v>
      </c>
      <c r="G5281" s="23" t="s">
        <v>186</v>
      </c>
      <c r="H5281">
        <v>3.71</v>
      </c>
      <c r="I5281">
        <v>110</v>
      </c>
      <c r="J5281" s="10">
        <v>57.22</v>
      </c>
      <c r="K52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281">
        <v>0</v>
      </c>
      <c r="M52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1">
        <v>40</v>
      </c>
      <c r="O5281" s="23" t="s">
        <v>242</v>
      </c>
      <c r="P5281">
        <v>148.4</v>
      </c>
      <c r="Q5281" s="23" t="s">
        <v>181</v>
      </c>
    </row>
    <row r="5282" spans="1:17" x14ac:dyDescent="0.25">
      <c r="A5282" s="23" t="s">
        <v>1062</v>
      </c>
      <c r="B5282" s="23" t="s">
        <v>1053</v>
      </c>
      <c r="C5282" s="23" t="s">
        <v>176</v>
      </c>
      <c r="D5282" s="23" t="s">
        <v>447</v>
      </c>
      <c r="E5282" s="23" t="s">
        <v>448</v>
      </c>
      <c r="F5282">
        <v>2</v>
      </c>
      <c r="G5282" s="23" t="s">
        <v>177</v>
      </c>
      <c r="H5282">
        <v>2</v>
      </c>
      <c r="I5282">
        <v>15</v>
      </c>
      <c r="J5282" s="10">
        <v>11</v>
      </c>
      <c r="K52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282">
        <v>0</v>
      </c>
      <c r="M52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2">
        <v>237.5</v>
      </c>
      <c r="O5282" s="23" t="s">
        <v>629</v>
      </c>
      <c r="P5282">
        <v>475</v>
      </c>
      <c r="Q5282" s="23" t="s">
        <v>181</v>
      </c>
    </row>
    <row r="5283" spans="1:17" x14ac:dyDescent="0.25">
      <c r="A5283" s="23" t="s">
        <v>1142</v>
      </c>
      <c r="B5283" s="23" t="s">
        <v>1054</v>
      </c>
      <c r="C5283" s="23" t="s">
        <v>176</v>
      </c>
      <c r="D5283" s="23" t="s">
        <v>494</v>
      </c>
      <c r="E5283" s="23" t="s">
        <v>495</v>
      </c>
      <c r="F5283">
        <v>22</v>
      </c>
      <c r="G5283" s="23" t="s">
        <v>496</v>
      </c>
      <c r="H5283">
        <v>0</v>
      </c>
      <c r="I5283">
        <v>200</v>
      </c>
      <c r="J5283" s="10">
        <v>86</v>
      </c>
      <c r="K52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220</v>
      </c>
      <c r="L5283">
        <v>0</v>
      </c>
      <c r="M52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23100</v>
      </c>
      <c r="N5283">
        <v>105</v>
      </c>
      <c r="O5283" s="23" t="s">
        <v>298</v>
      </c>
      <c r="P5283">
        <v>2310</v>
      </c>
      <c r="Q5283" s="23" t="s">
        <v>185</v>
      </c>
    </row>
    <row r="5284" spans="1:17" x14ac:dyDescent="0.25">
      <c r="A5284" s="23" t="s">
        <v>1180</v>
      </c>
      <c r="B5284" s="23" t="s">
        <v>1181</v>
      </c>
      <c r="C5284" s="23" t="s">
        <v>176</v>
      </c>
      <c r="D5284" s="23" t="s">
        <v>1182</v>
      </c>
      <c r="E5284" s="23" t="s">
        <v>1183</v>
      </c>
      <c r="F5284">
        <v>1</v>
      </c>
      <c r="G5284" s="23" t="s">
        <v>177</v>
      </c>
      <c r="H5284">
        <v>1</v>
      </c>
      <c r="I5284">
        <v>14</v>
      </c>
      <c r="J5284" s="10">
        <v>1</v>
      </c>
      <c r="K52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284">
        <v>0</v>
      </c>
      <c r="M52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4">
        <v>762.72</v>
      </c>
      <c r="O5284" s="23" t="s">
        <v>1184</v>
      </c>
      <c r="P5284">
        <v>762.72</v>
      </c>
      <c r="Q5284" s="23" t="s">
        <v>179</v>
      </c>
    </row>
    <row r="5285" spans="1:17" x14ac:dyDescent="0.25">
      <c r="A5285" s="23" t="s">
        <v>1098</v>
      </c>
      <c r="B5285" s="23" t="s">
        <v>1053</v>
      </c>
      <c r="C5285" s="23" t="s">
        <v>176</v>
      </c>
      <c r="D5285" s="23" t="s">
        <v>34</v>
      </c>
      <c r="E5285" s="23" t="s">
        <v>35</v>
      </c>
      <c r="F5285">
        <v>1</v>
      </c>
      <c r="G5285" s="23" t="s">
        <v>177</v>
      </c>
      <c r="H5285">
        <v>1</v>
      </c>
      <c r="I5285">
        <v>8</v>
      </c>
      <c r="J5285" s="10">
        <v>8</v>
      </c>
      <c r="K52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285">
        <v>10</v>
      </c>
      <c r="M52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5">
        <v>62.83</v>
      </c>
      <c r="O5285" s="23" t="s">
        <v>1104</v>
      </c>
      <c r="P5285">
        <v>62.83</v>
      </c>
      <c r="Q5285" s="23" t="s">
        <v>222</v>
      </c>
    </row>
    <row r="5286" spans="1:17" x14ac:dyDescent="0.25">
      <c r="A5286" s="23" t="s">
        <v>1146</v>
      </c>
      <c r="B5286" s="23" t="s">
        <v>1145</v>
      </c>
      <c r="C5286" s="23" t="s">
        <v>176</v>
      </c>
      <c r="D5286" s="23" t="s">
        <v>240</v>
      </c>
      <c r="E5286" s="23" t="s">
        <v>241</v>
      </c>
      <c r="F5286">
        <v>3</v>
      </c>
      <c r="G5286" s="23" t="s">
        <v>186</v>
      </c>
      <c r="H5286">
        <v>3</v>
      </c>
      <c r="I5286">
        <v>110</v>
      </c>
      <c r="J5286" s="10">
        <v>57.22</v>
      </c>
      <c r="K52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286">
        <v>0</v>
      </c>
      <c r="M52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6">
        <v>40</v>
      </c>
      <c r="O5286" s="23" t="s">
        <v>242</v>
      </c>
      <c r="P5286">
        <v>120</v>
      </c>
      <c r="Q5286" s="23" t="s">
        <v>181</v>
      </c>
    </row>
    <row r="5287" spans="1:17" x14ac:dyDescent="0.25">
      <c r="A5287" s="23" t="s">
        <v>1096</v>
      </c>
      <c r="B5287" s="23" t="s">
        <v>1053</v>
      </c>
      <c r="C5287" s="23" t="s">
        <v>176</v>
      </c>
      <c r="D5287" s="23" t="s">
        <v>265</v>
      </c>
      <c r="E5287" s="23" t="s">
        <v>420</v>
      </c>
      <c r="F5287">
        <v>1</v>
      </c>
      <c r="G5287" s="23" t="s">
        <v>177</v>
      </c>
      <c r="H5287">
        <v>0</v>
      </c>
      <c r="I5287">
        <v>0</v>
      </c>
      <c r="J5287" s="10">
        <v>10</v>
      </c>
      <c r="K52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287">
        <v>5</v>
      </c>
      <c r="M52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287">
        <v>5994.01</v>
      </c>
      <c r="O5287" s="23" t="s">
        <v>228</v>
      </c>
      <c r="P5287">
        <v>5994.01</v>
      </c>
      <c r="Q5287" s="23" t="s">
        <v>222</v>
      </c>
    </row>
    <row r="5288" spans="1:17" x14ac:dyDescent="0.25">
      <c r="A5288" s="23" t="s">
        <v>1055</v>
      </c>
      <c r="B5288" s="23" t="s">
        <v>1056</v>
      </c>
      <c r="C5288" s="23" t="s">
        <v>176</v>
      </c>
      <c r="D5288" s="23" t="s">
        <v>515</v>
      </c>
      <c r="E5288" s="23" t="s">
        <v>516</v>
      </c>
      <c r="F5288">
        <v>0.6</v>
      </c>
      <c r="G5288" s="23" t="s">
        <v>177</v>
      </c>
      <c r="H5288">
        <v>0</v>
      </c>
      <c r="I5288">
        <v>0</v>
      </c>
      <c r="J5288" s="10">
        <v>-2.6645352591003757E-15</v>
      </c>
      <c r="K52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6.9999999999999991</v>
      </c>
      <c r="L5288">
        <v>0</v>
      </c>
      <c r="M52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489.99999999999994</v>
      </c>
      <c r="N5288">
        <v>70</v>
      </c>
      <c r="O5288" s="23" t="s">
        <v>242</v>
      </c>
      <c r="P5288">
        <v>42</v>
      </c>
      <c r="Q5288" s="23" t="s">
        <v>181</v>
      </c>
    </row>
    <row r="5289" spans="1:17" x14ac:dyDescent="0.25">
      <c r="A5289" s="23" t="s">
        <v>1057</v>
      </c>
      <c r="B5289" s="23" t="s">
        <v>1056</v>
      </c>
      <c r="C5289" s="23" t="s">
        <v>176</v>
      </c>
      <c r="D5289" s="23" t="s">
        <v>876</v>
      </c>
      <c r="E5289" s="23" t="s">
        <v>877</v>
      </c>
      <c r="F5289">
        <v>2</v>
      </c>
      <c r="G5289" s="23" t="s">
        <v>177</v>
      </c>
      <c r="H5289">
        <v>2</v>
      </c>
      <c r="I5289">
        <v>4</v>
      </c>
      <c r="J5289" s="10">
        <v>12</v>
      </c>
      <c r="K52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289">
        <v>0</v>
      </c>
      <c r="M52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89">
        <v>1028.21</v>
      </c>
      <c r="O5289" s="23" t="s">
        <v>637</v>
      </c>
      <c r="P5289">
        <v>2056.42</v>
      </c>
      <c r="Q5289" s="23" t="s">
        <v>179</v>
      </c>
    </row>
    <row r="5290" spans="1:17" x14ac:dyDescent="0.25">
      <c r="A5290" s="23" t="s">
        <v>1057</v>
      </c>
      <c r="B5290" s="23" t="s">
        <v>1056</v>
      </c>
      <c r="C5290" s="23" t="s">
        <v>176</v>
      </c>
      <c r="D5290" s="23" t="s">
        <v>97</v>
      </c>
      <c r="E5290" s="23" t="s">
        <v>98</v>
      </c>
      <c r="F5290">
        <v>1</v>
      </c>
      <c r="G5290" s="23" t="s">
        <v>177</v>
      </c>
      <c r="H5290">
        <v>1</v>
      </c>
      <c r="I5290">
        <v>0</v>
      </c>
      <c r="J5290" s="10">
        <v>5</v>
      </c>
      <c r="K52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290">
        <v>7</v>
      </c>
      <c r="M52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0">
        <v>1491.67</v>
      </c>
      <c r="O5290" s="23" t="s">
        <v>633</v>
      </c>
      <c r="P5290">
        <v>1491.67</v>
      </c>
      <c r="Q5290" s="23" t="s">
        <v>178</v>
      </c>
    </row>
    <row r="5291" spans="1:17" x14ac:dyDescent="0.25">
      <c r="A5291" s="23" t="s">
        <v>1055</v>
      </c>
      <c r="B5291" s="23" t="s">
        <v>1056</v>
      </c>
      <c r="C5291" s="23" t="s">
        <v>176</v>
      </c>
      <c r="D5291" s="23" t="s">
        <v>719</v>
      </c>
      <c r="E5291" s="23" t="s">
        <v>720</v>
      </c>
      <c r="F5291">
        <v>1</v>
      </c>
      <c r="G5291" s="23" t="s">
        <v>177</v>
      </c>
      <c r="H5291">
        <v>1</v>
      </c>
      <c r="I5291">
        <v>1</v>
      </c>
      <c r="J5291" s="10">
        <v>4</v>
      </c>
      <c r="K52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5291">
        <v>0</v>
      </c>
      <c r="M52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5291">
        <v>12990.78</v>
      </c>
      <c r="O5291" s="23" t="s">
        <v>590</v>
      </c>
      <c r="P5291">
        <v>12990.78</v>
      </c>
      <c r="Q5291" s="23" t="s">
        <v>178</v>
      </c>
    </row>
    <row r="5292" spans="1:17" x14ac:dyDescent="0.25">
      <c r="A5292" s="23" t="s">
        <v>1144</v>
      </c>
      <c r="B5292" s="23" t="s">
        <v>1145</v>
      </c>
      <c r="C5292" s="23" t="s">
        <v>176</v>
      </c>
      <c r="D5292" s="23" t="s">
        <v>336</v>
      </c>
      <c r="E5292" s="23" t="s">
        <v>623</v>
      </c>
      <c r="F5292">
        <v>1</v>
      </c>
      <c r="G5292" s="23" t="s">
        <v>177</v>
      </c>
      <c r="H5292">
        <v>1</v>
      </c>
      <c r="I5292">
        <v>5</v>
      </c>
      <c r="J5292" s="10">
        <v>4</v>
      </c>
      <c r="K52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292">
        <v>0</v>
      </c>
      <c r="M52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3446.24</v>
      </c>
      <c r="N5292">
        <v>1723.12</v>
      </c>
      <c r="O5292" s="23" t="s">
        <v>637</v>
      </c>
      <c r="P5292">
        <v>1723.12</v>
      </c>
      <c r="Q5292" s="23" t="s">
        <v>179</v>
      </c>
    </row>
    <row r="5293" spans="1:17" x14ac:dyDescent="0.25">
      <c r="A5293" s="23" t="s">
        <v>1142</v>
      </c>
      <c r="B5293" s="23" t="s">
        <v>1054</v>
      </c>
      <c r="C5293" s="23" t="s">
        <v>176</v>
      </c>
      <c r="D5293" s="23" t="s">
        <v>1176</v>
      </c>
      <c r="E5293" s="23" t="s">
        <v>1177</v>
      </c>
      <c r="F5293">
        <v>2</v>
      </c>
      <c r="G5293" s="23" t="s">
        <v>177</v>
      </c>
      <c r="H5293">
        <v>0</v>
      </c>
      <c r="I5293">
        <v>500</v>
      </c>
      <c r="J5293" s="10">
        <v>500</v>
      </c>
      <c r="K52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293">
        <v>0</v>
      </c>
      <c r="M52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3">
        <v>0.65</v>
      </c>
      <c r="O5293" s="23" t="s">
        <v>827</v>
      </c>
      <c r="P5293">
        <v>1.3</v>
      </c>
      <c r="Q5293" s="23" t="s">
        <v>222</v>
      </c>
    </row>
    <row r="5294" spans="1:17" x14ac:dyDescent="0.25">
      <c r="A5294" s="23" t="s">
        <v>1142</v>
      </c>
      <c r="B5294" s="23" t="s">
        <v>1054</v>
      </c>
      <c r="C5294" s="23" t="s">
        <v>176</v>
      </c>
      <c r="D5294" s="23" t="s">
        <v>1178</v>
      </c>
      <c r="E5294" s="23" t="s">
        <v>1179</v>
      </c>
      <c r="F5294">
        <v>2</v>
      </c>
      <c r="G5294" s="23" t="s">
        <v>177</v>
      </c>
      <c r="H5294">
        <v>0</v>
      </c>
      <c r="I5294">
        <v>500</v>
      </c>
      <c r="J5294" s="10">
        <v>500</v>
      </c>
      <c r="K52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294">
        <v>0</v>
      </c>
      <c r="M52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4">
        <v>0.39</v>
      </c>
      <c r="O5294" s="23" t="s">
        <v>827</v>
      </c>
      <c r="P5294">
        <v>0.78</v>
      </c>
      <c r="Q5294" s="23" t="s">
        <v>222</v>
      </c>
    </row>
    <row r="5295" spans="1:17" x14ac:dyDescent="0.25">
      <c r="A5295" s="23" t="s">
        <v>1062</v>
      </c>
      <c r="B5295" s="23" t="s">
        <v>1053</v>
      </c>
      <c r="C5295" s="23" t="s">
        <v>176</v>
      </c>
      <c r="D5295" s="23" t="s">
        <v>551</v>
      </c>
      <c r="E5295" s="23" t="s">
        <v>552</v>
      </c>
      <c r="F5295">
        <v>2</v>
      </c>
      <c r="G5295" s="23" t="s">
        <v>177</v>
      </c>
      <c r="H5295">
        <v>2</v>
      </c>
      <c r="I5295">
        <v>35</v>
      </c>
      <c r="J5295" s="10">
        <v>14</v>
      </c>
      <c r="K52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5295">
        <v>15</v>
      </c>
      <c r="M52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5">
        <v>43.75</v>
      </c>
      <c r="O5295" s="23" t="s">
        <v>491</v>
      </c>
      <c r="P5295">
        <v>87.5</v>
      </c>
      <c r="Q5295" s="23" t="s">
        <v>181</v>
      </c>
    </row>
    <row r="5296" spans="1:17" x14ac:dyDescent="0.25">
      <c r="A5296" s="23" t="s">
        <v>1096</v>
      </c>
      <c r="B5296" s="23" t="s">
        <v>1053</v>
      </c>
      <c r="C5296" s="23" t="s">
        <v>176</v>
      </c>
      <c r="D5296" s="23" t="s">
        <v>102</v>
      </c>
      <c r="E5296" s="23" t="s">
        <v>103</v>
      </c>
      <c r="F5296">
        <v>3.4400000000000004</v>
      </c>
      <c r="G5296" s="23" t="s">
        <v>186</v>
      </c>
      <c r="H5296">
        <v>3.4400000000000004</v>
      </c>
      <c r="I5296">
        <v>66</v>
      </c>
      <c r="J5296" s="10">
        <v>36.350000000000151</v>
      </c>
      <c r="K52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5296">
        <v>0</v>
      </c>
      <c r="M52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6">
        <v>129.63</v>
      </c>
      <c r="O5296" s="23" t="s">
        <v>242</v>
      </c>
      <c r="P5296">
        <v>445.92720000000003</v>
      </c>
      <c r="Q5296" s="23" t="s">
        <v>184</v>
      </c>
    </row>
    <row r="5297" spans="1:17" x14ac:dyDescent="0.25">
      <c r="A5297" s="23" t="s">
        <v>1062</v>
      </c>
      <c r="B5297" s="23" t="s">
        <v>1053</v>
      </c>
      <c r="C5297" s="23" t="s">
        <v>176</v>
      </c>
      <c r="D5297" s="23" t="s">
        <v>107</v>
      </c>
      <c r="E5297" s="23" t="s">
        <v>108</v>
      </c>
      <c r="F5297">
        <v>1</v>
      </c>
      <c r="G5297" s="23" t="s">
        <v>177</v>
      </c>
      <c r="H5297">
        <v>1</v>
      </c>
      <c r="I5297">
        <v>9</v>
      </c>
      <c r="J5297" s="10">
        <v>8</v>
      </c>
      <c r="K52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297">
        <v>5</v>
      </c>
      <c r="M52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297">
        <v>1200</v>
      </c>
      <c r="O5297" s="23" t="s">
        <v>218</v>
      </c>
      <c r="P5297">
        <v>1200</v>
      </c>
      <c r="Q5297" s="23" t="s">
        <v>179</v>
      </c>
    </row>
    <row r="5298" spans="1:17" x14ac:dyDescent="0.25">
      <c r="A5298" s="23" t="s">
        <v>1062</v>
      </c>
      <c r="B5298" s="23" t="s">
        <v>1053</v>
      </c>
      <c r="C5298" s="23" t="s">
        <v>176</v>
      </c>
      <c r="D5298" s="23" t="s">
        <v>275</v>
      </c>
      <c r="E5298" s="23" t="s">
        <v>276</v>
      </c>
      <c r="F5298">
        <v>1</v>
      </c>
      <c r="G5298" s="23" t="s">
        <v>177</v>
      </c>
      <c r="H5298">
        <v>1</v>
      </c>
      <c r="I5298">
        <v>9</v>
      </c>
      <c r="J5298" s="10">
        <v>8</v>
      </c>
      <c r="K52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298">
        <v>0</v>
      </c>
      <c r="M52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5298">
        <v>487.56</v>
      </c>
      <c r="O5298" s="23" t="s">
        <v>277</v>
      </c>
      <c r="P5298">
        <v>487.56</v>
      </c>
      <c r="Q5298" s="23" t="s">
        <v>178</v>
      </c>
    </row>
    <row r="5299" spans="1:17" x14ac:dyDescent="0.25">
      <c r="A5299" s="23" t="s">
        <v>1096</v>
      </c>
      <c r="B5299" s="23" t="s">
        <v>1053</v>
      </c>
      <c r="C5299" s="23" t="s">
        <v>176</v>
      </c>
      <c r="D5299" s="23" t="s">
        <v>780</v>
      </c>
      <c r="E5299" s="23" t="s">
        <v>781</v>
      </c>
      <c r="F5299">
        <v>2</v>
      </c>
      <c r="G5299" s="23" t="s">
        <v>177</v>
      </c>
      <c r="H5299">
        <v>2</v>
      </c>
      <c r="I5299">
        <v>3</v>
      </c>
      <c r="J5299" s="10">
        <v>12</v>
      </c>
      <c r="K52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5299">
        <v>0</v>
      </c>
      <c r="M52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5299">
        <v>444.13</v>
      </c>
      <c r="O5299" s="23" t="s">
        <v>590</v>
      </c>
      <c r="P5299">
        <v>888.26</v>
      </c>
      <c r="Q5299" s="23" t="s">
        <v>178</v>
      </c>
    </row>
    <row r="5300" spans="1:17" x14ac:dyDescent="0.25">
      <c r="A5300" s="23" t="s">
        <v>1062</v>
      </c>
      <c r="B5300" s="23" t="s">
        <v>1053</v>
      </c>
      <c r="C5300" s="23" t="s">
        <v>176</v>
      </c>
      <c r="D5300" s="23" t="s">
        <v>434</v>
      </c>
      <c r="E5300" s="23" t="s">
        <v>435</v>
      </c>
      <c r="F5300">
        <v>1</v>
      </c>
      <c r="G5300" s="23" t="s">
        <v>177</v>
      </c>
      <c r="H5300">
        <v>1</v>
      </c>
      <c r="I5300">
        <v>14</v>
      </c>
      <c r="J5300" s="10">
        <v>3</v>
      </c>
      <c r="K53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300">
        <v>0</v>
      </c>
      <c r="M53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0">
        <v>1678.88</v>
      </c>
      <c r="O5300" s="23" t="s">
        <v>637</v>
      </c>
      <c r="P5300">
        <v>1678.88</v>
      </c>
      <c r="Q5300" s="23" t="s">
        <v>179</v>
      </c>
    </row>
    <row r="5301" spans="1:17" x14ac:dyDescent="0.25">
      <c r="A5301" s="23" t="s">
        <v>1057</v>
      </c>
      <c r="B5301" s="23" t="s">
        <v>1056</v>
      </c>
      <c r="C5301" s="23" t="s">
        <v>176</v>
      </c>
      <c r="D5301" s="23" t="s">
        <v>719</v>
      </c>
      <c r="E5301" s="23" t="s">
        <v>720</v>
      </c>
      <c r="F5301">
        <v>1</v>
      </c>
      <c r="G5301" s="23" t="s">
        <v>177</v>
      </c>
      <c r="H5301">
        <v>1</v>
      </c>
      <c r="I5301">
        <v>1</v>
      </c>
      <c r="J5301" s="10">
        <v>4</v>
      </c>
      <c r="K53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</v>
      </c>
      <c r="L5301">
        <v>0</v>
      </c>
      <c r="M53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168880.14</v>
      </c>
      <c r="N5301">
        <v>12990.78</v>
      </c>
      <c r="O5301" s="23" t="s">
        <v>590</v>
      </c>
      <c r="P5301">
        <v>12990.78</v>
      </c>
      <c r="Q5301" s="23" t="s">
        <v>178</v>
      </c>
    </row>
    <row r="5302" spans="1:17" x14ac:dyDescent="0.25">
      <c r="A5302" s="23" t="s">
        <v>1055</v>
      </c>
      <c r="B5302" s="23" t="s">
        <v>1056</v>
      </c>
      <c r="C5302" s="23" t="s">
        <v>198</v>
      </c>
      <c r="D5302" s="23" t="s">
        <v>499</v>
      </c>
      <c r="E5302" s="23" t="s">
        <v>500</v>
      </c>
      <c r="F5302">
        <v>1</v>
      </c>
      <c r="G5302" s="23" t="s">
        <v>177</v>
      </c>
      <c r="H5302">
        <v>1</v>
      </c>
      <c r="I5302">
        <v>11</v>
      </c>
      <c r="J5302" s="10">
        <v>8</v>
      </c>
      <c r="K53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302">
        <v>0</v>
      </c>
      <c r="M53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302" s="23" t="s">
        <v>714</v>
      </c>
      <c r="Q5302" s="23" t="s">
        <v>761</v>
      </c>
    </row>
    <row r="5303" spans="1:17" x14ac:dyDescent="0.25">
      <c r="A5303" s="23" t="s">
        <v>1057</v>
      </c>
      <c r="B5303" s="23" t="s">
        <v>1056</v>
      </c>
      <c r="C5303" s="23" t="s">
        <v>176</v>
      </c>
      <c r="D5303" s="23" t="s">
        <v>341</v>
      </c>
      <c r="E5303" s="23" t="s">
        <v>342</v>
      </c>
      <c r="F5303">
        <v>1.5</v>
      </c>
      <c r="G5303" s="23" t="s">
        <v>177</v>
      </c>
      <c r="H5303">
        <v>1.5</v>
      </c>
      <c r="I5303">
        <v>75</v>
      </c>
      <c r="J5303" s="10">
        <v>42.700000000000159</v>
      </c>
      <c r="K53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5303">
        <v>0</v>
      </c>
      <c r="M53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3">
        <v>15</v>
      </c>
      <c r="O5303" s="23" t="s">
        <v>242</v>
      </c>
      <c r="P5303">
        <v>22.5</v>
      </c>
      <c r="Q5303" s="23" t="s">
        <v>181</v>
      </c>
    </row>
    <row r="5304" spans="1:17" x14ac:dyDescent="0.25">
      <c r="A5304" s="23" t="s">
        <v>1057</v>
      </c>
      <c r="B5304" s="23" t="s">
        <v>1056</v>
      </c>
      <c r="C5304" s="23" t="s">
        <v>176</v>
      </c>
      <c r="D5304" s="23" t="s">
        <v>1005</v>
      </c>
      <c r="E5304" s="23" t="s">
        <v>1006</v>
      </c>
      <c r="F5304">
        <v>1</v>
      </c>
      <c r="G5304" s="23" t="s">
        <v>177</v>
      </c>
      <c r="H5304">
        <v>1</v>
      </c>
      <c r="I5304">
        <v>12</v>
      </c>
      <c r="J5304" s="10">
        <v>4</v>
      </c>
      <c r="K53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04">
        <v>0</v>
      </c>
      <c r="M53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4">
        <v>57.06</v>
      </c>
      <c r="O5304" s="23" t="s">
        <v>1007</v>
      </c>
      <c r="P5304">
        <v>57.06</v>
      </c>
      <c r="Q5304" s="23" t="s">
        <v>181</v>
      </c>
    </row>
    <row r="5305" spans="1:17" x14ac:dyDescent="0.25">
      <c r="A5305" s="23" t="s">
        <v>1058</v>
      </c>
      <c r="B5305" s="23" t="s">
        <v>1059</v>
      </c>
      <c r="C5305" s="23" t="s">
        <v>176</v>
      </c>
      <c r="D5305" s="23" t="s">
        <v>273</v>
      </c>
      <c r="E5305" s="23" t="s">
        <v>621</v>
      </c>
      <c r="F5305">
        <v>1</v>
      </c>
      <c r="G5305" s="23" t="s">
        <v>177</v>
      </c>
      <c r="H5305">
        <v>1</v>
      </c>
      <c r="I5305">
        <v>8</v>
      </c>
      <c r="J5305" s="10">
        <v>4</v>
      </c>
      <c r="K53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05">
        <v>0</v>
      </c>
      <c r="M53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5">
        <v>1723.12</v>
      </c>
      <c r="O5305" s="23" t="s">
        <v>637</v>
      </c>
      <c r="P5305">
        <v>1723.12</v>
      </c>
      <c r="Q5305" s="23" t="s">
        <v>179</v>
      </c>
    </row>
    <row r="5306" spans="1:17" x14ac:dyDescent="0.25">
      <c r="A5306" s="23" t="s">
        <v>1150</v>
      </c>
      <c r="B5306" s="23" t="s">
        <v>1145</v>
      </c>
      <c r="C5306" s="23" t="s">
        <v>176</v>
      </c>
      <c r="D5306" s="23" t="s">
        <v>273</v>
      </c>
      <c r="E5306" s="23" t="s">
        <v>621</v>
      </c>
      <c r="F5306">
        <v>1</v>
      </c>
      <c r="G5306" s="23" t="s">
        <v>177</v>
      </c>
      <c r="H5306">
        <v>1</v>
      </c>
      <c r="I5306">
        <v>8</v>
      </c>
      <c r="J5306" s="10">
        <v>4</v>
      </c>
      <c r="K53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06">
        <v>0</v>
      </c>
      <c r="M53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6">
        <v>1723.12</v>
      </c>
      <c r="O5306" s="23" t="s">
        <v>637</v>
      </c>
      <c r="P5306">
        <v>1723.12</v>
      </c>
      <c r="Q5306" s="23" t="s">
        <v>179</v>
      </c>
    </row>
    <row r="5307" spans="1:17" x14ac:dyDescent="0.25">
      <c r="A5307" s="23" t="s">
        <v>1058</v>
      </c>
      <c r="B5307" s="23" t="s">
        <v>1059</v>
      </c>
      <c r="C5307" s="23" t="s">
        <v>176</v>
      </c>
      <c r="D5307" s="23" t="s">
        <v>275</v>
      </c>
      <c r="E5307" s="23" t="s">
        <v>276</v>
      </c>
      <c r="F5307">
        <v>1</v>
      </c>
      <c r="G5307" s="23" t="s">
        <v>177</v>
      </c>
      <c r="H5307">
        <v>1</v>
      </c>
      <c r="I5307">
        <v>9</v>
      </c>
      <c r="J5307" s="10">
        <v>8</v>
      </c>
      <c r="K53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307">
        <v>0</v>
      </c>
      <c r="M53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5307">
        <v>487.56</v>
      </c>
      <c r="O5307" s="23" t="s">
        <v>277</v>
      </c>
      <c r="P5307">
        <v>487.56</v>
      </c>
      <c r="Q5307" s="23" t="s">
        <v>178</v>
      </c>
    </row>
    <row r="5308" spans="1:17" x14ac:dyDescent="0.25">
      <c r="A5308" s="23" t="s">
        <v>1055</v>
      </c>
      <c r="B5308" s="23" t="s">
        <v>1056</v>
      </c>
      <c r="C5308" s="23" t="s">
        <v>176</v>
      </c>
      <c r="D5308" s="23" t="s">
        <v>551</v>
      </c>
      <c r="E5308" s="23" t="s">
        <v>552</v>
      </c>
      <c r="F5308">
        <v>2</v>
      </c>
      <c r="G5308" s="23" t="s">
        <v>177</v>
      </c>
      <c r="H5308">
        <v>2</v>
      </c>
      <c r="I5308">
        <v>35</v>
      </c>
      <c r="J5308" s="10">
        <v>14</v>
      </c>
      <c r="K53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5308">
        <v>15</v>
      </c>
      <c r="M53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8">
        <v>43.75</v>
      </c>
      <c r="O5308" s="23" t="s">
        <v>491</v>
      </c>
      <c r="P5308">
        <v>87.5</v>
      </c>
      <c r="Q5308" s="23" t="s">
        <v>181</v>
      </c>
    </row>
    <row r="5309" spans="1:17" x14ac:dyDescent="0.25">
      <c r="A5309" s="23" t="s">
        <v>1057</v>
      </c>
      <c r="B5309" s="23" t="s">
        <v>1056</v>
      </c>
      <c r="C5309" s="23" t="s">
        <v>176</v>
      </c>
      <c r="D5309" s="23" t="s">
        <v>551</v>
      </c>
      <c r="E5309" s="23" t="s">
        <v>552</v>
      </c>
      <c r="F5309">
        <v>2</v>
      </c>
      <c r="G5309" s="23" t="s">
        <v>177</v>
      </c>
      <c r="H5309">
        <v>2</v>
      </c>
      <c r="I5309">
        <v>35</v>
      </c>
      <c r="J5309" s="10">
        <v>14</v>
      </c>
      <c r="K53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5309">
        <v>15</v>
      </c>
      <c r="M53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09">
        <v>43.75</v>
      </c>
      <c r="O5309" s="23" t="s">
        <v>491</v>
      </c>
      <c r="P5309">
        <v>87.5</v>
      </c>
      <c r="Q5309" s="23" t="s">
        <v>181</v>
      </c>
    </row>
    <row r="5310" spans="1:17" x14ac:dyDescent="0.25">
      <c r="A5310" s="23" t="s">
        <v>1055</v>
      </c>
      <c r="B5310" s="23" t="s">
        <v>1056</v>
      </c>
      <c r="C5310" s="23" t="s">
        <v>176</v>
      </c>
      <c r="D5310" s="23" t="s">
        <v>1005</v>
      </c>
      <c r="E5310" s="23" t="s">
        <v>1006</v>
      </c>
      <c r="F5310">
        <v>1</v>
      </c>
      <c r="G5310" s="23" t="s">
        <v>177</v>
      </c>
      <c r="H5310">
        <v>1</v>
      </c>
      <c r="I5310">
        <v>12</v>
      </c>
      <c r="J5310" s="10">
        <v>4</v>
      </c>
      <c r="K53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10">
        <v>0</v>
      </c>
      <c r="M53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0">
        <v>57.06</v>
      </c>
      <c r="O5310" s="23" t="s">
        <v>1007</v>
      </c>
      <c r="P5310">
        <v>57.06</v>
      </c>
      <c r="Q5310" s="23" t="s">
        <v>181</v>
      </c>
    </row>
    <row r="5311" spans="1:17" x14ac:dyDescent="0.25">
      <c r="A5311" s="23" t="s">
        <v>1099</v>
      </c>
      <c r="B5311" s="23" t="s">
        <v>1056</v>
      </c>
      <c r="C5311" s="23" t="s">
        <v>176</v>
      </c>
      <c r="D5311" s="23" t="s">
        <v>102</v>
      </c>
      <c r="E5311" s="23" t="s">
        <v>103</v>
      </c>
      <c r="F5311">
        <v>2.1</v>
      </c>
      <c r="G5311" s="23" t="s">
        <v>186</v>
      </c>
      <c r="H5311">
        <v>2.1</v>
      </c>
      <c r="I5311">
        <v>66</v>
      </c>
      <c r="J5311" s="10">
        <v>36.350000000000151</v>
      </c>
      <c r="K53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5311">
        <v>0</v>
      </c>
      <c r="M53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1">
        <v>129.63</v>
      </c>
      <c r="O5311" s="23" t="s">
        <v>242</v>
      </c>
      <c r="P5311">
        <v>272.22300000000001</v>
      </c>
      <c r="Q5311" s="23" t="s">
        <v>184</v>
      </c>
    </row>
    <row r="5312" spans="1:17" x14ac:dyDescent="0.25">
      <c r="A5312" s="23" t="s">
        <v>1058</v>
      </c>
      <c r="B5312" s="23" t="s">
        <v>1059</v>
      </c>
      <c r="C5312" s="23" t="s">
        <v>198</v>
      </c>
      <c r="D5312" s="23" t="s">
        <v>499</v>
      </c>
      <c r="E5312" s="23" t="s">
        <v>500</v>
      </c>
      <c r="F5312">
        <v>1</v>
      </c>
      <c r="G5312" s="23" t="s">
        <v>177</v>
      </c>
      <c r="H5312">
        <v>1</v>
      </c>
      <c r="I5312">
        <v>11</v>
      </c>
      <c r="J5312" s="10">
        <v>8</v>
      </c>
      <c r="K53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312">
        <v>0</v>
      </c>
      <c r="M53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312" s="23" t="s">
        <v>714</v>
      </c>
      <c r="Q5312" s="23" t="s">
        <v>761</v>
      </c>
    </row>
    <row r="5313" spans="1:17" x14ac:dyDescent="0.25">
      <c r="A5313" s="23" t="s">
        <v>1057</v>
      </c>
      <c r="B5313" s="23" t="s">
        <v>1056</v>
      </c>
      <c r="C5313" s="23" t="s">
        <v>176</v>
      </c>
      <c r="D5313" s="23" t="s">
        <v>107</v>
      </c>
      <c r="E5313" s="23" t="s">
        <v>108</v>
      </c>
      <c r="F5313">
        <v>1</v>
      </c>
      <c r="G5313" s="23" t="s">
        <v>177</v>
      </c>
      <c r="H5313">
        <v>1</v>
      </c>
      <c r="I5313">
        <v>9</v>
      </c>
      <c r="J5313" s="10">
        <v>8</v>
      </c>
      <c r="K53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13">
        <v>5</v>
      </c>
      <c r="M53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3">
        <v>1200</v>
      </c>
      <c r="O5313" s="23" t="s">
        <v>218</v>
      </c>
      <c r="P5313">
        <v>1200</v>
      </c>
      <c r="Q5313" s="23" t="s">
        <v>179</v>
      </c>
    </row>
    <row r="5314" spans="1:17" x14ac:dyDescent="0.25">
      <c r="A5314" s="23" t="s">
        <v>1149</v>
      </c>
      <c r="B5314" s="23" t="s">
        <v>1145</v>
      </c>
      <c r="C5314" s="23" t="s">
        <v>176</v>
      </c>
      <c r="D5314" s="23" t="s">
        <v>570</v>
      </c>
      <c r="E5314" s="23" t="s">
        <v>571</v>
      </c>
      <c r="F5314">
        <v>7</v>
      </c>
      <c r="G5314" s="23" t="s">
        <v>177</v>
      </c>
      <c r="H5314">
        <v>0</v>
      </c>
      <c r="I5314">
        <v>1000</v>
      </c>
      <c r="J5314" s="10">
        <v>1222</v>
      </c>
      <c r="K53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-903</v>
      </c>
      <c r="L5314">
        <v>0</v>
      </c>
      <c r="M53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4">
        <v>1.1399999999999999</v>
      </c>
      <c r="O5314" s="23" t="s">
        <v>883</v>
      </c>
      <c r="P5314">
        <v>7.9799999999999995</v>
      </c>
      <c r="Q5314" s="23" t="s">
        <v>181</v>
      </c>
    </row>
    <row r="5315" spans="1:17" x14ac:dyDescent="0.25">
      <c r="A5315" s="23" t="s">
        <v>1057</v>
      </c>
      <c r="B5315" s="23" t="s">
        <v>1056</v>
      </c>
      <c r="C5315" s="23" t="s">
        <v>198</v>
      </c>
      <c r="D5315" s="23" t="s">
        <v>499</v>
      </c>
      <c r="E5315" s="23" t="s">
        <v>500</v>
      </c>
      <c r="F5315">
        <v>1</v>
      </c>
      <c r="G5315" s="23" t="s">
        <v>177</v>
      </c>
      <c r="H5315">
        <v>1</v>
      </c>
      <c r="I5315">
        <v>11</v>
      </c>
      <c r="J5315" s="10">
        <v>8</v>
      </c>
      <c r="K53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315">
        <v>0</v>
      </c>
      <c r="M53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315" s="23" t="s">
        <v>714</v>
      </c>
      <c r="Q5315" s="23" t="s">
        <v>761</v>
      </c>
    </row>
    <row r="5316" spans="1:17" x14ac:dyDescent="0.25">
      <c r="A5316" s="23" t="s">
        <v>1057</v>
      </c>
      <c r="B5316" s="23" t="s">
        <v>1056</v>
      </c>
      <c r="C5316" s="23" t="s">
        <v>176</v>
      </c>
      <c r="D5316" s="23" t="s">
        <v>1039</v>
      </c>
      <c r="E5316" s="23" t="s">
        <v>1040</v>
      </c>
      <c r="F5316">
        <v>1</v>
      </c>
      <c r="G5316" s="23" t="s">
        <v>177</v>
      </c>
      <c r="H5316">
        <v>1</v>
      </c>
      <c r="I5316">
        <v>2</v>
      </c>
      <c r="J5316" s="10">
        <v>2</v>
      </c>
      <c r="K53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316">
        <v>0</v>
      </c>
      <c r="M53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6">
        <v>400</v>
      </c>
      <c r="O5316" s="23" t="s">
        <v>1032</v>
      </c>
      <c r="P5316">
        <v>400</v>
      </c>
      <c r="Q5316" s="23" t="s">
        <v>179</v>
      </c>
    </row>
    <row r="5317" spans="1:17" x14ac:dyDescent="0.25">
      <c r="A5317" s="23" t="s">
        <v>1055</v>
      </c>
      <c r="B5317" s="23" t="s">
        <v>1056</v>
      </c>
      <c r="C5317" s="23" t="s">
        <v>176</v>
      </c>
      <c r="D5317" s="23" t="s">
        <v>671</v>
      </c>
      <c r="E5317" s="23" t="s">
        <v>672</v>
      </c>
      <c r="F5317">
        <v>1</v>
      </c>
      <c r="G5317" s="23" t="s">
        <v>177</v>
      </c>
      <c r="H5317">
        <v>1</v>
      </c>
      <c r="I5317">
        <v>12</v>
      </c>
      <c r="J5317" s="10">
        <v>13</v>
      </c>
      <c r="K53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17">
        <v>0</v>
      </c>
      <c r="M53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7">
        <v>28339.38</v>
      </c>
      <c r="O5317" s="23" t="s">
        <v>215</v>
      </c>
      <c r="P5317">
        <v>28339.38</v>
      </c>
      <c r="Q5317" s="23" t="s">
        <v>178</v>
      </c>
    </row>
    <row r="5318" spans="1:17" x14ac:dyDescent="0.25">
      <c r="A5318" s="23" t="s">
        <v>1058</v>
      </c>
      <c r="B5318" s="23" t="s">
        <v>1059</v>
      </c>
      <c r="C5318" s="23" t="s">
        <v>176</v>
      </c>
      <c r="D5318" s="23" t="s">
        <v>1033</v>
      </c>
      <c r="E5318" s="23" t="s">
        <v>1034</v>
      </c>
      <c r="F5318">
        <v>1</v>
      </c>
      <c r="G5318" s="23" t="s">
        <v>177</v>
      </c>
      <c r="H5318">
        <v>1</v>
      </c>
      <c r="I5318">
        <v>19</v>
      </c>
      <c r="J5318" s="10">
        <v>4</v>
      </c>
      <c r="K53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18">
        <v>0</v>
      </c>
      <c r="M53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8">
        <v>85</v>
      </c>
      <c r="O5318" s="23" t="s">
        <v>822</v>
      </c>
      <c r="P5318">
        <v>85</v>
      </c>
      <c r="Q5318" s="23" t="s">
        <v>179</v>
      </c>
    </row>
    <row r="5319" spans="1:17" x14ac:dyDescent="0.25">
      <c r="A5319" s="23" t="s">
        <v>1058</v>
      </c>
      <c r="B5319" s="23" t="s">
        <v>1059</v>
      </c>
      <c r="C5319" s="23" t="s">
        <v>176</v>
      </c>
      <c r="D5319" s="23" t="s">
        <v>818</v>
      </c>
      <c r="E5319" s="23" t="s">
        <v>819</v>
      </c>
      <c r="F5319">
        <v>1</v>
      </c>
      <c r="G5319" s="23" t="s">
        <v>177</v>
      </c>
      <c r="H5319">
        <v>1</v>
      </c>
      <c r="I5319">
        <v>4</v>
      </c>
      <c r="J5319" s="10">
        <v>3</v>
      </c>
      <c r="K53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319">
        <v>0</v>
      </c>
      <c r="M53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19">
        <v>200</v>
      </c>
      <c r="O5319" s="23" t="s">
        <v>697</v>
      </c>
      <c r="P5319">
        <v>200</v>
      </c>
      <c r="Q5319" s="23" t="s">
        <v>179</v>
      </c>
    </row>
    <row r="5320" spans="1:17" x14ac:dyDescent="0.25">
      <c r="A5320" s="23" t="s">
        <v>1062</v>
      </c>
      <c r="B5320" s="23" t="s">
        <v>1053</v>
      </c>
      <c r="C5320" s="23" t="s">
        <v>176</v>
      </c>
      <c r="D5320" s="23" t="s">
        <v>58</v>
      </c>
      <c r="E5320" s="23" t="s">
        <v>59</v>
      </c>
      <c r="F5320">
        <v>1</v>
      </c>
      <c r="G5320" s="23" t="s">
        <v>177</v>
      </c>
      <c r="H5320">
        <v>1</v>
      </c>
      <c r="I5320">
        <v>18</v>
      </c>
      <c r="J5320" s="10">
        <v>10</v>
      </c>
      <c r="K53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20">
        <v>0</v>
      </c>
      <c r="M53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0">
        <v>1094.4000000000001</v>
      </c>
      <c r="O5320" s="23" t="s">
        <v>827</v>
      </c>
      <c r="P5320">
        <v>1094.4000000000001</v>
      </c>
      <c r="Q5320" s="23" t="s">
        <v>222</v>
      </c>
    </row>
    <row r="5321" spans="1:17" x14ac:dyDescent="0.25">
      <c r="A5321" s="23" t="s">
        <v>1058</v>
      </c>
      <c r="B5321" s="23" t="s">
        <v>1059</v>
      </c>
      <c r="C5321" s="23" t="s">
        <v>176</v>
      </c>
      <c r="D5321" s="23" t="s">
        <v>115</v>
      </c>
      <c r="E5321" s="23" t="s">
        <v>116</v>
      </c>
      <c r="F5321">
        <v>1.504</v>
      </c>
      <c r="G5321" s="23" t="s">
        <v>186</v>
      </c>
      <c r="H5321">
        <v>1.504</v>
      </c>
      <c r="I5321">
        <v>0</v>
      </c>
      <c r="J5321" s="10">
        <v>65.03100000000002</v>
      </c>
      <c r="K53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21">
        <v>0</v>
      </c>
      <c r="M53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21">
        <v>389.53</v>
      </c>
      <c r="O5321" s="23" t="s">
        <v>491</v>
      </c>
      <c r="P5321">
        <v>585.85311999999999</v>
      </c>
      <c r="Q5321" s="23" t="s">
        <v>184</v>
      </c>
    </row>
    <row r="5322" spans="1:17" x14ac:dyDescent="0.25">
      <c r="A5322" s="23" t="s">
        <v>1062</v>
      </c>
      <c r="B5322" s="23" t="s">
        <v>1053</v>
      </c>
      <c r="C5322" s="23" t="s">
        <v>176</v>
      </c>
      <c r="D5322" s="23" t="s">
        <v>446</v>
      </c>
      <c r="E5322" s="23" t="s">
        <v>630</v>
      </c>
      <c r="F5322">
        <v>4</v>
      </c>
      <c r="G5322" s="23" t="s">
        <v>177</v>
      </c>
      <c r="H5322">
        <v>4</v>
      </c>
      <c r="I5322">
        <v>115</v>
      </c>
      <c r="J5322" s="10">
        <v>28</v>
      </c>
      <c r="K53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322">
        <v>0</v>
      </c>
      <c r="M53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2">
        <v>250</v>
      </c>
      <c r="O5322" s="23" t="s">
        <v>629</v>
      </c>
      <c r="P5322">
        <v>1000</v>
      </c>
      <c r="Q5322" s="23" t="s">
        <v>181</v>
      </c>
    </row>
    <row r="5323" spans="1:17" x14ac:dyDescent="0.25">
      <c r="A5323" s="23" t="s">
        <v>1098</v>
      </c>
      <c r="B5323" s="23" t="s">
        <v>1053</v>
      </c>
      <c r="C5323" s="23" t="s">
        <v>176</v>
      </c>
      <c r="D5323" s="23" t="s">
        <v>115</v>
      </c>
      <c r="E5323" s="23" t="s">
        <v>116</v>
      </c>
      <c r="F5323">
        <v>2.0499999999999998</v>
      </c>
      <c r="G5323" s="23" t="s">
        <v>186</v>
      </c>
      <c r="H5323">
        <v>2.0499999999999998</v>
      </c>
      <c r="I5323">
        <v>0</v>
      </c>
      <c r="J5323" s="10">
        <v>65.03100000000002</v>
      </c>
      <c r="K53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23">
        <v>0</v>
      </c>
      <c r="M53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23">
        <v>389.53</v>
      </c>
      <c r="O5323" s="23" t="s">
        <v>491</v>
      </c>
      <c r="P5323">
        <v>798.53649999999982</v>
      </c>
      <c r="Q5323" s="23" t="s">
        <v>184</v>
      </c>
    </row>
    <row r="5324" spans="1:17" x14ac:dyDescent="0.25">
      <c r="A5324" s="23" t="s">
        <v>1062</v>
      </c>
      <c r="B5324" s="23" t="s">
        <v>1053</v>
      </c>
      <c r="C5324" s="23" t="s">
        <v>176</v>
      </c>
      <c r="D5324" s="23" t="s">
        <v>115</v>
      </c>
      <c r="E5324" s="23" t="s">
        <v>116</v>
      </c>
      <c r="F5324">
        <v>2.5500000000000003</v>
      </c>
      <c r="G5324" s="23" t="s">
        <v>186</v>
      </c>
      <c r="H5324">
        <v>2.5500000000000003</v>
      </c>
      <c r="I5324">
        <v>0</v>
      </c>
      <c r="J5324" s="10">
        <v>65.03100000000002</v>
      </c>
      <c r="K53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324">
        <v>0</v>
      </c>
      <c r="M53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324">
        <v>389.53</v>
      </c>
      <c r="O5324" s="23" t="s">
        <v>491</v>
      </c>
      <c r="P5324">
        <v>993.30150000000003</v>
      </c>
      <c r="Q5324" s="23" t="s">
        <v>184</v>
      </c>
    </row>
    <row r="5325" spans="1:17" x14ac:dyDescent="0.25">
      <c r="A5325" s="23" t="s">
        <v>1062</v>
      </c>
      <c r="B5325" s="23" t="s">
        <v>1053</v>
      </c>
      <c r="C5325" s="23" t="s">
        <v>176</v>
      </c>
      <c r="D5325" s="23" t="s">
        <v>757</v>
      </c>
      <c r="E5325" s="23" t="s">
        <v>758</v>
      </c>
      <c r="F5325">
        <v>1</v>
      </c>
      <c r="G5325" s="23" t="s">
        <v>177</v>
      </c>
      <c r="H5325">
        <v>1</v>
      </c>
      <c r="I5325">
        <v>4</v>
      </c>
      <c r="J5325" s="10">
        <v>2</v>
      </c>
      <c r="K53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325">
        <v>2</v>
      </c>
      <c r="M53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5">
        <v>1667.14</v>
      </c>
      <c r="O5325" s="23" t="s">
        <v>633</v>
      </c>
      <c r="P5325">
        <v>1667.14</v>
      </c>
      <c r="Q5325" s="23" t="s">
        <v>178</v>
      </c>
    </row>
    <row r="5326" spans="1:17" x14ac:dyDescent="0.25">
      <c r="A5326" s="23" t="s">
        <v>1096</v>
      </c>
      <c r="B5326" s="23" t="s">
        <v>1053</v>
      </c>
      <c r="C5326" s="23" t="s">
        <v>176</v>
      </c>
      <c r="D5326" s="23" t="s">
        <v>757</v>
      </c>
      <c r="E5326" s="23" t="s">
        <v>758</v>
      </c>
      <c r="F5326">
        <v>1</v>
      </c>
      <c r="G5326" s="23" t="s">
        <v>177</v>
      </c>
      <c r="H5326">
        <v>1</v>
      </c>
      <c r="I5326">
        <v>4</v>
      </c>
      <c r="J5326" s="10">
        <v>2</v>
      </c>
      <c r="K53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326">
        <v>2</v>
      </c>
      <c r="M53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6">
        <v>1667.14</v>
      </c>
      <c r="O5326" s="23" t="s">
        <v>633</v>
      </c>
      <c r="P5326">
        <v>1667.14</v>
      </c>
      <c r="Q5326" s="23" t="s">
        <v>178</v>
      </c>
    </row>
    <row r="5327" spans="1:17" x14ac:dyDescent="0.25">
      <c r="A5327" s="23" t="s">
        <v>1062</v>
      </c>
      <c r="B5327" s="23" t="s">
        <v>1053</v>
      </c>
      <c r="C5327" s="23" t="s">
        <v>176</v>
      </c>
      <c r="D5327" s="23" t="s">
        <v>845</v>
      </c>
      <c r="E5327" s="23" t="s">
        <v>846</v>
      </c>
      <c r="F5327">
        <v>4</v>
      </c>
      <c r="G5327" s="23" t="s">
        <v>177</v>
      </c>
      <c r="H5327">
        <v>4</v>
      </c>
      <c r="I5327">
        <v>42</v>
      </c>
      <c r="J5327" s="10">
        <v>20</v>
      </c>
      <c r="K53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327">
        <v>0</v>
      </c>
      <c r="M53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327">
        <v>348.7</v>
      </c>
      <c r="O5327" s="23" t="s">
        <v>637</v>
      </c>
      <c r="P5327">
        <v>1394.8</v>
      </c>
      <c r="Q5327" s="23" t="s">
        <v>178</v>
      </c>
    </row>
    <row r="5328" spans="1:17" x14ac:dyDescent="0.25">
      <c r="A5328" s="23" t="s">
        <v>1144</v>
      </c>
      <c r="B5328" s="23" t="s">
        <v>1145</v>
      </c>
      <c r="C5328" s="23" t="s">
        <v>176</v>
      </c>
      <c r="D5328" s="23" t="s">
        <v>279</v>
      </c>
      <c r="E5328" s="23" t="s">
        <v>317</v>
      </c>
      <c r="F5328">
        <v>1</v>
      </c>
      <c r="G5328" s="23" t="s">
        <v>177</v>
      </c>
      <c r="H5328">
        <v>1</v>
      </c>
      <c r="I5328">
        <v>27</v>
      </c>
      <c r="J5328" s="10">
        <v>4</v>
      </c>
      <c r="K53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328">
        <v>0</v>
      </c>
      <c r="M53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8">
        <v>287.01</v>
      </c>
      <c r="O5328" s="23" t="s">
        <v>637</v>
      </c>
      <c r="P5328">
        <v>287.01</v>
      </c>
      <c r="Q5328" s="23" t="s">
        <v>179</v>
      </c>
    </row>
    <row r="5329" spans="1:17" x14ac:dyDescent="0.25">
      <c r="A5329" s="23" t="s">
        <v>1144</v>
      </c>
      <c r="B5329" s="23" t="s">
        <v>1145</v>
      </c>
      <c r="C5329" s="23" t="s">
        <v>176</v>
      </c>
      <c r="D5329" s="23" t="s">
        <v>280</v>
      </c>
      <c r="E5329" s="23" t="s">
        <v>318</v>
      </c>
      <c r="F5329">
        <v>1</v>
      </c>
      <c r="G5329" s="23" t="s">
        <v>177</v>
      </c>
      <c r="H5329">
        <v>1</v>
      </c>
      <c r="I5329">
        <v>27</v>
      </c>
      <c r="J5329" s="10">
        <v>4</v>
      </c>
      <c r="K53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329">
        <v>0</v>
      </c>
      <c r="M53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29">
        <v>287.01</v>
      </c>
      <c r="O5329" s="23" t="s">
        <v>637</v>
      </c>
      <c r="P5329">
        <v>287.01</v>
      </c>
      <c r="Q5329" s="23" t="s">
        <v>179</v>
      </c>
    </row>
    <row r="5330" spans="1:17" x14ac:dyDescent="0.25">
      <c r="A5330" s="23" t="s">
        <v>1057</v>
      </c>
      <c r="B5330" s="23" t="s">
        <v>1056</v>
      </c>
      <c r="C5330" s="23" t="s">
        <v>176</v>
      </c>
      <c r="D5330" s="23" t="s">
        <v>671</v>
      </c>
      <c r="E5330" s="23" t="s">
        <v>672</v>
      </c>
      <c r="F5330">
        <v>1</v>
      </c>
      <c r="G5330" s="23" t="s">
        <v>177</v>
      </c>
      <c r="H5330">
        <v>1</v>
      </c>
      <c r="I5330">
        <v>12</v>
      </c>
      <c r="J5330" s="10">
        <v>13</v>
      </c>
      <c r="K53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30">
        <v>0</v>
      </c>
      <c r="M53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0">
        <v>28339.38</v>
      </c>
      <c r="O5330" s="23" t="s">
        <v>215</v>
      </c>
      <c r="P5330">
        <v>28339.38</v>
      </c>
      <c r="Q5330" s="23" t="s">
        <v>178</v>
      </c>
    </row>
    <row r="5331" spans="1:17" x14ac:dyDescent="0.25">
      <c r="A5331" s="23" t="s">
        <v>1146</v>
      </c>
      <c r="B5331" s="23" t="s">
        <v>1145</v>
      </c>
      <c r="C5331" s="23" t="s">
        <v>176</v>
      </c>
      <c r="D5331" s="23" t="s">
        <v>671</v>
      </c>
      <c r="E5331" s="23" t="s">
        <v>672</v>
      </c>
      <c r="F5331">
        <v>1</v>
      </c>
      <c r="G5331" s="23" t="s">
        <v>177</v>
      </c>
      <c r="H5331">
        <v>1</v>
      </c>
      <c r="I5331">
        <v>12</v>
      </c>
      <c r="J5331" s="10">
        <v>13</v>
      </c>
      <c r="K53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31">
        <v>0</v>
      </c>
      <c r="M53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1">
        <v>28339.38</v>
      </c>
      <c r="O5331" s="23" t="s">
        <v>215</v>
      </c>
      <c r="P5331">
        <v>28339.38</v>
      </c>
      <c r="Q5331" s="23" t="s">
        <v>178</v>
      </c>
    </row>
    <row r="5332" spans="1:17" x14ac:dyDescent="0.25">
      <c r="A5332" s="23" t="s">
        <v>1055</v>
      </c>
      <c r="B5332" s="23" t="s">
        <v>1056</v>
      </c>
      <c r="C5332" s="23" t="s">
        <v>176</v>
      </c>
      <c r="D5332" s="23" t="s">
        <v>54</v>
      </c>
      <c r="E5332" s="23" t="s">
        <v>55</v>
      </c>
      <c r="F5332">
        <v>1</v>
      </c>
      <c r="G5332" s="23" t="s">
        <v>177</v>
      </c>
      <c r="H5332">
        <v>1</v>
      </c>
      <c r="I5332">
        <v>10</v>
      </c>
      <c r="J5332" s="10">
        <v>12</v>
      </c>
      <c r="K53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32">
        <v>4</v>
      </c>
      <c r="M53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2">
        <v>1600</v>
      </c>
      <c r="O5332" s="23" t="s">
        <v>218</v>
      </c>
      <c r="P5332">
        <v>1600</v>
      </c>
      <c r="Q5332" s="23" t="s">
        <v>222</v>
      </c>
    </row>
    <row r="5333" spans="1:17" x14ac:dyDescent="0.25">
      <c r="A5333" s="23" t="s">
        <v>1055</v>
      </c>
      <c r="B5333" s="23" t="s">
        <v>1056</v>
      </c>
      <c r="C5333" s="23" t="s">
        <v>176</v>
      </c>
      <c r="D5333" s="23" t="s">
        <v>62</v>
      </c>
      <c r="E5333" s="23" t="s">
        <v>63</v>
      </c>
      <c r="F5333">
        <v>6</v>
      </c>
      <c r="G5333" s="23" t="s">
        <v>180</v>
      </c>
      <c r="H5333">
        <v>6</v>
      </c>
      <c r="I5333">
        <v>260</v>
      </c>
      <c r="J5333" s="10">
        <v>0</v>
      </c>
      <c r="K53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5333">
        <v>0</v>
      </c>
      <c r="M53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3">
        <v>8.4</v>
      </c>
      <c r="O5333" s="23" t="s">
        <v>827</v>
      </c>
      <c r="P5333">
        <v>50.400000000000006</v>
      </c>
      <c r="Q5333" s="23" t="s">
        <v>181</v>
      </c>
    </row>
    <row r="5334" spans="1:17" x14ac:dyDescent="0.25">
      <c r="A5334" s="23" t="s">
        <v>1057</v>
      </c>
      <c r="B5334" s="23" t="s">
        <v>1056</v>
      </c>
      <c r="C5334" s="23" t="s">
        <v>176</v>
      </c>
      <c r="D5334" s="23" t="s">
        <v>62</v>
      </c>
      <c r="E5334" s="23" t="s">
        <v>63</v>
      </c>
      <c r="F5334">
        <v>6</v>
      </c>
      <c r="G5334" s="23" t="s">
        <v>180</v>
      </c>
      <c r="H5334">
        <v>6</v>
      </c>
      <c r="I5334">
        <v>260</v>
      </c>
      <c r="J5334" s="10">
        <v>0</v>
      </c>
      <c r="K53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-248</v>
      </c>
      <c r="L5334">
        <v>0</v>
      </c>
      <c r="M53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4">
        <v>8.4</v>
      </c>
      <c r="O5334" s="23" t="s">
        <v>827</v>
      </c>
      <c r="P5334">
        <v>50.400000000000006</v>
      </c>
      <c r="Q5334" s="23" t="s">
        <v>181</v>
      </c>
    </row>
    <row r="5335" spans="1:17" x14ac:dyDescent="0.25">
      <c r="A5335" s="23" t="s">
        <v>1099</v>
      </c>
      <c r="B5335" s="23" t="s">
        <v>1056</v>
      </c>
      <c r="C5335" s="23" t="s">
        <v>176</v>
      </c>
      <c r="D5335" s="23" t="s">
        <v>296</v>
      </c>
      <c r="E5335" s="23" t="s">
        <v>297</v>
      </c>
      <c r="F5335">
        <v>3</v>
      </c>
      <c r="G5335" s="23" t="s">
        <v>180</v>
      </c>
      <c r="H5335">
        <v>3</v>
      </c>
      <c r="I5335">
        <v>118</v>
      </c>
      <c r="J5335" s="10">
        <v>21</v>
      </c>
      <c r="K53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-115</v>
      </c>
      <c r="L5335">
        <v>0</v>
      </c>
      <c r="M53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5">
        <v>14.33</v>
      </c>
      <c r="O5335" s="23" t="s">
        <v>827</v>
      </c>
      <c r="P5335">
        <v>42.99</v>
      </c>
      <c r="Q5335" s="23" t="s">
        <v>222</v>
      </c>
    </row>
    <row r="5336" spans="1:17" x14ac:dyDescent="0.25">
      <c r="A5336" s="23" t="s">
        <v>1099</v>
      </c>
      <c r="B5336" s="23" t="s">
        <v>1056</v>
      </c>
      <c r="C5336" s="23" t="s">
        <v>176</v>
      </c>
      <c r="D5336" s="23" t="s">
        <v>54</v>
      </c>
      <c r="E5336" s="23" t="s">
        <v>55</v>
      </c>
      <c r="F5336">
        <v>1</v>
      </c>
      <c r="G5336" s="23" t="s">
        <v>177</v>
      </c>
      <c r="H5336">
        <v>1</v>
      </c>
      <c r="I5336">
        <v>10</v>
      </c>
      <c r="J5336" s="10">
        <v>12</v>
      </c>
      <c r="K53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36">
        <v>4</v>
      </c>
      <c r="M53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6">
        <v>1600</v>
      </c>
      <c r="O5336" s="23" t="s">
        <v>218</v>
      </c>
      <c r="P5336">
        <v>1600</v>
      </c>
      <c r="Q5336" s="23" t="s">
        <v>222</v>
      </c>
    </row>
    <row r="5337" spans="1:17" x14ac:dyDescent="0.25">
      <c r="A5337" s="23" t="s">
        <v>1058</v>
      </c>
      <c r="B5337" s="23" t="s">
        <v>1059</v>
      </c>
      <c r="C5337" s="23" t="s">
        <v>176</v>
      </c>
      <c r="D5337" s="23" t="s">
        <v>54</v>
      </c>
      <c r="E5337" s="23" t="s">
        <v>55</v>
      </c>
      <c r="F5337">
        <v>1</v>
      </c>
      <c r="G5337" s="23" t="s">
        <v>177</v>
      </c>
      <c r="H5337">
        <v>1</v>
      </c>
      <c r="I5337">
        <v>10</v>
      </c>
      <c r="J5337" s="10">
        <v>12</v>
      </c>
      <c r="K53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337">
        <v>4</v>
      </c>
      <c r="M53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7">
        <v>1600</v>
      </c>
      <c r="O5337" s="23" t="s">
        <v>218</v>
      </c>
      <c r="P5337">
        <v>1600</v>
      </c>
      <c r="Q5337" s="23" t="s">
        <v>222</v>
      </c>
    </row>
    <row r="5338" spans="1:17" x14ac:dyDescent="0.25">
      <c r="A5338" s="23" t="s">
        <v>1057</v>
      </c>
      <c r="B5338" s="23" t="s">
        <v>1056</v>
      </c>
      <c r="C5338" s="23" t="s">
        <v>176</v>
      </c>
      <c r="D5338" s="23" t="s">
        <v>58</v>
      </c>
      <c r="E5338" s="23" t="s">
        <v>59</v>
      </c>
      <c r="F5338">
        <v>1</v>
      </c>
      <c r="G5338" s="23" t="s">
        <v>177</v>
      </c>
      <c r="H5338">
        <v>1</v>
      </c>
      <c r="I5338">
        <v>18</v>
      </c>
      <c r="J5338" s="10">
        <v>10</v>
      </c>
      <c r="K53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38">
        <v>0</v>
      </c>
      <c r="M53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8">
        <v>1094.4000000000001</v>
      </c>
      <c r="O5338" s="23" t="s">
        <v>827</v>
      </c>
      <c r="P5338">
        <v>1094.4000000000001</v>
      </c>
      <c r="Q5338" s="23" t="s">
        <v>222</v>
      </c>
    </row>
    <row r="5339" spans="1:17" x14ac:dyDescent="0.25">
      <c r="A5339" s="23" t="s">
        <v>1057</v>
      </c>
      <c r="B5339" s="23" t="s">
        <v>1056</v>
      </c>
      <c r="C5339" s="23" t="s">
        <v>176</v>
      </c>
      <c r="D5339" s="23" t="s">
        <v>111</v>
      </c>
      <c r="E5339" s="23" t="s">
        <v>112</v>
      </c>
      <c r="F5339">
        <v>1</v>
      </c>
      <c r="G5339" s="23" t="s">
        <v>177</v>
      </c>
      <c r="H5339">
        <v>1</v>
      </c>
      <c r="I5339">
        <v>2</v>
      </c>
      <c r="J5339" s="10">
        <v>8</v>
      </c>
      <c r="K53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339">
        <v>11</v>
      </c>
      <c r="M53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39">
        <v>675</v>
      </c>
      <c r="O5339" s="23" t="s">
        <v>633</v>
      </c>
      <c r="P5339">
        <v>675</v>
      </c>
      <c r="Q5339" s="23" t="s">
        <v>178</v>
      </c>
    </row>
    <row r="5340" spans="1:17" x14ac:dyDescent="0.25">
      <c r="A5340" s="23" t="s">
        <v>1094</v>
      </c>
      <c r="B5340" s="23" t="s">
        <v>1095</v>
      </c>
      <c r="C5340" s="23" t="s">
        <v>176</v>
      </c>
      <c r="D5340" s="23" t="s">
        <v>661</v>
      </c>
      <c r="E5340" s="23" t="s">
        <v>662</v>
      </c>
      <c r="F5340">
        <v>1</v>
      </c>
      <c r="G5340" s="23" t="s">
        <v>186</v>
      </c>
      <c r="H5340">
        <v>0</v>
      </c>
      <c r="I5340">
        <v>0</v>
      </c>
      <c r="J5340" s="10">
        <v>0</v>
      </c>
      <c r="K53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340">
        <v>0</v>
      </c>
      <c r="M53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5340">
        <v>80.98</v>
      </c>
      <c r="O5340" s="23" t="s">
        <v>224</v>
      </c>
      <c r="P5340">
        <v>80.98</v>
      </c>
      <c r="Q5340" s="23" t="s">
        <v>184</v>
      </c>
    </row>
    <row r="5341" spans="1:17" x14ac:dyDescent="0.25">
      <c r="A5341" s="23" t="s">
        <v>1143</v>
      </c>
      <c r="B5341" s="23" t="s">
        <v>1054</v>
      </c>
      <c r="C5341" s="23" t="s">
        <v>176</v>
      </c>
      <c r="D5341" s="23" t="s">
        <v>661</v>
      </c>
      <c r="E5341" s="23" t="s">
        <v>662</v>
      </c>
      <c r="F5341">
        <v>1</v>
      </c>
      <c r="G5341" s="23" t="s">
        <v>186</v>
      </c>
      <c r="H5341">
        <v>0</v>
      </c>
      <c r="I5341">
        <v>0</v>
      </c>
      <c r="J5341" s="10">
        <v>0</v>
      </c>
      <c r="K53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341">
        <v>0</v>
      </c>
      <c r="M53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5341">
        <v>80.98</v>
      </c>
      <c r="O5341" s="23" t="s">
        <v>224</v>
      </c>
      <c r="P5341">
        <v>80.98</v>
      </c>
      <c r="Q5341" s="23" t="s">
        <v>184</v>
      </c>
    </row>
    <row r="5342" spans="1:17" x14ac:dyDescent="0.25">
      <c r="A5342" s="23" t="s">
        <v>1094</v>
      </c>
      <c r="B5342" s="23" t="s">
        <v>1095</v>
      </c>
      <c r="C5342" s="23" t="s">
        <v>176</v>
      </c>
      <c r="D5342" s="23" t="s">
        <v>627</v>
      </c>
      <c r="E5342" s="23" t="s">
        <v>628</v>
      </c>
      <c r="F5342">
        <v>2</v>
      </c>
      <c r="G5342" s="23" t="s">
        <v>177</v>
      </c>
      <c r="H5342">
        <v>0</v>
      </c>
      <c r="I5342">
        <v>9</v>
      </c>
      <c r="J5342" s="10">
        <v>20</v>
      </c>
      <c r="K53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42">
        <v>0</v>
      </c>
      <c r="M53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5342">
        <v>14946.25</v>
      </c>
      <c r="O5342" s="23" t="s">
        <v>626</v>
      </c>
      <c r="P5342">
        <v>29892.5</v>
      </c>
      <c r="Q5342" s="23" t="s">
        <v>179</v>
      </c>
    </row>
    <row r="5343" spans="1:17" x14ac:dyDescent="0.25">
      <c r="A5343" s="23" t="s">
        <v>1058</v>
      </c>
      <c r="B5343" s="23" t="s">
        <v>1059</v>
      </c>
      <c r="C5343" s="23" t="s">
        <v>176</v>
      </c>
      <c r="D5343" s="23" t="s">
        <v>525</v>
      </c>
      <c r="E5343" s="23" t="s">
        <v>526</v>
      </c>
      <c r="F5343">
        <v>7</v>
      </c>
      <c r="G5343" s="23" t="s">
        <v>177</v>
      </c>
      <c r="H5343">
        <v>7</v>
      </c>
      <c r="I5343">
        <v>400</v>
      </c>
      <c r="J5343" s="10">
        <v>225</v>
      </c>
      <c r="K53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5343">
        <v>0</v>
      </c>
      <c r="M53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3">
        <v>12</v>
      </c>
      <c r="O5343" s="23" t="s">
        <v>227</v>
      </c>
      <c r="P5343">
        <v>84</v>
      </c>
      <c r="Q5343" s="23" t="s">
        <v>181</v>
      </c>
    </row>
    <row r="5344" spans="1:17" x14ac:dyDescent="0.25">
      <c r="A5344" s="23" t="s">
        <v>1058</v>
      </c>
      <c r="B5344" s="23" t="s">
        <v>1059</v>
      </c>
      <c r="C5344" s="23" t="s">
        <v>176</v>
      </c>
      <c r="D5344" s="23" t="s">
        <v>521</v>
      </c>
      <c r="E5344" s="23" t="s">
        <v>522</v>
      </c>
      <c r="F5344">
        <v>5</v>
      </c>
      <c r="G5344" s="23" t="s">
        <v>177</v>
      </c>
      <c r="H5344">
        <v>5</v>
      </c>
      <c r="I5344">
        <v>200</v>
      </c>
      <c r="J5344" s="10">
        <v>70</v>
      </c>
      <c r="K53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-165</v>
      </c>
      <c r="L5344">
        <v>0</v>
      </c>
      <c r="M53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4">
        <v>10</v>
      </c>
      <c r="O5344" s="23" t="s">
        <v>227</v>
      </c>
      <c r="P5344">
        <v>50</v>
      </c>
      <c r="Q5344" s="23" t="s">
        <v>181</v>
      </c>
    </row>
    <row r="5345" spans="1:17" x14ac:dyDescent="0.25">
      <c r="A5345" s="23" t="s">
        <v>1100</v>
      </c>
      <c r="B5345" s="23" t="s">
        <v>1101</v>
      </c>
      <c r="C5345" s="23" t="s">
        <v>176</v>
      </c>
      <c r="D5345" s="23" t="s">
        <v>661</v>
      </c>
      <c r="E5345" s="23" t="s">
        <v>662</v>
      </c>
      <c r="F5345">
        <v>1</v>
      </c>
      <c r="G5345" s="23" t="s">
        <v>186</v>
      </c>
      <c r="H5345">
        <v>0</v>
      </c>
      <c r="I5345">
        <v>0</v>
      </c>
      <c r="J5345" s="10">
        <v>0</v>
      </c>
      <c r="K53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345">
        <v>0</v>
      </c>
      <c r="M53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1538.6200000000001</v>
      </c>
      <c r="N5345">
        <v>80.98</v>
      </c>
      <c r="O5345" s="23" t="s">
        <v>224</v>
      </c>
      <c r="P5345">
        <v>80.98</v>
      </c>
      <c r="Q5345" s="23" t="s">
        <v>184</v>
      </c>
    </row>
    <row r="5346" spans="1:17" x14ac:dyDescent="0.25">
      <c r="A5346" s="23" t="s">
        <v>1100</v>
      </c>
      <c r="B5346" s="23" t="s">
        <v>1101</v>
      </c>
      <c r="C5346" s="23" t="s">
        <v>176</v>
      </c>
      <c r="D5346" s="23" t="s">
        <v>610</v>
      </c>
      <c r="E5346" s="23" t="s">
        <v>611</v>
      </c>
      <c r="F5346">
        <v>1.8</v>
      </c>
      <c r="G5346" s="23" t="s">
        <v>177</v>
      </c>
      <c r="H5346">
        <v>1.8</v>
      </c>
      <c r="I5346">
        <v>0</v>
      </c>
      <c r="J5346" s="10">
        <v>-7.1054273576010019E-15</v>
      </c>
      <c r="K53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5346">
        <v>11</v>
      </c>
      <c r="M53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5346">
        <v>1833.33</v>
      </c>
      <c r="O5346" s="23" t="s">
        <v>224</v>
      </c>
      <c r="P5346">
        <v>3299.9940000000001</v>
      </c>
      <c r="Q5346" s="23" t="s">
        <v>182</v>
      </c>
    </row>
    <row r="5347" spans="1:17" x14ac:dyDescent="0.25">
      <c r="A5347" s="23" t="s">
        <v>1098</v>
      </c>
      <c r="B5347" s="23" t="s">
        <v>1053</v>
      </c>
      <c r="C5347" s="23" t="s">
        <v>176</v>
      </c>
      <c r="D5347" s="23" t="s">
        <v>71</v>
      </c>
      <c r="E5347" s="23" t="s">
        <v>289</v>
      </c>
      <c r="F5347">
        <v>10.86</v>
      </c>
      <c r="G5347" s="23" t="s">
        <v>186</v>
      </c>
      <c r="H5347">
        <v>10.86</v>
      </c>
      <c r="I5347">
        <v>120</v>
      </c>
      <c r="J5347" s="10">
        <v>113.68999999999956</v>
      </c>
      <c r="K53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347">
        <v>120</v>
      </c>
      <c r="M53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47">
        <v>101.44</v>
      </c>
      <c r="O5347" s="23" t="s">
        <v>491</v>
      </c>
      <c r="P5347">
        <v>1101.6383999999998</v>
      </c>
      <c r="Q5347" s="23" t="s">
        <v>184</v>
      </c>
    </row>
    <row r="5348" spans="1:17" x14ac:dyDescent="0.25">
      <c r="A5348" s="23" t="s">
        <v>1096</v>
      </c>
      <c r="B5348" s="23" t="s">
        <v>1053</v>
      </c>
      <c r="C5348" s="23" t="s">
        <v>176</v>
      </c>
      <c r="D5348" s="23" t="s">
        <v>463</v>
      </c>
      <c r="E5348" s="23" t="s">
        <v>464</v>
      </c>
      <c r="F5348">
        <v>0.81</v>
      </c>
      <c r="G5348" s="23" t="s">
        <v>177</v>
      </c>
      <c r="H5348">
        <v>0.81</v>
      </c>
      <c r="I5348">
        <v>0</v>
      </c>
      <c r="J5348" s="10">
        <v>5.5999999999999961</v>
      </c>
      <c r="K53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348">
        <v>0</v>
      </c>
      <c r="M53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348">
        <v>162.51</v>
      </c>
      <c r="O5348" s="23" t="s">
        <v>491</v>
      </c>
      <c r="P5348">
        <v>131.63310000000001</v>
      </c>
      <c r="Q5348" s="23" t="s">
        <v>184</v>
      </c>
    </row>
    <row r="5349" spans="1:17" x14ac:dyDescent="0.25">
      <c r="A5349" s="23" t="s">
        <v>1058</v>
      </c>
      <c r="B5349" s="23" t="s">
        <v>1059</v>
      </c>
      <c r="C5349" s="23" t="s">
        <v>176</v>
      </c>
      <c r="D5349" s="23" t="s">
        <v>72</v>
      </c>
      <c r="E5349" s="23" t="s">
        <v>251</v>
      </c>
      <c r="F5349">
        <v>7.2999999999999989</v>
      </c>
      <c r="G5349" s="23" t="s">
        <v>177</v>
      </c>
      <c r="H5349">
        <v>7.2999999999999989</v>
      </c>
      <c r="I5349">
        <v>96</v>
      </c>
      <c r="J5349" s="10">
        <v>195.44000000000005</v>
      </c>
      <c r="K53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5349">
        <v>0</v>
      </c>
      <c r="M53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5349">
        <v>128.93</v>
      </c>
      <c r="O5349" s="23" t="s">
        <v>252</v>
      </c>
      <c r="P5349">
        <v>941.18899999999996</v>
      </c>
      <c r="Q5349" s="23" t="s">
        <v>181</v>
      </c>
    </row>
    <row r="5350" spans="1:17" x14ac:dyDescent="0.25">
      <c r="A5350" s="23" t="s">
        <v>1057</v>
      </c>
      <c r="B5350" s="23" t="s">
        <v>1056</v>
      </c>
      <c r="C5350" s="23" t="s">
        <v>176</v>
      </c>
      <c r="D5350" s="23" t="s">
        <v>71</v>
      </c>
      <c r="E5350" s="23" t="s">
        <v>289</v>
      </c>
      <c r="F5350">
        <v>4</v>
      </c>
      <c r="G5350" s="23" t="s">
        <v>186</v>
      </c>
      <c r="H5350">
        <v>4</v>
      </c>
      <c r="I5350">
        <v>120</v>
      </c>
      <c r="J5350" s="10">
        <v>113.68999999999956</v>
      </c>
      <c r="K53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350">
        <v>120</v>
      </c>
      <c r="M53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0">
        <v>101.44</v>
      </c>
      <c r="O5350" s="23" t="s">
        <v>491</v>
      </c>
      <c r="P5350">
        <v>405.76</v>
      </c>
      <c r="Q5350" s="23" t="s">
        <v>184</v>
      </c>
    </row>
    <row r="5351" spans="1:17" x14ac:dyDescent="0.25">
      <c r="A5351" s="23" t="s">
        <v>1099</v>
      </c>
      <c r="B5351" s="23" t="s">
        <v>1056</v>
      </c>
      <c r="C5351" s="23" t="s">
        <v>176</v>
      </c>
      <c r="D5351" s="23" t="s">
        <v>15</v>
      </c>
      <c r="E5351" s="23" t="s">
        <v>16</v>
      </c>
      <c r="F5351">
        <v>1</v>
      </c>
      <c r="G5351" s="23" t="s">
        <v>177</v>
      </c>
      <c r="H5351">
        <v>1</v>
      </c>
      <c r="I5351">
        <v>7</v>
      </c>
      <c r="J5351" s="10">
        <v>10</v>
      </c>
      <c r="K53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51">
        <v>0</v>
      </c>
      <c r="M53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5351">
        <v>3383.99</v>
      </c>
      <c r="O5351" s="23" t="s">
        <v>216</v>
      </c>
      <c r="P5351">
        <v>3383.99</v>
      </c>
      <c r="Q5351" s="23" t="s">
        <v>222</v>
      </c>
    </row>
    <row r="5352" spans="1:17" x14ac:dyDescent="0.25">
      <c r="A5352" s="23" t="s">
        <v>1058</v>
      </c>
      <c r="B5352" s="23" t="s">
        <v>1059</v>
      </c>
      <c r="C5352" s="23" t="s">
        <v>176</v>
      </c>
      <c r="D5352" s="23" t="s">
        <v>1089</v>
      </c>
      <c r="E5352" s="23" t="s">
        <v>1090</v>
      </c>
      <c r="F5352">
        <v>1</v>
      </c>
      <c r="G5352" s="23" t="s">
        <v>177</v>
      </c>
      <c r="H5352">
        <v>1</v>
      </c>
      <c r="I5352">
        <v>2</v>
      </c>
      <c r="J5352" s="10">
        <v>4</v>
      </c>
      <c r="K53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352">
        <v>0</v>
      </c>
      <c r="M53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2">
        <v>3500</v>
      </c>
      <c r="O5352" s="23" t="s">
        <v>1091</v>
      </c>
      <c r="P5352">
        <v>3500</v>
      </c>
      <c r="Q5352" s="23" t="s">
        <v>222</v>
      </c>
    </row>
    <row r="5353" spans="1:17" x14ac:dyDescent="0.25">
      <c r="A5353" s="23" t="s">
        <v>1097</v>
      </c>
      <c r="B5353" s="23" t="s">
        <v>1095</v>
      </c>
      <c r="C5353" s="23" t="s">
        <v>176</v>
      </c>
      <c r="D5353" s="23" t="s">
        <v>72</v>
      </c>
      <c r="E5353" s="23" t="s">
        <v>251</v>
      </c>
      <c r="F5353">
        <v>11.199999999999998</v>
      </c>
      <c r="G5353" s="23" t="s">
        <v>177</v>
      </c>
      <c r="H5353">
        <v>0</v>
      </c>
      <c r="I5353">
        <v>96</v>
      </c>
      <c r="J5353" s="10">
        <v>195.44000000000005</v>
      </c>
      <c r="K53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5353">
        <v>0</v>
      </c>
      <c r="M53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5353">
        <v>128.93</v>
      </c>
      <c r="O5353" s="23" t="s">
        <v>252</v>
      </c>
      <c r="P5353">
        <v>1444.0159999999998</v>
      </c>
      <c r="Q5353" s="23" t="s">
        <v>181</v>
      </c>
    </row>
    <row r="5354" spans="1:17" x14ac:dyDescent="0.25">
      <c r="A5354" s="23" t="s">
        <v>1099</v>
      </c>
      <c r="B5354" s="23" t="s">
        <v>1056</v>
      </c>
      <c r="C5354" s="23" t="s">
        <v>176</v>
      </c>
      <c r="D5354" s="23" t="s">
        <v>808</v>
      </c>
      <c r="E5354" s="23" t="s">
        <v>809</v>
      </c>
      <c r="F5354">
        <v>1</v>
      </c>
      <c r="G5354" s="23" t="s">
        <v>177</v>
      </c>
      <c r="H5354">
        <v>1</v>
      </c>
      <c r="I5354">
        <v>11</v>
      </c>
      <c r="J5354" s="10">
        <v>1</v>
      </c>
      <c r="K53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354">
        <v>0</v>
      </c>
      <c r="M53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4">
        <v>583.33000000000004</v>
      </c>
      <c r="O5354" s="23" t="s">
        <v>629</v>
      </c>
      <c r="P5354">
        <v>583.33000000000004</v>
      </c>
      <c r="Q5354" s="23" t="s">
        <v>178</v>
      </c>
    </row>
    <row r="5355" spans="1:17" x14ac:dyDescent="0.25">
      <c r="A5355" s="23" t="s">
        <v>1055</v>
      </c>
      <c r="B5355" s="23" t="s">
        <v>1056</v>
      </c>
      <c r="C5355" s="23" t="s">
        <v>176</v>
      </c>
      <c r="D5355" s="23" t="s">
        <v>403</v>
      </c>
      <c r="E5355" s="23" t="s">
        <v>404</v>
      </c>
      <c r="F5355">
        <v>2</v>
      </c>
      <c r="G5355" s="23" t="s">
        <v>177</v>
      </c>
      <c r="H5355">
        <v>2</v>
      </c>
      <c r="I5355">
        <v>28</v>
      </c>
      <c r="J5355" s="10">
        <v>12</v>
      </c>
      <c r="K53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355">
        <v>0</v>
      </c>
      <c r="M53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5">
        <v>15</v>
      </c>
      <c r="O5355" s="23" t="s">
        <v>221</v>
      </c>
      <c r="P5355">
        <v>30</v>
      </c>
      <c r="Q5355" s="23" t="s">
        <v>222</v>
      </c>
    </row>
    <row r="5356" spans="1:17" x14ac:dyDescent="0.25">
      <c r="A5356" s="23" t="s">
        <v>1057</v>
      </c>
      <c r="B5356" s="23" t="s">
        <v>1056</v>
      </c>
      <c r="C5356" s="23" t="s">
        <v>176</v>
      </c>
      <c r="D5356" s="23" t="s">
        <v>403</v>
      </c>
      <c r="E5356" s="23" t="s">
        <v>404</v>
      </c>
      <c r="F5356">
        <v>2</v>
      </c>
      <c r="G5356" s="23" t="s">
        <v>177</v>
      </c>
      <c r="H5356">
        <v>2</v>
      </c>
      <c r="I5356">
        <v>28</v>
      </c>
      <c r="J5356" s="10">
        <v>12</v>
      </c>
      <c r="K53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356">
        <v>0</v>
      </c>
      <c r="M53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6">
        <v>15</v>
      </c>
      <c r="O5356" s="23" t="s">
        <v>221</v>
      </c>
      <c r="P5356">
        <v>30</v>
      </c>
      <c r="Q5356" s="23" t="s">
        <v>222</v>
      </c>
    </row>
    <row r="5357" spans="1:17" x14ac:dyDescent="0.25">
      <c r="A5357" s="23" t="s">
        <v>1057</v>
      </c>
      <c r="B5357" s="23" t="s">
        <v>1056</v>
      </c>
      <c r="C5357" s="23" t="s">
        <v>176</v>
      </c>
      <c r="D5357" s="23" t="s">
        <v>1089</v>
      </c>
      <c r="E5357" s="23" t="s">
        <v>1090</v>
      </c>
      <c r="F5357">
        <v>1</v>
      </c>
      <c r="G5357" s="23" t="s">
        <v>177</v>
      </c>
      <c r="H5357">
        <v>1</v>
      </c>
      <c r="I5357">
        <v>2</v>
      </c>
      <c r="J5357" s="10">
        <v>4</v>
      </c>
      <c r="K53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357">
        <v>0</v>
      </c>
      <c r="M53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7">
        <v>3500</v>
      </c>
      <c r="O5357" s="23" t="s">
        <v>1091</v>
      </c>
      <c r="P5357">
        <v>3500</v>
      </c>
      <c r="Q5357" s="23" t="s">
        <v>222</v>
      </c>
    </row>
    <row r="5358" spans="1:17" x14ac:dyDescent="0.25">
      <c r="A5358" s="23" t="s">
        <v>1099</v>
      </c>
      <c r="B5358" s="23" t="s">
        <v>1056</v>
      </c>
      <c r="C5358" s="23" t="s">
        <v>176</v>
      </c>
      <c r="D5358" s="23" t="s">
        <v>71</v>
      </c>
      <c r="E5358" s="23" t="s">
        <v>289</v>
      </c>
      <c r="F5358">
        <v>4</v>
      </c>
      <c r="G5358" s="23" t="s">
        <v>186</v>
      </c>
      <c r="H5358">
        <v>4</v>
      </c>
      <c r="I5358">
        <v>120</v>
      </c>
      <c r="J5358" s="10">
        <v>113.68999999999956</v>
      </c>
      <c r="K53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358">
        <v>120</v>
      </c>
      <c r="M53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58">
        <v>101.44</v>
      </c>
      <c r="O5358" s="23" t="s">
        <v>491</v>
      </c>
      <c r="P5358">
        <v>405.76</v>
      </c>
      <c r="Q5358" s="23" t="s">
        <v>184</v>
      </c>
    </row>
    <row r="5359" spans="1:17" x14ac:dyDescent="0.25">
      <c r="A5359" s="23" t="s">
        <v>1057</v>
      </c>
      <c r="B5359" s="23" t="s">
        <v>1056</v>
      </c>
      <c r="C5359" s="23" t="s">
        <v>176</v>
      </c>
      <c r="D5359" s="23" t="s">
        <v>463</v>
      </c>
      <c r="E5359" s="23" t="s">
        <v>464</v>
      </c>
      <c r="F5359">
        <v>0.7</v>
      </c>
      <c r="G5359" s="23" t="s">
        <v>177</v>
      </c>
      <c r="H5359">
        <v>0.7</v>
      </c>
      <c r="I5359">
        <v>0</v>
      </c>
      <c r="J5359" s="10">
        <v>5.5999999999999961</v>
      </c>
      <c r="K53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359">
        <v>0</v>
      </c>
      <c r="M53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359">
        <v>162.51</v>
      </c>
      <c r="O5359" s="23" t="s">
        <v>491</v>
      </c>
      <c r="P5359">
        <v>113.75699999999999</v>
      </c>
      <c r="Q5359" s="23" t="s">
        <v>184</v>
      </c>
    </row>
    <row r="5360" spans="1:17" x14ac:dyDescent="0.25">
      <c r="A5360" s="23" t="s">
        <v>1148</v>
      </c>
      <c r="B5360" s="23" t="s">
        <v>1054</v>
      </c>
      <c r="C5360" s="23" t="s">
        <v>176</v>
      </c>
      <c r="D5360" s="23" t="s">
        <v>28</v>
      </c>
      <c r="E5360" s="23" t="s">
        <v>29</v>
      </c>
      <c r="F5360">
        <v>83</v>
      </c>
      <c r="G5360" s="23" t="s">
        <v>177</v>
      </c>
      <c r="H5360">
        <v>0</v>
      </c>
      <c r="I5360">
        <v>3000</v>
      </c>
      <c r="J5360" s="10">
        <v>1048</v>
      </c>
      <c r="K53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5360">
        <v>0</v>
      </c>
      <c r="M53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0">
        <v>2.92</v>
      </c>
      <c r="O5360" s="23" t="s">
        <v>629</v>
      </c>
      <c r="P5360">
        <v>242.35999999999999</v>
      </c>
      <c r="Q5360" s="23" t="s">
        <v>181</v>
      </c>
    </row>
    <row r="5361" spans="1:17" x14ac:dyDescent="0.25">
      <c r="A5361" s="23" t="s">
        <v>1096</v>
      </c>
      <c r="B5361" s="23" t="s">
        <v>1053</v>
      </c>
      <c r="C5361" s="23" t="s">
        <v>176</v>
      </c>
      <c r="D5361" s="23" t="s">
        <v>15</v>
      </c>
      <c r="E5361" s="23" t="s">
        <v>16</v>
      </c>
      <c r="F5361">
        <v>1</v>
      </c>
      <c r="G5361" s="23" t="s">
        <v>177</v>
      </c>
      <c r="H5361">
        <v>1</v>
      </c>
      <c r="I5361">
        <v>7</v>
      </c>
      <c r="J5361" s="10">
        <v>10</v>
      </c>
      <c r="K53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61">
        <v>0</v>
      </c>
      <c r="M53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5361">
        <v>3383.99</v>
      </c>
      <c r="O5361" s="23" t="s">
        <v>216</v>
      </c>
      <c r="P5361">
        <v>3383.99</v>
      </c>
      <c r="Q5361" s="23" t="s">
        <v>222</v>
      </c>
    </row>
    <row r="5362" spans="1:17" x14ac:dyDescent="0.25">
      <c r="A5362" s="23" t="s">
        <v>1096</v>
      </c>
      <c r="B5362" s="23" t="s">
        <v>1053</v>
      </c>
      <c r="C5362" s="23" t="s">
        <v>176</v>
      </c>
      <c r="D5362" s="23" t="s">
        <v>148</v>
      </c>
      <c r="E5362" s="23" t="s">
        <v>149</v>
      </c>
      <c r="F5362">
        <v>1</v>
      </c>
      <c r="G5362" s="23" t="s">
        <v>177</v>
      </c>
      <c r="H5362">
        <v>1</v>
      </c>
      <c r="I5362">
        <v>2</v>
      </c>
      <c r="J5362" s="10">
        <v>8</v>
      </c>
      <c r="K53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362">
        <v>5</v>
      </c>
      <c r="M53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362">
        <v>3152.4</v>
      </c>
      <c r="O5362" s="23" t="s">
        <v>228</v>
      </c>
      <c r="P5362">
        <v>3152.4</v>
      </c>
      <c r="Q5362" s="23" t="s">
        <v>222</v>
      </c>
    </row>
    <row r="5363" spans="1:17" x14ac:dyDescent="0.25">
      <c r="A5363" s="23" t="s">
        <v>1096</v>
      </c>
      <c r="B5363" s="23" t="s">
        <v>1053</v>
      </c>
      <c r="C5363" s="23" t="s">
        <v>176</v>
      </c>
      <c r="D5363" s="23" t="s">
        <v>525</v>
      </c>
      <c r="E5363" s="23" t="s">
        <v>526</v>
      </c>
      <c r="F5363">
        <v>9</v>
      </c>
      <c r="G5363" s="23" t="s">
        <v>177</v>
      </c>
      <c r="H5363">
        <v>9</v>
      </c>
      <c r="I5363">
        <v>400</v>
      </c>
      <c r="J5363" s="10">
        <v>225</v>
      </c>
      <c r="K53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5363">
        <v>0</v>
      </c>
      <c r="M53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3">
        <v>12</v>
      </c>
      <c r="O5363" s="23" t="s">
        <v>227</v>
      </c>
      <c r="P5363">
        <v>108</v>
      </c>
      <c r="Q5363" s="23" t="s">
        <v>181</v>
      </c>
    </row>
    <row r="5364" spans="1:17" x14ac:dyDescent="0.25">
      <c r="A5364" s="23" t="s">
        <v>1147</v>
      </c>
      <c r="B5364" s="23" t="s">
        <v>1145</v>
      </c>
      <c r="C5364" s="23" t="s">
        <v>176</v>
      </c>
      <c r="D5364" s="23" t="s">
        <v>1170</v>
      </c>
      <c r="E5364" s="23" t="s">
        <v>1171</v>
      </c>
      <c r="F5364">
        <v>2</v>
      </c>
      <c r="G5364" s="23" t="s">
        <v>177</v>
      </c>
      <c r="H5364">
        <v>0</v>
      </c>
      <c r="I5364">
        <v>250</v>
      </c>
      <c r="J5364" s="10">
        <v>250</v>
      </c>
      <c r="K53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5364">
        <v>0</v>
      </c>
      <c r="M53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4">
        <v>1.08</v>
      </c>
      <c r="O5364" s="23" t="s">
        <v>827</v>
      </c>
      <c r="P5364">
        <v>2.16</v>
      </c>
      <c r="Q5364" s="23" t="s">
        <v>222</v>
      </c>
    </row>
    <row r="5365" spans="1:17" x14ac:dyDescent="0.25">
      <c r="A5365" s="23" t="s">
        <v>1097</v>
      </c>
      <c r="B5365" s="23" t="s">
        <v>1095</v>
      </c>
      <c r="C5365" s="23" t="s">
        <v>176</v>
      </c>
      <c r="D5365" s="23" t="s">
        <v>1121</v>
      </c>
      <c r="E5365" s="23" t="s">
        <v>1122</v>
      </c>
      <c r="F5365">
        <v>0.2</v>
      </c>
      <c r="G5365" s="23" t="s">
        <v>186</v>
      </c>
      <c r="H5365">
        <v>0</v>
      </c>
      <c r="I5365">
        <v>0</v>
      </c>
      <c r="J5365" s="10">
        <v>0</v>
      </c>
      <c r="K53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0.60000000000000009</v>
      </c>
      <c r="L5365">
        <v>0</v>
      </c>
      <c r="M53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126.49200000000002</v>
      </c>
      <c r="N5365">
        <v>210.82</v>
      </c>
      <c r="O5365" s="23" t="s">
        <v>491</v>
      </c>
      <c r="P5365">
        <v>42.164000000000001</v>
      </c>
      <c r="Q5365" s="23" t="s">
        <v>184</v>
      </c>
    </row>
    <row r="5366" spans="1:17" x14ac:dyDescent="0.25">
      <c r="A5366" s="23" t="s">
        <v>1097</v>
      </c>
      <c r="B5366" s="23" t="s">
        <v>1095</v>
      </c>
      <c r="C5366" s="23" t="s">
        <v>176</v>
      </c>
      <c r="D5366" s="23" t="s">
        <v>671</v>
      </c>
      <c r="E5366" s="23" t="s">
        <v>672</v>
      </c>
      <c r="F5366">
        <v>1</v>
      </c>
      <c r="G5366" s="23" t="s">
        <v>177</v>
      </c>
      <c r="H5366">
        <v>1</v>
      </c>
      <c r="I5366">
        <v>12</v>
      </c>
      <c r="J5366" s="10">
        <v>13</v>
      </c>
      <c r="K53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66">
        <v>0</v>
      </c>
      <c r="M53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6">
        <v>28339.38</v>
      </c>
      <c r="O5366" s="23" t="s">
        <v>215</v>
      </c>
      <c r="P5366">
        <v>28339.38</v>
      </c>
      <c r="Q5366" s="23" t="s">
        <v>178</v>
      </c>
    </row>
    <row r="5367" spans="1:17" x14ac:dyDescent="0.25">
      <c r="A5367" s="23" t="s">
        <v>1099</v>
      </c>
      <c r="B5367" s="23" t="s">
        <v>1056</v>
      </c>
      <c r="C5367" s="23" t="s">
        <v>176</v>
      </c>
      <c r="D5367" s="23" t="s">
        <v>671</v>
      </c>
      <c r="E5367" s="23" t="s">
        <v>672</v>
      </c>
      <c r="F5367">
        <v>1</v>
      </c>
      <c r="G5367" s="23" t="s">
        <v>177</v>
      </c>
      <c r="H5367">
        <v>1</v>
      </c>
      <c r="I5367">
        <v>12</v>
      </c>
      <c r="J5367" s="10">
        <v>13</v>
      </c>
      <c r="K53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67">
        <v>0</v>
      </c>
      <c r="M53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7">
        <v>28339.38</v>
      </c>
      <c r="O5367" s="23" t="s">
        <v>215</v>
      </c>
      <c r="P5367">
        <v>28339.38</v>
      </c>
      <c r="Q5367" s="23" t="s">
        <v>178</v>
      </c>
    </row>
    <row r="5368" spans="1:17" x14ac:dyDescent="0.25">
      <c r="A5368" s="23" t="s">
        <v>1099</v>
      </c>
      <c r="B5368" s="23" t="s">
        <v>1056</v>
      </c>
      <c r="C5368" s="23" t="s">
        <v>176</v>
      </c>
      <c r="D5368" s="23" t="s">
        <v>1039</v>
      </c>
      <c r="E5368" s="23" t="s">
        <v>1040</v>
      </c>
      <c r="F5368">
        <v>1</v>
      </c>
      <c r="G5368" s="23" t="s">
        <v>177</v>
      </c>
      <c r="H5368">
        <v>1</v>
      </c>
      <c r="I5368">
        <v>2</v>
      </c>
      <c r="J5368" s="10">
        <v>2</v>
      </c>
      <c r="K53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368">
        <v>0</v>
      </c>
      <c r="M53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68">
        <v>400</v>
      </c>
      <c r="O5368" s="23" t="s">
        <v>1032</v>
      </c>
      <c r="P5368">
        <v>400</v>
      </c>
      <c r="Q5368" s="23" t="s">
        <v>179</v>
      </c>
    </row>
    <row r="5369" spans="1:17" x14ac:dyDescent="0.25">
      <c r="A5369" s="23" t="s">
        <v>1143</v>
      </c>
      <c r="B5369" s="23" t="s">
        <v>1054</v>
      </c>
      <c r="C5369" s="23" t="s">
        <v>176</v>
      </c>
      <c r="D5369" s="23" t="s">
        <v>650</v>
      </c>
      <c r="E5369" s="23" t="s">
        <v>651</v>
      </c>
      <c r="F5369">
        <v>7</v>
      </c>
      <c r="G5369" s="23" t="s">
        <v>186</v>
      </c>
      <c r="H5369">
        <v>0</v>
      </c>
      <c r="I5369">
        <v>65</v>
      </c>
      <c r="J5369" s="10">
        <v>0</v>
      </c>
      <c r="K53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5369">
        <v>0</v>
      </c>
      <c r="M53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5369">
        <v>1119.95</v>
      </c>
      <c r="O5369" s="23" t="s">
        <v>649</v>
      </c>
      <c r="P5369">
        <v>7839.6500000000005</v>
      </c>
      <c r="Q5369" s="23" t="s">
        <v>184</v>
      </c>
    </row>
    <row r="5370" spans="1:17" x14ac:dyDescent="0.25">
      <c r="A5370" s="23" t="s">
        <v>1096</v>
      </c>
      <c r="B5370" s="23" t="s">
        <v>1053</v>
      </c>
      <c r="C5370" s="23" t="s">
        <v>176</v>
      </c>
      <c r="D5370" s="23" t="s">
        <v>650</v>
      </c>
      <c r="E5370" s="23" t="s">
        <v>651</v>
      </c>
      <c r="F5370">
        <v>8</v>
      </c>
      <c r="G5370" s="23" t="s">
        <v>186</v>
      </c>
      <c r="H5370">
        <v>0</v>
      </c>
      <c r="I5370">
        <v>65</v>
      </c>
      <c r="J5370" s="10">
        <v>0</v>
      </c>
      <c r="K53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5370">
        <v>0</v>
      </c>
      <c r="M53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60477.3</v>
      </c>
      <c r="N5370">
        <v>1119.95</v>
      </c>
      <c r="O5370" s="23" t="s">
        <v>649</v>
      </c>
      <c r="P5370">
        <v>8959.6</v>
      </c>
      <c r="Q5370" s="23" t="s">
        <v>184</v>
      </c>
    </row>
    <row r="5371" spans="1:17" x14ac:dyDescent="0.25">
      <c r="A5371" s="23" t="s">
        <v>1142</v>
      </c>
      <c r="B5371" s="23" t="s">
        <v>1054</v>
      </c>
      <c r="C5371" s="23" t="s">
        <v>176</v>
      </c>
      <c r="D5371" s="23" t="s">
        <v>646</v>
      </c>
      <c r="E5371" s="23" t="s">
        <v>647</v>
      </c>
      <c r="F5371">
        <v>1</v>
      </c>
      <c r="G5371" s="23" t="s">
        <v>177</v>
      </c>
      <c r="H5371">
        <v>0</v>
      </c>
      <c r="I5371">
        <v>3</v>
      </c>
      <c r="J5371" s="10">
        <v>8</v>
      </c>
      <c r="K53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71">
        <v>0</v>
      </c>
      <c r="M53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371">
        <v>1820</v>
      </c>
      <c r="O5371" s="23" t="s">
        <v>264</v>
      </c>
      <c r="P5371">
        <v>1820</v>
      </c>
      <c r="Q5371" s="23" t="s">
        <v>642</v>
      </c>
    </row>
    <row r="5372" spans="1:17" x14ac:dyDescent="0.25">
      <c r="A5372" s="23" t="s">
        <v>1096</v>
      </c>
      <c r="B5372" s="23" t="s">
        <v>1053</v>
      </c>
      <c r="C5372" s="23" t="s">
        <v>176</v>
      </c>
      <c r="D5372" s="23" t="s">
        <v>646</v>
      </c>
      <c r="E5372" s="23" t="s">
        <v>647</v>
      </c>
      <c r="F5372">
        <v>1</v>
      </c>
      <c r="G5372" s="23" t="s">
        <v>177</v>
      </c>
      <c r="H5372">
        <v>1</v>
      </c>
      <c r="I5372">
        <v>3</v>
      </c>
      <c r="J5372" s="10">
        <v>8</v>
      </c>
      <c r="K53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72">
        <v>0</v>
      </c>
      <c r="M53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372">
        <v>1820</v>
      </c>
      <c r="O5372" s="23" t="s">
        <v>264</v>
      </c>
      <c r="P5372">
        <v>1820</v>
      </c>
      <c r="Q5372" s="23" t="s">
        <v>642</v>
      </c>
    </row>
    <row r="5373" spans="1:17" x14ac:dyDescent="0.25">
      <c r="A5373" s="23" t="s">
        <v>1096</v>
      </c>
      <c r="B5373" s="23" t="s">
        <v>1053</v>
      </c>
      <c r="C5373" s="23" t="s">
        <v>176</v>
      </c>
      <c r="D5373" s="23" t="s">
        <v>245</v>
      </c>
      <c r="E5373" s="23" t="s">
        <v>246</v>
      </c>
      <c r="F5373">
        <v>2</v>
      </c>
      <c r="G5373" s="23" t="s">
        <v>177</v>
      </c>
      <c r="H5373">
        <v>2</v>
      </c>
      <c r="I5373">
        <v>20</v>
      </c>
      <c r="J5373" s="10">
        <v>7</v>
      </c>
      <c r="K53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373">
        <v>0</v>
      </c>
      <c r="M53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3">
        <v>60</v>
      </c>
      <c r="O5373" s="23" t="s">
        <v>629</v>
      </c>
      <c r="P5373">
        <v>120</v>
      </c>
      <c r="Q5373" s="23" t="s">
        <v>181</v>
      </c>
    </row>
    <row r="5374" spans="1:17" x14ac:dyDescent="0.25">
      <c r="A5374" s="23" t="s">
        <v>1142</v>
      </c>
      <c r="B5374" s="23" t="s">
        <v>1054</v>
      </c>
      <c r="C5374" s="23" t="s">
        <v>176</v>
      </c>
      <c r="D5374" s="23" t="s">
        <v>576</v>
      </c>
      <c r="E5374" s="23" t="s">
        <v>577</v>
      </c>
      <c r="F5374">
        <v>4.4000000000000004</v>
      </c>
      <c r="G5374" s="23" t="s">
        <v>177</v>
      </c>
      <c r="H5374">
        <v>0</v>
      </c>
      <c r="I5374">
        <v>85</v>
      </c>
      <c r="J5374" s="10">
        <v>3.6499999999999986</v>
      </c>
      <c r="K53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12.550000000000026</v>
      </c>
      <c r="L5374">
        <v>0</v>
      </c>
      <c r="M53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4368.7805000000089</v>
      </c>
      <c r="N5374">
        <v>348.11</v>
      </c>
      <c r="O5374" s="23" t="s">
        <v>252</v>
      </c>
      <c r="P5374">
        <v>1531.6840000000002</v>
      </c>
      <c r="Q5374" s="23" t="s">
        <v>184</v>
      </c>
    </row>
    <row r="5375" spans="1:17" x14ac:dyDescent="0.25">
      <c r="A5375" s="23" t="s">
        <v>1055</v>
      </c>
      <c r="B5375" s="23" t="s">
        <v>1056</v>
      </c>
      <c r="C5375" s="23" t="s">
        <v>176</v>
      </c>
      <c r="D5375" s="23" t="s">
        <v>48</v>
      </c>
      <c r="E5375" s="23" t="s">
        <v>49</v>
      </c>
      <c r="F5375">
        <v>4</v>
      </c>
      <c r="G5375" s="23" t="s">
        <v>177</v>
      </c>
      <c r="H5375">
        <v>4</v>
      </c>
      <c r="I5375">
        <v>24</v>
      </c>
      <c r="J5375" s="10">
        <v>27</v>
      </c>
      <c r="K53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375">
        <v>0</v>
      </c>
      <c r="M53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375">
        <v>42</v>
      </c>
      <c r="O5375" s="23" t="s">
        <v>247</v>
      </c>
      <c r="P5375">
        <v>168</v>
      </c>
      <c r="Q5375" s="23" t="s">
        <v>181</v>
      </c>
    </row>
    <row r="5376" spans="1:17" x14ac:dyDescent="0.25">
      <c r="A5376" s="23" t="s">
        <v>1055</v>
      </c>
      <c r="B5376" s="23" t="s">
        <v>1056</v>
      </c>
      <c r="C5376" s="23" t="s">
        <v>176</v>
      </c>
      <c r="D5376" s="23" t="s">
        <v>557</v>
      </c>
      <c r="E5376" s="23" t="s">
        <v>558</v>
      </c>
      <c r="F5376">
        <v>0.1</v>
      </c>
      <c r="G5376" s="23" t="s">
        <v>177</v>
      </c>
      <c r="H5376">
        <v>0.1</v>
      </c>
      <c r="I5376">
        <v>33</v>
      </c>
      <c r="J5376" s="10">
        <v>6.1</v>
      </c>
      <c r="K53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5376">
        <v>0</v>
      </c>
      <c r="M53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6">
        <v>25</v>
      </c>
      <c r="O5376" s="23" t="s">
        <v>242</v>
      </c>
      <c r="P5376">
        <v>2.5</v>
      </c>
      <c r="Q5376" s="23" t="s">
        <v>181</v>
      </c>
    </row>
    <row r="5377" spans="1:17" x14ac:dyDescent="0.25">
      <c r="A5377" s="23" t="s">
        <v>1057</v>
      </c>
      <c r="B5377" s="23" t="s">
        <v>1056</v>
      </c>
      <c r="C5377" s="23" t="s">
        <v>176</v>
      </c>
      <c r="D5377" s="23" t="s">
        <v>557</v>
      </c>
      <c r="E5377" s="23" t="s">
        <v>558</v>
      </c>
      <c r="F5377">
        <v>0.1</v>
      </c>
      <c r="G5377" s="23" t="s">
        <v>177</v>
      </c>
      <c r="H5377">
        <v>0.1</v>
      </c>
      <c r="I5377">
        <v>33</v>
      </c>
      <c r="J5377" s="10">
        <v>6.1</v>
      </c>
      <c r="K53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-32.299999999999997</v>
      </c>
      <c r="L5377">
        <v>0</v>
      </c>
      <c r="M53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7">
        <v>25</v>
      </c>
      <c r="O5377" s="23" t="s">
        <v>242</v>
      </c>
      <c r="P5377">
        <v>2.5</v>
      </c>
      <c r="Q5377" s="23" t="s">
        <v>181</v>
      </c>
    </row>
    <row r="5378" spans="1:17" x14ac:dyDescent="0.25">
      <c r="A5378" s="23" t="s">
        <v>1058</v>
      </c>
      <c r="B5378" s="23" t="s">
        <v>1059</v>
      </c>
      <c r="C5378" s="23" t="s">
        <v>176</v>
      </c>
      <c r="D5378" s="23" t="s">
        <v>773</v>
      </c>
      <c r="E5378" s="23" t="s">
        <v>774</v>
      </c>
      <c r="F5378">
        <v>4</v>
      </c>
      <c r="G5378" s="23" t="s">
        <v>177</v>
      </c>
      <c r="H5378">
        <v>4</v>
      </c>
      <c r="I5378">
        <v>64.5</v>
      </c>
      <c r="J5378" s="10">
        <v>20</v>
      </c>
      <c r="K53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378">
        <v>0</v>
      </c>
      <c r="M53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8">
        <v>200</v>
      </c>
      <c r="O5378" s="23" t="s">
        <v>249</v>
      </c>
      <c r="P5378">
        <v>800</v>
      </c>
      <c r="Q5378" s="23" t="s">
        <v>178</v>
      </c>
    </row>
    <row r="5379" spans="1:17" x14ac:dyDescent="0.25">
      <c r="A5379" s="23" t="s">
        <v>1097</v>
      </c>
      <c r="B5379" s="23" t="s">
        <v>1095</v>
      </c>
      <c r="C5379" s="23" t="s">
        <v>176</v>
      </c>
      <c r="D5379" s="23" t="s">
        <v>332</v>
      </c>
      <c r="E5379" s="23" t="s">
        <v>333</v>
      </c>
      <c r="F5379">
        <v>2</v>
      </c>
      <c r="G5379" s="23" t="s">
        <v>177</v>
      </c>
      <c r="H5379">
        <v>0</v>
      </c>
      <c r="I5379">
        <v>809</v>
      </c>
      <c r="J5379" s="10">
        <v>0</v>
      </c>
      <c r="K53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-768</v>
      </c>
      <c r="L5379">
        <v>0</v>
      </c>
      <c r="M53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79">
        <v>2.4</v>
      </c>
      <c r="O5379" s="23" t="s">
        <v>242</v>
      </c>
      <c r="P5379">
        <v>4.8</v>
      </c>
      <c r="Q5379" s="23" t="s">
        <v>181</v>
      </c>
    </row>
    <row r="5380" spans="1:17" x14ac:dyDescent="0.25">
      <c r="A5380" s="23" t="s">
        <v>1100</v>
      </c>
      <c r="B5380" s="23" t="s">
        <v>1101</v>
      </c>
      <c r="C5380" s="23" t="s">
        <v>176</v>
      </c>
      <c r="D5380" s="23" t="s">
        <v>755</v>
      </c>
      <c r="E5380" s="23" t="s">
        <v>756</v>
      </c>
      <c r="F5380">
        <v>1</v>
      </c>
      <c r="G5380" s="23" t="s">
        <v>177</v>
      </c>
      <c r="H5380">
        <v>0</v>
      </c>
      <c r="I5380">
        <v>1</v>
      </c>
      <c r="J5380" s="10">
        <v>1</v>
      </c>
      <c r="K53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80">
        <v>0</v>
      </c>
      <c r="M53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97615.14</v>
      </c>
      <c r="N5380">
        <v>32538.38</v>
      </c>
      <c r="O5380" s="23" t="s">
        <v>216</v>
      </c>
      <c r="P5380">
        <v>32538.38</v>
      </c>
      <c r="Q5380" s="23" t="s">
        <v>178</v>
      </c>
    </row>
    <row r="5381" spans="1:17" x14ac:dyDescent="0.25">
      <c r="A5381" s="23" t="s">
        <v>1144</v>
      </c>
      <c r="B5381" s="23" t="s">
        <v>1145</v>
      </c>
      <c r="C5381" s="23" t="s">
        <v>176</v>
      </c>
      <c r="D5381" s="23" t="s">
        <v>356</v>
      </c>
      <c r="E5381" s="23" t="s">
        <v>357</v>
      </c>
      <c r="F5381">
        <v>16</v>
      </c>
      <c r="G5381" s="23" t="s">
        <v>177</v>
      </c>
      <c r="H5381">
        <v>0</v>
      </c>
      <c r="I5381">
        <v>4822</v>
      </c>
      <c r="J5381" s="10">
        <v>811</v>
      </c>
      <c r="K53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-4638</v>
      </c>
      <c r="L5381">
        <v>0</v>
      </c>
      <c r="M53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1">
        <v>0.3</v>
      </c>
      <c r="O5381" s="23" t="s">
        <v>242</v>
      </c>
      <c r="P5381">
        <v>4.8</v>
      </c>
      <c r="Q5381" s="23" t="s">
        <v>181</v>
      </c>
    </row>
    <row r="5382" spans="1:17" x14ac:dyDescent="0.25">
      <c r="A5382" s="23" t="s">
        <v>1062</v>
      </c>
      <c r="B5382" s="23" t="s">
        <v>1053</v>
      </c>
      <c r="C5382" s="23" t="s">
        <v>176</v>
      </c>
      <c r="D5382" s="23" t="s">
        <v>91</v>
      </c>
      <c r="E5382" s="23" t="s">
        <v>92</v>
      </c>
      <c r="F5382">
        <v>1</v>
      </c>
      <c r="G5382" s="23" t="s">
        <v>177</v>
      </c>
      <c r="H5382">
        <v>1</v>
      </c>
      <c r="I5382">
        <v>6</v>
      </c>
      <c r="J5382" s="10">
        <v>10</v>
      </c>
      <c r="K53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82">
        <v>0</v>
      </c>
      <c r="M53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382">
        <v>1776.43</v>
      </c>
      <c r="O5382" s="23" t="s">
        <v>635</v>
      </c>
      <c r="P5382">
        <v>1776.43</v>
      </c>
      <c r="Q5382" s="23" t="s">
        <v>179</v>
      </c>
    </row>
    <row r="5383" spans="1:17" x14ac:dyDescent="0.25">
      <c r="A5383" s="23" t="s">
        <v>1062</v>
      </c>
      <c r="B5383" s="23" t="s">
        <v>1053</v>
      </c>
      <c r="C5383" s="23" t="s">
        <v>176</v>
      </c>
      <c r="D5383" s="23" t="s">
        <v>646</v>
      </c>
      <c r="E5383" s="23" t="s">
        <v>647</v>
      </c>
      <c r="F5383">
        <v>1</v>
      </c>
      <c r="G5383" s="23" t="s">
        <v>177</v>
      </c>
      <c r="H5383">
        <v>1</v>
      </c>
      <c r="I5383">
        <v>3</v>
      </c>
      <c r="J5383" s="10">
        <v>8</v>
      </c>
      <c r="K53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383">
        <v>0</v>
      </c>
      <c r="M53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383">
        <v>1820</v>
      </c>
      <c r="O5383" s="23" t="s">
        <v>264</v>
      </c>
      <c r="P5383">
        <v>1820</v>
      </c>
      <c r="Q5383" s="23" t="s">
        <v>642</v>
      </c>
    </row>
    <row r="5384" spans="1:17" x14ac:dyDescent="0.25">
      <c r="A5384" s="23" t="s">
        <v>1062</v>
      </c>
      <c r="B5384" s="23" t="s">
        <v>1053</v>
      </c>
      <c r="C5384" s="23" t="s">
        <v>176</v>
      </c>
      <c r="D5384" s="23" t="s">
        <v>755</v>
      </c>
      <c r="E5384" s="23" t="s">
        <v>756</v>
      </c>
      <c r="F5384">
        <v>1</v>
      </c>
      <c r="G5384" s="23" t="s">
        <v>177</v>
      </c>
      <c r="H5384">
        <v>1</v>
      </c>
      <c r="I5384">
        <v>1</v>
      </c>
      <c r="J5384" s="10">
        <v>1</v>
      </c>
      <c r="K53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</v>
      </c>
      <c r="L5384">
        <v>0</v>
      </c>
      <c r="M53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97615.14</v>
      </c>
      <c r="N5384">
        <v>32538.38</v>
      </c>
      <c r="O5384" s="23" t="s">
        <v>216</v>
      </c>
      <c r="P5384">
        <v>32538.38</v>
      </c>
      <c r="Q5384" s="23" t="s">
        <v>178</v>
      </c>
    </row>
    <row r="5385" spans="1:17" x14ac:dyDescent="0.25">
      <c r="A5385" s="23" t="s">
        <v>1062</v>
      </c>
      <c r="B5385" s="23" t="s">
        <v>1053</v>
      </c>
      <c r="C5385" s="23" t="s">
        <v>176</v>
      </c>
      <c r="D5385" s="23" t="s">
        <v>600</v>
      </c>
      <c r="E5385" s="23" t="s">
        <v>601</v>
      </c>
      <c r="F5385">
        <v>2</v>
      </c>
      <c r="G5385" s="23" t="s">
        <v>177</v>
      </c>
      <c r="H5385">
        <v>2</v>
      </c>
      <c r="I5385">
        <v>45</v>
      </c>
      <c r="J5385" s="10">
        <v>6</v>
      </c>
      <c r="K53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385">
        <v>0</v>
      </c>
      <c r="M53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5">
        <v>313.76</v>
      </c>
      <c r="O5385" s="23" t="s">
        <v>637</v>
      </c>
      <c r="P5385">
        <v>627.52</v>
      </c>
      <c r="Q5385" s="23" t="s">
        <v>178</v>
      </c>
    </row>
    <row r="5386" spans="1:17" x14ac:dyDescent="0.25">
      <c r="A5386" s="23" t="s">
        <v>1062</v>
      </c>
      <c r="B5386" s="23" t="s">
        <v>1053</v>
      </c>
      <c r="C5386" s="23" t="s">
        <v>176</v>
      </c>
      <c r="D5386" s="23" t="s">
        <v>773</v>
      </c>
      <c r="E5386" s="23" t="s">
        <v>774</v>
      </c>
      <c r="F5386">
        <v>2</v>
      </c>
      <c r="G5386" s="23" t="s">
        <v>177</v>
      </c>
      <c r="H5386">
        <v>2</v>
      </c>
      <c r="I5386">
        <v>64.5</v>
      </c>
      <c r="J5386" s="10">
        <v>20</v>
      </c>
      <c r="K53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386">
        <v>0</v>
      </c>
      <c r="M53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6">
        <v>200</v>
      </c>
      <c r="O5386" s="23" t="s">
        <v>249</v>
      </c>
      <c r="P5386">
        <v>400</v>
      </c>
      <c r="Q5386" s="23" t="s">
        <v>178</v>
      </c>
    </row>
    <row r="5387" spans="1:17" x14ac:dyDescent="0.25">
      <c r="A5387" s="23" t="s">
        <v>1096</v>
      </c>
      <c r="B5387" s="23" t="s">
        <v>1053</v>
      </c>
      <c r="C5387" s="23" t="s">
        <v>176</v>
      </c>
      <c r="D5387" s="23" t="s">
        <v>91</v>
      </c>
      <c r="E5387" s="23" t="s">
        <v>92</v>
      </c>
      <c r="F5387">
        <v>1</v>
      </c>
      <c r="G5387" s="23" t="s">
        <v>177</v>
      </c>
      <c r="H5387">
        <v>1</v>
      </c>
      <c r="I5387">
        <v>6</v>
      </c>
      <c r="J5387" s="10">
        <v>10</v>
      </c>
      <c r="K53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87">
        <v>0</v>
      </c>
      <c r="M53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12435.01</v>
      </c>
      <c r="N5387">
        <v>1776.43</v>
      </c>
      <c r="O5387" s="23" t="s">
        <v>635</v>
      </c>
      <c r="P5387">
        <v>1776.43</v>
      </c>
      <c r="Q5387" s="23" t="s">
        <v>179</v>
      </c>
    </row>
    <row r="5388" spans="1:17" x14ac:dyDescent="0.25">
      <c r="A5388" s="23" t="s">
        <v>1062</v>
      </c>
      <c r="B5388" s="23" t="s">
        <v>1053</v>
      </c>
      <c r="C5388" s="23" t="s">
        <v>176</v>
      </c>
      <c r="D5388" s="23" t="s">
        <v>438</v>
      </c>
      <c r="E5388" s="23" t="s">
        <v>439</v>
      </c>
      <c r="F5388">
        <v>1</v>
      </c>
      <c r="G5388" s="23" t="s">
        <v>177</v>
      </c>
      <c r="H5388">
        <v>1</v>
      </c>
      <c r="I5388">
        <v>26</v>
      </c>
      <c r="J5388" s="10">
        <v>3</v>
      </c>
      <c r="K53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88">
        <v>0</v>
      </c>
      <c r="M53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8">
        <v>360.05</v>
      </c>
      <c r="O5388" s="23" t="s">
        <v>637</v>
      </c>
      <c r="P5388">
        <v>360.05</v>
      </c>
      <c r="Q5388" s="23" t="s">
        <v>179</v>
      </c>
    </row>
    <row r="5389" spans="1:17" x14ac:dyDescent="0.25">
      <c r="A5389" s="23" t="s">
        <v>1096</v>
      </c>
      <c r="B5389" s="23" t="s">
        <v>1053</v>
      </c>
      <c r="C5389" s="23" t="s">
        <v>176</v>
      </c>
      <c r="D5389" s="23" t="s">
        <v>438</v>
      </c>
      <c r="E5389" s="23" t="s">
        <v>439</v>
      </c>
      <c r="F5389">
        <v>1</v>
      </c>
      <c r="G5389" s="23" t="s">
        <v>177</v>
      </c>
      <c r="H5389">
        <v>1</v>
      </c>
      <c r="I5389">
        <v>26</v>
      </c>
      <c r="J5389" s="10">
        <v>3</v>
      </c>
      <c r="K53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389">
        <v>0</v>
      </c>
      <c r="M53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89">
        <v>360.05</v>
      </c>
      <c r="O5389" s="23" t="s">
        <v>637</v>
      </c>
      <c r="P5389">
        <v>360.05</v>
      </c>
      <c r="Q5389" s="23" t="s">
        <v>179</v>
      </c>
    </row>
    <row r="5390" spans="1:17" x14ac:dyDescent="0.25">
      <c r="A5390" s="23" t="s">
        <v>1098</v>
      </c>
      <c r="B5390" s="23" t="s">
        <v>1053</v>
      </c>
      <c r="C5390" s="23" t="s">
        <v>176</v>
      </c>
      <c r="D5390" s="23" t="s">
        <v>322</v>
      </c>
      <c r="E5390" s="23" t="s">
        <v>323</v>
      </c>
      <c r="F5390">
        <v>4.3499999999999996</v>
      </c>
      <c r="G5390" s="23" t="s">
        <v>177</v>
      </c>
      <c r="H5390">
        <v>4.3499999999999996</v>
      </c>
      <c r="I5390">
        <v>84</v>
      </c>
      <c r="J5390" s="10">
        <v>195.90000000000006</v>
      </c>
      <c r="K53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5390">
        <v>0</v>
      </c>
      <c r="M53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0">
        <v>29</v>
      </c>
      <c r="O5390" s="23" t="s">
        <v>242</v>
      </c>
      <c r="P5390">
        <v>126.14999999999999</v>
      </c>
      <c r="Q5390" s="23" t="s">
        <v>181</v>
      </c>
    </row>
    <row r="5391" spans="1:17" x14ac:dyDescent="0.25">
      <c r="A5391" s="23" t="s">
        <v>1062</v>
      </c>
      <c r="B5391" s="23" t="s">
        <v>1053</v>
      </c>
      <c r="C5391" s="23" t="s">
        <v>176</v>
      </c>
      <c r="D5391" s="23" t="s">
        <v>322</v>
      </c>
      <c r="E5391" s="23" t="s">
        <v>323</v>
      </c>
      <c r="F5391">
        <v>4.3499999999999996</v>
      </c>
      <c r="G5391" s="23" t="s">
        <v>177</v>
      </c>
      <c r="H5391">
        <v>4.3499999999999996</v>
      </c>
      <c r="I5391">
        <v>84</v>
      </c>
      <c r="J5391" s="10">
        <v>195.90000000000006</v>
      </c>
      <c r="K53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5391">
        <v>0</v>
      </c>
      <c r="M53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1">
        <v>29</v>
      </c>
      <c r="O5391" s="23" t="s">
        <v>242</v>
      </c>
      <c r="P5391">
        <v>126.14999999999999</v>
      </c>
      <c r="Q5391" s="23" t="s">
        <v>181</v>
      </c>
    </row>
    <row r="5392" spans="1:17" x14ac:dyDescent="0.25">
      <c r="A5392" s="23" t="s">
        <v>1062</v>
      </c>
      <c r="B5392" s="23" t="s">
        <v>1053</v>
      </c>
      <c r="C5392" s="23" t="s">
        <v>176</v>
      </c>
      <c r="D5392" s="23" t="s">
        <v>48</v>
      </c>
      <c r="E5392" s="23" t="s">
        <v>49</v>
      </c>
      <c r="F5392">
        <v>4</v>
      </c>
      <c r="G5392" s="23" t="s">
        <v>177</v>
      </c>
      <c r="H5392">
        <v>4</v>
      </c>
      <c r="I5392">
        <v>24</v>
      </c>
      <c r="J5392" s="10">
        <v>27</v>
      </c>
      <c r="K53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392">
        <v>0</v>
      </c>
      <c r="M53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392">
        <v>42</v>
      </c>
      <c r="O5392" s="23" t="s">
        <v>247</v>
      </c>
      <c r="P5392">
        <v>168</v>
      </c>
      <c r="Q5392" s="23" t="s">
        <v>181</v>
      </c>
    </row>
    <row r="5393" spans="1:17" x14ac:dyDescent="0.25">
      <c r="A5393" s="23" t="s">
        <v>1146</v>
      </c>
      <c r="B5393" s="23" t="s">
        <v>1145</v>
      </c>
      <c r="C5393" s="23" t="s">
        <v>176</v>
      </c>
      <c r="D5393" s="23" t="s">
        <v>104</v>
      </c>
      <c r="E5393" s="23" t="s">
        <v>290</v>
      </c>
      <c r="F5393">
        <v>0.5</v>
      </c>
      <c r="G5393" s="23" t="s">
        <v>177</v>
      </c>
      <c r="H5393">
        <v>0</v>
      </c>
      <c r="I5393">
        <v>87</v>
      </c>
      <c r="J5393" s="10">
        <v>50.899999999999949</v>
      </c>
      <c r="K53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5393">
        <v>0</v>
      </c>
      <c r="M53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3">
        <v>122.09</v>
      </c>
      <c r="O5393" s="23" t="s">
        <v>252</v>
      </c>
      <c r="P5393">
        <v>61.045000000000002</v>
      </c>
      <c r="Q5393" s="23" t="s">
        <v>181</v>
      </c>
    </row>
    <row r="5394" spans="1:17" x14ac:dyDescent="0.25">
      <c r="A5394" s="23" t="s">
        <v>1096</v>
      </c>
      <c r="B5394" s="23" t="s">
        <v>1053</v>
      </c>
      <c r="C5394" s="23" t="s">
        <v>176</v>
      </c>
      <c r="D5394" s="23" t="s">
        <v>784</v>
      </c>
      <c r="E5394" s="23" t="s">
        <v>785</v>
      </c>
      <c r="F5394">
        <v>1</v>
      </c>
      <c r="G5394" s="23" t="s">
        <v>177</v>
      </c>
      <c r="H5394">
        <v>1</v>
      </c>
      <c r="I5394">
        <v>7</v>
      </c>
      <c r="J5394" s="10">
        <v>9</v>
      </c>
      <c r="K53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394">
        <v>10</v>
      </c>
      <c r="M53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4">
        <v>450</v>
      </c>
      <c r="O5394" s="23" t="s">
        <v>291</v>
      </c>
      <c r="P5394">
        <v>450</v>
      </c>
      <c r="Q5394" s="23" t="s">
        <v>179</v>
      </c>
    </row>
    <row r="5395" spans="1:17" x14ac:dyDescent="0.25">
      <c r="A5395" s="23" t="s">
        <v>1096</v>
      </c>
      <c r="B5395" s="23" t="s">
        <v>1053</v>
      </c>
      <c r="C5395" s="23" t="s">
        <v>176</v>
      </c>
      <c r="D5395" s="23" t="s">
        <v>606</v>
      </c>
      <c r="E5395" s="23" t="s">
        <v>607</v>
      </c>
      <c r="F5395">
        <v>2</v>
      </c>
      <c r="G5395" s="23" t="s">
        <v>177</v>
      </c>
      <c r="H5395">
        <v>2</v>
      </c>
      <c r="I5395">
        <v>33</v>
      </c>
      <c r="J5395" s="10">
        <v>6</v>
      </c>
      <c r="K53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395">
        <v>0</v>
      </c>
      <c r="M53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395">
        <v>172.31</v>
      </c>
      <c r="O5395" s="23" t="s">
        <v>637</v>
      </c>
      <c r="P5395">
        <v>344.62</v>
      </c>
      <c r="Q5395" s="23" t="s">
        <v>178</v>
      </c>
    </row>
    <row r="5396" spans="1:17" x14ac:dyDescent="0.25">
      <c r="A5396" s="23" t="s">
        <v>1057</v>
      </c>
      <c r="B5396" s="23" t="s">
        <v>1056</v>
      </c>
      <c r="C5396" s="23" t="s">
        <v>176</v>
      </c>
      <c r="D5396" s="23" t="s">
        <v>99</v>
      </c>
      <c r="E5396" s="23" t="s">
        <v>250</v>
      </c>
      <c r="F5396">
        <v>4</v>
      </c>
      <c r="G5396" s="23" t="s">
        <v>177</v>
      </c>
      <c r="H5396">
        <v>4</v>
      </c>
      <c r="I5396">
        <v>230</v>
      </c>
      <c r="J5396" s="10">
        <v>72</v>
      </c>
      <c r="K53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396">
        <v>0</v>
      </c>
      <c r="M53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6">
        <v>225</v>
      </c>
      <c r="O5396" s="23" t="s">
        <v>826</v>
      </c>
      <c r="P5396">
        <v>900</v>
      </c>
      <c r="Q5396" s="23" t="s">
        <v>178</v>
      </c>
    </row>
    <row r="5397" spans="1:17" x14ac:dyDescent="0.25">
      <c r="A5397" s="23" t="s">
        <v>1146</v>
      </c>
      <c r="B5397" s="23" t="s">
        <v>1145</v>
      </c>
      <c r="C5397" s="23" t="s">
        <v>176</v>
      </c>
      <c r="D5397" s="23" t="s">
        <v>99</v>
      </c>
      <c r="E5397" s="23" t="s">
        <v>250</v>
      </c>
      <c r="F5397">
        <v>7</v>
      </c>
      <c r="G5397" s="23" t="s">
        <v>177</v>
      </c>
      <c r="H5397">
        <v>7</v>
      </c>
      <c r="I5397">
        <v>230</v>
      </c>
      <c r="J5397" s="10">
        <v>72</v>
      </c>
      <c r="K53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397">
        <v>0</v>
      </c>
      <c r="M53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7">
        <v>225</v>
      </c>
      <c r="O5397" s="23" t="s">
        <v>826</v>
      </c>
      <c r="P5397">
        <v>1575</v>
      </c>
      <c r="Q5397" s="23" t="s">
        <v>178</v>
      </c>
    </row>
    <row r="5398" spans="1:17" x14ac:dyDescent="0.25">
      <c r="A5398" s="23" t="s">
        <v>1096</v>
      </c>
      <c r="B5398" s="23" t="s">
        <v>1053</v>
      </c>
      <c r="C5398" s="23" t="s">
        <v>176</v>
      </c>
      <c r="D5398" s="23" t="s">
        <v>99</v>
      </c>
      <c r="E5398" s="23" t="s">
        <v>250</v>
      </c>
      <c r="F5398">
        <v>9</v>
      </c>
      <c r="G5398" s="23" t="s">
        <v>177</v>
      </c>
      <c r="H5398">
        <v>9</v>
      </c>
      <c r="I5398">
        <v>230</v>
      </c>
      <c r="J5398" s="10">
        <v>72</v>
      </c>
      <c r="K53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398">
        <v>0</v>
      </c>
      <c r="M53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8">
        <v>225</v>
      </c>
      <c r="O5398" s="23" t="s">
        <v>826</v>
      </c>
      <c r="P5398">
        <v>2025</v>
      </c>
      <c r="Q5398" s="23" t="s">
        <v>178</v>
      </c>
    </row>
    <row r="5399" spans="1:17" x14ac:dyDescent="0.25">
      <c r="A5399" s="23" t="s">
        <v>1062</v>
      </c>
      <c r="B5399" s="23" t="s">
        <v>1053</v>
      </c>
      <c r="C5399" s="23" t="s">
        <v>176</v>
      </c>
      <c r="D5399" s="23" t="s">
        <v>9</v>
      </c>
      <c r="E5399" s="23" t="s">
        <v>10</v>
      </c>
      <c r="F5399">
        <v>4</v>
      </c>
      <c r="G5399" s="23" t="s">
        <v>177</v>
      </c>
      <c r="H5399">
        <v>4</v>
      </c>
      <c r="I5399">
        <v>19</v>
      </c>
      <c r="J5399" s="10">
        <v>32</v>
      </c>
      <c r="K53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399">
        <v>20</v>
      </c>
      <c r="M53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399">
        <v>72.819999999999993</v>
      </c>
      <c r="O5399" s="23" t="s">
        <v>228</v>
      </c>
      <c r="P5399">
        <v>291.27999999999997</v>
      </c>
      <c r="Q5399" s="23" t="s">
        <v>222</v>
      </c>
    </row>
    <row r="5400" spans="1:17" x14ac:dyDescent="0.25">
      <c r="A5400" s="23" t="s">
        <v>1062</v>
      </c>
      <c r="B5400" s="23" t="s">
        <v>1053</v>
      </c>
      <c r="C5400" s="23" t="s">
        <v>176</v>
      </c>
      <c r="D5400" s="23" t="s">
        <v>7</v>
      </c>
      <c r="E5400" s="23" t="s">
        <v>8</v>
      </c>
      <c r="F5400">
        <v>1</v>
      </c>
      <c r="G5400" s="23" t="s">
        <v>177</v>
      </c>
      <c r="H5400">
        <v>1</v>
      </c>
      <c r="I5400">
        <v>3</v>
      </c>
      <c r="J5400" s="10">
        <v>7</v>
      </c>
      <c r="K54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400">
        <v>3</v>
      </c>
      <c r="M54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400">
        <v>2477.52</v>
      </c>
      <c r="O5400" s="23" t="s">
        <v>228</v>
      </c>
      <c r="P5400">
        <v>2477.52</v>
      </c>
      <c r="Q5400" s="23" t="s">
        <v>222</v>
      </c>
    </row>
    <row r="5401" spans="1:17" x14ac:dyDescent="0.25">
      <c r="A5401" s="23" t="s">
        <v>1099</v>
      </c>
      <c r="B5401" s="23" t="s">
        <v>1056</v>
      </c>
      <c r="C5401" s="23" t="s">
        <v>198</v>
      </c>
      <c r="D5401" s="23" t="s">
        <v>794</v>
      </c>
      <c r="E5401" s="23" t="s">
        <v>795</v>
      </c>
      <c r="F5401">
        <v>1</v>
      </c>
      <c r="G5401" s="23" t="s">
        <v>177</v>
      </c>
      <c r="H5401">
        <v>1</v>
      </c>
      <c r="I5401">
        <v>26</v>
      </c>
      <c r="J5401" s="10">
        <v>3</v>
      </c>
      <c r="K54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401">
        <v>0</v>
      </c>
      <c r="M54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1">
        <v>2800</v>
      </c>
      <c r="O5401" s="23" t="s">
        <v>796</v>
      </c>
      <c r="P5401">
        <v>2800</v>
      </c>
      <c r="Q5401" s="23" t="s">
        <v>178</v>
      </c>
    </row>
    <row r="5402" spans="1:17" x14ac:dyDescent="0.25">
      <c r="A5402" s="23" t="s">
        <v>1055</v>
      </c>
      <c r="B5402" s="23" t="s">
        <v>1056</v>
      </c>
      <c r="C5402" s="23" t="s">
        <v>176</v>
      </c>
      <c r="D5402" s="23" t="s">
        <v>723</v>
      </c>
      <c r="E5402" s="23" t="s">
        <v>724</v>
      </c>
      <c r="F5402">
        <v>8</v>
      </c>
      <c r="G5402" s="23" t="s">
        <v>177</v>
      </c>
      <c r="H5402">
        <v>8</v>
      </c>
      <c r="I5402">
        <v>1278</v>
      </c>
      <c r="J5402" s="10">
        <v>690</v>
      </c>
      <c r="K54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5402">
        <v>0</v>
      </c>
      <c r="M54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2">
        <v>0.55000000000000004</v>
      </c>
      <c r="O5402" s="23" t="s">
        <v>242</v>
      </c>
      <c r="P5402">
        <v>4.4000000000000004</v>
      </c>
      <c r="Q5402" s="23" t="s">
        <v>181</v>
      </c>
    </row>
    <row r="5403" spans="1:17" x14ac:dyDescent="0.25">
      <c r="A5403" s="23" t="s">
        <v>1096</v>
      </c>
      <c r="B5403" s="23" t="s">
        <v>1053</v>
      </c>
      <c r="C5403" s="23" t="s">
        <v>176</v>
      </c>
      <c r="D5403" s="23" t="s">
        <v>598</v>
      </c>
      <c r="E5403" s="23" t="s">
        <v>599</v>
      </c>
      <c r="F5403">
        <v>2</v>
      </c>
      <c r="G5403" s="23" t="s">
        <v>177</v>
      </c>
      <c r="H5403">
        <v>2</v>
      </c>
      <c r="I5403">
        <v>33</v>
      </c>
      <c r="J5403" s="10">
        <v>5</v>
      </c>
      <c r="K54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403">
        <v>0</v>
      </c>
      <c r="M54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3">
        <v>354.91</v>
      </c>
      <c r="O5403" s="23" t="s">
        <v>637</v>
      </c>
      <c r="P5403">
        <v>709.82</v>
      </c>
      <c r="Q5403" s="23" t="s">
        <v>178</v>
      </c>
    </row>
    <row r="5404" spans="1:17" x14ac:dyDescent="0.25">
      <c r="A5404" s="23" t="s">
        <v>1143</v>
      </c>
      <c r="B5404" s="23" t="s">
        <v>1054</v>
      </c>
      <c r="C5404" s="23" t="s">
        <v>176</v>
      </c>
      <c r="D5404" s="23" t="s">
        <v>631</v>
      </c>
      <c r="E5404" s="23" t="s">
        <v>632</v>
      </c>
      <c r="F5404">
        <v>498</v>
      </c>
      <c r="G5404" s="23" t="s">
        <v>177</v>
      </c>
      <c r="H5404">
        <v>0</v>
      </c>
      <c r="I5404">
        <v>8000</v>
      </c>
      <c r="J5404" s="10">
        <v>11449</v>
      </c>
      <c r="K54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5404">
        <v>0</v>
      </c>
      <c r="M54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4">
        <v>0.54</v>
      </c>
      <c r="O5404" s="23" t="s">
        <v>629</v>
      </c>
      <c r="P5404">
        <v>268.92</v>
      </c>
      <c r="Q5404" s="23" t="s">
        <v>181</v>
      </c>
    </row>
    <row r="5405" spans="1:17" x14ac:dyDescent="0.25">
      <c r="A5405" s="23" t="s">
        <v>1057</v>
      </c>
      <c r="B5405" s="23" t="s">
        <v>1056</v>
      </c>
      <c r="C5405" s="23" t="s">
        <v>176</v>
      </c>
      <c r="D5405" s="23" t="s">
        <v>631</v>
      </c>
      <c r="E5405" s="23" t="s">
        <v>632</v>
      </c>
      <c r="F5405">
        <v>210</v>
      </c>
      <c r="G5405" s="23" t="s">
        <v>177</v>
      </c>
      <c r="H5405">
        <v>0</v>
      </c>
      <c r="I5405">
        <v>8000</v>
      </c>
      <c r="J5405" s="10">
        <v>11449</v>
      </c>
      <c r="K54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-1313</v>
      </c>
      <c r="L5405">
        <v>0</v>
      </c>
      <c r="M54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5">
        <v>0.54</v>
      </c>
      <c r="O5405" s="23" t="s">
        <v>629</v>
      </c>
      <c r="P5405">
        <v>113.4</v>
      </c>
      <c r="Q5405" s="23" t="s">
        <v>181</v>
      </c>
    </row>
    <row r="5406" spans="1:17" x14ac:dyDescent="0.25">
      <c r="A5406" s="23" t="s">
        <v>1062</v>
      </c>
      <c r="B5406" s="23" t="s">
        <v>1053</v>
      </c>
      <c r="C5406" s="23" t="s">
        <v>176</v>
      </c>
      <c r="D5406" s="23" t="s">
        <v>425</v>
      </c>
      <c r="E5406" s="23" t="s">
        <v>426</v>
      </c>
      <c r="F5406">
        <v>1</v>
      </c>
      <c r="G5406" s="23" t="s">
        <v>177</v>
      </c>
      <c r="H5406">
        <v>1</v>
      </c>
      <c r="I5406">
        <v>181</v>
      </c>
      <c r="J5406" s="10">
        <v>3</v>
      </c>
      <c r="K54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-181</v>
      </c>
      <c r="L5406">
        <v>0</v>
      </c>
      <c r="M54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6">
        <v>39.6</v>
      </c>
      <c r="O5406" s="23" t="s">
        <v>221</v>
      </c>
      <c r="P5406">
        <v>39.6</v>
      </c>
      <c r="Q5406" s="23" t="s">
        <v>222</v>
      </c>
    </row>
    <row r="5407" spans="1:17" x14ac:dyDescent="0.25">
      <c r="A5407" s="23" t="s">
        <v>1099</v>
      </c>
      <c r="B5407" s="23" t="s">
        <v>1056</v>
      </c>
      <c r="C5407" s="23" t="s">
        <v>176</v>
      </c>
      <c r="D5407" s="23" t="s">
        <v>715</v>
      </c>
      <c r="E5407" s="23" t="s">
        <v>716</v>
      </c>
      <c r="F5407">
        <v>2</v>
      </c>
      <c r="G5407" s="23" t="s">
        <v>177</v>
      </c>
      <c r="H5407">
        <v>2</v>
      </c>
      <c r="I5407">
        <v>5</v>
      </c>
      <c r="J5407" s="10">
        <v>4</v>
      </c>
      <c r="K54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07">
        <v>0</v>
      </c>
      <c r="M54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5407">
        <v>400</v>
      </c>
      <c r="O5407" s="23" t="s">
        <v>216</v>
      </c>
      <c r="P5407">
        <v>800</v>
      </c>
      <c r="Q5407" s="23" t="s">
        <v>222</v>
      </c>
    </row>
    <row r="5408" spans="1:17" x14ac:dyDescent="0.25">
      <c r="A5408" s="23" t="s">
        <v>1062</v>
      </c>
      <c r="B5408" s="23" t="s">
        <v>1053</v>
      </c>
      <c r="C5408" s="23" t="s">
        <v>176</v>
      </c>
      <c r="D5408" s="23" t="s">
        <v>598</v>
      </c>
      <c r="E5408" s="23" t="s">
        <v>599</v>
      </c>
      <c r="F5408">
        <v>2</v>
      </c>
      <c r="G5408" s="23" t="s">
        <v>177</v>
      </c>
      <c r="H5408">
        <v>2</v>
      </c>
      <c r="I5408">
        <v>33</v>
      </c>
      <c r="J5408" s="10">
        <v>5</v>
      </c>
      <c r="K54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408">
        <v>0</v>
      </c>
      <c r="M54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8">
        <v>354.91</v>
      </c>
      <c r="O5408" s="23" t="s">
        <v>637</v>
      </c>
      <c r="P5408">
        <v>709.82</v>
      </c>
      <c r="Q5408" s="23" t="s">
        <v>178</v>
      </c>
    </row>
    <row r="5409" spans="1:17" x14ac:dyDescent="0.25">
      <c r="A5409" s="23" t="s">
        <v>1062</v>
      </c>
      <c r="B5409" s="23" t="s">
        <v>1053</v>
      </c>
      <c r="C5409" s="23" t="s">
        <v>176</v>
      </c>
      <c r="D5409" s="23" t="s">
        <v>741</v>
      </c>
      <c r="E5409" s="23" t="s">
        <v>742</v>
      </c>
      <c r="F5409">
        <v>1</v>
      </c>
      <c r="G5409" s="23" t="s">
        <v>177</v>
      </c>
      <c r="H5409">
        <v>1</v>
      </c>
      <c r="I5409">
        <v>19</v>
      </c>
      <c r="J5409" s="10">
        <v>15</v>
      </c>
      <c r="K54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09">
        <v>0</v>
      </c>
      <c r="M54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09">
        <v>41.67</v>
      </c>
      <c r="O5409" s="23" t="s">
        <v>668</v>
      </c>
      <c r="P5409">
        <v>41.67</v>
      </c>
      <c r="Q5409" s="23" t="s">
        <v>178</v>
      </c>
    </row>
    <row r="5410" spans="1:17" x14ac:dyDescent="0.25">
      <c r="A5410" s="23" t="s">
        <v>1062</v>
      </c>
      <c r="B5410" s="23" t="s">
        <v>1053</v>
      </c>
      <c r="C5410" s="23" t="s">
        <v>176</v>
      </c>
      <c r="D5410" s="23" t="s">
        <v>440</v>
      </c>
      <c r="E5410" s="23" t="s">
        <v>441</v>
      </c>
      <c r="F5410">
        <v>1</v>
      </c>
      <c r="G5410" s="23" t="s">
        <v>177</v>
      </c>
      <c r="H5410">
        <v>1</v>
      </c>
      <c r="I5410">
        <v>30</v>
      </c>
      <c r="J5410" s="10">
        <v>3</v>
      </c>
      <c r="K54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410">
        <v>0</v>
      </c>
      <c r="M54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0">
        <v>372.91</v>
      </c>
      <c r="O5410" s="23" t="s">
        <v>637</v>
      </c>
      <c r="P5410">
        <v>372.91</v>
      </c>
      <c r="Q5410" s="23" t="s">
        <v>179</v>
      </c>
    </row>
    <row r="5411" spans="1:17" x14ac:dyDescent="0.25">
      <c r="A5411" s="23" t="s">
        <v>1096</v>
      </c>
      <c r="B5411" s="23" t="s">
        <v>1053</v>
      </c>
      <c r="C5411" s="23" t="s">
        <v>176</v>
      </c>
      <c r="D5411" s="23" t="s">
        <v>440</v>
      </c>
      <c r="E5411" s="23" t="s">
        <v>441</v>
      </c>
      <c r="F5411">
        <v>1</v>
      </c>
      <c r="G5411" s="23" t="s">
        <v>177</v>
      </c>
      <c r="H5411">
        <v>1</v>
      </c>
      <c r="I5411">
        <v>30</v>
      </c>
      <c r="J5411" s="10">
        <v>3</v>
      </c>
      <c r="K54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411">
        <v>0</v>
      </c>
      <c r="M54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1">
        <v>372.91</v>
      </c>
      <c r="O5411" s="23" t="s">
        <v>637</v>
      </c>
      <c r="P5411">
        <v>372.91</v>
      </c>
      <c r="Q5411" s="23" t="s">
        <v>179</v>
      </c>
    </row>
    <row r="5412" spans="1:17" x14ac:dyDescent="0.25">
      <c r="A5412" s="23" t="s">
        <v>1096</v>
      </c>
      <c r="B5412" s="23" t="s">
        <v>1053</v>
      </c>
      <c r="C5412" s="23" t="s">
        <v>176</v>
      </c>
      <c r="D5412" s="23" t="s">
        <v>451</v>
      </c>
      <c r="E5412" s="23" t="s">
        <v>625</v>
      </c>
      <c r="F5412">
        <v>2</v>
      </c>
      <c r="G5412" s="23" t="s">
        <v>177</v>
      </c>
      <c r="H5412">
        <v>2</v>
      </c>
      <c r="I5412">
        <v>10</v>
      </c>
      <c r="J5412" s="10">
        <v>20</v>
      </c>
      <c r="K54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412">
        <v>0</v>
      </c>
      <c r="M54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5412">
        <v>14946.25</v>
      </c>
      <c r="O5412" s="23" t="s">
        <v>626</v>
      </c>
      <c r="P5412">
        <v>29892.5</v>
      </c>
      <c r="Q5412" s="23" t="s">
        <v>179</v>
      </c>
    </row>
    <row r="5413" spans="1:17" x14ac:dyDescent="0.25">
      <c r="A5413" s="23" t="s">
        <v>1096</v>
      </c>
      <c r="B5413" s="23" t="s">
        <v>1053</v>
      </c>
      <c r="C5413" s="23" t="s">
        <v>176</v>
      </c>
      <c r="D5413" s="23" t="s">
        <v>38</v>
      </c>
      <c r="E5413" s="23" t="s">
        <v>39</v>
      </c>
      <c r="F5413">
        <v>2</v>
      </c>
      <c r="G5413" s="23" t="s">
        <v>177</v>
      </c>
      <c r="H5413">
        <v>2</v>
      </c>
      <c r="I5413">
        <v>306</v>
      </c>
      <c r="J5413" s="10">
        <v>11</v>
      </c>
      <c r="K54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5413">
        <v>0</v>
      </c>
      <c r="M54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3">
        <v>210</v>
      </c>
      <c r="O5413" s="23" t="s">
        <v>221</v>
      </c>
      <c r="P5413">
        <v>420</v>
      </c>
      <c r="Q5413" s="23" t="s">
        <v>222</v>
      </c>
    </row>
    <row r="5414" spans="1:17" x14ac:dyDescent="0.25">
      <c r="A5414" s="23" t="s">
        <v>1099</v>
      </c>
      <c r="B5414" s="23" t="s">
        <v>1056</v>
      </c>
      <c r="C5414" s="23" t="s">
        <v>176</v>
      </c>
      <c r="D5414" s="23" t="s">
        <v>40</v>
      </c>
      <c r="E5414" s="23" t="s">
        <v>41</v>
      </c>
      <c r="F5414">
        <v>1</v>
      </c>
      <c r="G5414" s="23" t="s">
        <v>177</v>
      </c>
      <c r="H5414">
        <v>1</v>
      </c>
      <c r="I5414">
        <v>30</v>
      </c>
      <c r="J5414" s="10">
        <v>3</v>
      </c>
      <c r="K54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5414">
        <v>0</v>
      </c>
      <c r="M54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4">
        <v>90</v>
      </c>
      <c r="O5414" s="23" t="s">
        <v>227</v>
      </c>
      <c r="P5414">
        <v>90</v>
      </c>
      <c r="Q5414" s="23" t="s">
        <v>181</v>
      </c>
    </row>
    <row r="5415" spans="1:17" x14ac:dyDescent="0.25">
      <c r="A5415" s="23" t="s">
        <v>1099</v>
      </c>
      <c r="B5415" s="23" t="s">
        <v>1056</v>
      </c>
      <c r="C5415" s="23" t="s">
        <v>176</v>
      </c>
      <c r="D5415" s="23" t="s">
        <v>531</v>
      </c>
      <c r="E5415" s="23" t="s">
        <v>532</v>
      </c>
      <c r="F5415">
        <v>0.5</v>
      </c>
      <c r="G5415" s="23" t="s">
        <v>177</v>
      </c>
      <c r="H5415">
        <v>0.5</v>
      </c>
      <c r="I5415">
        <v>5</v>
      </c>
      <c r="J5415" s="10">
        <v>9.7999999999999936</v>
      </c>
      <c r="K54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5415">
        <v>0</v>
      </c>
      <c r="M54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5415">
        <v>38</v>
      </c>
      <c r="O5415" s="23" t="s">
        <v>242</v>
      </c>
      <c r="P5415">
        <v>19</v>
      </c>
      <c r="Q5415" s="23" t="s">
        <v>181</v>
      </c>
    </row>
    <row r="5416" spans="1:17" x14ac:dyDescent="0.25">
      <c r="A5416" s="23" t="s">
        <v>1057</v>
      </c>
      <c r="B5416" s="23" t="s">
        <v>1056</v>
      </c>
      <c r="C5416" s="23" t="s">
        <v>176</v>
      </c>
      <c r="D5416" s="23" t="s">
        <v>46</v>
      </c>
      <c r="E5416" s="23" t="s">
        <v>47</v>
      </c>
      <c r="F5416">
        <v>4</v>
      </c>
      <c r="G5416" s="23" t="s">
        <v>177</v>
      </c>
      <c r="H5416">
        <v>4</v>
      </c>
      <c r="I5416">
        <v>83</v>
      </c>
      <c r="J5416" s="10">
        <v>52</v>
      </c>
      <c r="K54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416">
        <v>0</v>
      </c>
      <c r="M54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6">
        <v>170</v>
      </c>
      <c r="O5416" s="23" t="s">
        <v>247</v>
      </c>
      <c r="P5416">
        <v>680</v>
      </c>
      <c r="Q5416" s="23" t="s">
        <v>181</v>
      </c>
    </row>
    <row r="5417" spans="1:17" x14ac:dyDescent="0.25">
      <c r="A5417" s="23" t="s">
        <v>1055</v>
      </c>
      <c r="B5417" s="23" t="s">
        <v>1056</v>
      </c>
      <c r="C5417" s="23" t="s">
        <v>176</v>
      </c>
      <c r="D5417" s="23" t="s">
        <v>451</v>
      </c>
      <c r="E5417" s="23" t="s">
        <v>625</v>
      </c>
      <c r="F5417">
        <v>2</v>
      </c>
      <c r="G5417" s="23" t="s">
        <v>177</v>
      </c>
      <c r="H5417">
        <v>2</v>
      </c>
      <c r="I5417">
        <v>10</v>
      </c>
      <c r="J5417" s="10">
        <v>20</v>
      </c>
      <c r="K54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417">
        <v>0</v>
      </c>
      <c r="M54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5417">
        <v>14946.25</v>
      </c>
      <c r="O5417" s="23" t="s">
        <v>626</v>
      </c>
      <c r="P5417">
        <v>29892.5</v>
      </c>
      <c r="Q5417" s="23" t="s">
        <v>179</v>
      </c>
    </row>
    <row r="5418" spans="1:17" x14ac:dyDescent="0.25">
      <c r="A5418" s="23" t="s">
        <v>1055</v>
      </c>
      <c r="B5418" s="23" t="s">
        <v>1056</v>
      </c>
      <c r="C5418" s="23" t="s">
        <v>176</v>
      </c>
      <c r="D5418" s="23" t="s">
        <v>427</v>
      </c>
      <c r="E5418" s="23" t="s">
        <v>428</v>
      </c>
      <c r="F5418">
        <v>1</v>
      </c>
      <c r="G5418" s="23" t="s">
        <v>177</v>
      </c>
      <c r="H5418">
        <v>1</v>
      </c>
      <c r="I5418">
        <v>4</v>
      </c>
      <c r="J5418" s="10">
        <v>8</v>
      </c>
      <c r="K54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18">
        <v>9</v>
      </c>
      <c r="M54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8">
        <v>266.39999999999998</v>
      </c>
      <c r="O5418" s="23" t="s">
        <v>228</v>
      </c>
      <c r="P5418">
        <v>266.39999999999998</v>
      </c>
      <c r="Q5418" s="23" t="s">
        <v>222</v>
      </c>
    </row>
    <row r="5419" spans="1:17" x14ac:dyDescent="0.25">
      <c r="A5419" s="23" t="s">
        <v>1058</v>
      </c>
      <c r="B5419" s="23" t="s">
        <v>1059</v>
      </c>
      <c r="C5419" s="23" t="s">
        <v>176</v>
      </c>
      <c r="D5419" s="23" t="s">
        <v>427</v>
      </c>
      <c r="E5419" s="23" t="s">
        <v>428</v>
      </c>
      <c r="F5419">
        <v>1</v>
      </c>
      <c r="G5419" s="23" t="s">
        <v>177</v>
      </c>
      <c r="H5419">
        <v>1</v>
      </c>
      <c r="I5419">
        <v>4</v>
      </c>
      <c r="J5419" s="10">
        <v>8</v>
      </c>
      <c r="K54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19">
        <v>9</v>
      </c>
      <c r="M54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19">
        <v>266.39999999999998</v>
      </c>
      <c r="O5419" s="23" t="s">
        <v>228</v>
      </c>
      <c r="P5419">
        <v>266.39999999999998</v>
      </c>
      <c r="Q5419" s="23" t="s">
        <v>222</v>
      </c>
    </row>
    <row r="5420" spans="1:17" x14ac:dyDescent="0.25">
      <c r="A5420" s="23" t="s">
        <v>1058</v>
      </c>
      <c r="B5420" s="23" t="s">
        <v>1059</v>
      </c>
      <c r="C5420" s="23" t="s">
        <v>176</v>
      </c>
      <c r="D5420" s="23" t="s">
        <v>715</v>
      </c>
      <c r="E5420" s="23" t="s">
        <v>716</v>
      </c>
      <c r="F5420">
        <v>2</v>
      </c>
      <c r="G5420" s="23" t="s">
        <v>177</v>
      </c>
      <c r="H5420">
        <v>2</v>
      </c>
      <c r="I5420">
        <v>5</v>
      </c>
      <c r="J5420" s="10">
        <v>4</v>
      </c>
      <c r="K54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20">
        <v>0</v>
      </c>
      <c r="M54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400</v>
      </c>
      <c r="N5420">
        <v>400</v>
      </c>
      <c r="O5420" s="23" t="s">
        <v>216</v>
      </c>
      <c r="P5420">
        <v>800</v>
      </c>
      <c r="Q5420" s="23" t="s">
        <v>222</v>
      </c>
    </row>
    <row r="5421" spans="1:17" x14ac:dyDescent="0.25">
      <c r="A5421" s="23" t="s">
        <v>1099</v>
      </c>
      <c r="B5421" s="23" t="s">
        <v>1056</v>
      </c>
      <c r="C5421" s="23" t="s">
        <v>176</v>
      </c>
      <c r="D5421" s="23" t="s">
        <v>427</v>
      </c>
      <c r="E5421" s="23" t="s">
        <v>428</v>
      </c>
      <c r="F5421">
        <v>1</v>
      </c>
      <c r="G5421" s="23" t="s">
        <v>177</v>
      </c>
      <c r="H5421">
        <v>1</v>
      </c>
      <c r="I5421">
        <v>4</v>
      </c>
      <c r="J5421" s="10">
        <v>8</v>
      </c>
      <c r="K54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21">
        <v>9</v>
      </c>
      <c r="M54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1">
        <v>266.39999999999998</v>
      </c>
      <c r="O5421" s="23" t="s">
        <v>228</v>
      </c>
      <c r="P5421">
        <v>266.39999999999998</v>
      </c>
      <c r="Q5421" s="23" t="s">
        <v>222</v>
      </c>
    </row>
    <row r="5422" spans="1:17" x14ac:dyDescent="0.25">
      <c r="A5422" s="23" t="s">
        <v>1096</v>
      </c>
      <c r="B5422" s="23" t="s">
        <v>1053</v>
      </c>
      <c r="C5422" s="23" t="s">
        <v>176</v>
      </c>
      <c r="D5422" s="23" t="s">
        <v>46</v>
      </c>
      <c r="E5422" s="23" t="s">
        <v>47</v>
      </c>
      <c r="F5422">
        <v>4</v>
      </c>
      <c r="G5422" s="23" t="s">
        <v>177</v>
      </c>
      <c r="H5422">
        <v>4</v>
      </c>
      <c r="I5422">
        <v>83</v>
      </c>
      <c r="J5422" s="10">
        <v>52</v>
      </c>
      <c r="K54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422">
        <v>0</v>
      </c>
      <c r="M54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2">
        <v>170</v>
      </c>
      <c r="O5422" s="23" t="s">
        <v>247</v>
      </c>
      <c r="P5422">
        <v>680</v>
      </c>
      <c r="Q5422" s="23" t="s">
        <v>181</v>
      </c>
    </row>
    <row r="5423" spans="1:17" x14ac:dyDescent="0.25">
      <c r="A5423" s="23" t="s">
        <v>1096</v>
      </c>
      <c r="B5423" s="23" t="s">
        <v>1053</v>
      </c>
      <c r="C5423" s="23" t="s">
        <v>176</v>
      </c>
      <c r="D5423" s="23" t="s">
        <v>741</v>
      </c>
      <c r="E5423" s="23" t="s">
        <v>742</v>
      </c>
      <c r="F5423">
        <v>1</v>
      </c>
      <c r="G5423" s="23" t="s">
        <v>177</v>
      </c>
      <c r="H5423">
        <v>1</v>
      </c>
      <c r="I5423">
        <v>19</v>
      </c>
      <c r="J5423" s="10">
        <v>15</v>
      </c>
      <c r="K54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23">
        <v>0</v>
      </c>
      <c r="M54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3">
        <v>41.67</v>
      </c>
      <c r="O5423" s="23" t="s">
        <v>668</v>
      </c>
      <c r="P5423">
        <v>41.67</v>
      </c>
      <c r="Q5423" s="23" t="s">
        <v>178</v>
      </c>
    </row>
    <row r="5424" spans="1:17" x14ac:dyDescent="0.25">
      <c r="A5424" s="23" t="s">
        <v>1057</v>
      </c>
      <c r="B5424" s="23" t="s">
        <v>1056</v>
      </c>
      <c r="C5424" s="23" t="s">
        <v>176</v>
      </c>
      <c r="D5424" s="23" t="s">
        <v>40</v>
      </c>
      <c r="E5424" s="23" t="s">
        <v>41</v>
      </c>
      <c r="F5424">
        <v>1</v>
      </c>
      <c r="G5424" s="23" t="s">
        <v>177</v>
      </c>
      <c r="H5424">
        <v>1</v>
      </c>
      <c r="I5424">
        <v>30</v>
      </c>
      <c r="J5424" s="10">
        <v>3</v>
      </c>
      <c r="K54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5424">
        <v>0</v>
      </c>
      <c r="M54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4">
        <v>90</v>
      </c>
      <c r="O5424" s="23" t="s">
        <v>227</v>
      </c>
      <c r="P5424">
        <v>90</v>
      </c>
      <c r="Q5424" s="23" t="s">
        <v>181</v>
      </c>
    </row>
    <row r="5425" spans="1:17" x14ac:dyDescent="0.25">
      <c r="A5425" s="23" t="s">
        <v>1197</v>
      </c>
      <c r="B5425" s="23" t="s">
        <v>1198</v>
      </c>
      <c r="C5425" s="23" t="s">
        <v>176</v>
      </c>
      <c r="D5425" s="23" t="s">
        <v>444</v>
      </c>
      <c r="E5425" s="23" t="s">
        <v>445</v>
      </c>
      <c r="F5425">
        <v>1</v>
      </c>
      <c r="G5425" s="23" t="s">
        <v>177</v>
      </c>
      <c r="H5425">
        <v>0</v>
      </c>
      <c r="I5425">
        <v>27</v>
      </c>
      <c r="J5425" s="10">
        <v>3</v>
      </c>
      <c r="K54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425">
        <v>0</v>
      </c>
      <c r="M54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5">
        <v>372.91</v>
      </c>
      <c r="O5425" s="23" t="s">
        <v>637</v>
      </c>
      <c r="P5425">
        <v>372.91</v>
      </c>
      <c r="Q5425" s="23" t="s">
        <v>179</v>
      </c>
    </row>
    <row r="5426" spans="1:17" x14ac:dyDescent="0.25">
      <c r="A5426" s="23" t="s">
        <v>1099</v>
      </c>
      <c r="B5426" s="23" t="s">
        <v>1056</v>
      </c>
      <c r="C5426" s="23" t="s">
        <v>176</v>
      </c>
      <c r="D5426" s="23" t="s">
        <v>1107</v>
      </c>
      <c r="E5426" s="23" t="s">
        <v>1108</v>
      </c>
      <c r="F5426">
        <v>6</v>
      </c>
      <c r="G5426" s="23" t="s">
        <v>183</v>
      </c>
      <c r="H5426">
        <v>6</v>
      </c>
      <c r="I5426">
        <v>0</v>
      </c>
      <c r="J5426" s="10">
        <v>3.0350000000000055</v>
      </c>
      <c r="K54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26">
        <v>0</v>
      </c>
      <c r="M54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6">
        <v>202.09</v>
      </c>
      <c r="O5426" s="23" t="s">
        <v>224</v>
      </c>
      <c r="P5426">
        <v>1212.54</v>
      </c>
      <c r="Q5426" s="23" t="s">
        <v>182</v>
      </c>
    </row>
    <row r="5427" spans="1:17" x14ac:dyDescent="0.25">
      <c r="A5427" s="23" t="s">
        <v>1096</v>
      </c>
      <c r="B5427" s="23" t="s">
        <v>1053</v>
      </c>
      <c r="C5427" s="23" t="s">
        <v>176</v>
      </c>
      <c r="D5427" s="23" t="s">
        <v>427</v>
      </c>
      <c r="E5427" s="23" t="s">
        <v>428</v>
      </c>
      <c r="F5427">
        <v>1</v>
      </c>
      <c r="G5427" s="23" t="s">
        <v>177</v>
      </c>
      <c r="H5427">
        <v>1</v>
      </c>
      <c r="I5427">
        <v>4</v>
      </c>
      <c r="J5427" s="10">
        <v>8</v>
      </c>
      <c r="K54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27">
        <v>9</v>
      </c>
      <c r="M54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7">
        <v>266.39999999999998</v>
      </c>
      <c r="O5427" s="23" t="s">
        <v>228</v>
      </c>
      <c r="P5427">
        <v>266.39999999999998</v>
      </c>
      <c r="Q5427" s="23" t="s">
        <v>222</v>
      </c>
    </row>
    <row r="5428" spans="1:17" x14ac:dyDescent="0.25">
      <c r="A5428" s="23" t="s">
        <v>1055</v>
      </c>
      <c r="B5428" s="23" t="s">
        <v>1056</v>
      </c>
      <c r="C5428" s="23" t="s">
        <v>176</v>
      </c>
      <c r="D5428" s="23" t="s">
        <v>207</v>
      </c>
      <c r="E5428" s="23" t="s">
        <v>282</v>
      </c>
      <c r="F5428">
        <v>0.54999999999999993</v>
      </c>
      <c r="G5428" s="23" t="s">
        <v>177</v>
      </c>
      <c r="H5428">
        <v>0.54999999999999993</v>
      </c>
      <c r="I5428">
        <v>20</v>
      </c>
      <c r="J5428" s="10">
        <v>116.66400000000021</v>
      </c>
      <c r="K54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5428">
        <v>0</v>
      </c>
      <c r="M54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28">
        <v>185</v>
      </c>
      <c r="O5428" s="23" t="s">
        <v>242</v>
      </c>
      <c r="P5428">
        <v>101.74999999999999</v>
      </c>
      <c r="Q5428" s="23" t="s">
        <v>181</v>
      </c>
    </row>
    <row r="5429" spans="1:17" x14ac:dyDescent="0.25">
      <c r="A5429" s="23" t="s">
        <v>1099</v>
      </c>
      <c r="B5429" s="23" t="s">
        <v>1056</v>
      </c>
      <c r="C5429" s="23" t="s">
        <v>176</v>
      </c>
      <c r="D5429" s="23" t="s">
        <v>258</v>
      </c>
      <c r="E5429" s="23" t="s">
        <v>259</v>
      </c>
      <c r="F5429">
        <v>0.3</v>
      </c>
      <c r="G5429" s="23" t="s">
        <v>177</v>
      </c>
      <c r="H5429">
        <v>0.3</v>
      </c>
      <c r="I5429">
        <v>14</v>
      </c>
      <c r="J5429" s="10">
        <v>6.7999999999999901</v>
      </c>
      <c r="K54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5429">
        <v>12</v>
      </c>
      <c r="M54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5429">
        <v>328.85</v>
      </c>
      <c r="O5429" s="23" t="s">
        <v>260</v>
      </c>
      <c r="P5429">
        <v>98.655000000000001</v>
      </c>
      <c r="Q5429" s="23" t="s">
        <v>184</v>
      </c>
    </row>
    <row r="5430" spans="1:17" x14ac:dyDescent="0.25">
      <c r="A5430" s="23" t="s">
        <v>1144</v>
      </c>
      <c r="B5430" s="23" t="s">
        <v>1145</v>
      </c>
      <c r="C5430" s="23" t="s">
        <v>176</v>
      </c>
      <c r="D5430" s="23" t="s">
        <v>388</v>
      </c>
      <c r="E5430" s="23" t="s">
        <v>389</v>
      </c>
      <c r="F5430">
        <v>7</v>
      </c>
      <c r="G5430" s="23" t="s">
        <v>177</v>
      </c>
      <c r="H5430">
        <v>0</v>
      </c>
      <c r="I5430">
        <v>1100</v>
      </c>
      <c r="J5430" s="10">
        <v>780</v>
      </c>
      <c r="K54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-832</v>
      </c>
      <c r="L5430">
        <v>0</v>
      </c>
      <c r="M54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0">
        <v>0.32</v>
      </c>
      <c r="O5430" s="23" t="s">
        <v>242</v>
      </c>
      <c r="P5430">
        <v>2.2400000000000002</v>
      </c>
      <c r="Q5430" s="23" t="s">
        <v>181</v>
      </c>
    </row>
    <row r="5431" spans="1:17" x14ac:dyDescent="0.25">
      <c r="A5431" s="23" t="s">
        <v>1062</v>
      </c>
      <c r="B5431" s="23" t="s">
        <v>1053</v>
      </c>
      <c r="C5431" s="23" t="s">
        <v>176</v>
      </c>
      <c r="D5431" s="23" t="s">
        <v>606</v>
      </c>
      <c r="E5431" s="23" t="s">
        <v>607</v>
      </c>
      <c r="F5431">
        <v>2</v>
      </c>
      <c r="G5431" s="23" t="s">
        <v>177</v>
      </c>
      <c r="H5431">
        <v>2</v>
      </c>
      <c r="I5431">
        <v>33</v>
      </c>
      <c r="J5431" s="10">
        <v>6</v>
      </c>
      <c r="K54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431">
        <v>0</v>
      </c>
      <c r="M54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1206.17</v>
      </c>
      <c r="N5431">
        <v>172.31</v>
      </c>
      <c r="O5431" s="23" t="s">
        <v>637</v>
      </c>
      <c r="P5431">
        <v>344.62</v>
      </c>
      <c r="Q5431" s="23" t="s">
        <v>178</v>
      </c>
    </row>
    <row r="5432" spans="1:17" x14ac:dyDescent="0.25">
      <c r="A5432" s="23" t="s">
        <v>1062</v>
      </c>
      <c r="B5432" s="23" t="s">
        <v>1053</v>
      </c>
      <c r="C5432" s="23" t="s">
        <v>176</v>
      </c>
      <c r="D5432" s="23" t="s">
        <v>784</v>
      </c>
      <c r="E5432" s="23" t="s">
        <v>785</v>
      </c>
      <c r="F5432">
        <v>1</v>
      </c>
      <c r="G5432" s="23" t="s">
        <v>177</v>
      </c>
      <c r="H5432">
        <v>1</v>
      </c>
      <c r="I5432">
        <v>7</v>
      </c>
      <c r="J5432" s="10">
        <v>9</v>
      </c>
      <c r="K54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432">
        <v>10</v>
      </c>
      <c r="M54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2">
        <v>450</v>
      </c>
      <c r="O5432" s="23" t="s">
        <v>291</v>
      </c>
      <c r="P5432">
        <v>450</v>
      </c>
      <c r="Q5432" s="23" t="s">
        <v>179</v>
      </c>
    </row>
    <row r="5433" spans="1:17" x14ac:dyDescent="0.25">
      <c r="A5433" s="23" t="s">
        <v>1142</v>
      </c>
      <c r="B5433" s="23" t="s">
        <v>1054</v>
      </c>
      <c r="C5433" s="23" t="s">
        <v>176</v>
      </c>
      <c r="D5433" s="23" t="s">
        <v>666</v>
      </c>
      <c r="E5433" s="23" t="s">
        <v>667</v>
      </c>
      <c r="F5433">
        <v>1</v>
      </c>
      <c r="G5433" s="23" t="s">
        <v>177</v>
      </c>
      <c r="H5433">
        <v>0</v>
      </c>
      <c r="I5433">
        <v>0</v>
      </c>
      <c r="J5433" s="10">
        <v>4</v>
      </c>
      <c r="K54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33">
        <v>20</v>
      </c>
      <c r="M54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3">
        <v>28000</v>
      </c>
      <c r="O5433" s="23" t="s">
        <v>830</v>
      </c>
      <c r="P5433">
        <v>28000</v>
      </c>
      <c r="Q5433" s="23" t="s">
        <v>222</v>
      </c>
    </row>
    <row r="5434" spans="1:17" x14ac:dyDescent="0.25">
      <c r="A5434" s="23" t="s">
        <v>1098</v>
      </c>
      <c r="B5434" s="23" t="s">
        <v>1053</v>
      </c>
      <c r="C5434" s="23" t="s">
        <v>176</v>
      </c>
      <c r="D5434" s="23" t="s">
        <v>9</v>
      </c>
      <c r="E5434" s="23" t="s">
        <v>10</v>
      </c>
      <c r="F5434">
        <v>4</v>
      </c>
      <c r="G5434" s="23" t="s">
        <v>177</v>
      </c>
      <c r="H5434">
        <v>4</v>
      </c>
      <c r="I5434">
        <v>19</v>
      </c>
      <c r="J5434" s="10">
        <v>32</v>
      </c>
      <c r="K54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434">
        <v>20</v>
      </c>
      <c r="M54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4">
        <v>72.819999999999993</v>
      </c>
      <c r="O5434" s="23" t="s">
        <v>228</v>
      </c>
      <c r="P5434">
        <v>291.27999999999997</v>
      </c>
      <c r="Q5434" s="23" t="s">
        <v>222</v>
      </c>
    </row>
    <row r="5435" spans="1:17" x14ac:dyDescent="0.25">
      <c r="A5435" s="23" t="s">
        <v>1099</v>
      </c>
      <c r="B5435" s="23" t="s">
        <v>1056</v>
      </c>
      <c r="C5435" s="23" t="s">
        <v>176</v>
      </c>
      <c r="D5435" s="23" t="s">
        <v>11</v>
      </c>
      <c r="E5435" s="23" t="s">
        <v>12</v>
      </c>
      <c r="F5435">
        <v>1</v>
      </c>
      <c r="G5435" s="23" t="s">
        <v>177</v>
      </c>
      <c r="H5435">
        <v>1</v>
      </c>
      <c r="I5435">
        <v>26</v>
      </c>
      <c r="J5435" s="10">
        <v>8</v>
      </c>
      <c r="K54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435">
        <v>0</v>
      </c>
      <c r="M54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5">
        <v>368.07</v>
      </c>
      <c r="O5435" s="23" t="s">
        <v>590</v>
      </c>
      <c r="P5435">
        <v>368.07</v>
      </c>
      <c r="Q5435" s="23" t="s">
        <v>222</v>
      </c>
    </row>
    <row r="5436" spans="1:17" x14ac:dyDescent="0.25">
      <c r="A5436" s="23" t="s">
        <v>1144</v>
      </c>
      <c r="B5436" s="23" t="s">
        <v>1145</v>
      </c>
      <c r="C5436" s="23" t="s">
        <v>176</v>
      </c>
      <c r="D5436" s="23" t="s">
        <v>5</v>
      </c>
      <c r="E5436" s="23" t="s">
        <v>6</v>
      </c>
      <c r="F5436">
        <v>4.0999999999999996</v>
      </c>
      <c r="G5436" s="23" t="s">
        <v>180</v>
      </c>
      <c r="H5436">
        <v>0</v>
      </c>
      <c r="I5436">
        <v>100</v>
      </c>
      <c r="J5436" s="10">
        <v>1.9999999999998863</v>
      </c>
      <c r="K54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-6.4000000000000199</v>
      </c>
      <c r="L5436">
        <v>0</v>
      </c>
      <c r="M54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6">
        <v>111</v>
      </c>
      <c r="O5436" s="23" t="s">
        <v>827</v>
      </c>
      <c r="P5436">
        <v>455.09999999999997</v>
      </c>
      <c r="Q5436" s="23" t="s">
        <v>222</v>
      </c>
    </row>
    <row r="5437" spans="1:17" x14ac:dyDescent="0.25">
      <c r="A5437" s="23" t="s">
        <v>1096</v>
      </c>
      <c r="B5437" s="23" t="s">
        <v>1053</v>
      </c>
      <c r="C5437" s="23" t="s">
        <v>176</v>
      </c>
      <c r="D5437" s="23" t="s">
        <v>7</v>
      </c>
      <c r="E5437" s="23" t="s">
        <v>8</v>
      </c>
      <c r="F5437">
        <v>1</v>
      </c>
      <c r="G5437" s="23" t="s">
        <v>177</v>
      </c>
      <c r="H5437">
        <v>1</v>
      </c>
      <c r="I5437">
        <v>3</v>
      </c>
      <c r="J5437" s="10">
        <v>7</v>
      </c>
      <c r="K54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437">
        <v>3</v>
      </c>
      <c r="M54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437">
        <v>2477.52</v>
      </c>
      <c r="O5437" s="23" t="s">
        <v>228</v>
      </c>
      <c r="P5437">
        <v>2477.52</v>
      </c>
      <c r="Q5437" s="23" t="s">
        <v>222</v>
      </c>
    </row>
    <row r="5438" spans="1:17" x14ac:dyDescent="0.25">
      <c r="A5438" s="23" t="s">
        <v>1096</v>
      </c>
      <c r="B5438" s="23" t="s">
        <v>1053</v>
      </c>
      <c r="C5438" s="23" t="s">
        <v>176</v>
      </c>
      <c r="D5438" s="23" t="s">
        <v>162</v>
      </c>
      <c r="E5438" s="23" t="s">
        <v>163</v>
      </c>
      <c r="F5438">
        <v>1</v>
      </c>
      <c r="G5438" s="23" t="s">
        <v>177</v>
      </c>
      <c r="H5438">
        <v>1</v>
      </c>
      <c r="I5438">
        <v>2</v>
      </c>
      <c r="J5438" s="10">
        <v>8</v>
      </c>
      <c r="K54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438">
        <v>3</v>
      </c>
      <c r="M54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30287.5</v>
      </c>
      <c r="N5438">
        <v>6057.5</v>
      </c>
      <c r="O5438" s="23" t="s">
        <v>228</v>
      </c>
      <c r="P5438">
        <v>6057.5</v>
      </c>
      <c r="Q5438" s="23" t="s">
        <v>222</v>
      </c>
    </row>
    <row r="5439" spans="1:17" x14ac:dyDescent="0.25">
      <c r="A5439" s="23" t="s">
        <v>1055</v>
      </c>
      <c r="B5439" s="23" t="s">
        <v>1056</v>
      </c>
      <c r="C5439" s="23" t="s">
        <v>198</v>
      </c>
      <c r="D5439" s="23" t="s">
        <v>794</v>
      </c>
      <c r="E5439" s="23" t="s">
        <v>795</v>
      </c>
      <c r="F5439">
        <v>1</v>
      </c>
      <c r="G5439" s="23" t="s">
        <v>177</v>
      </c>
      <c r="H5439">
        <v>1</v>
      </c>
      <c r="I5439">
        <v>26</v>
      </c>
      <c r="J5439" s="10">
        <v>3</v>
      </c>
      <c r="K54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439">
        <v>0</v>
      </c>
      <c r="M54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39">
        <v>2800</v>
      </c>
      <c r="O5439" s="23" t="s">
        <v>796</v>
      </c>
      <c r="P5439">
        <v>2800</v>
      </c>
      <c r="Q5439" s="23" t="s">
        <v>178</v>
      </c>
    </row>
    <row r="5440" spans="1:17" x14ac:dyDescent="0.25">
      <c r="A5440" s="23" t="s">
        <v>1057</v>
      </c>
      <c r="B5440" s="23" t="s">
        <v>1056</v>
      </c>
      <c r="C5440" s="23" t="s">
        <v>198</v>
      </c>
      <c r="D5440" s="23" t="s">
        <v>794</v>
      </c>
      <c r="E5440" s="23" t="s">
        <v>795</v>
      </c>
      <c r="F5440">
        <v>1</v>
      </c>
      <c r="G5440" s="23" t="s">
        <v>177</v>
      </c>
      <c r="H5440">
        <v>1</v>
      </c>
      <c r="I5440">
        <v>26</v>
      </c>
      <c r="J5440" s="10">
        <v>3</v>
      </c>
      <c r="K54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440">
        <v>0</v>
      </c>
      <c r="M54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0">
        <v>2800</v>
      </c>
      <c r="O5440" s="23" t="s">
        <v>796</v>
      </c>
      <c r="P5440">
        <v>2800</v>
      </c>
      <c r="Q5440" s="23" t="s">
        <v>178</v>
      </c>
    </row>
    <row r="5441" spans="1:17" x14ac:dyDescent="0.25">
      <c r="A5441" s="23" t="s">
        <v>1146</v>
      </c>
      <c r="B5441" s="23" t="s">
        <v>1145</v>
      </c>
      <c r="C5441" s="23" t="s">
        <v>176</v>
      </c>
      <c r="D5441" s="23" t="s">
        <v>207</v>
      </c>
      <c r="E5441" s="23" t="s">
        <v>282</v>
      </c>
      <c r="F5441">
        <v>0.54999999999999993</v>
      </c>
      <c r="G5441" s="23" t="s">
        <v>177</v>
      </c>
      <c r="H5441">
        <v>0.54999999999999993</v>
      </c>
      <c r="I5441">
        <v>20</v>
      </c>
      <c r="J5441" s="10">
        <v>116.66400000000021</v>
      </c>
      <c r="K54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5441">
        <v>0</v>
      </c>
      <c r="M54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1">
        <v>185</v>
      </c>
      <c r="O5441" s="23" t="s">
        <v>242</v>
      </c>
      <c r="P5441">
        <v>101.74999999999999</v>
      </c>
      <c r="Q5441" s="23" t="s">
        <v>181</v>
      </c>
    </row>
    <row r="5442" spans="1:17" x14ac:dyDescent="0.25">
      <c r="A5442" s="23" t="s">
        <v>1055</v>
      </c>
      <c r="B5442" s="23" t="s">
        <v>1056</v>
      </c>
      <c r="C5442" s="23" t="s">
        <v>176</v>
      </c>
      <c r="D5442" s="23" t="s">
        <v>904</v>
      </c>
      <c r="E5442" s="23" t="s">
        <v>905</v>
      </c>
      <c r="F5442">
        <v>2</v>
      </c>
      <c r="G5442" s="23" t="s">
        <v>177</v>
      </c>
      <c r="H5442">
        <v>2</v>
      </c>
      <c r="I5442">
        <v>3</v>
      </c>
      <c r="J5442" s="10">
        <v>6</v>
      </c>
      <c r="K54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42">
        <v>0</v>
      </c>
      <c r="M54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2">
        <v>100</v>
      </c>
      <c r="O5442" s="23" t="s">
        <v>227</v>
      </c>
      <c r="P5442">
        <v>200</v>
      </c>
      <c r="Q5442" s="23" t="s">
        <v>181</v>
      </c>
    </row>
    <row r="5443" spans="1:17" x14ac:dyDescent="0.25">
      <c r="A5443" s="23" t="s">
        <v>1099</v>
      </c>
      <c r="B5443" s="23" t="s">
        <v>1056</v>
      </c>
      <c r="C5443" s="23" t="s">
        <v>176</v>
      </c>
      <c r="D5443" s="23" t="s">
        <v>904</v>
      </c>
      <c r="E5443" s="23" t="s">
        <v>905</v>
      </c>
      <c r="F5443">
        <v>2</v>
      </c>
      <c r="G5443" s="23" t="s">
        <v>177</v>
      </c>
      <c r="H5443">
        <v>2</v>
      </c>
      <c r="I5443">
        <v>3</v>
      </c>
      <c r="J5443" s="10">
        <v>6</v>
      </c>
      <c r="K54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43">
        <v>0</v>
      </c>
      <c r="M54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3">
        <v>100</v>
      </c>
      <c r="O5443" s="23" t="s">
        <v>227</v>
      </c>
      <c r="P5443">
        <v>200</v>
      </c>
      <c r="Q5443" s="23" t="s">
        <v>181</v>
      </c>
    </row>
    <row r="5444" spans="1:17" x14ac:dyDescent="0.25">
      <c r="A5444" s="23" t="s">
        <v>1148</v>
      </c>
      <c r="B5444" s="23" t="s">
        <v>1054</v>
      </c>
      <c r="C5444" s="23" t="s">
        <v>176</v>
      </c>
      <c r="D5444" s="23" t="s">
        <v>99</v>
      </c>
      <c r="E5444" s="23" t="s">
        <v>250</v>
      </c>
      <c r="F5444">
        <v>5</v>
      </c>
      <c r="G5444" s="23" t="s">
        <v>177</v>
      </c>
      <c r="H5444">
        <v>0</v>
      </c>
      <c r="I5444">
        <v>230</v>
      </c>
      <c r="J5444" s="10">
        <v>72</v>
      </c>
      <c r="K54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444">
        <v>0</v>
      </c>
      <c r="M54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4">
        <v>225</v>
      </c>
      <c r="O5444" s="23" t="s">
        <v>826</v>
      </c>
      <c r="P5444">
        <v>1125</v>
      </c>
      <c r="Q5444" s="23" t="s">
        <v>178</v>
      </c>
    </row>
    <row r="5445" spans="1:17" x14ac:dyDescent="0.25">
      <c r="A5445" s="23" t="s">
        <v>1058</v>
      </c>
      <c r="B5445" s="23" t="s">
        <v>1059</v>
      </c>
      <c r="C5445" s="23" t="s">
        <v>176</v>
      </c>
      <c r="D5445" s="23" t="s">
        <v>85</v>
      </c>
      <c r="E5445" s="23" t="s">
        <v>86</v>
      </c>
      <c r="F5445">
        <v>2</v>
      </c>
      <c r="G5445" s="23" t="s">
        <v>177</v>
      </c>
      <c r="H5445">
        <v>2</v>
      </c>
      <c r="I5445">
        <v>44</v>
      </c>
      <c r="J5445" s="10">
        <v>12</v>
      </c>
      <c r="K54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445">
        <v>0</v>
      </c>
      <c r="M54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5">
        <v>375</v>
      </c>
      <c r="O5445" s="23" t="s">
        <v>249</v>
      </c>
      <c r="P5445">
        <v>750</v>
      </c>
      <c r="Q5445" s="23" t="s">
        <v>178</v>
      </c>
    </row>
    <row r="5446" spans="1:17" x14ac:dyDescent="0.25">
      <c r="A5446" s="23" t="s">
        <v>1142</v>
      </c>
      <c r="B5446" s="23" t="s">
        <v>1054</v>
      </c>
      <c r="C5446" s="23" t="s">
        <v>176</v>
      </c>
      <c r="D5446" s="23" t="s">
        <v>134</v>
      </c>
      <c r="E5446" s="23" t="s">
        <v>311</v>
      </c>
      <c r="F5446">
        <v>1</v>
      </c>
      <c r="G5446" s="23" t="s">
        <v>177</v>
      </c>
      <c r="H5446">
        <v>0</v>
      </c>
      <c r="I5446">
        <v>16</v>
      </c>
      <c r="J5446" s="10">
        <v>8</v>
      </c>
      <c r="K54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46">
        <v>0</v>
      </c>
      <c r="M54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6">
        <v>224.46</v>
      </c>
      <c r="O5446" s="23" t="s">
        <v>827</v>
      </c>
      <c r="P5446">
        <v>224.46</v>
      </c>
      <c r="Q5446" s="23" t="s">
        <v>222</v>
      </c>
    </row>
    <row r="5447" spans="1:17" x14ac:dyDescent="0.25">
      <c r="A5447" s="23" t="s">
        <v>1142</v>
      </c>
      <c r="B5447" s="23" t="s">
        <v>1054</v>
      </c>
      <c r="C5447" s="23" t="s">
        <v>176</v>
      </c>
      <c r="D5447" s="23" t="s">
        <v>711</v>
      </c>
      <c r="E5447" s="23" t="s">
        <v>712</v>
      </c>
      <c r="F5447">
        <v>1</v>
      </c>
      <c r="G5447" s="23" t="s">
        <v>177</v>
      </c>
      <c r="H5447">
        <v>0</v>
      </c>
      <c r="I5447">
        <v>0</v>
      </c>
      <c r="J5447" s="10">
        <v>2</v>
      </c>
      <c r="K54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447">
        <v>0</v>
      </c>
      <c r="M54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5447">
        <v>23970</v>
      </c>
      <c r="O5447" s="23" t="s">
        <v>1196</v>
      </c>
      <c r="P5447">
        <v>23970</v>
      </c>
      <c r="Q5447" s="23" t="s">
        <v>178</v>
      </c>
    </row>
    <row r="5448" spans="1:17" x14ac:dyDescent="0.25">
      <c r="A5448" s="23" t="s">
        <v>1057</v>
      </c>
      <c r="B5448" s="23" t="s">
        <v>1056</v>
      </c>
      <c r="C5448" s="23" t="s">
        <v>176</v>
      </c>
      <c r="D5448" s="23" t="s">
        <v>874</v>
      </c>
      <c r="E5448" s="23" t="s">
        <v>875</v>
      </c>
      <c r="F5448">
        <v>1</v>
      </c>
      <c r="G5448" s="23" t="s">
        <v>177</v>
      </c>
      <c r="H5448">
        <v>1</v>
      </c>
      <c r="I5448">
        <v>5</v>
      </c>
      <c r="J5448" s="10">
        <v>6</v>
      </c>
      <c r="K54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448">
        <v>12</v>
      </c>
      <c r="M54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48">
        <v>14305.4</v>
      </c>
      <c r="O5448" s="23" t="s">
        <v>873</v>
      </c>
      <c r="P5448">
        <v>14305.4</v>
      </c>
      <c r="Q5448" s="23" t="s">
        <v>179</v>
      </c>
    </row>
    <row r="5449" spans="1:17" x14ac:dyDescent="0.25">
      <c r="A5449" s="23" t="s">
        <v>1096</v>
      </c>
      <c r="B5449" s="23" t="s">
        <v>1053</v>
      </c>
      <c r="C5449" s="23" t="s">
        <v>176</v>
      </c>
      <c r="D5449" s="23" t="s">
        <v>711</v>
      </c>
      <c r="E5449" s="23" t="s">
        <v>712</v>
      </c>
      <c r="F5449">
        <v>1</v>
      </c>
      <c r="G5449" s="23" t="s">
        <v>177</v>
      </c>
      <c r="H5449">
        <v>0</v>
      </c>
      <c r="I5449">
        <v>0</v>
      </c>
      <c r="J5449" s="10">
        <v>2</v>
      </c>
      <c r="K54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449">
        <v>0</v>
      </c>
      <c r="M54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5449">
        <v>23970</v>
      </c>
      <c r="O5449" s="23" t="s">
        <v>1196</v>
      </c>
      <c r="P5449">
        <v>23970</v>
      </c>
      <c r="Q5449" s="23" t="s">
        <v>178</v>
      </c>
    </row>
    <row r="5450" spans="1:17" x14ac:dyDescent="0.25">
      <c r="A5450" s="23" t="s">
        <v>1146</v>
      </c>
      <c r="B5450" s="23" t="s">
        <v>1145</v>
      </c>
      <c r="C5450" s="23" t="s">
        <v>176</v>
      </c>
      <c r="D5450" s="23" t="s">
        <v>986</v>
      </c>
      <c r="E5450" s="23" t="s">
        <v>987</v>
      </c>
      <c r="F5450">
        <v>2.5</v>
      </c>
      <c r="G5450" s="23" t="s">
        <v>186</v>
      </c>
      <c r="H5450">
        <v>2.5</v>
      </c>
      <c r="I5450">
        <v>139</v>
      </c>
      <c r="J5450" s="10">
        <v>45.500000000000043</v>
      </c>
      <c r="K54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450">
        <v>0</v>
      </c>
      <c r="M54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0">
        <v>233.95</v>
      </c>
      <c r="O5450" s="23" t="s">
        <v>491</v>
      </c>
      <c r="P5450">
        <v>584.875</v>
      </c>
      <c r="Q5450" s="23" t="s">
        <v>184</v>
      </c>
    </row>
    <row r="5451" spans="1:17" x14ac:dyDescent="0.25">
      <c r="A5451" s="23" t="s">
        <v>1096</v>
      </c>
      <c r="B5451" s="23" t="s">
        <v>1053</v>
      </c>
      <c r="C5451" s="23" t="s">
        <v>176</v>
      </c>
      <c r="D5451" s="23" t="s">
        <v>430</v>
      </c>
      <c r="E5451" s="23" t="s">
        <v>431</v>
      </c>
      <c r="F5451">
        <v>1</v>
      </c>
      <c r="G5451" s="23" t="s">
        <v>177</v>
      </c>
      <c r="H5451">
        <v>1</v>
      </c>
      <c r="I5451">
        <v>12</v>
      </c>
      <c r="J5451" s="10">
        <v>3</v>
      </c>
      <c r="K54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51">
        <v>0</v>
      </c>
      <c r="M54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1">
        <v>1678.88</v>
      </c>
      <c r="O5451" s="23" t="s">
        <v>637</v>
      </c>
      <c r="P5451">
        <v>1678.88</v>
      </c>
      <c r="Q5451" s="23" t="s">
        <v>179</v>
      </c>
    </row>
    <row r="5452" spans="1:17" x14ac:dyDescent="0.25">
      <c r="A5452" s="23" t="s">
        <v>1094</v>
      </c>
      <c r="B5452" s="23" t="s">
        <v>1095</v>
      </c>
      <c r="C5452" s="23" t="s">
        <v>176</v>
      </c>
      <c r="D5452" s="23" t="s">
        <v>134</v>
      </c>
      <c r="E5452" s="23" t="s">
        <v>311</v>
      </c>
      <c r="F5452">
        <v>1</v>
      </c>
      <c r="G5452" s="23" t="s">
        <v>177</v>
      </c>
      <c r="H5452">
        <v>0</v>
      </c>
      <c r="I5452">
        <v>16</v>
      </c>
      <c r="J5452" s="10">
        <v>8</v>
      </c>
      <c r="K54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52">
        <v>0</v>
      </c>
      <c r="M54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2">
        <v>224.46</v>
      </c>
      <c r="O5452" s="23" t="s">
        <v>827</v>
      </c>
      <c r="P5452">
        <v>224.46</v>
      </c>
      <c r="Q5452" s="23" t="s">
        <v>222</v>
      </c>
    </row>
    <row r="5453" spans="1:17" x14ac:dyDescent="0.25">
      <c r="A5453" s="23" t="s">
        <v>1055</v>
      </c>
      <c r="B5453" s="23" t="s">
        <v>1056</v>
      </c>
      <c r="C5453" s="23" t="s">
        <v>176</v>
      </c>
      <c r="D5453" s="23" t="s">
        <v>986</v>
      </c>
      <c r="E5453" s="23" t="s">
        <v>987</v>
      </c>
      <c r="F5453">
        <v>2</v>
      </c>
      <c r="G5453" s="23" t="s">
        <v>186</v>
      </c>
      <c r="H5453">
        <v>2</v>
      </c>
      <c r="I5453">
        <v>139</v>
      </c>
      <c r="J5453" s="10">
        <v>45.500000000000043</v>
      </c>
      <c r="K54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453">
        <v>0</v>
      </c>
      <c r="M54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3">
        <v>233.95</v>
      </c>
      <c r="O5453" s="23" t="s">
        <v>491</v>
      </c>
      <c r="P5453">
        <v>467.9</v>
      </c>
      <c r="Q5453" s="23" t="s">
        <v>184</v>
      </c>
    </row>
    <row r="5454" spans="1:17" x14ac:dyDescent="0.25">
      <c r="A5454" s="23" t="s">
        <v>1055</v>
      </c>
      <c r="B5454" s="23" t="s">
        <v>1056</v>
      </c>
      <c r="C5454" s="23" t="s">
        <v>176</v>
      </c>
      <c r="D5454" s="23" t="s">
        <v>134</v>
      </c>
      <c r="E5454" s="23" t="s">
        <v>311</v>
      </c>
      <c r="F5454">
        <v>1</v>
      </c>
      <c r="G5454" s="23" t="s">
        <v>177</v>
      </c>
      <c r="H5454">
        <v>1</v>
      </c>
      <c r="I5454">
        <v>16</v>
      </c>
      <c r="J5454" s="10">
        <v>8</v>
      </c>
      <c r="K54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54">
        <v>0</v>
      </c>
      <c r="M54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4">
        <v>224.46</v>
      </c>
      <c r="O5454" s="23" t="s">
        <v>827</v>
      </c>
      <c r="P5454">
        <v>224.46</v>
      </c>
      <c r="Q5454" s="23" t="s">
        <v>222</v>
      </c>
    </row>
    <row r="5455" spans="1:17" x14ac:dyDescent="0.25">
      <c r="A5455" s="23" t="s">
        <v>1099</v>
      </c>
      <c r="B5455" s="23" t="s">
        <v>1056</v>
      </c>
      <c r="C5455" s="23" t="s">
        <v>176</v>
      </c>
      <c r="D5455" s="23" t="s">
        <v>134</v>
      </c>
      <c r="E5455" s="23" t="s">
        <v>311</v>
      </c>
      <c r="F5455">
        <v>1</v>
      </c>
      <c r="G5455" s="23" t="s">
        <v>177</v>
      </c>
      <c r="H5455">
        <v>1</v>
      </c>
      <c r="I5455">
        <v>16</v>
      </c>
      <c r="J5455" s="10">
        <v>8</v>
      </c>
      <c r="K54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55">
        <v>0</v>
      </c>
      <c r="M54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5">
        <v>224.46</v>
      </c>
      <c r="O5455" s="23" t="s">
        <v>827</v>
      </c>
      <c r="P5455">
        <v>224.46</v>
      </c>
      <c r="Q5455" s="23" t="s">
        <v>222</v>
      </c>
    </row>
    <row r="5456" spans="1:17" x14ac:dyDescent="0.25">
      <c r="A5456" s="23" t="s">
        <v>1058</v>
      </c>
      <c r="B5456" s="23" t="s">
        <v>1059</v>
      </c>
      <c r="C5456" s="23" t="s">
        <v>176</v>
      </c>
      <c r="D5456" s="23" t="s">
        <v>134</v>
      </c>
      <c r="E5456" s="23" t="s">
        <v>311</v>
      </c>
      <c r="F5456">
        <v>1</v>
      </c>
      <c r="G5456" s="23" t="s">
        <v>177</v>
      </c>
      <c r="H5456">
        <v>1</v>
      </c>
      <c r="I5456">
        <v>16</v>
      </c>
      <c r="J5456" s="10">
        <v>8</v>
      </c>
      <c r="K54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56">
        <v>0</v>
      </c>
      <c r="M54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6">
        <v>224.46</v>
      </c>
      <c r="O5456" s="23" t="s">
        <v>827</v>
      </c>
      <c r="P5456">
        <v>224.46</v>
      </c>
      <c r="Q5456" s="23" t="s">
        <v>222</v>
      </c>
    </row>
    <row r="5457" spans="1:17" x14ac:dyDescent="0.25">
      <c r="A5457" s="23" t="s">
        <v>1058</v>
      </c>
      <c r="B5457" s="23" t="s">
        <v>1059</v>
      </c>
      <c r="C5457" s="23" t="s">
        <v>176</v>
      </c>
      <c r="D5457" s="23" t="s">
        <v>2</v>
      </c>
      <c r="E5457" s="23" t="s">
        <v>424</v>
      </c>
      <c r="F5457">
        <v>2</v>
      </c>
      <c r="G5457" s="23" t="s">
        <v>177</v>
      </c>
      <c r="H5457">
        <v>2</v>
      </c>
      <c r="I5457">
        <v>22</v>
      </c>
      <c r="J5457" s="10">
        <v>18</v>
      </c>
      <c r="K54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57">
        <v>10</v>
      </c>
      <c r="M54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7">
        <v>400</v>
      </c>
      <c r="O5457" s="23" t="s">
        <v>218</v>
      </c>
      <c r="P5457">
        <v>800</v>
      </c>
      <c r="Q5457" s="23" t="s">
        <v>222</v>
      </c>
    </row>
    <row r="5458" spans="1:17" x14ac:dyDescent="0.25">
      <c r="A5458" s="23" t="s">
        <v>1096</v>
      </c>
      <c r="B5458" s="23" t="s">
        <v>1053</v>
      </c>
      <c r="C5458" s="23" t="s">
        <v>176</v>
      </c>
      <c r="D5458" s="23" t="s">
        <v>129</v>
      </c>
      <c r="E5458" s="23" t="s">
        <v>130</v>
      </c>
      <c r="F5458">
        <v>10.62</v>
      </c>
      <c r="G5458" s="23" t="s">
        <v>186</v>
      </c>
      <c r="H5458">
        <v>10.62</v>
      </c>
      <c r="I5458">
        <v>0</v>
      </c>
      <c r="J5458" s="10">
        <v>260.61</v>
      </c>
      <c r="K54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458">
        <v>0</v>
      </c>
      <c r="M54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458">
        <v>136.18</v>
      </c>
      <c r="O5458" s="23" t="s">
        <v>254</v>
      </c>
      <c r="P5458">
        <v>1446.2316000000001</v>
      </c>
      <c r="Q5458" s="23" t="s">
        <v>184</v>
      </c>
    </row>
    <row r="5459" spans="1:17" x14ac:dyDescent="0.25">
      <c r="A5459" s="23" t="s">
        <v>1062</v>
      </c>
      <c r="B5459" s="23" t="s">
        <v>1053</v>
      </c>
      <c r="C5459" s="23" t="s">
        <v>176</v>
      </c>
      <c r="D5459" s="23" t="s">
        <v>430</v>
      </c>
      <c r="E5459" s="23" t="s">
        <v>431</v>
      </c>
      <c r="F5459">
        <v>1</v>
      </c>
      <c r="G5459" s="23" t="s">
        <v>177</v>
      </c>
      <c r="H5459">
        <v>1</v>
      </c>
      <c r="I5459">
        <v>12</v>
      </c>
      <c r="J5459" s="10">
        <v>3</v>
      </c>
      <c r="K54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59">
        <v>0</v>
      </c>
      <c r="M54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59">
        <v>1678.88</v>
      </c>
      <c r="O5459" s="23" t="s">
        <v>637</v>
      </c>
      <c r="P5459">
        <v>1678.88</v>
      </c>
      <c r="Q5459" s="23" t="s">
        <v>179</v>
      </c>
    </row>
    <row r="5460" spans="1:17" x14ac:dyDescent="0.25">
      <c r="A5460" s="23" t="s">
        <v>1197</v>
      </c>
      <c r="B5460" s="23" t="s">
        <v>1198</v>
      </c>
      <c r="C5460" s="23" t="s">
        <v>176</v>
      </c>
      <c r="D5460" s="23" t="s">
        <v>348</v>
      </c>
      <c r="E5460" s="23" t="s">
        <v>349</v>
      </c>
      <c r="F5460">
        <v>0.1</v>
      </c>
      <c r="G5460" s="23" t="s">
        <v>177</v>
      </c>
      <c r="H5460">
        <v>0</v>
      </c>
      <c r="I5460">
        <v>2</v>
      </c>
      <c r="J5460" s="10">
        <v>3.2474023470285829E-15</v>
      </c>
      <c r="K54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1.4000000000000004</v>
      </c>
      <c r="L5460">
        <v>0</v>
      </c>
      <c r="M54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3889.2000000000012</v>
      </c>
      <c r="N5460">
        <v>2778</v>
      </c>
      <c r="O5460" s="23" t="s">
        <v>218</v>
      </c>
      <c r="P5460">
        <v>277.8</v>
      </c>
      <c r="Q5460" s="23" t="s">
        <v>184</v>
      </c>
    </row>
    <row r="5461" spans="1:17" x14ac:dyDescent="0.25">
      <c r="A5461" s="23" t="s">
        <v>1058</v>
      </c>
      <c r="B5461" s="23" t="s">
        <v>1059</v>
      </c>
      <c r="C5461" s="23" t="s">
        <v>176</v>
      </c>
      <c r="D5461" s="23" t="s">
        <v>358</v>
      </c>
      <c r="E5461" s="23" t="s">
        <v>359</v>
      </c>
      <c r="F5461">
        <v>16</v>
      </c>
      <c r="G5461" s="23" t="s">
        <v>177</v>
      </c>
      <c r="H5461">
        <v>16</v>
      </c>
      <c r="I5461">
        <v>500</v>
      </c>
      <c r="J5461" s="10">
        <v>490</v>
      </c>
      <c r="K54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-294</v>
      </c>
      <c r="L5461">
        <v>0</v>
      </c>
      <c r="M54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1">
        <v>1.6</v>
      </c>
      <c r="O5461" s="23" t="s">
        <v>242</v>
      </c>
      <c r="P5461">
        <v>25.6</v>
      </c>
      <c r="Q5461" s="23" t="s">
        <v>181</v>
      </c>
    </row>
    <row r="5462" spans="1:17" x14ac:dyDescent="0.25">
      <c r="A5462" s="23" t="s">
        <v>1100</v>
      </c>
      <c r="B5462" s="23" t="s">
        <v>1101</v>
      </c>
      <c r="C5462" s="23" t="s">
        <v>176</v>
      </c>
      <c r="D5462" s="23" t="s">
        <v>986</v>
      </c>
      <c r="E5462" s="23" t="s">
        <v>987</v>
      </c>
      <c r="F5462">
        <v>6</v>
      </c>
      <c r="G5462" s="23" t="s">
        <v>186</v>
      </c>
      <c r="H5462">
        <v>6</v>
      </c>
      <c r="I5462">
        <v>139</v>
      </c>
      <c r="J5462" s="10">
        <v>45.500000000000043</v>
      </c>
      <c r="K54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462">
        <v>0</v>
      </c>
      <c r="M54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2">
        <v>233.95</v>
      </c>
      <c r="O5462" s="23" t="s">
        <v>491</v>
      </c>
      <c r="P5462">
        <v>1403.6999999999998</v>
      </c>
      <c r="Q5462" s="23" t="s">
        <v>184</v>
      </c>
    </row>
    <row r="5463" spans="1:17" x14ac:dyDescent="0.25">
      <c r="A5463" s="23" t="s">
        <v>1055</v>
      </c>
      <c r="B5463" s="23" t="s">
        <v>1056</v>
      </c>
      <c r="C5463" s="23" t="s">
        <v>176</v>
      </c>
      <c r="D5463" s="23" t="s">
        <v>2</v>
      </c>
      <c r="E5463" s="23" t="s">
        <v>424</v>
      </c>
      <c r="F5463">
        <v>2</v>
      </c>
      <c r="G5463" s="23" t="s">
        <v>177</v>
      </c>
      <c r="H5463">
        <v>2</v>
      </c>
      <c r="I5463">
        <v>22</v>
      </c>
      <c r="J5463" s="10">
        <v>18</v>
      </c>
      <c r="K54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63">
        <v>10</v>
      </c>
      <c r="M54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3">
        <v>400</v>
      </c>
      <c r="O5463" s="23" t="s">
        <v>218</v>
      </c>
      <c r="P5463">
        <v>800</v>
      </c>
      <c r="Q5463" s="23" t="s">
        <v>222</v>
      </c>
    </row>
    <row r="5464" spans="1:17" x14ac:dyDescent="0.25">
      <c r="A5464" s="23" t="s">
        <v>1096</v>
      </c>
      <c r="B5464" s="23" t="s">
        <v>1053</v>
      </c>
      <c r="C5464" s="23" t="s">
        <v>176</v>
      </c>
      <c r="D5464" s="23" t="s">
        <v>134</v>
      </c>
      <c r="E5464" s="23" t="s">
        <v>311</v>
      </c>
      <c r="F5464">
        <v>1</v>
      </c>
      <c r="G5464" s="23" t="s">
        <v>177</v>
      </c>
      <c r="H5464">
        <v>1</v>
      </c>
      <c r="I5464">
        <v>16</v>
      </c>
      <c r="J5464" s="10">
        <v>8</v>
      </c>
      <c r="K54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464">
        <v>0</v>
      </c>
      <c r="M54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4">
        <v>224.46</v>
      </c>
      <c r="O5464" s="23" t="s">
        <v>827</v>
      </c>
      <c r="P5464">
        <v>224.46</v>
      </c>
      <c r="Q5464" s="23" t="s">
        <v>222</v>
      </c>
    </row>
    <row r="5465" spans="1:17" x14ac:dyDescent="0.25">
      <c r="A5465" s="23" t="s">
        <v>1099</v>
      </c>
      <c r="B5465" s="23" t="s">
        <v>1056</v>
      </c>
      <c r="C5465" s="23" t="s">
        <v>176</v>
      </c>
      <c r="D5465" s="23" t="s">
        <v>874</v>
      </c>
      <c r="E5465" s="23" t="s">
        <v>875</v>
      </c>
      <c r="F5465">
        <v>1</v>
      </c>
      <c r="G5465" s="23" t="s">
        <v>177</v>
      </c>
      <c r="H5465">
        <v>1</v>
      </c>
      <c r="I5465">
        <v>5</v>
      </c>
      <c r="J5465" s="10">
        <v>6</v>
      </c>
      <c r="K54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465">
        <v>12</v>
      </c>
      <c r="M54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5">
        <v>14305.4</v>
      </c>
      <c r="O5465" s="23" t="s">
        <v>873</v>
      </c>
      <c r="P5465">
        <v>14305.4</v>
      </c>
      <c r="Q5465" s="23" t="s">
        <v>179</v>
      </c>
    </row>
    <row r="5466" spans="1:17" x14ac:dyDescent="0.25">
      <c r="A5466" s="23" t="s">
        <v>1058</v>
      </c>
      <c r="B5466" s="23" t="s">
        <v>1059</v>
      </c>
      <c r="C5466" s="23" t="s">
        <v>176</v>
      </c>
      <c r="D5466" s="23" t="s">
        <v>874</v>
      </c>
      <c r="E5466" s="23" t="s">
        <v>875</v>
      </c>
      <c r="F5466">
        <v>1</v>
      </c>
      <c r="G5466" s="23" t="s">
        <v>177</v>
      </c>
      <c r="H5466">
        <v>1</v>
      </c>
      <c r="I5466">
        <v>5</v>
      </c>
      <c r="J5466" s="10">
        <v>6</v>
      </c>
      <c r="K54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466">
        <v>12</v>
      </c>
      <c r="M54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6">
        <v>14305.4</v>
      </c>
      <c r="O5466" s="23" t="s">
        <v>873</v>
      </c>
      <c r="P5466">
        <v>14305.4</v>
      </c>
      <c r="Q5466" s="23" t="s">
        <v>179</v>
      </c>
    </row>
    <row r="5467" spans="1:17" x14ac:dyDescent="0.25">
      <c r="A5467" s="23" t="s">
        <v>1057</v>
      </c>
      <c r="B5467" s="23" t="s">
        <v>1056</v>
      </c>
      <c r="C5467" s="23" t="s">
        <v>176</v>
      </c>
      <c r="D5467" s="23" t="s">
        <v>2</v>
      </c>
      <c r="E5467" s="23" t="s">
        <v>424</v>
      </c>
      <c r="F5467">
        <v>2</v>
      </c>
      <c r="G5467" s="23" t="s">
        <v>177</v>
      </c>
      <c r="H5467">
        <v>2</v>
      </c>
      <c r="I5467">
        <v>22</v>
      </c>
      <c r="J5467" s="10">
        <v>18</v>
      </c>
      <c r="K54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467">
        <v>10</v>
      </c>
      <c r="M54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7">
        <v>400</v>
      </c>
      <c r="O5467" s="23" t="s">
        <v>218</v>
      </c>
      <c r="P5467">
        <v>800</v>
      </c>
      <c r="Q5467" s="23" t="s">
        <v>222</v>
      </c>
    </row>
    <row r="5468" spans="1:17" x14ac:dyDescent="0.25">
      <c r="A5468" s="23" t="s">
        <v>1096</v>
      </c>
      <c r="B5468" s="23" t="s">
        <v>1053</v>
      </c>
      <c r="C5468" s="23" t="s">
        <v>176</v>
      </c>
      <c r="D5468" s="23" t="s">
        <v>238</v>
      </c>
      <c r="E5468" s="23" t="s">
        <v>306</v>
      </c>
      <c r="F5468">
        <v>2</v>
      </c>
      <c r="G5468" s="23" t="s">
        <v>177</v>
      </c>
      <c r="H5468">
        <v>2</v>
      </c>
      <c r="I5468">
        <v>455</v>
      </c>
      <c r="J5468" s="10">
        <v>23</v>
      </c>
      <c r="K54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468">
        <v>0</v>
      </c>
      <c r="M54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8">
        <v>20</v>
      </c>
      <c r="O5468" s="23"/>
      <c r="P5468">
        <v>40</v>
      </c>
      <c r="Q5468" s="23" t="s">
        <v>222</v>
      </c>
    </row>
    <row r="5469" spans="1:17" x14ac:dyDescent="0.25">
      <c r="A5469" s="23" t="s">
        <v>1096</v>
      </c>
      <c r="B5469" s="23" t="s">
        <v>1053</v>
      </c>
      <c r="C5469" s="23" t="s">
        <v>176</v>
      </c>
      <c r="D5469" s="23" t="s">
        <v>202</v>
      </c>
      <c r="E5469" s="23" t="s">
        <v>226</v>
      </c>
      <c r="F5469">
        <v>5</v>
      </c>
      <c r="G5469" s="23" t="s">
        <v>177</v>
      </c>
      <c r="H5469">
        <v>5</v>
      </c>
      <c r="I5469">
        <v>24</v>
      </c>
      <c r="J5469" s="10">
        <v>22</v>
      </c>
      <c r="K54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469">
        <v>50</v>
      </c>
      <c r="M54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69">
        <v>44</v>
      </c>
      <c r="O5469" s="23" t="s">
        <v>505</v>
      </c>
      <c r="P5469">
        <v>220</v>
      </c>
      <c r="Q5469" s="23" t="s">
        <v>222</v>
      </c>
    </row>
    <row r="5470" spans="1:17" x14ac:dyDescent="0.25">
      <c r="A5470" s="23" t="s">
        <v>1062</v>
      </c>
      <c r="B5470" s="23" t="s">
        <v>1053</v>
      </c>
      <c r="C5470" s="23" t="s">
        <v>176</v>
      </c>
      <c r="D5470" s="23" t="s">
        <v>202</v>
      </c>
      <c r="E5470" s="23" t="s">
        <v>226</v>
      </c>
      <c r="F5470">
        <v>5</v>
      </c>
      <c r="G5470" s="23" t="s">
        <v>177</v>
      </c>
      <c r="H5470">
        <v>5</v>
      </c>
      <c r="I5470">
        <v>24</v>
      </c>
      <c r="J5470" s="10">
        <v>22</v>
      </c>
      <c r="K54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470">
        <v>50</v>
      </c>
      <c r="M54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0">
        <v>44</v>
      </c>
      <c r="O5470" s="23" t="s">
        <v>505</v>
      </c>
      <c r="P5470">
        <v>220</v>
      </c>
      <c r="Q5470" s="23" t="s">
        <v>222</v>
      </c>
    </row>
    <row r="5471" spans="1:17" x14ac:dyDescent="0.25">
      <c r="A5471" s="23" t="s">
        <v>1098</v>
      </c>
      <c r="B5471" s="23" t="s">
        <v>1053</v>
      </c>
      <c r="C5471" s="23" t="s">
        <v>176</v>
      </c>
      <c r="D5471" s="23" t="s">
        <v>202</v>
      </c>
      <c r="E5471" s="23" t="s">
        <v>226</v>
      </c>
      <c r="F5471">
        <v>4</v>
      </c>
      <c r="G5471" s="23" t="s">
        <v>177</v>
      </c>
      <c r="H5471">
        <v>0</v>
      </c>
      <c r="I5471">
        <v>24</v>
      </c>
      <c r="J5471" s="10">
        <v>22</v>
      </c>
      <c r="K54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471">
        <v>50</v>
      </c>
      <c r="M54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1">
        <v>44</v>
      </c>
      <c r="O5471" s="23" t="s">
        <v>505</v>
      </c>
      <c r="P5471">
        <v>176</v>
      </c>
      <c r="Q5471" s="23" t="s">
        <v>222</v>
      </c>
    </row>
    <row r="5472" spans="1:17" x14ac:dyDescent="0.25">
      <c r="A5472" s="23" t="s">
        <v>1143</v>
      </c>
      <c r="B5472" s="23" t="s">
        <v>1054</v>
      </c>
      <c r="C5472" s="23" t="s">
        <v>176</v>
      </c>
      <c r="D5472" s="23" t="s">
        <v>42</v>
      </c>
      <c r="E5472" s="23" t="s">
        <v>43</v>
      </c>
      <c r="F5472">
        <v>51</v>
      </c>
      <c r="G5472" s="23" t="s">
        <v>177</v>
      </c>
      <c r="H5472">
        <v>0</v>
      </c>
      <c r="I5472">
        <v>2800</v>
      </c>
      <c r="J5472" s="10">
        <v>2439</v>
      </c>
      <c r="K54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-1645</v>
      </c>
      <c r="L5472">
        <v>0</v>
      </c>
      <c r="M54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2">
        <v>0.18</v>
      </c>
      <c r="O5472" s="23" t="s">
        <v>242</v>
      </c>
      <c r="P5472">
        <v>9.18</v>
      </c>
      <c r="Q5472" s="23" t="s">
        <v>181</v>
      </c>
    </row>
    <row r="5473" spans="1:17" x14ac:dyDescent="0.25">
      <c r="A5473" s="23" t="s">
        <v>1150</v>
      </c>
      <c r="B5473" s="23" t="s">
        <v>1145</v>
      </c>
      <c r="C5473" s="23" t="s">
        <v>176</v>
      </c>
      <c r="D5473" s="23" t="s">
        <v>957</v>
      </c>
      <c r="E5473" s="23" t="s">
        <v>958</v>
      </c>
      <c r="F5473">
        <v>1</v>
      </c>
      <c r="G5473" s="23" t="s">
        <v>177</v>
      </c>
      <c r="H5473">
        <v>0</v>
      </c>
      <c r="I5473">
        <v>0</v>
      </c>
      <c r="J5473" s="10">
        <v>1</v>
      </c>
      <c r="K54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473">
        <v>2</v>
      </c>
      <c r="M54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5473">
        <v>11481.54</v>
      </c>
      <c r="O5473" s="23" t="s">
        <v>228</v>
      </c>
      <c r="P5473">
        <v>11481.54</v>
      </c>
      <c r="Q5473" s="23" t="s">
        <v>222</v>
      </c>
    </row>
    <row r="5474" spans="1:17" x14ac:dyDescent="0.25">
      <c r="A5474" s="23" t="s">
        <v>1100</v>
      </c>
      <c r="B5474" s="23" t="s">
        <v>1101</v>
      </c>
      <c r="C5474" s="23" t="s">
        <v>176</v>
      </c>
      <c r="D5474" s="23" t="s">
        <v>322</v>
      </c>
      <c r="E5474" s="23" t="s">
        <v>323</v>
      </c>
      <c r="F5474">
        <v>3</v>
      </c>
      <c r="G5474" s="23" t="s">
        <v>177</v>
      </c>
      <c r="H5474">
        <v>3</v>
      </c>
      <c r="I5474">
        <v>84</v>
      </c>
      <c r="J5474" s="10">
        <v>195.90000000000006</v>
      </c>
      <c r="K54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5474">
        <v>0</v>
      </c>
      <c r="M54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4">
        <v>29</v>
      </c>
      <c r="O5474" s="23" t="s">
        <v>242</v>
      </c>
      <c r="P5474">
        <v>87</v>
      </c>
      <c r="Q5474" s="23" t="s">
        <v>181</v>
      </c>
    </row>
    <row r="5475" spans="1:17" x14ac:dyDescent="0.25">
      <c r="A5475" s="23" t="s">
        <v>1146</v>
      </c>
      <c r="B5475" s="23" t="s">
        <v>1145</v>
      </c>
      <c r="C5475" s="23" t="s">
        <v>176</v>
      </c>
      <c r="D5475" s="23" t="s">
        <v>472</v>
      </c>
      <c r="E5475" s="23" t="s">
        <v>473</v>
      </c>
      <c r="F5475">
        <v>12</v>
      </c>
      <c r="G5475" s="23" t="s">
        <v>177</v>
      </c>
      <c r="H5475">
        <v>0</v>
      </c>
      <c r="I5475">
        <v>200</v>
      </c>
      <c r="J5475" s="10">
        <v>343</v>
      </c>
      <c r="K54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475">
        <v>0</v>
      </c>
      <c r="M54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5">
        <v>9</v>
      </c>
      <c r="O5475" s="23" t="s">
        <v>242</v>
      </c>
      <c r="P5475">
        <v>108</v>
      </c>
      <c r="Q5475" s="23" t="s">
        <v>181</v>
      </c>
    </row>
    <row r="5476" spans="1:17" x14ac:dyDescent="0.25">
      <c r="A5476" s="23" t="s">
        <v>1057</v>
      </c>
      <c r="B5476" s="23" t="s">
        <v>1056</v>
      </c>
      <c r="C5476" s="23" t="s">
        <v>176</v>
      </c>
      <c r="D5476" s="23" t="s">
        <v>1041</v>
      </c>
      <c r="E5476" s="23" t="s">
        <v>1042</v>
      </c>
      <c r="F5476">
        <v>1</v>
      </c>
      <c r="G5476" s="23" t="s">
        <v>177</v>
      </c>
      <c r="H5476">
        <v>1</v>
      </c>
      <c r="I5476">
        <v>2</v>
      </c>
      <c r="J5476" s="10">
        <v>2</v>
      </c>
      <c r="K54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476">
        <v>0</v>
      </c>
      <c r="M54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6">
        <v>400</v>
      </c>
      <c r="O5476" s="23" t="s">
        <v>1032</v>
      </c>
      <c r="P5476">
        <v>400</v>
      </c>
      <c r="Q5476" s="23" t="s">
        <v>179</v>
      </c>
    </row>
    <row r="5477" spans="1:17" x14ac:dyDescent="0.25">
      <c r="A5477" s="23" t="s">
        <v>1144</v>
      </c>
      <c r="B5477" s="23" t="s">
        <v>1145</v>
      </c>
      <c r="C5477" s="23" t="s">
        <v>176</v>
      </c>
      <c r="D5477" s="23" t="s">
        <v>284</v>
      </c>
      <c r="E5477" s="23" t="s">
        <v>285</v>
      </c>
      <c r="F5477">
        <v>1</v>
      </c>
      <c r="G5477" s="23" t="s">
        <v>177</v>
      </c>
      <c r="H5477">
        <v>0</v>
      </c>
      <c r="I5477">
        <v>104</v>
      </c>
      <c r="J5477" s="10">
        <v>4.4408920985006262E-15</v>
      </c>
      <c r="K54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5477">
        <v>0</v>
      </c>
      <c r="M54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77">
        <v>22</v>
      </c>
      <c r="O5477" s="23" t="s">
        <v>242</v>
      </c>
      <c r="P5477">
        <v>22</v>
      </c>
      <c r="Q5477" s="23" t="s">
        <v>181</v>
      </c>
    </row>
    <row r="5478" spans="1:17" x14ac:dyDescent="0.25">
      <c r="A5478" s="23" t="s">
        <v>1062</v>
      </c>
      <c r="B5478" s="23" t="s">
        <v>1053</v>
      </c>
      <c r="C5478" s="23" t="s">
        <v>198</v>
      </c>
      <c r="D5478" s="23" t="s">
        <v>497</v>
      </c>
      <c r="E5478" s="23" t="s">
        <v>498</v>
      </c>
      <c r="F5478">
        <v>1</v>
      </c>
      <c r="G5478" s="23" t="s">
        <v>177</v>
      </c>
      <c r="H5478">
        <v>1</v>
      </c>
      <c r="I5478">
        <v>3</v>
      </c>
      <c r="J5478" s="10">
        <v>8</v>
      </c>
      <c r="K54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478">
        <v>0</v>
      </c>
      <c r="M54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478" s="23" t="s">
        <v>714</v>
      </c>
      <c r="Q5478" s="23" t="s">
        <v>761</v>
      </c>
    </row>
    <row r="5479" spans="1:17" x14ac:dyDescent="0.25">
      <c r="A5479" s="23" t="s">
        <v>1146</v>
      </c>
      <c r="B5479" s="23" t="s">
        <v>1145</v>
      </c>
      <c r="C5479" s="23" t="s">
        <v>176</v>
      </c>
      <c r="D5479" s="23" t="s">
        <v>270</v>
      </c>
      <c r="E5479" s="23" t="s">
        <v>589</v>
      </c>
      <c r="F5479">
        <v>1</v>
      </c>
      <c r="G5479" s="23" t="s">
        <v>177</v>
      </c>
      <c r="H5479">
        <v>0</v>
      </c>
      <c r="I5479">
        <v>1</v>
      </c>
      <c r="J5479" s="10">
        <v>11</v>
      </c>
      <c r="K54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479">
        <v>0</v>
      </c>
      <c r="M54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479">
        <v>13310.52</v>
      </c>
      <c r="O5479" s="23" t="s">
        <v>590</v>
      </c>
      <c r="P5479">
        <v>13310.52</v>
      </c>
      <c r="Q5479" s="23" t="s">
        <v>178</v>
      </c>
    </row>
    <row r="5480" spans="1:17" x14ac:dyDescent="0.25">
      <c r="A5480" s="23" t="s">
        <v>1062</v>
      </c>
      <c r="B5480" s="23" t="s">
        <v>1053</v>
      </c>
      <c r="C5480" s="23" t="s">
        <v>176</v>
      </c>
      <c r="D5480" s="23" t="s">
        <v>270</v>
      </c>
      <c r="E5480" s="23" t="s">
        <v>589</v>
      </c>
      <c r="F5480">
        <v>1</v>
      </c>
      <c r="G5480" s="23" t="s">
        <v>177</v>
      </c>
      <c r="H5480">
        <v>1</v>
      </c>
      <c r="I5480">
        <v>1</v>
      </c>
      <c r="J5480" s="10">
        <v>11</v>
      </c>
      <c r="K54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480">
        <v>0</v>
      </c>
      <c r="M54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480">
        <v>13310.52</v>
      </c>
      <c r="O5480" s="23" t="s">
        <v>590</v>
      </c>
      <c r="P5480">
        <v>13310.52</v>
      </c>
      <c r="Q5480" s="23" t="s">
        <v>178</v>
      </c>
    </row>
    <row r="5481" spans="1:17" x14ac:dyDescent="0.25">
      <c r="A5481" s="23" t="s">
        <v>1062</v>
      </c>
      <c r="B5481" s="23" t="s">
        <v>1053</v>
      </c>
      <c r="C5481" s="23" t="s">
        <v>176</v>
      </c>
      <c r="D5481" s="23" t="s">
        <v>265</v>
      </c>
      <c r="E5481" s="23" t="s">
        <v>420</v>
      </c>
      <c r="F5481">
        <v>1</v>
      </c>
      <c r="G5481" s="23" t="s">
        <v>177</v>
      </c>
      <c r="H5481">
        <v>1</v>
      </c>
      <c r="I5481">
        <v>0</v>
      </c>
      <c r="J5481" s="10">
        <v>10</v>
      </c>
      <c r="K54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481">
        <v>5</v>
      </c>
      <c r="M54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481">
        <v>5994.01</v>
      </c>
      <c r="O5481" s="23" t="s">
        <v>228</v>
      </c>
      <c r="P5481">
        <v>5994.01</v>
      </c>
      <c r="Q5481" s="23" t="s">
        <v>222</v>
      </c>
    </row>
    <row r="5482" spans="1:17" x14ac:dyDescent="0.25">
      <c r="A5482" s="23" t="s">
        <v>1062</v>
      </c>
      <c r="B5482" s="23" t="s">
        <v>1053</v>
      </c>
      <c r="C5482" s="23" t="s">
        <v>176</v>
      </c>
      <c r="D5482" s="23" t="s">
        <v>659</v>
      </c>
      <c r="E5482" s="23" t="s">
        <v>660</v>
      </c>
      <c r="F5482">
        <v>1</v>
      </c>
      <c r="G5482" s="23" t="s">
        <v>177</v>
      </c>
      <c r="H5482">
        <v>1</v>
      </c>
      <c r="I5482">
        <v>0</v>
      </c>
      <c r="J5482" s="10">
        <v>65</v>
      </c>
      <c r="K54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5482">
        <v>100</v>
      </c>
      <c r="M54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2">
        <v>115</v>
      </c>
      <c r="O5482" s="23" t="s">
        <v>242</v>
      </c>
      <c r="P5482">
        <v>115</v>
      </c>
      <c r="Q5482" s="23" t="s">
        <v>181</v>
      </c>
    </row>
    <row r="5483" spans="1:17" x14ac:dyDescent="0.25">
      <c r="A5483" s="23" t="s">
        <v>1180</v>
      </c>
      <c r="B5483" s="23" t="s">
        <v>1181</v>
      </c>
      <c r="C5483" s="23" t="s">
        <v>176</v>
      </c>
      <c r="D5483" s="23" t="s">
        <v>777</v>
      </c>
      <c r="E5483" s="23" t="s">
        <v>778</v>
      </c>
      <c r="F5483">
        <v>1</v>
      </c>
      <c r="G5483" s="23" t="s">
        <v>177</v>
      </c>
      <c r="H5483">
        <v>1</v>
      </c>
      <c r="I5483">
        <v>7</v>
      </c>
      <c r="J5483" s="10">
        <v>6</v>
      </c>
      <c r="K54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483">
        <v>0</v>
      </c>
      <c r="M54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483">
        <v>2457.65</v>
      </c>
      <c r="O5483" s="23" t="s">
        <v>635</v>
      </c>
      <c r="P5483">
        <v>2457.65</v>
      </c>
      <c r="Q5483" s="23" t="s">
        <v>178</v>
      </c>
    </row>
    <row r="5484" spans="1:17" x14ac:dyDescent="0.25">
      <c r="A5484" s="23" t="s">
        <v>1143</v>
      </c>
      <c r="B5484" s="23" t="s">
        <v>1054</v>
      </c>
      <c r="C5484" s="23" t="s">
        <v>176</v>
      </c>
      <c r="D5484" s="23" t="s">
        <v>364</v>
      </c>
      <c r="E5484" s="23" t="s">
        <v>365</v>
      </c>
      <c r="F5484">
        <v>6.65</v>
      </c>
      <c r="G5484" s="23" t="s">
        <v>180</v>
      </c>
      <c r="H5484">
        <v>0</v>
      </c>
      <c r="I5484">
        <v>200</v>
      </c>
      <c r="J5484" s="10">
        <v>59.899999999999928</v>
      </c>
      <c r="K54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-58.699999999999989</v>
      </c>
      <c r="L5484">
        <v>0</v>
      </c>
      <c r="M54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4">
        <v>22.5</v>
      </c>
      <c r="O5484" s="23" t="s">
        <v>315</v>
      </c>
      <c r="P5484">
        <v>149.625</v>
      </c>
      <c r="Q5484" s="23" t="s">
        <v>179</v>
      </c>
    </row>
    <row r="5485" spans="1:17" x14ac:dyDescent="0.25">
      <c r="A5485" s="23" t="s">
        <v>1148</v>
      </c>
      <c r="B5485" s="23" t="s">
        <v>1054</v>
      </c>
      <c r="C5485" s="23" t="s">
        <v>176</v>
      </c>
      <c r="D5485" s="23" t="s">
        <v>476</v>
      </c>
      <c r="E5485" s="23" t="s">
        <v>477</v>
      </c>
      <c r="F5485">
        <v>1</v>
      </c>
      <c r="G5485" s="23" t="s">
        <v>177</v>
      </c>
      <c r="H5485">
        <v>0</v>
      </c>
      <c r="I5485">
        <v>6</v>
      </c>
      <c r="J5485" s="10">
        <v>0</v>
      </c>
      <c r="K54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485">
        <v>0</v>
      </c>
      <c r="M54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485">
        <v>20</v>
      </c>
      <c r="O5485" s="23" t="s">
        <v>227</v>
      </c>
      <c r="P5485">
        <v>20</v>
      </c>
      <c r="Q5485" s="23" t="s">
        <v>181</v>
      </c>
    </row>
    <row r="5486" spans="1:17" x14ac:dyDescent="0.25">
      <c r="A5486" s="23" t="s">
        <v>1058</v>
      </c>
      <c r="B5486" s="23" t="s">
        <v>1059</v>
      </c>
      <c r="C5486" s="23" t="s">
        <v>176</v>
      </c>
      <c r="D5486" s="23" t="s">
        <v>472</v>
      </c>
      <c r="E5486" s="23" t="s">
        <v>473</v>
      </c>
      <c r="F5486">
        <v>4</v>
      </c>
      <c r="G5486" s="23" t="s">
        <v>177</v>
      </c>
      <c r="H5486">
        <v>4</v>
      </c>
      <c r="I5486">
        <v>200</v>
      </c>
      <c r="J5486" s="10">
        <v>343</v>
      </c>
      <c r="K54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486">
        <v>0</v>
      </c>
      <c r="M54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86">
        <v>9</v>
      </c>
      <c r="O5486" s="23" t="s">
        <v>242</v>
      </c>
      <c r="P5486">
        <v>36</v>
      </c>
      <c r="Q5486" s="23" t="s">
        <v>181</v>
      </c>
    </row>
    <row r="5487" spans="1:17" x14ac:dyDescent="0.25">
      <c r="A5487" s="23" t="s">
        <v>1099</v>
      </c>
      <c r="B5487" s="23" t="s">
        <v>1056</v>
      </c>
      <c r="C5487" s="23" t="s">
        <v>198</v>
      </c>
      <c r="D5487" s="23" t="s">
        <v>1212</v>
      </c>
      <c r="E5487" s="23" t="s">
        <v>1213</v>
      </c>
      <c r="F5487">
        <v>1</v>
      </c>
      <c r="G5487" s="23" t="s">
        <v>177</v>
      </c>
      <c r="H5487">
        <v>1</v>
      </c>
      <c r="I5487">
        <v>0</v>
      </c>
      <c r="J5487" s="10">
        <v>0</v>
      </c>
      <c r="K54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487">
        <v>0</v>
      </c>
      <c r="M54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487" s="23" t="s">
        <v>1214</v>
      </c>
      <c r="Q5487" s="23" t="s">
        <v>178</v>
      </c>
    </row>
    <row r="5488" spans="1:17" x14ac:dyDescent="0.25">
      <c r="A5488" s="23" t="s">
        <v>1057</v>
      </c>
      <c r="B5488" s="23" t="s">
        <v>1056</v>
      </c>
      <c r="C5488" s="23" t="s">
        <v>198</v>
      </c>
      <c r="D5488" s="23" t="s">
        <v>497</v>
      </c>
      <c r="E5488" s="23" t="s">
        <v>498</v>
      </c>
      <c r="F5488">
        <v>1</v>
      </c>
      <c r="G5488" s="23" t="s">
        <v>177</v>
      </c>
      <c r="H5488">
        <v>1</v>
      </c>
      <c r="I5488">
        <v>3</v>
      </c>
      <c r="J5488" s="10">
        <v>8</v>
      </c>
      <c r="K54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488">
        <v>0</v>
      </c>
      <c r="M54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488" s="23" t="s">
        <v>714</v>
      </c>
      <c r="Q5488" s="23" t="s">
        <v>761</v>
      </c>
    </row>
    <row r="5489" spans="1:17" x14ac:dyDescent="0.25">
      <c r="A5489" s="23" t="s">
        <v>1099</v>
      </c>
      <c r="B5489" s="23" t="s">
        <v>1056</v>
      </c>
      <c r="C5489" s="23" t="s">
        <v>176</v>
      </c>
      <c r="D5489" s="23" t="s">
        <v>270</v>
      </c>
      <c r="E5489" s="23" t="s">
        <v>589</v>
      </c>
      <c r="F5489">
        <v>1</v>
      </c>
      <c r="G5489" s="23" t="s">
        <v>177</v>
      </c>
      <c r="H5489">
        <v>1</v>
      </c>
      <c r="I5489">
        <v>1</v>
      </c>
      <c r="J5489" s="10">
        <v>11</v>
      </c>
      <c r="K54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489">
        <v>0</v>
      </c>
      <c r="M54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212968.32000000001</v>
      </c>
      <c r="N5489">
        <v>13310.52</v>
      </c>
      <c r="O5489" s="23" t="s">
        <v>590</v>
      </c>
      <c r="P5489">
        <v>13310.52</v>
      </c>
      <c r="Q5489" s="23" t="s">
        <v>178</v>
      </c>
    </row>
    <row r="5490" spans="1:17" x14ac:dyDescent="0.25">
      <c r="A5490" s="23" t="s">
        <v>1099</v>
      </c>
      <c r="B5490" s="23" t="s">
        <v>1056</v>
      </c>
      <c r="C5490" s="23" t="s">
        <v>176</v>
      </c>
      <c r="D5490" s="23" t="s">
        <v>1041</v>
      </c>
      <c r="E5490" s="23" t="s">
        <v>1042</v>
      </c>
      <c r="F5490">
        <v>1</v>
      </c>
      <c r="G5490" s="23" t="s">
        <v>177</v>
      </c>
      <c r="H5490">
        <v>1</v>
      </c>
      <c r="I5490">
        <v>2</v>
      </c>
      <c r="J5490" s="10">
        <v>2</v>
      </c>
      <c r="K54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490">
        <v>0</v>
      </c>
      <c r="M54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0">
        <v>400</v>
      </c>
      <c r="O5490" s="23" t="s">
        <v>1032</v>
      </c>
      <c r="P5490">
        <v>400</v>
      </c>
      <c r="Q5490" s="23" t="s">
        <v>179</v>
      </c>
    </row>
    <row r="5491" spans="1:17" x14ac:dyDescent="0.25">
      <c r="A5491" s="23" t="s">
        <v>1058</v>
      </c>
      <c r="B5491" s="23" t="s">
        <v>1059</v>
      </c>
      <c r="C5491" s="23" t="s">
        <v>176</v>
      </c>
      <c r="D5491" s="23" t="s">
        <v>777</v>
      </c>
      <c r="E5491" s="23" t="s">
        <v>778</v>
      </c>
      <c r="F5491">
        <v>1</v>
      </c>
      <c r="G5491" s="23" t="s">
        <v>177</v>
      </c>
      <c r="H5491">
        <v>1</v>
      </c>
      <c r="I5491">
        <v>7</v>
      </c>
      <c r="J5491" s="10">
        <v>6</v>
      </c>
      <c r="K54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491">
        <v>0</v>
      </c>
      <c r="M54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491">
        <v>2457.65</v>
      </c>
      <c r="O5491" s="23" t="s">
        <v>635</v>
      </c>
      <c r="P5491">
        <v>2457.65</v>
      </c>
      <c r="Q5491" s="23" t="s">
        <v>178</v>
      </c>
    </row>
    <row r="5492" spans="1:17" x14ac:dyDescent="0.25">
      <c r="A5492" s="23" t="s">
        <v>1099</v>
      </c>
      <c r="B5492" s="23" t="s">
        <v>1056</v>
      </c>
      <c r="C5492" s="23" t="s">
        <v>176</v>
      </c>
      <c r="D5492" s="23" t="s">
        <v>265</v>
      </c>
      <c r="E5492" s="23" t="s">
        <v>420</v>
      </c>
      <c r="F5492">
        <v>1</v>
      </c>
      <c r="G5492" s="23" t="s">
        <v>177</v>
      </c>
      <c r="H5492">
        <v>1</v>
      </c>
      <c r="I5492">
        <v>0</v>
      </c>
      <c r="J5492" s="10">
        <v>10</v>
      </c>
      <c r="K54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492">
        <v>5</v>
      </c>
      <c r="M54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492">
        <v>5994.01</v>
      </c>
      <c r="O5492" s="23" t="s">
        <v>228</v>
      </c>
      <c r="P5492">
        <v>5994.01</v>
      </c>
      <c r="Q5492" s="23" t="s">
        <v>222</v>
      </c>
    </row>
    <row r="5493" spans="1:17" x14ac:dyDescent="0.25">
      <c r="A5493" s="23" t="s">
        <v>1058</v>
      </c>
      <c r="B5493" s="23" t="s">
        <v>1059</v>
      </c>
      <c r="C5493" s="23" t="s">
        <v>176</v>
      </c>
      <c r="D5493" s="23" t="s">
        <v>265</v>
      </c>
      <c r="E5493" s="23" t="s">
        <v>420</v>
      </c>
      <c r="F5493">
        <v>1</v>
      </c>
      <c r="G5493" s="23" t="s">
        <v>177</v>
      </c>
      <c r="H5493">
        <v>1</v>
      </c>
      <c r="I5493">
        <v>0</v>
      </c>
      <c r="J5493" s="10">
        <v>10</v>
      </c>
      <c r="K54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493">
        <v>5</v>
      </c>
      <c r="M54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493">
        <v>5994.01</v>
      </c>
      <c r="O5493" s="23" t="s">
        <v>228</v>
      </c>
      <c r="P5493">
        <v>5994.01</v>
      </c>
      <c r="Q5493" s="23" t="s">
        <v>222</v>
      </c>
    </row>
    <row r="5494" spans="1:17" x14ac:dyDescent="0.25">
      <c r="A5494" s="23" t="s">
        <v>1099</v>
      </c>
      <c r="B5494" s="23" t="s">
        <v>1056</v>
      </c>
      <c r="C5494" s="23" t="s">
        <v>176</v>
      </c>
      <c r="D5494" s="23" t="s">
        <v>368</v>
      </c>
      <c r="E5494" s="23" t="s">
        <v>369</v>
      </c>
      <c r="F5494">
        <v>47</v>
      </c>
      <c r="G5494" s="23" t="s">
        <v>177</v>
      </c>
      <c r="H5494">
        <v>0</v>
      </c>
      <c r="I5494">
        <v>1200</v>
      </c>
      <c r="J5494" s="10">
        <v>196</v>
      </c>
      <c r="K54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494">
        <v>0</v>
      </c>
      <c r="M54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4">
        <v>12.5</v>
      </c>
      <c r="O5494" s="23" t="s">
        <v>370</v>
      </c>
      <c r="P5494">
        <v>587.5</v>
      </c>
      <c r="Q5494" s="23" t="s">
        <v>181</v>
      </c>
    </row>
    <row r="5495" spans="1:17" x14ac:dyDescent="0.25">
      <c r="A5495" s="23" t="s">
        <v>1143</v>
      </c>
      <c r="B5495" s="23" t="s">
        <v>1054</v>
      </c>
      <c r="C5495" s="23" t="s">
        <v>176</v>
      </c>
      <c r="D5495" s="23" t="s">
        <v>368</v>
      </c>
      <c r="E5495" s="23" t="s">
        <v>369</v>
      </c>
      <c r="F5495">
        <v>42</v>
      </c>
      <c r="G5495" s="23" t="s">
        <v>177</v>
      </c>
      <c r="H5495">
        <v>0</v>
      </c>
      <c r="I5495">
        <v>1200</v>
      </c>
      <c r="J5495" s="10">
        <v>196</v>
      </c>
      <c r="K54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495">
        <v>0</v>
      </c>
      <c r="M54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5">
        <v>12.5</v>
      </c>
      <c r="O5495" s="23" t="s">
        <v>370</v>
      </c>
      <c r="P5495">
        <v>525</v>
      </c>
      <c r="Q5495" s="23" t="s">
        <v>181</v>
      </c>
    </row>
    <row r="5496" spans="1:17" x14ac:dyDescent="0.25">
      <c r="A5496" s="23" t="s">
        <v>1062</v>
      </c>
      <c r="B5496" s="23" t="s">
        <v>1053</v>
      </c>
      <c r="C5496" s="23" t="s">
        <v>176</v>
      </c>
      <c r="D5496" s="23" t="s">
        <v>154</v>
      </c>
      <c r="E5496" s="23" t="s">
        <v>155</v>
      </c>
      <c r="F5496">
        <v>6</v>
      </c>
      <c r="G5496" s="23" t="s">
        <v>177</v>
      </c>
      <c r="H5496">
        <v>6</v>
      </c>
      <c r="I5496">
        <v>55</v>
      </c>
      <c r="J5496" s="10">
        <v>17</v>
      </c>
      <c r="K54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5496">
        <v>0</v>
      </c>
      <c r="M54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6">
        <v>199.45</v>
      </c>
      <c r="O5496" s="23" t="s">
        <v>277</v>
      </c>
      <c r="P5496">
        <v>1196.6999999999998</v>
      </c>
      <c r="Q5496" s="23" t="s">
        <v>181</v>
      </c>
    </row>
    <row r="5497" spans="1:17" x14ac:dyDescent="0.25">
      <c r="A5497" s="23" t="s">
        <v>1096</v>
      </c>
      <c r="B5497" s="23" t="s">
        <v>1053</v>
      </c>
      <c r="C5497" s="23" t="s">
        <v>176</v>
      </c>
      <c r="D5497" s="23" t="s">
        <v>154</v>
      </c>
      <c r="E5497" s="23" t="s">
        <v>155</v>
      </c>
      <c r="F5497">
        <v>6</v>
      </c>
      <c r="G5497" s="23" t="s">
        <v>177</v>
      </c>
      <c r="H5497">
        <v>6</v>
      </c>
      <c r="I5497">
        <v>55</v>
      </c>
      <c r="J5497" s="10">
        <v>17</v>
      </c>
      <c r="K54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</v>
      </c>
      <c r="L5497">
        <v>0</v>
      </c>
      <c r="M54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497">
        <v>199.45</v>
      </c>
      <c r="O5497" s="23" t="s">
        <v>277</v>
      </c>
      <c r="P5497">
        <v>1196.6999999999998</v>
      </c>
      <c r="Q5497" s="23" t="s">
        <v>181</v>
      </c>
    </row>
    <row r="5498" spans="1:17" x14ac:dyDescent="0.25">
      <c r="A5498" s="23" t="s">
        <v>1062</v>
      </c>
      <c r="B5498" s="23" t="s">
        <v>1053</v>
      </c>
      <c r="C5498" s="23" t="s">
        <v>176</v>
      </c>
      <c r="D5498" s="23" t="s">
        <v>777</v>
      </c>
      <c r="E5498" s="23" t="s">
        <v>778</v>
      </c>
      <c r="F5498">
        <v>1</v>
      </c>
      <c r="G5498" s="23" t="s">
        <v>177</v>
      </c>
      <c r="H5498">
        <v>1</v>
      </c>
      <c r="I5498">
        <v>7</v>
      </c>
      <c r="J5498" s="10">
        <v>6</v>
      </c>
      <c r="K54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498">
        <v>0</v>
      </c>
      <c r="M54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498">
        <v>2457.65</v>
      </c>
      <c r="O5498" s="23" t="s">
        <v>635</v>
      </c>
      <c r="P5498">
        <v>2457.65</v>
      </c>
      <c r="Q5498" s="23" t="s">
        <v>178</v>
      </c>
    </row>
    <row r="5499" spans="1:17" x14ac:dyDescent="0.25">
      <c r="A5499" s="23" t="s">
        <v>1062</v>
      </c>
      <c r="B5499" s="23" t="s">
        <v>1053</v>
      </c>
      <c r="C5499" s="23" t="s">
        <v>176</v>
      </c>
      <c r="D5499" s="23" t="s">
        <v>711</v>
      </c>
      <c r="E5499" s="23" t="s">
        <v>712</v>
      </c>
      <c r="F5499">
        <v>1</v>
      </c>
      <c r="G5499" s="23" t="s">
        <v>177</v>
      </c>
      <c r="H5499">
        <v>0</v>
      </c>
      <c r="I5499">
        <v>0</v>
      </c>
      <c r="J5499" s="10">
        <v>2</v>
      </c>
      <c r="K54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499">
        <v>0</v>
      </c>
      <c r="M54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5499">
        <v>23970</v>
      </c>
      <c r="O5499" s="23" t="s">
        <v>1196</v>
      </c>
      <c r="P5499">
        <v>23970</v>
      </c>
      <c r="Q5499" s="23" t="s">
        <v>178</v>
      </c>
    </row>
    <row r="5500" spans="1:17" x14ac:dyDescent="0.25">
      <c r="A5500" s="23" t="s">
        <v>1142</v>
      </c>
      <c r="B5500" s="23" t="s">
        <v>1054</v>
      </c>
      <c r="C5500" s="23" t="s">
        <v>176</v>
      </c>
      <c r="D5500" s="23" t="s">
        <v>733</v>
      </c>
      <c r="E5500" s="23" t="s">
        <v>734</v>
      </c>
      <c r="F5500">
        <v>16</v>
      </c>
      <c r="G5500" s="23" t="s">
        <v>186</v>
      </c>
      <c r="H5500">
        <v>0</v>
      </c>
      <c r="I5500">
        <v>63</v>
      </c>
      <c r="J5500" s="10">
        <v>-1.4210854715202004E-14</v>
      </c>
      <c r="K55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5500">
        <v>0</v>
      </c>
      <c r="M55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5500">
        <v>1097.8900000000001</v>
      </c>
      <c r="O5500" s="23" t="s">
        <v>649</v>
      </c>
      <c r="P5500">
        <v>17566.240000000002</v>
      </c>
      <c r="Q5500" s="23" t="s">
        <v>184</v>
      </c>
    </row>
    <row r="5501" spans="1:17" x14ac:dyDescent="0.25">
      <c r="A5501" s="23" t="s">
        <v>1096</v>
      </c>
      <c r="B5501" s="23" t="s">
        <v>1053</v>
      </c>
      <c r="C5501" s="23" t="s">
        <v>176</v>
      </c>
      <c r="D5501" s="23" t="s">
        <v>733</v>
      </c>
      <c r="E5501" s="23" t="s">
        <v>734</v>
      </c>
      <c r="F5501">
        <v>18</v>
      </c>
      <c r="G5501" s="23" t="s">
        <v>186</v>
      </c>
      <c r="H5501">
        <v>0</v>
      </c>
      <c r="I5501">
        <v>63</v>
      </c>
      <c r="J5501" s="10">
        <v>-1.4210854715202004E-14</v>
      </c>
      <c r="K55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5501">
        <v>0</v>
      </c>
      <c r="M55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5501">
        <v>1097.8900000000001</v>
      </c>
      <c r="O5501" s="23" t="s">
        <v>649</v>
      </c>
      <c r="P5501">
        <v>19762.02</v>
      </c>
      <c r="Q5501" s="23" t="s">
        <v>184</v>
      </c>
    </row>
    <row r="5502" spans="1:17" x14ac:dyDescent="0.25">
      <c r="A5502" s="23" t="s">
        <v>1094</v>
      </c>
      <c r="B5502" s="23" t="s">
        <v>1095</v>
      </c>
      <c r="C5502" s="23" t="s">
        <v>176</v>
      </c>
      <c r="D5502" s="23" t="s">
        <v>1066</v>
      </c>
      <c r="E5502" s="23" t="s">
        <v>1067</v>
      </c>
      <c r="F5502">
        <v>12</v>
      </c>
      <c r="G5502" s="23" t="s">
        <v>180</v>
      </c>
      <c r="H5502">
        <v>0</v>
      </c>
      <c r="I5502">
        <v>100</v>
      </c>
      <c r="J5502" s="10">
        <v>84</v>
      </c>
      <c r="K55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5502">
        <v>0</v>
      </c>
      <c r="M55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2">
        <v>14.85</v>
      </c>
      <c r="O5502" s="23" t="s">
        <v>827</v>
      </c>
      <c r="P5502">
        <v>178.2</v>
      </c>
      <c r="Q5502" s="23" t="s">
        <v>222</v>
      </c>
    </row>
    <row r="5503" spans="1:17" x14ac:dyDescent="0.25">
      <c r="A5503" s="23" t="s">
        <v>1058</v>
      </c>
      <c r="B5503" s="23" t="s">
        <v>1059</v>
      </c>
      <c r="C5503" s="23" t="s">
        <v>176</v>
      </c>
      <c r="D5503" s="23" t="s">
        <v>17</v>
      </c>
      <c r="E5503" s="23" t="s">
        <v>18</v>
      </c>
      <c r="F5503">
        <v>1</v>
      </c>
      <c r="G5503" s="23" t="s">
        <v>177</v>
      </c>
      <c r="H5503">
        <v>1</v>
      </c>
      <c r="I5503">
        <v>7</v>
      </c>
      <c r="J5503" s="10">
        <v>10</v>
      </c>
      <c r="K55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503">
        <v>50</v>
      </c>
      <c r="M55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3">
        <v>839.2</v>
      </c>
      <c r="O5503" s="23" t="s">
        <v>236</v>
      </c>
      <c r="P5503">
        <v>839.2</v>
      </c>
      <c r="Q5503" s="23" t="s">
        <v>222</v>
      </c>
    </row>
    <row r="5504" spans="1:17" x14ac:dyDescent="0.25">
      <c r="A5504" s="23" t="s">
        <v>1058</v>
      </c>
      <c r="B5504" s="23" t="s">
        <v>1059</v>
      </c>
      <c r="C5504" s="23" t="s">
        <v>176</v>
      </c>
      <c r="D5504" s="23" t="s">
        <v>739</v>
      </c>
      <c r="E5504" s="23" t="s">
        <v>740</v>
      </c>
      <c r="F5504">
        <v>1</v>
      </c>
      <c r="G5504" s="23" t="s">
        <v>177</v>
      </c>
      <c r="H5504">
        <v>1</v>
      </c>
      <c r="I5504">
        <v>12</v>
      </c>
      <c r="J5504" s="10">
        <v>14</v>
      </c>
      <c r="K55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04">
        <v>0</v>
      </c>
      <c r="M55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5504">
        <v>116.67</v>
      </c>
      <c r="O5504" s="23" t="s">
        <v>668</v>
      </c>
      <c r="P5504">
        <v>116.67</v>
      </c>
      <c r="Q5504" s="23" t="s">
        <v>178</v>
      </c>
    </row>
    <row r="5505" spans="1:17" x14ac:dyDescent="0.25">
      <c r="A5505" s="23" t="s">
        <v>1058</v>
      </c>
      <c r="B5505" s="23" t="s">
        <v>1059</v>
      </c>
      <c r="C5505" s="23" t="s">
        <v>176</v>
      </c>
      <c r="D5505" s="23" t="s">
        <v>988</v>
      </c>
      <c r="E5505" s="23" t="s">
        <v>989</v>
      </c>
      <c r="F5505">
        <v>1</v>
      </c>
      <c r="G5505" s="23" t="s">
        <v>177</v>
      </c>
      <c r="H5505">
        <v>1</v>
      </c>
      <c r="I5505">
        <v>2</v>
      </c>
      <c r="J5505" s="10">
        <v>1</v>
      </c>
      <c r="K55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505">
        <v>2</v>
      </c>
      <c r="M55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5">
        <v>41000</v>
      </c>
      <c r="O5505" s="23" t="s">
        <v>786</v>
      </c>
      <c r="P5505">
        <v>41000</v>
      </c>
      <c r="Q5505" s="23" t="s">
        <v>223</v>
      </c>
    </row>
    <row r="5506" spans="1:17" x14ac:dyDescent="0.25">
      <c r="A5506" s="23" t="s">
        <v>1062</v>
      </c>
      <c r="B5506" s="23" t="s">
        <v>1053</v>
      </c>
      <c r="C5506" s="23" t="s">
        <v>176</v>
      </c>
      <c r="D5506" s="23" t="s">
        <v>1049</v>
      </c>
      <c r="E5506" s="23" t="s">
        <v>1050</v>
      </c>
      <c r="F5506">
        <v>1</v>
      </c>
      <c r="G5506" s="23" t="s">
        <v>177</v>
      </c>
      <c r="H5506">
        <v>1</v>
      </c>
      <c r="I5506">
        <v>3</v>
      </c>
      <c r="J5506" s="10">
        <v>6</v>
      </c>
      <c r="K55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506">
        <v>0</v>
      </c>
      <c r="M55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506">
        <v>12138.93</v>
      </c>
      <c r="O5506" s="23" t="s">
        <v>635</v>
      </c>
      <c r="P5506">
        <v>12138.93</v>
      </c>
      <c r="Q5506" s="23" t="s">
        <v>178</v>
      </c>
    </row>
    <row r="5507" spans="1:17" x14ac:dyDescent="0.25">
      <c r="A5507" s="23" t="s">
        <v>1100</v>
      </c>
      <c r="B5507" s="23" t="s">
        <v>1101</v>
      </c>
      <c r="C5507" s="23" t="s">
        <v>176</v>
      </c>
      <c r="D5507" s="23" t="s">
        <v>81</v>
      </c>
      <c r="E5507" s="23" t="s">
        <v>82</v>
      </c>
      <c r="F5507">
        <v>6</v>
      </c>
      <c r="G5507" s="23" t="s">
        <v>177</v>
      </c>
      <c r="H5507">
        <v>6</v>
      </c>
      <c r="I5507">
        <v>0</v>
      </c>
      <c r="J5507" s="10">
        <v>0.49999999999995737</v>
      </c>
      <c r="K55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507">
        <v>10</v>
      </c>
      <c r="M55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507">
        <v>666.67</v>
      </c>
      <c r="O5507" s="23" t="s">
        <v>224</v>
      </c>
      <c r="P5507">
        <v>4000.0199999999995</v>
      </c>
      <c r="Q5507" s="23" t="s">
        <v>182</v>
      </c>
    </row>
    <row r="5508" spans="1:17" x14ac:dyDescent="0.25">
      <c r="A5508" s="23" t="s">
        <v>1148</v>
      </c>
      <c r="B5508" s="23" t="s">
        <v>1054</v>
      </c>
      <c r="C5508" s="23" t="s">
        <v>176</v>
      </c>
      <c r="D5508" s="23" t="s">
        <v>21</v>
      </c>
      <c r="E5508" s="23" t="s">
        <v>22</v>
      </c>
      <c r="F5508">
        <v>7</v>
      </c>
      <c r="G5508" s="23" t="s">
        <v>180</v>
      </c>
      <c r="H5508">
        <v>0</v>
      </c>
      <c r="I5508">
        <v>100</v>
      </c>
      <c r="J5508" s="10">
        <v>105.5</v>
      </c>
      <c r="K55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508">
        <v>0</v>
      </c>
      <c r="M55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8">
        <v>131.25</v>
      </c>
      <c r="O5508" s="23" t="s">
        <v>827</v>
      </c>
      <c r="P5508">
        <v>918.75</v>
      </c>
      <c r="Q5508" s="23" t="s">
        <v>222</v>
      </c>
    </row>
    <row r="5509" spans="1:17" x14ac:dyDescent="0.25">
      <c r="A5509" s="23" t="s">
        <v>1148</v>
      </c>
      <c r="B5509" s="23" t="s">
        <v>1054</v>
      </c>
      <c r="C5509" s="23" t="s">
        <v>176</v>
      </c>
      <c r="D5509" s="23" t="s">
        <v>782</v>
      </c>
      <c r="E5509" s="23" t="s">
        <v>783</v>
      </c>
      <c r="F5509">
        <v>1</v>
      </c>
      <c r="G5509" s="23" t="s">
        <v>177</v>
      </c>
      <c r="H5509">
        <v>0</v>
      </c>
      <c r="I5509">
        <v>6</v>
      </c>
      <c r="J5509" s="10">
        <v>7</v>
      </c>
      <c r="K55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09">
        <v>10</v>
      </c>
      <c r="M55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09">
        <v>750</v>
      </c>
      <c r="O5509" s="23" t="s">
        <v>291</v>
      </c>
      <c r="P5509">
        <v>750</v>
      </c>
      <c r="Q5509" s="23" t="s">
        <v>179</v>
      </c>
    </row>
    <row r="5510" spans="1:17" x14ac:dyDescent="0.25">
      <c r="A5510" s="23" t="s">
        <v>1058</v>
      </c>
      <c r="B5510" s="23" t="s">
        <v>1059</v>
      </c>
      <c r="C5510" s="23" t="s">
        <v>176</v>
      </c>
      <c r="D5510" s="23" t="s">
        <v>608</v>
      </c>
      <c r="E5510" s="23" t="s">
        <v>609</v>
      </c>
      <c r="F5510">
        <v>2</v>
      </c>
      <c r="G5510" s="23" t="s">
        <v>177</v>
      </c>
      <c r="H5510">
        <v>2</v>
      </c>
      <c r="I5510">
        <v>2</v>
      </c>
      <c r="J5510" s="10">
        <v>8</v>
      </c>
      <c r="K55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510">
        <v>0</v>
      </c>
      <c r="M55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510">
        <v>56.58</v>
      </c>
      <c r="O5510" s="23" t="s">
        <v>637</v>
      </c>
      <c r="P5510">
        <v>113.16</v>
      </c>
      <c r="Q5510" s="23" t="s">
        <v>178</v>
      </c>
    </row>
    <row r="5511" spans="1:17" x14ac:dyDescent="0.25">
      <c r="A5511" s="23" t="s">
        <v>1058</v>
      </c>
      <c r="B5511" s="23" t="s">
        <v>1059</v>
      </c>
      <c r="C5511" s="23" t="s">
        <v>176</v>
      </c>
      <c r="D5511" s="23" t="s">
        <v>239</v>
      </c>
      <c r="E5511" s="23" t="s">
        <v>307</v>
      </c>
      <c r="F5511">
        <v>2</v>
      </c>
      <c r="G5511" s="23" t="s">
        <v>177</v>
      </c>
      <c r="H5511">
        <v>2</v>
      </c>
      <c r="I5511">
        <v>40</v>
      </c>
      <c r="J5511" s="10">
        <v>18</v>
      </c>
      <c r="K55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511">
        <v>0</v>
      </c>
      <c r="M55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1">
        <v>45.3</v>
      </c>
      <c r="O5511" s="23" t="s">
        <v>827</v>
      </c>
      <c r="P5511">
        <v>90.6</v>
      </c>
      <c r="Q5511" s="23" t="s">
        <v>222</v>
      </c>
    </row>
    <row r="5512" spans="1:17" x14ac:dyDescent="0.25">
      <c r="A5512" s="23" t="s">
        <v>1058</v>
      </c>
      <c r="B5512" s="23" t="s">
        <v>1059</v>
      </c>
      <c r="C5512" s="23" t="s">
        <v>176</v>
      </c>
      <c r="D5512" s="23" t="s">
        <v>449</v>
      </c>
      <c r="E5512" s="23" t="s">
        <v>450</v>
      </c>
      <c r="F5512">
        <v>2</v>
      </c>
      <c r="G5512" s="23" t="s">
        <v>177</v>
      </c>
      <c r="H5512">
        <v>2</v>
      </c>
      <c r="I5512">
        <v>15</v>
      </c>
      <c r="J5512" s="10">
        <v>14</v>
      </c>
      <c r="K55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512">
        <v>15</v>
      </c>
      <c r="M55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2">
        <v>65.709999999999994</v>
      </c>
      <c r="O5512" s="23" t="s">
        <v>228</v>
      </c>
      <c r="P5512">
        <v>131.41999999999999</v>
      </c>
      <c r="Q5512" s="23" t="s">
        <v>222</v>
      </c>
    </row>
    <row r="5513" spans="1:17" x14ac:dyDescent="0.25">
      <c r="A5513" s="23" t="s">
        <v>1058</v>
      </c>
      <c r="B5513" s="23" t="s">
        <v>1059</v>
      </c>
      <c r="C5513" s="23" t="s">
        <v>176</v>
      </c>
      <c r="D5513" s="23" t="s">
        <v>69</v>
      </c>
      <c r="E5513" s="23" t="s">
        <v>70</v>
      </c>
      <c r="F5513">
        <v>6.5400000000000009</v>
      </c>
      <c r="G5513" s="23" t="s">
        <v>186</v>
      </c>
      <c r="H5513">
        <v>6.5400000000000009</v>
      </c>
      <c r="I5513">
        <v>181</v>
      </c>
      <c r="J5513" s="10">
        <v>-3.1263880373444408E-13</v>
      </c>
      <c r="K55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5513">
        <v>46.1</v>
      </c>
      <c r="M55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3">
        <v>96.37</v>
      </c>
      <c r="O5513" s="23" t="s">
        <v>491</v>
      </c>
      <c r="P5513">
        <v>630.25980000000015</v>
      </c>
      <c r="Q5513" s="23" t="s">
        <v>184</v>
      </c>
    </row>
    <row r="5514" spans="1:17" x14ac:dyDescent="0.25">
      <c r="A5514" s="23" t="s">
        <v>1057</v>
      </c>
      <c r="B5514" s="23" t="s">
        <v>1056</v>
      </c>
      <c r="C5514" s="23" t="s">
        <v>176</v>
      </c>
      <c r="D5514" s="23" t="s">
        <v>287</v>
      </c>
      <c r="E5514" s="23" t="s">
        <v>288</v>
      </c>
      <c r="F5514">
        <v>0.25</v>
      </c>
      <c r="G5514" s="23" t="s">
        <v>186</v>
      </c>
      <c r="H5514">
        <v>0.25</v>
      </c>
      <c r="I5514">
        <v>10</v>
      </c>
      <c r="J5514" s="10">
        <v>14.129999999999992</v>
      </c>
      <c r="K55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5514">
        <v>10</v>
      </c>
      <c r="M55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4">
        <v>393.83</v>
      </c>
      <c r="O5514" s="23" t="s">
        <v>491</v>
      </c>
      <c r="P5514">
        <v>98.457499999999996</v>
      </c>
      <c r="Q5514" s="23" t="s">
        <v>184</v>
      </c>
    </row>
    <row r="5515" spans="1:17" x14ac:dyDescent="0.25">
      <c r="A5515" s="23" t="s">
        <v>1057</v>
      </c>
      <c r="B5515" s="23" t="s">
        <v>1056</v>
      </c>
      <c r="C5515" s="23" t="s">
        <v>176</v>
      </c>
      <c r="D5515" s="23" t="s">
        <v>239</v>
      </c>
      <c r="E5515" s="23" t="s">
        <v>307</v>
      </c>
      <c r="F5515">
        <v>2</v>
      </c>
      <c r="G5515" s="23" t="s">
        <v>177</v>
      </c>
      <c r="H5515">
        <v>2</v>
      </c>
      <c r="I5515">
        <v>40</v>
      </c>
      <c r="J5515" s="10">
        <v>18</v>
      </c>
      <c r="K55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515">
        <v>0</v>
      </c>
      <c r="M55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5">
        <v>45.3</v>
      </c>
      <c r="O5515" s="23" t="s">
        <v>827</v>
      </c>
      <c r="P5515">
        <v>90.6</v>
      </c>
      <c r="Q5515" s="23" t="s">
        <v>222</v>
      </c>
    </row>
    <row r="5516" spans="1:17" x14ac:dyDescent="0.25">
      <c r="A5516" s="23" t="s">
        <v>1057</v>
      </c>
      <c r="B5516" s="23" t="s">
        <v>1056</v>
      </c>
      <c r="C5516" s="23" t="s">
        <v>176</v>
      </c>
      <c r="D5516" s="23" t="s">
        <v>17</v>
      </c>
      <c r="E5516" s="23" t="s">
        <v>18</v>
      </c>
      <c r="F5516">
        <v>1</v>
      </c>
      <c r="G5516" s="23" t="s">
        <v>177</v>
      </c>
      <c r="H5516">
        <v>1</v>
      </c>
      <c r="I5516">
        <v>7</v>
      </c>
      <c r="J5516" s="10">
        <v>10</v>
      </c>
      <c r="K55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516">
        <v>50</v>
      </c>
      <c r="M55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16">
        <v>839.2</v>
      </c>
      <c r="O5516" s="23" t="s">
        <v>236</v>
      </c>
      <c r="P5516">
        <v>839.2</v>
      </c>
      <c r="Q5516" s="23" t="s">
        <v>222</v>
      </c>
    </row>
    <row r="5517" spans="1:17" x14ac:dyDescent="0.25">
      <c r="A5517" s="23" t="s">
        <v>1096</v>
      </c>
      <c r="B5517" s="23" t="s">
        <v>1053</v>
      </c>
      <c r="C5517" s="23" t="s">
        <v>176</v>
      </c>
      <c r="D5517" s="23" t="s">
        <v>604</v>
      </c>
      <c r="E5517" s="23" t="s">
        <v>605</v>
      </c>
      <c r="F5517">
        <v>2</v>
      </c>
      <c r="G5517" s="23" t="s">
        <v>177</v>
      </c>
      <c r="H5517">
        <v>2</v>
      </c>
      <c r="I5517">
        <v>9</v>
      </c>
      <c r="J5517" s="10">
        <v>6</v>
      </c>
      <c r="K55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517">
        <v>0</v>
      </c>
      <c r="M55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517">
        <v>75.61</v>
      </c>
      <c r="O5517" s="23" t="s">
        <v>637</v>
      </c>
      <c r="P5517">
        <v>151.22</v>
      </c>
      <c r="Q5517" s="23" t="s">
        <v>178</v>
      </c>
    </row>
    <row r="5518" spans="1:17" x14ac:dyDescent="0.25">
      <c r="A5518" s="23" t="s">
        <v>1057</v>
      </c>
      <c r="B5518" s="23" t="s">
        <v>1056</v>
      </c>
      <c r="C5518" s="23" t="s">
        <v>176</v>
      </c>
      <c r="D5518" s="23" t="s">
        <v>608</v>
      </c>
      <c r="E5518" s="23" t="s">
        <v>609</v>
      </c>
      <c r="F5518">
        <v>2</v>
      </c>
      <c r="G5518" s="23" t="s">
        <v>177</v>
      </c>
      <c r="H5518">
        <v>2</v>
      </c>
      <c r="I5518">
        <v>2</v>
      </c>
      <c r="J5518" s="10">
        <v>8</v>
      </c>
      <c r="K55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518">
        <v>0</v>
      </c>
      <c r="M55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518">
        <v>56.58</v>
      </c>
      <c r="O5518" s="23" t="s">
        <v>637</v>
      </c>
      <c r="P5518">
        <v>113.16</v>
      </c>
      <c r="Q5518" s="23" t="s">
        <v>178</v>
      </c>
    </row>
    <row r="5519" spans="1:17" x14ac:dyDescent="0.25">
      <c r="A5519" s="23" t="s">
        <v>1096</v>
      </c>
      <c r="B5519" s="23" t="s">
        <v>1053</v>
      </c>
      <c r="C5519" s="23" t="s">
        <v>176</v>
      </c>
      <c r="D5519" s="23" t="s">
        <v>73</v>
      </c>
      <c r="E5519" s="23" t="s">
        <v>74</v>
      </c>
      <c r="F5519">
        <v>1</v>
      </c>
      <c r="G5519" s="23" t="s">
        <v>177</v>
      </c>
      <c r="H5519">
        <v>1</v>
      </c>
      <c r="I5519">
        <v>3</v>
      </c>
      <c r="J5519" s="10">
        <v>7</v>
      </c>
      <c r="K55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519">
        <v>0</v>
      </c>
      <c r="M55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5519">
        <v>8822.93</v>
      </c>
      <c r="O5519" s="23" t="s">
        <v>635</v>
      </c>
      <c r="P5519">
        <v>8822.93</v>
      </c>
      <c r="Q5519" s="23" t="s">
        <v>179</v>
      </c>
    </row>
    <row r="5520" spans="1:17" x14ac:dyDescent="0.25">
      <c r="A5520" s="23" t="s">
        <v>1057</v>
      </c>
      <c r="B5520" s="23" t="s">
        <v>1056</v>
      </c>
      <c r="C5520" s="23" t="s">
        <v>176</v>
      </c>
      <c r="D5520" s="23" t="s">
        <v>782</v>
      </c>
      <c r="E5520" s="23" t="s">
        <v>783</v>
      </c>
      <c r="F5520">
        <v>1</v>
      </c>
      <c r="G5520" s="23" t="s">
        <v>177</v>
      </c>
      <c r="H5520">
        <v>1</v>
      </c>
      <c r="I5520">
        <v>6</v>
      </c>
      <c r="J5520" s="10">
        <v>7</v>
      </c>
      <c r="K55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20">
        <v>10</v>
      </c>
      <c r="M55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0">
        <v>750</v>
      </c>
      <c r="O5520" s="23" t="s">
        <v>291</v>
      </c>
      <c r="P5520">
        <v>750</v>
      </c>
      <c r="Q5520" s="23" t="s">
        <v>179</v>
      </c>
    </row>
    <row r="5521" spans="1:17" x14ac:dyDescent="0.25">
      <c r="A5521" s="23" t="s">
        <v>1094</v>
      </c>
      <c r="B5521" s="23" t="s">
        <v>1095</v>
      </c>
      <c r="C5521" s="23" t="s">
        <v>176</v>
      </c>
      <c r="D5521" s="23" t="s">
        <v>1049</v>
      </c>
      <c r="E5521" s="23" t="s">
        <v>1050</v>
      </c>
      <c r="F5521">
        <v>1</v>
      </c>
      <c r="G5521" s="23" t="s">
        <v>177</v>
      </c>
      <c r="H5521">
        <v>0</v>
      </c>
      <c r="I5521">
        <v>3</v>
      </c>
      <c r="J5521" s="10">
        <v>6</v>
      </c>
      <c r="K55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521">
        <v>0</v>
      </c>
      <c r="M55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521">
        <v>12138.93</v>
      </c>
      <c r="O5521" s="23" t="s">
        <v>635</v>
      </c>
      <c r="P5521">
        <v>12138.93</v>
      </c>
      <c r="Q5521" s="23" t="s">
        <v>178</v>
      </c>
    </row>
    <row r="5522" spans="1:17" x14ac:dyDescent="0.25">
      <c r="A5522" s="23" t="s">
        <v>1058</v>
      </c>
      <c r="B5522" s="23" t="s">
        <v>1059</v>
      </c>
      <c r="C5522" s="23" t="s">
        <v>176</v>
      </c>
      <c r="D5522" s="23" t="s">
        <v>1049</v>
      </c>
      <c r="E5522" s="23" t="s">
        <v>1050</v>
      </c>
      <c r="F5522">
        <v>1</v>
      </c>
      <c r="G5522" s="23" t="s">
        <v>177</v>
      </c>
      <c r="H5522">
        <v>1</v>
      </c>
      <c r="I5522">
        <v>3</v>
      </c>
      <c r="J5522" s="10">
        <v>6</v>
      </c>
      <c r="K55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522">
        <v>0</v>
      </c>
      <c r="M55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522">
        <v>12138.93</v>
      </c>
      <c r="O5522" s="23" t="s">
        <v>635</v>
      </c>
      <c r="P5522">
        <v>12138.93</v>
      </c>
      <c r="Q5522" s="23" t="s">
        <v>178</v>
      </c>
    </row>
    <row r="5523" spans="1:17" x14ac:dyDescent="0.25">
      <c r="A5523" s="23" t="s">
        <v>1055</v>
      </c>
      <c r="B5523" s="23" t="s">
        <v>1056</v>
      </c>
      <c r="C5523" s="23" t="s">
        <v>176</v>
      </c>
      <c r="D5523" s="23" t="s">
        <v>287</v>
      </c>
      <c r="E5523" s="23" t="s">
        <v>288</v>
      </c>
      <c r="F5523">
        <v>0.25</v>
      </c>
      <c r="G5523" s="23" t="s">
        <v>186</v>
      </c>
      <c r="H5523">
        <v>0.25</v>
      </c>
      <c r="I5523">
        <v>10</v>
      </c>
      <c r="J5523" s="10">
        <v>14.129999999999992</v>
      </c>
      <c r="K55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5523">
        <v>10</v>
      </c>
      <c r="M55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3">
        <v>393.83</v>
      </c>
      <c r="O5523" s="23" t="s">
        <v>491</v>
      </c>
      <c r="P5523">
        <v>98.457499999999996</v>
      </c>
      <c r="Q5523" s="23" t="s">
        <v>184</v>
      </c>
    </row>
    <row r="5524" spans="1:17" x14ac:dyDescent="0.25">
      <c r="A5524" s="23" t="s">
        <v>1058</v>
      </c>
      <c r="B5524" s="23" t="s">
        <v>1059</v>
      </c>
      <c r="C5524" s="23" t="s">
        <v>176</v>
      </c>
      <c r="D5524" s="23" t="s">
        <v>287</v>
      </c>
      <c r="E5524" s="23" t="s">
        <v>288</v>
      </c>
      <c r="F5524">
        <v>0.35</v>
      </c>
      <c r="G5524" s="23" t="s">
        <v>186</v>
      </c>
      <c r="H5524">
        <v>0.35</v>
      </c>
      <c r="I5524">
        <v>10</v>
      </c>
      <c r="J5524" s="10">
        <v>14.129999999999992</v>
      </c>
      <c r="K55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-15.809999999999999</v>
      </c>
      <c r="L5524">
        <v>10</v>
      </c>
      <c r="M55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4">
        <v>393.83</v>
      </c>
      <c r="O5524" s="23" t="s">
        <v>491</v>
      </c>
      <c r="P5524">
        <v>137.84049999999999</v>
      </c>
      <c r="Q5524" s="23" t="s">
        <v>184</v>
      </c>
    </row>
    <row r="5525" spans="1:17" x14ac:dyDescent="0.25">
      <c r="A5525" s="23" t="s">
        <v>1062</v>
      </c>
      <c r="B5525" s="23" t="s">
        <v>1053</v>
      </c>
      <c r="C5525" s="23" t="s">
        <v>176</v>
      </c>
      <c r="D5525" s="23" t="s">
        <v>717</v>
      </c>
      <c r="E5525" s="23" t="s">
        <v>718</v>
      </c>
      <c r="F5525">
        <v>0.2</v>
      </c>
      <c r="G5525" s="23" t="s">
        <v>180</v>
      </c>
      <c r="H5525">
        <v>0</v>
      </c>
      <c r="I5525">
        <v>200</v>
      </c>
      <c r="J5525" s="10">
        <v>85.649999999999977</v>
      </c>
      <c r="K55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5525">
        <v>0</v>
      </c>
      <c r="M55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5">
        <v>3.62</v>
      </c>
      <c r="O5525" s="23" t="s">
        <v>827</v>
      </c>
      <c r="P5525">
        <v>0.72400000000000009</v>
      </c>
      <c r="Q5525" s="23" t="s">
        <v>222</v>
      </c>
    </row>
    <row r="5526" spans="1:17" x14ac:dyDescent="0.25">
      <c r="A5526" s="23" t="s">
        <v>1055</v>
      </c>
      <c r="B5526" s="23" t="s">
        <v>1056</v>
      </c>
      <c r="C5526" s="23" t="s">
        <v>176</v>
      </c>
      <c r="D5526" s="23" t="s">
        <v>258</v>
      </c>
      <c r="E5526" s="23" t="s">
        <v>259</v>
      </c>
      <c r="F5526">
        <v>1.1000000000000001</v>
      </c>
      <c r="G5526" s="23" t="s">
        <v>177</v>
      </c>
      <c r="H5526">
        <v>1.1000000000000001</v>
      </c>
      <c r="I5526">
        <v>14</v>
      </c>
      <c r="J5526" s="10">
        <v>6.7999999999999901</v>
      </c>
      <c r="K55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5526">
        <v>12</v>
      </c>
      <c r="M55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5526">
        <v>328.85</v>
      </c>
      <c r="O5526" s="23" t="s">
        <v>260</v>
      </c>
      <c r="P5526">
        <v>361.73500000000007</v>
      </c>
      <c r="Q5526" s="23" t="s">
        <v>184</v>
      </c>
    </row>
    <row r="5527" spans="1:17" x14ac:dyDescent="0.25">
      <c r="A5527" s="23" t="s">
        <v>1057</v>
      </c>
      <c r="B5527" s="23" t="s">
        <v>1056</v>
      </c>
      <c r="C5527" s="23" t="s">
        <v>176</v>
      </c>
      <c r="D5527" s="23" t="s">
        <v>258</v>
      </c>
      <c r="E5527" s="23" t="s">
        <v>259</v>
      </c>
      <c r="F5527">
        <v>1.1000000000000001</v>
      </c>
      <c r="G5527" s="23" t="s">
        <v>177</v>
      </c>
      <c r="H5527">
        <v>1.1000000000000001</v>
      </c>
      <c r="I5527">
        <v>14</v>
      </c>
      <c r="J5527" s="10">
        <v>6.7999999999999901</v>
      </c>
      <c r="K55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5527">
        <v>12</v>
      </c>
      <c r="M55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5527">
        <v>328.85</v>
      </c>
      <c r="O5527" s="23" t="s">
        <v>260</v>
      </c>
      <c r="P5527">
        <v>361.73500000000007</v>
      </c>
      <c r="Q5527" s="23" t="s">
        <v>184</v>
      </c>
    </row>
    <row r="5528" spans="1:17" x14ac:dyDescent="0.25">
      <c r="A5528" s="23" t="s">
        <v>1058</v>
      </c>
      <c r="B5528" s="23" t="s">
        <v>1059</v>
      </c>
      <c r="C5528" s="23" t="s">
        <v>176</v>
      </c>
      <c r="D5528" s="23" t="s">
        <v>11</v>
      </c>
      <c r="E5528" s="23" t="s">
        <v>12</v>
      </c>
      <c r="F5528">
        <v>1</v>
      </c>
      <c r="G5528" s="23" t="s">
        <v>177</v>
      </c>
      <c r="H5528">
        <v>1</v>
      </c>
      <c r="I5528">
        <v>26</v>
      </c>
      <c r="J5528" s="10">
        <v>8</v>
      </c>
      <c r="K55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528">
        <v>0</v>
      </c>
      <c r="M55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28">
        <v>368.07</v>
      </c>
      <c r="O5528" s="23" t="s">
        <v>590</v>
      </c>
      <c r="P5528">
        <v>368.07</v>
      </c>
      <c r="Q5528" s="23" t="s">
        <v>222</v>
      </c>
    </row>
    <row r="5529" spans="1:17" x14ac:dyDescent="0.25">
      <c r="A5529" s="23" t="s">
        <v>1057</v>
      </c>
      <c r="B5529" s="23" t="s">
        <v>1056</v>
      </c>
      <c r="C5529" s="23" t="s">
        <v>176</v>
      </c>
      <c r="D5529" s="23" t="s">
        <v>7</v>
      </c>
      <c r="E5529" s="23" t="s">
        <v>8</v>
      </c>
      <c r="F5529">
        <v>1</v>
      </c>
      <c r="G5529" s="23" t="s">
        <v>177</v>
      </c>
      <c r="H5529">
        <v>1</v>
      </c>
      <c r="I5529">
        <v>3</v>
      </c>
      <c r="J5529" s="10">
        <v>7</v>
      </c>
      <c r="K55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29">
        <v>3</v>
      </c>
      <c r="M55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529">
        <v>2477.52</v>
      </c>
      <c r="O5529" s="23" t="s">
        <v>228</v>
      </c>
      <c r="P5529">
        <v>2477.52</v>
      </c>
      <c r="Q5529" s="23" t="s">
        <v>222</v>
      </c>
    </row>
    <row r="5530" spans="1:17" x14ac:dyDescent="0.25">
      <c r="A5530" s="23" t="s">
        <v>1096</v>
      </c>
      <c r="B5530" s="23" t="s">
        <v>1053</v>
      </c>
      <c r="C5530" s="23" t="s">
        <v>176</v>
      </c>
      <c r="D5530" s="23" t="s">
        <v>207</v>
      </c>
      <c r="E5530" s="23" t="s">
        <v>282</v>
      </c>
      <c r="F5530">
        <v>0.80800000000000016</v>
      </c>
      <c r="G5530" s="23" t="s">
        <v>177</v>
      </c>
      <c r="H5530">
        <v>0.80800000000000016</v>
      </c>
      <c r="I5530">
        <v>20</v>
      </c>
      <c r="J5530" s="10">
        <v>116.66400000000021</v>
      </c>
      <c r="K55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5530">
        <v>0</v>
      </c>
      <c r="M55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0">
        <v>185</v>
      </c>
      <c r="O5530" s="23" t="s">
        <v>242</v>
      </c>
      <c r="P5530">
        <v>149.48000000000002</v>
      </c>
      <c r="Q5530" s="23" t="s">
        <v>181</v>
      </c>
    </row>
    <row r="5531" spans="1:17" x14ac:dyDescent="0.25">
      <c r="A5531" s="23" t="s">
        <v>1058</v>
      </c>
      <c r="B5531" s="23" t="s">
        <v>1059</v>
      </c>
      <c r="C5531" s="23" t="s">
        <v>176</v>
      </c>
      <c r="D5531" s="23" t="s">
        <v>258</v>
      </c>
      <c r="E5531" s="23" t="s">
        <v>259</v>
      </c>
      <c r="F5531">
        <v>2.2999999999999998</v>
      </c>
      <c r="G5531" s="23" t="s">
        <v>177</v>
      </c>
      <c r="H5531">
        <v>2.2999999999999998</v>
      </c>
      <c r="I5531">
        <v>14</v>
      </c>
      <c r="J5531" s="10">
        <v>6.7999999999999901</v>
      </c>
      <c r="K55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7.6999999999999957</v>
      </c>
      <c r="L5531">
        <v>12</v>
      </c>
      <c r="M55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2532.1449999999986</v>
      </c>
      <c r="N5531">
        <v>328.85</v>
      </c>
      <c r="O5531" s="23" t="s">
        <v>260</v>
      </c>
      <c r="P5531">
        <v>756.35500000000002</v>
      </c>
      <c r="Q5531" s="23" t="s">
        <v>184</v>
      </c>
    </row>
    <row r="5532" spans="1:17" x14ac:dyDescent="0.25">
      <c r="A5532" s="23" t="s">
        <v>1143</v>
      </c>
      <c r="B5532" s="23" t="s">
        <v>1054</v>
      </c>
      <c r="C5532" s="23" t="s">
        <v>176</v>
      </c>
      <c r="D5532" s="23" t="s">
        <v>379</v>
      </c>
      <c r="E5532" s="23" t="s">
        <v>380</v>
      </c>
      <c r="F5532">
        <v>2</v>
      </c>
      <c r="G5532" s="23" t="s">
        <v>177</v>
      </c>
      <c r="H5532">
        <v>0</v>
      </c>
      <c r="I5532">
        <v>50</v>
      </c>
      <c r="J5532" s="10">
        <v>33</v>
      </c>
      <c r="K55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532">
        <v>0</v>
      </c>
      <c r="M55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2">
        <v>72.599999999999994</v>
      </c>
      <c r="O5532" s="23" t="s">
        <v>242</v>
      </c>
      <c r="P5532">
        <v>145.19999999999999</v>
      </c>
      <c r="Q5532" s="23" t="s">
        <v>179</v>
      </c>
    </row>
    <row r="5533" spans="1:17" x14ac:dyDescent="0.25">
      <c r="A5533" s="23" t="s">
        <v>1100</v>
      </c>
      <c r="B5533" s="23" t="s">
        <v>1101</v>
      </c>
      <c r="C5533" s="23" t="s">
        <v>176</v>
      </c>
      <c r="D5533" s="23" t="s">
        <v>99</v>
      </c>
      <c r="E5533" s="23" t="s">
        <v>250</v>
      </c>
      <c r="F5533">
        <v>8</v>
      </c>
      <c r="G5533" s="23" t="s">
        <v>177</v>
      </c>
      <c r="H5533">
        <v>8</v>
      </c>
      <c r="I5533">
        <v>230</v>
      </c>
      <c r="J5533" s="10">
        <v>72</v>
      </c>
      <c r="K55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533">
        <v>0</v>
      </c>
      <c r="M55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3">
        <v>225</v>
      </c>
      <c r="O5533" s="23" t="s">
        <v>826</v>
      </c>
      <c r="P5533">
        <v>1800</v>
      </c>
      <c r="Q5533" s="23" t="s">
        <v>178</v>
      </c>
    </row>
    <row r="5534" spans="1:17" x14ac:dyDescent="0.25">
      <c r="A5534" s="23" t="s">
        <v>1099</v>
      </c>
      <c r="B5534" s="23" t="s">
        <v>1056</v>
      </c>
      <c r="C5534" s="23" t="s">
        <v>176</v>
      </c>
      <c r="D5534" s="23" t="s">
        <v>784</v>
      </c>
      <c r="E5534" s="23" t="s">
        <v>785</v>
      </c>
      <c r="F5534">
        <v>1</v>
      </c>
      <c r="G5534" s="23" t="s">
        <v>177</v>
      </c>
      <c r="H5534">
        <v>1</v>
      </c>
      <c r="I5534">
        <v>7</v>
      </c>
      <c r="J5534" s="10">
        <v>9</v>
      </c>
      <c r="K55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534">
        <v>10</v>
      </c>
      <c r="M55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4">
        <v>450</v>
      </c>
      <c r="O5534" s="23" t="s">
        <v>291</v>
      </c>
      <c r="P5534">
        <v>450</v>
      </c>
      <c r="Q5534" s="23" t="s">
        <v>179</v>
      </c>
    </row>
    <row r="5535" spans="1:17" x14ac:dyDescent="0.25">
      <c r="A5535" s="23" t="s">
        <v>1057</v>
      </c>
      <c r="B5535" s="23" t="s">
        <v>1056</v>
      </c>
      <c r="C5535" s="23" t="s">
        <v>176</v>
      </c>
      <c r="D5535" s="23" t="s">
        <v>207</v>
      </c>
      <c r="E5535" s="23" t="s">
        <v>282</v>
      </c>
      <c r="F5535">
        <v>0.55000000000000004</v>
      </c>
      <c r="G5535" s="23" t="s">
        <v>177</v>
      </c>
      <c r="H5535">
        <v>0.55000000000000004</v>
      </c>
      <c r="I5535">
        <v>20</v>
      </c>
      <c r="J5535" s="10">
        <v>116.66400000000021</v>
      </c>
      <c r="K55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5535">
        <v>0</v>
      </c>
      <c r="M55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5">
        <v>185</v>
      </c>
      <c r="O5535" s="23" t="s">
        <v>242</v>
      </c>
      <c r="P5535">
        <v>101.75000000000001</v>
      </c>
      <c r="Q5535" s="23" t="s">
        <v>181</v>
      </c>
    </row>
    <row r="5536" spans="1:17" x14ac:dyDescent="0.25">
      <c r="A5536" s="23" t="s">
        <v>1058</v>
      </c>
      <c r="B5536" s="23" t="s">
        <v>1059</v>
      </c>
      <c r="C5536" s="23" t="s">
        <v>176</v>
      </c>
      <c r="D5536" s="23" t="s">
        <v>281</v>
      </c>
      <c r="E5536" s="23" t="s">
        <v>319</v>
      </c>
      <c r="F5536">
        <v>1</v>
      </c>
      <c r="G5536" s="23" t="s">
        <v>177</v>
      </c>
      <c r="H5536">
        <v>1</v>
      </c>
      <c r="I5536">
        <v>27</v>
      </c>
      <c r="J5536" s="10">
        <v>4</v>
      </c>
      <c r="K55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36">
        <v>0</v>
      </c>
      <c r="M55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6">
        <v>290.62</v>
      </c>
      <c r="O5536" s="23" t="s">
        <v>637</v>
      </c>
      <c r="P5536">
        <v>290.62</v>
      </c>
      <c r="Q5536" s="23" t="s">
        <v>179</v>
      </c>
    </row>
    <row r="5537" spans="1:17" x14ac:dyDescent="0.25">
      <c r="A5537" s="23" t="s">
        <v>1150</v>
      </c>
      <c r="B5537" s="23" t="s">
        <v>1145</v>
      </c>
      <c r="C5537" s="23" t="s">
        <v>176</v>
      </c>
      <c r="D5537" s="23" t="s">
        <v>281</v>
      </c>
      <c r="E5537" s="23" t="s">
        <v>319</v>
      </c>
      <c r="F5537">
        <v>1</v>
      </c>
      <c r="G5537" s="23" t="s">
        <v>177</v>
      </c>
      <c r="H5537">
        <v>1</v>
      </c>
      <c r="I5537">
        <v>27</v>
      </c>
      <c r="J5537" s="10">
        <v>4</v>
      </c>
      <c r="K55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37">
        <v>0</v>
      </c>
      <c r="M55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7">
        <v>290.62</v>
      </c>
      <c r="O5537" s="23" t="s">
        <v>637</v>
      </c>
      <c r="P5537">
        <v>290.62</v>
      </c>
      <c r="Q5537" s="23" t="s">
        <v>179</v>
      </c>
    </row>
    <row r="5538" spans="1:17" x14ac:dyDescent="0.25">
      <c r="A5538" s="23" t="s">
        <v>1096</v>
      </c>
      <c r="B5538" s="23" t="s">
        <v>1053</v>
      </c>
      <c r="C5538" s="23" t="s">
        <v>176</v>
      </c>
      <c r="D5538" s="23" t="s">
        <v>266</v>
      </c>
      <c r="E5538" s="23" t="s">
        <v>267</v>
      </c>
      <c r="F5538">
        <v>1</v>
      </c>
      <c r="G5538" s="23" t="s">
        <v>177</v>
      </c>
      <c r="H5538">
        <v>1</v>
      </c>
      <c r="I5538">
        <v>1</v>
      </c>
      <c r="J5538" s="10">
        <v>7</v>
      </c>
      <c r="K55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538">
        <v>0</v>
      </c>
      <c r="M55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5538">
        <v>4633.34</v>
      </c>
      <c r="O5538" s="23" t="s">
        <v>215</v>
      </c>
      <c r="P5538">
        <v>4633.34</v>
      </c>
      <c r="Q5538" s="23" t="s">
        <v>178</v>
      </c>
    </row>
    <row r="5539" spans="1:17" x14ac:dyDescent="0.25">
      <c r="A5539" s="23" t="s">
        <v>1099</v>
      </c>
      <c r="B5539" s="23" t="s">
        <v>1056</v>
      </c>
      <c r="C5539" s="23" t="s">
        <v>176</v>
      </c>
      <c r="D5539" s="23" t="s">
        <v>1083</v>
      </c>
      <c r="E5539" s="23" t="s">
        <v>1084</v>
      </c>
      <c r="F5539">
        <v>2</v>
      </c>
      <c r="G5539" s="23" t="s">
        <v>177</v>
      </c>
      <c r="H5539">
        <v>2</v>
      </c>
      <c r="I5539">
        <v>16</v>
      </c>
      <c r="J5539" s="10">
        <v>14</v>
      </c>
      <c r="K55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539">
        <v>20</v>
      </c>
      <c r="M55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39">
        <v>194</v>
      </c>
      <c r="O5539" s="23" t="s">
        <v>218</v>
      </c>
      <c r="P5539">
        <v>388</v>
      </c>
      <c r="Q5539" s="23" t="s">
        <v>178</v>
      </c>
    </row>
    <row r="5540" spans="1:17" x14ac:dyDescent="0.25">
      <c r="A5540" s="23" t="s">
        <v>1057</v>
      </c>
      <c r="B5540" s="23" t="s">
        <v>1056</v>
      </c>
      <c r="C5540" s="23" t="s">
        <v>176</v>
      </c>
      <c r="D5540" s="23" t="s">
        <v>1035</v>
      </c>
      <c r="E5540" s="23" t="s">
        <v>1036</v>
      </c>
      <c r="F5540">
        <v>1</v>
      </c>
      <c r="G5540" s="23" t="s">
        <v>177</v>
      </c>
      <c r="H5540">
        <v>1</v>
      </c>
      <c r="I5540">
        <v>2</v>
      </c>
      <c r="J5540" s="10">
        <v>2</v>
      </c>
      <c r="K55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40">
        <v>0</v>
      </c>
      <c r="M55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0">
        <v>400</v>
      </c>
      <c r="O5540" s="23" t="s">
        <v>1032</v>
      </c>
      <c r="P5540">
        <v>400</v>
      </c>
      <c r="Q5540" s="23" t="s">
        <v>179</v>
      </c>
    </row>
    <row r="5541" spans="1:17" x14ac:dyDescent="0.25">
      <c r="A5541" s="23" t="s">
        <v>1055</v>
      </c>
      <c r="B5541" s="23" t="s">
        <v>1056</v>
      </c>
      <c r="C5541" s="23" t="s">
        <v>176</v>
      </c>
      <c r="D5541" s="23" t="s">
        <v>1077</v>
      </c>
      <c r="E5541" s="23" t="s">
        <v>1078</v>
      </c>
      <c r="F5541">
        <v>1</v>
      </c>
      <c r="G5541" s="23" t="s">
        <v>177</v>
      </c>
      <c r="H5541">
        <v>1</v>
      </c>
      <c r="I5541">
        <v>4</v>
      </c>
      <c r="J5541" s="10">
        <v>7</v>
      </c>
      <c r="K55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41">
        <v>10</v>
      </c>
      <c r="M55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1">
        <v>3097.63</v>
      </c>
      <c r="O5541" s="23" t="s">
        <v>593</v>
      </c>
      <c r="P5541">
        <v>3097.63</v>
      </c>
      <c r="Q5541" s="23" t="s">
        <v>179</v>
      </c>
    </row>
    <row r="5542" spans="1:17" x14ac:dyDescent="0.25">
      <c r="A5542" s="23" t="s">
        <v>1099</v>
      </c>
      <c r="B5542" s="23" t="s">
        <v>1056</v>
      </c>
      <c r="C5542" s="23" t="s">
        <v>176</v>
      </c>
      <c r="D5542" s="23" t="s">
        <v>401</v>
      </c>
      <c r="E5542" s="23" t="s">
        <v>402</v>
      </c>
      <c r="F5542">
        <v>2</v>
      </c>
      <c r="G5542" s="23" t="s">
        <v>177</v>
      </c>
      <c r="H5542">
        <v>2</v>
      </c>
      <c r="I5542">
        <v>31</v>
      </c>
      <c r="J5542" s="10">
        <v>12</v>
      </c>
      <c r="K55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42">
        <v>0</v>
      </c>
      <c r="M55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2">
        <v>15</v>
      </c>
      <c r="O5542" s="23" t="s">
        <v>221</v>
      </c>
      <c r="P5542">
        <v>30</v>
      </c>
      <c r="Q5542" s="23" t="s">
        <v>222</v>
      </c>
    </row>
    <row r="5543" spans="1:17" x14ac:dyDescent="0.25">
      <c r="A5543" s="23" t="s">
        <v>1055</v>
      </c>
      <c r="B5543" s="23" t="s">
        <v>1056</v>
      </c>
      <c r="C5543" s="23" t="s">
        <v>176</v>
      </c>
      <c r="D5543" s="23" t="s">
        <v>50</v>
      </c>
      <c r="E5543" s="23" t="s">
        <v>51</v>
      </c>
      <c r="F5543">
        <v>1</v>
      </c>
      <c r="G5543" s="23" t="s">
        <v>177</v>
      </c>
      <c r="H5543">
        <v>1</v>
      </c>
      <c r="I5543">
        <v>4</v>
      </c>
      <c r="J5543" s="10">
        <v>10</v>
      </c>
      <c r="K55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543">
        <v>0</v>
      </c>
      <c r="M55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5543">
        <v>5206.1400000000003</v>
      </c>
      <c r="O5543" s="23" t="s">
        <v>216</v>
      </c>
      <c r="P5543">
        <v>5206.1400000000003</v>
      </c>
      <c r="Q5543" s="23" t="s">
        <v>222</v>
      </c>
    </row>
    <row r="5544" spans="1:17" x14ac:dyDescent="0.25">
      <c r="A5544" s="23" t="s">
        <v>1099</v>
      </c>
      <c r="B5544" s="23" t="s">
        <v>1056</v>
      </c>
      <c r="C5544" s="23" t="s">
        <v>176</v>
      </c>
      <c r="D5544" s="23" t="s">
        <v>50</v>
      </c>
      <c r="E5544" s="23" t="s">
        <v>51</v>
      </c>
      <c r="F5544">
        <v>1</v>
      </c>
      <c r="G5544" s="23" t="s">
        <v>177</v>
      </c>
      <c r="H5544">
        <v>1</v>
      </c>
      <c r="I5544">
        <v>4</v>
      </c>
      <c r="J5544" s="10">
        <v>10</v>
      </c>
      <c r="K55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544">
        <v>0</v>
      </c>
      <c r="M55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5544">
        <v>5206.1400000000003</v>
      </c>
      <c r="O5544" s="23" t="s">
        <v>216</v>
      </c>
      <c r="P5544">
        <v>5206.1400000000003</v>
      </c>
      <c r="Q5544" s="23" t="s">
        <v>222</v>
      </c>
    </row>
    <row r="5545" spans="1:17" x14ac:dyDescent="0.25">
      <c r="A5545" s="23" t="s">
        <v>1096</v>
      </c>
      <c r="B5545" s="23" t="s">
        <v>1053</v>
      </c>
      <c r="C5545" s="23" t="s">
        <v>176</v>
      </c>
      <c r="D5545" s="23" t="s">
        <v>64</v>
      </c>
      <c r="E5545" s="23" t="s">
        <v>65</v>
      </c>
      <c r="F5545">
        <v>2</v>
      </c>
      <c r="G5545" s="23" t="s">
        <v>177</v>
      </c>
      <c r="H5545">
        <v>2</v>
      </c>
      <c r="I5545">
        <v>38</v>
      </c>
      <c r="J5545" s="10">
        <v>10</v>
      </c>
      <c r="K55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545">
        <v>0</v>
      </c>
      <c r="M55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5">
        <v>95</v>
      </c>
      <c r="O5545" s="23" t="s">
        <v>218</v>
      </c>
      <c r="P5545">
        <v>190</v>
      </c>
      <c r="Q5545" s="23" t="s">
        <v>181</v>
      </c>
    </row>
    <row r="5546" spans="1:17" x14ac:dyDescent="0.25">
      <c r="A5546" s="23" t="s">
        <v>1099</v>
      </c>
      <c r="B5546" s="23" t="s">
        <v>1056</v>
      </c>
      <c r="C5546" s="23" t="s">
        <v>176</v>
      </c>
      <c r="D5546" s="23" t="s">
        <v>547</v>
      </c>
      <c r="E5546" s="23" t="s">
        <v>548</v>
      </c>
      <c r="F5546">
        <v>2</v>
      </c>
      <c r="G5546" s="23" t="s">
        <v>177</v>
      </c>
      <c r="H5546">
        <v>2</v>
      </c>
      <c r="I5546">
        <v>109</v>
      </c>
      <c r="J5546" s="10">
        <v>6</v>
      </c>
      <c r="K55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-106</v>
      </c>
      <c r="L5546">
        <v>0</v>
      </c>
      <c r="M55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46">
        <v>90</v>
      </c>
      <c r="O5546" s="23"/>
      <c r="P5546">
        <v>180</v>
      </c>
      <c r="Q5546" s="23" t="s">
        <v>181</v>
      </c>
    </row>
    <row r="5547" spans="1:17" x14ac:dyDescent="0.25">
      <c r="A5547" s="23" t="s">
        <v>1057</v>
      </c>
      <c r="B5547" s="23" t="s">
        <v>1056</v>
      </c>
      <c r="C5547" s="23" t="s">
        <v>176</v>
      </c>
      <c r="D5547" s="23" t="s">
        <v>125</v>
      </c>
      <c r="E5547" s="23" t="s">
        <v>126</v>
      </c>
      <c r="F5547">
        <v>6</v>
      </c>
      <c r="G5547" s="23" t="s">
        <v>186</v>
      </c>
      <c r="H5547">
        <v>6</v>
      </c>
      <c r="I5547">
        <v>0</v>
      </c>
      <c r="J5547" s="10">
        <v>297.61000000000013</v>
      </c>
      <c r="K55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547">
        <v>0</v>
      </c>
      <c r="M55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547">
        <v>136.18</v>
      </c>
      <c r="O5547" s="23" t="s">
        <v>254</v>
      </c>
      <c r="P5547">
        <v>817.08</v>
      </c>
      <c r="Q5547" s="23" t="s">
        <v>184</v>
      </c>
    </row>
    <row r="5548" spans="1:17" x14ac:dyDescent="0.25">
      <c r="A5548" s="23" t="s">
        <v>1146</v>
      </c>
      <c r="B5548" s="23" t="s">
        <v>1145</v>
      </c>
      <c r="C5548" s="23" t="s">
        <v>176</v>
      </c>
      <c r="D5548" s="23" t="s">
        <v>125</v>
      </c>
      <c r="E5548" s="23" t="s">
        <v>126</v>
      </c>
      <c r="F5548">
        <v>7</v>
      </c>
      <c r="G5548" s="23" t="s">
        <v>186</v>
      </c>
      <c r="H5548">
        <v>7</v>
      </c>
      <c r="I5548">
        <v>0</v>
      </c>
      <c r="J5548" s="10">
        <v>297.61000000000013</v>
      </c>
      <c r="K55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548">
        <v>0</v>
      </c>
      <c r="M55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548">
        <v>136.18</v>
      </c>
      <c r="O5548" s="23" t="s">
        <v>254</v>
      </c>
      <c r="P5548">
        <v>953.26</v>
      </c>
      <c r="Q5548" s="23" t="s">
        <v>184</v>
      </c>
    </row>
    <row r="5549" spans="1:17" x14ac:dyDescent="0.25">
      <c r="A5549" s="23" t="s">
        <v>1062</v>
      </c>
      <c r="B5549" s="23" t="s">
        <v>1053</v>
      </c>
      <c r="C5549" s="23" t="s">
        <v>176</v>
      </c>
      <c r="D5549" s="23" t="s">
        <v>125</v>
      </c>
      <c r="E5549" s="23" t="s">
        <v>126</v>
      </c>
      <c r="F5549">
        <v>10.62</v>
      </c>
      <c r="G5549" s="23" t="s">
        <v>186</v>
      </c>
      <c r="H5549">
        <v>10.62</v>
      </c>
      <c r="I5549">
        <v>0</v>
      </c>
      <c r="J5549" s="10">
        <v>297.61000000000013</v>
      </c>
      <c r="K55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549">
        <v>0</v>
      </c>
      <c r="M55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549">
        <v>136.18</v>
      </c>
      <c r="O5549" s="23" t="s">
        <v>254</v>
      </c>
      <c r="P5549">
        <v>1446.2316000000001</v>
      </c>
      <c r="Q5549" s="23" t="s">
        <v>184</v>
      </c>
    </row>
    <row r="5550" spans="1:17" x14ac:dyDescent="0.25">
      <c r="A5550" s="23" t="s">
        <v>1055</v>
      </c>
      <c r="B5550" s="23" t="s">
        <v>1056</v>
      </c>
      <c r="C5550" s="23" t="s">
        <v>176</v>
      </c>
      <c r="D5550" s="23" t="s">
        <v>581</v>
      </c>
      <c r="E5550" s="23" t="s">
        <v>582</v>
      </c>
      <c r="F5550">
        <v>17.8</v>
      </c>
      <c r="G5550" s="23" t="s">
        <v>186</v>
      </c>
      <c r="H5550">
        <v>17.8</v>
      </c>
      <c r="I5550">
        <v>140</v>
      </c>
      <c r="J5550" s="10">
        <v>139.95999999999989</v>
      </c>
      <c r="K55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550">
        <v>80</v>
      </c>
      <c r="M55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0">
        <v>164.09</v>
      </c>
      <c r="O5550" s="23" t="s">
        <v>491</v>
      </c>
      <c r="P5550">
        <v>2920.8020000000001</v>
      </c>
      <c r="Q5550" s="23" t="s">
        <v>184</v>
      </c>
    </row>
    <row r="5551" spans="1:17" x14ac:dyDescent="0.25">
      <c r="A5551" s="23" t="s">
        <v>1144</v>
      </c>
      <c r="B5551" s="23" t="s">
        <v>1145</v>
      </c>
      <c r="C5551" s="23" t="s">
        <v>176</v>
      </c>
      <c r="D5551" s="23" t="s">
        <v>281</v>
      </c>
      <c r="E5551" s="23" t="s">
        <v>319</v>
      </c>
      <c r="F5551">
        <v>1</v>
      </c>
      <c r="G5551" s="23" t="s">
        <v>177</v>
      </c>
      <c r="H5551">
        <v>1</v>
      </c>
      <c r="I5551">
        <v>27</v>
      </c>
      <c r="J5551" s="10">
        <v>4</v>
      </c>
      <c r="K55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51">
        <v>0</v>
      </c>
      <c r="M55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1">
        <v>290.62</v>
      </c>
      <c r="O5551" s="23" t="s">
        <v>637</v>
      </c>
      <c r="P5551">
        <v>290.62</v>
      </c>
      <c r="Q5551" s="23" t="s">
        <v>179</v>
      </c>
    </row>
    <row r="5552" spans="1:17" x14ac:dyDescent="0.25">
      <c r="A5552" s="23" t="s">
        <v>1147</v>
      </c>
      <c r="B5552" s="23" t="s">
        <v>1145</v>
      </c>
      <c r="C5552" s="23" t="s">
        <v>176</v>
      </c>
      <c r="D5552" s="23" t="s">
        <v>278</v>
      </c>
      <c r="E5552" s="23" t="s">
        <v>316</v>
      </c>
      <c r="F5552">
        <v>1</v>
      </c>
      <c r="G5552" s="23" t="s">
        <v>177</v>
      </c>
      <c r="H5552">
        <v>0</v>
      </c>
      <c r="I5552">
        <v>28</v>
      </c>
      <c r="J5552" s="10">
        <v>4</v>
      </c>
      <c r="K55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552">
        <v>0</v>
      </c>
      <c r="M55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2">
        <v>290.62</v>
      </c>
      <c r="O5552" s="23" t="s">
        <v>637</v>
      </c>
      <c r="P5552">
        <v>290.62</v>
      </c>
      <c r="Q5552" s="23" t="s">
        <v>179</v>
      </c>
    </row>
    <row r="5553" spans="1:17" x14ac:dyDescent="0.25">
      <c r="A5553" s="23" t="s">
        <v>1094</v>
      </c>
      <c r="B5553" s="23" t="s">
        <v>1095</v>
      </c>
      <c r="C5553" s="23" t="s">
        <v>176</v>
      </c>
      <c r="D5553" s="23" t="s">
        <v>561</v>
      </c>
      <c r="E5553" s="23" t="s">
        <v>562</v>
      </c>
      <c r="F5553">
        <v>1.5</v>
      </c>
      <c r="G5553" s="23" t="s">
        <v>177</v>
      </c>
      <c r="H5553">
        <v>0</v>
      </c>
      <c r="I5553">
        <v>272</v>
      </c>
      <c r="J5553" s="10">
        <v>4.3</v>
      </c>
      <c r="K55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553">
        <v>0</v>
      </c>
      <c r="M55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3">
        <v>30</v>
      </c>
      <c r="O5553" s="23" t="s">
        <v>242</v>
      </c>
      <c r="P5553">
        <v>45</v>
      </c>
      <c r="Q5553" s="23" t="s">
        <v>181</v>
      </c>
    </row>
    <row r="5554" spans="1:17" x14ac:dyDescent="0.25">
      <c r="A5554" s="23" t="s">
        <v>1062</v>
      </c>
      <c r="B5554" s="23" t="s">
        <v>1053</v>
      </c>
      <c r="C5554" s="23" t="s">
        <v>176</v>
      </c>
      <c r="D5554" s="23" t="s">
        <v>529</v>
      </c>
      <c r="E5554" s="23" t="s">
        <v>530</v>
      </c>
      <c r="F5554">
        <v>21</v>
      </c>
      <c r="G5554" s="23" t="s">
        <v>177</v>
      </c>
      <c r="H5554">
        <v>0</v>
      </c>
      <c r="I5554">
        <v>1800</v>
      </c>
      <c r="J5554" s="10">
        <v>773</v>
      </c>
      <c r="K55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5554">
        <v>0</v>
      </c>
      <c r="M55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4">
        <v>0.8</v>
      </c>
      <c r="O5554" s="23" t="s">
        <v>242</v>
      </c>
      <c r="P5554">
        <v>16.8</v>
      </c>
      <c r="Q5554" s="23" t="s">
        <v>181</v>
      </c>
    </row>
    <row r="5555" spans="1:17" x14ac:dyDescent="0.25">
      <c r="A5555" s="23" t="s">
        <v>1062</v>
      </c>
      <c r="B5555" s="23" t="s">
        <v>1053</v>
      </c>
      <c r="C5555" s="23" t="s">
        <v>176</v>
      </c>
      <c r="D5555" s="23" t="s">
        <v>64</v>
      </c>
      <c r="E5555" s="23" t="s">
        <v>65</v>
      </c>
      <c r="F5555">
        <v>2</v>
      </c>
      <c r="G5555" s="23" t="s">
        <v>177</v>
      </c>
      <c r="H5555">
        <v>2</v>
      </c>
      <c r="I5555">
        <v>38</v>
      </c>
      <c r="J5555" s="10">
        <v>10</v>
      </c>
      <c r="K55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</v>
      </c>
      <c r="L5555">
        <v>0</v>
      </c>
      <c r="M55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5">
        <v>95</v>
      </c>
      <c r="O5555" s="23" t="s">
        <v>218</v>
      </c>
      <c r="P5555">
        <v>190</v>
      </c>
      <c r="Q5555" s="23" t="s">
        <v>181</v>
      </c>
    </row>
    <row r="5556" spans="1:17" x14ac:dyDescent="0.25">
      <c r="A5556" s="23" t="s">
        <v>1100</v>
      </c>
      <c r="B5556" s="23" t="s">
        <v>1101</v>
      </c>
      <c r="C5556" s="23" t="s">
        <v>176</v>
      </c>
      <c r="D5556" s="23" t="s">
        <v>581</v>
      </c>
      <c r="E5556" s="23" t="s">
        <v>582</v>
      </c>
      <c r="F5556">
        <v>23.71</v>
      </c>
      <c r="G5556" s="23" t="s">
        <v>186</v>
      </c>
      <c r="H5556">
        <v>23.71</v>
      </c>
      <c r="I5556">
        <v>140</v>
      </c>
      <c r="J5556" s="10">
        <v>139.95999999999989</v>
      </c>
      <c r="K55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556">
        <v>80</v>
      </c>
      <c r="M55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6">
        <v>164.09</v>
      </c>
      <c r="O5556" s="23" t="s">
        <v>491</v>
      </c>
      <c r="P5556">
        <v>3890.5739000000003</v>
      </c>
      <c r="Q5556" s="23" t="s">
        <v>184</v>
      </c>
    </row>
    <row r="5557" spans="1:17" x14ac:dyDescent="0.25">
      <c r="A5557" s="23" t="s">
        <v>1057</v>
      </c>
      <c r="B5557" s="23" t="s">
        <v>1056</v>
      </c>
      <c r="C5557" s="23" t="s">
        <v>176</v>
      </c>
      <c r="D5557" s="23" t="s">
        <v>709</v>
      </c>
      <c r="E5557" s="23" t="s">
        <v>710</v>
      </c>
      <c r="F5557">
        <v>3</v>
      </c>
      <c r="G5557" s="23" t="s">
        <v>180</v>
      </c>
      <c r="H5557">
        <v>3</v>
      </c>
      <c r="I5557">
        <v>400</v>
      </c>
      <c r="J5557" s="10">
        <v>32</v>
      </c>
      <c r="K55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-397</v>
      </c>
      <c r="L5557">
        <v>0</v>
      </c>
      <c r="M55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7">
        <v>11.5</v>
      </c>
      <c r="O5557" s="23" t="s">
        <v>636</v>
      </c>
      <c r="P5557">
        <v>34.5</v>
      </c>
      <c r="Q5557" s="23" t="s">
        <v>222</v>
      </c>
    </row>
    <row r="5558" spans="1:17" x14ac:dyDescent="0.25">
      <c r="A5558" s="23" t="s">
        <v>1098</v>
      </c>
      <c r="B5558" s="23" t="s">
        <v>1053</v>
      </c>
      <c r="C5558" s="23" t="s">
        <v>176</v>
      </c>
      <c r="D5558" s="23" t="s">
        <v>561</v>
      </c>
      <c r="E5558" s="23" t="s">
        <v>562</v>
      </c>
      <c r="F5558">
        <v>3.5</v>
      </c>
      <c r="G5558" s="23" t="s">
        <v>177</v>
      </c>
      <c r="H5558">
        <v>0</v>
      </c>
      <c r="I5558">
        <v>272</v>
      </c>
      <c r="J5558" s="10">
        <v>4.3</v>
      </c>
      <c r="K55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-233.2</v>
      </c>
      <c r="L5558">
        <v>0</v>
      </c>
      <c r="M55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8">
        <v>30</v>
      </c>
      <c r="O5558" s="23" t="s">
        <v>242</v>
      </c>
      <c r="P5558">
        <v>105</v>
      </c>
      <c r="Q5558" s="23" t="s">
        <v>181</v>
      </c>
    </row>
    <row r="5559" spans="1:17" x14ac:dyDescent="0.25">
      <c r="A5559" s="23" t="s">
        <v>1142</v>
      </c>
      <c r="B5559" s="23" t="s">
        <v>1054</v>
      </c>
      <c r="C5559" s="23" t="s">
        <v>176</v>
      </c>
      <c r="D5559" s="23" t="s">
        <v>700</v>
      </c>
      <c r="E5559" s="23" t="s">
        <v>701</v>
      </c>
      <c r="F5559">
        <v>1</v>
      </c>
      <c r="G5559" s="23" t="s">
        <v>177</v>
      </c>
      <c r="H5559">
        <v>0</v>
      </c>
      <c r="I5559">
        <v>136</v>
      </c>
      <c r="J5559" s="10">
        <v>6</v>
      </c>
      <c r="K55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5559">
        <v>0</v>
      </c>
      <c r="M55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59">
        <v>39.6</v>
      </c>
      <c r="O5559" s="23" t="s">
        <v>221</v>
      </c>
      <c r="P5559">
        <v>39.6</v>
      </c>
      <c r="Q5559" s="23" t="s">
        <v>222</v>
      </c>
    </row>
    <row r="5560" spans="1:17" x14ac:dyDescent="0.25">
      <c r="A5560" s="23" t="s">
        <v>1142</v>
      </c>
      <c r="B5560" s="23" t="s">
        <v>1054</v>
      </c>
      <c r="C5560" s="23" t="s">
        <v>176</v>
      </c>
      <c r="D5560" s="23" t="s">
        <v>581</v>
      </c>
      <c r="E5560" s="23" t="s">
        <v>582</v>
      </c>
      <c r="F5560">
        <v>18.8</v>
      </c>
      <c r="G5560" s="23" t="s">
        <v>186</v>
      </c>
      <c r="H5560">
        <v>0</v>
      </c>
      <c r="I5560">
        <v>140</v>
      </c>
      <c r="J5560" s="10">
        <v>139.95999999999989</v>
      </c>
      <c r="K55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560">
        <v>80</v>
      </c>
      <c r="M55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0">
        <v>164.09</v>
      </c>
      <c r="O5560" s="23" t="s">
        <v>491</v>
      </c>
      <c r="P5560">
        <v>3084.8920000000003</v>
      </c>
      <c r="Q5560" s="23" t="s">
        <v>184</v>
      </c>
    </row>
    <row r="5561" spans="1:17" x14ac:dyDescent="0.25">
      <c r="A5561" s="23" t="s">
        <v>1142</v>
      </c>
      <c r="B5561" s="23" t="s">
        <v>1054</v>
      </c>
      <c r="C5561" s="23" t="s">
        <v>176</v>
      </c>
      <c r="D5561" s="23" t="s">
        <v>1077</v>
      </c>
      <c r="E5561" s="23" t="s">
        <v>1078</v>
      </c>
      <c r="F5561">
        <v>1</v>
      </c>
      <c r="G5561" s="23" t="s">
        <v>177</v>
      </c>
      <c r="H5561">
        <v>0</v>
      </c>
      <c r="I5561">
        <v>4</v>
      </c>
      <c r="J5561" s="10">
        <v>7</v>
      </c>
      <c r="K55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61">
        <v>10</v>
      </c>
      <c r="M55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1">
        <v>3097.63</v>
      </c>
      <c r="O5561" s="23" t="s">
        <v>593</v>
      </c>
      <c r="P5561">
        <v>3097.63</v>
      </c>
      <c r="Q5561" s="23" t="s">
        <v>179</v>
      </c>
    </row>
    <row r="5562" spans="1:17" x14ac:dyDescent="0.25">
      <c r="A5562" s="23" t="s">
        <v>1142</v>
      </c>
      <c r="B5562" s="23" t="s">
        <v>1054</v>
      </c>
      <c r="C5562" s="23" t="s">
        <v>176</v>
      </c>
      <c r="D5562" s="23" t="s">
        <v>731</v>
      </c>
      <c r="E5562" s="23" t="s">
        <v>732</v>
      </c>
      <c r="F5562">
        <v>2</v>
      </c>
      <c r="G5562" s="23" t="s">
        <v>177</v>
      </c>
      <c r="H5562">
        <v>0</v>
      </c>
      <c r="I5562">
        <v>265</v>
      </c>
      <c r="J5562" s="10">
        <v>94</v>
      </c>
      <c r="K55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-249</v>
      </c>
      <c r="L5562">
        <v>0</v>
      </c>
      <c r="M55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2">
        <v>4</v>
      </c>
      <c r="O5562" s="23" t="s">
        <v>221</v>
      </c>
      <c r="P5562">
        <v>8</v>
      </c>
      <c r="Q5562" s="23" t="s">
        <v>222</v>
      </c>
    </row>
    <row r="5563" spans="1:17" x14ac:dyDescent="0.25">
      <c r="A5563" s="23" t="s">
        <v>1149</v>
      </c>
      <c r="B5563" s="23" t="s">
        <v>1145</v>
      </c>
      <c r="C5563" s="23" t="s">
        <v>176</v>
      </c>
      <c r="D5563" s="23" t="s">
        <v>727</v>
      </c>
      <c r="E5563" s="23" t="s">
        <v>728</v>
      </c>
      <c r="F5563">
        <v>1</v>
      </c>
      <c r="G5563" s="23" t="s">
        <v>177</v>
      </c>
      <c r="H5563">
        <v>0</v>
      </c>
      <c r="I5563">
        <v>5</v>
      </c>
      <c r="J5563" s="10">
        <v>5</v>
      </c>
      <c r="K55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63">
        <v>0</v>
      </c>
      <c r="M55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563">
        <v>10899.55</v>
      </c>
      <c r="O5563" s="23" t="s">
        <v>635</v>
      </c>
      <c r="P5563">
        <v>10899.55</v>
      </c>
      <c r="Q5563" s="23" t="s">
        <v>179</v>
      </c>
    </row>
    <row r="5564" spans="1:17" x14ac:dyDescent="0.25">
      <c r="A5564" s="23" t="s">
        <v>1058</v>
      </c>
      <c r="B5564" s="23" t="s">
        <v>1059</v>
      </c>
      <c r="C5564" s="23" t="s">
        <v>176</v>
      </c>
      <c r="D5564" s="23" t="s">
        <v>26</v>
      </c>
      <c r="E5564" s="23" t="s">
        <v>27</v>
      </c>
      <c r="F5564">
        <v>1</v>
      </c>
      <c r="G5564" s="23" t="s">
        <v>177</v>
      </c>
      <c r="H5564">
        <v>1</v>
      </c>
      <c r="I5564">
        <v>24</v>
      </c>
      <c r="J5564" s="10">
        <v>4</v>
      </c>
      <c r="K55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564">
        <v>0</v>
      </c>
      <c r="M55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4">
        <v>625</v>
      </c>
      <c r="O5564" s="23" t="s">
        <v>227</v>
      </c>
      <c r="P5564">
        <v>625</v>
      </c>
      <c r="Q5564" s="23" t="s">
        <v>181</v>
      </c>
    </row>
    <row r="5565" spans="1:17" x14ac:dyDescent="0.25">
      <c r="A5565" s="23" t="s">
        <v>1057</v>
      </c>
      <c r="B5565" s="23" t="s">
        <v>1056</v>
      </c>
      <c r="C5565" s="23" t="s">
        <v>176</v>
      </c>
      <c r="D5565" s="23" t="s">
        <v>452</v>
      </c>
      <c r="E5565" s="23" t="s">
        <v>453</v>
      </c>
      <c r="F5565">
        <v>1</v>
      </c>
      <c r="G5565" s="23" t="s">
        <v>177</v>
      </c>
      <c r="H5565">
        <v>1</v>
      </c>
      <c r="I5565">
        <v>6</v>
      </c>
      <c r="J5565" s="10">
        <v>7</v>
      </c>
      <c r="K55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65">
        <v>6</v>
      </c>
      <c r="M55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5565">
        <v>1600</v>
      </c>
      <c r="O5565" s="23" t="s">
        <v>242</v>
      </c>
      <c r="P5565">
        <v>1600</v>
      </c>
      <c r="Q5565" s="23" t="s">
        <v>179</v>
      </c>
    </row>
    <row r="5566" spans="1:17" x14ac:dyDescent="0.25">
      <c r="A5566" s="23" t="s">
        <v>1096</v>
      </c>
      <c r="B5566" s="23" t="s">
        <v>1053</v>
      </c>
      <c r="C5566" s="23" t="s">
        <v>176</v>
      </c>
      <c r="D5566" s="23" t="s">
        <v>506</v>
      </c>
      <c r="E5566" s="23" t="s">
        <v>507</v>
      </c>
      <c r="F5566">
        <v>1</v>
      </c>
      <c r="G5566" s="23" t="s">
        <v>177</v>
      </c>
      <c r="H5566">
        <v>1</v>
      </c>
      <c r="I5566">
        <v>8</v>
      </c>
      <c r="J5566" s="10">
        <v>9</v>
      </c>
      <c r="K55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566">
        <v>36</v>
      </c>
      <c r="M55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6">
        <v>101.4</v>
      </c>
      <c r="O5566" s="23" t="s">
        <v>1065</v>
      </c>
      <c r="P5566">
        <v>101.4</v>
      </c>
      <c r="Q5566" s="23" t="s">
        <v>222</v>
      </c>
    </row>
    <row r="5567" spans="1:17" x14ac:dyDescent="0.25">
      <c r="A5567" s="23" t="s">
        <v>1097</v>
      </c>
      <c r="B5567" s="23" t="s">
        <v>1095</v>
      </c>
      <c r="C5567" s="23" t="s">
        <v>176</v>
      </c>
      <c r="D5567" s="23" t="s">
        <v>470</v>
      </c>
      <c r="E5567" s="23" t="s">
        <v>471</v>
      </c>
      <c r="F5567">
        <v>1</v>
      </c>
      <c r="G5567" s="23" t="s">
        <v>177</v>
      </c>
      <c r="H5567">
        <v>0</v>
      </c>
      <c r="I5567">
        <v>39</v>
      </c>
      <c r="J5567" s="10">
        <v>2</v>
      </c>
      <c r="K55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</v>
      </c>
      <c r="L5567">
        <v>0</v>
      </c>
      <c r="M55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7">
        <v>65</v>
      </c>
      <c r="O5567" s="23" t="s">
        <v>822</v>
      </c>
      <c r="P5567">
        <v>65</v>
      </c>
      <c r="Q5567" s="23" t="s">
        <v>179</v>
      </c>
    </row>
    <row r="5568" spans="1:17" x14ac:dyDescent="0.25">
      <c r="A5568" s="23" t="s">
        <v>1057</v>
      </c>
      <c r="B5568" s="23" t="s">
        <v>1056</v>
      </c>
      <c r="C5568" s="23" t="s">
        <v>176</v>
      </c>
      <c r="D5568" s="23" t="s">
        <v>19</v>
      </c>
      <c r="E5568" s="23" t="s">
        <v>20</v>
      </c>
      <c r="F5568">
        <v>4</v>
      </c>
      <c r="G5568" s="23" t="s">
        <v>177</v>
      </c>
      <c r="H5568">
        <v>4</v>
      </c>
      <c r="I5568">
        <v>13</v>
      </c>
      <c r="J5568" s="10">
        <v>22</v>
      </c>
      <c r="K55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568">
        <v>30</v>
      </c>
      <c r="M55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8">
        <v>122.1</v>
      </c>
      <c r="O5568" s="23" t="s">
        <v>228</v>
      </c>
      <c r="P5568">
        <v>488.4</v>
      </c>
      <c r="Q5568" s="23" t="s">
        <v>222</v>
      </c>
    </row>
    <row r="5569" spans="1:17" x14ac:dyDescent="0.25">
      <c r="A5569" s="23" t="s">
        <v>1096</v>
      </c>
      <c r="B5569" s="23" t="s">
        <v>1053</v>
      </c>
      <c r="C5569" s="23" t="s">
        <v>176</v>
      </c>
      <c r="D5569" s="23" t="s">
        <v>1073</v>
      </c>
      <c r="E5569" s="23" t="s">
        <v>1074</v>
      </c>
      <c r="F5569">
        <v>2</v>
      </c>
      <c r="G5569" s="23" t="s">
        <v>177</v>
      </c>
      <c r="H5569">
        <v>2</v>
      </c>
      <c r="I5569">
        <v>0</v>
      </c>
      <c r="J5569" s="10">
        <v>4</v>
      </c>
      <c r="K55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569">
        <v>0</v>
      </c>
      <c r="M55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69">
        <v>4532</v>
      </c>
      <c r="O5569" s="23" t="s">
        <v>648</v>
      </c>
      <c r="P5569">
        <v>9064</v>
      </c>
      <c r="Q5569" s="23" t="s">
        <v>178</v>
      </c>
    </row>
    <row r="5570" spans="1:17" x14ac:dyDescent="0.25">
      <c r="A5570" s="23" t="s">
        <v>1058</v>
      </c>
      <c r="B5570" s="23" t="s">
        <v>1059</v>
      </c>
      <c r="C5570" s="23" t="s">
        <v>176</v>
      </c>
      <c r="D5570" s="23" t="s">
        <v>727</v>
      </c>
      <c r="E5570" s="23" t="s">
        <v>728</v>
      </c>
      <c r="F5570">
        <v>1</v>
      </c>
      <c r="G5570" s="23" t="s">
        <v>177</v>
      </c>
      <c r="H5570">
        <v>1</v>
      </c>
      <c r="I5570">
        <v>5</v>
      </c>
      <c r="J5570" s="10">
        <v>5</v>
      </c>
      <c r="K55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570">
        <v>0</v>
      </c>
      <c r="M55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54497.75</v>
      </c>
      <c r="N5570">
        <v>10899.55</v>
      </c>
      <c r="O5570" s="23" t="s">
        <v>635</v>
      </c>
      <c r="P5570">
        <v>10899.55</v>
      </c>
      <c r="Q5570" s="23" t="s">
        <v>179</v>
      </c>
    </row>
    <row r="5571" spans="1:17" x14ac:dyDescent="0.25">
      <c r="A5571" s="23" t="s">
        <v>1099</v>
      </c>
      <c r="B5571" s="23" t="s">
        <v>1056</v>
      </c>
      <c r="C5571" s="23" t="s">
        <v>176</v>
      </c>
      <c r="D5571" s="23" t="s">
        <v>26</v>
      </c>
      <c r="E5571" s="23" t="s">
        <v>27</v>
      </c>
      <c r="F5571">
        <v>1</v>
      </c>
      <c r="G5571" s="23" t="s">
        <v>177</v>
      </c>
      <c r="H5571">
        <v>1</v>
      </c>
      <c r="I5571">
        <v>24</v>
      </c>
      <c r="J5571" s="10">
        <v>4</v>
      </c>
      <c r="K55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571">
        <v>0</v>
      </c>
      <c r="M55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1">
        <v>625</v>
      </c>
      <c r="O5571" s="23" t="s">
        <v>227</v>
      </c>
      <c r="P5571">
        <v>625</v>
      </c>
      <c r="Q5571" s="23" t="s">
        <v>181</v>
      </c>
    </row>
    <row r="5572" spans="1:17" x14ac:dyDescent="0.25">
      <c r="A5572" s="23" t="s">
        <v>1062</v>
      </c>
      <c r="B5572" s="23" t="s">
        <v>1053</v>
      </c>
      <c r="C5572" s="23" t="s">
        <v>176</v>
      </c>
      <c r="D5572" s="23" t="s">
        <v>591</v>
      </c>
      <c r="E5572" s="23" t="s">
        <v>592</v>
      </c>
      <c r="F5572">
        <v>1</v>
      </c>
      <c r="G5572" s="23" t="s">
        <v>177</v>
      </c>
      <c r="H5572">
        <v>1</v>
      </c>
      <c r="I5572">
        <v>6</v>
      </c>
      <c r="J5572" s="10">
        <v>8</v>
      </c>
      <c r="K55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572">
        <v>10</v>
      </c>
      <c r="M55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2">
        <v>583.77</v>
      </c>
      <c r="O5572" s="23" t="s">
        <v>593</v>
      </c>
      <c r="P5572">
        <v>583.77</v>
      </c>
      <c r="Q5572" s="23" t="s">
        <v>181</v>
      </c>
    </row>
    <row r="5573" spans="1:17" x14ac:dyDescent="0.25">
      <c r="A5573" s="23" t="s">
        <v>1062</v>
      </c>
      <c r="B5573" s="23" t="s">
        <v>1053</v>
      </c>
      <c r="C5573" s="23" t="s">
        <v>176</v>
      </c>
      <c r="D5573" s="23" t="s">
        <v>1073</v>
      </c>
      <c r="E5573" s="23" t="s">
        <v>1074</v>
      </c>
      <c r="F5573">
        <v>2</v>
      </c>
      <c r="G5573" s="23" t="s">
        <v>177</v>
      </c>
      <c r="H5573">
        <v>2</v>
      </c>
      <c r="I5573">
        <v>0</v>
      </c>
      <c r="J5573" s="10">
        <v>4</v>
      </c>
      <c r="K55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573">
        <v>0</v>
      </c>
      <c r="M55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3">
        <v>4532</v>
      </c>
      <c r="O5573" s="23" t="s">
        <v>648</v>
      </c>
      <c r="P5573">
        <v>9064</v>
      </c>
      <c r="Q5573" s="23" t="s">
        <v>178</v>
      </c>
    </row>
    <row r="5574" spans="1:17" x14ac:dyDescent="0.25">
      <c r="A5574" s="23" t="s">
        <v>1062</v>
      </c>
      <c r="B5574" s="23" t="s">
        <v>1053</v>
      </c>
      <c r="C5574" s="23" t="s">
        <v>176</v>
      </c>
      <c r="D5574" s="23" t="s">
        <v>737</v>
      </c>
      <c r="E5574" s="23" t="s">
        <v>738</v>
      </c>
      <c r="F5574">
        <v>1</v>
      </c>
      <c r="G5574" s="23" t="s">
        <v>177</v>
      </c>
      <c r="H5574">
        <v>1</v>
      </c>
      <c r="I5574">
        <v>14</v>
      </c>
      <c r="J5574" s="10">
        <v>15</v>
      </c>
      <c r="K55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574">
        <v>0</v>
      </c>
      <c r="M55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4">
        <v>400</v>
      </c>
      <c r="O5574" s="23" t="s">
        <v>668</v>
      </c>
      <c r="P5574">
        <v>400</v>
      </c>
      <c r="Q5574" s="23" t="s">
        <v>178</v>
      </c>
    </row>
    <row r="5575" spans="1:17" x14ac:dyDescent="0.25">
      <c r="A5575" s="23" t="s">
        <v>1099</v>
      </c>
      <c r="B5575" s="23" t="s">
        <v>1056</v>
      </c>
      <c r="C5575" s="23" t="s">
        <v>176</v>
      </c>
      <c r="D5575" s="23" t="s">
        <v>337</v>
      </c>
      <c r="E5575" s="23" t="s">
        <v>624</v>
      </c>
      <c r="F5575">
        <v>1</v>
      </c>
      <c r="G5575" s="23" t="s">
        <v>177</v>
      </c>
      <c r="H5575">
        <v>1</v>
      </c>
      <c r="I5575">
        <v>5</v>
      </c>
      <c r="J5575" s="10">
        <v>4</v>
      </c>
      <c r="K55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75">
        <v>0</v>
      </c>
      <c r="M55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5575">
        <v>1678.88</v>
      </c>
      <c r="O5575" s="23" t="s">
        <v>637</v>
      </c>
      <c r="P5575">
        <v>1678.88</v>
      </c>
      <c r="Q5575" s="23" t="s">
        <v>179</v>
      </c>
    </row>
    <row r="5576" spans="1:17" x14ac:dyDescent="0.25">
      <c r="A5576" s="23" t="s">
        <v>1144</v>
      </c>
      <c r="B5576" s="23" t="s">
        <v>1145</v>
      </c>
      <c r="C5576" s="23" t="s">
        <v>176</v>
      </c>
      <c r="D5576" s="23" t="s">
        <v>337</v>
      </c>
      <c r="E5576" s="23" t="s">
        <v>624</v>
      </c>
      <c r="F5576">
        <v>1</v>
      </c>
      <c r="G5576" s="23" t="s">
        <v>177</v>
      </c>
      <c r="H5576">
        <v>1</v>
      </c>
      <c r="I5576">
        <v>5</v>
      </c>
      <c r="J5576" s="10">
        <v>4</v>
      </c>
      <c r="K55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76">
        <v>0</v>
      </c>
      <c r="M55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5576">
        <v>1678.88</v>
      </c>
      <c r="O5576" s="23" t="s">
        <v>637</v>
      </c>
      <c r="P5576">
        <v>1678.88</v>
      </c>
      <c r="Q5576" s="23" t="s">
        <v>179</v>
      </c>
    </row>
    <row r="5577" spans="1:17" x14ac:dyDescent="0.25">
      <c r="A5577" s="23" t="s">
        <v>1062</v>
      </c>
      <c r="B5577" s="23" t="s">
        <v>1053</v>
      </c>
      <c r="C5577" s="23" t="s">
        <v>176</v>
      </c>
      <c r="D5577" s="23" t="s">
        <v>452</v>
      </c>
      <c r="E5577" s="23" t="s">
        <v>453</v>
      </c>
      <c r="F5577">
        <v>1</v>
      </c>
      <c r="G5577" s="23" t="s">
        <v>177</v>
      </c>
      <c r="H5577">
        <v>1</v>
      </c>
      <c r="I5577">
        <v>6</v>
      </c>
      <c r="J5577" s="10">
        <v>7</v>
      </c>
      <c r="K55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577">
        <v>6</v>
      </c>
      <c r="M55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5577">
        <v>1600</v>
      </c>
      <c r="O5577" s="23" t="s">
        <v>242</v>
      </c>
      <c r="P5577">
        <v>1600</v>
      </c>
      <c r="Q5577" s="23" t="s">
        <v>179</v>
      </c>
    </row>
    <row r="5578" spans="1:17" x14ac:dyDescent="0.25">
      <c r="A5578" s="23" t="s">
        <v>1062</v>
      </c>
      <c r="B5578" s="23" t="s">
        <v>1053</v>
      </c>
      <c r="C5578" s="23" t="s">
        <v>176</v>
      </c>
      <c r="D5578" s="23" t="s">
        <v>405</v>
      </c>
      <c r="E5578" s="23" t="s">
        <v>406</v>
      </c>
      <c r="F5578">
        <v>5</v>
      </c>
      <c r="G5578" s="23" t="s">
        <v>177</v>
      </c>
      <c r="H5578">
        <v>5</v>
      </c>
      <c r="I5578">
        <v>234</v>
      </c>
      <c r="J5578" s="10">
        <v>30</v>
      </c>
      <c r="K55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-169</v>
      </c>
      <c r="L5578">
        <v>0</v>
      </c>
      <c r="M55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78">
        <v>15.21</v>
      </c>
      <c r="O5578" s="23" t="s">
        <v>827</v>
      </c>
      <c r="P5578">
        <v>76.050000000000011</v>
      </c>
      <c r="Q5578" s="23" t="s">
        <v>222</v>
      </c>
    </row>
    <row r="5579" spans="1:17" x14ac:dyDescent="0.25">
      <c r="A5579" s="23" t="s">
        <v>1062</v>
      </c>
      <c r="B5579" s="23" t="s">
        <v>1053</v>
      </c>
      <c r="C5579" s="23" t="s">
        <v>176</v>
      </c>
      <c r="D5579" s="23" t="s">
        <v>587</v>
      </c>
      <c r="E5579" s="23" t="s">
        <v>588</v>
      </c>
      <c r="F5579">
        <v>1</v>
      </c>
      <c r="G5579" s="23" t="s">
        <v>177</v>
      </c>
      <c r="H5579">
        <v>0</v>
      </c>
      <c r="I5579">
        <v>0</v>
      </c>
      <c r="J5579" s="10">
        <v>0</v>
      </c>
      <c r="K55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579">
        <v>0</v>
      </c>
      <c r="M55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540</v>
      </c>
      <c r="N5579">
        <v>60</v>
      </c>
      <c r="O5579" s="23" t="s">
        <v>429</v>
      </c>
      <c r="P5579">
        <v>60</v>
      </c>
      <c r="Q5579" s="23" t="s">
        <v>178</v>
      </c>
    </row>
    <row r="5580" spans="1:17" x14ac:dyDescent="0.25">
      <c r="A5580" s="23" t="s">
        <v>1098</v>
      </c>
      <c r="B5580" s="23" t="s">
        <v>1053</v>
      </c>
      <c r="C5580" s="23" t="s">
        <v>176</v>
      </c>
      <c r="D5580" s="23" t="s">
        <v>476</v>
      </c>
      <c r="E5580" s="23" t="s">
        <v>477</v>
      </c>
      <c r="F5580">
        <v>2</v>
      </c>
      <c r="G5580" s="23" t="s">
        <v>177</v>
      </c>
      <c r="H5580">
        <v>0</v>
      </c>
      <c r="I5580">
        <v>6</v>
      </c>
      <c r="J5580" s="10">
        <v>0</v>
      </c>
      <c r="K55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8.25</v>
      </c>
      <c r="L5580">
        <v>0</v>
      </c>
      <c r="M55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165</v>
      </c>
      <c r="N5580">
        <v>20</v>
      </c>
      <c r="O5580" s="23" t="s">
        <v>227</v>
      </c>
      <c r="P5580">
        <v>40</v>
      </c>
      <c r="Q5580" s="23" t="s">
        <v>181</v>
      </c>
    </row>
    <row r="5581" spans="1:17" x14ac:dyDescent="0.25">
      <c r="A5581" s="23" t="s">
        <v>1094</v>
      </c>
      <c r="B5581" s="23" t="s">
        <v>1095</v>
      </c>
      <c r="C5581" s="23" t="s">
        <v>176</v>
      </c>
      <c r="D5581" s="23" t="s">
        <v>1075</v>
      </c>
      <c r="E5581" s="23" t="s">
        <v>1076</v>
      </c>
      <c r="F5581">
        <v>1</v>
      </c>
      <c r="G5581" s="23" t="s">
        <v>177</v>
      </c>
      <c r="H5581">
        <v>0</v>
      </c>
      <c r="I5581">
        <v>0</v>
      </c>
      <c r="J5581" s="10">
        <v>0</v>
      </c>
      <c r="K55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581">
        <v>0</v>
      </c>
      <c r="M55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1">
        <v>0</v>
      </c>
      <c r="O5581" s="23"/>
      <c r="P5581">
        <v>0</v>
      </c>
      <c r="Q5581" s="23" t="s">
        <v>178</v>
      </c>
    </row>
    <row r="5582" spans="1:17" x14ac:dyDescent="0.25">
      <c r="A5582" s="23" t="s">
        <v>1150</v>
      </c>
      <c r="B5582" s="23" t="s">
        <v>1145</v>
      </c>
      <c r="C5582" s="23" t="s">
        <v>176</v>
      </c>
      <c r="D5582" s="23" t="s">
        <v>360</v>
      </c>
      <c r="E5582" s="23" t="s">
        <v>361</v>
      </c>
      <c r="F5582">
        <v>2</v>
      </c>
      <c r="G5582" s="23" t="s">
        <v>177</v>
      </c>
      <c r="H5582">
        <v>0</v>
      </c>
      <c r="I5582">
        <v>14472</v>
      </c>
      <c r="J5582" s="10">
        <v>3376</v>
      </c>
      <c r="K55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582">
        <v>0</v>
      </c>
      <c r="M55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2">
        <v>0.04</v>
      </c>
      <c r="O5582" s="23"/>
      <c r="P5582">
        <v>0.08</v>
      </c>
      <c r="Q5582" s="23" t="s">
        <v>181</v>
      </c>
    </row>
    <row r="5583" spans="1:17" x14ac:dyDescent="0.25">
      <c r="A5583" s="23" t="s">
        <v>1143</v>
      </c>
      <c r="B5583" s="23" t="s">
        <v>1054</v>
      </c>
      <c r="C5583" s="23" t="s">
        <v>176</v>
      </c>
      <c r="D5583" s="23" t="s">
        <v>360</v>
      </c>
      <c r="E5583" s="23" t="s">
        <v>361</v>
      </c>
      <c r="F5583">
        <v>2</v>
      </c>
      <c r="G5583" s="23" t="s">
        <v>177</v>
      </c>
      <c r="H5583">
        <v>0</v>
      </c>
      <c r="I5583">
        <v>14472</v>
      </c>
      <c r="J5583" s="10">
        <v>3376</v>
      </c>
      <c r="K55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583">
        <v>0</v>
      </c>
      <c r="M55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3">
        <v>0.04</v>
      </c>
      <c r="O5583" s="23"/>
      <c r="P5583">
        <v>0.08</v>
      </c>
      <c r="Q5583" s="23" t="s">
        <v>181</v>
      </c>
    </row>
    <row r="5584" spans="1:17" x14ac:dyDescent="0.25">
      <c r="A5584" s="23" t="s">
        <v>1057</v>
      </c>
      <c r="B5584" s="23" t="s">
        <v>1056</v>
      </c>
      <c r="C5584" s="23" t="s">
        <v>176</v>
      </c>
      <c r="D5584" s="23" t="s">
        <v>845</v>
      </c>
      <c r="E5584" s="23" t="s">
        <v>846</v>
      </c>
      <c r="F5584">
        <v>3</v>
      </c>
      <c r="G5584" s="23" t="s">
        <v>177</v>
      </c>
      <c r="H5584">
        <v>3</v>
      </c>
      <c r="I5584">
        <v>42</v>
      </c>
      <c r="J5584" s="10">
        <v>20</v>
      </c>
      <c r="K55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584">
        <v>0</v>
      </c>
      <c r="M55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584">
        <v>348.7</v>
      </c>
      <c r="O5584" s="23" t="s">
        <v>637</v>
      </c>
      <c r="P5584">
        <v>1046.0999999999999</v>
      </c>
      <c r="Q5584" s="23" t="s">
        <v>178</v>
      </c>
    </row>
    <row r="5585" spans="1:17" x14ac:dyDescent="0.25">
      <c r="A5585" s="23" t="s">
        <v>1057</v>
      </c>
      <c r="B5585" s="23" t="s">
        <v>1056</v>
      </c>
      <c r="C5585" s="23" t="s">
        <v>176</v>
      </c>
      <c r="D5585" s="23" t="s">
        <v>1033</v>
      </c>
      <c r="E5585" s="23" t="s">
        <v>1034</v>
      </c>
      <c r="F5585">
        <v>1</v>
      </c>
      <c r="G5585" s="23" t="s">
        <v>177</v>
      </c>
      <c r="H5585">
        <v>1</v>
      </c>
      <c r="I5585">
        <v>19</v>
      </c>
      <c r="J5585" s="10">
        <v>4</v>
      </c>
      <c r="K55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585">
        <v>0</v>
      </c>
      <c r="M55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5">
        <v>85</v>
      </c>
      <c r="O5585" s="23" t="s">
        <v>822</v>
      </c>
      <c r="P5585">
        <v>85</v>
      </c>
      <c r="Q5585" s="23" t="s">
        <v>179</v>
      </c>
    </row>
    <row r="5586" spans="1:17" x14ac:dyDescent="0.25">
      <c r="A5586" s="23" t="s">
        <v>1099</v>
      </c>
      <c r="B5586" s="23" t="s">
        <v>1056</v>
      </c>
      <c r="C5586" s="23" t="s">
        <v>176</v>
      </c>
      <c r="D5586" s="23" t="s">
        <v>280</v>
      </c>
      <c r="E5586" s="23" t="s">
        <v>318</v>
      </c>
      <c r="F5586">
        <v>1</v>
      </c>
      <c r="G5586" s="23" t="s">
        <v>177</v>
      </c>
      <c r="H5586">
        <v>1</v>
      </c>
      <c r="I5586">
        <v>27</v>
      </c>
      <c r="J5586" s="10">
        <v>4</v>
      </c>
      <c r="K55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86">
        <v>0</v>
      </c>
      <c r="M55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6">
        <v>287.01</v>
      </c>
      <c r="O5586" s="23" t="s">
        <v>637</v>
      </c>
      <c r="P5586">
        <v>287.01</v>
      </c>
      <c r="Q5586" s="23" t="s">
        <v>179</v>
      </c>
    </row>
    <row r="5587" spans="1:17" x14ac:dyDescent="0.25">
      <c r="A5587" s="23" t="s">
        <v>1058</v>
      </c>
      <c r="B5587" s="23" t="s">
        <v>1059</v>
      </c>
      <c r="C5587" s="23" t="s">
        <v>176</v>
      </c>
      <c r="D5587" s="23" t="s">
        <v>280</v>
      </c>
      <c r="E5587" s="23" t="s">
        <v>318</v>
      </c>
      <c r="F5587">
        <v>1</v>
      </c>
      <c r="G5587" s="23" t="s">
        <v>177</v>
      </c>
      <c r="H5587">
        <v>1</v>
      </c>
      <c r="I5587">
        <v>27</v>
      </c>
      <c r="J5587" s="10">
        <v>4</v>
      </c>
      <c r="K55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87">
        <v>0</v>
      </c>
      <c r="M55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7">
        <v>287.01</v>
      </c>
      <c r="O5587" s="23" t="s">
        <v>637</v>
      </c>
      <c r="P5587">
        <v>287.01</v>
      </c>
      <c r="Q5587" s="23" t="s">
        <v>179</v>
      </c>
    </row>
    <row r="5588" spans="1:17" x14ac:dyDescent="0.25">
      <c r="A5588" s="23" t="s">
        <v>1150</v>
      </c>
      <c r="B5588" s="23" t="s">
        <v>1145</v>
      </c>
      <c r="C5588" s="23" t="s">
        <v>176</v>
      </c>
      <c r="D5588" s="23" t="s">
        <v>280</v>
      </c>
      <c r="E5588" s="23" t="s">
        <v>318</v>
      </c>
      <c r="F5588">
        <v>1</v>
      </c>
      <c r="G5588" s="23" t="s">
        <v>177</v>
      </c>
      <c r="H5588">
        <v>1</v>
      </c>
      <c r="I5588">
        <v>27</v>
      </c>
      <c r="J5588" s="10">
        <v>4</v>
      </c>
      <c r="K55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</v>
      </c>
      <c r="L5588">
        <v>0</v>
      </c>
      <c r="M55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8">
        <v>287.01</v>
      </c>
      <c r="O5588" s="23" t="s">
        <v>637</v>
      </c>
      <c r="P5588">
        <v>287.01</v>
      </c>
      <c r="Q5588" s="23" t="s">
        <v>179</v>
      </c>
    </row>
    <row r="5589" spans="1:17" x14ac:dyDescent="0.25">
      <c r="A5589" s="23" t="s">
        <v>1099</v>
      </c>
      <c r="B5589" s="23" t="s">
        <v>1056</v>
      </c>
      <c r="C5589" s="23" t="s">
        <v>176</v>
      </c>
      <c r="D5589" s="23" t="s">
        <v>0</v>
      </c>
      <c r="E5589" s="23" t="s">
        <v>1</v>
      </c>
      <c r="F5589">
        <v>2</v>
      </c>
      <c r="G5589" s="23" t="s">
        <v>177</v>
      </c>
      <c r="H5589">
        <v>2</v>
      </c>
      <c r="I5589">
        <v>69</v>
      </c>
      <c r="J5589" s="10">
        <v>22</v>
      </c>
      <c r="K55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589">
        <v>0</v>
      </c>
      <c r="M55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89">
        <v>640</v>
      </c>
      <c r="O5589" s="23" t="s">
        <v>221</v>
      </c>
      <c r="P5589">
        <v>1280</v>
      </c>
      <c r="Q5589" s="23" t="s">
        <v>222</v>
      </c>
    </row>
    <row r="5590" spans="1:17" x14ac:dyDescent="0.25">
      <c r="A5590" s="23" t="s">
        <v>1094</v>
      </c>
      <c r="B5590" s="23" t="s">
        <v>1095</v>
      </c>
      <c r="C5590" s="23" t="s">
        <v>176</v>
      </c>
      <c r="D5590" s="23" t="s">
        <v>158</v>
      </c>
      <c r="E5590" s="23" t="s">
        <v>159</v>
      </c>
      <c r="F5590">
        <v>1</v>
      </c>
      <c r="G5590" s="23" t="s">
        <v>177</v>
      </c>
      <c r="H5590">
        <v>0</v>
      </c>
      <c r="I5590">
        <v>4</v>
      </c>
      <c r="J5590" s="10">
        <v>22</v>
      </c>
      <c r="K55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590">
        <v>20</v>
      </c>
      <c r="M55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0">
        <v>65</v>
      </c>
      <c r="O5590" s="23" t="s">
        <v>762</v>
      </c>
      <c r="P5590">
        <v>65</v>
      </c>
      <c r="Q5590" s="23" t="s">
        <v>179</v>
      </c>
    </row>
    <row r="5591" spans="1:17" x14ac:dyDescent="0.25">
      <c r="A5591" s="23" t="s">
        <v>1057</v>
      </c>
      <c r="B5591" s="23" t="s">
        <v>1056</v>
      </c>
      <c r="C5591" s="23" t="s">
        <v>176</v>
      </c>
      <c r="D5591" s="23" t="s">
        <v>360</v>
      </c>
      <c r="E5591" s="23" t="s">
        <v>361</v>
      </c>
      <c r="F5591">
        <v>18</v>
      </c>
      <c r="G5591" s="23" t="s">
        <v>177</v>
      </c>
      <c r="H5591">
        <v>0</v>
      </c>
      <c r="I5591">
        <v>14472</v>
      </c>
      <c r="J5591" s="10">
        <v>3376</v>
      </c>
      <c r="K55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-14340</v>
      </c>
      <c r="L5591">
        <v>0</v>
      </c>
      <c r="M55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1">
        <v>0.04</v>
      </c>
      <c r="O5591" s="23"/>
      <c r="P5591">
        <v>0.72</v>
      </c>
      <c r="Q5591" s="23" t="s">
        <v>181</v>
      </c>
    </row>
    <row r="5592" spans="1:17" x14ac:dyDescent="0.25">
      <c r="A5592" s="23" t="s">
        <v>1094</v>
      </c>
      <c r="B5592" s="23" t="s">
        <v>1095</v>
      </c>
      <c r="C5592" s="23" t="s">
        <v>176</v>
      </c>
      <c r="D5592" s="23" t="s">
        <v>638</v>
      </c>
      <c r="E5592" s="23" t="s">
        <v>639</v>
      </c>
      <c r="F5592">
        <v>1</v>
      </c>
      <c r="G5592" s="23" t="s">
        <v>177</v>
      </c>
      <c r="H5592">
        <v>0</v>
      </c>
      <c r="I5592">
        <v>19</v>
      </c>
      <c r="J5592" s="10">
        <v>17</v>
      </c>
      <c r="K55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592">
        <v>0</v>
      </c>
      <c r="M55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2">
        <v>113.64</v>
      </c>
      <c r="O5592" s="23" t="s">
        <v>640</v>
      </c>
      <c r="P5592">
        <v>113.64</v>
      </c>
      <c r="Q5592" s="23" t="s">
        <v>641</v>
      </c>
    </row>
    <row r="5593" spans="1:17" x14ac:dyDescent="0.25">
      <c r="A5593" s="23" t="s">
        <v>1098</v>
      </c>
      <c r="B5593" s="23" t="s">
        <v>1053</v>
      </c>
      <c r="C5593" s="23" t="s">
        <v>176</v>
      </c>
      <c r="D5593" s="23" t="s">
        <v>243</v>
      </c>
      <c r="E5593" s="23" t="s">
        <v>244</v>
      </c>
      <c r="F5593">
        <v>1</v>
      </c>
      <c r="G5593" s="23" t="s">
        <v>177</v>
      </c>
      <c r="H5593">
        <v>1</v>
      </c>
      <c r="I5593">
        <v>49</v>
      </c>
      <c r="J5593" s="10">
        <v>1.599999999999973</v>
      </c>
      <c r="K55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593">
        <v>0</v>
      </c>
      <c r="M55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3">
        <v>60</v>
      </c>
      <c r="O5593" s="23" t="s">
        <v>491</v>
      </c>
      <c r="P5593">
        <v>60</v>
      </c>
      <c r="Q5593" s="23" t="s">
        <v>181</v>
      </c>
    </row>
    <row r="5594" spans="1:17" x14ac:dyDescent="0.25">
      <c r="A5594" s="23" t="s">
        <v>1062</v>
      </c>
      <c r="B5594" s="23" t="s">
        <v>1053</v>
      </c>
      <c r="C5594" s="23" t="s">
        <v>176</v>
      </c>
      <c r="D5594" s="23" t="s">
        <v>243</v>
      </c>
      <c r="E5594" s="23" t="s">
        <v>244</v>
      </c>
      <c r="F5594">
        <v>1.35</v>
      </c>
      <c r="G5594" s="23" t="s">
        <v>177</v>
      </c>
      <c r="H5594">
        <v>1.35</v>
      </c>
      <c r="I5594">
        <v>49</v>
      </c>
      <c r="J5594" s="10">
        <v>1.599999999999973</v>
      </c>
      <c r="K55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594">
        <v>0</v>
      </c>
      <c r="M55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4">
        <v>60</v>
      </c>
      <c r="O5594" s="23" t="s">
        <v>491</v>
      </c>
      <c r="P5594">
        <v>81</v>
      </c>
      <c r="Q5594" s="23" t="s">
        <v>181</v>
      </c>
    </row>
    <row r="5595" spans="1:17" x14ac:dyDescent="0.25">
      <c r="A5595" s="23" t="s">
        <v>1062</v>
      </c>
      <c r="B5595" s="23" t="s">
        <v>1053</v>
      </c>
      <c r="C5595" s="23" t="s">
        <v>176</v>
      </c>
      <c r="D5595" s="23" t="s">
        <v>111</v>
      </c>
      <c r="E5595" s="23" t="s">
        <v>112</v>
      </c>
      <c r="F5595">
        <v>1</v>
      </c>
      <c r="G5595" s="23" t="s">
        <v>177</v>
      </c>
      <c r="H5595">
        <v>1</v>
      </c>
      <c r="I5595">
        <v>2</v>
      </c>
      <c r="J5595" s="10">
        <v>8</v>
      </c>
      <c r="K55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595">
        <v>11</v>
      </c>
      <c r="M55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5">
        <v>675</v>
      </c>
      <c r="O5595" s="23" t="s">
        <v>633</v>
      </c>
      <c r="P5595">
        <v>675</v>
      </c>
      <c r="Q5595" s="23" t="s">
        <v>178</v>
      </c>
    </row>
    <row r="5596" spans="1:17" x14ac:dyDescent="0.25">
      <c r="A5596" s="23" t="s">
        <v>1062</v>
      </c>
      <c r="B5596" s="23" t="s">
        <v>1053</v>
      </c>
      <c r="C5596" s="23" t="s">
        <v>176</v>
      </c>
      <c r="D5596" s="23" t="s">
        <v>0</v>
      </c>
      <c r="E5596" s="23" t="s">
        <v>1</v>
      </c>
      <c r="F5596">
        <v>2</v>
      </c>
      <c r="G5596" s="23" t="s">
        <v>177</v>
      </c>
      <c r="H5596">
        <v>2</v>
      </c>
      <c r="I5596">
        <v>69</v>
      </c>
      <c r="J5596" s="10">
        <v>22</v>
      </c>
      <c r="K55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596">
        <v>0</v>
      </c>
      <c r="M55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6">
        <v>640</v>
      </c>
      <c r="O5596" s="23" t="s">
        <v>221</v>
      </c>
      <c r="P5596">
        <v>1280</v>
      </c>
      <c r="Q5596" s="23" t="s">
        <v>222</v>
      </c>
    </row>
    <row r="5597" spans="1:17" x14ac:dyDescent="0.25">
      <c r="A5597" s="23" t="s">
        <v>1094</v>
      </c>
      <c r="B5597" s="23" t="s">
        <v>1095</v>
      </c>
      <c r="C5597" s="23" t="s">
        <v>176</v>
      </c>
      <c r="D5597" s="23" t="s">
        <v>446</v>
      </c>
      <c r="E5597" s="23" t="s">
        <v>630</v>
      </c>
      <c r="F5597">
        <v>2</v>
      </c>
      <c r="G5597" s="23" t="s">
        <v>177</v>
      </c>
      <c r="H5597">
        <v>0</v>
      </c>
      <c r="I5597">
        <v>115</v>
      </c>
      <c r="J5597" s="10">
        <v>28</v>
      </c>
      <c r="K55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597">
        <v>0</v>
      </c>
      <c r="M55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7">
        <v>250</v>
      </c>
      <c r="O5597" s="23" t="s">
        <v>629</v>
      </c>
      <c r="P5597">
        <v>500</v>
      </c>
      <c r="Q5597" s="23" t="s">
        <v>181</v>
      </c>
    </row>
    <row r="5598" spans="1:17" x14ac:dyDescent="0.25">
      <c r="A5598" s="23" t="s">
        <v>1096</v>
      </c>
      <c r="B5598" s="23" t="s">
        <v>1053</v>
      </c>
      <c r="C5598" s="23" t="s">
        <v>176</v>
      </c>
      <c r="D5598" s="23" t="s">
        <v>446</v>
      </c>
      <c r="E5598" s="23" t="s">
        <v>630</v>
      </c>
      <c r="F5598">
        <v>4</v>
      </c>
      <c r="G5598" s="23" t="s">
        <v>177</v>
      </c>
      <c r="H5598">
        <v>4</v>
      </c>
      <c r="I5598">
        <v>115</v>
      </c>
      <c r="J5598" s="10">
        <v>28</v>
      </c>
      <c r="K55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</v>
      </c>
      <c r="L5598">
        <v>0</v>
      </c>
      <c r="M55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8">
        <v>250</v>
      </c>
      <c r="O5598" s="23" t="s">
        <v>629</v>
      </c>
      <c r="P5598">
        <v>1000</v>
      </c>
      <c r="Q5598" s="23" t="s">
        <v>181</v>
      </c>
    </row>
    <row r="5599" spans="1:17" x14ac:dyDescent="0.25">
      <c r="A5599" s="23" t="s">
        <v>1142</v>
      </c>
      <c r="B5599" s="23" t="s">
        <v>1054</v>
      </c>
      <c r="C5599" s="23" t="s">
        <v>176</v>
      </c>
      <c r="D5599" s="23" t="s">
        <v>831</v>
      </c>
      <c r="E5599" s="23" t="s">
        <v>832</v>
      </c>
      <c r="F5599">
        <v>4</v>
      </c>
      <c r="G5599" s="23" t="s">
        <v>180</v>
      </c>
      <c r="H5599">
        <v>0</v>
      </c>
      <c r="I5599">
        <v>100</v>
      </c>
      <c r="J5599" s="10">
        <v>0</v>
      </c>
      <c r="K55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-227.63999999999987</v>
      </c>
      <c r="L5599">
        <v>214.64</v>
      </c>
      <c r="M55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599">
        <v>50.81</v>
      </c>
      <c r="O5599" s="23" t="s">
        <v>833</v>
      </c>
      <c r="P5599">
        <v>203.24</v>
      </c>
      <c r="Q5599" s="23" t="s">
        <v>185</v>
      </c>
    </row>
    <row r="5600" spans="1:17" x14ac:dyDescent="0.25">
      <c r="A5600" s="23" t="s">
        <v>1142</v>
      </c>
      <c r="B5600" s="23" t="s">
        <v>1054</v>
      </c>
      <c r="C5600" s="23" t="s">
        <v>176</v>
      </c>
      <c r="D5600" s="23" t="s">
        <v>135</v>
      </c>
      <c r="E5600" s="23" t="s">
        <v>136</v>
      </c>
      <c r="F5600">
        <v>9</v>
      </c>
      <c r="G5600" s="23" t="s">
        <v>180</v>
      </c>
      <c r="H5600">
        <v>0</v>
      </c>
      <c r="I5600">
        <v>60</v>
      </c>
      <c r="J5600" s="10">
        <v>52</v>
      </c>
      <c r="K56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14.5</v>
      </c>
      <c r="L5600">
        <v>80</v>
      </c>
      <c r="M56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710.5</v>
      </c>
      <c r="N5600">
        <v>49</v>
      </c>
      <c r="O5600" s="23" t="s">
        <v>673</v>
      </c>
      <c r="P5600">
        <v>441</v>
      </c>
      <c r="Q5600" s="23" t="s">
        <v>185</v>
      </c>
    </row>
    <row r="5601" spans="1:17" x14ac:dyDescent="0.25">
      <c r="A5601" s="23" t="s">
        <v>1142</v>
      </c>
      <c r="B5601" s="23" t="s">
        <v>1054</v>
      </c>
      <c r="C5601" s="23" t="s">
        <v>176</v>
      </c>
      <c r="D5601" s="23" t="s">
        <v>158</v>
      </c>
      <c r="E5601" s="23" t="s">
        <v>159</v>
      </c>
      <c r="F5601">
        <v>1</v>
      </c>
      <c r="G5601" s="23" t="s">
        <v>177</v>
      </c>
      <c r="H5601">
        <v>0</v>
      </c>
      <c r="I5601">
        <v>4</v>
      </c>
      <c r="J5601" s="10">
        <v>22</v>
      </c>
      <c r="K56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601">
        <v>20</v>
      </c>
      <c r="M56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1">
        <v>65</v>
      </c>
      <c r="O5601" s="23" t="s">
        <v>762</v>
      </c>
      <c r="P5601">
        <v>65</v>
      </c>
      <c r="Q5601" s="23" t="s">
        <v>179</v>
      </c>
    </row>
    <row r="5602" spans="1:17" x14ac:dyDescent="0.25">
      <c r="A5602" s="23" t="s">
        <v>1096</v>
      </c>
      <c r="B5602" s="23" t="s">
        <v>1053</v>
      </c>
      <c r="C5602" s="23" t="s">
        <v>176</v>
      </c>
      <c r="D5602" s="23" t="s">
        <v>158</v>
      </c>
      <c r="E5602" s="23" t="s">
        <v>159</v>
      </c>
      <c r="F5602">
        <v>1</v>
      </c>
      <c r="G5602" s="23" t="s">
        <v>177</v>
      </c>
      <c r="H5602">
        <v>0</v>
      </c>
      <c r="I5602">
        <v>4</v>
      </c>
      <c r="J5602" s="10">
        <v>22</v>
      </c>
      <c r="K56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602">
        <v>20</v>
      </c>
      <c r="M56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2">
        <v>65</v>
      </c>
      <c r="O5602" s="23" t="s">
        <v>762</v>
      </c>
      <c r="P5602">
        <v>65</v>
      </c>
      <c r="Q5602" s="23" t="s">
        <v>179</v>
      </c>
    </row>
    <row r="5603" spans="1:17" x14ac:dyDescent="0.25">
      <c r="A5603" s="23" t="s">
        <v>1143</v>
      </c>
      <c r="B5603" s="23" t="s">
        <v>1054</v>
      </c>
      <c r="C5603" s="23" t="s">
        <v>176</v>
      </c>
      <c r="D5603" s="23" t="s">
        <v>638</v>
      </c>
      <c r="E5603" s="23" t="s">
        <v>639</v>
      </c>
      <c r="F5603">
        <v>1</v>
      </c>
      <c r="G5603" s="23" t="s">
        <v>177</v>
      </c>
      <c r="H5603">
        <v>0</v>
      </c>
      <c r="I5603">
        <v>19</v>
      </c>
      <c r="J5603" s="10">
        <v>17</v>
      </c>
      <c r="K56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03">
        <v>0</v>
      </c>
      <c r="M56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3">
        <v>113.64</v>
      </c>
      <c r="O5603" s="23" t="s">
        <v>640</v>
      </c>
      <c r="P5603">
        <v>113.64</v>
      </c>
      <c r="Q5603" s="23" t="s">
        <v>641</v>
      </c>
    </row>
    <row r="5604" spans="1:17" x14ac:dyDescent="0.25">
      <c r="A5604" s="23" t="s">
        <v>1057</v>
      </c>
      <c r="B5604" s="23" t="s">
        <v>1056</v>
      </c>
      <c r="C5604" s="23" t="s">
        <v>176</v>
      </c>
      <c r="D5604" s="23" t="s">
        <v>243</v>
      </c>
      <c r="E5604" s="23" t="s">
        <v>244</v>
      </c>
      <c r="F5604">
        <v>1</v>
      </c>
      <c r="G5604" s="23" t="s">
        <v>177</v>
      </c>
      <c r="H5604">
        <v>1</v>
      </c>
      <c r="I5604">
        <v>49</v>
      </c>
      <c r="J5604" s="10">
        <v>1.599999999999973</v>
      </c>
      <c r="K56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604">
        <v>0</v>
      </c>
      <c r="M56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4">
        <v>60</v>
      </c>
      <c r="O5604" s="23" t="s">
        <v>491</v>
      </c>
      <c r="P5604">
        <v>60</v>
      </c>
      <c r="Q5604" s="23" t="s">
        <v>181</v>
      </c>
    </row>
    <row r="5605" spans="1:17" x14ac:dyDescent="0.25">
      <c r="A5605" s="23" t="s">
        <v>1094</v>
      </c>
      <c r="B5605" s="23" t="s">
        <v>1095</v>
      </c>
      <c r="C5605" s="23" t="s">
        <v>176</v>
      </c>
      <c r="D5605" s="23" t="s">
        <v>1121</v>
      </c>
      <c r="E5605" s="23" t="s">
        <v>1122</v>
      </c>
      <c r="F5605">
        <v>0.2</v>
      </c>
      <c r="G5605" s="23" t="s">
        <v>186</v>
      </c>
      <c r="H5605">
        <v>0</v>
      </c>
      <c r="I5605">
        <v>0</v>
      </c>
      <c r="J5605" s="10">
        <v>0</v>
      </c>
      <c r="K56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0.60000000000000009</v>
      </c>
      <c r="L5605">
        <v>0</v>
      </c>
      <c r="M56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126.49200000000002</v>
      </c>
      <c r="N5605">
        <v>210.82</v>
      </c>
      <c r="O5605" s="23" t="s">
        <v>491</v>
      </c>
      <c r="P5605">
        <v>42.164000000000001</v>
      </c>
      <c r="Q5605" s="23" t="s">
        <v>184</v>
      </c>
    </row>
    <row r="5606" spans="1:17" x14ac:dyDescent="0.25">
      <c r="A5606" s="23" t="s">
        <v>1058</v>
      </c>
      <c r="B5606" s="23" t="s">
        <v>1059</v>
      </c>
      <c r="C5606" s="23" t="s">
        <v>176</v>
      </c>
      <c r="D5606" s="23" t="s">
        <v>775</v>
      </c>
      <c r="E5606" s="23" t="s">
        <v>776</v>
      </c>
      <c r="F5606">
        <v>3</v>
      </c>
      <c r="G5606" s="23" t="s">
        <v>183</v>
      </c>
      <c r="H5606">
        <v>0</v>
      </c>
      <c r="I5606">
        <v>0</v>
      </c>
      <c r="J5606" s="10">
        <v>0</v>
      </c>
      <c r="K56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06">
        <v>0</v>
      </c>
      <c r="M56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5606">
        <v>614.63</v>
      </c>
      <c r="O5606" s="23" t="s">
        <v>255</v>
      </c>
      <c r="P5606">
        <v>1843.8899999999999</v>
      </c>
      <c r="Q5606" s="23" t="s">
        <v>658</v>
      </c>
    </row>
    <row r="5607" spans="1:17" x14ac:dyDescent="0.25">
      <c r="A5607" s="23" t="s">
        <v>1147</v>
      </c>
      <c r="B5607" s="23" t="s">
        <v>1145</v>
      </c>
      <c r="C5607" s="23" t="s">
        <v>176</v>
      </c>
      <c r="D5607" s="23" t="s">
        <v>1168</v>
      </c>
      <c r="E5607" s="23" t="s">
        <v>1169</v>
      </c>
      <c r="F5607">
        <v>2</v>
      </c>
      <c r="G5607" s="23" t="s">
        <v>177</v>
      </c>
      <c r="H5607">
        <v>0</v>
      </c>
      <c r="I5607">
        <v>500</v>
      </c>
      <c r="J5607" s="10">
        <v>500</v>
      </c>
      <c r="K56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607">
        <v>0</v>
      </c>
      <c r="M56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7">
        <v>0.55000000000000004</v>
      </c>
      <c r="O5607" s="23" t="s">
        <v>827</v>
      </c>
      <c r="P5607">
        <v>1.1000000000000001</v>
      </c>
      <c r="Q5607" s="23" t="s">
        <v>222</v>
      </c>
    </row>
    <row r="5608" spans="1:17" x14ac:dyDescent="0.25">
      <c r="A5608" s="23" t="s">
        <v>1197</v>
      </c>
      <c r="B5608" s="23" t="s">
        <v>1198</v>
      </c>
      <c r="C5608" s="23" t="s">
        <v>176</v>
      </c>
      <c r="D5608" s="23" t="s">
        <v>1168</v>
      </c>
      <c r="E5608" s="23" t="s">
        <v>1169</v>
      </c>
      <c r="F5608">
        <v>2</v>
      </c>
      <c r="G5608" s="23" t="s">
        <v>177</v>
      </c>
      <c r="H5608">
        <v>0</v>
      </c>
      <c r="I5608">
        <v>500</v>
      </c>
      <c r="J5608" s="10">
        <v>500</v>
      </c>
      <c r="K56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608">
        <v>0</v>
      </c>
      <c r="M56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08">
        <v>0.55000000000000004</v>
      </c>
      <c r="O5608" s="23" t="s">
        <v>827</v>
      </c>
      <c r="P5608">
        <v>1.1000000000000001</v>
      </c>
      <c r="Q5608" s="23" t="s">
        <v>222</v>
      </c>
    </row>
    <row r="5609" spans="1:17" x14ac:dyDescent="0.25">
      <c r="A5609" s="23" t="s">
        <v>1197</v>
      </c>
      <c r="B5609" s="23" t="s">
        <v>1198</v>
      </c>
      <c r="C5609" s="23" t="s">
        <v>176</v>
      </c>
      <c r="D5609" s="23" t="s">
        <v>775</v>
      </c>
      <c r="E5609" s="23" t="s">
        <v>776</v>
      </c>
      <c r="F5609">
        <v>3</v>
      </c>
      <c r="G5609" s="23" t="s">
        <v>183</v>
      </c>
      <c r="H5609">
        <v>0</v>
      </c>
      <c r="I5609">
        <v>0</v>
      </c>
      <c r="J5609" s="10">
        <v>0</v>
      </c>
      <c r="K56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09">
        <v>0</v>
      </c>
      <c r="M56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14751.119999999999</v>
      </c>
      <c r="N5609">
        <v>614.63</v>
      </c>
      <c r="O5609" s="23" t="s">
        <v>255</v>
      </c>
      <c r="P5609">
        <v>1843.8899999999999</v>
      </c>
      <c r="Q5609" s="23" t="s">
        <v>658</v>
      </c>
    </row>
    <row r="5610" spans="1:17" x14ac:dyDescent="0.25">
      <c r="A5610" s="23" t="s">
        <v>1142</v>
      </c>
      <c r="B5610" s="23" t="s">
        <v>1054</v>
      </c>
      <c r="C5610" s="23" t="s">
        <v>176</v>
      </c>
      <c r="D5610" s="23" t="s">
        <v>886</v>
      </c>
      <c r="E5610" s="23" t="s">
        <v>887</v>
      </c>
      <c r="F5610">
        <v>50</v>
      </c>
      <c r="G5610" s="23" t="s">
        <v>180</v>
      </c>
      <c r="H5610">
        <v>0</v>
      </c>
      <c r="I5610">
        <v>0</v>
      </c>
      <c r="J5610" s="10">
        <v>57</v>
      </c>
      <c r="K56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5610">
        <v>0</v>
      </c>
      <c r="M56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5610">
        <v>8.9499999999999993</v>
      </c>
      <c r="O5610" s="23" t="s">
        <v>224</v>
      </c>
      <c r="P5610">
        <v>447.49999999999994</v>
      </c>
      <c r="Q5610" s="23" t="s">
        <v>182</v>
      </c>
    </row>
    <row r="5611" spans="1:17" x14ac:dyDescent="0.25">
      <c r="A5611" s="23" t="s">
        <v>1096</v>
      </c>
      <c r="B5611" s="23" t="s">
        <v>1053</v>
      </c>
      <c r="C5611" s="23" t="s">
        <v>176</v>
      </c>
      <c r="D5611" s="23" t="s">
        <v>886</v>
      </c>
      <c r="E5611" s="23" t="s">
        <v>887</v>
      </c>
      <c r="F5611">
        <v>50</v>
      </c>
      <c r="G5611" s="23" t="s">
        <v>180</v>
      </c>
      <c r="H5611">
        <v>0</v>
      </c>
      <c r="I5611">
        <v>0</v>
      </c>
      <c r="J5611" s="10">
        <v>57</v>
      </c>
      <c r="K56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5611">
        <v>0</v>
      </c>
      <c r="M56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5611">
        <v>8.9499999999999993</v>
      </c>
      <c r="O5611" s="23" t="s">
        <v>224</v>
      </c>
      <c r="P5611">
        <v>447.49999999999994</v>
      </c>
      <c r="Q5611" s="23" t="s">
        <v>182</v>
      </c>
    </row>
    <row r="5612" spans="1:17" x14ac:dyDescent="0.25">
      <c r="A5612" s="23" t="s">
        <v>1142</v>
      </c>
      <c r="B5612" s="23" t="s">
        <v>1054</v>
      </c>
      <c r="C5612" s="23" t="s">
        <v>176</v>
      </c>
      <c r="D5612" s="23" t="s">
        <v>1170</v>
      </c>
      <c r="E5612" s="23" t="s">
        <v>1171</v>
      </c>
      <c r="F5612">
        <v>2</v>
      </c>
      <c r="G5612" s="23" t="s">
        <v>177</v>
      </c>
      <c r="H5612">
        <v>0</v>
      </c>
      <c r="I5612">
        <v>250</v>
      </c>
      <c r="J5612" s="10">
        <v>250</v>
      </c>
      <c r="K56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5612">
        <v>0</v>
      </c>
      <c r="M56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2">
        <v>1.08</v>
      </c>
      <c r="O5612" s="23" t="s">
        <v>827</v>
      </c>
      <c r="P5612">
        <v>2.16</v>
      </c>
      <c r="Q5612" s="23" t="s">
        <v>222</v>
      </c>
    </row>
    <row r="5613" spans="1:17" x14ac:dyDescent="0.25">
      <c r="A5613" s="23" t="s">
        <v>1142</v>
      </c>
      <c r="B5613" s="23" t="s">
        <v>1054</v>
      </c>
      <c r="C5613" s="23" t="s">
        <v>176</v>
      </c>
      <c r="D5613" s="23" t="s">
        <v>1168</v>
      </c>
      <c r="E5613" s="23" t="s">
        <v>1169</v>
      </c>
      <c r="F5613">
        <v>2</v>
      </c>
      <c r="G5613" s="23" t="s">
        <v>177</v>
      </c>
      <c r="H5613">
        <v>0</v>
      </c>
      <c r="I5613">
        <v>500</v>
      </c>
      <c r="J5613" s="10">
        <v>500</v>
      </c>
      <c r="K56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-486</v>
      </c>
      <c r="L5613">
        <v>0</v>
      </c>
      <c r="M56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3">
        <v>0.55000000000000004</v>
      </c>
      <c r="O5613" s="23" t="s">
        <v>827</v>
      </c>
      <c r="P5613">
        <v>1.1000000000000001</v>
      </c>
      <c r="Q5613" s="23" t="s">
        <v>222</v>
      </c>
    </row>
    <row r="5614" spans="1:17" x14ac:dyDescent="0.25">
      <c r="A5614" s="23" t="s">
        <v>1062</v>
      </c>
      <c r="B5614" s="23" t="s">
        <v>1053</v>
      </c>
      <c r="C5614" s="23" t="s">
        <v>176</v>
      </c>
      <c r="D5614" s="23" t="s">
        <v>729</v>
      </c>
      <c r="E5614" s="23" t="s">
        <v>730</v>
      </c>
      <c r="F5614">
        <v>9</v>
      </c>
      <c r="G5614" s="23" t="s">
        <v>180</v>
      </c>
      <c r="H5614">
        <v>9</v>
      </c>
      <c r="I5614">
        <v>0</v>
      </c>
      <c r="J5614" s="10">
        <v>344</v>
      </c>
      <c r="K56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54</v>
      </c>
      <c r="L5614">
        <v>0</v>
      </c>
      <c r="M56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1102.68</v>
      </c>
      <c r="N5614">
        <v>20.420000000000002</v>
      </c>
      <c r="O5614" s="23" t="s">
        <v>224</v>
      </c>
      <c r="P5614">
        <v>183.78000000000003</v>
      </c>
      <c r="Q5614" s="23" t="s">
        <v>182</v>
      </c>
    </row>
    <row r="5615" spans="1:17" x14ac:dyDescent="0.25">
      <c r="A5615" s="23" t="s">
        <v>1096</v>
      </c>
      <c r="B5615" s="23" t="s">
        <v>1053</v>
      </c>
      <c r="C5615" s="23" t="s">
        <v>176</v>
      </c>
      <c r="D5615" s="23" t="s">
        <v>725</v>
      </c>
      <c r="E5615" s="23" t="s">
        <v>726</v>
      </c>
      <c r="F5615">
        <v>1</v>
      </c>
      <c r="G5615" s="23" t="s">
        <v>177</v>
      </c>
      <c r="H5615">
        <v>1</v>
      </c>
      <c r="I5615">
        <v>56</v>
      </c>
      <c r="J5615" s="10">
        <v>4</v>
      </c>
      <c r="K56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5615">
        <v>0</v>
      </c>
      <c r="M56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5">
        <v>16.5</v>
      </c>
      <c r="O5615" s="23" t="s">
        <v>242</v>
      </c>
      <c r="P5615">
        <v>16.5</v>
      </c>
      <c r="Q5615" s="23" t="s">
        <v>179</v>
      </c>
    </row>
    <row r="5616" spans="1:17" x14ac:dyDescent="0.25">
      <c r="A5616" s="23" t="s">
        <v>1062</v>
      </c>
      <c r="B5616" s="23" t="s">
        <v>1053</v>
      </c>
      <c r="C5616" s="23" t="s">
        <v>176</v>
      </c>
      <c r="D5616" s="23" t="s">
        <v>271</v>
      </c>
      <c r="E5616" s="23" t="s">
        <v>272</v>
      </c>
      <c r="F5616">
        <v>1</v>
      </c>
      <c r="G5616" s="23" t="s">
        <v>177</v>
      </c>
      <c r="H5616">
        <v>1</v>
      </c>
      <c r="I5616">
        <v>14</v>
      </c>
      <c r="J5616" s="10">
        <v>8</v>
      </c>
      <c r="K56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16">
        <v>0</v>
      </c>
      <c r="M56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6">
        <v>270</v>
      </c>
      <c r="O5616" s="23" t="s">
        <v>221</v>
      </c>
      <c r="P5616">
        <v>270</v>
      </c>
      <c r="Q5616" s="23" t="s">
        <v>222</v>
      </c>
    </row>
    <row r="5617" spans="1:17" x14ac:dyDescent="0.25">
      <c r="A5617" s="23" t="s">
        <v>1197</v>
      </c>
      <c r="B5617" s="23" t="s">
        <v>1198</v>
      </c>
      <c r="C5617" s="23" t="s">
        <v>176</v>
      </c>
      <c r="D5617" s="23" t="s">
        <v>1170</v>
      </c>
      <c r="E5617" s="23" t="s">
        <v>1171</v>
      </c>
      <c r="F5617">
        <v>2</v>
      </c>
      <c r="G5617" s="23" t="s">
        <v>177</v>
      </c>
      <c r="H5617">
        <v>0</v>
      </c>
      <c r="I5617">
        <v>250</v>
      </c>
      <c r="J5617" s="10">
        <v>250</v>
      </c>
      <c r="K56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-236</v>
      </c>
      <c r="L5617">
        <v>0</v>
      </c>
      <c r="M56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7">
        <v>1.08</v>
      </c>
      <c r="O5617" s="23" t="s">
        <v>827</v>
      </c>
      <c r="P5617">
        <v>2.16</v>
      </c>
      <c r="Q5617" s="23" t="s">
        <v>222</v>
      </c>
    </row>
    <row r="5618" spans="1:17" x14ac:dyDescent="0.25">
      <c r="A5618" s="23" t="s">
        <v>1096</v>
      </c>
      <c r="B5618" s="23" t="s">
        <v>1053</v>
      </c>
      <c r="C5618" s="23" t="s">
        <v>176</v>
      </c>
      <c r="D5618" s="23" t="s">
        <v>271</v>
      </c>
      <c r="E5618" s="23" t="s">
        <v>272</v>
      </c>
      <c r="F5618">
        <v>1</v>
      </c>
      <c r="G5618" s="23" t="s">
        <v>177</v>
      </c>
      <c r="H5618">
        <v>1</v>
      </c>
      <c r="I5618">
        <v>14</v>
      </c>
      <c r="J5618" s="10">
        <v>8</v>
      </c>
      <c r="K56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18">
        <v>0</v>
      </c>
      <c r="M56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8">
        <v>270</v>
      </c>
      <c r="O5618" s="23" t="s">
        <v>221</v>
      </c>
      <c r="P5618">
        <v>270</v>
      </c>
      <c r="Q5618" s="23" t="s">
        <v>222</v>
      </c>
    </row>
    <row r="5619" spans="1:17" x14ac:dyDescent="0.25">
      <c r="A5619" s="23" t="s">
        <v>1094</v>
      </c>
      <c r="B5619" s="23" t="s">
        <v>1095</v>
      </c>
      <c r="C5619" s="23" t="s">
        <v>176</v>
      </c>
      <c r="D5619" s="23" t="s">
        <v>596</v>
      </c>
      <c r="E5619" s="23" t="s">
        <v>597</v>
      </c>
      <c r="F5619">
        <v>1</v>
      </c>
      <c r="G5619" s="23" t="s">
        <v>177</v>
      </c>
      <c r="H5619">
        <v>0</v>
      </c>
      <c r="I5619">
        <v>20</v>
      </c>
      <c r="J5619" s="10">
        <v>1</v>
      </c>
      <c r="K56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19">
        <v>0</v>
      </c>
      <c r="M56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19">
        <v>4850.4399999999996</v>
      </c>
      <c r="O5619" s="23" t="s">
        <v>637</v>
      </c>
      <c r="P5619">
        <v>4850.4399999999996</v>
      </c>
      <c r="Q5619" s="23" t="s">
        <v>178</v>
      </c>
    </row>
    <row r="5620" spans="1:17" x14ac:dyDescent="0.25">
      <c r="A5620" s="23" t="s">
        <v>1197</v>
      </c>
      <c r="B5620" s="23" t="s">
        <v>1198</v>
      </c>
      <c r="C5620" s="23" t="s">
        <v>176</v>
      </c>
      <c r="D5620" s="23" t="s">
        <v>791</v>
      </c>
      <c r="E5620" s="23" t="s">
        <v>829</v>
      </c>
      <c r="F5620">
        <v>6</v>
      </c>
      <c r="G5620" s="23" t="s">
        <v>180</v>
      </c>
      <c r="H5620">
        <v>0</v>
      </c>
      <c r="I5620">
        <v>100</v>
      </c>
      <c r="J5620" s="10">
        <v>50</v>
      </c>
      <c r="K56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</v>
      </c>
      <c r="L5620">
        <v>0</v>
      </c>
      <c r="M56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0">
        <v>46</v>
      </c>
      <c r="O5620" s="23" t="s">
        <v>792</v>
      </c>
      <c r="P5620">
        <v>276</v>
      </c>
      <c r="Q5620" s="23" t="s">
        <v>222</v>
      </c>
    </row>
    <row r="5621" spans="1:17" x14ac:dyDescent="0.25">
      <c r="A5621" s="23" t="s">
        <v>1058</v>
      </c>
      <c r="B5621" s="23" t="s">
        <v>1059</v>
      </c>
      <c r="C5621" s="23" t="s">
        <v>176</v>
      </c>
      <c r="D5621" s="23" t="s">
        <v>271</v>
      </c>
      <c r="E5621" s="23" t="s">
        <v>272</v>
      </c>
      <c r="F5621">
        <v>1</v>
      </c>
      <c r="G5621" s="23" t="s">
        <v>177</v>
      </c>
      <c r="H5621">
        <v>1</v>
      </c>
      <c r="I5621">
        <v>14</v>
      </c>
      <c r="J5621" s="10">
        <v>8</v>
      </c>
      <c r="K56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21">
        <v>0</v>
      </c>
      <c r="M56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1">
        <v>270</v>
      </c>
      <c r="O5621" s="23" t="s">
        <v>221</v>
      </c>
      <c r="P5621">
        <v>270</v>
      </c>
      <c r="Q5621" s="23" t="s">
        <v>222</v>
      </c>
    </row>
    <row r="5622" spans="1:17" x14ac:dyDescent="0.25">
      <c r="A5622" s="23" t="s">
        <v>1058</v>
      </c>
      <c r="B5622" s="23" t="s">
        <v>1059</v>
      </c>
      <c r="C5622" s="23" t="s">
        <v>176</v>
      </c>
      <c r="D5622" s="23" t="s">
        <v>947</v>
      </c>
      <c r="E5622" s="23" t="s">
        <v>948</v>
      </c>
      <c r="F5622">
        <v>1</v>
      </c>
      <c r="G5622" s="23" t="s">
        <v>177</v>
      </c>
      <c r="H5622">
        <v>1</v>
      </c>
      <c r="I5622">
        <v>0</v>
      </c>
      <c r="J5622" s="10">
        <v>5</v>
      </c>
      <c r="K56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622">
        <v>2</v>
      </c>
      <c r="M56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5622">
        <v>3996</v>
      </c>
      <c r="O5622" s="23" t="s">
        <v>228</v>
      </c>
      <c r="P5622">
        <v>3996</v>
      </c>
      <c r="Q5622" s="23" t="s">
        <v>222</v>
      </c>
    </row>
    <row r="5623" spans="1:17" x14ac:dyDescent="0.25">
      <c r="A5623" s="23" t="s">
        <v>1098</v>
      </c>
      <c r="B5623" s="23" t="s">
        <v>1053</v>
      </c>
      <c r="C5623" s="23" t="s">
        <v>176</v>
      </c>
      <c r="D5623" s="23" t="s">
        <v>725</v>
      </c>
      <c r="E5623" s="23" t="s">
        <v>726</v>
      </c>
      <c r="F5623">
        <v>1</v>
      </c>
      <c r="G5623" s="23" t="s">
        <v>177</v>
      </c>
      <c r="H5623">
        <v>0</v>
      </c>
      <c r="I5623">
        <v>56</v>
      </c>
      <c r="J5623" s="10">
        <v>4</v>
      </c>
      <c r="K56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5623">
        <v>0</v>
      </c>
      <c r="M56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3">
        <v>16.5</v>
      </c>
      <c r="O5623" s="23" t="s">
        <v>242</v>
      </c>
      <c r="P5623">
        <v>16.5</v>
      </c>
      <c r="Q5623" s="23" t="s">
        <v>179</v>
      </c>
    </row>
    <row r="5624" spans="1:17" x14ac:dyDescent="0.25">
      <c r="A5624" s="23" t="s">
        <v>1055</v>
      </c>
      <c r="B5624" s="23" t="s">
        <v>1056</v>
      </c>
      <c r="C5624" s="23" t="s">
        <v>176</v>
      </c>
      <c r="D5624" s="23" t="s">
        <v>998</v>
      </c>
      <c r="E5624" s="23" t="s">
        <v>999</v>
      </c>
      <c r="F5624">
        <v>2</v>
      </c>
      <c r="G5624" s="23" t="s">
        <v>177</v>
      </c>
      <c r="H5624">
        <v>2</v>
      </c>
      <c r="I5624">
        <v>6</v>
      </c>
      <c r="J5624" s="10">
        <v>8</v>
      </c>
      <c r="K56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624">
        <v>0</v>
      </c>
      <c r="M56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4">
        <v>225</v>
      </c>
      <c r="O5624" s="23" t="s">
        <v>227</v>
      </c>
      <c r="P5624">
        <v>450</v>
      </c>
      <c r="Q5624" s="23" t="s">
        <v>181</v>
      </c>
    </row>
    <row r="5625" spans="1:17" x14ac:dyDescent="0.25">
      <c r="A5625" s="23" t="s">
        <v>1146</v>
      </c>
      <c r="B5625" s="23" t="s">
        <v>1145</v>
      </c>
      <c r="C5625" s="23" t="s">
        <v>176</v>
      </c>
      <c r="D5625" s="23" t="s">
        <v>93</v>
      </c>
      <c r="E5625" s="23" t="s">
        <v>94</v>
      </c>
      <c r="F5625">
        <v>4</v>
      </c>
      <c r="G5625" s="23" t="s">
        <v>177</v>
      </c>
      <c r="H5625">
        <v>0</v>
      </c>
      <c r="I5625">
        <v>105</v>
      </c>
      <c r="J5625" s="10">
        <v>56</v>
      </c>
      <c r="K56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625">
        <v>0</v>
      </c>
      <c r="M56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5">
        <v>72.599999999999994</v>
      </c>
      <c r="O5625" s="23" t="s">
        <v>242</v>
      </c>
      <c r="P5625">
        <v>290.39999999999998</v>
      </c>
      <c r="Q5625" s="23" t="s">
        <v>179</v>
      </c>
    </row>
    <row r="5626" spans="1:17" x14ac:dyDescent="0.25">
      <c r="A5626" s="23" t="s">
        <v>1146</v>
      </c>
      <c r="B5626" s="23" t="s">
        <v>1145</v>
      </c>
      <c r="C5626" s="23" t="s">
        <v>176</v>
      </c>
      <c r="D5626" s="23" t="s">
        <v>886</v>
      </c>
      <c r="E5626" s="23" t="s">
        <v>887</v>
      </c>
      <c r="F5626">
        <v>50</v>
      </c>
      <c r="G5626" s="23" t="s">
        <v>180</v>
      </c>
      <c r="H5626">
        <v>0</v>
      </c>
      <c r="I5626">
        <v>0</v>
      </c>
      <c r="J5626" s="10">
        <v>57</v>
      </c>
      <c r="K56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350</v>
      </c>
      <c r="L5626">
        <v>0</v>
      </c>
      <c r="M56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3132.4999999999995</v>
      </c>
      <c r="N5626">
        <v>8.9499999999999993</v>
      </c>
      <c r="O5626" s="23" t="s">
        <v>224</v>
      </c>
      <c r="P5626">
        <v>447.49999999999994</v>
      </c>
      <c r="Q5626" s="23" t="s">
        <v>182</v>
      </c>
    </row>
    <row r="5627" spans="1:17" x14ac:dyDescent="0.25">
      <c r="A5627" s="23" t="s">
        <v>1180</v>
      </c>
      <c r="B5627" s="23" t="s">
        <v>1181</v>
      </c>
      <c r="C5627" s="23" t="s">
        <v>176</v>
      </c>
      <c r="D5627" s="23" t="s">
        <v>1210</v>
      </c>
      <c r="E5627" s="23" t="s">
        <v>1211</v>
      </c>
      <c r="F5627">
        <v>1</v>
      </c>
      <c r="G5627" s="23" t="s">
        <v>177</v>
      </c>
      <c r="H5627">
        <v>1</v>
      </c>
      <c r="I5627">
        <v>0</v>
      </c>
      <c r="J5627" s="10">
        <v>1</v>
      </c>
      <c r="K56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27">
        <v>0</v>
      </c>
      <c r="M56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7">
        <v>39845.54</v>
      </c>
      <c r="O5627" s="23" t="s">
        <v>216</v>
      </c>
      <c r="P5627">
        <v>39845.54</v>
      </c>
      <c r="Q5627" s="23" t="s">
        <v>178</v>
      </c>
    </row>
    <row r="5628" spans="1:17" x14ac:dyDescent="0.25">
      <c r="A5628" s="23" t="s">
        <v>1146</v>
      </c>
      <c r="B5628" s="23" t="s">
        <v>1145</v>
      </c>
      <c r="C5628" s="23" t="s">
        <v>176</v>
      </c>
      <c r="D5628" s="23" t="s">
        <v>352</v>
      </c>
      <c r="E5628" s="23" t="s">
        <v>353</v>
      </c>
      <c r="F5628">
        <v>229</v>
      </c>
      <c r="G5628" s="23" t="s">
        <v>177</v>
      </c>
      <c r="H5628">
        <v>0</v>
      </c>
      <c r="I5628">
        <v>4000</v>
      </c>
      <c r="J5628" s="10">
        <v>7366</v>
      </c>
      <c r="K56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-714</v>
      </c>
      <c r="L5628">
        <v>0</v>
      </c>
      <c r="M56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28">
        <v>0.35</v>
      </c>
      <c r="O5628" s="23" t="s">
        <v>242</v>
      </c>
      <c r="P5628">
        <v>80.149999999999991</v>
      </c>
      <c r="Q5628" s="23" t="s">
        <v>181</v>
      </c>
    </row>
    <row r="5629" spans="1:17" x14ac:dyDescent="0.25">
      <c r="A5629" s="23" t="s">
        <v>1099</v>
      </c>
      <c r="B5629" s="23" t="s">
        <v>1056</v>
      </c>
      <c r="C5629" s="23" t="s">
        <v>176</v>
      </c>
      <c r="D5629" s="23" t="s">
        <v>261</v>
      </c>
      <c r="E5629" s="23" t="s">
        <v>262</v>
      </c>
      <c r="F5629">
        <v>0.7</v>
      </c>
      <c r="G5629" s="23" t="s">
        <v>177</v>
      </c>
      <c r="H5629">
        <v>0.7</v>
      </c>
      <c r="I5629">
        <v>5</v>
      </c>
      <c r="J5629" s="10">
        <v>0.30000000000001581</v>
      </c>
      <c r="K56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9.6499999999999915</v>
      </c>
      <c r="L5629">
        <v>0</v>
      </c>
      <c r="M56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15656.159999999987</v>
      </c>
      <c r="N5629">
        <v>1622.4</v>
      </c>
      <c r="O5629" s="23" t="s">
        <v>263</v>
      </c>
      <c r="P5629">
        <v>1135.68</v>
      </c>
      <c r="Q5629" s="23" t="s">
        <v>184</v>
      </c>
    </row>
    <row r="5630" spans="1:17" x14ac:dyDescent="0.25">
      <c r="A5630" s="23" t="s">
        <v>1146</v>
      </c>
      <c r="B5630" s="23" t="s">
        <v>1145</v>
      </c>
      <c r="C5630" s="23" t="s">
        <v>176</v>
      </c>
      <c r="D5630" s="23" t="s">
        <v>320</v>
      </c>
      <c r="E5630" s="23" t="s">
        <v>321</v>
      </c>
      <c r="F5630">
        <v>0.13</v>
      </c>
      <c r="G5630" s="23" t="s">
        <v>187</v>
      </c>
      <c r="H5630">
        <v>0.13</v>
      </c>
      <c r="I5630">
        <v>0</v>
      </c>
      <c r="J5630" s="10">
        <v>4.543000000000017</v>
      </c>
      <c r="K56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5630">
        <v>0</v>
      </c>
      <c r="M56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5630">
        <v>19500</v>
      </c>
      <c r="O5630" s="23" t="s">
        <v>763</v>
      </c>
      <c r="P5630">
        <v>2535</v>
      </c>
      <c r="Q5630" s="23" t="s">
        <v>182</v>
      </c>
    </row>
    <row r="5631" spans="1:17" x14ac:dyDescent="0.25">
      <c r="A5631" s="23" t="s">
        <v>1096</v>
      </c>
      <c r="B5631" s="23" t="s">
        <v>1053</v>
      </c>
      <c r="C5631" s="23" t="s">
        <v>176</v>
      </c>
      <c r="D5631" s="23" t="s">
        <v>320</v>
      </c>
      <c r="E5631" s="23" t="s">
        <v>321</v>
      </c>
      <c r="F5631">
        <v>0.16400000000000001</v>
      </c>
      <c r="G5631" s="23" t="s">
        <v>187</v>
      </c>
      <c r="H5631">
        <v>0.16400000000000001</v>
      </c>
      <c r="I5631">
        <v>0</v>
      </c>
      <c r="J5631" s="10">
        <v>4.543000000000017</v>
      </c>
      <c r="K56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5631">
        <v>0</v>
      </c>
      <c r="M56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5631">
        <v>19500</v>
      </c>
      <c r="O5631" s="23" t="s">
        <v>763</v>
      </c>
      <c r="P5631">
        <v>3198</v>
      </c>
      <c r="Q5631" s="23" t="s">
        <v>182</v>
      </c>
    </row>
    <row r="5632" spans="1:17" x14ac:dyDescent="0.25">
      <c r="A5632" s="23" t="s">
        <v>1062</v>
      </c>
      <c r="B5632" s="23" t="s">
        <v>1053</v>
      </c>
      <c r="C5632" s="23" t="s">
        <v>176</v>
      </c>
      <c r="D5632" s="23" t="s">
        <v>320</v>
      </c>
      <c r="E5632" s="23" t="s">
        <v>321</v>
      </c>
      <c r="F5632">
        <v>0.16400000000000001</v>
      </c>
      <c r="G5632" s="23" t="s">
        <v>187</v>
      </c>
      <c r="H5632">
        <v>0.16400000000000001</v>
      </c>
      <c r="I5632">
        <v>0</v>
      </c>
      <c r="J5632" s="10">
        <v>4.543000000000017</v>
      </c>
      <c r="K56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5632">
        <v>0</v>
      </c>
      <c r="M56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5632">
        <v>19500</v>
      </c>
      <c r="O5632" s="23" t="s">
        <v>763</v>
      </c>
      <c r="P5632">
        <v>3198</v>
      </c>
      <c r="Q5632" s="23" t="s">
        <v>182</v>
      </c>
    </row>
    <row r="5633" spans="1:17" x14ac:dyDescent="0.25">
      <c r="A5633" s="23" t="s">
        <v>1062</v>
      </c>
      <c r="B5633" s="23" t="s">
        <v>1053</v>
      </c>
      <c r="C5633" s="23" t="s">
        <v>176</v>
      </c>
      <c r="D5633" s="23" t="s">
        <v>698</v>
      </c>
      <c r="E5633" s="23" t="s">
        <v>699</v>
      </c>
      <c r="F5633">
        <v>1</v>
      </c>
      <c r="G5633" s="23" t="s">
        <v>177</v>
      </c>
      <c r="H5633">
        <v>1</v>
      </c>
      <c r="I5633">
        <v>7</v>
      </c>
      <c r="J5633" s="10">
        <v>4</v>
      </c>
      <c r="K56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633">
        <v>0</v>
      </c>
      <c r="M56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11000</v>
      </c>
      <c r="N5633">
        <v>2200</v>
      </c>
      <c r="O5633" s="23" t="s">
        <v>253</v>
      </c>
      <c r="P5633">
        <v>2200</v>
      </c>
      <c r="Q5633" s="23" t="s">
        <v>179</v>
      </c>
    </row>
    <row r="5634" spans="1:17" x14ac:dyDescent="0.25">
      <c r="A5634" s="23" t="s">
        <v>1062</v>
      </c>
      <c r="B5634" s="23" t="s">
        <v>1053</v>
      </c>
      <c r="C5634" s="23" t="s">
        <v>176</v>
      </c>
      <c r="D5634" s="23" t="s">
        <v>517</v>
      </c>
      <c r="E5634" s="23" t="s">
        <v>518</v>
      </c>
      <c r="F5634">
        <v>1.5</v>
      </c>
      <c r="G5634" s="23" t="s">
        <v>177</v>
      </c>
      <c r="H5634">
        <v>1.5</v>
      </c>
      <c r="I5634">
        <v>91</v>
      </c>
      <c r="J5634" s="10">
        <v>17.799999999999994</v>
      </c>
      <c r="K56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34">
        <v>0</v>
      </c>
      <c r="M56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4">
        <v>85</v>
      </c>
      <c r="O5634" s="23" t="s">
        <v>347</v>
      </c>
      <c r="P5634">
        <v>127.5</v>
      </c>
      <c r="Q5634" s="23" t="s">
        <v>181</v>
      </c>
    </row>
    <row r="5635" spans="1:17" x14ac:dyDescent="0.25">
      <c r="A5635" s="23" t="s">
        <v>1096</v>
      </c>
      <c r="B5635" s="23" t="s">
        <v>1053</v>
      </c>
      <c r="C5635" s="23" t="s">
        <v>176</v>
      </c>
      <c r="D5635" s="23" t="s">
        <v>1081</v>
      </c>
      <c r="E5635" s="23" t="s">
        <v>1082</v>
      </c>
      <c r="F5635">
        <v>2</v>
      </c>
      <c r="G5635" s="23" t="s">
        <v>177</v>
      </c>
      <c r="H5635">
        <v>2</v>
      </c>
      <c r="I5635">
        <v>17</v>
      </c>
      <c r="J5635" s="10">
        <v>16</v>
      </c>
      <c r="K56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635">
        <v>30</v>
      </c>
      <c r="M56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5">
        <v>67.22</v>
      </c>
      <c r="O5635" s="23" t="s">
        <v>593</v>
      </c>
      <c r="P5635">
        <v>134.44</v>
      </c>
      <c r="Q5635" s="23" t="s">
        <v>179</v>
      </c>
    </row>
    <row r="5636" spans="1:17" x14ac:dyDescent="0.25">
      <c r="A5636" s="23" t="s">
        <v>1099</v>
      </c>
      <c r="B5636" s="23" t="s">
        <v>1056</v>
      </c>
      <c r="C5636" s="23" t="s">
        <v>176</v>
      </c>
      <c r="D5636" s="23" t="s">
        <v>764</v>
      </c>
      <c r="E5636" s="23" t="s">
        <v>765</v>
      </c>
      <c r="F5636">
        <v>1</v>
      </c>
      <c r="G5636" s="23" t="s">
        <v>177</v>
      </c>
      <c r="H5636">
        <v>1</v>
      </c>
      <c r="I5636">
        <v>5</v>
      </c>
      <c r="J5636" s="10">
        <v>7</v>
      </c>
      <c r="K56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636">
        <v>8</v>
      </c>
      <c r="M56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6">
        <v>401.17</v>
      </c>
      <c r="O5636" s="23" t="s">
        <v>766</v>
      </c>
      <c r="P5636">
        <v>401.17</v>
      </c>
      <c r="Q5636" s="23" t="s">
        <v>222</v>
      </c>
    </row>
    <row r="5637" spans="1:17" x14ac:dyDescent="0.25">
      <c r="A5637" s="23" t="s">
        <v>1098</v>
      </c>
      <c r="B5637" s="23" t="s">
        <v>1053</v>
      </c>
      <c r="C5637" s="23" t="s">
        <v>176</v>
      </c>
      <c r="D5637" s="23" t="s">
        <v>517</v>
      </c>
      <c r="E5637" s="23" t="s">
        <v>518</v>
      </c>
      <c r="F5637">
        <v>1.5</v>
      </c>
      <c r="G5637" s="23" t="s">
        <v>177</v>
      </c>
      <c r="H5637">
        <v>1.5</v>
      </c>
      <c r="I5637">
        <v>91</v>
      </c>
      <c r="J5637" s="10">
        <v>17.799999999999994</v>
      </c>
      <c r="K56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37">
        <v>0</v>
      </c>
      <c r="M56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7">
        <v>85</v>
      </c>
      <c r="O5637" s="23" t="s">
        <v>347</v>
      </c>
      <c r="P5637">
        <v>127.5</v>
      </c>
      <c r="Q5637" s="23" t="s">
        <v>181</v>
      </c>
    </row>
    <row r="5638" spans="1:17" x14ac:dyDescent="0.25">
      <c r="A5638" s="23" t="s">
        <v>1096</v>
      </c>
      <c r="B5638" s="23" t="s">
        <v>1053</v>
      </c>
      <c r="C5638" s="23" t="s">
        <v>176</v>
      </c>
      <c r="D5638" s="23" t="s">
        <v>517</v>
      </c>
      <c r="E5638" s="23" t="s">
        <v>518</v>
      </c>
      <c r="F5638">
        <v>1.5</v>
      </c>
      <c r="G5638" s="23" t="s">
        <v>177</v>
      </c>
      <c r="H5638">
        <v>1.5</v>
      </c>
      <c r="I5638">
        <v>91</v>
      </c>
      <c r="J5638" s="10">
        <v>17.799999999999994</v>
      </c>
      <c r="K56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38">
        <v>0</v>
      </c>
      <c r="M56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8">
        <v>85</v>
      </c>
      <c r="O5638" s="23" t="s">
        <v>347</v>
      </c>
      <c r="P5638">
        <v>127.5</v>
      </c>
      <c r="Q5638" s="23" t="s">
        <v>181</v>
      </c>
    </row>
    <row r="5639" spans="1:17" x14ac:dyDescent="0.25">
      <c r="A5639" s="23" t="s">
        <v>1144</v>
      </c>
      <c r="B5639" s="23" t="s">
        <v>1145</v>
      </c>
      <c r="C5639" s="23" t="s">
        <v>176</v>
      </c>
      <c r="D5639" s="23" t="s">
        <v>387</v>
      </c>
      <c r="E5639" s="23" t="s">
        <v>614</v>
      </c>
      <c r="F5639">
        <v>1</v>
      </c>
      <c r="G5639" s="23" t="s">
        <v>183</v>
      </c>
      <c r="H5639">
        <v>0</v>
      </c>
      <c r="I5639">
        <v>15.9</v>
      </c>
      <c r="J5639" s="10">
        <v>39.329999999999977</v>
      </c>
      <c r="K56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5639">
        <v>11.895</v>
      </c>
      <c r="M56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39">
        <v>641.03</v>
      </c>
      <c r="O5639" s="23" t="s">
        <v>224</v>
      </c>
      <c r="P5639">
        <v>641.03</v>
      </c>
      <c r="Q5639" s="23" t="s">
        <v>182</v>
      </c>
    </row>
    <row r="5640" spans="1:17" x14ac:dyDescent="0.25">
      <c r="A5640" s="23" t="s">
        <v>1142</v>
      </c>
      <c r="B5640" s="23" t="s">
        <v>1054</v>
      </c>
      <c r="C5640" s="23" t="s">
        <v>176</v>
      </c>
      <c r="D5640" s="23" t="s">
        <v>121</v>
      </c>
      <c r="E5640" s="23" t="s">
        <v>312</v>
      </c>
      <c r="F5640">
        <v>1.5</v>
      </c>
      <c r="G5640" s="23" t="s">
        <v>177</v>
      </c>
      <c r="H5640">
        <v>0</v>
      </c>
      <c r="I5640">
        <v>24</v>
      </c>
      <c r="J5640" s="10">
        <v>18.499999999999972</v>
      </c>
      <c r="K56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5640">
        <v>0</v>
      </c>
      <c r="M56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5640">
        <v>120</v>
      </c>
      <c r="O5640" s="23" t="s">
        <v>242</v>
      </c>
      <c r="P5640">
        <v>180</v>
      </c>
      <c r="Q5640" s="23" t="s">
        <v>184</v>
      </c>
    </row>
    <row r="5641" spans="1:17" x14ac:dyDescent="0.25">
      <c r="A5641" s="23" t="s">
        <v>1094</v>
      </c>
      <c r="B5641" s="23" t="s">
        <v>1095</v>
      </c>
      <c r="C5641" s="23" t="s">
        <v>176</v>
      </c>
      <c r="D5641" s="23" t="s">
        <v>1081</v>
      </c>
      <c r="E5641" s="23" t="s">
        <v>1082</v>
      </c>
      <c r="F5641">
        <v>2</v>
      </c>
      <c r="G5641" s="23" t="s">
        <v>177</v>
      </c>
      <c r="H5641">
        <v>0</v>
      </c>
      <c r="I5641">
        <v>17</v>
      </c>
      <c r="J5641" s="10">
        <v>16</v>
      </c>
      <c r="K56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641">
        <v>30</v>
      </c>
      <c r="M56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1">
        <v>67.22</v>
      </c>
      <c r="O5641" s="23" t="s">
        <v>593</v>
      </c>
      <c r="P5641">
        <v>134.44</v>
      </c>
      <c r="Q5641" s="23" t="s">
        <v>179</v>
      </c>
    </row>
    <row r="5642" spans="1:17" x14ac:dyDescent="0.25">
      <c r="A5642" s="23" t="s">
        <v>1057</v>
      </c>
      <c r="B5642" s="23" t="s">
        <v>1056</v>
      </c>
      <c r="C5642" s="23" t="s">
        <v>176</v>
      </c>
      <c r="D5642" s="23" t="s">
        <v>1002</v>
      </c>
      <c r="E5642" s="23" t="s">
        <v>1003</v>
      </c>
      <c r="F5642">
        <v>1</v>
      </c>
      <c r="G5642" s="23" t="s">
        <v>177</v>
      </c>
      <c r="H5642">
        <v>1</v>
      </c>
      <c r="I5642">
        <v>5</v>
      </c>
      <c r="J5642" s="10">
        <v>4</v>
      </c>
      <c r="K56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642">
        <v>0</v>
      </c>
      <c r="M56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2">
        <v>5112.92</v>
      </c>
      <c r="O5642" s="23" t="s">
        <v>1004</v>
      </c>
      <c r="P5642">
        <v>5112.92</v>
      </c>
      <c r="Q5642" s="23" t="s">
        <v>181</v>
      </c>
    </row>
    <row r="5643" spans="1:17" x14ac:dyDescent="0.25">
      <c r="A5643" s="23" t="s">
        <v>1055</v>
      </c>
      <c r="B5643" s="23" t="s">
        <v>1056</v>
      </c>
      <c r="C5643" s="23" t="s">
        <v>176</v>
      </c>
      <c r="D5643" s="23" t="s">
        <v>1013</v>
      </c>
      <c r="E5643" s="23" t="s">
        <v>1014</v>
      </c>
      <c r="F5643">
        <v>2</v>
      </c>
      <c r="G5643" s="23" t="s">
        <v>177</v>
      </c>
      <c r="H5643">
        <v>2</v>
      </c>
      <c r="I5643">
        <v>21</v>
      </c>
      <c r="J5643" s="10">
        <v>8</v>
      </c>
      <c r="K56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643">
        <v>0</v>
      </c>
      <c r="M56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3">
        <v>451</v>
      </c>
      <c r="O5643" s="23" t="s">
        <v>248</v>
      </c>
      <c r="P5643">
        <v>902</v>
      </c>
      <c r="Q5643" s="23" t="s">
        <v>178</v>
      </c>
    </row>
    <row r="5644" spans="1:17" x14ac:dyDescent="0.25">
      <c r="A5644" s="23" t="s">
        <v>1099</v>
      </c>
      <c r="B5644" s="23" t="s">
        <v>1056</v>
      </c>
      <c r="C5644" s="23" t="s">
        <v>176</v>
      </c>
      <c r="D5644" s="23" t="s">
        <v>121</v>
      </c>
      <c r="E5644" s="23" t="s">
        <v>312</v>
      </c>
      <c r="F5644">
        <v>2</v>
      </c>
      <c r="G5644" s="23" t="s">
        <v>177</v>
      </c>
      <c r="H5644">
        <v>2</v>
      </c>
      <c r="I5644">
        <v>24</v>
      </c>
      <c r="J5644" s="10">
        <v>18.499999999999972</v>
      </c>
      <c r="K56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5644">
        <v>0</v>
      </c>
      <c r="M56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5644">
        <v>120</v>
      </c>
      <c r="O5644" s="23" t="s">
        <v>242</v>
      </c>
      <c r="P5644">
        <v>240</v>
      </c>
      <c r="Q5644" s="23" t="s">
        <v>184</v>
      </c>
    </row>
    <row r="5645" spans="1:17" x14ac:dyDescent="0.25">
      <c r="A5645" s="23" t="s">
        <v>1058</v>
      </c>
      <c r="B5645" s="23" t="s">
        <v>1059</v>
      </c>
      <c r="C5645" s="23" t="s">
        <v>176</v>
      </c>
      <c r="D5645" s="23" t="s">
        <v>121</v>
      </c>
      <c r="E5645" s="23" t="s">
        <v>312</v>
      </c>
      <c r="F5645">
        <v>1.5</v>
      </c>
      <c r="G5645" s="23" t="s">
        <v>177</v>
      </c>
      <c r="H5645">
        <v>1.5</v>
      </c>
      <c r="I5645">
        <v>24</v>
      </c>
      <c r="J5645" s="10">
        <v>18.499999999999972</v>
      </c>
      <c r="K56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3.9000000000000021</v>
      </c>
      <c r="L5645">
        <v>0</v>
      </c>
      <c r="M56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468.00000000000023</v>
      </c>
      <c r="N5645">
        <v>120</v>
      </c>
      <c r="O5645" s="23" t="s">
        <v>242</v>
      </c>
      <c r="P5645">
        <v>180</v>
      </c>
      <c r="Q5645" s="23" t="s">
        <v>184</v>
      </c>
    </row>
    <row r="5646" spans="1:17" x14ac:dyDescent="0.25">
      <c r="A5646" s="23" t="s">
        <v>1098</v>
      </c>
      <c r="B5646" s="23" t="s">
        <v>1053</v>
      </c>
      <c r="C5646" s="23" t="s">
        <v>176</v>
      </c>
      <c r="D5646" s="23" t="s">
        <v>138</v>
      </c>
      <c r="E5646" s="23" t="s">
        <v>139</v>
      </c>
      <c r="F5646">
        <v>2</v>
      </c>
      <c r="G5646" s="23" t="s">
        <v>177</v>
      </c>
      <c r="H5646">
        <v>2</v>
      </c>
      <c r="I5646">
        <v>23</v>
      </c>
      <c r="J5646" s="10">
        <v>22</v>
      </c>
      <c r="K56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646">
        <v>10</v>
      </c>
      <c r="M56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6">
        <v>71.77</v>
      </c>
      <c r="O5646" s="23" t="s">
        <v>228</v>
      </c>
      <c r="P5646">
        <v>143.54</v>
      </c>
      <c r="Q5646" s="23" t="s">
        <v>222</v>
      </c>
    </row>
    <row r="5647" spans="1:17" x14ac:dyDescent="0.25">
      <c r="A5647" s="23" t="s">
        <v>1098</v>
      </c>
      <c r="B5647" s="23" t="s">
        <v>1053</v>
      </c>
      <c r="C5647" s="23" t="s">
        <v>176</v>
      </c>
      <c r="D5647" s="23" t="s">
        <v>387</v>
      </c>
      <c r="E5647" s="23" t="s">
        <v>614</v>
      </c>
      <c r="F5647">
        <v>1</v>
      </c>
      <c r="G5647" s="23" t="s">
        <v>183</v>
      </c>
      <c r="H5647">
        <v>0</v>
      </c>
      <c r="I5647">
        <v>15.9</v>
      </c>
      <c r="J5647" s="10">
        <v>39.329999999999977</v>
      </c>
      <c r="K56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-12.795000000000009</v>
      </c>
      <c r="L5647">
        <v>11.895</v>
      </c>
      <c r="M56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7">
        <v>641.03</v>
      </c>
      <c r="O5647" s="23" t="s">
        <v>224</v>
      </c>
      <c r="P5647">
        <v>641.03</v>
      </c>
      <c r="Q5647" s="23" t="s">
        <v>182</v>
      </c>
    </row>
    <row r="5648" spans="1:17" x14ac:dyDescent="0.25">
      <c r="A5648" s="23" t="s">
        <v>1143</v>
      </c>
      <c r="B5648" s="23" t="s">
        <v>1054</v>
      </c>
      <c r="C5648" s="23" t="s">
        <v>176</v>
      </c>
      <c r="D5648" s="23" t="s">
        <v>478</v>
      </c>
      <c r="E5648" s="23" t="s">
        <v>565</v>
      </c>
      <c r="F5648">
        <v>0.5</v>
      </c>
      <c r="G5648" s="23" t="s">
        <v>177</v>
      </c>
      <c r="H5648">
        <v>0</v>
      </c>
      <c r="I5648">
        <v>100</v>
      </c>
      <c r="J5648" s="10">
        <v>0</v>
      </c>
      <c r="K56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5648">
        <v>0</v>
      </c>
      <c r="M56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8">
        <v>13.5</v>
      </c>
      <c r="O5648" s="23" t="s">
        <v>242</v>
      </c>
      <c r="P5648">
        <v>6.75</v>
      </c>
      <c r="Q5648" s="23" t="s">
        <v>181</v>
      </c>
    </row>
    <row r="5649" spans="1:17" x14ac:dyDescent="0.25">
      <c r="A5649" s="23" t="s">
        <v>1094</v>
      </c>
      <c r="B5649" s="23" t="s">
        <v>1095</v>
      </c>
      <c r="C5649" s="23" t="s">
        <v>176</v>
      </c>
      <c r="D5649" s="23" t="s">
        <v>478</v>
      </c>
      <c r="E5649" s="23" t="s">
        <v>565</v>
      </c>
      <c r="F5649">
        <v>0.5</v>
      </c>
      <c r="G5649" s="23" t="s">
        <v>177</v>
      </c>
      <c r="H5649">
        <v>0</v>
      </c>
      <c r="I5649">
        <v>100</v>
      </c>
      <c r="J5649" s="10">
        <v>0</v>
      </c>
      <c r="K56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5649">
        <v>0</v>
      </c>
      <c r="M56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49">
        <v>13.5</v>
      </c>
      <c r="O5649" s="23" t="s">
        <v>242</v>
      </c>
      <c r="P5649">
        <v>6.75</v>
      </c>
      <c r="Q5649" s="23" t="s">
        <v>181</v>
      </c>
    </row>
    <row r="5650" spans="1:17" x14ac:dyDescent="0.25">
      <c r="A5650" s="23" t="s">
        <v>1058</v>
      </c>
      <c r="B5650" s="23" t="s">
        <v>1059</v>
      </c>
      <c r="C5650" s="23" t="s">
        <v>176</v>
      </c>
      <c r="D5650" s="23" t="s">
        <v>517</v>
      </c>
      <c r="E5650" s="23" t="s">
        <v>518</v>
      </c>
      <c r="F5650">
        <v>0.9</v>
      </c>
      <c r="G5650" s="23" t="s">
        <v>177</v>
      </c>
      <c r="H5650">
        <v>0.9</v>
      </c>
      <c r="I5650">
        <v>91</v>
      </c>
      <c r="J5650" s="10">
        <v>17.799999999999994</v>
      </c>
      <c r="K56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50">
        <v>0</v>
      </c>
      <c r="M56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0">
        <v>85</v>
      </c>
      <c r="O5650" s="23" t="s">
        <v>347</v>
      </c>
      <c r="P5650">
        <v>76.5</v>
      </c>
      <c r="Q5650" s="23" t="s">
        <v>181</v>
      </c>
    </row>
    <row r="5651" spans="1:17" x14ac:dyDescent="0.25">
      <c r="A5651" s="23" t="s">
        <v>1055</v>
      </c>
      <c r="B5651" s="23" t="s">
        <v>1056</v>
      </c>
      <c r="C5651" s="23" t="s">
        <v>176</v>
      </c>
      <c r="D5651" s="23" t="s">
        <v>138</v>
      </c>
      <c r="E5651" s="23" t="s">
        <v>139</v>
      </c>
      <c r="F5651">
        <v>2</v>
      </c>
      <c r="G5651" s="23" t="s">
        <v>177</v>
      </c>
      <c r="H5651">
        <v>2</v>
      </c>
      <c r="I5651">
        <v>23</v>
      </c>
      <c r="J5651" s="10">
        <v>22</v>
      </c>
      <c r="K56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651">
        <v>10</v>
      </c>
      <c r="M56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1">
        <v>71.77</v>
      </c>
      <c r="O5651" s="23" t="s">
        <v>228</v>
      </c>
      <c r="P5651">
        <v>143.54</v>
      </c>
      <c r="Q5651" s="23" t="s">
        <v>222</v>
      </c>
    </row>
    <row r="5652" spans="1:17" x14ac:dyDescent="0.25">
      <c r="A5652" s="23" t="s">
        <v>1058</v>
      </c>
      <c r="B5652" s="23" t="s">
        <v>1059</v>
      </c>
      <c r="C5652" s="23" t="s">
        <v>176</v>
      </c>
      <c r="D5652" s="23" t="s">
        <v>735</v>
      </c>
      <c r="E5652" s="23" t="s">
        <v>736</v>
      </c>
      <c r="F5652">
        <v>1</v>
      </c>
      <c r="G5652" s="23" t="s">
        <v>177</v>
      </c>
      <c r="H5652">
        <v>1</v>
      </c>
      <c r="I5652">
        <v>12</v>
      </c>
      <c r="J5652" s="10">
        <v>15</v>
      </c>
      <c r="K56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652">
        <v>0</v>
      </c>
      <c r="M56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565.83000000000004</v>
      </c>
      <c r="N5652">
        <v>565.83000000000004</v>
      </c>
      <c r="O5652" s="23" t="s">
        <v>668</v>
      </c>
      <c r="P5652">
        <v>565.83000000000004</v>
      </c>
      <c r="Q5652" s="23" t="s">
        <v>678</v>
      </c>
    </row>
    <row r="5653" spans="1:17" x14ac:dyDescent="0.25">
      <c r="A5653" s="23" t="s">
        <v>1099</v>
      </c>
      <c r="B5653" s="23" t="s">
        <v>1056</v>
      </c>
      <c r="C5653" s="23" t="s">
        <v>176</v>
      </c>
      <c r="D5653" s="23" t="s">
        <v>1081</v>
      </c>
      <c r="E5653" s="23" t="s">
        <v>1082</v>
      </c>
      <c r="F5653">
        <v>2</v>
      </c>
      <c r="G5653" s="23" t="s">
        <v>177</v>
      </c>
      <c r="H5653">
        <v>2</v>
      </c>
      <c r="I5653">
        <v>17</v>
      </c>
      <c r="J5653" s="10">
        <v>16</v>
      </c>
      <c r="K56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653">
        <v>30</v>
      </c>
      <c r="M56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3">
        <v>67.22</v>
      </c>
      <c r="O5653" s="23" t="s">
        <v>593</v>
      </c>
      <c r="P5653">
        <v>134.44</v>
      </c>
      <c r="Q5653" s="23" t="s">
        <v>179</v>
      </c>
    </row>
    <row r="5654" spans="1:17" x14ac:dyDescent="0.25">
      <c r="A5654" s="23" t="s">
        <v>1144</v>
      </c>
      <c r="B5654" s="23" t="s">
        <v>1145</v>
      </c>
      <c r="C5654" s="23" t="s">
        <v>176</v>
      </c>
      <c r="D5654" s="23" t="s">
        <v>1081</v>
      </c>
      <c r="E5654" s="23" t="s">
        <v>1082</v>
      </c>
      <c r="F5654">
        <v>2</v>
      </c>
      <c r="G5654" s="23" t="s">
        <v>177</v>
      </c>
      <c r="H5654">
        <v>0</v>
      </c>
      <c r="I5654">
        <v>17</v>
      </c>
      <c r="J5654" s="10">
        <v>16</v>
      </c>
      <c r="K56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654">
        <v>30</v>
      </c>
      <c r="M56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4">
        <v>67.22</v>
      </c>
      <c r="O5654" s="23" t="s">
        <v>593</v>
      </c>
      <c r="P5654">
        <v>134.44</v>
      </c>
      <c r="Q5654" s="23" t="s">
        <v>179</v>
      </c>
    </row>
    <row r="5655" spans="1:17" x14ac:dyDescent="0.25">
      <c r="A5655" s="23" t="s">
        <v>1100</v>
      </c>
      <c r="B5655" s="23" t="s">
        <v>1101</v>
      </c>
      <c r="C5655" s="23" t="s">
        <v>176</v>
      </c>
      <c r="D5655" s="23" t="s">
        <v>517</v>
      </c>
      <c r="E5655" s="23" t="s">
        <v>518</v>
      </c>
      <c r="F5655">
        <v>2</v>
      </c>
      <c r="G5655" s="23" t="s">
        <v>177</v>
      </c>
      <c r="H5655">
        <v>2</v>
      </c>
      <c r="I5655">
        <v>91</v>
      </c>
      <c r="J5655" s="10">
        <v>17.799999999999994</v>
      </c>
      <c r="K56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-74.5</v>
      </c>
      <c r="L5655">
        <v>0</v>
      </c>
      <c r="M56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5">
        <v>85</v>
      </c>
      <c r="O5655" s="23" t="s">
        <v>347</v>
      </c>
      <c r="P5655">
        <v>170</v>
      </c>
      <c r="Q5655" s="23" t="s">
        <v>181</v>
      </c>
    </row>
    <row r="5656" spans="1:17" x14ac:dyDescent="0.25">
      <c r="A5656" s="23" t="s">
        <v>1097</v>
      </c>
      <c r="B5656" s="23" t="s">
        <v>1095</v>
      </c>
      <c r="C5656" s="23" t="s">
        <v>176</v>
      </c>
      <c r="D5656" s="23" t="s">
        <v>717</v>
      </c>
      <c r="E5656" s="23" t="s">
        <v>718</v>
      </c>
      <c r="F5656">
        <v>0.2</v>
      </c>
      <c r="G5656" s="23" t="s">
        <v>180</v>
      </c>
      <c r="H5656">
        <v>0</v>
      </c>
      <c r="I5656">
        <v>200</v>
      </c>
      <c r="J5656" s="10">
        <v>85.649999999999977</v>
      </c>
      <c r="K56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5656">
        <v>0</v>
      </c>
      <c r="M56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6">
        <v>3.62</v>
      </c>
      <c r="O5656" s="23" t="s">
        <v>827</v>
      </c>
      <c r="P5656">
        <v>0.72400000000000009</v>
      </c>
      <c r="Q5656" s="23" t="s">
        <v>222</v>
      </c>
    </row>
    <row r="5657" spans="1:17" x14ac:dyDescent="0.25">
      <c r="A5657" s="23" t="s">
        <v>1143</v>
      </c>
      <c r="B5657" s="23" t="s">
        <v>1054</v>
      </c>
      <c r="C5657" s="23" t="s">
        <v>176</v>
      </c>
      <c r="D5657" s="23" t="s">
        <v>739</v>
      </c>
      <c r="E5657" s="23" t="s">
        <v>740</v>
      </c>
      <c r="F5657">
        <v>1</v>
      </c>
      <c r="G5657" s="23" t="s">
        <v>177</v>
      </c>
      <c r="H5657">
        <v>0</v>
      </c>
      <c r="I5657">
        <v>12</v>
      </c>
      <c r="J5657" s="10">
        <v>14</v>
      </c>
      <c r="K56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657">
        <v>0</v>
      </c>
      <c r="M56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5657">
        <v>116.67</v>
      </c>
      <c r="O5657" s="23" t="s">
        <v>668</v>
      </c>
      <c r="P5657">
        <v>116.67</v>
      </c>
      <c r="Q5657" s="23" t="s">
        <v>178</v>
      </c>
    </row>
    <row r="5658" spans="1:17" x14ac:dyDescent="0.25">
      <c r="A5658" s="23" t="s">
        <v>1058</v>
      </c>
      <c r="B5658" s="23" t="s">
        <v>1059</v>
      </c>
      <c r="C5658" s="23" t="s">
        <v>176</v>
      </c>
      <c r="D5658" s="23" t="s">
        <v>759</v>
      </c>
      <c r="E5658" s="23" t="s">
        <v>760</v>
      </c>
      <c r="F5658">
        <v>1</v>
      </c>
      <c r="G5658" s="23" t="s">
        <v>177</v>
      </c>
      <c r="H5658">
        <v>1</v>
      </c>
      <c r="I5658">
        <v>7</v>
      </c>
      <c r="J5658" s="10">
        <v>4</v>
      </c>
      <c r="K56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658">
        <v>0</v>
      </c>
      <c r="M56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8">
        <v>8495.43</v>
      </c>
      <c r="O5658" s="23" t="s">
        <v>277</v>
      </c>
      <c r="P5658">
        <v>8495.43</v>
      </c>
      <c r="Q5658" s="23" t="s">
        <v>178</v>
      </c>
    </row>
    <row r="5659" spans="1:17" x14ac:dyDescent="0.25">
      <c r="A5659" s="23" t="s">
        <v>1100</v>
      </c>
      <c r="B5659" s="23" t="s">
        <v>1101</v>
      </c>
      <c r="C5659" s="23" t="s">
        <v>176</v>
      </c>
      <c r="D5659" s="23" t="s">
        <v>702</v>
      </c>
      <c r="E5659" s="23" t="s">
        <v>703</v>
      </c>
      <c r="F5659">
        <v>4</v>
      </c>
      <c r="G5659" s="23" t="s">
        <v>177</v>
      </c>
      <c r="H5659">
        <v>0</v>
      </c>
      <c r="I5659">
        <v>100</v>
      </c>
      <c r="J5659" s="10">
        <v>52</v>
      </c>
      <c r="K56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</v>
      </c>
      <c r="L5659">
        <v>0</v>
      </c>
      <c r="M56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59">
        <v>1.1299999999999999</v>
      </c>
      <c r="O5659" s="23" t="s">
        <v>827</v>
      </c>
      <c r="P5659">
        <v>4.5199999999999996</v>
      </c>
      <c r="Q5659" s="23" t="s">
        <v>222</v>
      </c>
    </row>
    <row r="5660" spans="1:17" x14ac:dyDescent="0.25">
      <c r="A5660" s="23" t="s">
        <v>1058</v>
      </c>
      <c r="B5660" s="23" t="s">
        <v>1059</v>
      </c>
      <c r="C5660" s="23" t="s">
        <v>176</v>
      </c>
      <c r="D5660" s="23" t="s">
        <v>211</v>
      </c>
      <c r="E5660" s="23" t="s">
        <v>212</v>
      </c>
      <c r="F5660">
        <v>1</v>
      </c>
      <c r="G5660" s="23" t="s">
        <v>177</v>
      </c>
      <c r="H5660">
        <v>1</v>
      </c>
      <c r="I5660">
        <v>23</v>
      </c>
      <c r="J5660" s="10">
        <v>8</v>
      </c>
      <c r="K56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5660">
        <v>40</v>
      </c>
      <c r="M56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0">
        <v>312</v>
      </c>
      <c r="O5660" s="23" t="s">
        <v>218</v>
      </c>
      <c r="P5660">
        <v>312</v>
      </c>
      <c r="Q5660" s="23" t="s">
        <v>178</v>
      </c>
    </row>
    <row r="5661" spans="1:17" x14ac:dyDescent="0.25">
      <c r="A5661" s="23" t="s">
        <v>1058</v>
      </c>
      <c r="B5661" s="23" t="s">
        <v>1059</v>
      </c>
      <c r="C5661" s="23" t="s">
        <v>176</v>
      </c>
      <c r="D5661" s="23" t="s">
        <v>36</v>
      </c>
      <c r="E5661" s="23" t="s">
        <v>37</v>
      </c>
      <c r="F5661">
        <v>3</v>
      </c>
      <c r="G5661" s="23" t="s">
        <v>177</v>
      </c>
      <c r="H5661">
        <v>3</v>
      </c>
      <c r="I5661">
        <v>35</v>
      </c>
      <c r="J5661" s="10">
        <v>24</v>
      </c>
      <c r="K56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661">
        <v>0</v>
      </c>
      <c r="M56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661">
        <v>1750</v>
      </c>
      <c r="O5661" s="23" t="s">
        <v>1221</v>
      </c>
      <c r="P5661">
        <v>5250</v>
      </c>
      <c r="Q5661" s="23" t="s">
        <v>222</v>
      </c>
    </row>
    <row r="5662" spans="1:17" x14ac:dyDescent="0.25">
      <c r="A5662" s="23" t="s">
        <v>1100</v>
      </c>
      <c r="B5662" s="23" t="s">
        <v>1101</v>
      </c>
      <c r="C5662" s="23" t="s">
        <v>176</v>
      </c>
      <c r="D5662" s="23" t="s">
        <v>240</v>
      </c>
      <c r="E5662" s="23" t="s">
        <v>241</v>
      </c>
      <c r="F5662">
        <v>6.45</v>
      </c>
      <c r="G5662" s="23" t="s">
        <v>186</v>
      </c>
      <c r="H5662">
        <v>6.45</v>
      </c>
      <c r="I5662">
        <v>110</v>
      </c>
      <c r="J5662" s="10">
        <v>57.22</v>
      </c>
      <c r="K56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662">
        <v>0</v>
      </c>
      <c r="M56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2">
        <v>40</v>
      </c>
      <c r="O5662" s="23" t="s">
        <v>242</v>
      </c>
      <c r="P5662">
        <v>258</v>
      </c>
      <c r="Q5662" s="23" t="s">
        <v>181</v>
      </c>
    </row>
    <row r="5663" spans="1:17" x14ac:dyDescent="0.25">
      <c r="A5663" s="23" t="s">
        <v>1197</v>
      </c>
      <c r="B5663" s="23" t="s">
        <v>1198</v>
      </c>
      <c r="C5663" s="23" t="s">
        <v>176</v>
      </c>
      <c r="D5663" s="23" t="s">
        <v>85</v>
      </c>
      <c r="E5663" s="23" t="s">
        <v>86</v>
      </c>
      <c r="F5663">
        <v>2</v>
      </c>
      <c r="G5663" s="23" t="s">
        <v>177</v>
      </c>
      <c r="H5663">
        <v>0</v>
      </c>
      <c r="I5663">
        <v>44</v>
      </c>
      <c r="J5663" s="10">
        <v>12</v>
      </c>
      <c r="K56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663">
        <v>0</v>
      </c>
      <c r="M56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3">
        <v>375</v>
      </c>
      <c r="O5663" s="23" t="s">
        <v>249</v>
      </c>
      <c r="P5663">
        <v>750</v>
      </c>
      <c r="Q5663" s="23" t="s">
        <v>178</v>
      </c>
    </row>
    <row r="5664" spans="1:17" x14ac:dyDescent="0.25">
      <c r="A5664" s="23" t="s">
        <v>1055</v>
      </c>
      <c r="B5664" s="23" t="s">
        <v>1056</v>
      </c>
      <c r="C5664" s="23" t="s">
        <v>176</v>
      </c>
      <c r="D5664" s="23" t="s">
        <v>240</v>
      </c>
      <c r="E5664" s="23" t="s">
        <v>241</v>
      </c>
      <c r="F5664">
        <v>5.25</v>
      </c>
      <c r="G5664" s="23" t="s">
        <v>186</v>
      </c>
      <c r="H5664">
        <v>5.25</v>
      </c>
      <c r="I5664">
        <v>110</v>
      </c>
      <c r="J5664" s="10">
        <v>57.22</v>
      </c>
      <c r="K56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664">
        <v>0</v>
      </c>
      <c r="M56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4">
        <v>40</v>
      </c>
      <c r="O5664" s="23" t="s">
        <v>242</v>
      </c>
      <c r="P5664">
        <v>210</v>
      </c>
      <c r="Q5664" s="23" t="s">
        <v>181</v>
      </c>
    </row>
    <row r="5665" spans="1:17" x14ac:dyDescent="0.25">
      <c r="A5665" s="23" t="s">
        <v>1057</v>
      </c>
      <c r="B5665" s="23" t="s">
        <v>1056</v>
      </c>
      <c r="C5665" s="23" t="s">
        <v>176</v>
      </c>
      <c r="D5665" s="23" t="s">
        <v>240</v>
      </c>
      <c r="E5665" s="23" t="s">
        <v>241</v>
      </c>
      <c r="F5665">
        <v>5.25</v>
      </c>
      <c r="G5665" s="23" t="s">
        <v>186</v>
      </c>
      <c r="H5665">
        <v>5.25</v>
      </c>
      <c r="I5665">
        <v>110</v>
      </c>
      <c r="J5665" s="10">
        <v>57.22</v>
      </c>
      <c r="K56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665">
        <v>0</v>
      </c>
      <c r="M56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5">
        <v>40</v>
      </c>
      <c r="O5665" s="23" t="s">
        <v>242</v>
      </c>
      <c r="P5665">
        <v>210</v>
      </c>
      <c r="Q5665" s="23" t="s">
        <v>181</v>
      </c>
    </row>
    <row r="5666" spans="1:17" x14ac:dyDescent="0.25">
      <c r="A5666" s="23" t="s">
        <v>1096</v>
      </c>
      <c r="B5666" s="23" t="s">
        <v>1053</v>
      </c>
      <c r="C5666" s="23" t="s">
        <v>176</v>
      </c>
      <c r="D5666" s="23" t="s">
        <v>240</v>
      </c>
      <c r="E5666" s="23" t="s">
        <v>241</v>
      </c>
      <c r="F5666">
        <v>4.07</v>
      </c>
      <c r="G5666" s="23" t="s">
        <v>186</v>
      </c>
      <c r="H5666">
        <v>4.07</v>
      </c>
      <c r="I5666">
        <v>110</v>
      </c>
      <c r="J5666" s="10">
        <v>57.22</v>
      </c>
      <c r="K56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-78.660000000000025</v>
      </c>
      <c r="L5666">
        <v>0</v>
      </c>
      <c r="M56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6">
        <v>40</v>
      </c>
      <c r="O5666" s="23" t="s">
        <v>242</v>
      </c>
      <c r="P5666">
        <v>162.80000000000001</v>
      </c>
      <c r="Q5666" s="23" t="s">
        <v>181</v>
      </c>
    </row>
    <row r="5667" spans="1:17" x14ac:dyDescent="0.25">
      <c r="A5667" s="23" t="s">
        <v>1055</v>
      </c>
      <c r="B5667" s="23" t="s">
        <v>1056</v>
      </c>
      <c r="C5667" s="23" t="s">
        <v>176</v>
      </c>
      <c r="D5667" s="23" t="s">
        <v>447</v>
      </c>
      <c r="E5667" s="23" t="s">
        <v>448</v>
      </c>
      <c r="F5667">
        <v>1</v>
      </c>
      <c r="G5667" s="23" t="s">
        <v>177</v>
      </c>
      <c r="H5667">
        <v>1</v>
      </c>
      <c r="I5667">
        <v>15</v>
      </c>
      <c r="J5667" s="10">
        <v>11</v>
      </c>
      <c r="K56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67">
        <v>0</v>
      </c>
      <c r="M56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7">
        <v>237.5</v>
      </c>
      <c r="O5667" s="23" t="s">
        <v>629</v>
      </c>
      <c r="P5667">
        <v>237.5</v>
      </c>
      <c r="Q5667" s="23" t="s">
        <v>181</v>
      </c>
    </row>
    <row r="5668" spans="1:17" x14ac:dyDescent="0.25">
      <c r="A5668" s="23" t="s">
        <v>1057</v>
      </c>
      <c r="B5668" s="23" t="s">
        <v>1056</v>
      </c>
      <c r="C5668" s="23" t="s">
        <v>176</v>
      </c>
      <c r="D5668" s="23" t="s">
        <v>447</v>
      </c>
      <c r="E5668" s="23" t="s">
        <v>448</v>
      </c>
      <c r="F5668">
        <v>1</v>
      </c>
      <c r="G5668" s="23" t="s">
        <v>177</v>
      </c>
      <c r="H5668">
        <v>1</v>
      </c>
      <c r="I5668">
        <v>15</v>
      </c>
      <c r="J5668" s="10">
        <v>11</v>
      </c>
      <c r="K56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68">
        <v>0</v>
      </c>
      <c r="M56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8">
        <v>237.5</v>
      </c>
      <c r="O5668" s="23" t="s">
        <v>629</v>
      </c>
      <c r="P5668">
        <v>237.5</v>
      </c>
      <c r="Q5668" s="23" t="s">
        <v>181</v>
      </c>
    </row>
    <row r="5669" spans="1:17" x14ac:dyDescent="0.25">
      <c r="A5669" s="23" t="s">
        <v>1096</v>
      </c>
      <c r="B5669" s="23" t="s">
        <v>1053</v>
      </c>
      <c r="C5669" s="23" t="s">
        <v>176</v>
      </c>
      <c r="D5669" s="23" t="s">
        <v>447</v>
      </c>
      <c r="E5669" s="23" t="s">
        <v>448</v>
      </c>
      <c r="F5669">
        <v>2</v>
      </c>
      <c r="G5669" s="23" t="s">
        <v>177</v>
      </c>
      <c r="H5669">
        <v>2</v>
      </c>
      <c r="I5669">
        <v>15</v>
      </c>
      <c r="J5669" s="10">
        <v>11</v>
      </c>
      <c r="K56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69">
        <v>0</v>
      </c>
      <c r="M56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69">
        <v>237.5</v>
      </c>
      <c r="O5669" s="23" t="s">
        <v>629</v>
      </c>
      <c r="P5669">
        <v>475</v>
      </c>
      <c r="Q5669" s="23" t="s">
        <v>181</v>
      </c>
    </row>
    <row r="5670" spans="1:17" x14ac:dyDescent="0.25">
      <c r="A5670" s="23" t="s">
        <v>1149</v>
      </c>
      <c r="B5670" s="23" t="s">
        <v>1145</v>
      </c>
      <c r="C5670" s="23" t="s">
        <v>176</v>
      </c>
      <c r="D5670" s="23" t="s">
        <v>32</v>
      </c>
      <c r="E5670" s="23" t="s">
        <v>33</v>
      </c>
      <c r="F5670">
        <v>1</v>
      </c>
      <c r="G5670" s="23" t="s">
        <v>177</v>
      </c>
      <c r="H5670">
        <v>0</v>
      </c>
      <c r="I5670">
        <v>0</v>
      </c>
      <c r="J5670" s="10">
        <v>16</v>
      </c>
      <c r="K56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670">
        <v>20</v>
      </c>
      <c r="M56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10905.68</v>
      </c>
      <c r="N5670">
        <v>2726.42</v>
      </c>
      <c r="O5670" s="23" t="s">
        <v>1226</v>
      </c>
      <c r="P5670">
        <v>2726.42</v>
      </c>
      <c r="Q5670" s="23" t="s">
        <v>185</v>
      </c>
    </row>
    <row r="5671" spans="1:17" x14ac:dyDescent="0.25">
      <c r="A5671" s="23" t="s">
        <v>1096</v>
      </c>
      <c r="B5671" s="23" t="s">
        <v>1053</v>
      </c>
      <c r="C5671" s="23" t="s">
        <v>176</v>
      </c>
      <c r="D5671" s="23" t="s">
        <v>602</v>
      </c>
      <c r="E5671" s="23" t="s">
        <v>603</v>
      </c>
      <c r="F5671">
        <v>2</v>
      </c>
      <c r="G5671" s="23" t="s">
        <v>177</v>
      </c>
      <c r="H5671">
        <v>2</v>
      </c>
      <c r="I5671">
        <v>28</v>
      </c>
      <c r="J5671" s="10">
        <v>6</v>
      </c>
      <c r="K56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671">
        <v>0</v>
      </c>
      <c r="M56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1">
        <v>50.41</v>
      </c>
      <c r="O5671" s="23" t="s">
        <v>637</v>
      </c>
      <c r="P5671">
        <v>100.82</v>
      </c>
      <c r="Q5671" s="23" t="s">
        <v>178</v>
      </c>
    </row>
    <row r="5672" spans="1:17" x14ac:dyDescent="0.25">
      <c r="A5672" s="23" t="s">
        <v>1096</v>
      </c>
      <c r="B5672" s="23" t="s">
        <v>1053</v>
      </c>
      <c r="C5672" s="23" t="s">
        <v>176</v>
      </c>
      <c r="D5672" s="23" t="s">
        <v>1079</v>
      </c>
      <c r="E5672" s="23" t="s">
        <v>1080</v>
      </c>
      <c r="F5672">
        <v>1</v>
      </c>
      <c r="G5672" s="23" t="s">
        <v>177</v>
      </c>
      <c r="H5672">
        <v>1</v>
      </c>
      <c r="I5672">
        <v>1</v>
      </c>
      <c r="J5672" s="10">
        <v>2</v>
      </c>
      <c r="K56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72">
        <v>0</v>
      </c>
      <c r="M56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2">
        <v>1050</v>
      </c>
      <c r="O5672" s="23" t="s">
        <v>291</v>
      </c>
      <c r="P5672">
        <v>1050</v>
      </c>
      <c r="Q5672" s="23" t="s">
        <v>179</v>
      </c>
    </row>
    <row r="5673" spans="1:17" x14ac:dyDescent="0.25">
      <c r="A5673" s="23" t="s">
        <v>1055</v>
      </c>
      <c r="B5673" s="23" t="s">
        <v>1056</v>
      </c>
      <c r="C5673" s="23" t="s">
        <v>176</v>
      </c>
      <c r="D5673" s="23" t="s">
        <v>36</v>
      </c>
      <c r="E5673" s="23" t="s">
        <v>37</v>
      </c>
      <c r="F5673">
        <v>3</v>
      </c>
      <c r="G5673" s="23" t="s">
        <v>177</v>
      </c>
      <c r="H5673">
        <v>3</v>
      </c>
      <c r="I5673">
        <v>35</v>
      </c>
      <c r="J5673" s="10">
        <v>24</v>
      </c>
      <c r="K56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673">
        <v>0</v>
      </c>
      <c r="M56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673">
        <v>1750</v>
      </c>
      <c r="O5673" s="23" t="s">
        <v>1221</v>
      </c>
      <c r="P5673">
        <v>5250</v>
      </c>
      <c r="Q5673" s="23" t="s">
        <v>222</v>
      </c>
    </row>
    <row r="5674" spans="1:17" x14ac:dyDescent="0.25">
      <c r="A5674" s="23" t="s">
        <v>1099</v>
      </c>
      <c r="B5674" s="23" t="s">
        <v>1056</v>
      </c>
      <c r="C5674" s="23" t="s">
        <v>176</v>
      </c>
      <c r="D5674" s="23" t="s">
        <v>934</v>
      </c>
      <c r="E5674" s="23" t="s">
        <v>935</v>
      </c>
      <c r="F5674">
        <v>2</v>
      </c>
      <c r="G5674" s="23" t="s">
        <v>177</v>
      </c>
      <c r="H5674">
        <v>2</v>
      </c>
      <c r="I5674">
        <v>33</v>
      </c>
      <c r="J5674" s="10">
        <v>16</v>
      </c>
      <c r="K56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74">
        <v>0</v>
      </c>
      <c r="M56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4">
        <v>930</v>
      </c>
      <c r="O5674" s="23" t="s">
        <v>221</v>
      </c>
      <c r="P5674">
        <v>1860</v>
      </c>
      <c r="Q5674" s="23" t="s">
        <v>222</v>
      </c>
    </row>
    <row r="5675" spans="1:17" x14ac:dyDescent="0.25">
      <c r="A5675" s="23" t="s">
        <v>1142</v>
      </c>
      <c r="B5675" s="23" t="s">
        <v>1054</v>
      </c>
      <c r="C5675" s="23" t="s">
        <v>176</v>
      </c>
      <c r="D5675" s="23" t="s">
        <v>308</v>
      </c>
      <c r="E5675" s="23" t="s">
        <v>309</v>
      </c>
      <c r="F5675">
        <v>1</v>
      </c>
      <c r="G5675" s="23" t="s">
        <v>177</v>
      </c>
      <c r="H5675">
        <v>0</v>
      </c>
      <c r="I5675">
        <v>13</v>
      </c>
      <c r="J5675" s="10">
        <v>1</v>
      </c>
      <c r="K56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675">
        <v>0</v>
      </c>
      <c r="M56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1570.08</v>
      </c>
      <c r="N5675">
        <v>65.42</v>
      </c>
      <c r="O5675" s="23" t="s">
        <v>629</v>
      </c>
      <c r="P5675">
        <v>65.42</v>
      </c>
      <c r="Q5675" s="23" t="s">
        <v>179</v>
      </c>
    </row>
    <row r="5676" spans="1:17" x14ac:dyDescent="0.25">
      <c r="A5676" s="23" t="s">
        <v>1057</v>
      </c>
      <c r="B5676" s="23" t="s">
        <v>1056</v>
      </c>
      <c r="C5676" s="23" t="s">
        <v>176</v>
      </c>
      <c r="D5676" s="23" t="s">
        <v>578</v>
      </c>
      <c r="E5676" s="23" t="s">
        <v>579</v>
      </c>
      <c r="F5676">
        <v>0.2</v>
      </c>
      <c r="G5676" s="23" t="s">
        <v>186</v>
      </c>
      <c r="H5676">
        <v>0.2</v>
      </c>
      <c r="I5676">
        <v>12</v>
      </c>
      <c r="J5676" s="10">
        <v>1.2000000000000011</v>
      </c>
      <c r="K56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-10.199999999999999</v>
      </c>
      <c r="L5676">
        <v>0</v>
      </c>
      <c r="M56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6">
        <v>221.8</v>
      </c>
      <c r="O5676" s="23" t="s">
        <v>491</v>
      </c>
      <c r="P5676">
        <v>44.360000000000007</v>
      </c>
      <c r="Q5676" s="23" t="s">
        <v>184</v>
      </c>
    </row>
    <row r="5677" spans="1:17" x14ac:dyDescent="0.25">
      <c r="A5677" s="23" t="s">
        <v>1057</v>
      </c>
      <c r="B5677" s="23" t="s">
        <v>1056</v>
      </c>
      <c r="C5677" s="23" t="s">
        <v>176</v>
      </c>
      <c r="D5677" s="23" t="s">
        <v>34</v>
      </c>
      <c r="E5677" s="23" t="s">
        <v>35</v>
      </c>
      <c r="F5677">
        <v>1</v>
      </c>
      <c r="G5677" s="23" t="s">
        <v>177</v>
      </c>
      <c r="H5677">
        <v>1</v>
      </c>
      <c r="I5677">
        <v>8</v>
      </c>
      <c r="J5677" s="10">
        <v>8</v>
      </c>
      <c r="K56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677">
        <v>10</v>
      </c>
      <c r="M56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7">
        <v>62.83</v>
      </c>
      <c r="O5677" s="23" t="s">
        <v>1104</v>
      </c>
      <c r="P5677">
        <v>62.83</v>
      </c>
      <c r="Q5677" s="23" t="s">
        <v>222</v>
      </c>
    </row>
    <row r="5678" spans="1:17" x14ac:dyDescent="0.25">
      <c r="A5678" s="23" t="s">
        <v>1146</v>
      </c>
      <c r="B5678" s="23" t="s">
        <v>1145</v>
      </c>
      <c r="C5678" s="23" t="s">
        <v>176</v>
      </c>
      <c r="D5678" s="23" t="s">
        <v>34</v>
      </c>
      <c r="E5678" s="23" t="s">
        <v>35</v>
      </c>
      <c r="F5678">
        <v>1</v>
      </c>
      <c r="G5678" s="23" t="s">
        <v>177</v>
      </c>
      <c r="H5678">
        <v>1</v>
      </c>
      <c r="I5678">
        <v>8</v>
      </c>
      <c r="J5678" s="10">
        <v>8</v>
      </c>
      <c r="K56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678">
        <v>10</v>
      </c>
      <c r="M56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8">
        <v>62.83</v>
      </c>
      <c r="O5678" s="23" t="s">
        <v>1104</v>
      </c>
      <c r="P5678">
        <v>62.83</v>
      </c>
      <c r="Q5678" s="23" t="s">
        <v>222</v>
      </c>
    </row>
    <row r="5679" spans="1:17" x14ac:dyDescent="0.25">
      <c r="A5679" s="23" t="s">
        <v>1055</v>
      </c>
      <c r="B5679" s="23" t="s">
        <v>1056</v>
      </c>
      <c r="C5679" s="23" t="s">
        <v>176</v>
      </c>
      <c r="D5679" s="23" t="s">
        <v>211</v>
      </c>
      <c r="E5679" s="23" t="s">
        <v>212</v>
      </c>
      <c r="F5679">
        <v>1</v>
      </c>
      <c r="G5679" s="23" t="s">
        <v>177</v>
      </c>
      <c r="H5679">
        <v>1</v>
      </c>
      <c r="I5679">
        <v>23</v>
      </c>
      <c r="J5679" s="10">
        <v>8</v>
      </c>
      <c r="K56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5679">
        <v>40</v>
      </c>
      <c r="M56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79">
        <v>312</v>
      </c>
      <c r="O5679" s="23" t="s">
        <v>218</v>
      </c>
      <c r="P5679">
        <v>312</v>
      </c>
      <c r="Q5679" s="23" t="s">
        <v>178</v>
      </c>
    </row>
    <row r="5680" spans="1:17" x14ac:dyDescent="0.25">
      <c r="A5680" s="23" t="s">
        <v>1057</v>
      </c>
      <c r="B5680" s="23" t="s">
        <v>1056</v>
      </c>
      <c r="C5680" s="23" t="s">
        <v>176</v>
      </c>
      <c r="D5680" s="23" t="s">
        <v>211</v>
      </c>
      <c r="E5680" s="23" t="s">
        <v>212</v>
      </c>
      <c r="F5680">
        <v>1</v>
      </c>
      <c r="G5680" s="23" t="s">
        <v>177</v>
      </c>
      <c r="H5680">
        <v>1</v>
      </c>
      <c r="I5680">
        <v>23</v>
      </c>
      <c r="J5680" s="10">
        <v>8</v>
      </c>
      <c r="K56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5680">
        <v>40</v>
      </c>
      <c r="M56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0">
        <v>312</v>
      </c>
      <c r="O5680" s="23" t="s">
        <v>218</v>
      </c>
      <c r="P5680">
        <v>312</v>
      </c>
      <c r="Q5680" s="23" t="s">
        <v>178</v>
      </c>
    </row>
    <row r="5681" spans="1:17" x14ac:dyDescent="0.25">
      <c r="A5681" s="23" t="s">
        <v>1096</v>
      </c>
      <c r="B5681" s="23" t="s">
        <v>1053</v>
      </c>
      <c r="C5681" s="23" t="s">
        <v>176</v>
      </c>
      <c r="D5681" s="23" t="s">
        <v>211</v>
      </c>
      <c r="E5681" s="23" t="s">
        <v>212</v>
      </c>
      <c r="F5681">
        <v>1</v>
      </c>
      <c r="G5681" s="23" t="s">
        <v>177</v>
      </c>
      <c r="H5681">
        <v>1</v>
      </c>
      <c r="I5681">
        <v>23</v>
      </c>
      <c r="J5681" s="10">
        <v>8</v>
      </c>
      <c r="K56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5681">
        <v>40</v>
      </c>
      <c r="M56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1">
        <v>312</v>
      </c>
      <c r="O5681" s="23" t="s">
        <v>218</v>
      </c>
      <c r="P5681">
        <v>312</v>
      </c>
      <c r="Q5681" s="23" t="s">
        <v>178</v>
      </c>
    </row>
    <row r="5682" spans="1:17" x14ac:dyDescent="0.25">
      <c r="A5682" s="23" t="s">
        <v>1099</v>
      </c>
      <c r="B5682" s="23" t="s">
        <v>1056</v>
      </c>
      <c r="C5682" s="23" t="s">
        <v>176</v>
      </c>
      <c r="D5682" s="23" t="s">
        <v>19</v>
      </c>
      <c r="E5682" s="23" t="s">
        <v>20</v>
      </c>
      <c r="F5682">
        <v>3</v>
      </c>
      <c r="G5682" s="23" t="s">
        <v>177</v>
      </c>
      <c r="H5682">
        <v>3</v>
      </c>
      <c r="I5682">
        <v>13</v>
      </c>
      <c r="J5682" s="10">
        <v>22</v>
      </c>
      <c r="K56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682">
        <v>30</v>
      </c>
      <c r="M56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2">
        <v>122.1</v>
      </c>
      <c r="O5682" s="23" t="s">
        <v>228</v>
      </c>
      <c r="P5682">
        <v>366.29999999999995</v>
      </c>
      <c r="Q5682" s="23" t="s">
        <v>222</v>
      </c>
    </row>
    <row r="5683" spans="1:17" x14ac:dyDescent="0.25">
      <c r="A5683" s="23" t="s">
        <v>1055</v>
      </c>
      <c r="B5683" s="23" t="s">
        <v>1056</v>
      </c>
      <c r="C5683" s="23" t="s">
        <v>176</v>
      </c>
      <c r="D5683" s="23" t="s">
        <v>506</v>
      </c>
      <c r="E5683" s="23" t="s">
        <v>507</v>
      </c>
      <c r="F5683">
        <v>1</v>
      </c>
      <c r="G5683" s="23" t="s">
        <v>177</v>
      </c>
      <c r="H5683">
        <v>1</v>
      </c>
      <c r="I5683">
        <v>8</v>
      </c>
      <c r="J5683" s="10">
        <v>9</v>
      </c>
      <c r="K56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83">
        <v>36</v>
      </c>
      <c r="M56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3">
        <v>101.4</v>
      </c>
      <c r="O5683" s="23" t="s">
        <v>1065</v>
      </c>
      <c r="P5683">
        <v>101.4</v>
      </c>
      <c r="Q5683" s="23" t="s">
        <v>222</v>
      </c>
    </row>
    <row r="5684" spans="1:17" x14ac:dyDescent="0.25">
      <c r="A5684" s="23" t="s">
        <v>1099</v>
      </c>
      <c r="B5684" s="23" t="s">
        <v>1056</v>
      </c>
      <c r="C5684" s="23" t="s">
        <v>176</v>
      </c>
      <c r="D5684" s="23" t="s">
        <v>506</v>
      </c>
      <c r="E5684" s="23" t="s">
        <v>507</v>
      </c>
      <c r="F5684">
        <v>1</v>
      </c>
      <c r="G5684" s="23" t="s">
        <v>177</v>
      </c>
      <c r="H5684">
        <v>1</v>
      </c>
      <c r="I5684">
        <v>8</v>
      </c>
      <c r="J5684" s="10">
        <v>9</v>
      </c>
      <c r="K56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684">
        <v>36</v>
      </c>
      <c r="M56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4">
        <v>101.4</v>
      </c>
      <c r="O5684" s="23" t="s">
        <v>1065</v>
      </c>
      <c r="P5684">
        <v>101.4</v>
      </c>
      <c r="Q5684" s="23" t="s">
        <v>222</v>
      </c>
    </row>
    <row r="5685" spans="1:17" x14ac:dyDescent="0.25">
      <c r="A5685" s="23" t="s">
        <v>1094</v>
      </c>
      <c r="B5685" s="23" t="s">
        <v>1095</v>
      </c>
      <c r="C5685" s="23" t="s">
        <v>176</v>
      </c>
      <c r="D5685" s="23" t="s">
        <v>77</v>
      </c>
      <c r="E5685" s="23" t="s">
        <v>78</v>
      </c>
      <c r="F5685">
        <v>3</v>
      </c>
      <c r="G5685" s="23" t="s">
        <v>177</v>
      </c>
      <c r="H5685">
        <v>0</v>
      </c>
      <c r="I5685">
        <v>85</v>
      </c>
      <c r="J5685" s="10">
        <v>31</v>
      </c>
      <c r="K56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685">
        <v>0</v>
      </c>
      <c r="M56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5">
        <v>120</v>
      </c>
      <c r="O5685" s="23" t="s">
        <v>1153</v>
      </c>
      <c r="P5685">
        <v>360</v>
      </c>
      <c r="Q5685" s="23" t="s">
        <v>179</v>
      </c>
    </row>
    <row r="5686" spans="1:17" x14ac:dyDescent="0.25">
      <c r="A5686" s="23" t="s">
        <v>1142</v>
      </c>
      <c r="B5686" s="23" t="s">
        <v>1054</v>
      </c>
      <c r="C5686" s="23" t="s">
        <v>176</v>
      </c>
      <c r="D5686" s="23" t="s">
        <v>26</v>
      </c>
      <c r="E5686" s="23" t="s">
        <v>27</v>
      </c>
      <c r="F5686">
        <v>1</v>
      </c>
      <c r="G5686" s="23" t="s">
        <v>177</v>
      </c>
      <c r="H5686">
        <v>0</v>
      </c>
      <c r="I5686">
        <v>24</v>
      </c>
      <c r="J5686" s="10">
        <v>4</v>
      </c>
      <c r="K56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686">
        <v>0</v>
      </c>
      <c r="M56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6">
        <v>625</v>
      </c>
      <c r="O5686" s="23" t="s">
        <v>227</v>
      </c>
      <c r="P5686">
        <v>625</v>
      </c>
      <c r="Q5686" s="23" t="s">
        <v>181</v>
      </c>
    </row>
    <row r="5687" spans="1:17" x14ac:dyDescent="0.25">
      <c r="A5687" s="23" t="s">
        <v>1144</v>
      </c>
      <c r="B5687" s="23" t="s">
        <v>1145</v>
      </c>
      <c r="C5687" s="23" t="s">
        <v>176</v>
      </c>
      <c r="D5687" s="23" t="s">
        <v>79</v>
      </c>
      <c r="E5687" s="23" t="s">
        <v>80</v>
      </c>
      <c r="F5687">
        <v>3</v>
      </c>
      <c r="G5687" s="23" t="s">
        <v>177</v>
      </c>
      <c r="H5687">
        <v>0</v>
      </c>
      <c r="I5687">
        <v>81</v>
      </c>
      <c r="J5687" s="10">
        <v>5</v>
      </c>
      <c r="K56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687">
        <v>0</v>
      </c>
      <c r="M56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7">
        <v>188</v>
      </c>
      <c r="O5687" s="23" t="s">
        <v>242</v>
      </c>
      <c r="P5687">
        <v>564</v>
      </c>
      <c r="Q5687" s="23" t="s">
        <v>179</v>
      </c>
    </row>
    <row r="5688" spans="1:17" x14ac:dyDescent="0.25">
      <c r="A5688" s="23" t="s">
        <v>1142</v>
      </c>
      <c r="B5688" s="23" t="s">
        <v>1054</v>
      </c>
      <c r="C5688" s="23" t="s">
        <v>176</v>
      </c>
      <c r="D5688" s="23" t="s">
        <v>452</v>
      </c>
      <c r="E5688" s="23" t="s">
        <v>453</v>
      </c>
      <c r="F5688">
        <v>1</v>
      </c>
      <c r="G5688" s="23" t="s">
        <v>177</v>
      </c>
      <c r="H5688">
        <v>0</v>
      </c>
      <c r="I5688">
        <v>6</v>
      </c>
      <c r="J5688" s="10">
        <v>7</v>
      </c>
      <c r="K56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688">
        <v>6</v>
      </c>
      <c r="M56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5688">
        <v>1600</v>
      </c>
      <c r="O5688" s="23" t="s">
        <v>242</v>
      </c>
      <c r="P5688">
        <v>1600</v>
      </c>
      <c r="Q5688" s="23" t="s">
        <v>179</v>
      </c>
    </row>
    <row r="5689" spans="1:17" x14ac:dyDescent="0.25">
      <c r="A5689" s="23" t="s">
        <v>1142</v>
      </c>
      <c r="B5689" s="23" t="s">
        <v>1054</v>
      </c>
      <c r="C5689" s="23" t="s">
        <v>176</v>
      </c>
      <c r="D5689" s="23" t="s">
        <v>274</v>
      </c>
      <c r="E5689" s="23" t="s">
        <v>622</v>
      </c>
      <c r="F5689">
        <v>1</v>
      </c>
      <c r="G5689" s="23" t="s">
        <v>177</v>
      </c>
      <c r="H5689">
        <v>0</v>
      </c>
      <c r="I5689">
        <v>11</v>
      </c>
      <c r="J5689" s="10">
        <v>4</v>
      </c>
      <c r="K56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689">
        <v>0</v>
      </c>
      <c r="M56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89">
        <v>1678.88</v>
      </c>
      <c r="O5689" s="23" t="s">
        <v>637</v>
      </c>
      <c r="P5689">
        <v>1678.88</v>
      </c>
      <c r="Q5689" s="23" t="s">
        <v>179</v>
      </c>
    </row>
    <row r="5690" spans="1:17" x14ac:dyDescent="0.25">
      <c r="A5690" s="23" t="s">
        <v>1142</v>
      </c>
      <c r="B5690" s="23" t="s">
        <v>1054</v>
      </c>
      <c r="C5690" s="23" t="s">
        <v>176</v>
      </c>
      <c r="D5690" s="23" t="s">
        <v>803</v>
      </c>
      <c r="E5690" s="23" t="s">
        <v>823</v>
      </c>
      <c r="F5690">
        <v>1</v>
      </c>
      <c r="G5690" s="23" t="s">
        <v>177</v>
      </c>
      <c r="H5690">
        <v>0</v>
      </c>
      <c r="I5690">
        <v>20.5</v>
      </c>
      <c r="J5690" s="10">
        <v>5</v>
      </c>
      <c r="K56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690">
        <v>0</v>
      </c>
      <c r="M56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0">
        <v>175</v>
      </c>
      <c r="O5690" s="23" t="s">
        <v>218</v>
      </c>
      <c r="P5690">
        <v>175</v>
      </c>
      <c r="Q5690" s="23" t="s">
        <v>181</v>
      </c>
    </row>
    <row r="5691" spans="1:17" x14ac:dyDescent="0.25">
      <c r="A5691" s="23" t="s">
        <v>1142</v>
      </c>
      <c r="B5691" s="23" t="s">
        <v>1054</v>
      </c>
      <c r="C5691" s="23" t="s">
        <v>176</v>
      </c>
      <c r="D5691" s="23" t="s">
        <v>737</v>
      </c>
      <c r="E5691" s="23" t="s">
        <v>738</v>
      </c>
      <c r="F5691">
        <v>1</v>
      </c>
      <c r="G5691" s="23" t="s">
        <v>177</v>
      </c>
      <c r="H5691">
        <v>0</v>
      </c>
      <c r="I5691">
        <v>14</v>
      </c>
      <c r="J5691" s="10">
        <v>15</v>
      </c>
      <c r="K56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91">
        <v>0</v>
      </c>
      <c r="M56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1">
        <v>400</v>
      </c>
      <c r="O5691" s="23" t="s">
        <v>668</v>
      </c>
      <c r="P5691">
        <v>400</v>
      </c>
      <c r="Q5691" s="23" t="s">
        <v>178</v>
      </c>
    </row>
    <row r="5692" spans="1:17" x14ac:dyDescent="0.25">
      <c r="A5692" s="23" t="s">
        <v>1143</v>
      </c>
      <c r="B5692" s="23" t="s">
        <v>1054</v>
      </c>
      <c r="C5692" s="23" t="s">
        <v>176</v>
      </c>
      <c r="D5692" s="23" t="s">
        <v>737</v>
      </c>
      <c r="E5692" s="23" t="s">
        <v>738</v>
      </c>
      <c r="F5692">
        <v>1</v>
      </c>
      <c r="G5692" s="23" t="s">
        <v>177</v>
      </c>
      <c r="H5692">
        <v>0</v>
      </c>
      <c r="I5692">
        <v>14</v>
      </c>
      <c r="J5692" s="10">
        <v>15</v>
      </c>
      <c r="K56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692">
        <v>0</v>
      </c>
      <c r="M56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2">
        <v>400</v>
      </c>
      <c r="O5692" s="23" t="s">
        <v>668</v>
      </c>
      <c r="P5692">
        <v>400</v>
      </c>
      <c r="Q5692" s="23" t="s">
        <v>178</v>
      </c>
    </row>
    <row r="5693" spans="1:17" x14ac:dyDescent="0.25">
      <c r="A5693" s="23" t="s">
        <v>1142</v>
      </c>
      <c r="B5693" s="23" t="s">
        <v>1054</v>
      </c>
      <c r="C5693" s="23" t="s">
        <v>176</v>
      </c>
      <c r="D5693" s="23" t="s">
        <v>591</v>
      </c>
      <c r="E5693" s="23" t="s">
        <v>592</v>
      </c>
      <c r="F5693">
        <v>1</v>
      </c>
      <c r="G5693" s="23" t="s">
        <v>177</v>
      </c>
      <c r="H5693">
        <v>0</v>
      </c>
      <c r="I5693">
        <v>6</v>
      </c>
      <c r="J5693" s="10">
        <v>8</v>
      </c>
      <c r="K56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693">
        <v>10</v>
      </c>
      <c r="M56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3">
        <v>583.77</v>
      </c>
      <c r="O5693" s="23" t="s">
        <v>593</v>
      </c>
      <c r="P5693">
        <v>583.77</v>
      </c>
      <c r="Q5693" s="23" t="s">
        <v>181</v>
      </c>
    </row>
    <row r="5694" spans="1:17" x14ac:dyDescent="0.25">
      <c r="A5694" s="23" t="s">
        <v>1142</v>
      </c>
      <c r="B5694" s="23" t="s">
        <v>1054</v>
      </c>
      <c r="C5694" s="23" t="s">
        <v>176</v>
      </c>
      <c r="D5694" s="23" t="s">
        <v>1083</v>
      </c>
      <c r="E5694" s="23" t="s">
        <v>1084</v>
      </c>
      <c r="F5694">
        <v>2</v>
      </c>
      <c r="G5694" s="23" t="s">
        <v>177</v>
      </c>
      <c r="H5694">
        <v>0</v>
      </c>
      <c r="I5694">
        <v>16</v>
      </c>
      <c r="J5694" s="10">
        <v>14</v>
      </c>
      <c r="K56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694">
        <v>20</v>
      </c>
      <c r="M56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4">
        <v>194</v>
      </c>
      <c r="O5694" s="23" t="s">
        <v>218</v>
      </c>
      <c r="P5694">
        <v>388</v>
      </c>
      <c r="Q5694" s="23" t="s">
        <v>178</v>
      </c>
    </row>
    <row r="5695" spans="1:17" x14ac:dyDescent="0.25">
      <c r="A5695" s="23" t="s">
        <v>1058</v>
      </c>
      <c r="B5695" s="23" t="s">
        <v>1059</v>
      </c>
      <c r="C5695" s="23" t="s">
        <v>176</v>
      </c>
      <c r="D5695" s="23" t="s">
        <v>700</v>
      </c>
      <c r="E5695" s="23" t="s">
        <v>701</v>
      </c>
      <c r="F5695">
        <v>1</v>
      </c>
      <c r="G5695" s="23" t="s">
        <v>177</v>
      </c>
      <c r="H5695">
        <v>1</v>
      </c>
      <c r="I5695">
        <v>136</v>
      </c>
      <c r="J5695" s="10">
        <v>6</v>
      </c>
      <c r="K56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-119</v>
      </c>
      <c r="L5695">
        <v>0</v>
      </c>
      <c r="M56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5">
        <v>39.6</v>
      </c>
      <c r="O5695" s="23" t="s">
        <v>221</v>
      </c>
      <c r="P5695">
        <v>39.6</v>
      </c>
      <c r="Q5695" s="23" t="s">
        <v>222</v>
      </c>
    </row>
    <row r="5696" spans="1:17" x14ac:dyDescent="0.25">
      <c r="A5696" s="23" t="s">
        <v>1058</v>
      </c>
      <c r="B5696" s="23" t="s">
        <v>1059</v>
      </c>
      <c r="C5696" s="23" t="s">
        <v>176</v>
      </c>
      <c r="D5696" s="23" t="s">
        <v>266</v>
      </c>
      <c r="E5696" s="23" t="s">
        <v>267</v>
      </c>
      <c r="F5696">
        <v>1</v>
      </c>
      <c r="G5696" s="23" t="s">
        <v>177</v>
      </c>
      <c r="H5696">
        <v>1</v>
      </c>
      <c r="I5696">
        <v>1</v>
      </c>
      <c r="J5696" s="10">
        <v>7</v>
      </c>
      <c r="K56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12</v>
      </c>
      <c r="L5696">
        <v>0</v>
      </c>
      <c r="M56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55600.08</v>
      </c>
      <c r="N5696">
        <v>4633.34</v>
      </c>
      <c r="O5696" s="23" t="s">
        <v>215</v>
      </c>
      <c r="P5696">
        <v>4633.34</v>
      </c>
      <c r="Q5696" s="23" t="s">
        <v>178</v>
      </c>
    </row>
    <row r="5697" spans="1:17" x14ac:dyDescent="0.25">
      <c r="A5697" s="23" t="s">
        <v>1058</v>
      </c>
      <c r="B5697" s="23" t="s">
        <v>1059</v>
      </c>
      <c r="C5697" s="23" t="s">
        <v>176</v>
      </c>
      <c r="D5697" s="23" t="s">
        <v>278</v>
      </c>
      <c r="E5697" s="23" t="s">
        <v>316</v>
      </c>
      <c r="F5697">
        <v>1</v>
      </c>
      <c r="G5697" s="23" t="s">
        <v>177</v>
      </c>
      <c r="H5697">
        <v>1</v>
      </c>
      <c r="I5697">
        <v>28</v>
      </c>
      <c r="J5697" s="10">
        <v>4</v>
      </c>
      <c r="K56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697">
        <v>0</v>
      </c>
      <c r="M56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7">
        <v>290.62</v>
      </c>
      <c r="O5697" s="23" t="s">
        <v>637</v>
      </c>
      <c r="P5697">
        <v>290.62</v>
      </c>
      <c r="Q5697" s="23" t="s">
        <v>179</v>
      </c>
    </row>
    <row r="5698" spans="1:17" x14ac:dyDescent="0.25">
      <c r="A5698" s="23" t="s">
        <v>1150</v>
      </c>
      <c r="B5698" s="23" t="s">
        <v>1145</v>
      </c>
      <c r="C5698" s="23" t="s">
        <v>176</v>
      </c>
      <c r="D5698" s="23" t="s">
        <v>278</v>
      </c>
      <c r="E5698" s="23" t="s">
        <v>316</v>
      </c>
      <c r="F5698">
        <v>1</v>
      </c>
      <c r="G5698" s="23" t="s">
        <v>177</v>
      </c>
      <c r="H5698">
        <v>1</v>
      </c>
      <c r="I5698">
        <v>28</v>
      </c>
      <c r="J5698" s="10">
        <v>4</v>
      </c>
      <c r="K56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698">
        <v>0</v>
      </c>
      <c r="M56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8">
        <v>290.62</v>
      </c>
      <c r="O5698" s="23" t="s">
        <v>637</v>
      </c>
      <c r="P5698">
        <v>290.62</v>
      </c>
      <c r="Q5698" s="23" t="s">
        <v>179</v>
      </c>
    </row>
    <row r="5699" spans="1:17" x14ac:dyDescent="0.25">
      <c r="A5699" s="23" t="s">
        <v>1058</v>
      </c>
      <c r="B5699" s="23" t="s">
        <v>1059</v>
      </c>
      <c r="C5699" s="23" t="s">
        <v>176</v>
      </c>
      <c r="D5699" s="23" t="s">
        <v>1083</v>
      </c>
      <c r="E5699" s="23" t="s">
        <v>1084</v>
      </c>
      <c r="F5699">
        <v>2</v>
      </c>
      <c r="G5699" s="23" t="s">
        <v>177</v>
      </c>
      <c r="H5699">
        <v>2</v>
      </c>
      <c r="I5699">
        <v>16</v>
      </c>
      <c r="J5699" s="10">
        <v>14</v>
      </c>
      <c r="K56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699">
        <v>20</v>
      </c>
      <c r="M56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699">
        <v>194</v>
      </c>
      <c r="O5699" s="23" t="s">
        <v>218</v>
      </c>
      <c r="P5699">
        <v>388</v>
      </c>
      <c r="Q5699" s="23" t="s">
        <v>178</v>
      </c>
    </row>
    <row r="5700" spans="1:17" x14ac:dyDescent="0.25">
      <c r="A5700" s="23" t="s">
        <v>1058</v>
      </c>
      <c r="B5700" s="23" t="s">
        <v>1059</v>
      </c>
      <c r="C5700" s="23" t="s">
        <v>176</v>
      </c>
      <c r="D5700" s="23" t="s">
        <v>1077</v>
      </c>
      <c r="E5700" s="23" t="s">
        <v>1078</v>
      </c>
      <c r="F5700">
        <v>1</v>
      </c>
      <c r="G5700" s="23" t="s">
        <v>177</v>
      </c>
      <c r="H5700">
        <v>1</v>
      </c>
      <c r="I5700">
        <v>4</v>
      </c>
      <c r="J5700" s="10">
        <v>7</v>
      </c>
      <c r="K57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00">
        <v>10</v>
      </c>
      <c r="M57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0">
        <v>3097.63</v>
      </c>
      <c r="O5700" s="23" t="s">
        <v>593</v>
      </c>
      <c r="P5700">
        <v>3097.63</v>
      </c>
      <c r="Q5700" s="23" t="s">
        <v>179</v>
      </c>
    </row>
    <row r="5701" spans="1:17" x14ac:dyDescent="0.25">
      <c r="A5701" s="23" t="s">
        <v>1058</v>
      </c>
      <c r="B5701" s="23" t="s">
        <v>1059</v>
      </c>
      <c r="C5701" s="23" t="s">
        <v>176</v>
      </c>
      <c r="D5701" s="23" t="s">
        <v>50</v>
      </c>
      <c r="E5701" s="23" t="s">
        <v>51</v>
      </c>
      <c r="F5701">
        <v>1</v>
      </c>
      <c r="G5701" s="23" t="s">
        <v>177</v>
      </c>
      <c r="H5701">
        <v>1</v>
      </c>
      <c r="I5701">
        <v>4</v>
      </c>
      <c r="J5701" s="10">
        <v>10</v>
      </c>
      <c r="K57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701">
        <v>0</v>
      </c>
      <c r="M57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41649.120000000003</v>
      </c>
      <c r="N5701">
        <v>5206.1400000000003</v>
      </c>
      <c r="O5701" s="23" t="s">
        <v>216</v>
      </c>
      <c r="P5701">
        <v>5206.1400000000003</v>
      </c>
      <c r="Q5701" s="23" t="s">
        <v>222</v>
      </c>
    </row>
    <row r="5702" spans="1:17" x14ac:dyDescent="0.25">
      <c r="A5702" s="23" t="s">
        <v>1058</v>
      </c>
      <c r="B5702" s="23" t="s">
        <v>1059</v>
      </c>
      <c r="C5702" s="23" t="s">
        <v>176</v>
      </c>
      <c r="D5702" s="23" t="s">
        <v>581</v>
      </c>
      <c r="E5702" s="23" t="s">
        <v>582</v>
      </c>
      <c r="F5702">
        <v>18.8</v>
      </c>
      <c r="G5702" s="23" t="s">
        <v>186</v>
      </c>
      <c r="H5702">
        <v>18.8</v>
      </c>
      <c r="I5702">
        <v>140</v>
      </c>
      <c r="J5702" s="10">
        <v>139.95999999999989</v>
      </c>
      <c r="K57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-16.589999999999975</v>
      </c>
      <c r="L5702">
        <v>80</v>
      </c>
      <c r="M57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2">
        <v>164.09</v>
      </c>
      <c r="O5702" s="23" t="s">
        <v>491</v>
      </c>
      <c r="P5702">
        <v>3084.8920000000003</v>
      </c>
      <c r="Q5702" s="23" t="s">
        <v>184</v>
      </c>
    </row>
    <row r="5703" spans="1:17" x14ac:dyDescent="0.25">
      <c r="A5703" s="23" t="s">
        <v>1142</v>
      </c>
      <c r="B5703" s="23" t="s">
        <v>1054</v>
      </c>
      <c r="C5703" s="23" t="s">
        <v>176</v>
      </c>
      <c r="D5703" s="23" t="s">
        <v>529</v>
      </c>
      <c r="E5703" s="23" t="s">
        <v>530</v>
      </c>
      <c r="F5703">
        <v>10</v>
      </c>
      <c r="G5703" s="23" t="s">
        <v>177</v>
      </c>
      <c r="H5703">
        <v>0</v>
      </c>
      <c r="I5703">
        <v>1800</v>
      </c>
      <c r="J5703" s="10">
        <v>773</v>
      </c>
      <c r="K57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-1570</v>
      </c>
      <c r="L5703">
        <v>0</v>
      </c>
      <c r="M57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3">
        <v>0.8</v>
      </c>
      <c r="O5703" s="23" t="s">
        <v>242</v>
      </c>
      <c r="P5703">
        <v>8</v>
      </c>
      <c r="Q5703" s="23" t="s">
        <v>181</v>
      </c>
    </row>
    <row r="5704" spans="1:17" x14ac:dyDescent="0.25">
      <c r="A5704" s="23" t="s">
        <v>1142</v>
      </c>
      <c r="B5704" s="23" t="s">
        <v>1054</v>
      </c>
      <c r="C5704" s="23" t="s">
        <v>176</v>
      </c>
      <c r="D5704" s="23" t="s">
        <v>1162</v>
      </c>
      <c r="E5704" s="23" t="s">
        <v>1163</v>
      </c>
      <c r="F5704">
        <v>2</v>
      </c>
      <c r="G5704" s="23" t="s">
        <v>177</v>
      </c>
      <c r="H5704">
        <v>0</v>
      </c>
      <c r="I5704">
        <v>0</v>
      </c>
      <c r="J5704" s="10">
        <v>0</v>
      </c>
      <c r="K57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</v>
      </c>
      <c r="L5704">
        <v>0</v>
      </c>
      <c r="M57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4">
        <v>0</v>
      </c>
      <c r="O5704" s="23"/>
      <c r="P5704">
        <v>0</v>
      </c>
      <c r="Q5704" s="23" t="s">
        <v>222</v>
      </c>
    </row>
    <row r="5705" spans="1:17" x14ac:dyDescent="0.25">
      <c r="A5705" s="23" t="s">
        <v>1142</v>
      </c>
      <c r="B5705" s="23" t="s">
        <v>1054</v>
      </c>
      <c r="C5705" s="23" t="s">
        <v>176</v>
      </c>
      <c r="D5705" s="23" t="s">
        <v>506</v>
      </c>
      <c r="E5705" s="23" t="s">
        <v>507</v>
      </c>
      <c r="F5705">
        <v>1</v>
      </c>
      <c r="G5705" s="23" t="s">
        <v>177</v>
      </c>
      <c r="H5705">
        <v>0</v>
      </c>
      <c r="I5705">
        <v>8</v>
      </c>
      <c r="J5705" s="10">
        <v>9</v>
      </c>
      <c r="K57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705">
        <v>36</v>
      </c>
      <c r="M57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5">
        <v>101.4</v>
      </c>
      <c r="O5705" s="23" t="s">
        <v>1065</v>
      </c>
      <c r="P5705">
        <v>101.4</v>
      </c>
      <c r="Q5705" s="23" t="s">
        <v>222</v>
      </c>
    </row>
    <row r="5706" spans="1:17" x14ac:dyDescent="0.25">
      <c r="A5706" s="23" t="s">
        <v>1142</v>
      </c>
      <c r="B5706" s="23" t="s">
        <v>1054</v>
      </c>
      <c r="C5706" s="23" t="s">
        <v>176</v>
      </c>
      <c r="D5706" s="23" t="s">
        <v>683</v>
      </c>
      <c r="E5706" s="23" t="s">
        <v>684</v>
      </c>
      <c r="F5706">
        <v>2</v>
      </c>
      <c r="G5706" s="23" t="s">
        <v>177</v>
      </c>
      <c r="H5706">
        <v>0</v>
      </c>
      <c r="I5706">
        <v>34</v>
      </c>
      <c r="J5706" s="10">
        <v>27</v>
      </c>
      <c r="K57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706">
        <v>0</v>
      </c>
      <c r="M57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6">
        <v>500</v>
      </c>
      <c r="O5706" s="23" t="s">
        <v>585</v>
      </c>
      <c r="P5706">
        <v>1000</v>
      </c>
      <c r="Q5706" s="23" t="s">
        <v>178</v>
      </c>
    </row>
    <row r="5707" spans="1:17" x14ac:dyDescent="0.25">
      <c r="A5707" s="23" t="s">
        <v>1142</v>
      </c>
      <c r="B5707" s="23" t="s">
        <v>1054</v>
      </c>
      <c r="C5707" s="23" t="s">
        <v>176</v>
      </c>
      <c r="D5707" s="23" t="s">
        <v>685</v>
      </c>
      <c r="E5707" s="23" t="s">
        <v>686</v>
      </c>
      <c r="F5707">
        <v>1</v>
      </c>
      <c r="G5707" s="23" t="s">
        <v>177</v>
      </c>
      <c r="H5707">
        <v>0</v>
      </c>
      <c r="I5707">
        <v>23</v>
      </c>
      <c r="J5707" s="10">
        <v>17</v>
      </c>
      <c r="K57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707">
        <v>0</v>
      </c>
      <c r="M57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7">
        <v>750</v>
      </c>
      <c r="O5707" s="23" t="s">
        <v>585</v>
      </c>
      <c r="P5707">
        <v>750</v>
      </c>
      <c r="Q5707" s="23" t="s">
        <v>178</v>
      </c>
    </row>
    <row r="5708" spans="1:17" x14ac:dyDescent="0.25">
      <c r="A5708" s="23" t="s">
        <v>1058</v>
      </c>
      <c r="B5708" s="23" t="s">
        <v>1059</v>
      </c>
      <c r="C5708" s="23" t="s">
        <v>176</v>
      </c>
      <c r="D5708" s="23" t="s">
        <v>803</v>
      </c>
      <c r="E5708" s="23" t="s">
        <v>823</v>
      </c>
      <c r="F5708">
        <v>2</v>
      </c>
      <c r="G5708" s="23" t="s">
        <v>177</v>
      </c>
      <c r="H5708">
        <v>2</v>
      </c>
      <c r="I5708">
        <v>20.5</v>
      </c>
      <c r="J5708" s="10">
        <v>5</v>
      </c>
      <c r="K57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-9.5</v>
      </c>
      <c r="L5708">
        <v>0</v>
      </c>
      <c r="M57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8">
        <v>175</v>
      </c>
      <c r="O5708" s="23" t="s">
        <v>218</v>
      </c>
      <c r="P5708">
        <v>350</v>
      </c>
      <c r="Q5708" s="23" t="s">
        <v>181</v>
      </c>
    </row>
    <row r="5709" spans="1:17" x14ac:dyDescent="0.25">
      <c r="A5709" s="23" t="s">
        <v>1062</v>
      </c>
      <c r="B5709" s="23" t="s">
        <v>1053</v>
      </c>
      <c r="C5709" s="23" t="s">
        <v>176</v>
      </c>
      <c r="D5709" s="23" t="s">
        <v>442</v>
      </c>
      <c r="E5709" s="23" t="s">
        <v>443</v>
      </c>
      <c r="F5709">
        <v>1</v>
      </c>
      <c r="G5709" s="23" t="s">
        <v>177</v>
      </c>
      <c r="H5709">
        <v>1</v>
      </c>
      <c r="I5709">
        <v>25</v>
      </c>
      <c r="J5709" s="10">
        <v>3</v>
      </c>
      <c r="K57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</v>
      </c>
      <c r="L5709">
        <v>0</v>
      </c>
      <c r="M57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09">
        <v>360.05</v>
      </c>
      <c r="O5709" s="23" t="s">
        <v>637</v>
      </c>
      <c r="P5709">
        <v>360.05</v>
      </c>
      <c r="Q5709" s="23" t="s">
        <v>179</v>
      </c>
    </row>
    <row r="5710" spans="1:17" x14ac:dyDescent="0.25">
      <c r="A5710" s="23" t="s">
        <v>1147</v>
      </c>
      <c r="B5710" s="23" t="s">
        <v>1145</v>
      </c>
      <c r="C5710" s="23" t="s">
        <v>176</v>
      </c>
      <c r="D5710" s="23" t="s">
        <v>447</v>
      </c>
      <c r="E5710" s="23" t="s">
        <v>448</v>
      </c>
      <c r="F5710">
        <v>1</v>
      </c>
      <c r="G5710" s="23" t="s">
        <v>177</v>
      </c>
      <c r="H5710">
        <v>0</v>
      </c>
      <c r="I5710">
        <v>15</v>
      </c>
      <c r="J5710" s="10">
        <v>11</v>
      </c>
      <c r="K57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710">
        <v>0</v>
      </c>
      <c r="M57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0">
        <v>237.5</v>
      </c>
      <c r="O5710" s="23" t="s">
        <v>629</v>
      </c>
      <c r="P5710">
        <v>237.5</v>
      </c>
      <c r="Q5710" s="23" t="s">
        <v>181</v>
      </c>
    </row>
    <row r="5711" spans="1:17" x14ac:dyDescent="0.25">
      <c r="A5711" s="23" t="s">
        <v>1094</v>
      </c>
      <c r="B5711" s="23" t="s">
        <v>1095</v>
      </c>
      <c r="C5711" s="23" t="s">
        <v>176</v>
      </c>
      <c r="D5711" s="23" t="s">
        <v>782</v>
      </c>
      <c r="E5711" s="23" t="s">
        <v>783</v>
      </c>
      <c r="F5711">
        <v>1</v>
      </c>
      <c r="G5711" s="23" t="s">
        <v>177</v>
      </c>
      <c r="H5711">
        <v>0</v>
      </c>
      <c r="I5711">
        <v>6</v>
      </c>
      <c r="J5711" s="10">
        <v>7</v>
      </c>
      <c r="K57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711">
        <v>10</v>
      </c>
      <c r="M57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1">
        <v>750</v>
      </c>
      <c r="O5711" s="23" t="s">
        <v>291</v>
      </c>
      <c r="P5711">
        <v>750</v>
      </c>
      <c r="Q5711" s="23" t="s">
        <v>179</v>
      </c>
    </row>
    <row r="5712" spans="1:17" x14ac:dyDescent="0.25">
      <c r="A5712" s="23" t="s">
        <v>1094</v>
      </c>
      <c r="B5712" s="23" t="s">
        <v>1095</v>
      </c>
      <c r="C5712" s="23" t="s">
        <v>176</v>
      </c>
      <c r="D5712" s="23" t="s">
        <v>779</v>
      </c>
      <c r="E5712" s="23" t="s">
        <v>133</v>
      </c>
      <c r="F5712">
        <v>10</v>
      </c>
      <c r="G5712" s="23" t="s">
        <v>177</v>
      </c>
      <c r="H5712">
        <v>0</v>
      </c>
      <c r="I5712">
        <v>574</v>
      </c>
      <c r="J5712" s="10">
        <v>98</v>
      </c>
      <c r="K57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-260</v>
      </c>
      <c r="L5712">
        <v>0</v>
      </c>
      <c r="M57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2">
        <v>6.67</v>
      </c>
      <c r="O5712" s="23" t="s">
        <v>1195</v>
      </c>
      <c r="P5712">
        <v>66.7</v>
      </c>
      <c r="Q5712" s="23" t="s">
        <v>222</v>
      </c>
    </row>
    <row r="5713" spans="1:17" x14ac:dyDescent="0.25">
      <c r="A5713" s="23" t="s">
        <v>1096</v>
      </c>
      <c r="B5713" s="23" t="s">
        <v>1053</v>
      </c>
      <c r="C5713" s="23" t="s">
        <v>176</v>
      </c>
      <c r="D5713" s="23" t="s">
        <v>608</v>
      </c>
      <c r="E5713" s="23" t="s">
        <v>609</v>
      </c>
      <c r="F5713">
        <v>2</v>
      </c>
      <c r="G5713" s="23" t="s">
        <v>177</v>
      </c>
      <c r="H5713">
        <v>0</v>
      </c>
      <c r="I5713">
        <v>2</v>
      </c>
      <c r="J5713" s="10">
        <v>8</v>
      </c>
      <c r="K57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713">
        <v>0</v>
      </c>
      <c r="M57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713">
        <v>56.58</v>
      </c>
      <c r="O5713" s="23" t="s">
        <v>637</v>
      </c>
      <c r="P5713">
        <v>113.16</v>
      </c>
      <c r="Q5713" s="23" t="s">
        <v>178</v>
      </c>
    </row>
    <row r="5714" spans="1:17" x14ac:dyDescent="0.25">
      <c r="A5714" s="23" t="s">
        <v>1143</v>
      </c>
      <c r="B5714" s="23" t="s">
        <v>1054</v>
      </c>
      <c r="C5714" s="23" t="s">
        <v>176</v>
      </c>
      <c r="D5714" s="23" t="s">
        <v>608</v>
      </c>
      <c r="E5714" s="23" t="s">
        <v>609</v>
      </c>
      <c r="F5714">
        <v>2</v>
      </c>
      <c r="G5714" s="23" t="s">
        <v>177</v>
      </c>
      <c r="H5714">
        <v>0</v>
      </c>
      <c r="I5714">
        <v>2</v>
      </c>
      <c r="J5714" s="10">
        <v>8</v>
      </c>
      <c r="K57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714">
        <v>0</v>
      </c>
      <c r="M57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714">
        <v>56.58</v>
      </c>
      <c r="O5714" s="23" t="s">
        <v>637</v>
      </c>
      <c r="P5714">
        <v>113.16</v>
      </c>
      <c r="Q5714" s="23" t="s">
        <v>178</v>
      </c>
    </row>
    <row r="5715" spans="1:17" x14ac:dyDescent="0.25">
      <c r="A5715" s="23" t="s">
        <v>1057</v>
      </c>
      <c r="B5715" s="23" t="s">
        <v>1056</v>
      </c>
      <c r="C5715" s="23" t="s">
        <v>176</v>
      </c>
      <c r="D5715" s="23" t="s">
        <v>152</v>
      </c>
      <c r="E5715" s="23" t="s">
        <v>153</v>
      </c>
      <c r="F5715">
        <v>50</v>
      </c>
      <c r="G5715" s="23" t="s">
        <v>177</v>
      </c>
      <c r="H5715">
        <v>0</v>
      </c>
      <c r="I5715">
        <v>1000</v>
      </c>
      <c r="J5715" s="10">
        <v>439.00000000000034</v>
      </c>
      <c r="K57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-860</v>
      </c>
      <c r="L5715">
        <v>0</v>
      </c>
      <c r="M57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5">
        <v>0.5</v>
      </c>
      <c r="O5715" s="23" t="s">
        <v>242</v>
      </c>
      <c r="P5715">
        <v>25</v>
      </c>
      <c r="Q5715" s="23" t="s">
        <v>181</v>
      </c>
    </row>
    <row r="5716" spans="1:17" x14ac:dyDescent="0.25">
      <c r="A5716" s="23" t="s">
        <v>1057</v>
      </c>
      <c r="B5716" s="23" t="s">
        <v>1056</v>
      </c>
      <c r="C5716" s="23" t="s">
        <v>176</v>
      </c>
      <c r="D5716" s="23" t="s">
        <v>733</v>
      </c>
      <c r="E5716" s="23" t="s">
        <v>734</v>
      </c>
      <c r="F5716">
        <v>14</v>
      </c>
      <c r="G5716" s="23" t="s">
        <v>186</v>
      </c>
      <c r="H5716">
        <v>0</v>
      </c>
      <c r="I5716">
        <v>63</v>
      </c>
      <c r="J5716" s="10">
        <v>-1.4210854715202004E-14</v>
      </c>
      <c r="K57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5716">
        <v>0</v>
      </c>
      <c r="M57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5716">
        <v>1097.8900000000001</v>
      </c>
      <c r="O5716" s="23" t="s">
        <v>649</v>
      </c>
      <c r="P5716">
        <v>15370.460000000001</v>
      </c>
      <c r="Q5716" s="23" t="s">
        <v>184</v>
      </c>
    </row>
    <row r="5717" spans="1:17" x14ac:dyDescent="0.25">
      <c r="A5717" s="23" t="s">
        <v>1143</v>
      </c>
      <c r="B5717" s="23" t="s">
        <v>1054</v>
      </c>
      <c r="C5717" s="23" t="s">
        <v>176</v>
      </c>
      <c r="D5717" s="23" t="s">
        <v>733</v>
      </c>
      <c r="E5717" s="23" t="s">
        <v>734</v>
      </c>
      <c r="F5717">
        <v>18</v>
      </c>
      <c r="G5717" s="23" t="s">
        <v>186</v>
      </c>
      <c r="H5717">
        <v>0</v>
      </c>
      <c r="I5717">
        <v>63</v>
      </c>
      <c r="J5717" s="10">
        <v>-1.4210854715202004E-14</v>
      </c>
      <c r="K57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133</v>
      </c>
      <c r="L5717">
        <v>0</v>
      </c>
      <c r="M57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146019.37000000002</v>
      </c>
      <c r="N5717">
        <v>1097.8900000000001</v>
      </c>
      <c r="O5717" s="23" t="s">
        <v>649</v>
      </c>
      <c r="P5717">
        <v>19762.02</v>
      </c>
      <c r="Q5717" s="23" t="s">
        <v>184</v>
      </c>
    </row>
    <row r="5718" spans="1:17" x14ac:dyDescent="0.25">
      <c r="A5718" s="23" t="s">
        <v>1143</v>
      </c>
      <c r="B5718" s="23" t="s">
        <v>1054</v>
      </c>
      <c r="C5718" s="23" t="s">
        <v>176</v>
      </c>
      <c r="D5718" s="23" t="s">
        <v>1066</v>
      </c>
      <c r="E5718" s="23" t="s">
        <v>1067</v>
      </c>
      <c r="F5718">
        <v>4</v>
      </c>
      <c r="G5718" s="23" t="s">
        <v>180</v>
      </c>
      <c r="H5718">
        <v>0</v>
      </c>
      <c r="I5718">
        <v>100</v>
      </c>
      <c r="J5718" s="10">
        <v>84</v>
      </c>
      <c r="K57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-32</v>
      </c>
      <c r="L5718">
        <v>0</v>
      </c>
      <c r="M57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8">
        <v>14.85</v>
      </c>
      <c r="O5718" s="23" t="s">
        <v>827</v>
      </c>
      <c r="P5718">
        <v>59.4</v>
      </c>
      <c r="Q5718" s="23" t="s">
        <v>222</v>
      </c>
    </row>
    <row r="5719" spans="1:17" x14ac:dyDescent="0.25">
      <c r="A5719" s="23" t="s">
        <v>1057</v>
      </c>
      <c r="B5719" s="23" t="s">
        <v>1056</v>
      </c>
      <c r="C5719" s="23" t="s">
        <v>176</v>
      </c>
      <c r="D5719" s="23" t="s">
        <v>717</v>
      </c>
      <c r="E5719" s="23" t="s">
        <v>718</v>
      </c>
      <c r="F5719">
        <v>0.2</v>
      </c>
      <c r="G5719" s="23" t="s">
        <v>180</v>
      </c>
      <c r="H5719">
        <v>0</v>
      </c>
      <c r="I5719">
        <v>200</v>
      </c>
      <c r="J5719" s="10">
        <v>85.649999999999977</v>
      </c>
      <c r="K57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5719">
        <v>0</v>
      </c>
      <c r="M57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19">
        <v>3.62</v>
      </c>
      <c r="O5719" s="23" t="s">
        <v>827</v>
      </c>
      <c r="P5719">
        <v>0.72400000000000009</v>
      </c>
      <c r="Q5719" s="23" t="s">
        <v>222</v>
      </c>
    </row>
    <row r="5720" spans="1:17" x14ac:dyDescent="0.25">
      <c r="A5720" s="23" t="s">
        <v>1094</v>
      </c>
      <c r="B5720" s="23" t="s">
        <v>1095</v>
      </c>
      <c r="C5720" s="23" t="s">
        <v>176</v>
      </c>
      <c r="D5720" s="23" t="s">
        <v>717</v>
      </c>
      <c r="E5720" s="23" t="s">
        <v>718</v>
      </c>
      <c r="F5720">
        <v>0.2</v>
      </c>
      <c r="G5720" s="23" t="s">
        <v>180</v>
      </c>
      <c r="H5720">
        <v>0</v>
      </c>
      <c r="I5720">
        <v>200</v>
      </c>
      <c r="J5720" s="10">
        <v>85.649999999999977</v>
      </c>
      <c r="K57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-196.4</v>
      </c>
      <c r="L5720">
        <v>0</v>
      </c>
      <c r="M57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0">
        <v>3.62</v>
      </c>
      <c r="O5720" s="23" t="s">
        <v>827</v>
      </c>
      <c r="P5720">
        <v>0.72400000000000009</v>
      </c>
      <c r="Q5720" s="23" t="s">
        <v>222</v>
      </c>
    </row>
    <row r="5721" spans="1:17" x14ac:dyDescent="0.25">
      <c r="A5721" s="23" t="s">
        <v>1062</v>
      </c>
      <c r="B5721" s="23" t="s">
        <v>1053</v>
      </c>
      <c r="C5721" s="23" t="s">
        <v>176</v>
      </c>
      <c r="D5721" s="23" t="s">
        <v>239</v>
      </c>
      <c r="E5721" s="23" t="s">
        <v>307</v>
      </c>
      <c r="F5721">
        <v>2</v>
      </c>
      <c r="G5721" s="23" t="s">
        <v>177</v>
      </c>
      <c r="H5721">
        <v>2</v>
      </c>
      <c r="I5721">
        <v>40</v>
      </c>
      <c r="J5721" s="10">
        <v>18</v>
      </c>
      <c r="K57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21">
        <v>0</v>
      </c>
      <c r="M57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1">
        <v>45.3</v>
      </c>
      <c r="O5721" s="23" t="s">
        <v>827</v>
      </c>
      <c r="P5721">
        <v>90.6</v>
      </c>
      <c r="Q5721" s="23" t="s">
        <v>222</v>
      </c>
    </row>
    <row r="5722" spans="1:17" x14ac:dyDescent="0.25">
      <c r="A5722" s="23" t="s">
        <v>1055</v>
      </c>
      <c r="B5722" s="23" t="s">
        <v>1056</v>
      </c>
      <c r="C5722" s="23" t="s">
        <v>176</v>
      </c>
      <c r="D5722" s="23" t="s">
        <v>17</v>
      </c>
      <c r="E5722" s="23" t="s">
        <v>18</v>
      </c>
      <c r="F5722">
        <v>1</v>
      </c>
      <c r="G5722" s="23" t="s">
        <v>177</v>
      </c>
      <c r="H5722">
        <v>1</v>
      </c>
      <c r="I5722">
        <v>7</v>
      </c>
      <c r="J5722" s="10">
        <v>10</v>
      </c>
      <c r="K57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722">
        <v>50</v>
      </c>
      <c r="M57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2">
        <v>839.2</v>
      </c>
      <c r="O5722" s="23" t="s">
        <v>236</v>
      </c>
      <c r="P5722">
        <v>839.2</v>
      </c>
      <c r="Q5722" s="23" t="s">
        <v>222</v>
      </c>
    </row>
    <row r="5723" spans="1:17" x14ac:dyDescent="0.25">
      <c r="A5723" s="23" t="s">
        <v>1096</v>
      </c>
      <c r="B5723" s="23" t="s">
        <v>1053</v>
      </c>
      <c r="C5723" s="23" t="s">
        <v>176</v>
      </c>
      <c r="D5723" s="23" t="s">
        <v>449</v>
      </c>
      <c r="E5723" s="23" t="s">
        <v>450</v>
      </c>
      <c r="F5723">
        <v>2</v>
      </c>
      <c r="G5723" s="23" t="s">
        <v>177</v>
      </c>
      <c r="H5723">
        <v>2</v>
      </c>
      <c r="I5723">
        <v>15</v>
      </c>
      <c r="J5723" s="10">
        <v>14</v>
      </c>
      <c r="K57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723">
        <v>15</v>
      </c>
      <c r="M57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3">
        <v>65.709999999999994</v>
      </c>
      <c r="O5723" s="23" t="s">
        <v>228</v>
      </c>
      <c r="P5723">
        <v>131.41999999999999</v>
      </c>
      <c r="Q5723" s="23" t="s">
        <v>222</v>
      </c>
    </row>
    <row r="5724" spans="1:17" x14ac:dyDescent="0.25">
      <c r="A5724" s="23" t="s">
        <v>1096</v>
      </c>
      <c r="B5724" s="23" t="s">
        <v>1053</v>
      </c>
      <c r="C5724" s="23" t="s">
        <v>176</v>
      </c>
      <c r="D5724" s="23" t="s">
        <v>1049</v>
      </c>
      <c r="E5724" s="23" t="s">
        <v>1050</v>
      </c>
      <c r="F5724">
        <v>1</v>
      </c>
      <c r="G5724" s="23" t="s">
        <v>177</v>
      </c>
      <c r="H5724">
        <v>1</v>
      </c>
      <c r="I5724">
        <v>3</v>
      </c>
      <c r="J5724" s="10">
        <v>6</v>
      </c>
      <c r="K57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24">
        <v>0</v>
      </c>
      <c r="M57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121389.3</v>
      </c>
      <c r="N5724">
        <v>12138.93</v>
      </c>
      <c r="O5724" s="23" t="s">
        <v>635</v>
      </c>
      <c r="P5724">
        <v>12138.93</v>
      </c>
      <c r="Q5724" s="23" t="s">
        <v>178</v>
      </c>
    </row>
    <row r="5725" spans="1:17" x14ac:dyDescent="0.25">
      <c r="A5725" s="23" t="s">
        <v>1057</v>
      </c>
      <c r="B5725" s="23" t="s">
        <v>1056</v>
      </c>
      <c r="C5725" s="23" t="s">
        <v>176</v>
      </c>
      <c r="D5725" s="23" t="s">
        <v>81</v>
      </c>
      <c r="E5725" s="23" t="s">
        <v>82</v>
      </c>
      <c r="F5725">
        <v>5</v>
      </c>
      <c r="G5725" s="23" t="s">
        <v>177</v>
      </c>
      <c r="H5725">
        <v>5</v>
      </c>
      <c r="I5725">
        <v>0</v>
      </c>
      <c r="J5725" s="10">
        <v>0.49999999999995737</v>
      </c>
      <c r="K57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725">
        <v>10</v>
      </c>
      <c r="M57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725">
        <v>666.67</v>
      </c>
      <c r="O5725" s="23" t="s">
        <v>224</v>
      </c>
      <c r="P5725">
        <v>3333.35</v>
      </c>
      <c r="Q5725" s="23" t="s">
        <v>182</v>
      </c>
    </row>
    <row r="5726" spans="1:17" x14ac:dyDescent="0.25">
      <c r="A5726" s="23" t="s">
        <v>1146</v>
      </c>
      <c r="B5726" s="23" t="s">
        <v>1145</v>
      </c>
      <c r="C5726" s="23" t="s">
        <v>176</v>
      </c>
      <c r="D5726" s="23" t="s">
        <v>81</v>
      </c>
      <c r="E5726" s="23" t="s">
        <v>82</v>
      </c>
      <c r="F5726">
        <v>6</v>
      </c>
      <c r="G5726" s="23" t="s">
        <v>177</v>
      </c>
      <c r="H5726">
        <v>6</v>
      </c>
      <c r="I5726">
        <v>0</v>
      </c>
      <c r="J5726" s="10">
        <v>0.49999999999995737</v>
      </c>
      <c r="K57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726">
        <v>10</v>
      </c>
      <c r="M57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726">
        <v>666.67</v>
      </c>
      <c r="O5726" s="23" t="s">
        <v>224</v>
      </c>
      <c r="P5726">
        <v>4000.0199999999995</v>
      </c>
      <c r="Q5726" s="23" t="s">
        <v>182</v>
      </c>
    </row>
    <row r="5727" spans="1:17" x14ac:dyDescent="0.25">
      <c r="A5727" s="23" t="s">
        <v>1057</v>
      </c>
      <c r="B5727" s="23" t="s">
        <v>1056</v>
      </c>
      <c r="C5727" s="23" t="s">
        <v>176</v>
      </c>
      <c r="D5727" s="23" t="s">
        <v>73</v>
      </c>
      <c r="E5727" s="23" t="s">
        <v>74</v>
      </c>
      <c r="F5727">
        <v>1</v>
      </c>
      <c r="G5727" s="23" t="s">
        <v>177</v>
      </c>
      <c r="H5727">
        <v>1</v>
      </c>
      <c r="I5727">
        <v>3</v>
      </c>
      <c r="J5727" s="10">
        <v>7</v>
      </c>
      <c r="K57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727">
        <v>0</v>
      </c>
      <c r="M57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5727">
        <v>8822.93</v>
      </c>
      <c r="O5727" s="23" t="s">
        <v>635</v>
      </c>
      <c r="P5727">
        <v>8822.93</v>
      </c>
      <c r="Q5727" s="23" t="s">
        <v>179</v>
      </c>
    </row>
    <row r="5728" spans="1:17" x14ac:dyDescent="0.25">
      <c r="A5728" s="23" t="s">
        <v>1098</v>
      </c>
      <c r="B5728" s="23" t="s">
        <v>1053</v>
      </c>
      <c r="C5728" s="23" t="s">
        <v>176</v>
      </c>
      <c r="D5728" s="23" t="s">
        <v>69</v>
      </c>
      <c r="E5728" s="23" t="s">
        <v>70</v>
      </c>
      <c r="F5728">
        <v>10.139999999999999</v>
      </c>
      <c r="G5728" s="23" t="s">
        <v>186</v>
      </c>
      <c r="H5728">
        <v>0</v>
      </c>
      <c r="I5728">
        <v>181</v>
      </c>
      <c r="J5728" s="10">
        <v>-3.1263880373444408E-13</v>
      </c>
      <c r="K57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-49.03000000000003</v>
      </c>
      <c r="L5728">
        <v>46.1</v>
      </c>
      <c r="M57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28">
        <v>96.37</v>
      </c>
      <c r="O5728" s="23" t="s">
        <v>491</v>
      </c>
      <c r="P5728">
        <v>977.19179999999994</v>
      </c>
      <c r="Q5728" s="23" t="s">
        <v>184</v>
      </c>
    </row>
    <row r="5729" spans="1:17" x14ac:dyDescent="0.25">
      <c r="A5729" s="23" t="s">
        <v>1055</v>
      </c>
      <c r="B5729" s="23" t="s">
        <v>1056</v>
      </c>
      <c r="C5729" s="23" t="s">
        <v>176</v>
      </c>
      <c r="D5729" s="23" t="s">
        <v>608</v>
      </c>
      <c r="E5729" s="23" t="s">
        <v>609</v>
      </c>
      <c r="F5729">
        <v>2</v>
      </c>
      <c r="G5729" s="23" t="s">
        <v>177</v>
      </c>
      <c r="H5729">
        <v>2</v>
      </c>
      <c r="I5729">
        <v>2</v>
      </c>
      <c r="J5729" s="10">
        <v>8</v>
      </c>
      <c r="K57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729">
        <v>0</v>
      </c>
      <c r="M57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729">
        <v>56.58</v>
      </c>
      <c r="O5729" s="23" t="s">
        <v>637</v>
      </c>
      <c r="P5729">
        <v>113.16</v>
      </c>
      <c r="Q5729" s="23" t="s">
        <v>178</v>
      </c>
    </row>
    <row r="5730" spans="1:17" x14ac:dyDescent="0.25">
      <c r="A5730" s="23" t="s">
        <v>1099</v>
      </c>
      <c r="B5730" s="23" t="s">
        <v>1056</v>
      </c>
      <c r="C5730" s="23" t="s">
        <v>176</v>
      </c>
      <c r="D5730" s="23" t="s">
        <v>608</v>
      </c>
      <c r="E5730" s="23" t="s">
        <v>609</v>
      </c>
      <c r="F5730">
        <v>2</v>
      </c>
      <c r="G5730" s="23" t="s">
        <v>177</v>
      </c>
      <c r="H5730">
        <v>2</v>
      </c>
      <c r="I5730">
        <v>2</v>
      </c>
      <c r="J5730" s="10">
        <v>8</v>
      </c>
      <c r="K57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730">
        <v>0</v>
      </c>
      <c r="M57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730">
        <v>56.58</v>
      </c>
      <c r="O5730" s="23" t="s">
        <v>637</v>
      </c>
      <c r="P5730">
        <v>113.16</v>
      </c>
      <c r="Q5730" s="23" t="s">
        <v>178</v>
      </c>
    </row>
    <row r="5731" spans="1:17" x14ac:dyDescent="0.25">
      <c r="A5731" s="23" t="s">
        <v>1099</v>
      </c>
      <c r="B5731" s="23" t="s">
        <v>1056</v>
      </c>
      <c r="C5731" s="23" t="s">
        <v>176</v>
      </c>
      <c r="D5731" s="23" t="s">
        <v>1060</v>
      </c>
      <c r="E5731" s="23" t="s">
        <v>1061</v>
      </c>
      <c r="F5731">
        <v>1</v>
      </c>
      <c r="G5731" s="23" t="s">
        <v>177</v>
      </c>
      <c r="H5731">
        <v>1</v>
      </c>
      <c r="I5731">
        <v>6</v>
      </c>
      <c r="J5731" s="10">
        <v>3</v>
      </c>
      <c r="K57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731">
        <v>0</v>
      </c>
      <c r="M57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1">
        <v>12124.73</v>
      </c>
      <c r="O5731" s="23" t="s">
        <v>590</v>
      </c>
      <c r="P5731">
        <v>12124.73</v>
      </c>
      <c r="Q5731" s="23" t="s">
        <v>178</v>
      </c>
    </row>
    <row r="5732" spans="1:17" x14ac:dyDescent="0.25">
      <c r="A5732" s="23" t="s">
        <v>1055</v>
      </c>
      <c r="B5732" s="23" t="s">
        <v>1056</v>
      </c>
      <c r="C5732" s="23" t="s">
        <v>176</v>
      </c>
      <c r="D5732" s="23" t="s">
        <v>239</v>
      </c>
      <c r="E5732" s="23" t="s">
        <v>307</v>
      </c>
      <c r="F5732">
        <v>2</v>
      </c>
      <c r="G5732" s="23" t="s">
        <v>177</v>
      </c>
      <c r="H5732">
        <v>2</v>
      </c>
      <c r="I5732">
        <v>40</v>
      </c>
      <c r="J5732" s="10">
        <v>18</v>
      </c>
      <c r="K57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32">
        <v>0</v>
      </c>
      <c r="M57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2">
        <v>45.3</v>
      </c>
      <c r="O5732" s="23" t="s">
        <v>827</v>
      </c>
      <c r="P5732">
        <v>90.6</v>
      </c>
      <c r="Q5732" s="23" t="s">
        <v>222</v>
      </c>
    </row>
    <row r="5733" spans="1:17" x14ac:dyDescent="0.25">
      <c r="A5733" s="23" t="s">
        <v>1099</v>
      </c>
      <c r="B5733" s="23" t="s">
        <v>1056</v>
      </c>
      <c r="C5733" s="23" t="s">
        <v>176</v>
      </c>
      <c r="D5733" s="23" t="s">
        <v>449</v>
      </c>
      <c r="E5733" s="23" t="s">
        <v>450</v>
      </c>
      <c r="F5733">
        <v>2</v>
      </c>
      <c r="G5733" s="23" t="s">
        <v>177</v>
      </c>
      <c r="H5733">
        <v>2</v>
      </c>
      <c r="I5733">
        <v>15</v>
      </c>
      <c r="J5733" s="10">
        <v>14</v>
      </c>
      <c r="K57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733">
        <v>15</v>
      </c>
      <c r="M57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3">
        <v>65.709999999999994</v>
      </c>
      <c r="O5733" s="23" t="s">
        <v>228</v>
      </c>
      <c r="P5733">
        <v>131.41999999999999</v>
      </c>
      <c r="Q5733" s="23" t="s">
        <v>222</v>
      </c>
    </row>
    <row r="5734" spans="1:17" x14ac:dyDescent="0.25">
      <c r="A5734" s="23" t="s">
        <v>1062</v>
      </c>
      <c r="B5734" s="23" t="s">
        <v>1053</v>
      </c>
      <c r="C5734" s="23" t="s">
        <v>176</v>
      </c>
      <c r="D5734" s="23" t="s">
        <v>449</v>
      </c>
      <c r="E5734" s="23" t="s">
        <v>450</v>
      </c>
      <c r="F5734">
        <v>2</v>
      </c>
      <c r="G5734" s="23" t="s">
        <v>177</v>
      </c>
      <c r="H5734">
        <v>2</v>
      </c>
      <c r="I5734">
        <v>15</v>
      </c>
      <c r="J5734" s="10">
        <v>14</v>
      </c>
      <c r="K57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734">
        <v>15</v>
      </c>
      <c r="M57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4">
        <v>65.709999999999994</v>
      </c>
      <c r="O5734" s="23" t="s">
        <v>228</v>
      </c>
      <c r="P5734">
        <v>131.41999999999999</v>
      </c>
      <c r="Q5734" s="23" t="s">
        <v>222</v>
      </c>
    </row>
    <row r="5735" spans="1:17" x14ac:dyDescent="0.25">
      <c r="A5735" s="23" t="s">
        <v>1146</v>
      </c>
      <c r="B5735" s="23" t="s">
        <v>1145</v>
      </c>
      <c r="C5735" s="23" t="s">
        <v>176</v>
      </c>
      <c r="D5735" s="23" t="s">
        <v>608</v>
      </c>
      <c r="E5735" s="23" t="s">
        <v>609</v>
      </c>
      <c r="F5735">
        <v>2</v>
      </c>
      <c r="G5735" s="23" t="s">
        <v>177</v>
      </c>
      <c r="H5735">
        <v>0</v>
      </c>
      <c r="I5735">
        <v>2</v>
      </c>
      <c r="J5735" s="10">
        <v>8</v>
      </c>
      <c r="K57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24</v>
      </c>
      <c r="L5735">
        <v>0</v>
      </c>
      <c r="M57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1357.92</v>
      </c>
      <c r="N5735">
        <v>56.58</v>
      </c>
      <c r="O5735" s="23" t="s">
        <v>637</v>
      </c>
      <c r="P5735">
        <v>113.16</v>
      </c>
      <c r="Q5735" s="23" t="s">
        <v>178</v>
      </c>
    </row>
    <row r="5736" spans="1:17" x14ac:dyDescent="0.25">
      <c r="A5736" s="23" t="s">
        <v>1100</v>
      </c>
      <c r="B5736" s="23" t="s">
        <v>1101</v>
      </c>
      <c r="C5736" s="23" t="s">
        <v>176</v>
      </c>
      <c r="D5736" s="23" t="s">
        <v>604</v>
      </c>
      <c r="E5736" s="23" t="s">
        <v>605</v>
      </c>
      <c r="F5736">
        <v>2</v>
      </c>
      <c r="G5736" s="23" t="s">
        <v>177</v>
      </c>
      <c r="H5736">
        <v>0</v>
      </c>
      <c r="I5736">
        <v>9</v>
      </c>
      <c r="J5736" s="10">
        <v>6</v>
      </c>
      <c r="K57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736">
        <v>0</v>
      </c>
      <c r="M57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736">
        <v>75.61</v>
      </c>
      <c r="O5736" s="23" t="s">
        <v>637</v>
      </c>
      <c r="P5736">
        <v>151.22</v>
      </c>
      <c r="Q5736" s="23" t="s">
        <v>178</v>
      </c>
    </row>
    <row r="5737" spans="1:17" x14ac:dyDescent="0.25">
      <c r="A5737" s="23" t="s">
        <v>1144</v>
      </c>
      <c r="B5737" s="23" t="s">
        <v>1145</v>
      </c>
      <c r="C5737" s="23" t="s">
        <v>176</v>
      </c>
      <c r="D5737" s="23" t="s">
        <v>1136</v>
      </c>
      <c r="E5737" s="23" t="s">
        <v>1137</v>
      </c>
      <c r="F5737">
        <v>3</v>
      </c>
      <c r="G5737" s="23" t="s">
        <v>177</v>
      </c>
      <c r="H5737">
        <v>0</v>
      </c>
      <c r="I5737">
        <v>0</v>
      </c>
      <c r="J5737" s="10">
        <v>0</v>
      </c>
      <c r="K57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-173</v>
      </c>
      <c r="L5737">
        <v>200</v>
      </c>
      <c r="M57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37">
        <v>12</v>
      </c>
      <c r="O5737" s="23" t="s">
        <v>242</v>
      </c>
      <c r="P5737">
        <v>36</v>
      </c>
      <c r="Q5737" s="23" t="s">
        <v>181</v>
      </c>
    </row>
    <row r="5738" spans="1:17" x14ac:dyDescent="0.25">
      <c r="A5738" s="23" t="s">
        <v>1062</v>
      </c>
      <c r="B5738" s="23" t="s">
        <v>1053</v>
      </c>
      <c r="C5738" s="23" t="s">
        <v>176</v>
      </c>
      <c r="D5738" s="23" t="s">
        <v>604</v>
      </c>
      <c r="E5738" s="23" t="s">
        <v>605</v>
      </c>
      <c r="F5738">
        <v>2</v>
      </c>
      <c r="G5738" s="23" t="s">
        <v>177</v>
      </c>
      <c r="H5738">
        <v>2</v>
      </c>
      <c r="I5738">
        <v>9</v>
      </c>
      <c r="J5738" s="10">
        <v>6</v>
      </c>
      <c r="K57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738">
        <v>0</v>
      </c>
      <c r="M57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831.71</v>
      </c>
      <c r="N5738">
        <v>75.61</v>
      </c>
      <c r="O5738" s="23" t="s">
        <v>637</v>
      </c>
      <c r="P5738">
        <v>151.22</v>
      </c>
      <c r="Q5738" s="23" t="s">
        <v>178</v>
      </c>
    </row>
    <row r="5739" spans="1:17" x14ac:dyDescent="0.25">
      <c r="A5739" s="23" t="s">
        <v>1097</v>
      </c>
      <c r="B5739" s="23" t="s">
        <v>1095</v>
      </c>
      <c r="C5739" s="23" t="s">
        <v>176</v>
      </c>
      <c r="D5739" s="23" t="s">
        <v>711</v>
      </c>
      <c r="E5739" s="23" t="s">
        <v>712</v>
      </c>
      <c r="F5739">
        <v>1</v>
      </c>
      <c r="G5739" s="23" t="s">
        <v>177</v>
      </c>
      <c r="H5739">
        <v>0</v>
      </c>
      <c r="I5739">
        <v>0</v>
      </c>
      <c r="J5739" s="10">
        <v>2</v>
      </c>
      <c r="K57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739">
        <v>0</v>
      </c>
      <c r="M57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5739">
        <v>23970</v>
      </c>
      <c r="O5739" s="23" t="s">
        <v>1196</v>
      </c>
      <c r="P5739">
        <v>23970</v>
      </c>
      <c r="Q5739" s="23" t="s">
        <v>178</v>
      </c>
    </row>
    <row r="5740" spans="1:17" x14ac:dyDescent="0.25">
      <c r="A5740" s="23" t="s">
        <v>1143</v>
      </c>
      <c r="B5740" s="23" t="s">
        <v>1054</v>
      </c>
      <c r="C5740" s="23" t="s">
        <v>176</v>
      </c>
      <c r="D5740" s="23" t="s">
        <v>984</v>
      </c>
      <c r="E5740" s="23" t="s">
        <v>985</v>
      </c>
      <c r="F5740">
        <v>1</v>
      </c>
      <c r="G5740" s="23" t="s">
        <v>177</v>
      </c>
      <c r="H5740">
        <v>0</v>
      </c>
      <c r="I5740">
        <v>5</v>
      </c>
      <c r="J5740" s="10">
        <v>0</v>
      </c>
      <c r="K57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740">
        <v>0</v>
      </c>
      <c r="M57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0">
        <v>270</v>
      </c>
      <c r="O5740" s="23" t="s">
        <v>242</v>
      </c>
      <c r="P5740">
        <v>270</v>
      </c>
      <c r="Q5740" s="23" t="s">
        <v>184</v>
      </c>
    </row>
    <row r="5741" spans="1:17" x14ac:dyDescent="0.25">
      <c r="A5741" s="23" t="s">
        <v>1094</v>
      </c>
      <c r="B5741" s="23" t="s">
        <v>1095</v>
      </c>
      <c r="C5741" s="23" t="s">
        <v>176</v>
      </c>
      <c r="D5741" s="23" t="s">
        <v>503</v>
      </c>
      <c r="E5741" s="23" t="s">
        <v>504</v>
      </c>
      <c r="F5741">
        <v>2</v>
      </c>
      <c r="G5741" s="23" t="s">
        <v>177</v>
      </c>
      <c r="H5741">
        <v>0</v>
      </c>
      <c r="I5741">
        <v>115</v>
      </c>
      <c r="J5741" s="10">
        <v>2</v>
      </c>
      <c r="K57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-77</v>
      </c>
      <c r="L5741">
        <v>0</v>
      </c>
      <c r="M57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1">
        <v>0.44</v>
      </c>
      <c r="O5741" s="23" t="s">
        <v>505</v>
      </c>
      <c r="P5741">
        <v>0.88</v>
      </c>
      <c r="Q5741" s="23" t="s">
        <v>222</v>
      </c>
    </row>
    <row r="5742" spans="1:17" x14ac:dyDescent="0.25">
      <c r="A5742" s="23" t="s">
        <v>1143</v>
      </c>
      <c r="B5742" s="23" t="s">
        <v>1054</v>
      </c>
      <c r="C5742" s="23" t="s">
        <v>176</v>
      </c>
      <c r="D5742" s="23" t="s">
        <v>511</v>
      </c>
      <c r="E5742" s="23" t="s">
        <v>512</v>
      </c>
      <c r="F5742">
        <v>2</v>
      </c>
      <c r="G5742" s="23" t="s">
        <v>177</v>
      </c>
      <c r="H5742">
        <v>0</v>
      </c>
      <c r="I5742">
        <v>0</v>
      </c>
      <c r="J5742" s="10">
        <v>14</v>
      </c>
      <c r="K57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742">
        <v>0</v>
      </c>
      <c r="M57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742">
        <v>6.87</v>
      </c>
      <c r="O5742" s="23" t="s">
        <v>827</v>
      </c>
      <c r="P5742">
        <v>13.74</v>
      </c>
      <c r="Q5742" s="23" t="s">
        <v>222</v>
      </c>
    </row>
    <row r="5743" spans="1:17" x14ac:dyDescent="0.25">
      <c r="A5743" s="23" t="s">
        <v>1143</v>
      </c>
      <c r="B5743" s="23" t="s">
        <v>1054</v>
      </c>
      <c r="C5743" s="23" t="s">
        <v>176</v>
      </c>
      <c r="D5743" s="23" t="s">
        <v>134</v>
      </c>
      <c r="E5743" s="23" t="s">
        <v>311</v>
      </c>
      <c r="F5743">
        <v>1</v>
      </c>
      <c r="G5743" s="23" t="s">
        <v>177</v>
      </c>
      <c r="H5743">
        <v>0</v>
      </c>
      <c r="I5743">
        <v>16</v>
      </c>
      <c r="J5743" s="10">
        <v>8</v>
      </c>
      <c r="K57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743">
        <v>0</v>
      </c>
      <c r="M57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3">
        <v>224.46</v>
      </c>
      <c r="O5743" s="23" t="s">
        <v>827</v>
      </c>
      <c r="P5743">
        <v>224.46</v>
      </c>
      <c r="Q5743" s="23" t="s">
        <v>222</v>
      </c>
    </row>
    <row r="5744" spans="1:17" x14ac:dyDescent="0.25">
      <c r="A5744" s="23" t="s">
        <v>1143</v>
      </c>
      <c r="B5744" s="23" t="s">
        <v>1054</v>
      </c>
      <c r="C5744" s="23" t="s">
        <v>176</v>
      </c>
      <c r="D5744" s="23" t="s">
        <v>711</v>
      </c>
      <c r="E5744" s="23" t="s">
        <v>712</v>
      </c>
      <c r="F5744">
        <v>1</v>
      </c>
      <c r="G5744" s="23" t="s">
        <v>177</v>
      </c>
      <c r="H5744">
        <v>0</v>
      </c>
      <c r="I5744">
        <v>0</v>
      </c>
      <c r="J5744" s="10">
        <v>2</v>
      </c>
      <c r="K57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744">
        <v>0</v>
      </c>
      <c r="M57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191760</v>
      </c>
      <c r="N5744">
        <v>23970</v>
      </c>
      <c r="O5744" s="23" t="s">
        <v>1196</v>
      </c>
      <c r="P5744">
        <v>23970</v>
      </c>
      <c r="Q5744" s="23" t="s">
        <v>178</v>
      </c>
    </row>
    <row r="5745" spans="1:17" x14ac:dyDescent="0.25">
      <c r="A5745" s="23" t="s">
        <v>1062</v>
      </c>
      <c r="B5745" s="23" t="s">
        <v>1053</v>
      </c>
      <c r="C5745" s="23" t="s">
        <v>176</v>
      </c>
      <c r="D5745" s="23" t="s">
        <v>2</v>
      </c>
      <c r="E5745" s="23" t="s">
        <v>424</v>
      </c>
      <c r="F5745">
        <v>2</v>
      </c>
      <c r="G5745" s="23" t="s">
        <v>177</v>
      </c>
      <c r="H5745">
        <v>2</v>
      </c>
      <c r="I5745">
        <v>22</v>
      </c>
      <c r="J5745" s="10">
        <v>18</v>
      </c>
      <c r="K57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745">
        <v>10</v>
      </c>
      <c r="M57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5">
        <v>400</v>
      </c>
      <c r="O5745" s="23" t="s">
        <v>218</v>
      </c>
      <c r="P5745">
        <v>800</v>
      </c>
      <c r="Q5745" s="23" t="s">
        <v>222</v>
      </c>
    </row>
    <row r="5746" spans="1:17" x14ac:dyDescent="0.25">
      <c r="A5746" s="23" t="s">
        <v>1055</v>
      </c>
      <c r="B5746" s="23" t="s">
        <v>1056</v>
      </c>
      <c r="C5746" s="23" t="s">
        <v>176</v>
      </c>
      <c r="D5746" s="23" t="s">
        <v>238</v>
      </c>
      <c r="E5746" s="23" t="s">
        <v>306</v>
      </c>
      <c r="F5746">
        <v>2</v>
      </c>
      <c r="G5746" s="23" t="s">
        <v>177</v>
      </c>
      <c r="H5746">
        <v>2</v>
      </c>
      <c r="I5746">
        <v>455</v>
      </c>
      <c r="J5746" s="10">
        <v>23</v>
      </c>
      <c r="K57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746">
        <v>0</v>
      </c>
      <c r="M57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6">
        <v>20</v>
      </c>
      <c r="O5746" s="23"/>
      <c r="P5746">
        <v>40</v>
      </c>
      <c r="Q5746" s="23" t="s">
        <v>222</v>
      </c>
    </row>
    <row r="5747" spans="1:17" x14ac:dyDescent="0.25">
      <c r="A5747" s="23" t="s">
        <v>1055</v>
      </c>
      <c r="B5747" s="23" t="s">
        <v>1056</v>
      </c>
      <c r="C5747" s="23" t="s">
        <v>176</v>
      </c>
      <c r="D5747" s="23" t="s">
        <v>202</v>
      </c>
      <c r="E5747" s="23" t="s">
        <v>226</v>
      </c>
      <c r="F5747">
        <v>3</v>
      </c>
      <c r="G5747" s="23" t="s">
        <v>177</v>
      </c>
      <c r="H5747">
        <v>3</v>
      </c>
      <c r="I5747">
        <v>24</v>
      </c>
      <c r="J5747" s="10">
        <v>22</v>
      </c>
      <c r="K57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747">
        <v>50</v>
      </c>
      <c r="M57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7">
        <v>44</v>
      </c>
      <c r="O5747" s="23" t="s">
        <v>505</v>
      </c>
      <c r="P5747">
        <v>132</v>
      </c>
      <c r="Q5747" s="23" t="s">
        <v>222</v>
      </c>
    </row>
    <row r="5748" spans="1:17" x14ac:dyDescent="0.25">
      <c r="A5748" s="23" t="s">
        <v>1057</v>
      </c>
      <c r="B5748" s="23" t="s">
        <v>1056</v>
      </c>
      <c r="C5748" s="23" t="s">
        <v>176</v>
      </c>
      <c r="D5748" s="23" t="s">
        <v>202</v>
      </c>
      <c r="E5748" s="23" t="s">
        <v>226</v>
      </c>
      <c r="F5748">
        <v>3</v>
      </c>
      <c r="G5748" s="23" t="s">
        <v>177</v>
      </c>
      <c r="H5748">
        <v>3</v>
      </c>
      <c r="I5748">
        <v>24</v>
      </c>
      <c r="J5748" s="10">
        <v>22</v>
      </c>
      <c r="K57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748">
        <v>50</v>
      </c>
      <c r="M57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8">
        <v>44</v>
      </c>
      <c r="O5748" s="23" t="s">
        <v>505</v>
      </c>
      <c r="P5748">
        <v>132</v>
      </c>
      <c r="Q5748" s="23" t="s">
        <v>222</v>
      </c>
    </row>
    <row r="5749" spans="1:17" x14ac:dyDescent="0.25">
      <c r="A5749" s="23" t="s">
        <v>1099</v>
      </c>
      <c r="B5749" s="23" t="s">
        <v>1056</v>
      </c>
      <c r="C5749" s="23" t="s">
        <v>176</v>
      </c>
      <c r="D5749" s="23" t="s">
        <v>202</v>
      </c>
      <c r="E5749" s="23" t="s">
        <v>226</v>
      </c>
      <c r="F5749">
        <v>3</v>
      </c>
      <c r="G5749" s="23" t="s">
        <v>177</v>
      </c>
      <c r="H5749">
        <v>3</v>
      </c>
      <c r="I5749">
        <v>24</v>
      </c>
      <c r="J5749" s="10">
        <v>22</v>
      </c>
      <c r="K57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749">
        <v>50</v>
      </c>
      <c r="M57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49">
        <v>44</v>
      </c>
      <c r="O5749" s="23" t="s">
        <v>505</v>
      </c>
      <c r="P5749">
        <v>132</v>
      </c>
      <c r="Q5749" s="23" t="s">
        <v>222</v>
      </c>
    </row>
    <row r="5750" spans="1:17" x14ac:dyDescent="0.25">
      <c r="A5750" s="23" t="s">
        <v>1057</v>
      </c>
      <c r="B5750" s="23" t="s">
        <v>1056</v>
      </c>
      <c r="C5750" s="23" t="s">
        <v>176</v>
      </c>
      <c r="D5750" s="23" t="s">
        <v>511</v>
      </c>
      <c r="E5750" s="23" t="s">
        <v>512</v>
      </c>
      <c r="F5750">
        <v>2</v>
      </c>
      <c r="G5750" s="23" t="s">
        <v>177</v>
      </c>
      <c r="H5750">
        <v>0</v>
      </c>
      <c r="I5750">
        <v>0</v>
      </c>
      <c r="J5750" s="10">
        <v>14</v>
      </c>
      <c r="K57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38</v>
      </c>
      <c r="L5750">
        <v>0</v>
      </c>
      <c r="M57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261.06</v>
      </c>
      <c r="N5750">
        <v>6.87</v>
      </c>
      <c r="O5750" s="23" t="s">
        <v>827</v>
      </c>
      <c r="P5750">
        <v>13.74</v>
      </c>
      <c r="Q5750" s="23" t="s">
        <v>222</v>
      </c>
    </row>
    <row r="5751" spans="1:17" x14ac:dyDescent="0.25">
      <c r="A5751" s="23" t="s">
        <v>1098</v>
      </c>
      <c r="B5751" s="23" t="s">
        <v>1053</v>
      </c>
      <c r="C5751" s="23" t="s">
        <v>176</v>
      </c>
      <c r="D5751" s="23" t="s">
        <v>2</v>
      </c>
      <c r="E5751" s="23" t="s">
        <v>424</v>
      </c>
      <c r="F5751">
        <v>2</v>
      </c>
      <c r="G5751" s="23" t="s">
        <v>177</v>
      </c>
      <c r="H5751">
        <v>0</v>
      </c>
      <c r="I5751">
        <v>22</v>
      </c>
      <c r="J5751" s="10">
        <v>18</v>
      </c>
      <c r="K57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751">
        <v>10</v>
      </c>
      <c r="M57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1">
        <v>400</v>
      </c>
      <c r="O5751" s="23" t="s">
        <v>218</v>
      </c>
      <c r="P5751">
        <v>800</v>
      </c>
      <c r="Q5751" s="23" t="s">
        <v>222</v>
      </c>
    </row>
    <row r="5752" spans="1:17" x14ac:dyDescent="0.25">
      <c r="A5752" s="23" t="s">
        <v>1062</v>
      </c>
      <c r="B5752" s="23" t="s">
        <v>1053</v>
      </c>
      <c r="C5752" s="23" t="s">
        <v>176</v>
      </c>
      <c r="D5752" s="23" t="s">
        <v>124</v>
      </c>
      <c r="E5752" s="23" t="s">
        <v>634</v>
      </c>
      <c r="F5752">
        <v>0.2</v>
      </c>
      <c r="G5752" s="23" t="s">
        <v>180</v>
      </c>
      <c r="H5752">
        <v>0</v>
      </c>
      <c r="I5752">
        <v>200</v>
      </c>
      <c r="J5752" s="10">
        <v>1.1368683772161603E-13</v>
      </c>
      <c r="K57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-196.15</v>
      </c>
      <c r="L5752">
        <v>0</v>
      </c>
      <c r="M57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2">
        <v>2.89</v>
      </c>
      <c r="O5752" s="23" t="s">
        <v>827</v>
      </c>
      <c r="P5752">
        <v>0.57800000000000007</v>
      </c>
      <c r="Q5752" s="23" t="s">
        <v>222</v>
      </c>
    </row>
    <row r="5753" spans="1:17" x14ac:dyDescent="0.25">
      <c r="A5753" s="23" t="s">
        <v>1099</v>
      </c>
      <c r="B5753" s="23" t="s">
        <v>1056</v>
      </c>
      <c r="C5753" s="23" t="s">
        <v>176</v>
      </c>
      <c r="D5753" s="23" t="s">
        <v>2</v>
      </c>
      <c r="E5753" s="23" t="s">
        <v>424</v>
      </c>
      <c r="F5753">
        <v>2</v>
      </c>
      <c r="G5753" s="23" t="s">
        <v>177</v>
      </c>
      <c r="H5753">
        <v>2</v>
      </c>
      <c r="I5753">
        <v>22</v>
      </c>
      <c r="J5753" s="10">
        <v>18</v>
      </c>
      <c r="K57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753">
        <v>10</v>
      </c>
      <c r="M57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3">
        <v>400</v>
      </c>
      <c r="O5753" s="23" t="s">
        <v>218</v>
      </c>
      <c r="P5753">
        <v>800</v>
      </c>
      <c r="Q5753" s="23" t="s">
        <v>222</v>
      </c>
    </row>
    <row r="5754" spans="1:17" x14ac:dyDescent="0.25">
      <c r="A5754" s="23" t="s">
        <v>1057</v>
      </c>
      <c r="B5754" s="23" t="s">
        <v>1056</v>
      </c>
      <c r="C5754" s="23" t="s">
        <v>176</v>
      </c>
      <c r="D5754" s="23" t="s">
        <v>238</v>
      </c>
      <c r="E5754" s="23" t="s">
        <v>306</v>
      </c>
      <c r="F5754">
        <v>2</v>
      </c>
      <c r="G5754" s="23" t="s">
        <v>177</v>
      </c>
      <c r="H5754">
        <v>2</v>
      </c>
      <c r="I5754">
        <v>455</v>
      </c>
      <c r="J5754" s="10">
        <v>23</v>
      </c>
      <c r="K57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754">
        <v>0</v>
      </c>
      <c r="M57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4">
        <v>20</v>
      </c>
      <c r="O5754" s="23"/>
      <c r="P5754">
        <v>40</v>
      </c>
      <c r="Q5754" s="23" t="s">
        <v>222</v>
      </c>
    </row>
    <row r="5755" spans="1:17" x14ac:dyDescent="0.25">
      <c r="A5755" s="23" t="s">
        <v>1062</v>
      </c>
      <c r="B5755" s="23" t="s">
        <v>1053</v>
      </c>
      <c r="C5755" s="23" t="s">
        <v>176</v>
      </c>
      <c r="D5755" s="23" t="s">
        <v>238</v>
      </c>
      <c r="E5755" s="23" t="s">
        <v>306</v>
      </c>
      <c r="F5755">
        <v>2</v>
      </c>
      <c r="G5755" s="23" t="s">
        <v>177</v>
      </c>
      <c r="H5755">
        <v>2</v>
      </c>
      <c r="I5755">
        <v>455</v>
      </c>
      <c r="J5755" s="10">
        <v>23</v>
      </c>
      <c r="K57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-429</v>
      </c>
      <c r="L5755">
        <v>0</v>
      </c>
      <c r="M57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5">
        <v>20</v>
      </c>
      <c r="O5755" s="23"/>
      <c r="P5755">
        <v>40</v>
      </c>
      <c r="Q5755" s="23" t="s">
        <v>222</v>
      </c>
    </row>
    <row r="5756" spans="1:17" x14ac:dyDescent="0.25">
      <c r="A5756" s="23" t="s">
        <v>1057</v>
      </c>
      <c r="B5756" s="23" t="s">
        <v>1056</v>
      </c>
      <c r="C5756" s="23" t="s">
        <v>176</v>
      </c>
      <c r="D5756" s="23" t="s">
        <v>134</v>
      </c>
      <c r="E5756" s="23" t="s">
        <v>311</v>
      </c>
      <c r="F5756">
        <v>1</v>
      </c>
      <c r="G5756" s="23" t="s">
        <v>177</v>
      </c>
      <c r="H5756">
        <v>1</v>
      </c>
      <c r="I5756">
        <v>16</v>
      </c>
      <c r="J5756" s="10">
        <v>8</v>
      </c>
      <c r="K57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756">
        <v>0</v>
      </c>
      <c r="M57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6">
        <v>224.46</v>
      </c>
      <c r="O5756" s="23" t="s">
        <v>827</v>
      </c>
      <c r="P5756">
        <v>224.46</v>
      </c>
      <c r="Q5756" s="23" t="s">
        <v>222</v>
      </c>
    </row>
    <row r="5757" spans="1:17" x14ac:dyDescent="0.25">
      <c r="A5757" s="23" t="s">
        <v>1062</v>
      </c>
      <c r="B5757" s="23" t="s">
        <v>1053</v>
      </c>
      <c r="C5757" s="23" t="s">
        <v>176</v>
      </c>
      <c r="D5757" s="23" t="s">
        <v>134</v>
      </c>
      <c r="E5757" s="23" t="s">
        <v>311</v>
      </c>
      <c r="F5757">
        <v>1</v>
      </c>
      <c r="G5757" s="23" t="s">
        <v>177</v>
      </c>
      <c r="H5757">
        <v>1</v>
      </c>
      <c r="I5757">
        <v>16</v>
      </c>
      <c r="J5757" s="10">
        <v>8</v>
      </c>
      <c r="K57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757">
        <v>0</v>
      </c>
      <c r="M57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57">
        <v>224.46</v>
      </c>
      <c r="O5757" s="23" t="s">
        <v>827</v>
      </c>
      <c r="P5757">
        <v>224.46</v>
      </c>
      <c r="Q5757" s="23" t="s">
        <v>222</v>
      </c>
    </row>
    <row r="5758" spans="1:17" x14ac:dyDescent="0.25">
      <c r="A5758" s="23" t="s">
        <v>1057</v>
      </c>
      <c r="B5758" s="23" t="s">
        <v>1056</v>
      </c>
      <c r="C5758" s="23" t="s">
        <v>176</v>
      </c>
      <c r="D5758" s="23" t="s">
        <v>129</v>
      </c>
      <c r="E5758" s="23" t="s">
        <v>130</v>
      </c>
      <c r="F5758">
        <v>6</v>
      </c>
      <c r="G5758" s="23" t="s">
        <v>186</v>
      </c>
      <c r="H5758">
        <v>6</v>
      </c>
      <c r="I5758">
        <v>0</v>
      </c>
      <c r="J5758" s="10">
        <v>260.61</v>
      </c>
      <c r="K57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758">
        <v>0</v>
      </c>
      <c r="M57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758">
        <v>136.18</v>
      </c>
      <c r="O5758" s="23" t="s">
        <v>254</v>
      </c>
      <c r="P5758">
        <v>817.08</v>
      </c>
      <c r="Q5758" s="23" t="s">
        <v>184</v>
      </c>
    </row>
    <row r="5759" spans="1:17" x14ac:dyDescent="0.25">
      <c r="A5759" s="23" t="s">
        <v>1146</v>
      </c>
      <c r="B5759" s="23" t="s">
        <v>1145</v>
      </c>
      <c r="C5759" s="23" t="s">
        <v>176</v>
      </c>
      <c r="D5759" s="23" t="s">
        <v>129</v>
      </c>
      <c r="E5759" s="23" t="s">
        <v>130</v>
      </c>
      <c r="F5759">
        <v>7</v>
      </c>
      <c r="G5759" s="23" t="s">
        <v>186</v>
      </c>
      <c r="H5759">
        <v>7</v>
      </c>
      <c r="I5759">
        <v>0</v>
      </c>
      <c r="J5759" s="10">
        <v>260.61</v>
      </c>
      <c r="K57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97.560000000000016</v>
      </c>
      <c r="L5759">
        <v>0</v>
      </c>
      <c r="M57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13285.720800000003</v>
      </c>
      <c r="N5759">
        <v>136.18</v>
      </c>
      <c r="O5759" s="23" t="s">
        <v>254</v>
      </c>
      <c r="P5759">
        <v>953.26</v>
      </c>
      <c r="Q5759" s="23" t="s">
        <v>184</v>
      </c>
    </row>
    <row r="5760" spans="1:17" x14ac:dyDescent="0.25">
      <c r="A5760" s="23" t="s">
        <v>1099</v>
      </c>
      <c r="B5760" s="23" t="s">
        <v>1056</v>
      </c>
      <c r="C5760" s="23" t="s">
        <v>176</v>
      </c>
      <c r="D5760" s="23" t="s">
        <v>986</v>
      </c>
      <c r="E5760" s="23" t="s">
        <v>987</v>
      </c>
      <c r="F5760">
        <v>2</v>
      </c>
      <c r="G5760" s="23" t="s">
        <v>186</v>
      </c>
      <c r="H5760">
        <v>2</v>
      </c>
      <c r="I5760">
        <v>139</v>
      </c>
      <c r="J5760" s="10">
        <v>45.500000000000043</v>
      </c>
      <c r="K57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-124</v>
      </c>
      <c r="L5760">
        <v>0</v>
      </c>
      <c r="M57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0">
        <v>233.95</v>
      </c>
      <c r="O5760" s="23" t="s">
        <v>491</v>
      </c>
      <c r="P5760">
        <v>467.9</v>
      </c>
      <c r="Q5760" s="23" t="s">
        <v>184</v>
      </c>
    </row>
    <row r="5761" spans="1:17" x14ac:dyDescent="0.25">
      <c r="A5761" s="23" t="s">
        <v>1096</v>
      </c>
      <c r="B5761" s="23" t="s">
        <v>1053</v>
      </c>
      <c r="C5761" s="23" t="s">
        <v>176</v>
      </c>
      <c r="D5761" s="23" t="s">
        <v>739</v>
      </c>
      <c r="E5761" s="23" t="s">
        <v>740</v>
      </c>
      <c r="F5761">
        <v>1</v>
      </c>
      <c r="G5761" s="23" t="s">
        <v>177</v>
      </c>
      <c r="H5761">
        <v>1</v>
      </c>
      <c r="I5761">
        <v>12</v>
      </c>
      <c r="J5761" s="10">
        <v>14</v>
      </c>
      <c r="K57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761">
        <v>0</v>
      </c>
      <c r="M57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233.34</v>
      </c>
      <c r="N5761">
        <v>116.67</v>
      </c>
      <c r="O5761" s="23" t="s">
        <v>668</v>
      </c>
      <c r="P5761">
        <v>116.67</v>
      </c>
      <c r="Q5761" s="23" t="s">
        <v>178</v>
      </c>
    </row>
    <row r="5762" spans="1:17" x14ac:dyDescent="0.25">
      <c r="A5762" s="23" t="s">
        <v>1099</v>
      </c>
      <c r="B5762" s="23" t="s">
        <v>1056</v>
      </c>
      <c r="C5762" s="23" t="s">
        <v>176</v>
      </c>
      <c r="D5762" s="23" t="s">
        <v>81</v>
      </c>
      <c r="E5762" s="23" t="s">
        <v>82</v>
      </c>
      <c r="F5762">
        <v>5</v>
      </c>
      <c r="G5762" s="23" t="s">
        <v>177</v>
      </c>
      <c r="H5762">
        <v>5</v>
      </c>
      <c r="I5762">
        <v>0</v>
      </c>
      <c r="J5762" s="10">
        <v>0.49999999999995737</v>
      </c>
      <c r="K57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762">
        <v>10</v>
      </c>
      <c r="M57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762">
        <v>666.67</v>
      </c>
      <c r="O5762" s="23" t="s">
        <v>224</v>
      </c>
      <c r="P5762">
        <v>3333.35</v>
      </c>
      <c r="Q5762" s="23" t="s">
        <v>182</v>
      </c>
    </row>
    <row r="5763" spans="1:17" x14ac:dyDescent="0.25">
      <c r="A5763" s="23" t="s">
        <v>1062</v>
      </c>
      <c r="B5763" s="23" t="s">
        <v>1053</v>
      </c>
      <c r="C5763" s="23" t="s">
        <v>176</v>
      </c>
      <c r="D5763" s="23" t="s">
        <v>81</v>
      </c>
      <c r="E5763" s="23" t="s">
        <v>82</v>
      </c>
      <c r="F5763">
        <v>9.5</v>
      </c>
      <c r="G5763" s="23" t="s">
        <v>177</v>
      </c>
      <c r="H5763">
        <v>9.5</v>
      </c>
      <c r="I5763">
        <v>0</v>
      </c>
      <c r="J5763" s="10">
        <v>0.49999999999995737</v>
      </c>
      <c r="K57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55</v>
      </c>
      <c r="L5763">
        <v>10</v>
      </c>
      <c r="M57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36666.85</v>
      </c>
      <c r="N5763">
        <v>666.67</v>
      </c>
      <c r="O5763" s="23" t="s">
        <v>224</v>
      </c>
      <c r="P5763">
        <v>6333.3649999999998</v>
      </c>
      <c r="Q5763" s="23" t="s">
        <v>182</v>
      </c>
    </row>
    <row r="5764" spans="1:17" x14ac:dyDescent="0.25">
      <c r="A5764" s="23" t="s">
        <v>1062</v>
      </c>
      <c r="B5764" s="23" t="s">
        <v>1053</v>
      </c>
      <c r="C5764" s="23" t="s">
        <v>176</v>
      </c>
      <c r="D5764" s="23" t="s">
        <v>73</v>
      </c>
      <c r="E5764" s="23" t="s">
        <v>74</v>
      </c>
      <c r="F5764">
        <v>1</v>
      </c>
      <c r="G5764" s="23" t="s">
        <v>177</v>
      </c>
      <c r="H5764">
        <v>1</v>
      </c>
      <c r="I5764">
        <v>3</v>
      </c>
      <c r="J5764" s="10">
        <v>7</v>
      </c>
      <c r="K57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8</v>
      </c>
      <c r="L5764">
        <v>0</v>
      </c>
      <c r="M57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70583.44</v>
      </c>
      <c r="N5764">
        <v>8822.93</v>
      </c>
      <c r="O5764" s="23" t="s">
        <v>635</v>
      </c>
      <c r="P5764">
        <v>8822.93</v>
      </c>
      <c r="Q5764" s="23" t="s">
        <v>179</v>
      </c>
    </row>
    <row r="5765" spans="1:17" x14ac:dyDescent="0.25">
      <c r="A5765" s="23" t="s">
        <v>1096</v>
      </c>
      <c r="B5765" s="23" t="s">
        <v>1053</v>
      </c>
      <c r="C5765" s="23" t="s">
        <v>176</v>
      </c>
      <c r="D5765" s="23" t="s">
        <v>17</v>
      </c>
      <c r="E5765" s="23" t="s">
        <v>18</v>
      </c>
      <c r="F5765">
        <v>1</v>
      </c>
      <c r="G5765" s="23" t="s">
        <v>177</v>
      </c>
      <c r="H5765">
        <v>1</v>
      </c>
      <c r="I5765">
        <v>7</v>
      </c>
      <c r="J5765" s="10">
        <v>10</v>
      </c>
      <c r="K57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</v>
      </c>
      <c r="L5765">
        <v>50</v>
      </c>
      <c r="M57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5">
        <v>839.2</v>
      </c>
      <c r="O5765" s="23" t="s">
        <v>236</v>
      </c>
      <c r="P5765">
        <v>839.2</v>
      </c>
      <c r="Q5765" s="23" t="s">
        <v>222</v>
      </c>
    </row>
    <row r="5766" spans="1:17" x14ac:dyDescent="0.25">
      <c r="A5766" s="23" t="s">
        <v>1055</v>
      </c>
      <c r="B5766" s="23" t="s">
        <v>1056</v>
      </c>
      <c r="C5766" s="23" t="s">
        <v>176</v>
      </c>
      <c r="D5766" s="23" t="s">
        <v>449</v>
      </c>
      <c r="E5766" s="23" t="s">
        <v>450</v>
      </c>
      <c r="F5766">
        <v>2</v>
      </c>
      <c r="G5766" s="23" t="s">
        <v>177</v>
      </c>
      <c r="H5766">
        <v>2</v>
      </c>
      <c r="I5766">
        <v>15</v>
      </c>
      <c r="J5766" s="10">
        <v>14</v>
      </c>
      <c r="K57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766">
        <v>15</v>
      </c>
      <c r="M57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6">
        <v>65.709999999999994</v>
      </c>
      <c r="O5766" s="23" t="s">
        <v>228</v>
      </c>
      <c r="P5766">
        <v>131.41999999999999</v>
      </c>
      <c r="Q5766" s="23" t="s">
        <v>222</v>
      </c>
    </row>
    <row r="5767" spans="1:17" x14ac:dyDescent="0.25">
      <c r="A5767" s="23" t="s">
        <v>1055</v>
      </c>
      <c r="B5767" s="23" t="s">
        <v>1056</v>
      </c>
      <c r="C5767" s="23" t="s">
        <v>176</v>
      </c>
      <c r="D5767" s="23" t="s">
        <v>85</v>
      </c>
      <c r="E5767" s="23" t="s">
        <v>86</v>
      </c>
      <c r="F5767">
        <v>2</v>
      </c>
      <c r="G5767" s="23" t="s">
        <v>177</v>
      </c>
      <c r="H5767">
        <v>2</v>
      </c>
      <c r="I5767">
        <v>44</v>
      </c>
      <c r="J5767" s="10">
        <v>12</v>
      </c>
      <c r="K57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67">
        <v>0</v>
      </c>
      <c r="M57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7">
        <v>375</v>
      </c>
      <c r="O5767" s="23" t="s">
        <v>249</v>
      </c>
      <c r="P5767">
        <v>750</v>
      </c>
      <c r="Q5767" s="23" t="s">
        <v>178</v>
      </c>
    </row>
    <row r="5768" spans="1:17" x14ac:dyDescent="0.25">
      <c r="A5768" s="23" t="s">
        <v>1099</v>
      </c>
      <c r="B5768" s="23" t="s">
        <v>1056</v>
      </c>
      <c r="C5768" s="23" t="s">
        <v>176</v>
      </c>
      <c r="D5768" s="23" t="s">
        <v>85</v>
      </c>
      <c r="E5768" s="23" t="s">
        <v>86</v>
      </c>
      <c r="F5768">
        <v>2</v>
      </c>
      <c r="G5768" s="23" t="s">
        <v>177</v>
      </c>
      <c r="H5768">
        <v>2</v>
      </c>
      <c r="I5768">
        <v>44</v>
      </c>
      <c r="J5768" s="10">
        <v>12</v>
      </c>
      <c r="K57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68">
        <v>0</v>
      </c>
      <c r="M57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8">
        <v>375</v>
      </c>
      <c r="O5768" s="23" t="s">
        <v>249</v>
      </c>
      <c r="P5768">
        <v>750</v>
      </c>
      <c r="Q5768" s="23" t="s">
        <v>178</v>
      </c>
    </row>
    <row r="5769" spans="1:17" x14ac:dyDescent="0.25">
      <c r="A5769" s="23" t="s">
        <v>1062</v>
      </c>
      <c r="B5769" s="23" t="s">
        <v>1053</v>
      </c>
      <c r="C5769" s="23" t="s">
        <v>176</v>
      </c>
      <c r="D5769" s="23" t="s">
        <v>211</v>
      </c>
      <c r="E5769" s="23" t="s">
        <v>212</v>
      </c>
      <c r="F5769">
        <v>1</v>
      </c>
      <c r="G5769" s="23" t="s">
        <v>177</v>
      </c>
      <c r="H5769">
        <v>1</v>
      </c>
      <c r="I5769">
        <v>23</v>
      </c>
      <c r="J5769" s="10">
        <v>8</v>
      </c>
      <c r="K57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5769">
        <v>40</v>
      </c>
      <c r="M57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69">
        <v>312</v>
      </c>
      <c r="O5769" s="23" t="s">
        <v>218</v>
      </c>
      <c r="P5769">
        <v>312</v>
      </c>
      <c r="Q5769" s="23" t="s">
        <v>178</v>
      </c>
    </row>
    <row r="5770" spans="1:17" x14ac:dyDescent="0.25">
      <c r="A5770" s="23" t="s">
        <v>1096</v>
      </c>
      <c r="B5770" s="23" t="s">
        <v>1053</v>
      </c>
      <c r="C5770" s="23" t="s">
        <v>176</v>
      </c>
      <c r="D5770" s="23" t="s">
        <v>34</v>
      </c>
      <c r="E5770" s="23" t="s">
        <v>35</v>
      </c>
      <c r="F5770">
        <v>1</v>
      </c>
      <c r="G5770" s="23" t="s">
        <v>177</v>
      </c>
      <c r="H5770">
        <v>1</v>
      </c>
      <c r="I5770">
        <v>8</v>
      </c>
      <c r="J5770" s="10">
        <v>8</v>
      </c>
      <c r="K57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70">
        <v>10</v>
      </c>
      <c r="M57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0">
        <v>62.83</v>
      </c>
      <c r="O5770" s="23" t="s">
        <v>1104</v>
      </c>
      <c r="P5770">
        <v>62.83</v>
      </c>
      <c r="Q5770" s="23" t="s">
        <v>222</v>
      </c>
    </row>
    <row r="5771" spans="1:17" x14ac:dyDescent="0.25">
      <c r="A5771" s="23" t="s">
        <v>1062</v>
      </c>
      <c r="B5771" s="23" t="s">
        <v>1053</v>
      </c>
      <c r="C5771" s="23" t="s">
        <v>176</v>
      </c>
      <c r="D5771" s="23" t="s">
        <v>759</v>
      </c>
      <c r="E5771" s="23" t="s">
        <v>760</v>
      </c>
      <c r="F5771">
        <v>1</v>
      </c>
      <c r="G5771" s="23" t="s">
        <v>177</v>
      </c>
      <c r="H5771">
        <v>1</v>
      </c>
      <c r="I5771">
        <v>7</v>
      </c>
      <c r="J5771" s="10">
        <v>4</v>
      </c>
      <c r="K57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771">
        <v>0</v>
      </c>
      <c r="M57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1">
        <v>8495.43</v>
      </c>
      <c r="O5771" s="23" t="s">
        <v>277</v>
      </c>
      <c r="P5771">
        <v>8495.43</v>
      </c>
      <c r="Q5771" s="23" t="s">
        <v>178</v>
      </c>
    </row>
    <row r="5772" spans="1:17" x14ac:dyDescent="0.25">
      <c r="A5772" s="23" t="s">
        <v>1099</v>
      </c>
      <c r="B5772" s="23" t="s">
        <v>1056</v>
      </c>
      <c r="C5772" s="23" t="s">
        <v>176</v>
      </c>
      <c r="D5772" s="23" t="s">
        <v>211</v>
      </c>
      <c r="E5772" s="23" t="s">
        <v>212</v>
      </c>
      <c r="F5772">
        <v>1</v>
      </c>
      <c r="G5772" s="23" t="s">
        <v>177</v>
      </c>
      <c r="H5772">
        <v>1</v>
      </c>
      <c r="I5772">
        <v>23</v>
      </c>
      <c r="J5772" s="10">
        <v>8</v>
      </c>
      <c r="K57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-50</v>
      </c>
      <c r="L5772">
        <v>40</v>
      </c>
      <c r="M57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2">
        <v>312</v>
      </c>
      <c r="O5772" s="23" t="s">
        <v>218</v>
      </c>
      <c r="P5772">
        <v>312</v>
      </c>
      <c r="Q5772" s="23" t="s">
        <v>178</v>
      </c>
    </row>
    <row r="5773" spans="1:17" x14ac:dyDescent="0.25">
      <c r="A5773" s="23" t="s">
        <v>1062</v>
      </c>
      <c r="B5773" s="23" t="s">
        <v>1053</v>
      </c>
      <c r="C5773" s="23" t="s">
        <v>176</v>
      </c>
      <c r="D5773" s="23" t="s">
        <v>34</v>
      </c>
      <c r="E5773" s="23" t="s">
        <v>35</v>
      </c>
      <c r="F5773">
        <v>1</v>
      </c>
      <c r="G5773" s="23" t="s">
        <v>177</v>
      </c>
      <c r="H5773">
        <v>1</v>
      </c>
      <c r="I5773">
        <v>8</v>
      </c>
      <c r="J5773" s="10">
        <v>8</v>
      </c>
      <c r="K57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773">
        <v>10</v>
      </c>
      <c r="M57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3">
        <v>62.83</v>
      </c>
      <c r="O5773" s="23" t="s">
        <v>1104</v>
      </c>
      <c r="P5773">
        <v>62.83</v>
      </c>
      <c r="Q5773" s="23" t="s">
        <v>222</v>
      </c>
    </row>
    <row r="5774" spans="1:17" x14ac:dyDescent="0.25">
      <c r="A5774" s="23" t="s">
        <v>1099</v>
      </c>
      <c r="B5774" s="23" t="s">
        <v>1056</v>
      </c>
      <c r="C5774" s="23" t="s">
        <v>176</v>
      </c>
      <c r="D5774" s="23" t="s">
        <v>36</v>
      </c>
      <c r="E5774" s="23" t="s">
        <v>37</v>
      </c>
      <c r="F5774">
        <v>3</v>
      </c>
      <c r="G5774" s="23" t="s">
        <v>177</v>
      </c>
      <c r="H5774">
        <v>3</v>
      </c>
      <c r="I5774">
        <v>35</v>
      </c>
      <c r="J5774" s="10">
        <v>24</v>
      </c>
      <c r="K57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74">
        <v>0</v>
      </c>
      <c r="M57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774">
        <v>1750</v>
      </c>
      <c r="O5774" s="23" t="s">
        <v>1221</v>
      </c>
      <c r="P5774">
        <v>5250</v>
      </c>
      <c r="Q5774" s="23" t="s">
        <v>222</v>
      </c>
    </row>
    <row r="5775" spans="1:17" x14ac:dyDescent="0.25">
      <c r="A5775" s="23" t="s">
        <v>1062</v>
      </c>
      <c r="B5775" s="23" t="s">
        <v>1053</v>
      </c>
      <c r="C5775" s="23" t="s">
        <v>176</v>
      </c>
      <c r="D5775" s="23" t="s">
        <v>36</v>
      </c>
      <c r="E5775" s="23" t="s">
        <v>37</v>
      </c>
      <c r="F5775">
        <v>3</v>
      </c>
      <c r="G5775" s="23" t="s">
        <v>177</v>
      </c>
      <c r="H5775">
        <v>3</v>
      </c>
      <c r="I5775">
        <v>35</v>
      </c>
      <c r="J5775" s="10">
        <v>24</v>
      </c>
      <c r="K57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775">
        <v>0</v>
      </c>
      <c r="M57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17500</v>
      </c>
      <c r="N5775">
        <v>1750</v>
      </c>
      <c r="O5775" s="23" t="s">
        <v>1221</v>
      </c>
      <c r="P5775">
        <v>5250</v>
      </c>
      <c r="Q5775" s="23" t="s">
        <v>222</v>
      </c>
    </row>
    <row r="5776" spans="1:17" x14ac:dyDescent="0.25">
      <c r="A5776" s="23" t="s">
        <v>1057</v>
      </c>
      <c r="B5776" s="23" t="s">
        <v>1056</v>
      </c>
      <c r="C5776" s="23" t="s">
        <v>176</v>
      </c>
      <c r="D5776" s="23" t="s">
        <v>85</v>
      </c>
      <c r="E5776" s="23" t="s">
        <v>86</v>
      </c>
      <c r="F5776">
        <v>2</v>
      </c>
      <c r="G5776" s="23" t="s">
        <v>177</v>
      </c>
      <c r="H5776">
        <v>2</v>
      </c>
      <c r="I5776">
        <v>44</v>
      </c>
      <c r="J5776" s="10">
        <v>12</v>
      </c>
      <c r="K57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-18</v>
      </c>
      <c r="L5776">
        <v>0</v>
      </c>
      <c r="M57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6">
        <v>375</v>
      </c>
      <c r="O5776" s="23" t="s">
        <v>249</v>
      </c>
      <c r="P5776">
        <v>750</v>
      </c>
      <c r="Q5776" s="23" t="s">
        <v>178</v>
      </c>
    </row>
    <row r="5777" spans="1:17" x14ac:dyDescent="0.25">
      <c r="A5777" s="23" t="s">
        <v>1058</v>
      </c>
      <c r="B5777" s="23" t="s">
        <v>1059</v>
      </c>
      <c r="C5777" s="23" t="s">
        <v>176</v>
      </c>
      <c r="D5777" s="23" t="s">
        <v>1174</v>
      </c>
      <c r="E5777" s="23" t="s">
        <v>1175</v>
      </c>
      <c r="F5777">
        <v>1</v>
      </c>
      <c r="G5777" s="23" t="s">
        <v>177</v>
      </c>
      <c r="H5777">
        <v>1</v>
      </c>
      <c r="I5777">
        <v>0</v>
      </c>
      <c r="J5777" s="10">
        <v>1</v>
      </c>
      <c r="K57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77">
        <v>0</v>
      </c>
      <c r="M57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7">
        <v>35</v>
      </c>
      <c r="O5777" s="23" t="s">
        <v>454</v>
      </c>
      <c r="P5777">
        <v>35</v>
      </c>
      <c r="Q5777" s="23" t="s">
        <v>178</v>
      </c>
    </row>
    <row r="5778" spans="1:17" x14ac:dyDescent="0.25">
      <c r="A5778" s="23" t="s">
        <v>1055</v>
      </c>
      <c r="B5778" s="23" t="s">
        <v>1056</v>
      </c>
      <c r="C5778" s="23" t="s">
        <v>176</v>
      </c>
      <c r="D5778" s="23" t="s">
        <v>257</v>
      </c>
      <c r="E5778" s="23" t="s">
        <v>310</v>
      </c>
      <c r="F5778">
        <v>2</v>
      </c>
      <c r="G5778" s="23" t="s">
        <v>177</v>
      </c>
      <c r="H5778">
        <v>2</v>
      </c>
      <c r="I5778">
        <v>40</v>
      </c>
      <c r="J5778" s="10">
        <v>18</v>
      </c>
      <c r="K57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78">
        <v>0</v>
      </c>
      <c r="M57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8">
        <v>55</v>
      </c>
      <c r="O5778" s="23" t="s">
        <v>827</v>
      </c>
      <c r="P5778">
        <v>110</v>
      </c>
      <c r="Q5778" s="23" t="s">
        <v>222</v>
      </c>
    </row>
    <row r="5779" spans="1:17" x14ac:dyDescent="0.25">
      <c r="A5779" s="23" t="s">
        <v>1057</v>
      </c>
      <c r="B5779" s="23" t="s">
        <v>1056</v>
      </c>
      <c r="C5779" s="23" t="s">
        <v>176</v>
      </c>
      <c r="D5779" s="23" t="s">
        <v>257</v>
      </c>
      <c r="E5779" s="23" t="s">
        <v>310</v>
      </c>
      <c r="F5779">
        <v>2</v>
      </c>
      <c r="G5779" s="23" t="s">
        <v>177</v>
      </c>
      <c r="H5779">
        <v>2</v>
      </c>
      <c r="I5779">
        <v>40</v>
      </c>
      <c r="J5779" s="10">
        <v>18</v>
      </c>
      <c r="K57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79">
        <v>0</v>
      </c>
      <c r="M57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79">
        <v>55</v>
      </c>
      <c r="O5779" s="23" t="s">
        <v>827</v>
      </c>
      <c r="P5779">
        <v>110</v>
      </c>
      <c r="Q5779" s="23" t="s">
        <v>222</v>
      </c>
    </row>
    <row r="5780" spans="1:17" x14ac:dyDescent="0.25">
      <c r="A5780" s="23" t="s">
        <v>1099</v>
      </c>
      <c r="B5780" s="23" t="s">
        <v>1056</v>
      </c>
      <c r="C5780" s="23" t="s">
        <v>176</v>
      </c>
      <c r="D5780" s="23" t="s">
        <v>257</v>
      </c>
      <c r="E5780" s="23" t="s">
        <v>310</v>
      </c>
      <c r="F5780">
        <v>2</v>
      </c>
      <c r="G5780" s="23" t="s">
        <v>177</v>
      </c>
      <c r="H5780">
        <v>2</v>
      </c>
      <c r="I5780">
        <v>40</v>
      </c>
      <c r="J5780" s="10">
        <v>18</v>
      </c>
      <c r="K57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80">
        <v>0</v>
      </c>
      <c r="M57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0">
        <v>55</v>
      </c>
      <c r="O5780" s="23" t="s">
        <v>827</v>
      </c>
      <c r="P5780">
        <v>110</v>
      </c>
      <c r="Q5780" s="23" t="s">
        <v>222</v>
      </c>
    </row>
    <row r="5781" spans="1:17" x14ac:dyDescent="0.25">
      <c r="A5781" s="23" t="s">
        <v>1058</v>
      </c>
      <c r="B5781" s="23" t="s">
        <v>1059</v>
      </c>
      <c r="C5781" s="23" t="s">
        <v>176</v>
      </c>
      <c r="D5781" s="23" t="s">
        <v>257</v>
      </c>
      <c r="E5781" s="23" t="s">
        <v>310</v>
      </c>
      <c r="F5781">
        <v>2</v>
      </c>
      <c r="G5781" s="23" t="s">
        <v>177</v>
      </c>
      <c r="H5781">
        <v>2</v>
      </c>
      <c r="I5781">
        <v>40</v>
      </c>
      <c r="J5781" s="10">
        <v>18</v>
      </c>
      <c r="K57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81">
        <v>0</v>
      </c>
      <c r="M57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1">
        <v>55</v>
      </c>
      <c r="O5781" s="23" t="s">
        <v>827</v>
      </c>
      <c r="P5781">
        <v>110</v>
      </c>
      <c r="Q5781" s="23" t="s">
        <v>222</v>
      </c>
    </row>
    <row r="5782" spans="1:17" x14ac:dyDescent="0.25">
      <c r="A5782" s="23" t="s">
        <v>1096</v>
      </c>
      <c r="B5782" s="23" t="s">
        <v>1053</v>
      </c>
      <c r="C5782" s="23" t="s">
        <v>176</v>
      </c>
      <c r="D5782" s="23" t="s">
        <v>559</v>
      </c>
      <c r="E5782" s="23" t="s">
        <v>560</v>
      </c>
      <c r="F5782">
        <v>4.38</v>
      </c>
      <c r="G5782" s="23" t="s">
        <v>177</v>
      </c>
      <c r="H5782">
        <v>4.38</v>
      </c>
      <c r="I5782">
        <v>46</v>
      </c>
      <c r="J5782" s="10">
        <v>85.88</v>
      </c>
      <c r="K57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782">
        <v>0</v>
      </c>
      <c r="M57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2">
        <v>55</v>
      </c>
      <c r="O5782" s="23" t="s">
        <v>242</v>
      </c>
      <c r="P5782">
        <v>240.9</v>
      </c>
      <c r="Q5782" s="23" t="s">
        <v>181</v>
      </c>
    </row>
    <row r="5783" spans="1:17" x14ac:dyDescent="0.25">
      <c r="A5783" s="23" t="s">
        <v>1057</v>
      </c>
      <c r="B5783" s="23" t="s">
        <v>1056</v>
      </c>
      <c r="C5783" s="23" t="s">
        <v>176</v>
      </c>
      <c r="D5783" s="23" t="s">
        <v>95</v>
      </c>
      <c r="E5783" s="23" t="s">
        <v>96</v>
      </c>
      <c r="F5783">
        <v>1</v>
      </c>
      <c r="G5783" s="23" t="s">
        <v>177</v>
      </c>
      <c r="H5783">
        <v>1</v>
      </c>
      <c r="I5783">
        <v>13</v>
      </c>
      <c r="J5783" s="10">
        <v>6</v>
      </c>
      <c r="K57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783">
        <v>0</v>
      </c>
      <c r="M57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3">
        <v>1145.83</v>
      </c>
      <c r="O5783" s="23" t="s">
        <v>249</v>
      </c>
      <c r="P5783">
        <v>1145.83</v>
      </c>
      <c r="Q5783" s="23" t="s">
        <v>178</v>
      </c>
    </row>
    <row r="5784" spans="1:17" x14ac:dyDescent="0.25">
      <c r="A5784" s="23" t="s">
        <v>1096</v>
      </c>
      <c r="B5784" s="23" t="s">
        <v>1053</v>
      </c>
      <c r="C5784" s="23" t="s">
        <v>176</v>
      </c>
      <c r="D5784" s="23" t="s">
        <v>866</v>
      </c>
      <c r="E5784" s="23" t="s">
        <v>645</v>
      </c>
      <c r="F5784">
        <v>3</v>
      </c>
      <c r="G5784" s="23" t="s">
        <v>177</v>
      </c>
      <c r="H5784">
        <v>3</v>
      </c>
      <c r="I5784">
        <v>5</v>
      </c>
      <c r="J5784" s="10">
        <v>7</v>
      </c>
      <c r="K57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16</v>
      </c>
      <c r="L5784">
        <v>0</v>
      </c>
      <c r="M57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56524.800000000003</v>
      </c>
      <c r="N5784">
        <v>3532.8</v>
      </c>
      <c r="O5784" s="23" t="s">
        <v>648</v>
      </c>
      <c r="P5784">
        <v>10598.400000000001</v>
      </c>
      <c r="Q5784" s="23" t="s">
        <v>178</v>
      </c>
    </row>
    <row r="5785" spans="1:17" x14ac:dyDescent="0.25">
      <c r="A5785" s="23" t="s">
        <v>1096</v>
      </c>
      <c r="B5785" s="23" t="s">
        <v>1053</v>
      </c>
      <c r="C5785" s="23" t="s">
        <v>176</v>
      </c>
      <c r="D5785" s="23" t="s">
        <v>257</v>
      </c>
      <c r="E5785" s="23" t="s">
        <v>310</v>
      </c>
      <c r="F5785">
        <v>2</v>
      </c>
      <c r="G5785" s="23" t="s">
        <v>177</v>
      </c>
      <c r="H5785">
        <v>2</v>
      </c>
      <c r="I5785">
        <v>40</v>
      </c>
      <c r="J5785" s="10">
        <v>18</v>
      </c>
      <c r="K57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785">
        <v>0</v>
      </c>
      <c r="M57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5">
        <v>55</v>
      </c>
      <c r="O5785" s="23" t="s">
        <v>827</v>
      </c>
      <c r="P5785">
        <v>110</v>
      </c>
      <c r="Q5785" s="23" t="s">
        <v>222</v>
      </c>
    </row>
    <row r="5786" spans="1:17" x14ac:dyDescent="0.25">
      <c r="A5786" s="23" t="s">
        <v>1148</v>
      </c>
      <c r="B5786" s="23" t="s">
        <v>1054</v>
      </c>
      <c r="C5786" s="23" t="s">
        <v>176</v>
      </c>
      <c r="D5786" s="23" t="s">
        <v>749</v>
      </c>
      <c r="E5786" s="23" t="s">
        <v>750</v>
      </c>
      <c r="F5786">
        <v>4</v>
      </c>
      <c r="G5786" s="23" t="s">
        <v>177</v>
      </c>
      <c r="H5786">
        <v>0</v>
      </c>
      <c r="I5786">
        <v>250</v>
      </c>
      <c r="J5786" s="10">
        <v>0</v>
      </c>
      <c r="K57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-218</v>
      </c>
      <c r="L5786">
        <v>0</v>
      </c>
      <c r="M57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6">
        <v>5.74</v>
      </c>
      <c r="O5786" s="23" t="s">
        <v>883</v>
      </c>
      <c r="P5786">
        <v>22.96</v>
      </c>
      <c r="Q5786" s="23" t="s">
        <v>181</v>
      </c>
    </row>
    <row r="5787" spans="1:17" x14ac:dyDescent="0.25">
      <c r="A5787" s="23" t="s">
        <v>1098</v>
      </c>
      <c r="B5787" s="23" t="s">
        <v>1053</v>
      </c>
      <c r="C5787" s="23" t="s">
        <v>176</v>
      </c>
      <c r="D5787" s="23" t="s">
        <v>209</v>
      </c>
      <c r="E5787" s="23" t="s">
        <v>286</v>
      </c>
      <c r="F5787">
        <v>31</v>
      </c>
      <c r="G5787" s="23" t="s">
        <v>177</v>
      </c>
      <c r="H5787">
        <v>0</v>
      </c>
      <c r="I5787">
        <v>2600</v>
      </c>
      <c r="J5787" s="10">
        <v>292</v>
      </c>
      <c r="K57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5787">
        <v>0</v>
      </c>
      <c r="M57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7">
        <v>0.4</v>
      </c>
      <c r="O5787" s="23" t="s">
        <v>242</v>
      </c>
      <c r="P5787">
        <v>12.4</v>
      </c>
      <c r="Q5787" s="23" t="s">
        <v>181</v>
      </c>
    </row>
    <row r="5788" spans="1:17" x14ac:dyDescent="0.25">
      <c r="A5788" s="23" t="s">
        <v>1148</v>
      </c>
      <c r="B5788" s="23" t="s">
        <v>1054</v>
      </c>
      <c r="C5788" s="23" t="s">
        <v>176</v>
      </c>
      <c r="D5788" s="23" t="s">
        <v>559</v>
      </c>
      <c r="E5788" s="23" t="s">
        <v>560</v>
      </c>
      <c r="F5788">
        <v>1</v>
      </c>
      <c r="G5788" s="23" t="s">
        <v>177</v>
      </c>
      <c r="H5788">
        <v>0</v>
      </c>
      <c r="I5788">
        <v>46</v>
      </c>
      <c r="J5788" s="10">
        <v>85.88</v>
      </c>
      <c r="K57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788">
        <v>0</v>
      </c>
      <c r="M57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8">
        <v>55</v>
      </c>
      <c r="O5788" s="23" t="s">
        <v>242</v>
      </c>
      <c r="P5788">
        <v>55</v>
      </c>
      <c r="Q5788" s="23" t="s">
        <v>181</v>
      </c>
    </row>
    <row r="5789" spans="1:17" x14ac:dyDescent="0.25">
      <c r="A5789" s="23" t="s">
        <v>1148</v>
      </c>
      <c r="B5789" s="23" t="s">
        <v>1054</v>
      </c>
      <c r="C5789" s="23" t="s">
        <v>176</v>
      </c>
      <c r="D5789" s="23" t="s">
        <v>232</v>
      </c>
      <c r="E5789" s="23" t="s">
        <v>233</v>
      </c>
      <c r="F5789">
        <v>2</v>
      </c>
      <c r="G5789" s="23" t="s">
        <v>177</v>
      </c>
      <c r="H5789">
        <v>0</v>
      </c>
      <c r="I5789">
        <v>239</v>
      </c>
      <c r="J5789" s="10">
        <v>90</v>
      </c>
      <c r="K57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-201</v>
      </c>
      <c r="L5789">
        <v>0</v>
      </c>
      <c r="M57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89">
        <v>4</v>
      </c>
      <c r="O5789" s="23" t="s">
        <v>221</v>
      </c>
      <c r="P5789">
        <v>8</v>
      </c>
      <c r="Q5789" s="23" t="s">
        <v>222</v>
      </c>
    </row>
    <row r="5790" spans="1:17" x14ac:dyDescent="0.25">
      <c r="A5790" s="23" t="s">
        <v>1149</v>
      </c>
      <c r="B5790" s="23" t="s">
        <v>1145</v>
      </c>
      <c r="C5790" s="23" t="s">
        <v>176</v>
      </c>
      <c r="D5790" s="23" t="s">
        <v>610</v>
      </c>
      <c r="E5790" s="23" t="s">
        <v>611</v>
      </c>
      <c r="F5790">
        <v>2.8</v>
      </c>
      <c r="G5790" s="23" t="s">
        <v>177</v>
      </c>
      <c r="H5790">
        <v>0</v>
      </c>
      <c r="I5790">
        <v>0</v>
      </c>
      <c r="J5790" s="10">
        <v>-7.1054273576010019E-15</v>
      </c>
      <c r="K57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5790">
        <v>11</v>
      </c>
      <c r="M57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5790">
        <v>1833.33</v>
      </c>
      <c r="O5790" s="23" t="s">
        <v>224</v>
      </c>
      <c r="P5790">
        <v>5133.3239999999996</v>
      </c>
      <c r="Q5790" s="23" t="s">
        <v>182</v>
      </c>
    </row>
    <row r="5791" spans="1:17" x14ac:dyDescent="0.25">
      <c r="A5791" s="23" t="s">
        <v>1142</v>
      </c>
      <c r="B5791" s="23" t="s">
        <v>1054</v>
      </c>
      <c r="C5791" s="23" t="s">
        <v>176</v>
      </c>
      <c r="D5791" s="23" t="s">
        <v>15</v>
      </c>
      <c r="E5791" s="23" t="s">
        <v>16</v>
      </c>
      <c r="F5791">
        <v>1</v>
      </c>
      <c r="G5791" s="23" t="s">
        <v>177</v>
      </c>
      <c r="H5791">
        <v>0</v>
      </c>
      <c r="I5791">
        <v>7</v>
      </c>
      <c r="J5791" s="10">
        <v>10</v>
      </c>
      <c r="K57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91">
        <v>0</v>
      </c>
      <c r="M57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5791">
        <v>3383.99</v>
      </c>
      <c r="O5791" s="23" t="s">
        <v>216</v>
      </c>
      <c r="P5791">
        <v>3383.99</v>
      </c>
      <c r="Q5791" s="23" t="s">
        <v>222</v>
      </c>
    </row>
    <row r="5792" spans="1:17" x14ac:dyDescent="0.25">
      <c r="A5792" s="23" t="s">
        <v>1180</v>
      </c>
      <c r="B5792" s="23" t="s">
        <v>1181</v>
      </c>
      <c r="C5792" s="23" t="s">
        <v>176</v>
      </c>
      <c r="D5792" s="23" t="s">
        <v>148</v>
      </c>
      <c r="E5792" s="23" t="s">
        <v>149</v>
      </c>
      <c r="F5792">
        <v>2</v>
      </c>
      <c r="G5792" s="23" t="s">
        <v>177</v>
      </c>
      <c r="H5792">
        <v>0</v>
      </c>
      <c r="I5792">
        <v>2</v>
      </c>
      <c r="J5792" s="10">
        <v>8</v>
      </c>
      <c r="K57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92">
        <v>5</v>
      </c>
      <c r="M57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792">
        <v>3152.4</v>
      </c>
      <c r="O5792" s="23" t="s">
        <v>228</v>
      </c>
      <c r="P5792">
        <v>6304.8</v>
      </c>
      <c r="Q5792" s="23" t="s">
        <v>222</v>
      </c>
    </row>
    <row r="5793" spans="1:17" x14ac:dyDescent="0.25">
      <c r="A5793" s="23" t="s">
        <v>1062</v>
      </c>
      <c r="B5793" s="23" t="s">
        <v>1053</v>
      </c>
      <c r="C5793" s="23" t="s">
        <v>176</v>
      </c>
      <c r="D5793" s="23" t="s">
        <v>71</v>
      </c>
      <c r="E5793" s="23" t="s">
        <v>289</v>
      </c>
      <c r="F5793">
        <v>6.28</v>
      </c>
      <c r="G5793" s="23" t="s">
        <v>186</v>
      </c>
      <c r="H5793">
        <v>6.28</v>
      </c>
      <c r="I5793">
        <v>120</v>
      </c>
      <c r="J5793" s="10">
        <v>113.68999999999956</v>
      </c>
      <c r="K57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793">
        <v>120</v>
      </c>
      <c r="M57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3">
        <v>101.44</v>
      </c>
      <c r="O5793" s="23" t="s">
        <v>491</v>
      </c>
      <c r="P5793">
        <v>637.04319999999996</v>
      </c>
      <c r="Q5793" s="23" t="s">
        <v>184</v>
      </c>
    </row>
    <row r="5794" spans="1:17" x14ac:dyDescent="0.25">
      <c r="A5794" s="23" t="s">
        <v>1146</v>
      </c>
      <c r="B5794" s="23" t="s">
        <v>1145</v>
      </c>
      <c r="C5794" s="23" t="s">
        <v>176</v>
      </c>
      <c r="D5794" s="23" t="s">
        <v>463</v>
      </c>
      <c r="E5794" s="23" t="s">
        <v>464</v>
      </c>
      <c r="F5794">
        <v>0.54999999999999993</v>
      </c>
      <c r="G5794" s="23" t="s">
        <v>177</v>
      </c>
      <c r="H5794">
        <v>0.54999999999999993</v>
      </c>
      <c r="I5794">
        <v>0</v>
      </c>
      <c r="J5794" s="10">
        <v>5.5999999999999961</v>
      </c>
      <c r="K57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794">
        <v>0</v>
      </c>
      <c r="M57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794">
        <v>162.51</v>
      </c>
      <c r="O5794" s="23" t="s">
        <v>491</v>
      </c>
      <c r="P5794">
        <v>89.380499999999984</v>
      </c>
      <c r="Q5794" s="23" t="s">
        <v>184</v>
      </c>
    </row>
    <row r="5795" spans="1:17" x14ac:dyDescent="0.25">
      <c r="A5795" s="23" t="s">
        <v>1096</v>
      </c>
      <c r="B5795" s="23" t="s">
        <v>1053</v>
      </c>
      <c r="C5795" s="23" t="s">
        <v>176</v>
      </c>
      <c r="D5795" s="23" t="s">
        <v>28</v>
      </c>
      <c r="E5795" s="23" t="s">
        <v>29</v>
      </c>
      <c r="F5795">
        <v>110</v>
      </c>
      <c r="G5795" s="23" t="s">
        <v>177</v>
      </c>
      <c r="H5795">
        <v>0</v>
      </c>
      <c r="I5795">
        <v>3000</v>
      </c>
      <c r="J5795" s="10">
        <v>1048</v>
      </c>
      <c r="K57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-967</v>
      </c>
      <c r="L5795">
        <v>0</v>
      </c>
      <c r="M57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5">
        <v>2.92</v>
      </c>
      <c r="O5795" s="23" t="s">
        <v>629</v>
      </c>
      <c r="P5795">
        <v>321.2</v>
      </c>
      <c r="Q5795" s="23" t="s">
        <v>181</v>
      </c>
    </row>
    <row r="5796" spans="1:17" x14ac:dyDescent="0.25">
      <c r="A5796" s="23" t="s">
        <v>1146</v>
      </c>
      <c r="B5796" s="23" t="s">
        <v>1145</v>
      </c>
      <c r="C5796" s="23" t="s">
        <v>176</v>
      </c>
      <c r="D5796" s="23" t="s">
        <v>610</v>
      </c>
      <c r="E5796" s="23" t="s">
        <v>611</v>
      </c>
      <c r="F5796">
        <v>2.8</v>
      </c>
      <c r="G5796" s="23" t="s">
        <v>177</v>
      </c>
      <c r="H5796">
        <v>2.8</v>
      </c>
      <c r="I5796">
        <v>0</v>
      </c>
      <c r="J5796" s="10">
        <v>-7.1054273576010019E-15</v>
      </c>
      <c r="K57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13.000000000000007</v>
      </c>
      <c r="L5796">
        <v>11</v>
      </c>
      <c r="M57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23833.290000000012</v>
      </c>
      <c r="N5796">
        <v>1833.33</v>
      </c>
      <c r="O5796" s="23" t="s">
        <v>224</v>
      </c>
      <c r="P5796">
        <v>5133.3239999999996</v>
      </c>
      <c r="Q5796" s="23" t="s">
        <v>182</v>
      </c>
    </row>
    <row r="5797" spans="1:17" x14ac:dyDescent="0.25">
      <c r="A5797" s="23" t="s">
        <v>1062</v>
      </c>
      <c r="B5797" s="23" t="s">
        <v>1053</v>
      </c>
      <c r="C5797" s="23" t="s">
        <v>176</v>
      </c>
      <c r="D5797" s="23" t="s">
        <v>525</v>
      </c>
      <c r="E5797" s="23" t="s">
        <v>526</v>
      </c>
      <c r="F5797">
        <v>9</v>
      </c>
      <c r="G5797" s="23" t="s">
        <v>177</v>
      </c>
      <c r="H5797">
        <v>9</v>
      </c>
      <c r="I5797">
        <v>400</v>
      </c>
      <c r="J5797" s="10">
        <v>225</v>
      </c>
      <c r="K57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-292</v>
      </c>
      <c r="L5797">
        <v>0</v>
      </c>
      <c r="M57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7">
        <v>12</v>
      </c>
      <c r="O5797" s="23" t="s">
        <v>227</v>
      </c>
      <c r="P5797">
        <v>108</v>
      </c>
      <c r="Q5797" s="23" t="s">
        <v>181</v>
      </c>
    </row>
    <row r="5798" spans="1:17" x14ac:dyDescent="0.25">
      <c r="A5798" s="23" t="s">
        <v>1062</v>
      </c>
      <c r="B5798" s="23" t="s">
        <v>1053</v>
      </c>
      <c r="C5798" s="23" t="s">
        <v>176</v>
      </c>
      <c r="D5798" s="23" t="s">
        <v>148</v>
      </c>
      <c r="E5798" s="23" t="s">
        <v>149</v>
      </c>
      <c r="F5798">
        <v>1</v>
      </c>
      <c r="G5798" s="23" t="s">
        <v>177</v>
      </c>
      <c r="H5798">
        <v>1</v>
      </c>
      <c r="I5798">
        <v>2</v>
      </c>
      <c r="J5798" s="10">
        <v>8</v>
      </c>
      <c r="K57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798">
        <v>5</v>
      </c>
      <c r="M57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798">
        <v>3152.4</v>
      </c>
      <c r="O5798" s="23" t="s">
        <v>228</v>
      </c>
      <c r="P5798">
        <v>3152.4</v>
      </c>
      <c r="Q5798" s="23" t="s">
        <v>222</v>
      </c>
    </row>
    <row r="5799" spans="1:17" x14ac:dyDescent="0.25">
      <c r="A5799" s="23" t="s">
        <v>1149</v>
      </c>
      <c r="B5799" s="23" t="s">
        <v>1145</v>
      </c>
      <c r="C5799" s="23" t="s">
        <v>176</v>
      </c>
      <c r="D5799" s="23" t="s">
        <v>537</v>
      </c>
      <c r="E5799" s="23" t="s">
        <v>538</v>
      </c>
      <c r="F5799">
        <v>45</v>
      </c>
      <c r="G5799" s="23" t="s">
        <v>177</v>
      </c>
      <c r="H5799">
        <v>0</v>
      </c>
      <c r="I5799">
        <v>2200</v>
      </c>
      <c r="J5799" s="10">
        <v>0</v>
      </c>
      <c r="K57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-1626</v>
      </c>
      <c r="L5799">
        <v>0</v>
      </c>
      <c r="M57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799">
        <v>0.7</v>
      </c>
      <c r="O5799" s="23" t="s">
        <v>242</v>
      </c>
      <c r="P5799">
        <v>31.499999999999996</v>
      </c>
      <c r="Q5799" s="23" t="s">
        <v>181</v>
      </c>
    </row>
    <row r="5800" spans="1:17" x14ac:dyDescent="0.25">
      <c r="A5800" s="23" t="s">
        <v>1055</v>
      </c>
      <c r="B5800" s="23" t="s">
        <v>1056</v>
      </c>
      <c r="C5800" s="23" t="s">
        <v>176</v>
      </c>
      <c r="D5800" s="23" t="s">
        <v>71</v>
      </c>
      <c r="E5800" s="23" t="s">
        <v>289</v>
      </c>
      <c r="F5800">
        <v>4</v>
      </c>
      <c r="G5800" s="23" t="s">
        <v>186</v>
      </c>
      <c r="H5800">
        <v>4</v>
      </c>
      <c r="I5800">
        <v>120</v>
      </c>
      <c r="J5800" s="10">
        <v>113.68999999999956</v>
      </c>
      <c r="K58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800">
        <v>120</v>
      </c>
      <c r="M58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0">
        <v>101.44</v>
      </c>
      <c r="O5800" s="23" t="s">
        <v>491</v>
      </c>
      <c r="P5800">
        <v>405.76</v>
      </c>
      <c r="Q5800" s="23" t="s">
        <v>184</v>
      </c>
    </row>
    <row r="5801" spans="1:17" x14ac:dyDescent="0.25">
      <c r="A5801" s="23" t="s">
        <v>1058</v>
      </c>
      <c r="B5801" s="23" t="s">
        <v>1059</v>
      </c>
      <c r="C5801" s="23" t="s">
        <v>176</v>
      </c>
      <c r="D5801" s="23" t="s">
        <v>71</v>
      </c>
      <c r="E5801" s="23" t="s">
        <v>289</v>
      </c>
      <c r="F5801">
        <v>5.5</v>
      </c>
      <c r="G5801" s="23" t="s">
        <v>186</v>
      </c>
      <c r="H5801">
        <v>5.5</v>
      </c>
      <c r="I5801">
        <v>120</v>
      </c>
      <c r="J5801" s="10">
        <v>113.68999999999956</v>
      </c>
      <c r="K58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801">
        <v>120</v>
      </c>
      <c r="M58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1">
        <v>101.44</v>
      </c>
      <c r="O5801" s="23" t="s">
        <v>491</v>
      </c>
      <c r="P5801">
        <v>557.91999999999996</v>
      </c>
      <c r="Q5801" s="23" t="s">
        <v>184</v>
      </c>
    </row>
    <row r="5802" spans="1:17" x14ac:dyDescent="0.25">
      <c r="A5802" s="23" t="s">
        <v>1100</v>
      </c>
      <c r="B5802" s="23" t="s">
        <v>1101</v>
      </c>
      <c r="C5802" s="23" t="s">
        <v>176</v>
      </c>
      <c r="D5802" s="23" t="s">
        <v>463</v>
      </c>
      <c r="E5802" s="23" t="s">
        <v>464</v>
      </c>
      <c r="F5802">
        <v>1.1499999999999999</v>
      </c>
      <c r="G5802" s="23" t="s">
        <v>177</v>
      </c>
      <c r="H5802">
        <v>1.1499999999999999</v>
      </c>
      <c r="I5802">
        <v>0</v>
      </c>
      <c r="J5802" s="10">
        <v>5.5999999999999961</v>
      </c>
      <c r="K58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802">
        <v>0</v>
      </c>
      <c r="M58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802">
        <v>162.51</v>
      </c>
      <c r="O5802" s="23" t="s">
        <v>491</v>
      </c>
      <c r="P5802">
        <v>186.88649999999998</v>
      </c>
      <c r="Q5802" s="23" t="s">
        <v>184</v>
      </c>
    </row>
    <row r="5803" spans="1:17" x14ac:dyDescent="0.25">
      <c r="A5803" s="23" t="s">
        <v>1057</v>
      </c>
      <c r="B5803" s="23" t="s">
        <v>1056</v>
      </c>
      <c r="C5803" s="23" t="s">
        <v>176</v>
      </c>
      <c r="D5803" s="23" t="s">
        <v>148</v>
      </c>
      <c r="E5803" s="23" t="s">
        <v>149</v>
      </c>
      <c r="F5803">
        <v>1</v>
      </c>
      <c r="G5803" s="23" t="s">
        <v>177</v>
      </c>
      <c r="H5803">
        <v>1</v>
      </c>
      <c r="I5803">
        <v>2</v>
      </c>
      <c r="J5803" s="10">
        <v>8</v>
      </c>
      <c r="K58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803">
        <v>5</v>
      </c>
      <c r="M58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18914.400000000001</v>
      </c>
      <c r="N5803">
        <v>3152.4</v>
      </c>
      <c r="O5803" s="23" t="s">
        <v>228</v>
      </c>
      <c r="P5803">
        <v>3152.4</v>
      </c>
      <c r="Q5803" s="23" t="s">
        <v>222</v>
      </c>
    </row>
    <row r="5804" spans="1:17" x14ac:dyDescent="0.25">
      <c r="A5804" s="23" t="s">
        <v>1094</v>
      </c>
      <c r="B5804" s="23" t="s">
        <v>1095</v>
      </c>
      <c r="C5804" s="23" t="s">
        <v>176</v>
      </c>
      <c r="D5804" s="23" t="s">
        <v>463</v>
      </c>
      <c r="E5804" s="23" t="s">
        <v>464</v>
      </c>
      <c r="F5804">
        <v>1.05</v>
      </c>
      <c r="G5804" s="23" t="s">
        <v>177</v>
      </c>
      <c r="H5804">
        <v>0</v>
      </c>
      <c r="I5804">
        <v>0</v>
      </c>
      <c r="J5804" s="10">
        <v>5.5999999999999961</v>
      </c>
      <c r="K58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804">
        <v>0</v>
      </c>
      <c r="M58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804">
        <v>162.51</v>
      </c>
      <c r="O5804" s="23" t="s">
        <v>491</v>
      </c>
      <c r="P5804">
        <v>170.63550000000001</v>
      </c>
      <c r="Q5804" s="23" t="s">
        <v>184</v>
      </c>
    </row>
    <row r="5805" spans="1:17" x14ac:dyDescent="0.25">
      <c r="A5805" s="23" t="s">
        <v>1100</v>
      </c>
      <c r="B5805" s="23" t="s">
        <v>1101</v>
      </c>
      <c r="C5805" s="23" t="s">
        <v>176</v>
      </c>
      <c r="D5805" s="23" t="s">
        <v>71</v>
      </c>
      <c r="E5805" s="23" t="s">
        <v>289</v>
      </c>
      <c r="F5805">
        <v>11.67</v>
      </c>
      <c r="G5805" s="23" t="s">
        <v>186</v>
      </c>
      <c r="H5805">
        <v>11.67</v>
      </c>
      <c r="I5805">
        <v>120</v>
      </c>
      <c r="J5805" s="10">
        <v>113.68999999999956</v>
      </c>
      <c r="K58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-176.87000000000003</v>
      </c>
      <c r="L5805">
        <v>120</v>
      </c>
      <c r="M58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5">
        <v>101.44</v>
      </c>
      <c r="O5805" s="23" t="s">
        <v>491</v>
      </c>
      <c r="P5805">
        <v>1183.8047999999999</v>
      </c>
      <c r="Q5805" s="23" t="s">
        <v>184</v>
      </c>
    </row>
    <row r="5806" spans="1:17" x14ac:dyDescent="0.25">
      <c r="A5806" s="23" t="s">
        <v>1058</v>
      </c>
      <c r="B5806" s="23" t="s">
        <v>1059</v>
      </c>
      <c r="C5806" s="23" t="s">
        <v>176</v>
      </c>
      <c r="D5806" s="23" t="s">
        <v>463</v>
      </c>
      <c r="E5806" s="23" t="s">
        <v>464</v>
      </c>
      <c r="F5806">
        <v>0.55000000000000004</v>
      </c>
      <c r="G5806" s="23" t="s">
        <v>177</v>
      </c>
      <c r="H5806">
        <v>0.55000000000000004</v>
      </c>
      <c r="I5806">
        <v>0</v>
      </c>
      <c r="J5806" s="10">
        <v>5.5999999999999961</v>
      </c>
      <c r="K58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7.200000000000002</v>
      </c>
      <c r="L5806">
        <v>0</v>
      </c>
      <c r="M58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1170.0720000000003</v>
      </c>
      <c r="N5806">
        <v>162.51</v>
      </c>
      <c r="O5806" s="23" t="s">
        <v>491</v>
      </c>
      <c r="P5806">
        <v>89.380499999999998</v>
      </c>
      <c r="Q5806" s="23" t="s">
        <v>184</v>
      </c>
    </row>
    <row r="5807" spans="1:17" x14ac:dyDescent="0.25">
      <c r="A5807" s="23" t="s">
        <v>1055</v>
      </c>
      <c r="B5807" s="23" t="s">
        <v>1056</v>
      </c>
      <c r="C5807" s="23" t="s">
        <v>176</v>
      </c>
      <c r="D5807" s="23" t="s">
        <v>15</v>
      </c>
      <c r="E5807" s="23" t="s">
        <v>16</v>
      </c>
      <c r="F5807">
        <v>1</v>
      </c>
      <c r="G5807" s="23" t="s">
        <v>177</v>
      </c>
      <c r="H5807">
        <v>1</v>
      </c>
      <c r="I5807">
        <v>7</v>
      </c>
      <c r="J5807" s="10">
        <v>10</v>
      </c>
      <c r="K58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807">
        <v>0</v>
      </c>
      <c r="M58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5807">
        <v>3383.99</v>
      </c>
      <c r="O5807" s="23" t="s">
        <v>216</v>
      </c>
      <c r="P5807">
        <v>3383.99</v>
      </c>
      <c r="Q5807" s="23" t="s">
        <v>222</v>
      </c>
    </row>
    <row r="5808" spans="1:17" x14ac:dyDescent="0.25">
      <c r="A5808" s="23" t="s">
        <v>1055</v>
      </c>
      <c r="B5808" s="23" t="s">
        <v>1056</v>
      </c>
      <c r="C5808" s="23" t="s">
        <v>176</v>
      </c>
      <c r="D5808" s="23" t="s">
        <v>519</v>
      </c>
      <c r="E5808" s="23" t="s">
        <v>520</v>
      </c>
      <c r="F5808">
        <v>3</v>
      </c>
      <c r="G5808" s="23" t="s">
        <v>177</v>
      </c>
      <c r="H5808">
        <v>0</v>
      </c>
      <c r="I5808">
        <v>111</v>
      </c>
      <c r="J5808" s="10">
        <v>1.1191048088221578E-13</v>
      </c>
      <c r="K58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5808">
        <v>0</v>
      </c>
      <c r="M58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8">
        <v>36</v>
      </c>
      <c r="O5808" s="23" t="s">
        <v>242</v>
      </c>
      <c r="P5808">
        <v>108</v>
      </c>
      <c r="Q5808" s="23" t="s">
        <v>181</v>
      </c>
    </row>
    <row r="5809" spans="1:17" x14ac:dyDescent="0.25">
      <c r="A5809" s="23" t="s">
        <v>1058</v>
      </c>
      <c r="B5809" s="23" t="s">
        <v>1059</v>
      </c>
      <c r="C5809" s="23" t="s">
        <v>176</v>
      </c>
      <c r="D5809" s="23" t="s">
        <v>674</v>
      </c>
      <c r="E5809" s="23" t="s">
        <v>675</v>
      </c>
      <c r="F5809">
        <v>6</v>
      </c>
      <c r="G5809" s="23" t="s">
        <v>177</v>
      </c>
      <c r="H5809">
        <v>0</v>
      </c>
      <c r="I5809">
        <v>150</v>
      </c>
      <c r="J5809" s="10">
        <v>78</v>
      </c>
      <c r="K58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</v>
      </c>
      <c r="L5809">
        <v>0</v>
      </c>
      <c r="M58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09">
        <v>20.83</v>
      </c>
      <c r="O5809" s="23" t="s">
        <v>227</v>
      </c>
      <c r="P5809">
        <v>124.97999999999999</v>
      </c>
      <c r="Q5809" s="23" t="s">
        <v>181</v>
      </c>
    </row>
    <row r="5810" spans="1:17" x14ac:dyDescent="0.25">
      <c r="A5810" s="23" t="s">
        <v>1057</v>
      </c>
      <c r="B5810" s="23" t="s">
        <v>1056</v>
      </c>
      <c r="C5810" s="23" t="s">
        <v>176</v>
      </c>
      <c r="D5810" s="23" t="s">
        <v>15</v>
      </c>
      <c r="E5810" s="23" t="s">
        <v>16</v>
      </c>
      <c r="F5810">
        <v>1</v>
      </c>
      <c r="G5810" s="23" t="s">
        <v>177</v>
      </c>
      <c r="H5810">
        <v>1</v>
      </c>
      <c r="I5810">
        <v>7</v>
      </c>
      <c r="J5810" s="10">
        <v>10</v>
      </c>
      <c r="K58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</v>
      </c>
      <c r="L5810">
        <v>0</v>
      </c>
      <c r="M58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20303.939999999999</v>
      </c>
      <c r="N5810">
        <v>3383.99</v>
      </c>
      <c r="O5810" s="23" t="s">
        <v>216</v>
      </c>
      <c r="P5810">
        <v>3383.99</v>
      </c>
      <c r="Q5810" s="23" t="s">
        <v>222</v>
      </c>
    </row>
    <row r="5811" spans="1:17" x14ac:dyDescent="0.25">
      <c r="A5811" s="23" t="s">
        <v>1146</v>
      </c>
      <c r="B5811" s="23" t="s">
        <v>1145</v>
      </c>
      <c r="C5811" s="23" t="s">
        <v>176</v>
      </c>
      <c r="D5811" s="23" t="s">
        <v>519</v>
      </c>
      <c r="E5811" s="23" t="s">
        <v>520</v>
      </c>
      <c r="F5811">
        <v>3</v>
      </c>
      <c r="G5811" s="23" t="s">
        <v>177</v>
      </c>
      <c r="H5811">
        <v>0</v>
      </c>
      <c r="I5811">
        <v>111</v>
      </c>
      <c r="J5811" s="10">
        <v>1.1191048088221578E-13</v>
      </c>
      <c r="K58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-52.539999999999992</v>
      </c>
      <c r="L5811">
        <v>0</v>
      </c>
      <c r="M58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1">
        <v>36</v>
      </c>
      <c r="O5811" s="23" t="s">
        <v>242</v>
      </c>
      <c r="P5811">
        <v>108</v>
      </c>
      <c r="Q5811" s="23" t="s">
        <v>181</v>
      </c>
    </row>
    <row r="5812" spans="1:17" x14ac:dyDescent="0.25">
      <c r="A5812" s="23" t="s">
        <v>1143</v>
      </c>
      <c r="B5812" s="23" t="s">
        <v>1054</v>
      </c>
      <c r="C5812" s="23" t="s">
        <v>176</v>
      </c>
      <c r="D5812" s="23" t="s">
        <v>461</v>
      </c>
      <c r="E5812" s="23" t="s">
        <v>462</v>
      </c>
      <c r="F5812">
        <v>1.5</v>
      </c>
      <c r="G5812" s="23" t="s">
        <v>177</v>
      </c>
      <c r="H5812">
        <v>0</v>
      </c>
      <c r="I5812">
        <v>72</v>
      </c>
      <c r="J5812" s="10">
        <v>2</v>
      </c>
      <c r="K58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5812">
        <v>0</v>
      </c>
      <c r="M58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2">
        <v>5</v>
      </c>
      <c r="O5812" s="23" t="s">
        <v>242</v>
      </c>
      <c r="P5812">
        <v>7.5</v>
      </c>
      <c r="Q5812" s="23" t="s">
        <v>181</v>
      </c>
    </row>
    <row r="5813" spans="1:17" x14ac:dyDescent="0.25">
      <c r="A5813" s="23" t="s">
        <v>1057</v>
      </c>
      <c r="B5813" s="23" t="s">
        <v>1056</v>
      </c>
      <c r="C5813" s="23" t="s">
        <v>176</v>
      </c>
      <c r="D5813" s="23" t="s">
        <v>669</v>
      </c>
      <c r="E5813" s="23" t="s">
        <v>670</v>
      </c>
      <c r="F5813">
        <v>1</v>
      </c>
      <c r="G5813" s="23" t="s">
        <v>177</v>
      </c>
      <c r="H5813">
        <v>1</v>
      </c>
      <c r="I5813">
        <v>13</v>
      </c>
      <c r="J5813" s="10">
        <v>4</v>
      </c>
      <c r="K58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813">
        <v>0</v>
      </c>
      <c r="M58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3">
        <v>1250</v>
      </c>
      <c r="O5813" s="23" t="s">
        <v>338</v>
      </c>
      <c r="P5813">
        <v>1250</v>
      </c>
      <c r="Q5813" s="23" t="s">
        <v>178</v>
      </c>
    </row>
    <row r="5814" spans="1:17" x14ac:dyDescent="0.25">
      <c r="A5814" s="23" t="s">
        <v>1055</v>
      </c>
      <c r="B5814" s="23" t="s">
        <v>1056</v>
      </c>
      <c r="C5814" s="23" t="s">
        <v>176</v>
      </c>
      <c r="D5814" s="23" t="s">
        <v>627</v>
      </c>
      <c r="E5814" s="23" t="s">
        <v>628</v>
      </c>
      <c r="F5814">
        <v>2</v>
      </c>
      <c r="G5814" s="23" t="s">
        <v>177</v>
      </c>
      <c r="H5814">
        <v>2</v>
      </c>
      <c r="I5814">
        <v>9</v>
      </c>
      <c r="J5814" s="10">
        <v>20</v>
      </c>
      <c r="K58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814">
        <v>0</v>
      </c>
      <c r="M58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164408.75</v>
      </c>
      <c r="N5814">
        <v>14946.25</v>
      </c>
      <c r="O5814" s="23" t="s">
        <v>626</v>
      </c>
      <c r="P5814">
        <v>29892.5</v>
      </c>
      <c r="Q5814" s="23" t="s">
        <v>179</v>
      </c>
    </row>
    <row r="5815" spans="1:17" x14ac:dyDescent="0.25">
      <c r="A5815" s="23" t="s">
        <v>1098</v>
      </c>
      <c r="B5815" s="23" t="s">
        <v>1053</v>
      </c>
      <c r="C5815" s="23" t="s">
        <v>176</v>
      </c>
      <c r="D5815" s="23" t="s">
        <v>559</v>
      </c>
      <c r="E5815" s="23" t="s">
        <v>560</v>
      </c>
      <c r="F5815">
        <v>4.38</v>
      </c>
      <c r="G5815" s="23" t="s">
        <v>177</v>
      </c>
      <c r="H5815">
        <v>4.38</v>
      </c>
      <c r="I5815">
        <v>46</v>
      </c>
      <c r="J5815" s="10">
        <v>85.88</v>
      </c>
      <c r="K58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815">
        <v>0</v>
      </c>
      <c r="M58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5">
        <v>55</v>
      </c>
      <c r="O5815" s="23" t="s">
        <v>242</v>
      </c>
      <c r="P5815">
        <v>240.9</v>
      </c>
      <c r="Q5815" s="23" t="s">
        <v>181</v>
      </c>
    </row>
    <row r="5816" spans="1:17" x14ac:dyDescent="0.25">
      <c r="A5816" s="23" t="s">
        <v>1062</v>
      </c>
      <c r="B5816" s="23" t="s">
        <v>1053</v>
      </c>
      <c r="C5816" s="23" t="s">
        <v>176</v>
      </c>
      <c r="D5816" s="23" t="s">
        <v>95</v>
      </c>
      <c r="E5816" s="23" t="s">
        <v>96</v>
      </c>
      <c r="F5816">
        <v>1</v>
      </c>
      <c r="G5816" s="23" t="s">
        <v>177</v>
      </c>
      <c r="H5816">
        <v>1</v>
      </c>
      <c r="I5816">
        <v>13</v>
      </c>
      <c r="J5816" s="10">
        <v>6</v>
      </c>
      <c r="K58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16">
        <v>0</v>
      </c>
      <c r="M58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6">
        <v>1145.83</v>
      </c>
      <c r="O5816" s="23" t="s">
        <v>249</v>
      </c>
      <c r="P5816">
        <v>1145.83</v>
      </c>
      <c r="Q5816" s="23" t="s">
        <v>178</v>
      </c>
    </row>
    <row r="5817" spans="1:17" x14ac:dyDescent="0.25">
      <c r="A5817" s="23" t="s">
        <v>1146</v>
      </c>
      <c r="B5817" s="23" t="s">
        <v>1145</v>
      </c>
      <c r="C5817" s="23" t="s">
        <v>176</v>
      </c>
      <c r="D5817" s="23" t="s">
        <v>559</v>
      </c>
      <c r="E5817" s="23" t="s">
        <v>560</v>
      </c>
      <c r="F5817">
        <v>4.25</v>
      </c>
      <c r="G5817" s="23" t="s">
        <v>177</v>
      </c>
      <c r="H5817">
        <v>4.25</v>
      </c>
      <c r="I5817">
        <v>46</v>
      </c>
      <c r="J5817" s="10">
        <v>85.88</v>
      </c>
      <c r="K58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817">
        <v>0</v>
      </c>
      <c r="M58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7">
        <v>55</v>
      </c>
      <c r="O5817" s="23" t="s">
        <v>242</v>
      </c>
      <c r="P5817">
        <v>233.75</v>
      </c>
      <c r="Q5817" s="23" t="s">
        <v>181</v>
      </c>
    </row>
    <row r="5818" spans="1:17" x14ac:dyDescent="0.25">
      <c r="A5818" s="23" t="s">
        <v>1099</v>
      </c>
      <c r="B5818" s="23" t="s">
        <v>1056</v>
      </c>
      <c r="C5818" s="23" t="s">
        <v>176</v>
      </c>
      <c r="D5818" s="23" t="s">
        <v>95</v>
      </c>
      <c r="E5818" s="23" t="s">
        <v>96</v>
      </c>
      <c r="F5818">
        <v>1</v>
      </c>
      <c r="G5818" s="23" t="s">
        <v>177</v>
      </c>
      <c r="H5818">
        <v>1</v>
      </c>
      <c r="I5818">
        <v>13</v>
      </c>
      <c r="J5818" s="10">
        <v>6</v>
      </c>
      <c r="K58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18">
        <v>0</v>
      </c>
      <c r="M58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8">
        <v>1145.83</v>
      </c>
      <c r="O5818" s="23" t="s">
        <v>249</v>
      </c>
      <c r="P5818">
        <v>1145.83</v>
      </c>
      <c r="Q5818" s="23" t="s">
        <v>178</v>
      </c>
    </row>
    <row r="5819" spans="1:17" x14ac:dyDescent="0.25">
      <c r="A5819" s="23" t="s">
        <v>1099</v>
      </c>
      <c r="B5819" s="23" t="s">
        <v>1056</v>
      </c>
      <c r="C5819" s="23" t="s">
        <v>176</v>
      </c>
      <c r="D5819" s="23" t="s">
        <v>917</v>
      </c>
      <c r="E5819" s="23" t="s">
        <v>918</v>
      </c>
      <c r="F5819">
        <v>1</v>
      </c>
      <c r="G5819" s="23" t="s">
        <v>177</v>
      </c>
      <c r="H5819">
        <v>1</v>
      </c>
      <c r="I5819">
        <v>3</v>
      </c>
      <c r="J5819" s="10">
        <v>1</v>
      </c>
      <c r="K58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</v>
      </c>
      <c r="L5819">
        <v>0</v>
      </c>
      <c r="M58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19">
        <v>2000</v>
      </c>
      <c r="O5819" s="23" t="s">
        <v>1020</v>
      </c>
      <c r="P5819">
        <v>2000</v>
      </c>
      <c r="Q5819" s="23" t="s">
        <v>178</v>
      </c>
    </row>
    <row r="5820" spans="1:17" x14ac:dyDescent="0.25">
      <c r="A5820" s="23" t="s">
        <v>1148</v>
      </c>
      <c r="B5820" s="23" t="s">
        <v>1054</v>
      </c>
      <c r="C5820" s="23" t="s">
        <v>176</v>
      </c>
      <c r="D5820" s="23" t="s">
        <v>209</v>
      </c>
      <c r="E5820" s="23" t="s">
        <v>286</v>
      </c>
      <c r="F5820">
        <v>25</v>
      </c>
      <c r="G5820" s="23" t="s">
        <v>177</v>
      </c>
      <c r="H5820">
        <v>0</v>
      </c>
      <c r="I5820">
        <v>2600</v>
      </c>
      <c r="J5820" s="10">
        <v>292</v>
      </c>
      <c r="K58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-2145</v>
      </c>
      <c r="L5820">
        <v>0</v>
      </c>
      <c r="M58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0">
        <v>0.4</v>
      </c>
      <c r="O5820" s="23" t="s">
        <v>242</v>
      </c>
      <c r="P5820">
        <v>10</v>
      </c>
      <c r="Q5820" s="23" t="s">
        <v>181</v>
      </c>
    </row>
    <row r="5821" spans="1:17" x14ac:dyDescent="0.25">
      <c r="A5821" s="23" t="s">
        <v>1062</v>
      </c>
      <c r="B5821" s="23" t="s">
        <v>1053</v>
      </c>
      <c r="C5821" s="23" t="s">
        <v>176</v>
      </c>
      <c r="D5821" s="23" t="s">
        <v>257</v>
      </c>
      <c r="E5821" s="23" t="s">
        <v>310</v>
      </c>
      <c r="F5821">
        <v>2</v>
      </c>
      <c r="G5821" s="23" t="s">
        <v>177</v>
      </c>
      <c r="H5821">
        <v>2</v>
      </c>
      <c r="I5821">
        <v>40</v>
      </c>
      <c r="J5821" s="10">
        <v>18</v>
      </c>
      <c r="K58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821">
        <v>0</v>
      </c>
      <c r="M58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1">
        <v>55</v>
      </c>
      <c r="O5821" s="23" t="s">
        <v>827</v>
      </c>
      <c r="P5821">
        <v>110</v>
      </c>
      <c r="Q5821" s="23" t="s">
        <v>222</v>
      </c>
    </row>
    <row r="5822" spans="1:17" x14ac:dyDescent="0.25">
      <c r="A5822" s="23" t="s">
        <v>1062</v>
      </c>
      <c r="B5822" s="23" t="s">
        <v>1053</v>
      </c>
      <c r="C5822" s="23" t="s">
        <v>176</v>
      </c>
      <c r="D5822" s="23" t="s">
        <v>559</v>
      </c>
      <c r="E5822" s="23" t="s">
        <v>560</v>
      </c>
      <c r="F5822">
        <v>4.38</v>
      </c>
      <c r="G5822" s="23" t="s">
        <v>177</v>
      </c>
      <c r="H5822">
        <v>4.38</v>
      </c>
      <c r="I5822">
        <v>46</v>
      </c>
      <c r="J5822" s="10">
        <v>85.88</v>
      </c>
      <c r="K58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-11.11999999999999</v>
      </c>
      <c r="L5822">
        <v>0</v>
      </c>
      <c r="M58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2">
        <v>55</v>
      </c>
      <c r="O5822" s="23" t="s">
        <v>242</v>
      </c>
      <c r="P5822">
        <v>240.9</v>
      </c>
      <c r="Q5822" s="23" t="s">
        <v>181</v>
      </c>
    </row>
    <row r="5823" spans="1:17" x14ac:dyDescent="0.25">
      <c r="A5823" s="23" t="s">
        <v>1096</v>
      </c>
      <c r="B5823" s="23" t="s">
        <v>1053</v>
      </c>
      <c r="C5823" s="23" t="s">
        <v>176</v>
      </c>
      <c r="D5823" s="23" t="s">
        <v>95</v>
      </c>
      <c r="E5823" s="23" t="s">
        <v>96</v>
      </c>
      <c r="F5823">
        <v>2</v>
      </c>
      <c r="G5823" s="23" t="s">
        <v>177</v>
      </c>
      <c r="H5823">
        <v>2</v>
      </c>
      <c r="I5823">
        <v>13</v>
      </c>
      <c r="J5823" s="10">
        <v>6</v>
      </c>
      <c r="K58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23">
        <v>0</v>
      </c>
      <c r="M58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3">
        <v>1145.83</v>
      </c>
      <c r="O5823" s="23" t="s">
        <v>249</v>
      </c>
      <c r="P5823">
        <v>2291.66</v>
      </c>
      <c r="Q5823" s="23" t="s">
        <v>178</v>
      </c>
    </row>
    <row r="5824" spans="1:17" x14ac:dyDescent="0.25">
      <c r="A5824" s="23" t="s">
        <v>1148</v>
      </c>
      <c r="B5824" s="23" t="s">
        <v>1054</v>
      </c>
      <c r="C5824" s="23" t="s">
        <v>176</v>
      </c>
      <c r="D5824" s="23" t="s">
        <v>257</v>
      </c>
      <c r="E5824" s="23" t="s">
        <v>310</v>
      </c>
      <c r="F5824">
        <v>2</v>
      </c>
      <c r="G5824" s="23" t="s">
        <v>177</v>
      </c>
      <c r="H5824">
        <v>0</v>
      </c>
      <c r="I5824">
        <v>40</v>
      </c>
      <c r="J5824" s="10">
        <v>18</v>
      </c>
      <c r="K58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824">
        <v>0</v>
      </c>
      <c r="M58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4">
        <v>55</v>
      </c>
      <c r="O5824" s="23" t="s">
        <v>827</v>
      </c>
      <c r="P5824">
        <v>110</v>
      </c>
      <c r="Q5824" s="23" t="s">
        <v>222</v>
      </c>
    </row>
    <row r="5825" spans="1:17" x14ac:dyDescent="0.25">
      <c r="A5825" s="23" t="s">
        <v>1149</v>
      </c>
      <c r="B5825" s="23" t="s">
        <v>1145</v>
      </c>
      <c r="C5825" s="23" t="s">
        <v>176</v>
      </c>
      <c r="D5825" s="23" t="s">
        <v>144</v>
      </c>
      <c r="E5825" s="23" t="s">
        <v>145</v>
      </c>
      <c r="F5825">
        <v>2</v>
      </c>
      <c r="G5825" s="23" t="s">
        <v>177</v>
      </c>
      <c r="H5825">
        <v>0</v>
      </c>
      <c r="I5825">
        <v>0</v>
      </c>
      <c r="J5825" s="10">
        <v>64</v>
      </c>
      <c r="K58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40</v>
      </c>
      <c r="L5825">
        <v>0</v>
      </c>
      <c r="M58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274.8</v>
      </c>
      <c r="N5825">
        <v>6.87</v>
      </c>
      <c r="O5825" s="23" t="s">
        <v>827</v>
      </c>
      <c r="P5825">
        <v>13.74</v>
      </c>
      <c r="Q5825" s="23" t="s">
        <v>222</v>
      </c>
    </row>
    <row r="5826" spans="1:17" x14ac:dyDescent="0.25">
      <c r="A5826" s="23" t="s">
        <v>1146</v>
      </c>
      <c r="B5826" s="23" t="s">
        <v>1145</v>
      </c>
      <c r="C5826" s="23" t="s">
        <v>176</v>
      </c>
      <c r="D5826" s="23" t="s">
        <v>243</v>
      </c>
      <c r="E5826" s="23" t="s">
        <v>244</v>
      </c>
      <c r="F5826">
        <v>1</v>
      </c>
      <c r="G5826" s="23" t="s">
        <v>177</v>
      </c>
      <c r="H5826">
        <v>1</v>
      </c>
      <c r="I5826">
        <v>49</v>
      </c>
      <c r="J5826" s="10">
        <v>1.599999999999973</v>
      </c>
      <c r="K58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826">
        <v>0</v>
      </c>
      <c r="M58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6">
        <v>60</v>
      </c>
      <c r="O5826" s="23" t="s">
        <v>491</v>
      </c>
      <c r="P5826">
        <v>60</v>
      </c>
      <c r="Q5826" s="23" t="s">
        <v>181</v>
      </c>
    </row>
    <row r="5827" spans="1:17" x14ac:dyDescent="0.25">
      <c r="A5827" s="23" t="s">
        <v>1058</v>
      </c>
      <c r="B5827" s="23" t="s">
        <v>1059</v>
      </c>
      <c r="C5827" s="23" t="s">
        <v>176</v>
      </c>
      <c r="D5827" s="23" t="s">
        <v>457</v>
      </c>
      <c r="E5827" s="23" t="s">
        <v>458</v>
      </c>
      <c r="F5827">
        <v>78</v>
      </c>
      <c r="G5827" s="23" t="s">
        <v>177</v>
      </c>
      <c r="H5827">
        <v>78</v>
      </c>
      <c r="I5827">
        <v>4000</v>
      </c>
      <c r="J5827" s="10">
        <v>138</v>
      </c>
      <c r="K58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-2738</v>
      </c>
      <c r="L5827">
        <v>0</v>
      </c>
      <c r="M58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7">
        <v>0.93</v>
      </c>
      <c r="O5827" s="23" t="s">
        <v>883</v>
      </c>
      <c r="P5827">
        <v>72.540000000000006</v>
      </c>
      <c r="Q5827" s="23" t="s">
        <v>181</v>
      </c>
    </row>
    <row r="5828" spans="1:17" x14ac:dyDescent="0.25">
      <c r="A5828" s="23" t="s">
        <v>1055</v>
      </c>
      <c r="B5828" s="23" t="s">
        <v>1056</v>
      </c>
      <c r="C5828" s="23" t="s">
        <v>176</v>
      </c>
      <c r="D5828" s="23" t="s">
        <v>654</v>
      </c>
      <c r="E5828" s="23" t="s">
        <v>655</v>
      </c>
      <c r="F5828">
        <v>0.2</v>
      </c>
      <c r="G5828" s="23" t="s">
        <v>186</v>
      </c>
      <c r="H5828">
        <v>0.2</v>
      </c>
      <c r="I5828">
        <v>1.8</v>
      </c>
      <c r="J5828" s="10">
        <v>0.85000000000000098</v>
      </c>
      <c r="K58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-3.25</v>
      </c>
      <c r="L5828">
        <v>1.75</v>
      </c>
      <c r="M58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28">
        <v>645.64</v>
      </c>
      <c r="O5828" s="23" t="s">
        <v>491</v>
      </c>
      <c r="P5828">
        <v>129.12800000000001</v>
      </c>
      <c r="Q5828" s="23" t="s">
        <v>184</v>
      </c>
    </row>
    <row r="5829" spans="1:17" x14ac:dyDescent="0.25">
      <c r="A5829" s="23" t="s">
        <v>1057</v>
      </c>
      <c r="B5829" s="23" t="s">
        <v>1056</v>
      </c>
      <c r="C5829" s="23" t="s">
        <v>176</v>
      </c>
      <c r="D5829" s="23" t="s">
        <v>115</v>
      </c>
      <c r="E5829" s="23" t="s">
        <v>116</v>
      </c>
      <c r="F5829">
        <v>1.171</v>
      </c>
      <c r="G5829" s="23" t="s">
        <v>186</v>
      </c>
      <c r="H5829">
        <v>1.171</v>
      </c>
      <c r="I5829">
        <v>0</v>
      </c>
      <c r="J5829" s="10">
        <v>65.03100000000002</v>
      </c>
      <c r="K58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829">
        <v>0</v>
      </c>
      <c r="M58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829">
        <v>389.53</v>
      </c>
      <c r="O5829" s="23" t="s">
        <v>491</v>
      </c>
      <c r="P5829">
        <v>456.13963000000001</v>
      </c>
      <c r="Q5829" s="23" t="s">
        <v>184</v>
      </c>
    </row>
    <row r="5830" spans="1:17" x14ac:dyDescent="0.25">
      <c r="A5830" s="23" t="s">
        <v>1146</v>
      </c>
      <c r="B5830" s="23" t="s">
        <v>1145</v>
      </c>
      <c r="C5830" s="23" t="s">
        <v>176</v>
      </c>
      <c r="D5830" s="23" t="s">
        <v>115</v>
      </c>
      <c r="E5830" s="23" t="s">
        <v>116</v>
      </c>
      <c r="F5830">
        <v>1.4909999999999999</v>
      </c>
      <c r="G5830" s="23" t="s">
        <v>186</v>
      </c>
      <c r="H5830">
        <v>1.4909999999999999</v>
      </c>
      <c r="I5830">
        <v>0</v>
      </c>
      <c r="J5830" s="10">
        <v>65.03100000000002</v>
      </c>
      <c r="K58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830">
        <v>0</v>
      </c>
      <c r="M58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830">
        <v>389.53</v>
      </c>
      <c r="O5830" s="23" t="s">
        <v>491</v>
      </c>
      <c r="P5830">
        <v>580.78922999999986</v>
      </c>
      <c r="Q5830" s="23" t="s">
        <v>184</v>
      </c>
    </row>
    <row r="5831" spans="1:17" x14ac:dyDescent="0.25">
      <c r="A5831" s="23" t="s">
        <v>1096</v>
      </c>
      <c r="B5831" s="23" t="s">
        <v>1053</v>
      </c>
      <c r="C5831" s="23" t="s">
        <v>176</v>
      </c>
      <c r="D5831" s="23" t="s">
        <v>115</v>
      </c>
      <c r="E5831" s="23" t="s">
        <v>116</v>
      </c>
      <c r="F5831">
        <v>2.5499999999999998</v>
      </c>
      <c r="G5831" s="23" t="s">
        <v>186</v>
      </c>
      <c r="H5831">
        <v>2.5499999999999998</v>
      </c>
      <c r="I5831">
        <v>0</v>
      </c>
      <c r="J5831" s="10">
        <v>65.03100000000002</v>
      </c>
      <c r="K58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831">
        <v>0</v>
      </c>
      <c r="M58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831">
        <v>389.53</v>
      </c>
      <c r="O5831" s="23" t="s">
        <v>491</v>
      </c>
      <c r="P5831">
        <v>993.30149999999981</v>
      </c>
      <c r="Q5831" s="23" t="s">
        <v>184</v>
      </c>
    </row>
    <row r="5832" spans="1:17" x14ac:dyDescent="0.25">
      <c r="A5832" s="23" t="s">
        <v>1058</v>
      </c>
      <c r="B5832" s="23" t="s">
        <v>1059</v>
      </c>
      <c r="C5832" s="23" t="s">
        <v>176</v>
      </c>
      <c r="D5832" s="23" t="s">
        <v>113</v>
      </c>
      <c r="E5832" s="23" t="s">
        <v>114</v>
      </c>
      <c r="F5832">
        <v>1</v>
      </c>
      <c r="G5832" s="23" t="s">
        <v>177</v>
      </c>
      <c r="H5832">
        <v>1</v>
      </c>
      <c r="I5832">
        <v>2</v>
      </c>
      <c r="J5832" s="10">
        <v>4</v>
      </c>
      <c r="K58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832">
        <v>0</v>
      </c>
      <c r="M58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37250</v>
      </c>
      <c r="N5832">
        <v>7450</v>
      </c>
      <c r="O5832" s="23" t="s">
        <v>585</v>
      </c>
      <c r="P5832">
        <v>7450</v>
      </c>
      <c r="Q5832" s="23" t="s">
        <v>178</v>
      </c>
    </row>
    <row r="5833" spans="1:17" x14ac:dyDescent="0.25">
      <c r="A5833" s="23" t="s">
        <v>1099</v>
      </c>
      <c r="B5833" s="23" t="s">
        <v>1056</v>
      </c>
      <c r="C5833" s="23" t="s">
        <v>176</v>
      </c>
      <c r="D5833" s="23" t="s">
        <v>845</v>
      </c>
      <c r="E5833" s="23" t="s">
        <v>846</v>
      </c>
      <c r="F5833">
        <v>3</v>
      </c>
      <c r="G5833" s="23" t="s">
        <v>177</v>
      </c>
      <c r="H5833">
        <v>3</v>
      </c>
      <c r="I5833">
        <v>42</v>
      </c>
      <c r="J5833" s="10">
        <v>20</v>
      </c>
      <c r="K58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833">
        <v>0</v>
      </c>
      <c r="M58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833">
        <v>348.7</v>
      </c>
      <c r="O5833" s="23" t="s">
        <v>637</v>
      </c>
      <c r="P5833">
        <v>1046.0999999999999</v>
      </c>
      <c r="Q5833" s="23" t="s">
        <v>178</v>
      </c>
    </row>
    <row r="5834" spans="1:17" x14ac:dyDescent="0.25">
      <c r="A5834" s="23" t="s">
        <v>1057</v>
      </c>
      <c r="B5834" s="23" t="s">
        <v>1056</v>
      </c>
      <c r="C5834" s="23" t="s">
        <v>176</v>
      </c>
      <c r="D5834" s="23" t="s">
        <v>996</v>
      </c>
      <c r="E5834" s="23" t="s">
        <v>997</v>
      </c>
      <c r="F5834">
        <v>1</v>
      </c>
      <c r="G5834" s="23" t="s">
        <v>177</v>
      </c>
      <c r="H5834">
        <v>1</v>
      </c>
      <c r="I5834">
        <v>10</v>
      </c>
      <c r="J5834" s="10">
        <v>2</v>
      </c>
      <c r="K58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834">
        <v>0</v>
      </c>
      <c r="M58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4">
        <v>3400</v>
      </c>
      <c r="O5834" s="23" t="s">
        <v>253</v>
      </c>
      <c r="P5834">
        <v>3400</v>
      </c>
      <c r="Q5834" s="23" t="s">
        <v>179</v>
      </c>
    </row>
    <row r="5835" spans="1:17" x14ac:dyDescent="0.25">
      <c r="A5835" s="23" t="s">
        <v>1098</v>
      </c>
      <c r="B5835" s="23" t="s">
        <v>1053</v>
      </c>
      <c r="C5835" s="23" t="s">
        <v>176</v>
      </c>
      <c r="D5835" s="23" t="s">
        <v>54</v>
      </c>
      <c r="E5835" s="23" t="s">
        <v>55</v>
      </c>
      <c r="F5835">
        <v>1</v>
      </c>
      <c r="G5835" s="23" t="s">
        <v>177</v>
      </c>
      <c r="H5835">
        <v>0</v>
      </c>
      <c r="I5835">
        <v>10</v>
      </c>
      <c r="J5835" s="10">
        <v>12</v>
      </c>
      <c r="K58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835">
        <v>4</v>
      </c>
      <c r="M58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5">
        <v>1600</v>
      </c>
      <c r="O5835" s="23" t="s">
        <v>218</v>
      </c>
      <c r="P5835">
        <v>1600</v>
      </c>
      <c r="Q5835" s="23" t="s">
        <v>222</v>
      </c>
    </row>
    <row r="5836" spans="1:17" x14ac:dyDescent="0.25">
      <c r="A5836" s="23" t="s">
        <v>1096</v>
      </c>
      <c r="B5836" s="23" t="s">
        <v>1053</v>
      </c>
      <c r="C5836" s="23" t="s">
        <v>176</v>
      </c>
      <c r="D5836" s="23" t="s">
        <v>243</v>
      </c>
      <c r="E5836" s="23" t="s">
        <v>244</v>
      </c>
      <c r="F5836">
        <v>1.35</v>
      </c>
      <c r="G5836" s="23" t="s">
        <v>177</v>
      </c>
      <c r="H5836">
        <v>1.35</v>
      </c>
      <c r="I5836">
        <v>49</v>
      </c>
      <c r="J5836" s="10">
        <v>1.599999999999973</v>
      </c>
      <c r="K58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-37.599999999999994</v>
      </c>
      <c r="L5836">
        <v>0</v>
      </c>
      <c r="M58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6">
        <v>60</v>
      </c>
      <c r="O5836" s="23" t="s">
        <v>491</v>
      </c>
      <c r="P5836">
        <v>81</v>
      </c>
      <c r="Q5836" s="23" t="s">
        <v>181</v>
      </c>
    </row>
    <row r="5837" spans="1:17" x14ac:dyDescent="0.25">
      <c r="A5837" s="23" t="s">
        <v>1055</v>
      </c>
      <c r="B5837" s="23" t="s">
        <v>1056</v>
      </c>
      <c r="C5837" s="23" t="s">
        <v>176</v>
      </c>
      <c r="D5837" s="23" t="s">
        <v>115</v>
      </c>
      <c r="E5837" s="23" t="s">
        <v>116</v>
      </c>
      <c r="F5837">
        <v>1.1709999999999998</v>
      </c>
      <c r="G5837" s="23" t="s">
        <v>186</v>
      </c>
      <c r="H5837">
        <v>1.1709999999999998</v>
      </c>
      <c r="I5837">
        <v>0</v>
      </c>
      <c r="J5837" s="10">
        <v>65.03100000000002</v>
      </c>
      <c r="K58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837">
        <v>0</v>
      </c>
      <c r="M58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837">
        <v>389.53</v>
      </c>
      <c r="O5837" s="23" t="s">
        <v>491</v>
      </c>
      <c r="P5837">
        <v>456.1396299999999</v>
      </c>
      <c r="Q5837" s="23" t="s">
        <v>184</v>
      </c>
    </row>
    <row r="5838" spans="1:17" x14ac:dyDescent="0.25">
      <c r="A5838" s="23" t="s">
        <v>1099</v>
      </c>
      <c r="B5838" s="23" t="s">
        <v>1056</v>
      </c>
      <c r="C5838" s="23" t="s">
        <v>176</v>
      </c>
      <c r="D5838" s="23" t="s">
        <v>1037</v>
      </c>
      <c r="E5838" s="23" t="s">
        <v>1038</v>
      </c>
      <c r="F5838">
        <v>1</v>
      </c>
      <c r="G5838" s="23" t="s">
        <v>177</v>
      </c>
      <c r="H5838">
        <v>1</v>
      </c>
      <c r="I5838">
        <v>2</v>
      </c>
      <c r="J5838" s="10">
        <v>2</v>
      </c>
      <c r="K58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38">
        <v>0</v>
      </c>
      <c r="M58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8">
        <v>400</v>
      </c>
      <c r="O5838" s="23" t="s">
        <v>1032</v>
      </c>
      <c r="P5838">
        <v>400</v>
      </c>
      <c r="Q5838" s="23" t="s">
        <v>179</v>
      </c>
    </row>
    <row r="5839" spans="1:17" x14ac:dyDescent="0.25">
      <c r="A5839" s="23" t="s">
        <v>1058</v>
      </c>
      <c r="B5839" s="23" t="s">
        <v>1059</v>
      </c>
      <c r="C5839" s="23" t="s">
        <v>176</v>
      </c>
      <c r="D5839" s="23" t="s">
        <v>671</v>
      </c>
      <c r="E5839" s="23" t="s">
        <v>672</v>
      </c>
      <c r="F5839">
        <v>1</v>
      </c>
      <c r="G5839" s="23" t="s">
        <v>177</v>
      </c>
      <c r="H5839">
        <v>1</v>
      </c>
      <c r="I5839">
        <v>12</v>
      </c>
      <c r="J5839" s="10">
        <v>13</v>
      </c>
      <c r="K58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839">
        <v>0</v>
      </c>
      <c r="M58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39">
        <v>28339.38</v>
      </c>
      <c r="O5839" s="23" t="s">
        <v>215</v>
      </c>
      <c r="P5839">
        <v>28339.38</v>
      </c>
      <c r="Q5839" s="23" t="s">
        <v>178</v>
      </c>
    </row>
    <row r="5840" spans="1:17" x14ac:dyDescent="0.25">
      <c r="A5840" s="23" t="s">
        <v>1150</v>
      </c>
      <c r="B5840" s="23" t="s">
        <v>1145</v>
      </c>
      <c r="C5840" s="23" t="s">
        <v>176</v>
      </c>
      <c r="D5840" s="23" t="s">
        <v>671</v>
      </c>
      <c r="E5840" s="23" t="s">
        <v>672</v>
      </c>
      <c r="F5840">
        <v>1</v>
      </c>
      <c r="G5840" s="23" t="s">
        <v>177</v>
      </c>
      <c r="H5840">
        <v>1</v>
      </c>
      <c r="I5840">
        <v>12</v>
      </c>
      <c r="J5840" s="10">
        <v>13</v>
      </c>
      <c r="K58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840">
        <v>0</v>
      </c>
      <c r="M58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0">
        <v>28339.38</v>
      </c>
      <c r="O5840" s="23" t="s">
        <v>215</v>
      </c>
      <c r="P5840">
        <v>28339.38</v>
      </c>
      <c r="Q5840" s="23" t="s">
        <v>178</v>
      </c>
    </row>
    <row r="5841" spans="1:17" x14ac:dyDescent="0.25">
      <c r="A5841" s="23" t="s">
        <v>1099</v>
      </c>
      <c r="B5841" s="23" t="s">
        <v>1056</v>
      </c>
      <c r="C5841" s="23" t="s">
        <v>176</v>
      </c>
      <c r="D5841" s="23" t="s">
        <v>1033</v>
      </c>
      <c r="E5841" s="23" t="s">
        <v>1034</v>
      </c>
      <c r="F5841">
        <v>1</v>
      </c>
      <c r="G5841" s="23" t="s">
        <v>177</v>
      </c>
      <c r="H5841">
        <v>1</v>
      </c>
      <c r="I5841">
        <v>19</v>
      </c>
      <c r="J5841" s="10">
        <v>4</v>
      </c>
      <c r="K58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841">
        <v>0</v>
      </c>
      <c r="M58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1">
        <v>85</v>
      </c>
      <c r="O5841" s="23" t="s">
        <v>822</v>
      </c>
      <c r="P5841">
        <v>85</v>
      </c>
      <c r="Q5841" s="23" t="s">
        <v>179</v>
      </c>
    </row>
    <row r="5842" spans="1:17" x14ac:dyDescent="0.25">
      <c r="A5842" s="23" t="s">
        <v>1096</v>
      </c>
      <c r="B5842" s="23" t="s">
        <v>1053</v>
      </c>
      <c r="C5842" s="23" t="s">
        <v>176</v>
      </c>
      <c r="D5842" s="23" t="s">
        <v>0</v>
      </c>
      <c r="E5842" s="23" t="s">
        <v>1</v>
      </c>
      <c r="F5842">
        <v>2</v>
      </c>
      <c r="G5842" s="23" t="s">
        <v>177</v>
      </c>
      <c r="H5842">
        <v>2</v>
      </c>
      <c r="I5842">
        <v>69</v>
      </c>
      <c r="J5842" s="10">
        <v>22</v>
      </c>
      <c r="K58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-38</v>
      </c>
      <c r="L5842">
        <v>0</v>
      </c>
      <c r="M58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2">
        <v>640</v>
      </c>
      <c r="O5842" s="23" t="s">
        <v>221</v>
      </c>
      <c r="P5842">
        <v>1280</v>
      </c>
      <c r="Q5842" s="23" t="s">
        <v>222</v>
      </c>
    </row>
    <row r="5843" spans="1:17" x14ac:dyDescent="0.25">
      <c r="A5843" s="23" t="s">
        <v>1096</v>
      </c>
      <c r="B5843" s="23" t="s">
        <v>1053</v>
      </c>
      <c r="C5843" s="23" t="s">
        <v>176</v>
      </c>
      <c r="D5843" s="23" t="s">
        <v>58</v>
      </c>
      <c r="E5843" s="23" t="s">
        <v>59</v>
      </c>
      <c r="F5843">
        <v>1</v>
      </c>
      <c r="G5843" s="23" t="s">
        <v>177</v>
      </c>
      <c r="H5843">
        <v>1</v>
      </c>
      <c r="I5843">
        <v>18</v>
      </c>
      <c r="J5843" s="10">
        <v>10</v>
      </c>
      <c r="K58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843">
        <v>0</v>
      </c>
      <c r="M58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3">
        <v>1094.4000000000001</v>
      </c>
      <c r="O5843" s="23" t="s">
        <v>827</v>
      </c>
      <c r="P5843">
        <v>1094.4000000000001</v>
      </c>
      <c r="Q5843" s="23" t="s">
        <v>222</v>
      </c>
    </row>
    <row r="5844" spans="1:17" x14ac:dyDescent="0.25">
      <c r="A5844" s="23" t="s">
        <v>1096</v>
      </c>
      <c r="B5844" s="23" t="s">
        <v>1053</v>
      </c>
      <c r="C5844" s="23" t="s">
        <v>176</v>
      </c>
      <c r="D5844" s="23" t="s">
        <v>111</v>
      </c>
      <c r="E5844" s="23" t="s">
        <v>112</v>
      </c>
      <c r="F5844">
        <v>1</v>
      </c>
      <c r="G5844" s="23" t="s">
        <v>177</v>
      </c>
      <c r="H5844">
        <v>1</v>
      </c>
      <c r="I5844">
        <v>2</v>
      </c>
      <c r="J5844" s="10">
        <v>8</v>
      </c>
      <c r="K58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44">
        <v>11</v>
      </c>
      <c r="M58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4">
        <v>675</v>
      </c>
      <c r="O5844" s="23" t="s">
        <v>633</v>
      </c>
      <c r="P5844">
        <v>675</v>
      </c>
      <c r="Q5844" s="23" t="s">
        <v>178</v>
      </c>
    </row>
    <row r="5845" spans="1:17" x14ac:dyDescent="0.25">
      <c r="A5845" s="23" t="s">
        <v>1096</v>
      </c>
      <c r="B5845" s="23" t="s">
        <v>1053</v>
      </c>
      <c r="C5845" s="23" t="s">
        <v>176</v>
      </c>
      <c r="D5845" s="23" t="s">
        <v>845</v>
      </c>
      <c r="E5845" s="23" t="s">
        <v>846</v>
      </c>
      <c r="F5845">
        <v>4</v>
      </c>
      <c r="G5845" s="23" t="s">
        <v>177</v>
      </c>
      <c r="H5845">
        <v>4</v>
      </c>
      <c r="I5845">
        <v>42</v>
      </c>
      <c r="J5845" s="10">
        <v>20</v>
      </c>
      <c r="K58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845">
        <v>0</v>
      </c>
      <c r="M58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348.7</v>
      </c>
      <c r="N5845">
        <v>348.7</v>
      </c>
      <c r="O5845" s="23" t="s">
        <v>637</v>
      </c>
      <c r="P5845">
        <v>1394.8</v>
      </c>
      <c r="Q5845" s="23" t="s">
        <v>178</v>
      </c>
    </row>
    <row r="5846" spans="1:17" x14ac:dyDescent="0.25">
      <c r="A5846" s="23" t="s">
        <v>1055</v>
      </c>
      <c r="B5846" s="23" t="s">
        <v>1056</v>
      </c>
      <c r="C5846" s="23" t="s">
        <v>176</v>
      </c>
      <c r="D5846" s="23" t="s">
        <v>1033</v>
      </c>
      <c r="E5846" s="23" t="s">
        <v>1034</v>
      </c>
      <c r="F5846">
        <v>1</v>
      </c>
      <c r="G5846" s="23" t="s">
        <v>177</v>
      </c>
      <c r="H5846">
        <v>1</v>
      </c>
      <c r="I5846">
        <v>19</v>
      </c>
      <c r="J5846" s="10">
        <v>4</v>
      </c>
      <c r="K58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846">
        <v>0</v>
      </c>
      <c r="M58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6">
        <v>85</v>
      </c>
      <c r="O5846" s="23" t="s">
        <v>822</v>
      </c>
      <c r="P5846">
        <v>85</v>
      </c>
      <c r="Q5846" s="23" t="s">
        <v>179</v>
      </c>
    </row>
    <row r="5847" spans="1:17" x14ac:dyDescent="0.25">
      <c r="A5847" s="23" t="s">
        <v>1057</v>
      </c>
      <c r="B5847" s="23" t="s">
        <v>1056</v>
      </c>
      <c r="C5847" s="23" t="s">
        <v>176</v>
      </c>
      <c r="D5847" s="23" t="s">
        <v>1037</v>
      </c>
      <c r="E5847" s="23" t="s">
        <v>1038</v>
      </c>
      <c r="F5847">
        <v>1</v>
      </c>
      <c r="G5847" s="23" t="s">
        <v>177</v>
      </c>
      <c r="H5847">
        <v>1</v>
      </c>
      <c r="I5847">
        <v>2</v>
      </c>
      <c r="J5847" s="10">
        <v>2</v>
      </c>
      <c r="K58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47">
        <v>0</v>
      </c>
      <c r="M58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7">
        <v>400</v>
      </c>
      <c r="O5847" s="23" t="s">
        <v>1032</v>
      </c>
      <c r="P5847">
        <v>400</v>
      </c>
      <c r="Q5847" s="23" t="s">
        <v>179</v>
      </c>
    </row>
    <row r="5848" spans="1:17" x14ac:dyDescent="0.25">
      <c r="A5848" s="23" t="s">
        <v>1099</v>
      </c>
      <c r="B5848" s="23" t="s">
        <v>1056</v>
      </c>
      <c r="C5848" s="23" t="s">
        <v>176</v>
      </c>
      <c r="D5848" s="23" t="s">
        <v>878</v>
      </c>
      <c r="E5848" s="23" t="s">
        <v>879</v>
      </c>
      <c r="F5848">
        <v>2</v>
      </c>
      <c r="G5848" s="23" t="s">
        <v>177</v>
      </c>
      <c r="H5848">
        <v>2</v>
      </c>
      <c r="I5848">
        <v>4</v>
      </c>
      <c r="J5848" s="10">
        <v>12</v>
      </c>
      <c r="K58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848">
        <v>0</v>
      </c>
      <c r="M58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48">
        <v>1028.73</v>
      </c>
      <c r="O5848" s="23" t="s">
        <v>637</v>
      </c>
      <c r="P5848">
        <v>2057.46</v>
      </c>
      <c r="Q5848" s="23" t="s">
        <v>179</v>
      </c>
    </row>
    <row r="5849" spans="1:17" x14ac:dyDescent="0.25">
      <c r="A5849" s="23" t="s">
        <v>1099</v>
      </c>
      <c r="B5849" s="23" t="s">
        <v>1056</v>
      </c>
      <c r="C5849" s="23" t="s">
        <v>176</v>
      </c>
      <c r="D5849" s="23" t="s">
        <v>115</v>
      </c>
      <c r="E5849" s="23" t="s">
        <v>116</v>
      </c>
      <c r="F5849">
        <v>1.0209999999999999</v>
      </c>
      <c r="G5849" s="23" t="s">
        <v>186</v>
      </c>
      <c r="H5849">
        <v>1.0209999999999999</v>
      </c>
      <c r="I5849">
        <v>0</v>
      </c>
      <c r="J5849" s="10">
        <v>65.03100000000002</v>
      </c>
      <c r="K58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17.948000000000004</v>
      </c>
      <c r="L5849">
        <v>0</v>
      </c>
      <c r="M58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6991.2844400000013</v>
      </c>
      <c r="N5849">
        <v>389.53</v>
      </c>
      <c r="O5849" s="23" t="s">
        <v>491</v>
      </c>
      <c r="P5849">
        <v>397.71012999999994</v>
      </c>
      <c r="Q5849" s="23" t="s">
        <v>184</v>
      </c>
    </row>
    <row r="5850" spans="1:17" x14ac:dyDescent="0.25">
      <c r="A5850" s="23" t="s">
        <v>1148</v>
      </c>
      <c r="B5850" s="23" t="s">
        <v>1054</v>
      </c>
      <c r="C5850" s="23" t="s">
        <v>176</v>
      </c>
      <c r="D5850" s="23" t="s">
        <v>66</v>
      </c>
      <c r="E5850" s="23" t="s">
        <v>67</v>
      </c>
      <c r="F5850">
        <v>11</v>
      </c>
      <c r="G5850" s="23" t="s">
        <v>177</v>
      </c>
      <c r="H5850">
        <v>0</v>
      </c>
      <c r="I5850">
        <v>85</v>
      </c>
      <c r="J5850" s="10">
        <v>43</v>
      </c>
      <c r="K58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</v>
      </c>
      <c r="L5850">
        <v>40</v>
      </c>
      <c r="M58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0">
        <v>60</v>
      </c>
      <c r="O5850" s="23" t="s">
        <v>822</v>
      </c>
      <c r="P5850">
        <v>660</v>
      </c>
      <c r="Q5850" s="23" t="s">
        <v>181</v>
      </c>
    </row>
    <row r="5851" spans="1:17" x14ac:dyDescent="0.25">
      <c r="A5851" s="23" t="s">
        <v>1096</v>
      </c>
      <c r="B5851" s="23" t="s">
        <v>1053</v>
      </c>
      <c r="C5851" s="23" t="s">
        <v>176</v>
      </c>
      <c r="D5851" s="23" t="s">
        <v>1075</v>
      </c>
      <c r="E5851" s="23" t="s">
        <v>1076</v>
      </c>
      <c r="F5851">
        <v>1</v>
      </c>
      <c r="G5851" s="23" t="s">
        <v>177</v>
      </c>
      <c r="H5851">
        <v>0</v>
      </c>
      <c r="I5851">
        <v>0</v>
      </c>
      <c r="J5851" s="10">
        <v>0</v>
      </c>
      <c r="K58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15</v>
      </c>
      <c r="L5851">
        <v>0</v>
      </c>
      <c r="M58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1">
        <v>0</v>
      </c>
      <c r="O5851" s="23"/>
      <c r="P5851">
        <v>0</v>
      </c>
      <c r="Q5851" s="23" t="s">
        <v>178</v>
      </c>
    </row>
    <row r="5852" spans="1:17" x14ac:dyDescent="0.25">
      <c r="A5852" s="23" t="s">
        <v>1058</v>
      </c>
      <c r="B5852" s="23" t="s">
        <v>1059</v>
      </c>
      <c r="C5852" s="23" t="s">
        <v>176</v>
      </c>
      <c r="D5852" s="23" t="s">
        <v>452</v>
      </c>
      <c r="E5852" s="23" t="s">
        <v>453</v>
      </c>
      <c r="F5852">
        <v>1</v>
      </c>
      <c r="G5852" s="23" t="s">
        <v>177</v>
      </c>
      <c r="H5852">
        <v>1</v>
      </c>
      <c r="I5852">
        <v>6</v>
      </c>
      <c r="J5852" s="10">
        <v>7</v>
      </c>
      <c r="K58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852">
        <v>6</v>
      </c>
      <c r="M58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3200</v>
      </c>
      <c r="N5852">
        <v>1600</v>
      </c>
      <c r="O5852" s="23" t="s">
        <v>242</v>
      </c>
      <c r="P5852">
        <v>1600</v>
      </c>
      <c r="Q5852" s="23" t="s">
        <v>179</v>
      </c>
    </row>
    <row r="5853" spans="1:17" x14ac:dyDescent="0.25">
      <c r="A5853" s="23" t="s">
        <v>1058</v>
      </c>
      <c r="B5853" s="23" t="s">
        <v>1059</v>
      </c>
      <c r="C5853" s="23" t="s">
        <v>176</v>
      </c>
      <c r="D5853" s="23" t="s">
        <v>839</v>
      </c>
      <c r="E5853" s="23" t="s">
        <v>840</v>
      </c>
      <c r="F5853">
        <v>0.05</v>
      </c>
      <c r="G5853" s="23" t="s">
        <v>180</v>
      </c>
      <c r="H5853">
        <v>0</v>
      </c>
      <c r="I5853">
        <v>0</v>
      </c>
      <c r="J5853" s="10">
        <v>0</v>
      </c>
      <c r="K58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1.8000000000000005</v>
      </c>
      <c r="L5853">
        <v>0</v>
      </c>
      <c r="M58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9.0000000000000018</v>
      </c>
      <c r="N5853">
        <v>5</v>
      </c>
      <c r="O5853" s="23"/>
      <c r="P5853">
        <v>0.25</v>
      </c>
      <c r="Q5853" s="23" t="s">
        <v>222</v>
      </c>
    </row>
    <row r="5854" spans="1:17" x14ac:dyDescent="0.25">
      <c r="A5854" s="23" t="s">
        <v>1058</v>
      </c>
      <c r="B5854" s="23" t="s">
        <v>1059</v>
      </c>
      <c r="C5854" s="23" t="s">
        <v>176</v>
      </c>
      <c r="D5854" s="23" t="s">
        <v>274</v>
      </c>
      <c r="E5854" s="23" t="s">
        <v>622</v>
      </c>
      <c r="F5854">
        <v>1</v>
      </c>
      <c r="G5854" s="23" t="s">
        <v>177</v>
      </c>
      <c r="H5854">
        <v>1</v>
      </c>
      <c r="I5854">
        <v>11</v>
      </c>
      <c r="J5854" s="10">
        <v>4</v>
      </c>
      <c r="K58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854">
        <v>0</v>
      </c>
      <c r="M58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4">
        <v>1678.88</v>
      </c>
      <c r="O5854" s="23" t="s">
        <v>637</v>
      </c>
      <c r="P5854">
        <v>1678.88</v>
      </c>
      <c r="Q5854" s="23" t="s">
        <v>179</v>
      </c>
    </row>
    <row r="5855" spans="1:17" x14ac:dyDescent="0.25">
      <c r="A5855" s="23" t="s">
        <v>1150</v>
      </c>
      <c r="B5855" s="23" t="s">
        <v>1145</v>
      </c>
      <c r="C5855" s="23" t="s">
        <v>176</v>
      </c>
      <c r="D5855" s="23" t="s">
        <v>274</v>
      </c>
      <c r="E5855" s="23" t="s">
        <v>622</v>
      </c>
      <c r="F5855">
        <v>1</v>
      </c>
      <c r="G5855" s="23" t="s">
        <v>177</v>
      </c>
      <c r="H5855">
        <v>1</v>
      </c>
      <c r="I5855">
        <v>11</v>
      </c>
      <c r="J5855" s="10">
        <v>4</v>
      </c>
      <c r="K58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</v>
      </c>
      <c r="L5855">
        <v>0</v>
      </c>
      <c r="M58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5">
        <v>1678.88</v>
      </c>
      <c r="O5855" s="23" t="s">
        <v>637</v>
      </c>
      <c r="P5855">
        <v>1678.88</v>
      </c>
      <c r="Q5855" s="23" t="s">
        <v>179</v>
      </c>
    </row>
    <row r="5856" spans="1:17" x14ac:dyDescent="0.25">
      <c r="A5856" s="23" t="s">
        <v>1058</v>
      </c>
      <c r="B5856" s="23" t="s">
        <v>1059</v>
      </c>
      <c r="C5856" s="23" t="s">
        <v>176</v>
      </c>
      <c r="D5856" s="23" t="s">
        <v>506</v>
      </c>
      <c r="E5856" s="23" t="s">
        <v>507</v>
      </c>
      <c r="F5856">
        <v>1</v>
      </c>
      <c r="G5856" s="23" t="s">
        <v>177</v>
      </c>
      <c r="H5856">
        <v>1</v>
      </c>
      <c r="I5856">
        <v>8</v>
      </c>
      <c r="J5856" s="10">
        <v>9</v>
      </c>
      <c r="K58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56">
        <v>36</v>
      </c>
      <c r="M58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6">
        <v>101.4</v>
      </c>
      <c r="O5856" s="23" t="s">
        <v>1065</v>
      </c>
      <c r="P5856">
        <v>101.4</v>
      </c>
      <c r="Q5856" s="23" t="s">
        <v>222</v>
      </c>
    </row>
    <row r="5857" spans="1:17" x14ac:dyDescent="0.25">
      <c r="A5857" s="23" t="s">
        <v>1197</v>
      </c>
      <c r="B5857" s="23" t="s">
        <v>1198</v>
      </c>
      <c r="C5857" s="23" t="s">
        <v>176</v>
      </c>
      <c r="D5857" s="23" t="s">
        <v>656</v>
      </c>
      <c r="E5857" s="23" t="s">
        <v>657</v>
      </c>
      <c r="F5857">
        <v>2</v>
      </c>
      <c r="G5857" s="23" t="s">
        <v>177</v>
      </c>
      <c r="H5857">
        <v>0</v>
      </c>
      <c r="I5857">
        <v>216</v>
      </c>
      <c r="J5857" s="10">
        <v>118</v>
      </c>
      <c r="K58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-190</v>
      </c>
      <c r="L5857">
        <v>0</v>
      </c>
      <c r="M58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7">
        <v>3.95</v>
      </c>
      <c r="O5857" s="23" t="s">
        <v>221</v>
      </c>
      <c r="P5857">
        <v>7.9</v>
      </c>
      <c r="Q5857" s="23" t="s">
        <v>222</v>
      </c>
    </row>
    <row r="5858" spans="1:17" x14ac:dyDescent="0.25">
      <c r="A5858" s="23" t="s">
        <v>1150</v>
      </c>
      <c r="B5858" s="23" t="s">
        <v>1145</v>
      </c>
      <c r="C5858" s="23" t="s">
        <v>176</v>
      </c>
      <c r="D5858" s="23" t="s">
        <v>337</v>
      </c>
      <c r="E5858" s="23" t="s">
        <v>624</v>
      </c>
      <c r="F5858">
        <v>1</v>
      </c>
      <c r="G5858" s="23" t="s">
        <v>177</v>
      </c>
      <c r="H5858">
        <v>1</v>
      </c>
      <c r="I5858">
        <v>5</v>
      </c>
      <c r="J5858" s="10">
        <v>4</v>
      </c>
      <c r="K58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858">
        <v>0</v>
      </c>
      <c r="M58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3357.76</v>
      </c>
      <c r="N5858">
        <v>1678.88</v>
      </c>
      <c r="O5858" s="23" t="s">
        <v>637</v>
      </c>
      <c r="P5858">
        <v>1678.88</v>
      </c>
      <c r="Q5858" s="23" t="s">
        <v>179</v>
      </c>
    </row>
    <row r="5859" spans="1:17" x14ac:dyDescent="0.25">
      <c r="A5859" s="23" t="s">
        <v>1058</v>
      </c>
      <c r="B5859" s="23" t="s">
        <v>1059</v>
      </c>
      <c r="C5859" s="23" t="s">
        <v>176</v>
      </c>
      <c r="D5859" s="23" t="s">
        <v>19</v>
      </c>
      <c r="E5859" s="23" t="s">
        <v>20</v>
      </c>
      <c r="F5859">
        <v>5</v>
      </c>
      <c r="G5859" s="23" t="s">
        <v>177</v>
      </c>
      <c r="H5859">
        <v>5</v>
      </c>
      <c r="I5859">
        <v>13</v>
      </c>
      <c r="J5859" s="10">
        <v>22</v>
      </c>
      <c r="K58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</v>
      </c>
      <c r="L5859">
        <v>30</v>
      </c>
      <c r="M58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59">
        <v>122.1</v>
      </c>
      <c r="O5859" s="23" t="s">
        <v>228</v>
      </c>
      <c r="P5859">
        <v>610.5</v>
      </c>
      <c r="Q5859" s="23" t="s">
        <v>222</v>
      </c>
    </row>
    <row r="5860" spans="1:17" x14ac:dyDescent="0.25">
      <c r="A5860" s="23" t="s">
        <v>1058</v>
      </c>
      <c r="B5860" s="23" t="s">
        <v>1059</v>
      </c>
      <c r="C5860" s="23" t="s">
        <v>176</v>
      </c>
      <c r="D5860" s="23" t="s">
        <v>23</v>
      </c>
      <c r="E5860" s="23" t="s">
        <v>305</v>
      </c>
      <c r="F5860">
        <v>1</v>
      </c>
      <c r="G5860" s="23" t="s">
        <v>177</v>
      </c>
      <c r="H5860">
        <v>0</v>
      </c>
      <c r="I5860">
        <v>0</v>
      </c>
      <c r="J5860" s="10">
        <v>7</v>
      </c>
      <c r="K58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19</v>
      </c>
      <c r="L5860">
        <v>0</v>
      </c>
      <c r="M58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760</v>
      </c>
      <c r="N5860">
        <v>40</v>
      </c>
      <c r="O5860" s="23" t="s">
        <v>636</v>
      </c>
      <c r="P5860">
        <v>40</v>
      </c>
      <c r="Q5860" s="23" t="s">
        <v>222</v>
      </c>
    </row>
    <row r="5861" spans="1:17" x14ac:dyDescent="0.25">
      <c r="A5861" s="23" t="s">
        <v>1058</v>
      </c>
      <c r="B5861" s="23" t="s">
        <v>1059</v>
      </c>
      <c r="C5861" s="23" t="s">
        <v>176</v>
      </c>
      <c r="D5861" s="23" t="s">
        <v>77</v>
      </c>
      <c r="E5861" s="23" t="s">
        <v>78</v>
      </c>
      <c r="F5861">
        <v>4</v>
      </c>
      <c r="G5861" s="23" t="s">
        <v>177</v>
      </c>
      <c r="H5861">
        <v>0</v>
      </c>
      <c r="I5861">
        <v>85</v>
      </c>
      <c r="J5861" s="10">
        <v>31</v>
      </c>
      <c r="K58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861">
        <v>0</v>
      </c>
      <c r="M58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1">
        <v>120</v>
      </c>
      <c r="O5861" s="23" t="s">
        <v>1153</v>
      </c>
      <c r="P5861">
        <v>480</v>
      </c>
      <c r="Q5861" s="23" t="s">
        <v>179</v>
      </c>
    </row>
    <row r="5862" spans="1:17" x14ac:dyDescent="0.25">
      <c r="A5862" s="23" t="s">
        <v>1055</v>
      </c>
      <c r="B5862" s="23" t="s">
        <v>1056</v>
      </c>
      <c r="C5862" s="23" t="s">
        <v>176</v>
      </c>
      <c r="D5862" s="23" t="s">
        <v>40</v>
      </c>
      <c r="E5862" s="23" t="s">
        <v>41</v>
      </c>
      <c r="F5862">
        <v>1</v>
      </c>
      <c r="G5862" s="23" t="s">
        <v>177</v>
      </c>
      <c r="H5862">
        <v>1</v>
      </c>
      <c r="I5862">
        <v>30</v>
      </c>
      <c r="J5862" s="10">
        <v>3</v>
      </c>
      <c r="K58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</v>
      </c>
      <c r="L5862">
        <v>0</v>
      </c>
      <c r="M58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2">
        <v>90</v>
      </c>
      <c r="O5862" s="23" t="s">
        <v>227</v>
      </c>
      <c r="P5862">
        <v>90</v>
      </c>
      <c r="Q5862" s="23" t="s">
        <v>181</v>
      </c>
    </row>
    <row r="5863" spans="1:17" x14ac:dyDescent="0.25">
      <c r="A5863" s="23" t="s">
        <v>1099</v>
      </c>
      <c r="B5863" s="23" t="s">
        <v>1056</v>
      </c>
      <c r="C5863" s="23" t="s">
        <v>176</v>
      </c>
      <c r="D5863" s="23" t="s">
        <v>723</v>
      </c>
      <c r="E5863" s="23" t="s">
        <v>724</v>
      </c>
      <c r="F5863">
        <v>4</v>
      </c>
      <c r="G5863" s="23" t="s">
        <v>177</v>
      </c>
      <c r="H5863">
        <v>4</v>
      </c>
      <c r="I5863">
        <v>1278</v>
      </c>
      <c r="J5863" s="10">
        <v>690</v>
      </c>
      <c r="K58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5863">
        <v>0</v>
      </c>
      <c r="M58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3">
        <v>0.55000000000000004</v>
      </c>
      <c r="O5863" s="23" t="s">
        <v>242</v>
      </c>
      <c r="P5863">
        <v>2.2000000000000002</v>
      </c>
      <c r="Q5863" s="23" t="s">
        <v>181</v>
      </c>
    </row>
    <row r="5864" spans="1:17" x14ac:dyDescent="0.25">
      <c r="A5864" s="23" t="s">
        <v>1098</v>
      </c>
      <c r="B5864" s="23" t="s">
        <v>1053</v>
      </c>
      <c r="C5864" s="23" t="s">
        <v>176</v>
      </c>
      <c r="D5864" s="23" t="s">
        <v>427</v>
      </c>
      <c r="E5864" s="23" t="s">
        <v>428</v>
      </c>
      <c r="F5864">
        <v>1</v>
      </c>
      <c r="G5864" s="23" t="s">
        <v>177</v>
      </c>
      <c r="H5864">
        <v>0</v>
      </c>
      <c r="I5864">
        <v>4</v>
      </c>
      <c r="J5864" s="10">
        <v>8</v>
      </c>
      <c r="K58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64">
        <v>9</v>
      </c>
      <c r="M58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4">
        <v>266.39999999999998</v>
      </c>
      <c r="O5864" s="23" t="s">
        <v>228</v>
      </c>
      <c r="P5864">
        <v>266.39999999999998</v>
      </c>
      <c r="Q5864" s="23" t="s">
        <v>222</v>
      </c>
    </row>
    <row r="5865" spans="1:17" x14ac:dyDescent="0.25">
      <c r="A5865" s="23" t="s">
        <v>1144</v>
      </c>
      <c r="B5865" s="23" t="s">
        <v>1145</v>
      </c>
      <c r="C5865" s="23" t="s">
        <v>176</v>
      </c>
      <c r="D5865" s="23" t="s">
        <v>451</v>
      </c>
      <c r="E5865" s="23" t="s">
        <v>625</v>
      </c>
      <c r="F5865">
        <v>2</v>
      </c>
      <c r="G5865" s="23" t="s">
        <v>177</v>
      </c>
      <c r="H5865">
        <v>0</v>
      </c>
      <c r="I5865">
        <v>10</v>
      </c>
      <c r="J5865" s="10">
        <v>20</v>
      </c>
      <c r="K58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865">
        <v>0</v>
      </c>
      <c r="M58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5865">
        <v>14946.25</v>
      </c>
      <c r="O5865" s="23" t="s">
        <v>626</v>
      </c>
      <c r="P5865">
        <v>29892.5</v>
      </c>
      <c r="Q5865" s="23" t="s">
        <v>179</v>
      </c>
    </row>
    <row r="5866" spans="1:17" x14ac:dyDescent="0.25">
      <c r="A5866" s="23" t="s">
        <v>1055</v>
      </c>
      <c r="B5866" s="23" t="s">
        <v>1056</v>
      </c>
      <c r="C5866" s="23" t="s">
        <v>176</v>
      </c>
      <c r="D5866" s="23" t="s">
        <v>46</v>
      </c>
      <c r="E5866" s="23" t="s">
        <v>47</v>
      </c>
      <c r="F5866">
        <v>4</v>
      </c>
      <c r="G5866" s="23" t="s">
        <v>177</v>
      </c>
      <c r="H5866">
        <v>4</v>
      </c>
      <c r="I5866">
        <v>83</v>
      </c>
      <c r="J5866" s="10">
        <v>52</v>
      </c>
      <c r="K58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66">
        <v>0</v>
      </c>
      <c r="M58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6">
        <v>170</v>
      </c>
      <c r="O5866" s="23" t="s">
        <v>247</v>
      </c>
      <c r="P5866">
        <v>680</v>
      </c>
      <c r="Q5866" s="23" t="s">
        <v>181</v>
      </c>
    </row>
    <row r="5867" spans="1:17" x14ac:dyDescent="0.25">
      <c r="A5867" s="23" t="s">
        <v>1057</v>
      </c>
      <c r="B5867" s="23" t="s">
        <v>1056</v>
      </c>
      <c r="C5867" s="23" t="s">
        <v>176</v>
      </c>
      <c r="D5867" s="23" t="s">
        <v>643</v>
      </c>
      <c r="E5867" s="23" t="s">
        <v>644</v>
      </c>
      <c r="F5867">
        <v>5</v>
      </c>
      <c r="G5867" s="23" t="s">
        <v>177</v>
      </c>
      <c r="H5867">
        <v>5</v>
      </c>
      <c r="I5867">
        <v>11</v>
      </c>
      <c r="J5867" s="10">
        <v>19</v>
      </c>
      <c r="K58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22</v>
      </c>
      <c r="L5867">
        <v>0</v>
      </c>
      <c r="M58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67584</v>
      </c>
      <c r="N5867">
        <v>3072</v>
      </c>
      <c r="O5867" s="23" t="s">
        <v>648</v>
      </c>
      <c r="P5867">
        <v>15360</v>
      </c>
      <c r="Q5867" s="23" t="s">
        <v>178</v>
      </c>
    </row>
    <row r="5868" spans="1:17" x14ac:dyDescent="0.25">
      <c r="A5868" s="23" t="s">
        <v>1062</v>
      </c>
      <c r="B5868" s="23" t="s">
        <v>1053</v>
      </c>
      <c r="C5868" s="23" t="s">
        <v>176</v>
      </c>
      <c r="D5868" s="23" t="s">
        <v>444</v>
      </c>
      <c r="E5868" s="23" t="s">
        <v>445</v>
      </c>
      <c r="F5868">
        <v>1</v>
      </c>
      <c r="G5868" s="23" t="s">
        <v>177</v>
      </c>
      <c r="H5868">
        <v>1</v>
      </c>
      <c r="I5868">
        <v>27</v>
      </c>
      <c r="J5868" s="10">
        <v>3</v>
      </c>
      <c r="K58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868">
        <v>0</v>
      </c>
      <c r="M58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8">
        <v>372.91</v>
      </c>
      <c r="O5868" s="23" t="s">
        <v>637</v>
      </c>
      <c r="P5868">
        <v>372.91</v>
      </c>
      <c r="Q5868" s="23" t="s">
        <v>179</v>
      </c>
    </row>
    <row r="5869" spans="1:17" x14ac:dyDescent="0.25">
      <c r="A5869" s="23" t="s">
        <v>1096</v>
      </c>
      <c r="B5869" s="23" t="s">
        <v>1053</v>
      </c>
      <c r="C5869" s="23" t="s">
        <v>176</v>
      </c>
      <c r="D5869" s="23" t="s">
        <v>444</v>
      </c>
      <c r="E5869" s="23" t="s">
        <v>445</v>
      </c>
      <c r="F5869">
        <v>1</v>
      </c>
      <c r="G5869" s="23" t="s">
        <v>177</v>
      </c>
      <c r="H5869">
        <v>1</v>
      </c>
      <c r="I5869">
        <v>27</v>
      </c>
      <c r="J5869" s="10">
        <v>3</v>
      </c>
      <c r="K58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-13</v>
      </c>
      <c r="L5869">
        <v>0</v>
      </c>
      <c r="M58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69">
        <v>372.91</v>
      </c>
      <c r="O5869" s="23" t="s">
        <v>637</v>
      </c>
      <c r="P5869">
        <v>372.91</v>
      </c>
      <c r="Q5869" s="23" t="s">
        <v>179</v>
      </c>
    </row>
    <row r="5870" spans="1:17" x14ac:dyDescent="0.25">
      <c r="A5870" s="23" t="s">
        <v>1062</v>
      </c>
      <c r="B5870" s="23" t="s">
        <v>1053</v>
      </c>
      <c r="C5870" s="23" t="s">
        <v>176</v>
      </c>
      <c r="D5870" s="23" t="s">
        <v>451</v>
      </c>
      <c r="E5870" s="23" t="s">
        <v>625</v>
      </c>
      <c r="F5870">
        <v>2</v>
      </c>
      <c r="G5870" s="23" t="s">
        <v>177</v>
      </c>
      <c r="H5870">
        <v>2</v>
      </c>
      <c r="I5870">
        <v>10</v>
      </c>
      <c r="J5870" s="10">
        <v>20</v>
      </c>
      <c r="K58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870">
        <v>0</v>
      </c>
      <c r="M58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149462.5</v>
      </c>
      <c r="N5870">
        <v>14946.25</v>
      </c>
      <c r="O5870" s="23" t="s">
        <v>626</v>
      </c>
      <c r="P5870">
        <v>29892.5</v>
      </c>
      <c r="Q5870" s="23" t="s">
        <v>179</v>
      </c>
    </row>
    <row r="5871" spans="1:17" x14ac:dyDescent="0.25">
      <c r="A5871" s="23" t="s">
        <v>1058</v>
      </c>
      <c r="B5871" s="23" t="s">
        <v>1059</v>
      </c>
      <c r="C5871" s="23" t="s">
        <v>176</v>
      </c>
      <c r="D5871" s="23" t="s">
        <v>46</v>
      </c>
      <c r="E5871" s="23" t="s">
        <v>47</v>
      </c>
      <c r="F5871">
        <v>4</v>
      </c>
      <c r="G5871" s="23" t="s">
        <v>177</v>
      </c>
      <c r="H5871">
        <v>4</v>
      </c>
      <c r="I5871">
        <v>83</v>
      </c>
      <c r="J5871" s="10">
        <v>52</v>
      </c>
      <c r="K58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-31</v>
      </c>
      <c r="L5871">
        <v>0</v>
      </c>
      <c r="M58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1">
        <v>170</v>
      </c>
      <c r="O5871" s="23" t="s">
        <v>247</v>
      </c>
      <c r="P5871">
        <v>680</v>
      </c>
      <c r="Q5871" s="23" t="s">
        <v>181</v>
      </c>
    </row>
    <row r="5872" spans="1:17" x14ac:dyDescent="0.25">
      <c r="A5872" s="23" t="s">
        <v>1098</v>
      </c>
      <c r="B5872" s="23" t="s">
        <v>1053</v>
      </c>
      <c r="C5872" s="23" t="s">
        <v>176</v>
      </c>
      <c r="D5872" s="23" t="s">
        <v>723</v>
      </c>
      <c r="E5872" s="23" t="s">
        <v>724</v>
      </c>
      <c r="F5872">
        <v>8</v>
      </c>
      <c r="G5872" s="23" t="s">
        <v>177</v>
      </c>
      <c r="H5872">
        <v>0</v>
      </c>
      <c r="I5872">
        <v>1278</v>
      </c>
      <c r="J5872" s="10">
        <v>690</v>
      </c>
      <c r="K58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-1174</v>
      </c>
      <c r="L5872">
        <v>0</v>
      </c>
      <c r="M58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2">
        <v>0.55000000000000004</v>
      </c>
      <c r="O5872" s="23" t="s">
        <v>242</v>
      </c>
      <c r="P5872">
        <v>4.4000000000000004</v>
      </c>
      <c r="Q5872" s="23" t="s">
        <v>181</v>
      </c>
    </row>
    <row r="5873" spans="1:17" x14ac:dyDescent="0.25">
      <c r="A5873" s="23" t="s">
        <v>1058</v>
      </c>
      <c r="B5873" s="23" t="s">
        <v>1059</v>
      </c>
      <c r="C5873" s="23" t="s">
        <v>176</v>
      </c>
      <c r="D5873" s="23" t="s">
        <v>38</v>
      </c>
      <c r="E5873" s="23" t="s">
        <v>39</v>
      </c>
      <c r="F5873">
        <v>1</v>
      </c>
      <c r="G5873" s="23" t="s">
        <v>177</v>
      </c>
      <c r="H5873">
        <v>1</v>
      </c>
      <c r="I5873">
        <v>306</v>
      </c>
      <c r="J5873" s="10">
        <v>11</v>
      </c>
      <c r="K58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-281</v>
      </c>
      <c r="L5873">
        <v>0</v>
      </c>
      <c r="M58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3">
        <v>210</v>
      </c>
      <c r="O5873" s="23" t="s">
        <v>221</v>
      </c>
      <c r="P5873">
        <v>210</v>
      </c>
      <c r="Q5873" s="23" t="s">
        <v>222</v>
      </c>
    </row>
    <row r="5874" spans="1:17" x14ac:dyDescent="0.25">
      <c r="A5874" s="23" t="s">
        <v>1058</v>
      </c>
      <c r="B5874" s="23" t="s">
        <v>1059</v>
      </c>
      <c r="C5874" s="23" t="s">
        <v>176</v>
      </c>
      <c r="D5874" s="23" t="s">
        <v>741</v>
      </c>
      <c r="E5874" s="23" t="s">
        <v>742</v>
      </c>
      <c r="F5874">
        <v>1</v>
      </c>
      <c r="G5874" s="23" t="s">
        <v>177</v>
      </c>
      <c r="H5874">
        <v>1</v>
      </c>
      <c r="I5874">
        <v>19</v>
      </c>
      <c r="J5874" s="10">
        <v>15</v>
      </c>
      <c r="K58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874">
        <v>0</v>
      </c>
      <c r="M58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4">
        <v>41.67</v>
      </c>
      <c r="O5874" s="23" t="s">
        <v>668</v>
      </c>
      <c r="P5874">
        <v>41.67</v>
      </c>
      <c r="Q5874" s="23" t="s">
        <v>178</v>
      </c>
    </row>
    <row r="5875" spans="1:17" x14ac:dyDescent="0.25">
      <c r="A5875" s="23" t="s">
        <v>1058</v>
      </c>
      <c r="B5875" s="23" t="s">
        <v>1059</v>
      </c>
      <c r="C5875" s="23" t="s">
        <v>176</v>
      </c>
      <c r="D5875" s="23" t="s">
        <v>531</v>
      </c>
      <c r="E5875" s="23" t="s">
        <v>532</v>
      </c>
      <c r="F5875">
        <v>0.35</v>
      </c>
      <c r="G5875" s="23" t="s">
        <v>177</v>
      </c>
      <c r="H5875">
        <v>0.35</v>
      </c>
      <c r="I5875">
        <v>5</v>
      </c>
      <c r="J5875" s="10">
        <v>9.7999999999999936</v>
      </c>
      <c r="K58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0.20000000000000018</v>
      </c>
      <c r="L5875">
        <v>0</v>
      </c>
      <c r="M58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7.6000000000000068</v>
      </c>
      <c r="N5875">
        <v>38</v>
      </c>
      <c r="O5875" s="23" t="s">
        <v>242</v>
      </c>
      <c r="P5875">
        <v>13.299999999999999</v>
      </c>
      <c r="Q5875" s="23" t="s">
        <v>181</v>
      </c>
    </row>
    <row r="5876" spans="1:17" x14ac:dyDescent="0.25">
      <c r="A5876" s="23" t="s">
        <v>1062</v>
      </c>
      <c r="B5876" s="23" t="s">
        <v>1053</v>
      </c>
      <c r="C5876" s="23" t="s">
        <v>176</v>
      </c>
      <c r="D5876" s="23" t="s">
        <v>427</v>
      </c>
      <c r="E5876" s="23" t="s">
        <v>428</v>
      </c>
      <c r="F5876">
        <v>1</v>
      </c>
      <c r="G5876" s="23" t="s">
        <v>177</v>
      </c>
      <c r="H5876">
        <v>1</v>
      </c>
      <c r="I5876">
        <v>4</v>
      </c>
      <c r="J5876" s="10">
        <v>8</v>
      </c>
      <c r="K58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76">
        <v>9</v>
      </c>
      <c r="M58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6">
        <v>266.39999999999998</v>
      </c>
      <c r="O5876" s="23" t="s">
        <v>228</v>
      </c>
      <c r="P5876">
        <v>266.39999999999998</v>
      </c>
      <c r="Q5876" s="23" t="s">
        <v>222</v>
      </c>
    </row>
    <row r="5877" spans="1:17" x14ac:dyDescent="0.25">
      <c r="A5877" s="23" t="s">
        <v>1100</v>
      </c>
      <c r="B5877" s="23" t="s">
        <v>1101</v>
      </c>
      <c r="C5877" s="23" t="s">
        <v>176</v>
      </c>
      <c r="D5877" s="23" t="s">
        <v>207</v>
      </c>
      <c r="E5877" s="23" t="s">
        <v>282</v>
      </c>
      <c r="F5877">
        <v>0.69000000000000017</v>
      </c>
      <c r="G5877" s="23" t="s">
        <v>177</v>
      </c>
      <c r="H5877">
        <v>0.69000000000000017</v>
      </c>
      <c r="I5877">
        <v>20</v>
      </c>
      <c r="J5877" s="10">
        <v>116.66400000000021</v>
      </c>
      <c r="K58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5877">
        <v>0</v>
      </c>
      <c r="M58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7">
        <v>185</v>
      </c>
      <c r="O5877" s="23" t="s">
        <v>242</v>
      </c>
      <c r="P5877">
        <v>127.65000000000003</v>
      </c>
      <c r="Q5877" s="23" t="s">
        <v>181</v>
      </c>
    </row>
    <row r="5878" spans="1:17" x14ac:dyDescent="0.25">
      <c r="A5878" s="23" t="s">
        <v>1055</v>
      </c>
      <c r="B5878" s="23" t="s">
        <v>1056</v>
      </c>
      <c r="C5878" s="23" t="s">
        <v>176</v>
      </c>
      <c r="D5878" s="23" t="s">
        <v>461</v>
      </c>
      <c r="E5878" s="23" t="s">
        <v>462</v>
      </c>
      <c r="F5878">
        <v>1.5</v>
      </c>
      <c r="G5878" s="23" t="s">
        <v>177</v>
      </c>
      <c r="H5878">
        <v>0</v>
      </c>
      <c r="I5878">
        <v>72</v>
      </c>
      <c r="J5878" s="10">
        <v>2</v>
      </c>
      <c r="K58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-43.5</v>
      </c>
      <c r="L5878">
        <v>0</v>
      </c>
      <c r="M58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78">
        <v>5</v>
      </c>
      <c r="O5878" s="23" t="s">
        <v>242</v>
      </c>
      <c r="P5878">
        <v>7.5</v>
      </c>
      <c r="Q5878" s="23" t="s">
        <v>181</v>
      </c>
    </row>
    <row r="5879" spans="1:17" x14ac:dyDescent="0.25">
      <c r="A5879" s="23" t="s">
        <v>1099</v>
      </c>
      <c r="B5879" s="23" t="s">
        <v>1056</v>
      </c>
      <c r="C5879" s="23" t="s">
        <v>176</v>
      </c>
      <c r="D5879" s="23" t="s">
        <v>339</v>
      </c>
      <c r="E5879" s="23" t="s">
        <v>340</v>
      </c>
      <c r="F5879">
        <v>2.4700000000000002</v>
      </c>
      <c r="G5879" s="23" t="s">
        <v>186</v>
      </c>
      <c r="H5879">
        <v>2.4700000000000002</v>
      </c>
      <c r="I5879">
        <v>0</v>
      </c>
      <c r="J5879" s="10">
        <v>154.95000000000007</v>
      </c>
      <c r="K58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879">
        <v>60</v>
      </c>
      <c r="M58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879">
        <v>194.75</v>
      </c>
      <c r="O5879" s="23" t="s">
        <v>491</v>
      </c>
      <c r="P5879">
        <v>481.03250000000003</v>
      </c>
      <c r="Q5879" s="23" t="s">
        <v>184</v>
      </c>
    </row>
    <row r="5880" spans="1:17" x14ac:dyDescent="0.25">
      <c r="A5880" s="23" t="s">
        <v>1062</v>
      </c>
      <c r="B5880" s="23" t="s">
        <v>1053</v>
      </c>
      <c r="C5880" s="23" t="s">
        <v>176</v>
      </c>
      <c r="D5880" s="23" t="s">
        <v>292</v>
      </c>
      <c r="E5880" s="23" t="s">
        <v>293</v>
      </c>
      <c r="F5880">
        <v>8</v>
      </c>
      <c r="G5880" s="23" t="s">
        <v>177</v>
      </c>
      <c r="H5880">
        <v>8</v>
      </c>
      <c r="I5880">
        <v>133</v>
      </c>
      <c r="J5880" s="10">
        <v>46</v>
      </c>
      <c r="K58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-49</v>
      </c>
      <c r="L5880">
        <v>0</v>
      </c>
      <c r="M58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0">
        <v>3.75</v>
      </c>
      <c r="O5880" s="23" t="s">
        <v>629</v>
      </c>
      <c r="P5880">
        <v>30</v>
      </c>
      <c r="Q5880" s="23" t="s">
        <v>181</v>
      </c>
    </row>
    <row r="5881" spans="1:17" x14ac:dyDescent="0.25">
      <c r="A5881" s="23" t="s">
        <v>1062</v>
      </c>
      <c r="B5881" s="23" t="s">
        <v>1053</v>
      </c>
      <c r="C5881" s="23" t="s">
        <v>176</v>
      </c>
      <c r="D5881" s="23" t="s">
        <v>301</v>
      </c>
      <c r="E5881" s="23" t="s">
        <v>302</v>
      </c>
      <c r="F5881">
        <v>14</v>
      </c>
      <c r="G5881" s="23" t="s">
        <v>177</v>
      </c>
      <c r="H5881">
        <v>14</v>
      </c>
      <c r="I5881">
        <v>180</v>
      </c>
      <c r="J5881" s="10">
        <v>80</v>
      </c>
      <c r="K58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881">
        <v>0</v>
      </c>
      <c r="M58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881">
        <v>240</v>
      </c>
      <c r="O5881" s="23" t="s">
        <v>242</v>
      </c>
      <c r="P5881">
        <v>3360</v>
      </c>
      <c r="Q5881" s="23" t="s">
        <v>181</v>
      </c>
    </row>
    <row r="5882" spans="1:17" x14ac:dyDescent="0.25">
      <c r="A5882" s="23" t="s">
        <v>1062</v>
      </c>
      <c r="B5882" s="23" t="s">
        <v>1053</v>
      </c>
      <c r="C5882" s="23" t="s">
        <v>176</v>
      </c>
      <c r="D5882" s="23" t="s">
        <v>60</v>
      </c>
      <c r="E5882" s="23" t="s">
        <v>61</v>
      </c>
      <c r="F5882">
        <v>1</v>
      </c>
      <c r="G5882" s="23" t="s">
        <v>177</v>
      </c>
      <c r="H5882">
        <v>1</v>
      </c>
      <c r="I5882">
        <v>18</v>
      </c>
      <c r="J5882" s="10">
        <v>10</v>
      </c>
      <c r="K58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882">
        <v>0</v>
      </c>
      <c r="M58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2">
        <v>115.6</v>
      </c>
      <c r="O5882" s="23" t="s">
        <v>827</v>
      </c>
      <c r="P5882">
        <v>115.6</v>
      </c>
      <c r="Q5882" s="23" t="s">
        <v>222</v>
      </c>
    </row>
    <row r="5883" spans="1:17" x14ac:dyDescent="0.25">
      <c r="A5883" s="23" t="s">
        <v>1096</v>
      </c>
      <c r="B5883" s="23" t="s">
        <v>1053</v>
      </c>
      <c r="C5883" s="23" t="s">
        <v>176</v>
      </c>
      <c r="D5883" s="23" t="s">
        <v>60</v>
      </c>
      <c r="E5883" s="23" t="s">
        <v>61</v>
      </c>
      <c r="F5883">
        <v>1</v>
      </c>
      <c r="G5883" s="23" t="s">
        <v>177</v>
      </c>
      <c r="H5883">
        <v>1</v>
      </c>
      <c r="I5883">
        <v>18</v>
      </c>
      <c r="J5883" s="10">
        <v>10</v>
      </c>
      <c r="K58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883">
        <v>0</v>
      </c>
      <c r="M58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3">
        <v>115.6</v>
      </c>
      <c r="O5883" s="23" t="s">
        <v>827</v>
      </c>
      <c r="P5883">
        <v>115.6</v>
      </c>
      <c r="Q5883" s="23" t="s">
        <v>222</v>
      </c>
    </row>
    <row r="5884" spans="1:17" x14ac:dyDescent="0.25">
      <c r="A5884" s="23" t="s">
        <v>1057</v>
      </c>
      <c r="B5884" s="23" t="s">
        <v>1056</v>
      </c>
      <c r="C5884" s="23" t="s">
        <v>176</v>
      </c>
      <c r="D5884" s="23" t="s">
        <v>1010</v>
      </c>
      <c r="E5884" s="23" t="s">
        <v>1011</v>
      </c>
      <c r="F5884">
        <v>0.5</v>
      </c>
      <c r="G5884" s="23" t="s">
        <v>177</v>
      </c>
      <c r="H5884">
        <v>0.5</v>
      </c>
      <c r="I5884">
        <v>0</v>
      </c>
      <c r="J5884" s="10">
        <v>2</v>
      </c>
      <c r="K588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84">
        <v>0</v>
      </c>
      <c r="M588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4">
        <v>2010.25</v>
      </c>
      <c r="O5884" s="23" t="s">
        <v>1012</v>
      </c>
      <c r="P5884">
        <v>1005.125</v>
      </c>
      <c r="Q5884" s="23" t="s">
        <v>181</v>
      </c>
    </row>
    <row r="5885" spans="1:17" x14ac:dyDescent="0.25">
      <c r="A5885" s="23" t="s">
        <v>1096</v>
      </c>
      <c r="B5885" s="23" t="s">
        <v>1053</v>
      </c>
      <c r="C5885" s="23" t="s">
        <v>176</v>
      </c>
      <c r="D5885" s="23" t="s">
        <v>392</v>
      </c>
      <c r="E5885" s="23" t="s">
        <v>393</v>
      </c>
      <c r="F5885">
        <v>12</v>
      </c>
      <c r="G5885" s="23" t="s">
        <v>177</v>
      </c>
      <c r="H5885">
        <v>0</v>
      </c>
      <c r="I5885">
        <v>0</v>
      </c>
      <c r="J5885" s="10">
        <v>24.050000000000068</v>
      </c>
      <c r="K588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147.72000000000003</v>
      </c>
      <c r="L5885">
        <v>34</v>
      </c>
      <c r="M588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249893.49240000005</v>
      </c>
      <c r="N5885">
        <v>1691.67</v>
      </c>
      <c r="O5885" s="23" t="s">
        <v>224</v>
      </c>
      <c r="P5885">
        <v>20300.04</v>
      </c>
      <c r="Q5885" s="23" t="s">
        <v>182</v>
      </c>
    </row>
    <row r="5886" spans="1:17" x14ac:dyDescent="0.25">
      <c r="A5886" s="23" t="s">
        <v>1142</v>
      </c>
      <c r="B5886" s="23" t="s">
        <v>1054</v>
      </c>
      <c r="C5886" s="23" t="s">
        <v>176</v>
      </c>
      <c r="D5886" s="23" t="s">
        <v>509</v>
      </c>
      <c r="E5886" s="23" t="s">
        <v>510</v>
      </c>
      <c r="F5886">
        <v>1</v>
      </c>
      <c r="G5886" s="23" t="s">
        <v>177</v>
      </c>
      <c r="H5886">
        <v>0</v>
      </c>
      <c r="I5886">
        <v>6</v>
      </c>
      <c r="J5886" s="10">
        <v>9</v>
      </c>
      <c r="K588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86">
        <v>7</v>
      </c>
      <c r="M588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6">
        <v>1535.25</v>
      </c>
      <c r="O5886" s="23" t="s">
        <v>508</v>
      </c>
      <c r="P5886">
        <v>1535.25</v>
      </c>
      <c r="Q5886" s="23" t="s">
        <v>222</v>
      </c>
    </row>
    <row r="5887" spans="1:17" x14ac:dyDescent="0.25">
      <c r="A5887" s="23" t="s">
        <v>1057</v>
      </c>
      <c r="B5887" s="23" t="s">
        <v>1056</v>
      </c>
      <c r="C5887" s="23" t="s">
        <v>176</v>
      </c>
      <c r="D5887" s="23" t="s">
        <v>793</v>
      </c>
      <c r="E5887" s="23" t="s">
        <v>137</v>
      </c>
      <c r="F5887">
        <v>8</v>
      </c>
      <c r="G5887" s="23" t="s">
        <v>177</v>
      </c>
      <c r="H5887">
        <v>0</v>
      </c>
      <c r="I5887">
        <v>524</v>
      </c>
      <c r="J5887" s="10">
        <v>352</v>
      </c>
      <c r="K588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887">
        <v>0</v>
      </c>
      <c r="M588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7">
        <v>8.1</v>
      </c>
      <c r="O5887" s="23" t="s">
        <v>505</v>
      </c>
      <c r="P5887">
        <v>64.8</v>
      </c>
      <c r="Q5887" s="23" t="s">
        <v>222</v>
      </c>
    </row>
    <row r="5888" spans="1:17" x14ac:dyDescent="0.25">
      <c r="A5888" s="23" t="s">
        <v>1094</v>
      </c>
      <c r="B5888" s="23" t="s">
        <v>1095</v>
      </c>
      <c r="C5888" s="23" t="s">
        <v>176</v>
      </c>
      <c r="D5888" s="23" t="s">
        <v>793</v>
      </c>
      <c r="E5888" s="23" t="s">
        <v>137</v>
      </c>
      <c r="F5888">
        <v>8</v>
      </c>
      <c r="G5888" s="23" t="s">
        <v>177</v>
      </c>
      <c r="H5888">
        <v>0</v>
      </c>
      <c r="I5888">
        <v>524</v>
      </c>
      <c r="J5888" s="10">
        <v>352</v>
      </c>
      <c r="K588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-374</v>
      </c>
      <c r="L5888">
        <v>0</v>
      </c>
      <c r="M588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8">
        <v>8.1</v>
      </c>
      <c r="O5888" s="23" t="s">
        <v>505</v>
      </c>
      <c r="P5888">
        <v>64.8</v>
      </c>
      <c r="Q5888" s="23" t="s">
        <v>222</v>
      </c>
    </row>
    <row r="5889" spans="1:17" x14ac:dyDescent="0.25">
      <c r="A5889" s="23" t="s">
        <v>1057</v>
      </c>
      <c r="B5889" s="23" t="s">
        <v>1056</v>
      </c>
      <c r="C5889" s="23" t="s">
        <v>176</v>
      </c>
      <c r="D5889" s="23" t="s">
        <v>871</v>
      </c>
      <c r="E5889" s="23" t="s">
        <v>872</v>
      </c>
      <c r="F5889">
        <v>4</v>
      </c>
      <c r="G5889" s="23" t="s">
        <v>177</v>
      </c>
      <c r="H5889">
        <v>0</v>
      </c>
      <c r="I5889">
        <v>0</v>
      </c>
      <c r="J5889" s="10">
        <v>8</v>
      </c>
      <c r="K588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-60</v>
      </c>
      <c r="L5889">
        <v>72</v>
      </c>
      <c r="M588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89">
        <v>5265.79</v>
      </c>
      <c r="O5889" s="23" t="s">
        <v>873</v>
      </c>
      <c r="P5889">
        <v>21063.16</v>
      </c>
      <c r="Q5889" s="23" t="s">
        <v>179</v>
      </c>
    </row>
    <row r="5890" spans="1:17" x14ac:dyDescent="0.25">
      <c r="A5890" s="23" t="s">
        <v>1098</v>
      </c>
      <c r="B5890" s="23" t="s">
        <v>1053</v>
      </c>
      <c r="C5890" s="23" t="s">
        <v>176</v>
      </c>
      <c r="D5890" s="23" t="s">
        <v>459</v>
      </c>
      <c r="E5890" s="23" t="s">
        <v>460</v>
      </c>
      <c r="F5890">
        <v>6.0000000000000005E-2</v>
      </c>
      <c r="G5890" s="23" t="s">
        <v>177</v>
      </c>
      <c r="H5890">
        <v>6.0000000000000005E-2</v>
      </c>
      <c r="I5890">
        <v>6</v>
      </c>
      <c r="J5890" s="10">
        <v>22.53</v>
      </c>
      <c r="K589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-5.5</v>
      </c>
      <c r="L5890">
        <v>0</v>
      </c>
      <c r="M589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0">
        <v>133</v>
      </c>
      <c r="O5890" s="23" t="s">
        <v>217</v>
      </c>
      <c r="P5890">
        <v>7.98</v>
      </c>
      <c r="Q5890" s="23" t="s">
        <v>184</v>
      </c>
    </row>
    <row r="5891" spans="1:17" x14ac:dyDescent="0.25">
      <c r="A5891" s="23" t="s">
        <v>1096</v>
      </c>
      <c r="B5891" s="23" t="s">
        <v>1053</v>
      </c>
      <c r="C5891" s="23" t="s">
        <v>176</v>
      </c>
      <c r="D5891" s="23" t="s">
        <v>339</v>
      </c>
      <c r="E5891" s="23" t="s">
        <v>340</v>
      </c>
      <c r="F5891">
        <v>8.4700000000000006</v>
      </c>
      <c r="G5891" s="23" t="s">
        <v>186</v>
      </c>
      <c r="H5891">
        <v>8.4700000000000006</v>
      </c>
      <c r="I5891">
        <v>0</v>
      </c>
      <c r="J5891" s="10">
        <v>154.95000000000007</v>
      </c>
      <c r="K589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891">
        <v>60</v>
      </c>
      <c r="M589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891">
        <v>194.75</v>
      </c>
      <c r="O5891" s="23" t="s">
        <v>491</v>
      </c>
      <c r="P5891">
        <v>1649.5325</v>
      </c>
      <c r="Q5891" s="23" t="s">
        <v>184</v>
      </c>
    </row>
    <row r="5892" spans="1:17" x14ac:dyDescent="0.25">
      <c r="A5892" s="23" t="s">
        <v>1057</v>
      </c>
      <c r="B5892" s="23" t="s">
        <v>1056</v>
      </c>
      <c r="C5892" s="23" t="s">
        <v>176</v>
      </c>
      <c r="D5892" s="23" t="s">
        <v>117</v>
      </c>
      <c r="E5892" s="23" t="s">
        <v>118</v>
      </c>
      <c r="F5892">
        <v>78.63</v>
      </c>
      <c r="G5892" s="23" t="s">
        <v>186</v>
      </c>
      <c r="H5892">
        <v>78.63</v>
      </c>
      <c r="I5892">
        <v>1840</v>
      </c>
      <c r="J5892" s="10">
        <v>973.62000000000012</v>
      </c>
      <c r="K589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892">
        <v>920</v>
      </c>
      <c r="M589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2">
        <v>94.86</v>
      </c>
      <c r="O5892" s="23" t="s">
        <v>491</v>
      </c>
      <c r="P5892">
        <v>7458.8417999999992</v>
      </c>
      <c r="Q5892" s="23" t="s">
        <v>184</v>
      </c>
    </row>
    <row r="5893" spans="1:17" x14ac:dyDescent="0.25">
      <c r="A5893" s="23" t="s">
        <v>1146</v>
      </c>
      <c r="B5893" s="23" t="s">
        <v>1145</v>
      </c>
      <c r="C5893" s="23" t="s">
        <v>176</v>
      </c>
      <c r="D5893" s="23" t="s">
        <v>117</v>
      </c>
      <c r="E5893" s="23" t="s">
        <v>118</v>
      </c>
      <c r="F5893">
        <v>108.01</v>
      </c>
      <c r="G5893" s="23" t="s">
        <v>186</v>
      </c>
      <c r="H5893">
        <v>108.01</v>
      </c>
      <c r="I5893">
        <v>1840</v>
      </c>
      <c r="J5893" s="10">
        <v>973.62000000000012</v>
      </c>
      <c r="K589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893">
        <v>920</v>
      </c>
      <c r="M589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3">
        <v>94.86</v>
      </c>
      <c r="O5893" s="23" t="s">
        <v>491</v>
      </c>
      <c r="P5893">
        <v>10245.828600000001</v>
      </c>
      <c r="Q5893" s="23" t="s">
        <v>184</v>
      </c>
    </row>
    <row r="5894" spans="1:17" x14ac:dyDescent="0.25">
      <c r="A5894" s="23" t="s">
        <v>1058</v>
      </c>
      <c r="B5894" s="23" t="s">
        <v>1059</v>
      </c>
      <c r="C5894" s="23" t="s">
        <v>176</v>
      </c>
      <c r="D5894" s="23" t="s">
        <v>52</v>
      </c>
      <c r="E5894" s="23" t="s">
        <v>53</v>
      </c>
      <c r="F5894">
        <v>1</v>
      </c>
      <c r="G5894" s="23" t="s">
        <v>177</v>
      </c>
      <c r="H5894">
        <v>1</v>
      </c>
      <c r="I5894">
        <v>5</v>
      </c>
      <c r="J5894" s="10">
        <v>10</v>
      </c>
      <c r="K589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7</v>
      </c>
      <c r="L5894">
        <v>0</v>
      </c>
      <c r="M589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85641.010000000009</v>
      </c>
      <c r="N5894">
        <v>12234.43</v>
      </c>
      <c r="O5894" s="23" t="s">
        <v>216</v>
      </c>
      <c r="P5894">
        <v>12234.43</v>
      </c>
      <c r="Q5894" s="23" t="s">
        <v>222</v>
      </c>
    </row>
    <row r="5895" spans="1:17" x14ac:dyDescent="0.25">
      <c r="A5895" s="23" t="s">
        <v>1146</v>
      </c>
      <c r="B5895" s="23" t="s">
        <v>1145</v>
      </c>
      <c r="C5895" s="23" t="s">
        <v>176</v>
      </c>
      <c r="D5895" s="23" t="s">
        <v>301</v>
      </c>
      <c r="E5895" s="23" t="s">
        <v>302</v>
      </c>
      <c r="F5895">
        <v>18</v>
      </c>
      <c r="G5895" s="23" t="s">
        <v>177</v>
      </c>
      <c r="H5895">
        <v>18</v>
      </c>
      <c r="I5895">
        <v>180</v>
      </c>
      <c r="J5895" s="10">
        <v>80</v>
      </c>
      <c r="K589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895">
        <v>0</v>
      </c>
      <c r="M589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895">
        <v>240</v>
      </c>
      <c r="O5895" s="23" t="s">
        <v>242</v>
      </c>
      <c r="P5895">
        <v>4320</v>
      </c>
      <c r="Q5895" s="23" t="s">
        <v>181</v>
      </c>
    </row>
    <row r="5896" spans="1:17" x14ac:dyDescent="0.25">
      <c r="A5896" s="23" t="s">
        <v>1098</v>
      </c>
      <c r="B5896" s="23" t="s">
        <v>1053</v>
      </c>
      <c r="C5896" s="23" t="s">
        <v>176</v>
      </c>
      <c r="D5896" s="23" t="s">
        <v>339</v>
      </c>
      <c r="E5896" s="23" t="s">
        <v>340</v>
      </c>
      <c r="F5896">
        <v>17.100000000000001</v>
      </c>
      <c r="G5896" s="23" t="s">
        <v>186</v>
      </c>
      <c r="H5896">
        <v>17.100000000000001</v>
      </c>
      <c r="I5896">
        <v>0</v>
      </c>
      <c r="J5896" s="10">
        <v>154.95000000000007</v>
      </c>
      <c r="K589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896">
        <v>60</v>
      </c>
      <c r="M589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896">
        <v>194.75</v>
      </c>
      <c r="O5896" s="23" t="s">
        <v>491</v>
      </c>
      <c r="P5896">
        <v>3330.2250000000004</v>
      </c>
      <c r="Q5896" s="23" t="s">
        <v>184</v>
      </c>
    </row>
    <row r="5897" spans="1:17" x14ac:dyDescent="0.25">
      <c r="A5897" s="23" t="s">
        <v>1055</v>
      </c>
      <c r="B5897" s="23" t="s">
        <v>1056</v>
      </c>
      <c r="C5897" s="23" t="s">
        <v>176</v>
      </c>
      <c r="D5897" s="23" t="s">
        <v>117</v>
      </c>
      <c r="E5897" s="23" t="s">
        <v>118</v>
      </c>
      <c r="F5897">
        <v>78.63</v>
      </c>
      <c r="G5897" s="23" t="s">
        <v>186</v>
      </c>
      <c r="H5897">
        <v>78.63</v>
      </c>
      <c r="I5897">
        <v>1840</v>
      </c>
      <c r="J5897" s="10">
        <v>973.62000000000012</v>
      </c>
      <c r="K589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897">
        <v>920</v>
      </c>
      <c r="M589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7">
        <v>94.86</v>
      </c>
      <c r="O5897" s="23" t="s">
        <v>491</v>
      </c>
      <c r="P5897">
        <v>7458.8417999999992</v>
      </c>
      <c r="Q5897" s="23" t="s">
        <v>184</v>
      </c>
    </row>
    <row r="5898" spans="1:17" x14ac:dyDescent="0.25">
      <c r="A5898" s="23" t="s">
        <v>1099</v>
      </c>
      <c r="B5898" s="23" t="s">
        <v>1056</v>
      </c>
      <c r="C5898" s="23" t="s">
        <v>176</v>
      </c>
      <c r="D5898" s="23" t="s">
        <v>117</v>
      </c>
      <c r="E5898" s="23" t="s">
        <v>118</v>
      </c>
      <c r="F5898">
        <v>68.959999999999994</v>
      </c>
      <c r="G5898" s="23" t="s">
        <v>186</v>
      </c>
      <c r="H5898">
        <v>68.959999999999994</v>
      </c>
      <c r="I5898">
        <v>1840</v>
      </c>
      <c r="J5898" s="10">
        <v>973.62000000000012</v>
      </c>
      <c r="K589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-1630.13</v>
      </c>
      <c r="L5898">
        <v>920</v>
      </c>
      <c r="M589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8">
        <v>94.86</v>
      </c>
      <c r="O5898" s="23" t="s">
        <v>491</v>
      </c>
      <c r="P5898">
        <v>6541.5455999999995</v>
      </c>
      <c r="Q5898" s="23" t="s">
        <v>184</v>
      </c>
    </row>
    <row r="5899" spans="1:17" x14ac:dyDescent="0.25">
      <c r="A5899" s="23" t="s">
        <v>1058</v>
      </c>
      <c r="B5899" s="23" t="s">
        <v>1059</v>
      </c>
      <c r="C5899" s="23" t="s">
        <v>176</v>
      </c>
      <c r="D5899" s="23" t="s">
        <v>509</v>
      </c>
      <c r="E5899" s="23" t="s">
        <v>510</v>
      </c>
      <c r="F5899">
        <v>1</v>
      </c>
      <c r="G5899" s="23" t="s">
        <v>177</v>
      </c>
      <c r="H5899">
        <v>1</v>
      </c>
      <c r="I5899">
        <v>6</v>
      </c>
      <c r="J5899" s="10">
        <v>9</v>
      </c>
      <c r="K589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899">
        <v>7</v>
      </c>
      <c r="M589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899">
        <v>1535.25</v>
      </c>
      <c r="O5899" s="23" t="s">
        <v>508</v>
      </c>
      <c r="P5899">
        <v>1535.25</v>
      </c>
      <c r="Q5899" s="23" t="s">
        <v>222</v>
      </c>
    </row>
    <row r="5900" spans="1:17" x14ac:dyDescent="0.25">
      <c r="A5900" s="23" t="s">
        <v>1057</v>
      </c>
      <c r="B5900" s="23" t="s">
        <v>1056</v>
      </c>
      <c r="C5900" s="23" t="s">
        <v>176</v>
      </c>
      <c r="D5900" s="23" t="s">
        <v>301</v>
      </c>
      <c r="E5900" s="23" t="s">
        <v>302</v>
      </c>
      <c r="F5900">
        <v>13.5</v>
      </c>
      <c r="G5900" s="23" t="s">
        <v>177</v>
      </c>
      <c r="H5900">
        <v>13.5</v>
      </c>
      <c r="I5900">
        <v>180</v>
      </c>
      <c r="J5900" s="10">
        <v>80</v>
      </c>
      <c r="K590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32</v>
      </c>
      <c r="L5900">
        <v>0</v>
      </c>
      <c r="M590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7680</v>
      </c>
      <c r="N5900">
        <v>240</v>
      </c>
      <c r="O5900" s="23" t="s">
        <v>242</v>
      </c>
      <c r="P5900">
        <v>3240</v>
      </c>
      <c r="Q5900" s="23" t="s">
        <v>181</v>
      </c>
    </row>
    <row r="5901" spans="1:17" x14ac:dyDescent="0.25">
      <c r="A5901" s="23" t="s">
        <v>1058</v>
      </c>
      <c r="B5901" s="23" t="s">
        <v>1059</v>
      </c>
      <c r="C5901" s="23" t="s">
        <v>176</v>
      </c>
      <c r="D5901" s="23" t="s">
        <v>339</v>
      </c>
      <c r="E5901" s="23" t="s">
        <v>340</v>
      </c>
      <c r="F5901">
        <v>2.4700000000000002</v>
      </c>
      <c r="G5901" s="23" t="s">
        <v>186</v>
      </c>
      <c r="H5901">
        <v>2.4700000000000002</v>
      </c>
      <c r="I5901">
        <v>0</v>
      </c>
      <c r="J5901" s="10">
        <v>154.95000000000007</v>
      </c>
      <c r="K590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901">
        <v>60</v>
      </c>
      <c r="M590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901">
        <v>194.75</v>
      </c>
      <c r="O5901" s="23" t="s">
        <v>491</v>
      </c>
      <c r="P5901">
        <v>481.03250000000003</v>
      </c>
      <c r="Q5901" s="23" t="s">
        <v>184</v>
      </c>
    </row>
    <row r="5902" spans="1:17" x14ac:dyDescent="0.25">
      <c r="A5902" s="23" t="s">
        <v>1100</v>
      </c>
      <c r="B5902" s="23" t="s">
        <v>1101</v>
      </c>
      <c r="C5902" s="23" t="s">
        <v>176</v>
      </c>
      <c r="D5902" s="23" t="s">
        <v>407</v>
      </c>
      <c r="E5902" s="23" t="s">
        <v>408</v>
      </c>
      <c r="F5902">
        <v>1</v>
      </c>
      <c r="G5902" s="23" t="s">
        <v>177</v>
      </c>
      <c r="H5902">
        <v>0</v>
      </c>
      <c r="I5902">
        <v>35</v>
      </c>
      <c r="J5902" s="10">
        <v>61</v>
      </c>
      <c r="K590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902">
        <v>0</v>
      </c>
      <c r="M590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2">
        <v>19.07</v>
      </c>
      <c r="O5902" s="23" t="s">
        <v>827</v>
      </c>
      <c r="P5902">
        <v>19.07</v>
      </c>
      <c r="Q5902" s="23" t="s">
        <v>222</v>
      </c>
    </row>
    <row r="5903" spans="1:17" x14ac:dyDescent="0.25">
      <c r="A5903" s="23" t="s">
        <v>1150</v>
      </c>
      <c r="B5903" s="23" t="s">
        <v>1145</v>
      </c>
      <c r="C5903" s="23" t="s">
        <v>176</v>
      </c>
      <c r="D5903" s="23" t="s">
        <v>339</v>
      </c>
      <c r="E5903" s="23" t="s">
        <v>340</v>
      </c>
      <c r="F5903">
        <v>2.4700000000000002</v>
      </c>
      <c r="G5903" s="23" t="s">
        <v>186</v>
      </c>
      <c r="H5903">
        <v>0</v>
      </c>
      <c r="I5903">
        <v>0</v>
      </c>
      <c r="J5903" s="10">
        <v>154.95000000000007</v>
      </c>
      <c r="K590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21.899999999999991</v>
      </c>
      <c r="L5903">
        <v>60</v>
      </c>
      <c r="M590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4265.0249999999987</v>
      </c>
      <c r="N5903">
        <v>194.75</v>
      </c>
      <c r="O5903" s="23" t="s">
        <v>491</v>
      </c>
      <c r="P5903">
        <v>481.03250000000003</v>
      </c>
      <c r="Q5903" s="23" t="s">
        <v>184</v>
      </c>
    </row>
    <row r="5904" spans="1:17" x14ac:dyDescent="0.25">
      <c r="A5904" s="23" t="s">
        <v>1147</v>
      </c>
      <c r="B5904" s="23" t="s">
        <v>1145</v>
      </c>
      <c r="C5904" s="23" t="s">
        <v>176</v>
      </c>
      <c r="D5904" s="23" t="s">
        <v>72</v>
      </c>
      <c r="E5904" s="23" t="s">
        <v>251</v>
      </c>
      <c r="F5904">
        <v>8.6</v>
      </c>
      <c r="G5904" s="23" t="s">
        <v>177</v>
      </c>
      <c r="H5904">
        <v>0</v>
      </c>
      <c r="I5904">
        <v>96</v>
      </c>
      <c r="J5904" s="10">
        <v>195.44000000000005</v>
      </c>
      <c r="K590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63.919999999999945</v>
      </c>
      <c r="L5904">
        <v>0</v>
      </c>
      <c r="M590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8241.2055999999939</v>
      </c>
      <c r="N5904">
        <v>128.93</v>
      </c>
      <c r="O5904" s="23" t="s">
        <v>252</v>
      </c>
      <c r="P5904">
        <v>1108.798</v>
      </c>
      <c r="Q5904" s="23" t="s">
        <v>181</v>
      </c>
    </row>
    <row r="5905" spans="1:17" x14ac:dyDescent="0.25">
      <c r="A5905" s="23" t="s">
        <v>1142</v>
      </c>
      <c r="B5905" s="23" t="s">
        <v>1054</v>
      </c>
      <c r="C5905" s="23" t="s">
        <v>176</v>
      </c>
      <c r="D5905" s="23" t="s">
        <v>265</v>
      </c>
      <c r="E5905" s="23" t="s">
        <v>420</v>
      </c>
      <c r="F5905">
        <v>1</v>
      </c>
      <c r="G5905" s="23" t="s">
        <v>177</v>
      </c>
      <c r="H5905">
        <v>0</v>
      </c>
      <c r="I5905">
        <v>0</v>
      </c>
      <c r="J5905" s="10">
        <v>10</v>
      </c>
      <c r="K590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9</v>
      </c>
      <c r="L5905">
        <v>5</v>
      </c>
      <c r="M590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53946.090000000004</v>
      </c>
      <c r="N5905">
        <v>5994.01</v>
      </c>
      <c r="O5905" s="23" t="s">
        <v>228</v>
      </c>
      <c r="P5905">
        <v>5994.01</v>
      </c>
      <c r="Q5905" s="23" t="s">
        <v>222</v>
      </c>
    </row>
    <row r="5906" spans="1:17" x14ac:dyDescent="0.25">
      <c r="A5906" s="23" t="s">
        <v>1057</v>
      </c>
      <c r="B5906" s="23" t="s">
        <v>1056</v>
      </c>
      <c r="C5906" s="23" t="s">
        <v>176</v>
      </c>
      <c r="D5906" s="23" t="s">
        <v>208</v>
      </c>
      <c r="E5906" s="23" t="s">
        <v>283</v>
      </c>
      <c r="F5906">
        <v>2.5</v>
      </c>
      <c r="G5906" s="23" t="s">
        <v>177</v>
      </c>
      <c r="H5906">
        <v>2.5</v>
      </c>
      <c r="I5906">
        <v>62</v>
      </c>
      <c r="J5906" s="10">
        <v>0.26999999999997826</v>
      </c>
      <c r="K590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5906">
        <v>0</v>
      </c>
      <c r="M590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6">
        <v>28</v>
      </c>
      <c r="O5906" s="23" t="s">
        <v>242</v>
      </c>
      <c r="P5906">
        <v>70</v>
      </c>
      <c r="Q5906" s="23" t="s">
        <v>181</v>
      </c>
    </row>
    <row r="5907" spans="1:17" x14ac:dyDescent="0.25">
      <c r="A5907" s="23" t="s">
        <v>1197</v>
      </c>
      <c r="B5907" s="23" t="s">
        <v>1198</v>
      </c>
      <c r="C5907" s="23" t="s">
        <v>176</v>
      </c>
      <c r="D5907" s="23" t="s">
        <v>368</v>
      </c>
      <c r="E5907" s="23" t="s">
        <v>369</v>
      </c>
      <c r="F5907">
        <v>49</v>
      </c>
      <c r="G5907" s="23" t="s">
        <v>177</v>
      </c>
      <c r="H5907">
        <v>0</v>
      </c>
      <c r="I5907">
        <v>1200</v>
      </c>
      <c r="J5907" s="10">
        <v>196</v>
      </c>
      <c r="K590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-291</v>
      </c>
      <c r="L5907">
        <v>0</v>
      </c>
      <c r="M590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7">
        <v>12.5</v>
      </c>
      <c r="O5907" s="23" t="s">
        <v>370</v>
      </c>
      <c r="P5907">
        <v>612.5</v>
      </c>
      <c r="Q5907" s="23" t="s">
        <v>181</v>
      </c>
    </row>
    <row r="5908" spans="1:17" x14ac:dyDescent="0.25">
      <c r="A5908" s="23" t="s">
        <v>1096</v>
      </c>
      <c r="B5908" s="23" t="s">
        <v>1053</v>
      </c>
      <c r="C5908" s="23" t="s">
        <v>176</v>
      </c>
      <c r="D5908" s="23" t="s">
        <v>659</v>
      </c>
      <c r="E5908" s="23" t="s">
        <v>660</v>
      </c>
      <c r="F5908">
        <v>1</v>
      </c>
      <c r="G5908" s="23" t="s">
        <v>177</v>
      </c>
      <c r="H5908">
        <v>1</v>
      </c>
      <c r="I5908">
        <v>0</v>
      </c>
      <c r="J5908" s="10">
        <v>65</v>
      </c>
      <c r="K590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-94</v>
      </c>
      <c r="L5908">
        <v>100</v>
      </c>
      <c r="M590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8">
        <v>115</v>
      </c>
      <c r="O5908" s="23" t="s">
        <v>242</v>
      </c>
      <c r="P5908">
        <v>115</v>
      </c>
      <c r="Q5908" s="23" t="s">
        <v>181</v>
      </c>
    </row>
    <row r="5909" spans="1:17" x14ac:dyDescent="0.25">
      <c r="A5909" s="23" t="s">
        <v>1094</v>
      </c>
      <c r="B5909" s="23" t="s">
        <v>1095</v>
      </c>
      <c r="C5909" s="23" t="s">
        <v>176</v>
      </c>
      <c r="D5909" s="23" t="s">
        <v>535</v>
      </c>
      <c r="E5909" s="23" t="s">
        <v>536</v>
      </c>
      <c r="F5909">
        <v>4</v>
      </c>
      <c r="G5909" s="23" t="s">
        <v>177</v>
      </c>
      <c r="H5909">
        <v>0</v>
      </c>
      <c r="I5909">
        <v>212</v>
      </c>
      <c r="J5909" s="10">
        <v>625</v>
      </c>
      <c r="K590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-146</v>
      </c>
      <c r="L5909">
        <v>0</v>
      </c>
      <c r="M590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09">
        <v>3.95</v>
      </c>
      <c r="O5909" s="23" t="s">
        <v>242</v>
      </c>
      <c r="P5909">
        <v>15.8</v>
      </c>
      <c r="Q5909" s="23" t="s">
        <v>181</v>
      </c>
    </row>
    <row r="5910" spans="1:17" x14ac:dyDescent="0.25">
      <c r="A5910" s="23" t="s">
        <v>1142</v>
      </c>
      <c r="B5910" s="23" t="s">
        <v>1054</v>
      </c>
      <c r="C5910" s="23" t="s">
        <v>176</v>
      </c>
      <c r="D5910" s="23" t="s">
        <v>472</v>
      </c>
      <c r="E5910" s="23" t="s">
        <v>473</v>
      </c>
      <c r="F5910">
        <v>4</v>
      </c>
      <c r="G5910" s="23" t="s">
        <v>177</v>
      </c>
      <c r="H5910">
        <v>0</v>
      </c>
      <c r="I5910">
        <v>200</v>
      </c>
      <c r="J5910" s="10">
        <v>343</v>
      </c>
      <c r="K591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910">
        <v>0</v>
      </c>
      <c r="M591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0">
        <v>9</v>
      </c>
      <c r="O5910" s="23" t="s">
        <v>242</v>
      </c>
      <c r="P5910">
        <v>36</v>
      </c>
      <c r="Q5910" s="23" t="s">
        <v>181</v>
      </c>
    </row>
    <row r="5911" spans="1:17" x14ac:dyDescent="0.25">
      <c r="A5911" s="23" t="s">
        <v>1098</v>
      </c>
      <c r="B5911" s="23" t="s">
        <v>1053</v>
      </c>
      <c r="C5911" s="23" t="s">
        <v>176</v>
      </c>
      <c r="D5911" s="23" t="s">
        <v>284</v>
      </c>
      <c r="E5911" s="23" t="s">
        <v>285</v>
      </c>
      <c r="F5911">
        <v>1.46</v>
      </c>
      <c r="G5911" s="23" t="s">
        <v>177</v>
      </c>
      <c r="H5911">
        <v>0</v>
      </c>
      <c r="I5911">
        <v>104</v>
      </c>
      <c r="J5911" s="10">
        <v>4.4408920985006262E-15</v>
      </c>
      <c r="K591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-81.349999999999994</v>
      </c>
      <c r="L5911">
        <v>0</v>
      </c>
      <c r="M591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1">
        <v>22</v>
      </c>
      <c r="O5911" s="23" t="s">
        <v>242</v>
      </c>
      <c r="P5911">
        <v>32.119999999999997</v>
      </c>
      <c r="Q5911" s="23" t="s">
        <v>181</v>
      </c>
    </row>
    <row r="5912" spans="1:17" x14ac:dyDescent="0.25">
      <c r="A5912" s="23" t="s">
        <v>1096</v>
      </c>
      <c r="B5912" s="23" t="s">
        <v>1053</v>
      </c>
      <c r="C5912" s="23" t="s">
        <v>198</v>
      </c>
      <c r="D5912" s="23" t="s">
        <v>497</v>
      </c>
      <c r="E5912" s="23" t="s">
        <v>498</v>
      </c>
      <c r="F5912">
        <v>1</v>
      </c>
      <c r="G5912" s="23" t="s">
        <v>177</v>
      </c>
      <c r="H5912">
        <v>1</v>
      </c>
      <c r="I5912">
        <v>3</v>
      </c>
      <c r="J5912" s="10">
        <v>8</v>
      </c>
      <c r="K591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10</v>
      </c>
      <c r="L5912">
        <v>0</v>
      </c>
      <c r="M591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12" s="23" t="s">
        <v>714</v>
      </c>
      <c r="Q5912" s="23" t="s">
        <v>761</v>
      </c>
    </row>
    <row r="5913" spans="1:17" x14ac:dyDescent="0.25">
      <c r="A5913" s="23" t="s">
        <v>1099</v>
      </c>
      <c r="B5913" s="23" t="s">
        <v>1056</v>
      </c>
      <c r="C5913" s="23" t="s">
        <v>176</v>
      </c>
      <c r="D5913" s="23" t="s">
        <v>208</v>
      </c>
      <c r="E5913" s="23" t="s">
        <v>283</v>
      </c>
      <c r="F5913">
        <v>2.5</v>
      </c>
      <c r="G5913" s="23" t="s">
        <v>177</v>
      </c>
      <c r="H5913">
        <v>2.5</v>
      </c>
      <c r="I5913">
        <v>62</v>
      </c>
      <c r="J5913" s="10">
        <v>0.26999999999997826</v>
      </c>
      <c r="K591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-15.030000000000001</v>
      </c>
      <c r="L5913">
        <v>0</v>
      </c>
      <c r="M591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3">
        <v>28</v>
      </c>
      <c r="O5913" s="23" t="s">
        <v>242</v>
      </c>
      <c r="P5913">
        <v>70</v>
      </c>
      <c r="Q5913" s="23" t="s">
        <v>181</v>
      </c>
    </row>
    <row r="5914" spans="1:17" x14ac:dyDescent="0.25">
      <c r="A5914" s="23" t="s">
        <v>1098</v>
      </c>
      <c r="B5914" s="23" t="s">
        <v>1053</v>
      </c>
      <c r="C5914" s="23" t="s">
        <v>176</v>
      </c>
      <c r="D5914" s="23" t="s">
        <v>777</v>
      </c>
      <c r="E5914" s="23" t="s">
        <v>778</v>
      </c>
      <c r="F5914">
        <v>1</v>
      </c>
      <c r="G5914" s="23" t="s">
        <v>177</v>
      </c>
      <c r="H5914">
        <v>0</v>
      </c>
      <c r="I5914">
        <v>7</v>
      </c>
      <c r="J5914" s="10">
        <v>6</v>
      </c>
      <c r="K591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</v>
      </c>
      <c r="L5914">
        <v>0</v>
      </c>
      <c r="M591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12288.25</v>
      </c>
      <c r="N5914">
        <v>2457.65</v>
      </c>
      <c r="O5914" s="23" t="s">
        <v>635</v>
      </c>
      <c r="P5914">
        <v>2457.65</v>
      </c>
      <c r="Q5914" s="23" t="s">
        <v>178</v>
      </c>
    </row>
    <row r="5915" spans="1:17" x14ac:dyDescent="0.25">
      <c r="A5915" s="23" t="s">
        <v>1057</v>
      </c>
      <c r="B5915" s="23" t="s">
        <v>1056</v>
      </c>
      <c r="C5915" s="23" t="s">
        <v>176</v>
      </c>
      <c r="D5915" s="23" t="s">
        <v>245</v>
      </c>
      <c r="E5915" s="23" t="s">
        <v>246</v>
      </c>
      <c r="F5915">
        <v>1</v>
      </c>
      <c r="G5915" s="23" t="s">
        <v>177</v>
      </c>
      <c r="H5915">
        <v>1</v>
      </c>
      <c r="I5915">
        <v>20</v>
      </c>
      <c r="J5915" s="10">
        <v>7</v>
      </c>
      <c r="K591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915">
        <v>0</v>
      </c>
      <c r="M591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5">
        <v>60</v>
      </c>
      <c r="O5915" s="23" t="s">
        <v>629</v>
      </c>
      <c r="P5915">
        <v>60</v>
      </c>
      <c r="Q5915" s="23" t="s">
        <v>181</v>
      </c>
    </row>
    <row r="5916" spans="1:17" x14ac:dyDescent="0.25">
      <c r="A5916" s="23" t="s">
        <v>1057</v>
      </c>
      <c r="B5916" s="23" t="s">
        <v>1056</v>
      </c>
      <c r="C5916" s="23" t="s">
        <v>176</v>
      </c>
      <c r="D5916" s="23" t="s">
        <v>48</v>
      </c>
      <c r="E5916" s="23" t="s">
        <v>49</v>
      </c>
      <c r="F5916">
        <v>4</v>
      </c>
      <c r="G5916" s="23" t="s">
        <v>177</v>
      </c>
      <c r="H5916">
        <v>4</v>
      </c>
      <c r="I5916">
        <v>24</v>
      </c>
      <c r="J5916" s="10">
        <v>27</v>
      </c>
      <c r="K591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16">
        <v>0</v>
      </c>
      <c r="M591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916">
        <v>42</v>
      </c>
      <c r="O5916" s="23" t="s">
        <v>247</v>
      </c>
      <c r="P5916">
        <v>168</v>
      </c>
      <c r="Q5916" s="23" t="s">
        <v>181</v>
      </c>
    </row>
    <row r="5917" spans="1:17" x14ac:dyDescent="0.25">
      <c r="A5917" s="23" t="s">
        <v>1057</v>
      </c>
      <c r="B5917" s="23" t="s">
        <v>1056</v>
      </c>
      <c r="C5917" s="23" t="s">
        <v>176</v>
      </c>
      <c r="D5917" s="23" t="s">
        <v>913</v>
      </c>
      <c r="E5917" s="23" t="s">
        <v>914</v>
      </c>
      <c r="F5917">
        <v>3</v>
      </c>
      <c r="G5917" s="23" t="s">
        <v>180</v>
      </c>
      <c r="H5917">
        <v>0</v>
      </c>
      <c r="I5917">
        <v>100</v>
      </c>
      <c r="J5917" s="10">
        <v>26</v>
      </c>
      <c r="K591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5917">
        <v>0</v>
      </c>
      <c r="M591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7">
        <v>49.1</v>
      </c>
      <c r="O5917" s="23" t="s">
        <v>827</v>
      </c>
      <c r="P5917">
        <v>147.30000000000001</v>
      </c>
      <c r="Q5917" s="23" t="s">
        <v>222</v>
      </c>
    </row>
    <row r="5918" spans="1:17" x14ac:dyDescent="0.25">
      <c r="A5918" s="23" t="s">
        <v>1055</v>
      </c>
      <c r="B5918" s="23" t="s">
        <v>1056</v>
      </c>
      <c r="C5918" s="23" t="s">
        <v>176</v>
      </c>
      <c r="D5918" s="23" t="s">
        <v>245</v>
      </c>
      <c r="E5918" s="23" t="s">
        <v>246</v>
      </c>
      <c r="F5918">
        <v>1</v>
      </c>
      <c r="G5918" s="23" t="s">
        <v>177</v>
      </c>
      <c r="H5918">
        <v>1</v>
      </c>
      <c r="I5918">
        <v>20</v>
      </c>
      <c r="J5918" s="10">
        <v>7</v>
      </c>
      <c r="K591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-10</v>
      </c>
      <c r="L5918">
        <v>0</v>
      </c>
      <c r="M591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8">
        <v>60</v>
      </c>
      <c r="O5918" s="23" t="s">
        <v>629</v>
      </c>
      <c r="P5918">
        <v>60</v>
      </c>
      <c r="Q5918" s="23" t="s">
        <v>181</v>
      </c>
    </row>
    <row r="5919" spans="1:17" x14ac:dyDescent="0.25">
      <c r="A5919" s="23" t="s">
        <v>1058</v>
      </c>
      <c r="B5919" s="23" t="s">
        <v>1059</v>
      </c>
      <c r="C5919" s="23" t="s">
        <v>176</v>
      </c>
      <c r="D5919" s="23" t="s">
        <v>814</v>
      </c>
      <c r="E5919" s="23" t="s">
        <v>815</v>
      </c>
      <c r="F5919">
        <v>1</v>
      </c>
      <c r="G5919" s="23" t="s">
        <v>177</v>
      </c>
      <c r="H5919">
        <v>1</v>
      </c>
      <c r="I5919">
        <v>7</v>
      </c>
      <c r="J5919" s="10">
        <v>4</v>
      </c>
      <c r="K591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-6</v>
      </c>
      <c r="L5919">
        <v>0</v>
      </c>
      <c r="M591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19">
        <v>460</v>
      </c>
      <c r="O5919" s="23" t="s">
        <v>697</v>
      </c>
      <c r="P5919">
        <v>460</v>
      </c>
      <c r="Q5919" s="23" t="s">
        <v>179</v>
      </c>
    </row>
    <row r="5920" spans="1:17" x14ac:dyDescent="0.25">
      <c r="A5920" s="23" t="s">
        <v>1099</v>
      </c>
      <c r="B5920" s="23" t="s">
        <v>1056</v>
      </c>
      <c r="C5920" s="23" t="s">
        <v>176</v>
      </c>
      <c r="D5920" s="23" t="s">
        <v>646</v>
      </c>
      <c r="E5920" s="23" t="s">
        <v>647</v>
      </c>
      <c r="F5920">
        <v>1</v>
      </c>
      <c r="G5920" s="23" t="s">
        <v>177</v>
      </c>
      <c r="H5920">
        <v>1</v>
      </c>
      <c r="I5920">
        <v>3</v>
      </c>
      <c r="J5920" s="10">
        <v>8</v>
      </c>
      <c r="K592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20">
        <v>0</v>
      </c>
      <c r="M592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920">
        <v>1820</v>
      </c>
      <c r="O5920" s="23" t="s">
        <v>264</v>
      </c>
      <c r="P5920">
        <v>1820</v>
      </c>
      <c r="Q5920" s="23" t="s">
        <v>642</v>
      </c>
    </row>
    <row r="5921" spans="1:17" x14ac:dyDescent="0.25">
      <c r="A5921" s="23" t="s">
        <v>1055</v>
      </c>
      <c r="B5921" s="23" t="s">
        <v>1056</v>
      </c>
      <c r="C5921" s="23" t="s">
        <v>176</v>
      </c>
      <c r="D5921" s="23" t="s">
        <v>646</v>
      </c>
      <c r="E5921" s="23" t="s">
        <v>647</v>
      </c>
      <c r="F5921">
        <v>1</v>
      </c>
      <c r="G5921" s="23" t="s">
        <v>177</v>
      </c>
      <c r="H5921">
        <v>1</v>
      </c>
      <c r="I5921">
        <v>3</v>
      </c>
      <c r="J5921" s="10">
        <v>8</v>
      </c>
      <c r="K592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21">
        <v>0</v>
      </c>
      <c r="M592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921">
        <v>1820</v>
      </c>
      <c r="O5921" s="23" t="s">
        <v>264</v>
      </c>
      <c r="P5921">
        <v>1820</v>
      </c>
      <c r="Q5921" s="23" t="s">
        <v>642</v>
      </c>
    </row>
    <row r="5922" spans="1:17" x14ac:dyDescent="0.25">
      <c r="A5922" s="23" t="s">
        <v>1058</v>
      </c>
      <c r="B5922" s="23" t="s">
        <v>1059</v>
      </c>
      <c r="C5922" s="23" t="s">
        <v>176</v>
      </c>
      <c r="D5922" s="23" t="s">
        <v>646</v>
      </c>
      <c r="E5922" s="23" t="s">
        <v>647</v>
      </c>
      <c r="F5922">
        <v>1</v>
      </c>
      <c r="G5922" s="23" t="s">
        <v>177</v>
      </c>
      <c r="H5922">
        <v>1</v>
      </c>
      <c r="I5922">
        <v>3</v>
      </c>
      <c r="J5922" s="10">
        <v>8</v>
      </c>
      <c r="K592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11</v>
      </c>
      <c r="L5922">
        <v>0</v>
      </c>
      <c r="M592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20020</v>
      </c>
      <c r="N5922">
        <v>1820</v>
      </c>
      <c r="O5922" s="23" t="s">
        <v>264</v>
      </c>
      <c r="P5922">
        <v>1820</v>
      </c>
      <c r="Q5922" s="23" t="s">
        <v>642</v>
      </c>
    </row>
    <row r="5923" spans="1:17" x14ac:dyDescent="0.25">
      <c r="A5923" s="23" t="s">
        <v>1055</v>
      </c>
      <c r="B5923" s="23" t="s">
        <v>1056</v>
      </c>
      <c r="C5923" s="23" t="s">
        <v>176</v>
      </c>
      <c r="D5923" s="23" t="s">
        <v>957</v>
      </c>
      <c r="E5923" s="23" t="s">
        <v>958</v>
      </c>
      <c r="F5923">
        <v>1</v>
      </c>
      <c r="G5923" s="23" t="s">
        <v>177</v>
      </c>
      <c r="H5923">
        <v>1</v>
      </c>
      <c r="I5923">
        <v>0</v>
      </c>
      <c r="J5923" s="10">
        <v>1</v>
      </c>
      <c r="K592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23">
        <v>2</v>
      </c>
      <c r="M592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11481.54</v>
      </c>
      <c r="N5923">
        <v>11481.54</v>
      </c>
      <c r="O5923" s="23" t="s">
        <v>228</v>
      </c>
      <c r="P5923">
        <v>11481.54</v>
      </c>
      <c r="Q5923" s="23" t="s">
        <v>222</v>
      </c>
    </row>
    <row r="5924" spans="1:17" x14ac:dyDescent="0.25">
      <c r="A5924" s="23" t="s">
        <v>1097</v>
      </c>
      <c r="B5924" s="23" t="s">
        <v>1095</v>
      </c>
      <c r="C5924" s="23" t="s">
        <v>176</v>
      </c>
      <c r="D5924" s="23" t="s">
        <v>566</v>
      </c>
      <c r="E5924" s="23" t="s">
        <v>567</v>
      </c>
      <c r="F5924">
        <v>2</v>
      </c>
      <c r="G5924" s="23" t="s">
        <v>177</v>
      </c>
      <c r="H5924">
        <v>0</v>
      </c>
      <c r="I5924">
        <v>26</v>
      </c>
      <c r="J5924" s="10">
        <v>46</v>
      </c>
      <c r="K592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924">
        <v>0</v>
      </c>
      <c r="M592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4">
        <v>12</v>
      </c>
      <c r="O5924" s="23" t="s">
        <v>227</v>
      </c>
      <c r="P5924">
        <v>24</v>
      </c>
      <c r="Q5924" s="23" t="s">
        <v>181</v>
      </c>
    </row>
    <row r="5925" spans="1:17" x14ac:dyDescent="0.25">
      <c r="A5925" s="23" t="s">
        <v>1096</v>
      </c>
      <c r="B5925" s="23" t="s">
        <v>1053</v>
      </c>
      <c r="C5925" s="23" t="s">
        <v>176</v>
      </c>
      <c r="D5925" s="23" t="s">
        <v>48</v>
      </c>
      <c r="E5925" s="23" t="s">
        <v>49</v>
      </c>
      <c r="F5925">
        <v>2</v>
      </c>
      <c r="G5925" s="23" t="s">
        <v>177</v>
      </c>
      <c r="H5925">
        <v>2</v>
      </c>
      <c r="I5925">
        <v>24</v>
      </c>
      <c r="J5925" s="10">
        <v>27</v>
      </c>
      <c r="K592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25">
        <v>0</v>
      </c>
      <c r="M592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925">
        <v>42</v>
      </c>
      <c r="O5925" s="23" t="s">
        <v>247</v>
      </c>
      <c r="P5925">
        <v>84</v>
      </c>
      <c r="Q5925" s="23" t="s">
        <v>181</v>
      </c>
    </row>
    <row r="5926" spans="1:17" x14ac:dyDescent="0.25">
      <c r="A5926" s="23" t="s">
        <v>1146</v>
      </c>
      <c r="B5926" s="23" t="s">
        <v>1145</v>
      </c>
      <c r="C5926" s="23" t="s">
        <v>176</v>
      </c>
      <c r="D5926" s="23" t="s">
        <v>411</v>
      </c>
      <c r="E5926" s="23" t="s">
        <v>412</v>
      </c>
      <c r="F5926">
        <v>0.01</v>
      </c>
      <c r="G5926" s="23" t="s">
        <v>413</v>
      </c>
      <c r="H5926">
        <v>0</v>
      </c>
      <c r="I5926">
        <v>150</v>
      </c>
      <c r="J5926" s="10">
        <v>0</v>
      </c>
      <c r="K592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5926">
        <v>0</v>
      </c>
      <c r="M592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6">
        <v>1.8</v>
      </c>
      <c r="O5926" s="23" t="s">
        <v>221</v>
      </c>
      <c r="P5926">
        <v>1.8000000000000002E-2</v>
      </c>
      <c r="Q5926" s="23" t="s">
        <v>181</v>
      </c>
    </row>
    <row r="5927" spans="1:17" x14ac:dyDescent="0.25">
      <c r="A5927" s="23" t="s">
        <v>1058</v>
      </c>
      <c r="B5927" s="23" t="s">
        <v>1059</v>
      </c>
      <c r="C5927" s="23" t="s">
        <v>176</v>
      </c>
      <c r="D5927" s="23" t="s">
        <v>48</v>
      </c>
      <c r="E5927" s="23" t="s">
        <v>49</v>
      </c>
      <c r="F5927">
        <v>2</v>
      </c>
      <c r="G5927" s="23" t="s">
        <v>177</v>
      </c>
      <c r="H5927">
        <v>2</v>
      </c>
      <c r="I5927">
        <v>24</v>
      </c>
      <c r="J5927" s="10">
        <v>27</v>
      </c>
      <c r="K592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</v>
      </c>
      <c r="L5927">
        <v>0</v>
      </c>
      <c r="M592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42</v>
      </c>
      <c r="N5927">
        <v>42</v>
      </c>
      <c r="O5927" s="23" t="s">
        <v>247</v>
      </c>
      <c r="P5927">
        <v>84</v>
      </c>
      <c r="Q5927" s="23" t="s">
        <v>181</v>
      </c>
    </row>
    <row r="5928" spans="1:17" x14ac:dyDescent="0.25">
      <c r="A5928" s="23" t="s">
        <v>1058</v>
      </c>
      <c r="B5928" s="23" t="s">
        <v>1059</v>
      </c>
      <c r="C5928" s="23" t="s">
        <v>176</v>
      </c>
      <c r="D5928" s="23" t="s">
        <v>941</v>
      </c>
      <c r="E5928" s="23" t="s">
        <v>942</v>
      </c>
      <c r="F5928">
        <v>1</v>
      </c>
      <c r="G5928" s="23" t="s">
        <v>177</v>
      </c>
      <c r="H5928">
        <v>1</v>
      </c>
      <c r="I5928">
        <v>2</v>
      </c>
      <c r="J5928" s="10">
        <v>1</v>
      </c>
      <c r="K592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28">
        <v>0</v>
      </c>
      <c r="M592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19880.7</v>
      </c>
      <c r="N5928">
        <v>9940.35</v>
      </c>
      <c r="O5928" s="23" t="s">
        <v>1052</v>
      </c>
      <c r="P5928">
        <v>9940.35</v>
      </c>
      <c r="Q5928" s="23" t="s">
        <v>222</v>
      </c>
    </row>
    <row r="5929" spans="1:17" x14ac:dyDescent="0.25">
      <c r="A5929" s="23" t="s">
        <v>1099</v>
      </c>
      <c r="B5929" s="23" t="s">
        <v>1056</v>
      </c>
      <c r="C5929" s="23" t="s">
        <v>176</v>
      </c>
      <c r="D5929" s="23" t="s">
        <v>773</v>
      </c>
      <c r="E5929" s="23" t="s">
        <v>774</v>
      </c>
      <c r="F5929">
        <v>4</v>
      </c>
      <c r="G5929" s="23" t="s">
        <v>177</v>
      </c>
      <c r="H5929">
        <v>4</v>
      </c>
      <c r="I5929">
        <v>64.5</v>
      </c>
      <c r="J5929" s="10">
        <v>20</v>
      </c>
      <c r="K592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929">
        <v>0</v>
      </c>
      <c r="M592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29">
        <v>200</v>
      </c>
      <c r="O5929" s="23" t="s">
        <v>249</v>
      </c>
      <c r="P5929">
        <v>800</v>
      </c>
      <c r="Q5929" s="23" t="s">
        <v>178</v>
      </c>
    </row>
    <row r="5930" spans="1:17" x14ac:dyDescent="0.25">
      <c r="A5930" s="23" t="s">
        <v>1096</v>
      </c>
      <c r="B5930" s="23" t="s">
        <v>1053</v>
      </c>
      <c r="C5930" s="23" t="s">
        <v>176</v>
      </c>
      <c r="D5930" s="23" t="s">
        <v>600</v>
      </c>
      <c r="E5930" s="23" t="s">
        <v>601</v>
      </c>
      <c r="F5930">
        <v>2</v>
      </c>
      <c r="G5930" s="23" t="s">
        <v>177</v>
      </c>
      <c r="H5930">
        <v>2</v>
      </c>
      <c r="I5930">
        <v>45</v>
      </c>
      <c r="J5930" s="10">
        <v>6</v>
      </c>
      <c r="K593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</v>
      </c>
      <c r="L5930">
        <v>0</v>
      </c>
      <c r="M593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0">
        <v>313.76</v>
      </c>
      <c r="O5930" s="23" t="s">
        <v>637</v>
      </c>
      <c r="P5930">
        <v>627.52</v>
      </c>
      <c r="Q5930" s="23" t="s">
        <v>178</v>
      </c>
    </row>
    <row r="5931" spans="1:17" x14ac:dyDescent="0.25">
      <c r="A5931" s="23" t="s">
        <v>1096</v>
      </c>
      <c r="B5931" s="23" t="s">
        <v>1053</v>
      </c>
      <c r="C5931" s="23" t="s">
        <v>176</v>
      </c>
      <c r="D5931" s="23" t="s">
        <v>322</v>
      </c>
      <c r="E5931" s="23" t="s">
        <v>323</v>
      </c>
      <c r="F5931">
        <v>4.3499999999999996</v>
      </c>
      <c r="G5931" s="23" t="s">
        <v>177</v>
      </c>
      <c r="H5931">
        <v>4.3499999999999996</v>
      </c>
      <c r="I5931">
        <v>84</v>
      </c>
      <c r="J5931" s="10">
        <v>195.90000000000006</v>
      </c>
      <c r="K593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-24.600000000000037</v>
      </c>
      <c r="L5931">
        <v>0</v>
      </c>
      <c r="M593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1">
        <v>29</v>
      </c>
      <c r="O5931" s="23" t="s">
        <v>242</v>
      </c>
      <c r="P5931">
        <v>126.14999999999999</v>
      </c>
      <c r="Q5931" s="23" t="s">
        <v>181</v>
      </c>
    </row>
    <row r="5932" spans="1:17" x14ac:dyDescent="0.25">
      <c r="A5932" s="23" t="s">
        <v>1062</v>
      </c>
      <c r="B5932" s="23" t="s">
        <v>1053</v>
      </c>
      <c r="C5932" s="23" t="s">
        <v>176</v>
      </c>
      <c r="D5932" s="23" t="s">
        <v>104</v>
      </c>
      <c r="E5932" s="23" t="s">
        <v>290</v>
      </c>
      <c r="F5932">
        <v>6.8</v>
      </c>
      <c r="G5932" s="23" t="s">
        <v>177</v>
      </c>
      <c r="H5932">
        <v>0</v>
      </c>
      <c r="I5932">
        <v>87</v>
      </c>
      <c r="J5932" s="10">
        <v>50.899999999999949</v>
      </c>
      <c r="K593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-42.900000000000006</v>
      </c>
      <c r="L5932">
        <v>0</v>
      </c>
      <c r="M593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2">
        <v>122.09</v>
      </c>
      <c r="O5932" s="23" t="s">
        <v>252</v>
      </c>
      <c r="P5932">
        <v>830.21199999999999</v>
      </c>
      <c r="Q5932" s="23" t="s">
        <v>181</v>
      </c>
    </row>
    <row r="5933" spans="1:17" x14ac:dyDescent="0.25">
      <c r="A5933" s="23" t="s">
        <v>1100</v>
      </c>
      <c r="B5933" s="23" t="s">
        <v>1101</v>
      </c>
      <c r="C5933" s="23" t="s">
        <v>176</v>
      </c>
      <c r="D5933" s="23" t="s">
        <v>205</v>
      </c>
      <c r="E5933" s="23" t="s">
        <v>206</v>
      </c>
      <c r="F5933">
        <v>1</v>
      </c>
      <c r="G5933" s="23" t="s">
        <v>177</v>
      </c>
      <c r="H5933">
        <v>0</v>
      </c>
      <c r="I5933">
        <v>100</v>
      </c>
      <c r="J5933" s="10">
        <v>41</v>
      </c>
      <c r="K593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-89.5</v>
      </c>
      <c r="L5933">
        <v>0</v>
      </c>
      <c r="M593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3">
        <v>60</v>
      </c>
      <c r="O5933" s="23" t="s">
        <v>221</v>
      </c>
      <c r="P5933">
        <v>60</v>
      </c>
      <c r="Q5933" s="23" t="s">
        <v>181</v>
      </c>
    </row>
    <row r="5934" spans="1:17" x14ac:dyDescent="0.25">
      <c r="A5934" s="23" t="s">
        <v>1058</v>
      </c>
      <c r="B5934" s="23" t="s">
        <v>1059</v>
      </c>
      <c r="C5934" s="23" t="s">
        <v>176</v>
      </c>
      <c r="D5934" s="23" t="s">
        <v>7</v>
      </c>
      <c r="E5934" s="23" t="s">
        <v>8</v>
      </c>
      <c r="F5934">
        <v>1</v>
      </c>
      <c r="G5934" s="23" t="s">
        <v>177</v>
      </c>
      <c r="H5934">
        <v>1</v>
      </c>
      <c r="I5934">
        <v>3</v>
      </c>
      <c r="J5934" s="10">
        <v>7</v>
      </c>
      <c r="K593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34">
        <v>3</v>
      </c>
      <c r="M593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4955.04</v>
      </c>
      <c r="N5934">
        <v>2477.52</v>
      </c>
      <c r="O5934" s="23" t="s">
        <v>228</v>
      </c>
      <c r="P5934">
        <v>2477.52</v>
      </c>
      <c r="Q5934" s="23" t="s">
        <v>222</v>
      </c>
    </row>
    <row r="5935" spans="1:17" x14ac:dyDescent="0.25">
      <c r="A5935" s="23" t="s">
        <v>1058</v>
      </c>
      <c r="B5935" s="23" t="s">
        <v>1059</v>
      </c>
      <c r="C5935" s="23" t="s">
        <v>176</v>
      </c>
      <c r="D5935" s="23" t="s">
        <v>99</v>
      </c>
      <c r="E5935" s="23" t="s">
        <v>250</v>
      </c>
      <c r="F5935">
        <v>7</v>
      </c>
      <c r="G5935" s="23" t="s">
        <v>177</v>
      </c>
      <c r="H5935">
        <v>7</v>
      </c>
      <c r="I5935">
        <v>230</v>
      </c>
      <c r="J5935" s="10">
        <v>72</v>
      </c>
      <c r="K593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-172</v>
      </c>
      <c r="L5935">
        <v>0</v>
      </c>
      <c r="M593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5">
        <v>225</v>
      </c>
      <c r="O5935" s="23" t="s">
        <v>826</v>
      </c>
      <c r="P5935">
        <v>1575</v>
      </c>
      <c r="Q5935" s="23" t="s">
        <v>178</v>
      </c>
    </row>
    <row r="5936" spans="1:17" x14ac:dyDescent="0.25">
      <c r="A5936" s="23" t="s">
        <v>1058</v>
      </c>
      <c r="B5936" s="23" t="s">
        <v>1059</v>
      </c>
      <c r="C5936" s="23" t="s">
        <v>176</v>
      </c>
      <c r="D5936" s="23" t="s">
        <v>594</v>
      </c>
      <c r="E5936" s="23" t="s">
        <v>595</v>
      </c>
      <c r="F5936">
        <v>4</v>
      </c>
      <c r="G5936" s="23" t="s">
        <v>177</v>
      </c>
      <c r="H5936">
        <v>4</v>
      </c>
      <c r="I5936">
        <v>46</v>
      </c>
      <c r="J5936" s="10">
        <v>12</v>
      </c>
      <c r="K593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</v>
      </c>
      <c r="L5936">
        <v>0</v>
      </c>
      <c r="M593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6">
        <v>100</v>
      </c>
      <c r="O5936" s="23" t="s">
        <v>1032</v>
      </c>
      <c r="P5936">
        <v>400</v>
      </c>
      <c r="Q5936" s="23" t="s">
        <v>178</v>
      </c>
    </row>
    <row r="5937" spans="1:17" x14ac:dyDescent="0.25">
      <c r="A5937" s="23" t="s">
        <v>1142</v>
      </c>
      <c r="B5937" s="23" t="s">
        <v>1054</v>
      </c>
      <c r="C5937" s="23" t="s">
        <v>176</v>
      </c>
      <c r="D5937" s="23" t="s">
        <v>207</v>
      </c>
      <c r="E5937" s="23" t="s">
        <v>282</v>
      </c>
      <c r="F5937">
        <v>0.5099999999999999</v>
      </c>
      <c r="G5937" s="23" t="s">
        <v>177</v>
      </c>
      <c r="H5937">
        <v>0</v>
      </c>
      <c r="I5937">
        <v>20</v>
      </c>
      <c r="J5937" s="10">
        <v>116.66400000000021</v>
      </c>
      <c r="K593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-11.159999999999998</v>
      </c>
      <c r="L5937">
        <v>0</v>
      </c>
      <c r="M593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7">
        <v>185</v>
      </c>
      <c r="O5937" s="23" t="s">
        <v>242</v>
      </c>
      <c r="P5937">
        <v>94.34999999999998</v>
      </c>
      <c r="Q5937" s="23" t="s">
        <v>181</v>
      </c>
    </row>
    <row r="5938" spans="1:17" x14ac:dyDescent="0.25">
      <c r="A5938" s="23" t="s">
        <v>1058</v>
      </c>
      <c r="B5938" s="23" t="s">
        <v>1059</v>
      </c>
      <c r="C5938" s="23" t="s">
        <v>176</v>
      </c>
      <c r="D5938" s="23" t="s">
        <v>841</v>
      </c>
      <c r="E5938" s="23" t="s">
        <v>842</v>
      </c>
      <c r="F5938">
        <v>9</v>
      </c>
      <c r="G5938" s="23" t="s">
        <v>180</v>
      </c>
      <c r="H5938">
        <v>0</v>
      </c>
      <c r="I5938">
        <v>0</v>
      </c>
      <c r="J5938" s="10">
        <v>165</v>
      </c>
      <c r="K593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-289</v>
      </c>
      <c r="L5938">
        <v>400</v>
      </c>
      <c r="M593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8">
        <v>5</v>
      </c>
      <c r="O5938" s="23" t="s">
        <v>225</v>
      </c>
      <c r="P5938">
        <v>45</v>
      </c>
      <c r="Q5938" s="23" t="s">
        <v>181</v>
      </c>
    </row>
    <row r="5939" spans="1:17" x14ac:dyDescent="0.25">
      <c r="A5939" s="23" t="s">
        <v>1058</v>
      </c>
      <c r="B5939" s="23" t="s">
        <v>1059</v>
      </c>
      <c r="C5939" s="23" t="s">
        <v>176</v>
      </c>
      <c r="D5939" s="23" t="s">
        <v>474</v>
      </c>
      <c r="E5939" s="23" t="s">
        <v>475</v>
      </c>
      <c r="F5939">
        <v>30</v>
      </c>
      <c r="G5939" s="23" t="s">
        <v>177</v>
      </c>
      <c r="H5939">
        <v>30</v>
      </c>
      <c r="I5939">
        <v>880</v>
      </c>
      <c r="J5939" s="10">
        <v>414</v>
      </c>
      <c r="K593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-82</v>
      </c>
      <c r="L5939">
        <v>0</v>
      </c>
      <c r="M593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39">
        <v>2.1</v>
      </c>
      <c r="O5939" s="23" t="s">
        <v>242</v>
      </c>
      <c r="P5939">
        <v>63</v>
      </c>
      <c r="Q5939" s="23" t="s">
        <v>181</v>
      </c>
    </row>
    <row r="5940" spans="1:17" x14ac:dyDescent="0.25">
      <c r="A5940" s="23" t="s">
        <v>1058</v>
      </c>
      <c r="B5940" s="23" t="s">
        <v>1059</v>
      </c>
      <c r="C5940" s="23" t="s">
        <v>176</v>
      </c>
      <c r="D5940" s="23" t="s">
        <v>411</v>
      </c>
      <c r="E5940" s="23" t="s">
        <v>412</v>
      </c>
      <c r="F5940">
        <v>0.01</v>
      </c>
      <c r="G5940" s="23" t="s">
        <v>413</v>
      </c>
      <c r="H5940">
        <v>0</v>
      </c>
      <c r="I5940">
        <v>150</v>
      </c>
      <c r="J5940" s="10">
        <v>0</v>
      </c>
      <c r="K594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-149.76499999999999</v>
      </c>
      <c r="L5940">
        <v>0</v>
      </c>
      <c r="M594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0">
        <v>1.8</v>
      </c>
      <c r="O5940" s="23" t="s">
        <v>221</v>
      </c>
      <c r="P5940">
        <v>1.8000000000000002E-2</v>
      </c>
      <c r="Q5940" s="23" t="s">
        <v>181</v>
      </c>
    </row>
    <row r="5941" spans="1:17" x14ac:dyDescent="0.25">
      <c r="A5941" s="23" t="s">
        <v>1058</v>
      </c>
      <c r="B5941" s="23" t="s">
        <v>1059</v>
      </c>
      <c r="C5941" s="23" t="s">
        <v>176</v>
      </c>
      <c r="D5941" s="23" t="s">
        <v>915</v>
      </c>
      <c r="E5941" s="23" t="s">
        <v>916</v>
      </c>
      <c r="F5941">
        <v>3</v>
      </c>
      <c r="G5941" s="23" t="s">
        <v>180</v>
      </c>
      <c r="H5941">
        <v>0</v>
      </c>
      <c r="I5941">
        <v>100</v>
      </c>
      <c r="J5941" s="10">
        <v>26</v>
      </c>
      <c r="K594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-85</v>
      </c>
      <c r="L5941">
        <v>0</v>
      </c>
      <c r="M594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1">
        <v>49.1</v>
      </c>
      <c r="O5941" s="23" t="s">
        <v>827</v>
      </c>
      <c r="P5941">
        <v>147.30000000000001</v>
      </c>
      <c r="Q5941" s="23" t="s">
        <v>222</v>
      </c>
    </row>
    <row r="5942" spans="1:17" x14ac:dyDescent="0.25">
      <c r="A5942" s="23" t="s">
        <v>1096</v>
      </c>
      <c r="B5942" s="23" t="s">
        <v>1053</v>
      </c>
      <c r="C5942" s="23" t="s">
        <v>176</v>
      </c>
      <c r="D5942" s="23" t="s">
        <v>773</v>
      </c>
      <c r="E5942" s="23" t="s">
        <v>774</v>
      </c>
      <c r="F5942">
        <v>2</v>
      </c>
      <c r="G5942" s="23" t="s">
        <v>177</v>
      </c>
      <c r="H5942">
        <v>2</v>
      </c>
      <c r="I5942">
        <v>64.5</v>
      </c>
      <c r="J5942" s="10">
        <v>20</v>
      </c>
      <c r="K594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-14.5</v>
      </c>
      <c r="L5942">
        <v>0</v>
      </c>
      <c r="M594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2">
        <v>200</v>
      </c>
      <c r="O5942" s="23" t="s">
        <v>249</v>
      </c>
      <c r="P5942">
        <v>400</v>
      </c>
      <c r="Q5942" s="23" t="s">
        <v>178</v>
      </c>
    </row>
    <row r="5943" spans="1:17" x14ac:dyDescent="0.25">
      <c r="A5943" s="23" t="s">
        <v>1058</v>
      </c>
      <c r="B5943" s="23" t="s">
        <v>1059</v>
      </c>
      <c r="C5943" s="23" t="s">
        <v>176</v>
      </c>
      <c r="D5943" s="23" t="s">
        <v>551</v>
      </c>
      <c r="E5943" s="23" t="s">
        <v>552</v>
      </c>
      <c r="F5943">
        <v>2</v>
      </c>
      <c r="G5943" s="23" t="s">
        <v>177</v>
      </c>
      <c r="H5943">
        <v>2</v>
      </c>
      <c r="I5943">
        <v>35</v>
      </c>
      <c r="J5943" s="10">
        <v>14</v>
      </c>
      <c r="K594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-26</v>
      </c>
      <c r="L5943">
        <v>15</v>
      </c>
      <c r="M594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3">
        <v>43.75</v>
      </c>
      <c r="O5943" s="23" t="s">
        <v>491</v>
      </c>
      <c r="P5943">
        <v>87.5</v>
      </c>
      <c r="Q5943" s="23" t="s">
        <v>181</v>
      </c>
    </row>
    <row r="5944" spans="1:17" x14ac:dyDescent="0.25">
      <c r="A5944" s="23" t="s">
        <v>1058</v>
      </c>
      <c r="B5944" s="23" t="s">
        <v>1059</v>
      </c>
      <c r="C5944" s="23" t="s">
        <v>176</v>
      </c>
      <c r="D5944" s="23" t="s">
        <v>102</v>
      </c>
      <c r="E5944" s="23" t="s">
        <v>103</v>
      </c>
      <c r="F5944">
        <v>4</v>
      </c>
      <c r="G5944" s="23" t="s">
        <v>186</v>
      </c>
      <c r="H5944">
        <v>4</v>
      </c>
      <c r="I5944">
        <v>66</v>
      </c>
      <c r="J5944" s="10">
        <v>36.350000000000151</v>
      </c>
      <c r="K594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5944">
        <v>0</v>
      </c>
      <c r="M594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4">
        <v>129.63</v>
      </c>
      <c r="O5944" s="23" t="s">
        <v>242</v>
      </c>
      <c r="P5944">
        <v>518.52</v>
      </c>
      <c r="Q5944" s="23" t="s">
        <v>184</v>
      </c>
    </row>
    <row r="5945" spans="1:17" x14ac:dyDescent="0.25">
      <c r="A5945" s="23" t="s">
        <v>1099</v>
      </c>
      <c r="B5945" s="23" t="s">
        <v>1056</v>
      </c>
      <c r="C5945" s="23" t="s">
        <v>198</v>
      </c>
      <c r="D5945" s="23" t="s">
        <v>499</v>
      </c>
      <c r="E5945" s="23" t="s">
        <v>500</v>
      </c>
      <c r="F5945">
        <v>1</v>
      </c>
      <c r="G5945" s="23" t="s">
        <v>177</v>
      </c>
      <c r="H5945">
        <v>1</v>
      </c>
      <c r="I5945">
        <v>11</v>
      </c>
      <c r="J5945" s="10">
        <v>8</v>
      </c>
      <c r="K594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45">
        <v>0</v>
      </c>
      <c r="M594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45" s="23" t="s">
        <v>714</v>
      </c>
      <c r="Q5945" s="23" t="s">
        <v>761</v>
      </c>
    </row>
    <row r="5946" spans="1:17" x14ac:dyDescent="0.25">
      <c r="A5946" s="23" t="s">
        <v>1094</v>
      </c>
      <c r="B5946" s="23" t="s">
        <v>1095</v>
      </c>
      <c r="C5946" s="23" t="s">
        <v>198</v>
      </c>
      <c r="D5946" s="23" t="s">
        <v>499</v>
      </c>
      <c r="E5946" s="23" t="s">
        <v>500</v>
      </c>
      <c r="F5946">
        <v>1</v>
      </c>
      <c r="G5946" s="23" t="s">
        <v>177</v>
      </c>
      <c r="H5946">
        <v>0</v>
      </c>
      <c r="I5946">
        <v>11</v>
      </c>
      <c r="J5946" s="10">
        <v>8</v>
      </c>
      <c r="K594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46">
        <v>0</v>
      </c>
      <c r="M594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O5946" s="23" t="s">
        <v>714</v>
      </c>
      <c r="Q5946" s="23" t="s">
        <v>761</v>
      </c>
    </row>
    <row r="5947" spans="1:17" x14ac:dyDescent="0.25">
      <c r="A5947" s="23" t="s">
        <v>1096</v>
      </c>
      <c r="B5947" s="23" t="s">
        <v>1053</v>
      </c>
      <c r="C5947" s="23" t="s">
        <v>176</v>
      </c>
      <c r="D5947" s="23" t="s">
        <v>880</v>
      </c>
      <c r="E5947" s="23" t="s">
        <v>881</v>
      </c>
      <c r="F5947">
        <v>1</v>
      </c>
      <c r="G5947" s="23" t="s">
        <v>177</v>
      </c>
      <c r="H5947">
        <v>1</v>
      </c>
      <c r="I5947">
        <v>10</v>
      </c>
      <c r="J5947" s="10">
        <v>7</v>
      </c>
      <c r="K594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947">
        <v>15</v>
      </c>
      <c r="M594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7">
        <v>776.15</v>
      </c>
      <c r="O5947" s="23" t="s">
        <v>882</v>
      </c>
      <c r="P5947">
        <v>776.15</v>
      </c>
      <c r="Q5947" s="23" t="s">
        <v>222</v>
      </c>
    </row>
    <row r="5948" spans="1:17" x14ac:dyDescent="0.25">
      <c r="A5948" s="23" t="s">
        <v>1062</v>
      </c>
      <c r="B5948" s="23" t="s">
        <v>1053</v>
      </c>
      <c r="C5948" s="23" t="s">
        <v>176</v>
      </c>
      <c r="D5948" s="23" t="s">
        <v>102</v>
      </c>
      <c r="E5948" s="23" t="s">
        <v>103</v>
      </c>
      <c r="F5948">
        <v>3.4400000000000004</v>
      </c>
      <c r="G5948" s="23" t="s">
        <v>186</v>
      </c>
      <c r="H5948">
        <v>3.4400000000000004</v>
      </c>
      <c r="I5948">
        <v>66</v>
      </c>
      <c r="J5948" s="10">
        <v>36.350000000000151</v>
      </c>
      <c r="K594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5948">
        <v>0</v>
      </c>
      <c r="M594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48">
        <v>129.63</v>
      </c>
      <c r="O5948" s="23" t="s">
        <v>242</v>
      </c>
      <c r="P5948">
        <v>445.92720000000003</v>
      </c>
      <c r="Q5948" s="23" t="s">
        <v>184</v>
      </c>
    </row>
    <row r="5949" spans="1:17" x14ac:dyDescent="0.25">
      <c r="A5949" s="23" t="s">
        <v>1062</v>
      </c>
      <c r="B5949" s="23" t="s">
        <v>1053</v>
      </c>
      <c r="C5949" s="23" t="s">
        <v>176</v>
      </c>
      <c r="D5949" s="23" t="s">
        <v>780</v>
      </c>
      <c r="E5949" s="23" t="s">
        <v>781</v>
      </c>
      <c r="F5949">
        <v>2</v>
      </c>
      <c r="G5949" s="23" t="s">
        <v>177</v>
      </c>
      <c r="H5949">
        <v>2</v>
      </c>
      <c r="I5949">
        <v>3</v>
      </c>
      <c r="J5949" s="10">
        <v>12</v>
      </c>
      <c r="K594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25</v>
      </c>
      <c r="L5949">
        <v>0</v>
      </c>
      <c r="M594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11103.25</v>
      </c>
      <c r="N5949">
        <v>444.13</v>
      </c>
      <c r="O5949" s="23" t="s">
        <v>590</v>
      </c>
      <c r="P5949">
        <v>888.26</v>
      </c>
      <c r="Q5949" s="23" t="s">
        <v>178</v>
      </c>
    </row>
    <row r="5950" spans="1:17" x14ac:dyDescent="0.25">
      <c r="A5950" s="23" t="s">
        <v>1062</v>
      </c>
      <c r="B5950" s="23" t="s">
        <v>1053</v>
      </c>
      <c r="C5950" s="23" t="s">
        <v>176</v>
      </c>
      <c r="D5950" s="23" t="s">
        <v>341</v>
      </c>
      <c r="E5950" s="23" t="s">
        <v>342</v>
      </c>
      <c r="F5950">
        <v>2.4300000000000002</v>
      </c>
      <c r="G5950" s="23" t="s">
        <v>177</v>
      </c>
      <c r="H5950">
        <v>2.4300000000000002</v>
      </c>
      <c r="I5950">
        <v>75</v>
      </c>
      <c r="J5950" s="10">
        <v>42.700000000000159</v>
      </c>
      <c r="K595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5950">
        <v>0</v>
      </c>
      <c r="M595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0">
        <v>15</v>
      </c>
      <c r="O5950" s="23" t="s">
        <v>242</v>
      </c>
      <c r="P5950">
        <v>36.450000000000003</v>
      </c>
      <c r="Q5950" s="23" t="s">
        <v>181</v>
      </c>
    </row>
    <row r="5951" spans="1:17" x14ac:dyDescent="0.25">
      <c r="A5951" s="23" t="s">
        <v>1096</v>
      </c>
      <c r="B5951" s="23" t="s">
        <v>1053</v>
      </c>
      <c r="C5951" s="23" t="s">
        <v>176</v>
      </c>
      <c r="D5951" s="23" t="s">
        <v>341</v>
      </c>
      <c r="E5951" s="23" t="s">
        <v>342</v>
      </c>
      <c r="F5951">
        <v>2.4300000000000002</v>
      </c>
      <c r="G5951" s="23" t="s">
        <v>177</v>
      </c>
      <c r="H5951">
        <v>2.4300000000000002</v>
      </c>
      <c r="I5951">
        <v>75</v>
      </c>
      <c r="J5951" s="10">
        <v>42.700000000000159</v>
      </c>
      <c r="K595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5951">
        <v>0</v>
      </c>
      <c r="M595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1">
        <v>15</v>
      </c>
      <c r="O5951" s="23" t="s">
        <v>242</v>
      </c>
      <c r="P5951">
        <v>36.450000000000003</v>
      </c>
      <c r="Q5951" s="23" t="s">
        <v>181</v>
      </c>
    </row>
    <row r="5952" spans="1:17" x14ac:dyDescent="0.25">
      <c r="A5952" s="23" t="s">
        <v>1100</v>
      </c>
      <c r="B5952" s="23" t="s">
        <v>1101</v>
      </c>
      <c r="C5952" s="23" t="s">
        <v>176</v>
      </c>
      <c r="D5952" s="23" t="s">
        <v>100</v>
      </c>
      <c r="E5952" s="23" t="s">
        <v>101</v>
      </c>
      <c r="F5952">
        <v>32.81</v>
      </c>
      <c r="G5952" s="23" t="s">
        <v>186</v>
      </c>
      <c r="H5952">
        <v>32.81</v>
      </c>
      <c r="I5952">
        <v>289.7</v>
      </c>
      <c r="J5952" s="10">
        <v>148.12000000000032</v>
      </c>
      <c r="K595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5952">
        <v>289.7</v>
      </c>
      <c r="M595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2">
        <v>96.37</v>
      </c>
      <c r="O5952" s="23" t="s">
        <v>491</v>
      </c>
      <c r="P5952">
        <v>3161.8997000000004</v>
      </c>
      <c r="Q5952" s="23" t="s">
        <v>184</v>
      </c>
    </row>
    <row r="5953" spans="1:17" x14ac:dyDescent="0.25">
      <c r="A5953" s="23" t="s">
        <v>1096</v>
      </c>
      <c r="B5953" s="23" t="s">
        <v>1053</v>
      </c>
      <c r="C5953" s="23" t="s">
        <v>176</v>
      </c>
      <c r="D5953" s="23" t="s">
        <v>100</v>
      </c>
      <c r="E5953" s="23" t="s">
        <v>101</v>
      </c>
      <c r="F5953">
        <v>36.03</v>
      </c>
      <c r="G5953" s="23" t="s">
        <v>186</v>
      </c>
      <c r="H5953">
        <v>36.03</v>
      </c>
      <c r="I5953">
        <v>289.7</v>
      </c>
      <c r="J5953" s="10">
        <v>148.12000000000032</v>
      </c>
      <c r="K595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5953">
        <v>289.7</v>
      </c>
      <c r="M595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3">
        <v>96.37</v>
      </c>
      <c r="O5953" s="23" t="s">
        <v>491</v>
      </c>
      <c r="P5953">
        <v>3472.2111000000004</v>
      </c>
      <c r="Q5953" s="23" t="s">
        <v>184</v>
      </c>
    </row>
    <row r="5954" spans="1:17" x14ac:dyDescent="0.25">
      <c r="A5954" s="23" t="s">
        <v>1062</v>
      </c>
      <c r="B5954" s="23" t="s">
        <v>1053</v>
      </c>
      <c r="C5954" s="23" t="s">
        <v>176</v>
      </c>
      <c r="D5954" s="23" t="s">
        <v>880</v>
      </c>
      <c r="E5954" s="23" t="s">
        <v>881</v>
      </c>
      <c r="F5954">
        <v>1</v>
      </c>
      <c r="G5954" s="23" t="s">
        <v>177</v>
      </c>
      <c r="H5954">
        <v>1</v>
      </c>
      <c r="I5954">
        <v>10</v>
      </c>
      <c r="J5954" s="10">
        <v>7</v>
      </c>
      <c r="K595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-12</v>
      </c>
      <c r="L5954">
        <v>15</v>
      </c>
      <c r="M595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4">
        <v>776.15</v>
      </c>
      <c r="O5954" s="23" t="s">
        <v>882</v>
      </c>
      <c r="P5954">
        <v>776.15</v>
      </c>
      <c r="Q5954" s="23" t="s">
        <v>222</v>
      </c>
    </row>
    <row r="5955" spans="1:17" x14ac:dyDescent="0.25">
      <c r="A5955" s="23" t="s">
        <v>1099</v>
      </c>
      <c r="B5955" s="23" t="s">
        <v>1056</v>
      </c>
      <c r="C5955" s="23" t="s">
        <v>176</v>
      </c>
      <c r="D5955" s="23" t="s">
        <v>100</v>
      </c>
      <c r="E5955" s="23" t="s">
        <v>101</v>
      </c>
      <c r="F5955">
        <v>19.98</v>
      </c>
      <c r="G5955" s="23" t="s">
        <v>186</v>
      </c>
      <c r="H5955">
        <v>19.98</v>
      </c>
      <c r="I5955">
        <v>289.7</v>
      </c>
      <c r="J5955" s="10">
        <v>148.12000000000032</v>
      </c>
      <c r="K595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5955">
        <v>289.7</v>
      </c>
      <c r="M595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5">
        <v>96.37</v>
      </c>
      <c r="O5955" s="23" t="s">
        <v>491</v>
      </c>
      <c r="P5955">
        <v>1925.4726000000001</v>
      </c>
      <c r="Q5955" s="23" t="s">
        <v>184</v>
      </c>
    </row>
    <row r="5956" spans="1:17" x14ac:dyDescent="0.25">
      <c r="A5956" s="23" t="s">
        <v>1096</v>
      </c>
      <c r="B5956" s="23" t="s">
        <v>1053</v>
      </c>
      <c r="C5956" s="23" t="s">
        <v>176</v>
      </c>
      <c r="D5956" s="23" t="s">
        <v>275</v>
      </c>
      <c r="E5956" s="23" t="s">
        <v>276</v>
      </c>
      <c r="F5956">
        <v>1</v>
      </c>
      <c r="G5956" s="23" t="s">
        <v>177</v>
      </c>
      <c r="H5956">
        <v>1</v>
      </c>
      <c r="I5956">
        <v>9</v>
      </c>
      <c r="J5956" s="10">
        <v>8</v>
      </c>
      <c r="K595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56">
        <v>0</v>
      </c>
      <c r="M595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5956">
        <v>487.56</v>
      </c>
      <c r="O5956" s="23" t="s">
        <v>277</v>
      </c>
      <c r="P5956">
        <v>487.56</v>
      </c>
      <c r="Q5956" s="23" t="s">
        <v>178</v>
      </c>
    </row>
    <row r="5957" spans="1:17" x14ac:dyDescent="0.25">
      <c r="A5957" s="23" t="s">
        <v>1096</v>
      </c>
      <c r="B5957" s="23" t="s">
        <v>1053</v>
      </c>
      <c r="C5957" s="23" t="s">
        <v>176</v>
      </c>
      <c r="D5957" s="23" t="s">
        <v>434</v>
      </c>
      <c r="E5957" s="23" t="s">
        <v>435</v>
      </c>
      <c r="F5957">
        <v>1</v>
      </c>
      <c r="G5957" s="23" t="s">
        <v>177</v>
      </c>
      <c r="H5957">
        <v>1</v>
      </c>
      <c r="I5957">
        <v>14</v>
      </c>
      <c r="J5957" s="10">
        <v>3</v>
      </c>
      <c r="K595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-8</v>
      </c>
      <c r="L5957">
        <v>0</v>
      </c>
      <c r="M595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7">
        <v>1678.88</v>
      </c>
      <c r="O5957" s="23" t="s">
        <v>637</v>
      </c>
      <c r="P5957">
        <v>1678.88</v>
      </c>
      <c r="Q5957" s="23" t="s">
        <v>179</v>
      </c>
    </row>
    <row r="5958" spans="1:17" x14ac:dyDescent="0.25">
      <c r="A5958" s="23" t="s">
        <v>1098</v>
      </c>
      <c r="B5958" s="23" t="s">
        <v>1053</v>
      </c>
      <c r="C5958" s="23" t="s">
        <v>176</v>
      </c>
      <c r="D5958" s="23" t="s">
        <v>102</v>
      </c>
      <c r="E5958" s="23" t="s">
        <v>103</v>
      </c>
      <c r="F5958">
        <v>8.9700000000000006</v>
      </c>
      <c r="G5958" s="23" t="s">
        <v>186</v>
      </c>
      <c r="H5958">
        <v>8.9700000000000006</v>
      </c>
      <c r="I5958">
        <v>66</v>
      </c>
      <c r="J5958" s="10">
        <v>36.350000000000151</v>
      </c>
      <c r="K595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-17.090000000000003</v>
      </c>
      <c r="L5958">
        <v>0</v>
      </c>
      <c r="M595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58">
        <v>129.63</v>
      </c>
      <c r="O5958" s="23" t="s">
        <v>242</v>
      </c>
      <c r="P5958">
        <v>1162.7811000000002</v>
      </c>
      <c r="Q5958" s="23" t="s">
        <v>184</v>
      </c>
    </row>
    <row r="5959" spans="1:17" x14ac:dyDescent="0.25">
      <c r="A5959" s="23" t="s">
        <v>1099</v>
      </c>
      <c r="B5959" s="23" t="s">
        <v>1056</v>
      </c>
      <c r="C5959" s="23" t="s">
        <v>176</v>
      </c>
      <c r="D5959" s="23" t="s">
        <v>275</v>
      </c>
      <c r="E5959" s="23" t="s">
        <v>276</v>
      </c>
      <c r="F5959">
        <v>1</v>
      </c>
      <c r="G5959" s="23" t="s">
        <v>177</v>
      </c>
      <c r="H5959">
        <v>1</v>
      </c>
      <c r="I5959">
        <v>9</v>
      </c>
      <c r="J5959" s="10">
        <v>8</v>
      </c>
      <c r="K595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59">
        <v>0</v>
      </c>
      <c r="M595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5959">
        <v>487.56</v>
      </c>
      <c r="O5959" s="23" t="s">
        <v>277</v>
      </c>
      <c r="P5959">
        <v>487.56</v>
      </c>
      <c r="Q5959" s="23" t="s">
        <v>178</v>
      </c>
    </row>
    <row r="5960" spans="1:17" x14ac:dyDescent="0.25">
      <c r="A5960" s="23" t="s">
        <v>1094</v>
      </c>
      <c r="B5960" s="23" t="s">
        <v>1095</v>
      </c>
      <c r="C5960" s="23" t="s">
        <v>176</v>
      </c>
      <c r="D5960" s="23" t="s">
        <v>341</v>
      </c>
      <c r="E5960" s="23" t="s">
        <v>342</v>
      </c>
      <c r="F5960">
        <v>2.04</v>
      </c>
      <c r="G5960" s="23" t="s">
        <v>177</v>
      </c>
      <c r="H5960">
        <v>0</v>
      </c>
      <c r="I5960">
        <v>75</v>
      </c>
      <c r="J5960" s="10">
        <v>42.700000000000159</v>
      </c>
      <c r="K596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-48.04</v>
      </c>
      <c r="L5960">
        <v>0</v>
      </c>
      <c r="M596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0">
        <v>15</v>
      </c>
      <c r="O5960" s="23" t="s">
        <v>242</v>
      </c>
      <c r="P5960">
        <v>30.6</v>
      </c>
      <c r="Q5960" s="23" t="s">
        <v>181</v>
      </c>
    </row>
    <row r="5961" spans="1:17" x14ac:dyDescent="0.25">
      <c r="A5961" s="23" t="s">
        <v>1099</v>
      </c>
      <c r="B5961" s="23" t="s">
        <v>1056</v>
      </c>
      <c r="C5961" s="23" t="s">
        <v>176</v>
      </c>
      <c r="D5961" s="23" t="s">
        <v>965</v>
      </c>
      <c r="E5961" s="23" t="s">
        <v>966</v>
      </c>
      <c r="F5961">
        <v>1</v>
      </c>
      <c r="G5961" s="23" t="s">
        <v>177</v>
      </c>
      <c r="H5961">
        <v>1</v>
      </c>
      <c r="I5961">
        <v>1</v>
      </c>
      <c r="J5961" s="10">
        <v>6</v>
      </c>
      <c r="K596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61">
        <v>0</v>
      </c>
      <c r="M596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16849.34</v>
      </c>
      <c r="N5961">
        <v>8424.67</v>
      </c>
      <c r="O5961" s="23" t="s">
        <v>635</v>
      </c>
      <c r="P5961">
        <v>8424.67</v>
      </c>
      <c r="Q5961" s="23" t="s">
        <v>178</v>
      </c>
    </row>
    <row r="5962" spans="1:17" x14ac:dyDescent="0.25">
      <c r="A5962" s="23" t="s">
        <v>1096</v>
      </c>
      <c r="B5962" s="23" t="s">
        <v>1053</v>
      </c>
      <c r="C5962" s="23" t="s">
        <v>176</v>
      </c>
      <c r="D5962" s="23" t="s">
        <v>107</v>
      </c>
      <c r="E5962" s="23" t="s">
        <v>108</v>
      </c>
      <c r="F5962">
        <v>1</v>
      </c>
      <c r="G5962" s="23" t="s">
        <v>177</v>
      </c>
      <c r="H5962">
        <v>1</v>
      </c>
      <c r="I5962">
        <v>9</v>
      </c>
      <c r="J5962" s="10">
        <v>8</v>
      </c>
      <c r="K596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962">
        <v>5</v>
      </c>
      <c r="M596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2">
        <v>1200</v>
      </c>
      <c r="O5962" s="23" t="s">
        <v>218</v>
      </c>
      <c r="P5962">
        <v>1200</v>
      </c>
      <c r="Q5962" s="23" t="s">
        <v>179</v>
      </c>
    </row>
    <row r="5963" spans="1:17" x14ac:dyDescent="0.25">
      <c r="A5963" s="23" t="s">
        <v>1099</v>
      </c>
      <c r="B5963" s="23" t="s">
        <v>1056</v>
      </c>
      <c r="C5963" s="23" t="s">
        <v>176</v>
      </c>
      <c r="D5963" s="23" t="s">
        <v>273</v>
      </c>
      <c r="E5963" s="23" t="s">
        <v>621</v>
      </c>
      <c r="F5963">
        <v>1</v>
      </c>
      <c r="G5963" s="23" t="s">
        <v>177</v>
      </c>
      <c r="H5963">
        <v>1</v>
      </c>
      <c r="I5963">
        <v>8</v>
      </c>
      <c r="J5963" s="10">
        <v>4</v>
      </c>
      <c r="K596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963">
        <v>0</v>
      </c>
      <c r="M596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3">
        <v>1723.12</v>
      </c>
      <c r="O5963" s="23" t="s">
        <v>637</v>
      </c>
      <c r="P5963">
        <v>1723.12</v>
      </c>
      <c r="Q5963" s="23" t="s">
        <v>179</v>
      </c>
    </row>
    <row r="5964" spans="1:17" x14ac:dyDescent="0.25">
      <c r="A5964" s="23" t="s">
        <v>1144</v>
      </c>
      <c r="B5964" s="23" t="s">
        <v>1145</v>
      </c>
      <c r="C5964" s="23" t="s">
        <v>176</v>
      </c>
      <c r="D5964" s="23" t="s">
        <v>273</v>
      </c>
      <c r="E5964" s="23" t="s">
        <v>621</v>
      </c>
      <c r="F5964">
        <v>1</v>
      </c>
      <c r="G5964" s="23" t="s">
        <v>177</v>
      </c>
      <c r="H5964">
        <v>1</v>
      </c>
      <c r="I5964">
        <v>8</v>
      </c>
      <c r="J5964" s="10">
        <v>4</v>
      </c>
      <c r="K596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964">
        <v>0</v>
      </c>
      <c r="M596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4">
        <v>1723.12</v>
      </c>
      <c r="O5964" s="23" t="s">
        <v>637</v>
      </c>
      <c r="P5964">
        <v>1723.12</v>
      </c>
      <c r="Q5964" s="23" t="s">
        <v>179</v>
      </c>
    </row>
    <row r="5965" spans="1:17" x14ac:dyDescent="0.25">
      <c r="A5965" s="23" t="s">
        <v>1055</v>
      </c>
      <c r="B5965" s="23" t="s">
        <v>1056</v>
      </c>
      <c r="C5965" s="23" t="s">
        <v>176</v>
      </c>
      <c r="D5965" s="23" t="s">
        <v>275</v>
      </c>
      <c r="E5965" s="23" t="s">
        <v>276</v>
      </c>
      <c r="F5965">
        <v>1</v>
      </c>
      <c r="G5965" s="23" t="s">
        <v>177</v>
      </c>
      <c r="H5965">
        <v>1</v>
      </c>
      <c r="I5965">
        <v>9</v>
      </c>
      <c r="J5965" s="10">
        <v>8</v>
      </c>
      <c r="K596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4</v>
      </c>
      <c r="L5965">
        <v>0</v>
      </c>
      <c r="M596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1950.24</v>
      </c>
      <c r="N5965">
        <v>487.56</v>
      </c>
      <c r="O5965" s="23" t="s">
        <v>277</v>
      </c>
      <c r="P5965">
        <v>487.56</v>
      </c>
      <c r="Q5965" s="23" t="s">
        <v>178</v>
      </c>
    </row>
    <row r="5966" spans="1:17" x14ac:dyDescent="0.25">
      <c r="A5966" s="23" t="s">
        <v>1099</v>
      </c>
      <c r="B5966" s="23" t="s">
        <v>1056</v>
      </c>
      <c r="C5966" s="23" t="s">
        <v>176</v>
      </c>
      <c r="D5966" s="23" t="s">
        <v>947</v>
      </c>
      <c r="E5966" s="23" t="s">
        <v>948</v>
      </c>
      <c r="F5966">
        <v>1</v>
      </c>
      <c r="G5966" s="23" t="s">
        <v>177</v>
      </c>
      <c r="H5966">
        <v>1</v>
      </c>
      <c r="I5966">
        <v>0</v>
      </c>
      <c r="J5966" s="10">
        <v>5</v>
      </c>
      <c r="K596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2</v>
      </c>
      <c r="L5966">
        <v>2</v>
      </c>
      <c r="M596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7992</v>
      </c>
      <c r="N5966">
        <v>3996</v>
      </c>
      <c r="O5966" s="23" t="s">
        <v>228</v>
      </c>
      <c r="P5966">
        <v>3996</v>
      </c>
      <c r="Q5966" s="23" t="s">
        <v>222</v>
      </c>
    </row>
    <row r="5967" spans="1:17" x14ac:dyDescent="0.25">
      <c r="A5967" s="23" t="s">
        <v>1150</v>
      </c>
      <c r="B5967" s="23" t="s">
        <v>1145</v>
      </c>
      <c r="C5967" s="23" t="s">
        <v>176</v>
      </c>
      <c r="D5967" s="23" t="s">
        <v>847</v>
      </c>
      <c r="E5967" s="23" t="s">
        <v>848</v>
      </c>
      <c r="F5967">
        <v>2</v>
      </c>
      <c r="G5967" s="23" t="s">
        <v>183</v>
      </c>
      <c r="H5967">
        <v>0</v>
      </c>
      <c r="I5967">
        <v>0</v>
      </c>
      <c r="J5967" s="10">
        <v>-1.4210854715202004E-14</v>
      </c>
      <c r="K596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52</v>
      </c>
      <c r="L5967">
        <v>0</v>
      </c>
      <c r="M596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28423.200000000001</v>
      </c>
      <c r="N5967">
        <v>546.6</v>
      </c>
      <c r="O5967" s="23" t="s">
        <v>255</v>
      </c>
      <c r="P5967">
        <v>1093.2</v>
      </c>
      <c r="Q5967" s="23" t="s">
        <v>182</v>
      </c>
    </row>
    <row r="5968" spans="1:17" x14ac:dyDescent="0.25">
      <c r="A5968" s="23" t="s">
        <v>1062</v>
      </c>
      <c r="B5968" s="23" t="s">
        <v>1053</v>
      </c>
      <c r="C5968" s="23" t="s">
        <v>176</v>
      </c>
      <c r="D5968" s="23" t="s">
        <v>725</v>
      </c>
      <c r="E5968" s="23" t="s">
        <v>726</v>
      </c>
      <c r="F5968">
        <v>1</v>
      </c>
      <c r="G5968" s="23" t="s">
        <v>177</v>
      </c>
      <c r="H5968">
        <v>1</v>
      </c>
      <c r="I5968">
        <v>56</v>
      </c>
      <c r="J5968" s="10">
        <v>4</v>
      </c>
      <c r="K596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-53</v>
      </c>
      <c r="L5968">
        <v>0</v>
      </c>
      <c r="M596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8">
        <v>16.5</v>
      </c>
      <c r="O5968" s="23" t="s">
        <v>242</v>
      </c>
      <c r="P5968">
        <v>16.5</v>
      </c>
      <c r="Q5968" s="23" t="s">
        <v>179</v>
      </c>
    </row>
    <row r="5969" spans="1:17" x14ac:dyDescent="0.25">
      <c r="A5969" s="23" t="s">
        <v>1055</v>
      </c>
      <c r="B5969" s="23" t="s">
        <v>1056</v>
      </c>
      <c r="C5969" s="23" t="s">
        <v>176</v>
      </c>
      <c r="D5969" s="23" t="s">
        <v>271</v>
      </c>
      <c r="E5969" s="23" t="s">
        <v>272</v>
      </c>
      <c r="F5969">
        <v>1</v>
      </c>
      <c r="G5969" s="23" t="s">
        <v>177</v>
      </c>
      <c r="H5969">
        <v>1</v>
      </c>
      <c r="I5969">
        <v>14</v>
      </c>
      <c r="J5969" s="10">
        <v>8</v>
      </c>
      <c r="K596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969">
        <v>0</v>
      </c>
      <c r="M596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69">
        <v>270</v>
      </c>
      <c r="O5969" s="23" t="s">
        <v>221</v>
      </c>
      <c r="P5969">
        <v>270</v>
      </c>
      <c r="Q5969" s="23" t="s">
        <v>222</v>
      </c>
    </row>
    <row r="5970" spans="1:17" x14ac:dyDescent="0.25">
      <c r="A5970" s="23" t="s">
        <v>1057</v>
      </c>
      <c r="B5970" s="23" t="s">
        <v>1056</v>
      </c>
      <c r="C5970" s="23" t="s">
        <v>176</v>
      </c>
      <c r="D5970" s="23" t="s">
        <v>271</v>
      </c>
      <c r="E5970" s="23" t="s">
        <v>272</v>
      </c>
      <c r="F5970">
        <v>1</v>
      </c>
      <c r="G5970" s="23" t="s">
        <v>177</v>
      </c>
      <c r="H5970">
        <v>1</v>
      </c>
      <c r="I5970">
        <v>14</v>
      </c>
      <c r="J5970" s="10">
        <v>8</v>
      </c>
      <c r="K597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</v>
      </c>
      <c r="L5970">
        <v>0</v>
      </c>
      <c r="M597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0">
        <v>270</v>
      </c>
      <c r="O5970" s="23" t="s">
        <v>221</v>
      </c>
      <c r="P5970">
        <v>270</v>
      </c>
      <c r="Q5970" s="23" t="s">
        <v>222</v>
      </c>
    </row>
    <row r="5971" spans="1:17" x14ac:dyDescent="0.25">
      <c r="A5971" s="23" t="s">
        <v>1057</v>
      </c>
      <c r="B5971" s="23" t="s">
        <v>1056</v>
      </c>
      <c r="C5971" s="23" t="s">
        <v>176</v>
      </c>
      <c r="D5971" s="23" t="s">
        <v>1013</v>
      </c>
      <c r="E5971" s="23" t="s">
        <v>1014</v>
      </c>
      <c r="F5971">
        <v>2</v>
      </c>
      <c r="G5971" s="23" t="s">
        <v>177</v>
      </c>
      <c r="H5971">
        <v>2</v>
      </c>
      <c r="I5971">
        <v>21</v>
      </c>
      <c r="J5971" s="10">
        <v>8</v>
      </c>
      <c r="K597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-21</v>
      </c>
      <c r="L5971">
        <v>0</v>
      </c>
      <c r="M597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1">
        <v>451</v>
      </c>
      <c r="O5971" s="23" t="s">
        <v>248</v>
      </c>
      <c r="P5971">
        <v>902</v>
      </c>
      <c r="Q5971" s="23" t="s">
        <v>178</v>
      </c>
    </row>
    <row r="5972" spans="1:17" x14ac:dyDescent="0.25">
      <c r="A5972" s="23" t="s">
        <v>1055</v>
      </c>
      <c r="B5972" s="23" t="s">
        <v>1056</v>
      </c>
      <c r="C5972" s="23" t="s">
        <v>176</v>
      </c>
      <c r="D5972" s="23" t="s">
        <v>994</v>
      </c>
      <c r="E5972" s="23" t="s">
        <v>995</v>
      </c>
      <c r="F5972">
        <v>1</v>
      </c>
      <c r="G5972" s="23" t="s">
        <v>177</v>
      </c>
      <c r="H5972">
        <v>1</v>
      </c>
      <c r="I5972">
        <v>17</v>
      </c>
      <c r="J5972" s="10">
        <v>4</v>
      </c>
      <c r="K597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972">
        <v>0</v>
      </c>
      <c r="M597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2">
        <v>117.85</v>
      </c>
      <c r="O5972" s="23" t="s">
        <v>668</v>
      </c>
      <c r="P5972">
        <v>117.85</v>
      </c>
      <c r="Q5972" s="23" t="s">
        <v>178</v>
      </c>
    </row>
    <row r="5973" spans="1:17" x14ac:dyDescent="0.25">
      <c r="A5973" s="23" t="s">
        <v>1055</v>
      </c>
      <c r="B5973" s="23" t="s">
        <v>1056</v>
      </c>
      <c r="C5973" s="23" t="s">
        <v>176</v>
      </c>
      <c r="D5973" s="23" t="s">
        <v>1081</v>
      </c>
      <c r="E5973" s="23" t="s">
        <v>1082</v>
      </c>
      <c r="F5973">
        <v>3</v>
      </c>
      <c r="G5973" s="23" t="s">
        <v>177</v>
      </c>
      <c r="H5973">
        <v>3</v>
      </c>
      <c r="I5973">
        <v>17</v>
      </c>
      <c r="J5973" s="10">
        <v>16</v>
      </c>
      <c r="K597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973">
        <v>30</v>
      </c>
      <c r="M597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3">
        <v>67.22</v>
      </c>
      <c r="O5973" s="23" t="s">
        <v>593</v>
      </c>
      <c r="P5973">
        <v>201.66</v>
      </c>
      <c r="Q5973" s="23" t="s">
        <v>179</v>
      </c>
    </row>
    <row r="5974" spans="1:17" x14ac:dyDescent="0.25">
      <c r="A5974" s="23" t="s">
        <v>1062</v>
      </c>
      <c r="B5974" s="23" t="s">
        <v>1053</v>
      </c>
      <c r="C5974" s="23" t="s">
        <v>176</v>
      </c>
      <c r="D5974" s="23" t="s">
        <v>138</v>
      </c>
      <c r="E5974" s="23" t="s">
        <v>139</v>
      </c>
      <c r="F5974">
        <v>2</v>
      </c>
      <c r="G5974" s="23" t="s">
        <v>177</v>
      </c>
      <c r="H5974">
        <v>2</v>
      </c>
      <c r="I5974">
        <v>23</v>
      </c>
      <c r="J5974" s="10">
        <v>22</v>
      </c>
      <c r="K5974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974">
        <v>10</v>
      </c>
      <c r="M5974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4">
        <v>71.77</v>
      </c>
      <c r="O5974" s="23" t="s">
        <v>228</v>
      </c>
      <c r="P5974">
        <v>143.54</v>
      </c>
      <c r="Q5974" s="23" t="s">
        <v>222</v>
      </c>
    </row>
    <row r="5975" spans="1:17" x14ac:dyDescent="0.25">
      <c r="A5975" s="23" t="s">
        <v>1058</v>
      </c>
      <c r="B5975" s="23" t="s">
        <v>1059</v>
      </c>
      <c r="C5975" s="23" t="s">
        <v>176</v>
      </c>
      <c r="D5975" s="23" t="s">
        <v>764</v>
      </c>
      <c r="E5975" s="23" t="s">
        <v>765</v>
      </c>
      <c r="F5975">
        <v>1</v>
      </c>
      <c r="G5975" s="23" t="s">
        <v>177</v>
      </c>
      <c r="H5975">
        <v>1</v>
      </c>
      <c r="I5975">
        <v>5</v>
      </c>
      <c r="J5975" s="10">
        <v>7</v>
      </c>
      <c r="K5975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0</v>
      </c>
      <c r="L5975">
        <v>8</v>
      </c>
      <c r="M5975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5">
        <v>401.17</v>
      </c>
      <c r="O5975" s="23" t="s">
        <v>766</v>
      </c>
      <c r="P5975">
        <v>401.17</v>
      </c>
      <c r="Q5975" s="23" t="s">
        <v>222</v>
      </c>
    </row>
    <row r="5976" spans="1:17" x14ac:dyDescent="0.25">
      <c r="A5976" s="23" t="s">
        <v>1055</v>
      </c>
      <c r="B5976" s="23" t="s">
        <v>1056</v>
      </c>
      <c r="C5976" s="23" t="s">
        <v>176</v>
      </c>
      <c r="D5976" s="23" t="s">
        <v>478</v>
      </c>
      <c r="E5976" s="23" t="s">
        <v>565</v>
      </c>
      <c r="F5976">
        <v>0.5</v>
      </c>
      <c r="G5976" s="23" t="s">
        <v>177</v>
      </c>
      <c r="H5976">
        <v>0</v>
      </c>
      <c r="I5976">
        <v>100</v>
      </c>
      <c r="J5976" s="10">
        <v>0</v>
      </c>
      <c r="K5976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-90.5</v>
      </c>
      <c r="L5976">
        <v>0</v>
      </c>
      <c r="M5976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6">
        <v>13.5</v>
      </c>
      <c r="O5976" s="23" t="s">
        <v>242</v>
      </c>
      <c r="P5976">
        <v>6.75</v>
      </c>
      <c r="Q5976" s="23" t="s">
        <v>181</v>
      </c>
    </row>
    <row r="5977" spans="1:17" x14ac:dyDescent="0.25">
      <c r="A5977" s="23" t="s">
        <v>1098</v>
      </c>
      <c r="B5977" s="23" t="s">
        <v>1053</v>
      </c>
      <c r="C5977" s="23" t="s">
        <v>176</v>
      </c>
      <c r="D5977" s="23" t="s">
        <v>320</v>
      </c>
      <c r="E5977" s="23" t="s">
        <v>321</v>
      </c>
      <c r="F5977">
        <v>0.14400000000000002</v>
      </c>
      <c r="G5977" s="23" t="s">
        <v>187</v>
      </c>
      <c r="H5977">
        <v>0.14400000000000002</v>
      </c>
      <c r="I5977">
        <v>0</v>
      </c>
      <c r="J5977" s="10">
        <v>4.543000000000017</v>
      </c>
      <c r="K5977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1.4260000000000006</v>
      </c>
      <c r="L5977">
        <v>0</v>
      </c>
      <c r="M5977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27807.000000000011</v>
      </c>
      <c r="N5977">
        <v>19500</v>
      </c>
      <c r="O5977" s="23" t="s">
        <v>763</v>
      </c>
      <c r="P5977">
        <v>2808.0000000000005</v>
      </c>
      <c r="Q5977" s="23" t="s">
        <v>182</v>
      </c>
    </row>
    <row r="5978" spans="1:17" x14ac:dyDescent="0.25">
      <c r="A5978" s="23" t="s">
        <v>1099</v>
      </c>
      <c r="B5978" s="23" t="s">
        <v>1056</v>
      </c>
      <c r="C5978" s="23" t="s">
        <v>176</v>
      </c>
      <c r="D5978" s="23" t="s">
        <v>953</v>
      </c>
      <c r="E5978" s="23" t="s">
        <v>954</v>
      </c>
      <c r="F5978">
        <v>2</v>
      </c>
      <c r="G5978" s="23" t="s">
        <v>177</v>
      </c>
      <c r="H5978">
        <v>2</v>
      </c>
      <c r="I5978">
        <v>48</v>
      </c>
      <c r="J5978" s="10">
        <v>2</v>
      </c>
      <c r="K5978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-44</v>
      </c>
      <c r="L5978">
        <v>0</v>
      </c>
      <c r="M5978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8">
        <v>428.46</v>
      </c>
      <c r="O5978" s="23" t="s">
        <v>637</v>
      </c>
      <c r="P5978">
        <v>856.92</v>
      </c>
      <c r="Q5978" s="23" t="s">
        <v>179</v>
      </c>
    </row>
    <row r="5979" spans="1:17" x14ac:dyDescent="0.25">
      <c r="A5979" s="23" t="s">
        <v>1057</v>
      </c>
      <c r="B5979" s="23" t="s">
        <v>1056</v>
      </c>
      <c r="C5979" s="23" t="s">
        <v>176</v>
      </c>
      <c r="D5979" s="23" t="s">
        <v>1081</v>
      </c>
      <c r="E5979" s="23" t="s">
        <v>1082</v>
      </c>
      <c r="F5979">
        <v>3</v>
      </c>
      <c r="G5979" s="23" t="s">
        <v>177</v>
      </c>
      <c r="H5979">
        <v>3</v>
      </c>
      <c r="I5979">
        <v>17</v>
      </c>
      <c r="J5979" s="10">
        <v>16</v>
      </c>
      <c r="K5979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</v>
      </c>
      <c r="L5979">
        <v>30</v>
      </c>
      <c r="M5979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79">
        <v>67.22</v>
      </c>
      <c r="O5979" s="23" t="s">
        <v>593</v>
      </c>
      <c r="P5979">
        <v>201.66</v>
      </c>
      <c r="Q5979" s="23" t="s">
        <v>179</v>
      </c>
    </row>
    <row r="5980" spans="1:17" x14ac:dyDescent="0.25">
      <c r="A5980" s="23" t="s">
        <v>1096</v>
      </c>
      <c r="B5980" s="23" t="s">
        <v>1053</v>
      </c>
      <c r="C5980" s="23" t="s">
        <v>176</v>
      </c>
      <c r="D5980" s="23" t="s">
        <v>138</v>
      </c>
      <c r="E5980" s="23" t="s">
        <v>139</v>
      </c>
      <c r="F5980">
        <v>2</v>
      </c>
      <c r="G5980" s="23" t="s">
        <v>177</v>
      </c>
      <c r="H5980">
        <v>2</v>
      </c>
      <c r="I5980">
        <v>23</v>
      </c>
      <c r="J5980" s="10">
        <v>22</v>
      </c>
      <c r="K5980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-9</v>
      </c>
      <c r="L5980">
        <v>10</v>
      </c>
      <c r="M5980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0">
        <v>71.77</v>
      </c>
      <c r="O5980" s="23" t="s">
        <v>228</v>
      </c>
      <c r="P5980">
        <v>143.54</v>
      </c>
      <c r="Q5980" s="23" t="s">
        <v>222</v>
      </c>
    </row>
    <row r="5981" spans="1:17" x14ac:dyDescent="0.25">
      <c r="A5981" s="23" t="s">
        <v>1057</v>
      </c>
      <c r="B5981" s="23" t="s">
        <v>1056</v>
      </c>
      <c r="C5981" s="23" t="s">
        <v>176</v>
      </c>
      <c r="D5981" s="23" t="s">
        <v>994</v>
      </c>
      <c r="E5981" s="23" t="s">
        <v>995</v>
      </c>
      <c r="F5981">
        <v>1</v>
      </c>
      <c r="G5981" s="23" t="s">
        <v>177</v>
      </c>
      <c r="H5981">
        <v>1</v>
      </c>
      <c r="I5981">
        <v>17</v>
      </c>
      <c r="J5981" s="10">
        <v>4</v>
      </c>
      <c r="K5981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-17</v>
      </c>
      <c r="L5981">
        <v>0</v>
      </c>
      <c r="M5981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1">
        <v>117.85</v>
      </c>
      <c r="O5981" s="23" t="s">
        <v>668</v>
      </c>
      <c r="P5981">
        <v>117.85</v>
      </c>
      <c r="Q5981" s="23" t="s">
        <v>178</v>
      </c>
    </row>
    <row r="5982" spans="1:17" x14ac:dyDescent="0.25">
      <c r="A5982" s="23" t="s">
        <v>1057</v>
      </c>
      <c r="B5982" s="23" t="s">
        <v>1056</v>
      </c>
      <c r="C5982" s="23" t="s">
        <v>176</v>
      </c>
      <c r="D5982" s="23" t="s">
        <v>100</v>
      </c>
      <c r="E5982" s="23" t="s">
        <v>101</v>
      </c>
      <c r="F5982">
        <v>24.65</v>
      </c>
      <c r="G5982" s="23" t="s">
        <v>186</v>
      </c>
      <c r="H5982">
        <v>24.65</v>
      </c>
      <c r="I5982">
        <v>289.7</v>
      </c>
      <c r="J5982" s="10">
        <v>148.12000000000032</v>
      </c>
      <c r="K5982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5982">
        <v>289.7</v>
      </c>
      <c r="M5982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2">
        <v>96.37</v>
      </c>
      <c r="O5982" s="23" t="s">
        <v>491</v>
      </c>
      <c r="P5982">
        <v>2375.5205000000001</v>
      </c>
      <c r="Q5982" s="23" t="s">
        <v>184</v>
      </c>
    </row>
    <row r="5983" spans="1:17" x14ac:dyDescent="0.25">
      <c r="A5983" s="23" t="s">
        <v>1146</v>
      </c>
      <c r="B5983" s="23" t="s">
        <v>1145</v>
      </c>
      <c r="C5983" s="23" t="s">
        <v>176</v>
      </c>
      <c r="D5983" s="23" t="s">
        <v>100</v>
      </c>
      <c r="E5983" s="23" t="s">
        <v>101</v>
      </c>
      <c r="F5983">
        <v>34.869999999999997</v>
      </c>
      <c r="G5983" s="23" t="s">
        <v>186</v>
      </c>
      <c r="H5983">
        <v>34.869999999999997</v>
      </c>
      <c r="I5983">
        <v>289.7</v>
      </c>
      <c r="J5983" s="10">
        <v>148.12000000000032</v>
      </c>
      <c r="K5983" s="10">
        <f>SUMIFS(F:F,D:D,DST_123_ÜRETİM_İHTİYAÇ_RAPORU_BURAK_YENI1309[[#This Row],[ALT_KOD]])-(SUMIFS(H:H,D:D,DST_123_ÜRETİM_İHTİYAÇ_RAPORU_BURAK_YENI1309[[#This Row],[ALT_KOD]])+AVERAGEIFS(I:I,D:D,DST_123_ÜRETİM_İHTİYAÇ_RAPORU_BURAK_YENI1309[[#This Row],[ALT_KOD]])+AVERAGEIFS(L:L,D:D,DST_123_ÜRETİM_İHTİYAÇ_RAPORU_BURAK_YENI1309[[#This Row],[ALT_KOD]]))</f>
        <v>-230.76999999999975</v>
      </c>
      <c r="L5983">
        <v>289.7</v>
      </c>
      <c r="M5983" s="23">
        <f>IF((DST_123_ÜRETİM_İHTİYAÇ_RAPORU_BURAK_YENI1309[[#This Row],[SATINALMA]]*DST_123_ÜRETİM_İHTİYAÇ_RAPORU_BURAK_YENI1309[[#This Row],[BIRIM_FIYATLAR]])&lt;1,VALUE("0"),DST_123_ÜRETİM_İHTİYAÇ_RAPORU_BURAK_YENI1309[[#This Row],[SATINALMA]]*DST_123_ÜRETİM_İHTİYAÇ_RAPORU_BURAK_YENI1309[[#This Row],[BIRIM_FIYATLAR]])</f>
        <v>0</v>
      </c>
      <c r="N5983">
        <v>96.37</v>
      </c>
      <c r="O5983" s="23" t="s">
        <v>491</v>
      </c>
      <c r="P5983">
        <v>3360.4218999999998</v>
      </c>
      <c r="Q5983" s="23" t="s">
        <v>184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41F62-85BD-44A4-8EA0-5E8DC7E7050D}">
  <dimension ref="A1:B107"/>
  <sheetViews>
    <sheetView workbookViewId="0">
      <selection activeCell="H37" sqref="H37"/>
    </sheetView>
  </sheetViews>
  <sheetFormatPr defaultRowHeight="15" x14ac:dyDescent="0.25"/>
  <cols>
    <col min="1" max="1" width="16" bestFit="1" customWidth="1"/>
    <col min="2" max="2" width="16.42578125" style="8" bestFit="1" customWidth="1"/>
  </cols>
  <sheetData>
    <row r="1" spans="1:2" x14ac:dyDescent="0.25">
      <c r="A1" s="6" t="s">
        <v>166</v>
      </c>
      <c r="B1" t="s">
        <v>303</v>
      </c>
    </row>
    <row r="3" spans="1:2" x14ac:dyDescent="0.25">
      <c r="A3" s="6" t="s">
        <v>196</v>
      </c>
      <c r="B3" s="8" t="s">
        <v>191</v>
      </c>
    </row>
    <row r="4" spans="1:2" x14ac:dyDescent="0.25">
      <c r="A4" s="7" t="s">
        <v>1058</v>
      </c>
      <c r="B4" s="8">
        <v>510412.11492999981</v>
      </c>
    </row>
    <row r="5" spans="1:2" x14ac:dyDescent="0.25">
      <c r="A5" s="7" t="s">
        <v>1055</v>
      </c>
      <c r="B5" s="8">
        <v>474756.0954500002</v>
      </c>
    </row>
    <row r="6" spans="1:2" x14ac:dyDescent="0.25">
      <c r="A6" s="7" t="s">
        <v>1057</v>
      </c>
      <c r="B6" s="8">
        <v>460193.96395000006</v>
      </c>
    </row>
    <row r="7" spans="1:2" x14ac:dyDescent="0.25">
      <c r="A7" s="7" t="s">
        <v>1062</v>
      </c>
      <c r="B7" s="8">
        <v>535803.53350000037</v>
      </c>
    </row>
    <row r="8" spans="1:2" x14ac:dyDescent="0.25">
      <c r="A8" s="7" t="s">
        <v>1094</v>
      </c>
      <c r="B8" s="8">
        <v>473538.8758299998</v>
      </c>
    </row>
    <row r="9" spans="1:2" x14ac:dyDescent="0.25">
      <c r="A9" s="7" t="s">
        <v>1096</v>
      </c>
      <c r="B9" s="8">
        <v>528329.80200000014</v>
      </c>
    </row>
    <row r="10" spans="1:2" x14ac:dyDescent="0.25">
      <c r="A10" s="7" t="s">
        <v>1097</v>
      </c>
      <c r="B10" s="8">
        <v>479652.82082999987</v>
      </c>
    </row>
    <row r="11" spans="1:2" x14ac:dyDescent="0.25">
      <c r="A11" s="7" t="s">
        <v>1098</v>
      </c>
      <c r="B11" s="8">
        <v>535415.07630000007</v>
      </c>
    </row>
    <row r="12" spans="1:2" x14ac:dyDescent="0.25">
      <c r="A12" s="7" t="s">
        <v>1099</v>
      </c>
      <c r="B12" s="8">
        <v>441405.54535000015</v>
      </c>
    </row>
    <row r="13" spans="1:2" x14ac:dyDescent="0.25">
      <c r="A13" s="7" t="s">
        <v>1100</v>
      </c>
      <c r="B13" s="8">
        <v>600365.48429999978</v>
      </c>
    </row>
    <row r="14" spans="1:2" x14ac:dyDescent="0.25">
      <c r="A14" s="7" t="s">
        <v>1142</v>
      </c>
      <c r="B14" s="8">
        <v>431085.88383999985</v>
      </c>
    </row>
    <row r="15" spans="1:2" x14ac:dyDescent="0.25">
      <c r="A15" s="7" t="s">
        <v>1143</v>
      </c>
      <c r="B15" s="8">
        <v>551973.10780000023</v>
      </c>
    </row>
    <row r="16" spans="1:2" x14ac:dyDescent="0.25">
      <c r="A16" s="7" t="s">
        <v>1144</v>
      </c>
      <c r="B16" s="8">
        <v>527436.12562999979</v>
      </c>
    </row>
    <row r="17" spans="1:2" x14ac:dyDescent="0.25">
      <c r="A17" s="7" t="s">
        <v>1146</v>
      </c>
      <c r="B17" s="8">
        <v>475834.83713999996</v>
      </c>
    </row>
    <row r="18" spans="1:2" x14ac:dyDescent="0.25">
      <c r="A18" s="7" t="s">
        <v>1147</v>
      </c>
      <c r="B18" s="8">
        <v>485036.72283999977</v>
      </c>
    </row>
    <row r="19" spans="1:2" x14ac:dyDescent="0.25">
      <c r="A19" s="7" t="s">
        <v>1148</v>
      </c>
      <c r="B19" s="8">
        <v>471717.14282999991</v>
      </c>
    </row>
    <row r="20" spans="1:2" x14ac:dyDescent="0.25">
      <c r="A20" s="7" t="s">
        <v>1149</v>
      </c>
      <c r="B20" s="8">
        <v>477475.73683999979</v>
      </c>
    </row>
    <row r="21" spans="1:2" x14ac:dyDescent="0.25">
      <c r="A21" s="7" t="s">
        <v>1150</v>
      </c>
      <c r="B21" s="8">
        <v>535781.88862999983</v>
      </c>
    </row>
    <row r="22" spans="1:2" x14ac:dyDescent="0.25">
      <c r="A22" s="7" t="s">
        <v>1180</v>
      </c>
      <c r="B22" s="8">
        <v>196861.46914999999</v>
      </c>
    </row>
    <row r="23" spans="1:2" x14ac:dyDescent="0.25">
      <c r="A23" s="7" t="s">
        <v>1197</v>
      </c>
      <c r="B23" s="8">
        <v>527802.17642999999</v>
      </c>
    </row>
    <row r="24" spans="1:2" x14ac:dyDescent="0.25">
      <c r="A24" s="7" t="s">
        <v>197</v>
      </c>
      <c r="B24" s="8">
        <v>9720878.4035699982</v>
      </c>
    </row>
    <row r="25" spans="1:2" x14ac:dyDescent="0.25">
      <c r="B25"/>
    </row>
    <row r="26" spans="1:2" x14ac:dyDescent="0.25">
      <c r="B26"/>
    </row>
    <row r="27" spans="1:2" x14ac:dyDescent="0.25">
      <c r="B27"/>
    </row>
    <row r="28" spans="1:2" x14ac:dyDescent="0.25">
      <c r="B28"/>
    </row>
    <row r="29" spans="1:2" x14ac:dyDescent="0.25">
      <c r="B29"/>
    </row>
    <row r="30" spans="1:2" x14ac:dyDescent="0.25">
      <c r="B30"/>
    </row>
    <row r="31" spans="1:2" x14ac:dyDescent="0.25">
      <c r="B31"/>
    </row>
    <row r="32" spans="1:2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3A0A-8B0C-4650-B79A-769D8D62E3EA}">
  <sheetPr filterMode="1">
    <pageSetUpPr fitToPage="1"/>
  </sheetPr>
  <dimension ref="A7:L783"/>
  <sheetViews>
    <sheetView tabSelected="1" zoomScale="85" zoomScaleNormal="85" workbookViewId="0">
      <pane ySplit="11" topLeftCell="A101" activePane="bottomLeft" state="frozen"/>
      <selection pane="bottomLeft" activeCell="I670" sqref="I670"/>
    </sheetView>
  </sheetViews>
  <sheetFormatPr defaultColWidth="8.85546875" defaultRowHeight="15" x14ac:dyDescent="0.25"/>
  <cols>
    <col min="1" max="1" width="22.42578125" style="2" customWidth="1"/>
    <col min="2" max="2" width="41.42578125" style="2" customWidth="1"/>
    <col min="3" max="3" width="114.85546875" style="3" bestFit="1" customWidth="1"/>
    <col min="4" max="4" width="20.140625" style="3" bestFit="1" customWidth="1"/>
    <col min="5" max="5" width="22" style="3" bestFit="1" customWidth="1"/>
    <col min="6" max="6" width="15.7109375" style="3" bestFit="1" customWidth="1"/>
    <col min="7" max="7" width="16.5703125" style="3" bestFit="1" customWidth="1"/>
    <col min="8" max="8" width="19.42578125" style="5" bestFit="1" customWidth="1"/>
    <col min="9" max="9" width="23.5703125" style="9" bestFit="1" customWidth="1"/>
    <col min="10" max="10" width="17.5703125" style="2" bestFit="1" customWidth="1"/>
    <col min="11" max="11" width="22.28515625" style="2" bestFit="1" customWidth="1"/>
    <col min="12" max="12" width="18.28515625" style="2" bestFit="1" customWidth="1"/>
    <col min="13" max="468" width="16.140625" style="2" bestFit="1" customWidth="1"/>
    <col min="469" max="469" width="12.5703125" style="2" bestFit="1" customWidth="1"/>
    <col min="470" max="16384" width="8.85546875" style="2"/>
  </cols>
  <sheetData>
    <row r="7" spans="1:12" x14ac:dyDescent="0.25">
      <c r="K7" s="12">
        <f>SUM(K12:K228)</f>
        <v>3356001.5383400028</v>
      </c>
    </row>
    <row r="8" spans="1:12" x14ac:dyDescent="0.25">
      <c r="A8"/>
      <c r="B8"/>
    </row>
    <row r="9" spans="1:12" x14ac:dyDescent="0.25">
      <c r="A9"/>
      <c r="B9"/>
    </row>
    <row r="11" spans="1:12" s="3" customFormat="1" x14ac:dyDescent="0.25">
      <c r="A11" s="16" t="s">
        <v>167</v>
      </c>
      <c r="B11" s="16" t="s">
        <v>168</v>
      </c>
      <c r="C11" s="1" t="s">
        <v>214</v>
      </c>
      <c r="D11" s="3" t="s">
        <v>192</v>
      </c>
      <c r="E11" s="2" t="s">
        <v>300</v>
      </c>
      <c r="F11" s="3" t="s">
        <v>194</v>
      </c>
      <c r="G11" s="2" t="s">
        <v>299</v>
      </c>
      <c r="H11" s="3" t="s">
        <v>193</v>
      </c>
      <c r="I11" s="3" t="s">
        <v>195</v>
      </c>
      <c r="J11" s="4" t="s">
        <v>190</v>
      </c>
      <c r="K11" s="4" t="s">
        <v>191</v>
      </c>
      <c r="L11" s="18" t="s">
        <v>1085</v>
      </c>
    </row>
    <row r="12" spans="1:12" hidden="1" x14ac:dyDescent="0.25">
      <c r="A12" s="2" t="s">
        <v>837</v>
      </c>
      <c r="B12" s="2" t="s">
        <v>838</v>
      </c>
      <c r="C12" s="2" t="s">
        <v>1222</v>
      </c>
      <c r="D12" s="24">
        <v>1760</v>
      </c>
      <c r="E12" s="24">
        <v>0</v>
      </c>
      <c r="F12" s="24">
        <v>0</v>
      </c>
      <c r="G12" s="11">
        <v>0</v>
      </c>
      <c r="H12" s="24">
        <v>0</v>
      </c>
      <c r="I12" s="24">
        <v>1760</v>
      </c>
      <c r="J12" s="4">
        <v>0</v>
      </c>
      <c r="K12" s="4">
        <v>0</v>
      </c>
      <c r="L12" s="19">
        <f>D12-E12-F12-G12-H12</f>
        <v>1760</v>
      </c>
    </row>
    <row r="13" spans="1:12" hidden="1" x14ac:dyDescent="0.25">
      <c r="A13" s="2" t="s">
        <v>886</v>
      </c>
      <c r="B13" s="2" t="s">
        <v>887</v>
      </c>
      <c r="C13" s="2" t="s">
        <v>224</v>
      </c>
      <c r="D13" s="24">
        <v>400</v>
      </c>
      <c r="E13" s="24">
        <v>50</v>
      </c>
      <c r="F13" s="24">
        <v>0</v>
      </c>
      <c r="G13" s="11">
        <v>57</v>
      </c>
      <c r="H13" s="24">
        <v>0</v>
      </c>
      <c r="I13" s="24">
        <v>350</v>
      </c>
      <c r="J13" s="4">
        <v>8.9500000000000011</v>
      </c>
      <c r="K13" s="4">
        <v>3132.4999999999995</v>
      </c>
      <c r="L13" s="19">
        <f t="shared" ref="L13:L76" si="0">D13-E13-F13-G13-H13</f>
        <v>293</v>
      </c>
    </row>
    <row r="14" spans="1:12" hidden="1" x14ac:dyDescent="0.25">
      <c r="A14" s="2" t="s">
        <v>83</v>
      </c>
      <c r="B14" s="2" t="s">
        <v>84</v>
      </c>
      <c r="C14" s="2" t="s">
        <v>224</v>
      </c>
      <c r="D14" s="24">
        <v>474.5</v>
      </c>
      <c r="E14" s="24">
        <v>41.5</v>
      </c>
      <c r="F14" s="24">
        <v>58.5</v>
      </c>
      <c r="G14" s="11">
        <v>21.929999999999836</v>
      </c>
      <c r="H14" s="24">
        <v>54.25</v>
      </c>
      <c r="I14" s="24">
        <v>320.25</v>
      </c>
      <c r="J14" s="4">
        <v>220.42000000000002</v>
      </c>
      <c r="K14" s="4">
        <v>70589.50499999999</v>
      </c>
      <c r="L14" s="19">
        <f t="shared" si="0"/>
        <v>298.32000000000016</v>
      </c>
    </row>
    <row r="15" spans="1:12" hidden="1" x14ac:dyDescent="0.25">
      <c r="A15" s="2" t="s">
        <v>127</v>
      </c>
      <c r="B15" s="2" t="s">
        <v>128</v>
      </c>
      <c r="C15" s="2" t="s">
        <v>1152</v>
      </c>
      <c r="D15" s="24">
        <v>350</v>
      </c>
      <c r="E15" s="24">
        <v>50</v>
      </c>
      <c r="F15" s="24">
        <v>0</v>
      </c>
      <c r="G15" s="11">
        <v>1804.0000000000018</v>
      </c>
      <c r="H15" s="24">
        <v>0</v>
      </c>
      <c r="I15" s="24">
        <v>300</v>
      </c>
      <c r="J15" s="4">
        <v>9.6799999999999979</v>
      </c>
      <c r="K15" s="4">
        <v>2904</v>
      </c>
      <c r="L15" s="19">
        <f t="shared" si="0"/>
        <v>-1504.0000000000018</v>
      </c>
    </row>
    <row r="16" spans="1:12" hidden="1" x14ac:dyDescent="0.25">
      <c r="A16" s="2" t="s">
        <v>494</v>
      </c>
      <c r="B16" s="2" t="s">
        <v>495</v>
      </c>
      <c r="C16" s="2" t="s">
        <v>298</v>
      </c>
      <c r="D16" s="24">
        <v>420</v>
      </c>
      <c r="E16" s="24">
        <v>0</v>
      </c>
      <c r="F16" s="24">
        <v>200</v>
      </c>
      <c r="G16" s="11">
        <v>86</v>
      </c>
      <c r="H16" s="24">
        <v>0</v>
      </c>
      <c r="I16" s="24">
        <v>220</v>
      </c>
      <c r="J16" s="4">
        <v>105</v>
      </c>
      <c r="K16" s="4">
        <v>23100</v>
      </c>
      <c r="L16" s="19">
        <f t="shared" si="0"/>
        <v>134</v>
      </c>
    </row>
    <row r="17" spans="1:12" hidden="1" x14ac:dyDescent="0.25">
      <c r="A17" s="2" t="s">
        <v>142</v>
      </c>
      <c r="B17" s="2" t="s">
        <v>143</v>
      </c>
      <c r="C17" s="2" t="s">
        <v>743</v>
      </c>
      <c r="D17" s="24">
        <v>344</v>
      </c>
      <c r="E17" s="24">
        <v>0</v>
      </c>
      <c r="F17" s="24">
        <v>150</v>
      </c>
      <c r="G17" s="11">
        <v>0</v>
      </c>
      <c r="H17" s="24">
        <v>0</v>
      </c>
      <c r="I17" s="24">
        <v>194</v>
      </c>
      <c r="J17" s="4">
        <v>27.75</v>
      </c>
      <c r="K17" s="4">
        <v>5383.5</v>
      </c>
      <c r="L17" s="19">
        <f t="shared" si="0"/>
        <v>194</v>
      </c>
    </row>
    <row r="18" spans="1:12" hidden="1" x14ac:dyDescent="0.25">
      <c r="A18" s="2" t="s">
        <v>612</v>
      </c>
      <c r="B18" s="2" t="s">
        <v>613</v>
      </c>
      <c r="C18" s="2" t="s">
        <v>224</v>
      </c>
      <c r="D18" s="24">
        <v>422</v>
      </c>
      <c r="E18" s="24">
        <v>0</v>
      </c>
      <c r="F18" s="24">
        <v>136.5</v>
      </c>
      <c r="G18" s="11">
        <v>5.4999999999998863</v>
      </c>
      <c r="H18" s="24">
        <v>110.5</v>
      </c>
      <c r="I18" s="24">
        <v>175</v>
      </c>
      <c r="J18" s="4">
        <v>200.15000000000006</v>
      </c>
      <c r="K18" s="4">
        <v>35026.25</v>
      </c>
      <c r="L18" s="19">
        <f t="shared" si="0"/>
        <v>169.50000000000011</v>
      </c>
    </row>
    <row r="19" spans="1:12" hidden="1" x14ac:dyDescent="0.25">
      <c r="A19" s="2" t="s">
        <v>392</v>
      </c>
      <c r="B19" s="2" t="s">
        <v>393</v>
      </c>
      <c r="C19" s="2" t="s">
        <v>224</v>
      </c>
      <c r="D19" s="24">
        <v>199.22000000000003</v>
      </c>
      <c r="E19" s="24">
        <v>17.5</v>
      </c>
      <c r="F19" s="24">
        <v>0</v>
      </c>
      <c r="G19" s="11">
        <v>24.049999999999962</v>
      </c>
      <c r="H19" s="24">
        <v>34</v>
      </c>
      <c r="I19" s="24">
        <v>147.72000000000006</v>
      </c>
      <c r="J19" s="4">
        <v>1691.6699999999994</v>
      </c>
      <c r="K19" s="4">
        <v>249893.49239999996</v>
      </c>
      <c r="L19" s="19">
        <f t="shared" si="0"/>
        <v>123.67000000000007</v>
      </c>
    </row>
    <row r="20" spans="1:12" hidden="1" x14ac:dyDescent="0.25">
      <c r="A20" s="2" t="s">
        <v>733</v>
      </c>
      <c r="B20" s="2" t="s">
        <v>734</v>
      </c>
      <c r="C20" s="2" t="s">
        <v>649</v>
      </c>
      <c r="D20" s="24">
        <v>196</v>
      </c>
      <c r="E20" s="24">
        <v>0</v>
      </c>
      <c r="F20" s="24">
        <v>63</v>
      </c>
      <c r="G20" s="11">
        <v>1.4210854715202004E-14</v>
      </c>
      <c r="H20" s="24">
        <v>0</v>
      </c>
      <c r="I20" s="24">
        <v>133</v>
      </c>
      <c r="J20" s="4">
        <v>1097.8899999999999</v>
      </c>
      <c r="K20" s="4">
        <v>146019.37000000005</v>
      </c>
      <c r="L20" s="19">
        <f t="shared" si="0"/>
        <v>133</v>
      </c>
    </row>
    <row r="21" spans="1:12" hidden="1" x14ac:dyDescent="0.25">
      <c r="A21" s="2" t="s">
        <v>751</v>
      </c>
      <c r="B21" s="2" t="s">
        <v>752</v>
      </c>
      <c r="C21" s="2" t="s">
        <v>242</v>
      </c>
      <c r="D21" s="24">
        <v>124</v>
      </c>
      <c r="E21" s="24">
        <v>0</v>
      </c>
      <c r="F21" s="24">
        <v>0</v>
      </c>
      <c r="G21" s="11">
        <v>0</v>
      </c>
      <c r="H21" s="24">
        <v>0</v>
      </c>
      <c r="I21" s="24">
        <v>124</v>
      </c>
      <c r="J21" s="4">
        <v>1.75</v>
      </c>
      <c r="K21" s="4">
        <v>217</v>
      </c>
      <c r="L21" s="19">
        <f t="shared" si="0"/>
        <v>124</v>
      </c>
    </row>
    <row r="22" spans="1:12" hidden="1" x14ac:dyDescent="0.25">
      <c r="A22" s="2" t="s">
        <v>44</v>
      </c>
      <c r="B22" s="2" t="s">
        <v>45</v>
      </c>
      <c r="C22" s="2" t="s">
        <v>242</v>
      </c>
      <c r="D22" s="24">
        <v>294</v>
      </c>
      <c r="E22" s="24">
        <v>0</v>
      </c>
      <c r="F22" s="24">
        <v>170</v>
      </c>
      <c r="G22" s="11">
        <v>18</v>
      </c>
      <c r="H22" s="24">
        <v>0</v>
      </c>
      <c r="I22" s="24">
        <v>124</v>
      </c>
      <c r="J22" s="4">
        <v>16.5</v>
      </c>
      <c r="K22" s="4">
        <v>2046</v>
      </c>
      <c r="L22" s="19">
        <f t="shared" si="0"/>
        <v>106</v>
      </c>
    </row>
    <row r="23" spans="1:12" hidden="1" x14ac:dyDescent="0.25">
      <c r="A23" s="2" t="s">
        <v>129</v>
      </c>
      <c r="B23" s="2" t="s">
        <v>130</v>
      </c>
      <c r="C23" s="2" t="s">
        <v>254</v>
      </c>
      <c r="D23" s="24">
        <v>150.80000000000001</v>
      </c>
      <c r="E23" s="24">
        <v>53.239999999999995</v>
      </c>
      <c r="F23" s="24">
        <v>0</v>
      </c>
      <c r="G23" s="11">
        <v>260.61000000000018</v>
      </c>
      <c r="H23" s="24">
        <v>0</v>
      </c>
      <c r="I23" s="24">
        <v>97.559999999999988</v>
      </c>
      <c r="J23" s="4">
        <v>136.18</v>
      </c>
      <c r="K23" s="4">
        <v>13285.720800000008</v>
      </c>
      <c r="L23" s="19">
        <f t="shared" si="0"/>
        <v>-163.05000000000018</v>
      </c>
    </row>
    <row r="24" spans="1:12" hidden="1" x14ac:dyDescent="0.25">
      <c r="A24" s="2" t="s">
        <v>125</v>
      </c>
      <c r="B24" s="2" t="s">
        <v>126</v>
      </c>
      <c r="C24" s="2" t="s">
        <v>254</v>
      </c>
      <c r="D24" s="24">
        <v>150.80000000000001</v>
      </c>
      <c r="E24" s="24">
        <v>53.239999999999995</v>
      </c>
      <c r="F24" s="24">
        <v>0</v>
      </c>
      <c r="G24" s="11">
        <v>297.60999999999996</v>
      </c>
      <c r="H24" s="24">
        <v>0</v>
      </c>
      <c r="I24" s="24">
        <v>97.559999999999988</v>
      </c>
      <c r="J24" s="4">
        <v>136.18</v>
      </c>
      <c r="K24" s="4">
        <v>13285.720800000008</v>
      </c>
      <c r="L24" s="19">
        <f t="shared" si="0"/>
        <v>-200.04999999999995</v>
      </c>
    </row>
    <row r="25" spans="1:12" hidden="1" x14ac:dyDescent="0.25">
      <c r="A25" s="2" t="s">
        <v>122</v>
      </c>
      <c r="B25" s="2" t="s">
        <v>123</v>
      </c>
      <c r="C25" s="2" t="s">
        <v>1151</v>
      </c>
      <c r="D25" s="24">
        <v>221</v>
      </c>
      <c r="E25" s="24">
        <v>0</v>
      </c>
      <c r="F25" s="24">
        <v>150</v>
      </c>
      <c r="G25" s="11">
        <v>50</v>
      </c>
      <c r="H25" s="24">
        <v>0</v>
      </c>
      <c r="I25" s="24">
        <v>71</v>
      </c>
      <c r="J25" s="4">
        <v>320</v>
      </c>
      <c r="K25" s="4">
        <v>22720</v>
      </c>
      <c r="L25" s="19">
        <f t="shared" si="0"/>
        <v>21</v>
      </c>
    </row>
    <row r="26" spans="1:12" hidden="1" x14ac:dyDescent="0.25">
      <c r="A26" s="2" t="s">
        <v>72</v>
      </c>
      <c r="B26" s="2" t="s">
        <v>251</v>
      </c>
      <c r="C26" s="2" t="s">
        <v>252</v>
      </c>
      <c r="D26" s="24">
        <v>167.22</v>
      </c>
      <c r="E26" s="24">
        <v>7.2999999999999989</v>
      </c>
      <c r="F26" s="24">
        <v>96</v>
      </c>
      <c r="G26" s="11">
        <v>195.44000000000005</v>
      </c>
      <c r="H26" s="24">
        <v>0</v>
      </c>
      <c r="I26" s="24">
        <v>63.92</v>
      </c>
      <c r="J26" s="4">
        <v>128.93</v>
      </c>
      <c r="K26" s="4">
        <v>8241.2055999999993</v>
      </c>
      <c r="L26" s="19">
        <f t="shared" si="0"/>
        <v>-131.52000000000007</v>
      </c>
    </row>
    <row r="27" spans="1:12" hidden="1" x14ac:dyDescent="0.25">
      <c r="A27" s="2" t="s">
        <v>105</v>
      </c>
      <c r="B27" s="2" t="s">
        <v>106</v>
      </c>
      <c r="C27" s="2" t="s">
        <v>626</v>
      </c>
      <c r="D27" s="24">
        <v>102</v>
      </c>
      <c r="E27" s="24">
        <v>0</v>
      </c>
      <c r="F27" s="24">
        <v>39</v>
      </c>
      <c r="G27" s="11">
        <v>36</v>
      </c>
      <c r="H27" s="24">
        <v>0</v>
      </c>
      <c r="I27" s="24">
        <v>63</v>
      </c>
      <c r="J27" s="4">
        <v>105</v>
      </c>
      <c r="K27" s="4">
        <v>6615</v>
      </c>
      <c r="L27" s="19">
        <f t="shared" si="0"/>
        <v>27</v>
      </c>
    </row>
    <row r="28" spans="1:12" hidden="1" x14ac:dyDescent="0.25">
      <c r="A28" s="2" t="s">
        <v>492</v>
      </c>
      <c r="B28" s="2" t="s">
        <v>493</v>
      </c>
      <c r="C28" s="2" t="s">
        <v>708</v>
      </c>
      <c r="D28" s="24">
        <v>258</v>
      </c>
      <c r="E28" s="24">
        <v>0</v>
      </c>
      <c r="F28" s="24">
        <v>0</v>
      </c>
      <c r="G28" s="11">
        <v>0</v>
      </c>
      <c r="H28" s="24">
        <v>200</v>
      </c>
      <c r="I28" s="24">
        <v>58</v>
      </c>
      <c r="J28" s="4">
        <v>4.01</v>
      </c>
      <c r="K28" s="4">
        <v>232.57999999999998</v>
      </c>
      <c r="L28" s="19">
        <f t="shared" si="0"/>
        <v>58</v>
      </c>
    </row>
    <row r="29" spans="1:12" hidden="1" x14ac:dyDescent="0.25">
      <c r="A29" s="2" t="s">
        <v>1158</v>
      </c>
      <c r="B29" s="2" t="s">
        <v>1159</v>
      </c>
      <c r="C29" s="2" t="s">
        <v>1222</v>
      </c>
      <c r="D29" s="24">
        <v>56</v>
      </c>
      <c r="E29" s="24">
        <v>0</v>
      </c>
      <c r="F29" s="24">
        <v>0</v>
      </c>
      <c r="G29" s="11">
        <v>0</v>
      </c>
      <c r="H29" s="24">
        <v>0</v>
      </c>
      <c r="I29" s="24">
        <v>56</v>
      </c>
      <c r="J29" s="4">
        <v>0</v>
      </c>
      <c r="K29" s="4">
        <v>0</v>
      </c>
      <c r="L29" s="19">
        <f t="shared" si="0"/>
        <v>56</v>
      </c>
    </row>
    <row r="30" spans="1:12" hidden="1" x14ac:dyDescent="0.25">
      <c r="A30" s="2" t="s">
        <v>81</v>
      </c>
      <c r="B30" s="2" t="s">
        <v>82</v>
      </c>
      <c r="C30" s="2" t="s">
        <v>224</v>
      </c>
      <c r="D30" s="24">
        <v>111</v>
      </c>
      <c r="E30" s="24">
        <v>46</v>
      </c>
      <c r="F30" s="24">
        <v>0</v>
      </c>
      <c r="G30" s="11">
        <v>0.5</v>
      </c>
      <c r="H30" s="24">
        <v>10</v>
      </c>
      <c r="I30" s="24">
        <v>55</v>
      </c>
      <c r="J30" s="4">
        <v>666.67</v>
      </c>
      <c r="K30" s="4">
        <v>36666.849999999991</v>
      </c>
      <c r="L30" s="19">
        <f t="shared" si="0"/>
        <v>54.5</v>
      </c>
    </row>
    <row r="31" spans="1:12" hidden="1" x14ac:dyDescent="0.25">
      <c r="A31" s="2" t="s">
        <v>650</v>
      </c>
      <c r="B31" s="2" t="s">
        <v>651</v>
      </c>
      <c r="C31" s="2" t="s">
        <v>649</v>
      </c>
      <c r="D31" s="24">
        <v>119</v>
      </c>
      <c r="E31" s="24">
        <v>0</v>
      </c>
      <c r="F31" s="24">
        <v>65</v>
      </c>
      <c r="G31" s="11">
        <v>0</v>
      </c>
      <c r="H31" s="24">
        <v>0</v>
      </c>
      <c r="I31" s="24">
        <v>54</v>
      </c>
      <c r="J31" s="4">
        <v>1119.9500000000003</v>
      </c>
      <c r="K31" s="4">
        <v>60477.300000000025</v>
      </c>
      <c r="L31" s="19">
        <f t="shared" si="0"/>
        <v>54</v>
      </c>
    </row>
    <row r="32" spans="1:12" hidden="1" x14ac:dyDescent="0.25">
      <c r="A32" s="2" t="s">
        <v>771</v>
      </c>
      <c r="B32" s="2" t="s">
        <v>772</v>
      </c>
      <c r="C32" s="2" t="s">
        <v>221</v>
      </c>
      <c r="D32" s="24">
        <v>54</v>
      </c>
      <c r="E32" s="24">
        <v>0</v>
      </c>
      <c r="F32" s="24">
        <v>0</v>
      </c>
      <c r="G32" s="11">
        <v>0</v>
      </c>
      <c r="H32" s="24">
        <v>0</v>
      </c>
      <c r="I32" s="24">
        <v>54</v>
      </c>
      <c r="J32" s="4">
        <v>0.66</v>
      </c>
      <c r="K32" s="4">
        <v>35.639999999999993</v>
      </c>
      <c r="L32" s="19">
        <f t="shared" si="0"/>
        <v>54</v>
      </c>
    </row>
    <row r="33" spans="1:12" hidden="1" x14ac:dyDescent="0.25">
      <c r="A33" s="2" t="s">
        <v>769</v>
      </c>
      <c r="B33" s="2" t="s">
        <v>770</v>
      </c>
      <c r="C33" s="2" t="s">
        <v>221</v>
      </c>
      <c r="D33" s="24">
        <v>54</v>
      </c>
      <c r="E33" s="24">
        <v>0</v>
      </c>
      <c r="F33" s="24">
        <v>0</v>
      </c>
      <c r="G33" s="11">
        <v>0</v>
      </c>
      <c r="H33" s="24">
        <v>0</v>
      </c>
      <c r="I33" s="24">
        <v>54</v>
      </c>
      <c r="J33" s="4">
        <v>1.25</v>
      </c>
      <c r="K33" s="4">
        <v>67.5</v>
      </c>
      <c r="L33" s="19">
        <f t="shared" si="0"/>
        <v>54</v>
      </c>
    </row>
    <row r="34" spans="1:12" hidden="1" x14ac:dyDescent="0.25">
      <c r="A34" s="2" t="s">
        <v>767</v>
      </c>
      <c r="B34" s="2" t="s">
        <v>768</v>
      </c>
      <c r="C34" s="2" t="s">
        <v>221</v>
      </c>
      <c r="D34" s="24">
        <v>54</v>
      </c>
      <c r="E34" s="24">
        <v>0</v>
      </c>
      <c r="F34" s="24">
        <v>0</v>
      </c>
      <c r="G34" s="11">
        <v>0</v>
      </c>
      <c r="H34" s="24">
        <v>0</v>
      </c>
      <c r="I34" s="24">
        <v>54</v>
      </c>
      <c r="J34" s="4">
        <v>0.70000000000000007</v>
      </c>
      <c r="K34" s="4">
        <v>37.800000000000004</v>
      </c>
      <c r="L34" s="19">
        <f t="shared" si="0"/>
        <v>54</v>
      </c>
    </row>
    <row r="35" spans="1:12" hidden="1" x14ac:dyDescent="0.25">
      <c r="A35" s="2" t="s">
        <v>729</v>
      </c>
      <c r="B35" s="2" t="s">
        <v>730</v>
      </c>
      <c r="C35" s="2" t="s">
        <v>224</v>
      </c>
      <c r="D35" s="24">
        <v>63</v>
      </c>
      <c r="E35" s="24">
        <v>9</v>
      </c>
      <c r="F35" s="24">
        <v>0</v>
      </c>
      <c r="G35" s="11">
        <v>344</v>
      </c>
      <c r="H35" s="24">
        <v>0</v>
      </c>
      <c r="I35" s="24">
        <v>54</v>
      </c>
      <c r="J35" s="4">
        <v>20.419999999999998</v>
      </c>
      <c r="K35" s="4">
        <v>1102.68</v>
      </c>
      <c r="L35" s="19">
        <f t="shared" si="0"/>
        <v>-290</v>
      </c>
    </row>
    <row r="36" spans="1:12" hidden="1" x14ac:dyDescent="0.25">
      <c r="A36" s="2" t="s">
        <v>847</v>
      </c>
      <c r="B36" s="2" t="s">
        <v>848</v>
      </c>
      <c r="C36" s="2" t="s">
        <v>255</v>
      </c>
      <c r="D36" s="24">
        <v>52</v>
      </c>
      <c r="E36" s="24">
        <v>0</v>
      </c>
      <c r="F36" s="24">
        <v>0</v>
      </c>
      <c r="G36" s="11">
        <v>-1.4210854715202004E-14</v>
      </c>
      <c r="H36" s="24">
        <v>0</v>
      </c>
      <c r="I36" s="24">
        <v>52</v>
      </c>
      <c r="J36" s="4">
        <v>546.60000000000014</v>
      </c>
      <c r="K36" s="4">
        <v>28423.200000000008</v>
      </c>
      <c r="L36" s="19">
        <f t="shared" si="0"/>
        <v>52.000000000000014</v>
      </c>
    </row>
    <row r="37" spans="1:12" hidden="1" x14ac:dyDescent="0.25">
      <c r="A37" s="2" t="s">
        <v>1113</v>
      </c>
      <c r="B37" s="2" t="s">
        <v>1114</v>
      </c>
      <c r="C37" s="2" t="s">
        <v>1222</v>
      </c>
      <c r="D37" s="24">
        <v>50</v>
      </c>
      <c r="E37" s="24">
        <v>0</v>
      </c>
      <c r="F37" s="24">
        <v>0</v>
      </c>
      <c r="G37" s="11">
        <v>0</v>
      </c>
      <c r="H37" s="24">
        <v>0</v>
      </c>
      <c r="I37" s="24">
        <v>50</v>
      </c>
      <c r="J37" s="4">
        <v>2.95</v>
      </c>
      <c r="K37" s="4">
        <v>147.5</v>
      </c>
      <c r="L37" s="19">
        <f t="shared" si="0"/>
        <v>50</v>
      </c>
    </row>
    <row r="38" spans="1:12" hidden="1" x14ac:dyDescent="0.25">
      <c r="A38" s="2" t="s">
        <v>1125</v>
      </c>
      <c r="B38" s="2" t="s">
        <v>1126</v>
      </c>
      <c r="C38" s="2" t="s">
        <v>224</v>
      </c>
      <c r="D38" s="24">
        <v>50</v>
      </c>
      <c r="E38" s="24">
        <v>0</v>
      </c>
      <c r="F38" s="24">
        <v>0</v>
      </c>
      <c r="G38" s="11">
        <v>9.2500000000000568</v>
      </c>
      <c r="H38" s="24">
        <v>0</v>
      </c>
      <c r="I38" s="24">
        <v>50</v>
      </c>
      <c r="J38" s="4">
        <v>194.54</v>
      </c>
      <c r="K38" s="4">
        <v>9727</v>
      </c>
      <c r="L38" s="19">
        <f t="shared" si="0"/>
        <v>40.749999999999943</v>
      </c>
    </row>
    <row r="39" spans="1:12" hidden="1" x14ac:dyDescent="0.25">
      <c r="A39" s="2" t="s">
        <v>146</v>
      </c>
      <c r="B39" s="2" t="s">
        <v>147</v>
      </c>
      <c r="C39" s="2" t="s">
        <v>224</v>
      </c>
      <c r="D39" s="24">
        <v>60.899999999999991</v>
      </c>
      <c r="E39" s="24">
        <v>9.8999999999999986</v>
      </c>
      <c r="F39" s="24">
        <v>0</v>
      </c>
      <c r="G39" s="11">
        <v>-3.1086244689504383E-14</v>
      </c>
      <c r="H39" s="24">
        <v>4</v>
      </c>
      <c r="I39" s="24">
        <v>46.999999999999993</v>
      </c>
      <c r="J39" s="4">
        <v>1041.6600000000001</v>
      </c>
      <c r="K39" s="4">
        <v>48958.020000000011</v>
      </c>
      <c r="L39" s="19">
        <f t="shared" si="0"/>
        <v>47.000000000000021</v>
      </c>
    </row>
    <row r="40" spans="1:12" hidden="1" x14ac:dyDescent="0.25">
      <c r="A40" s="2" t="s">
        <v>1160</v>
      </c>
      <c r="B40" s="2" t="s">
        <v>1161</v>
      </c>
      <c r="C40" s="2" t="s">
        <v>1223</v>
      </c>
      <c r="D40" s="24">
        <v>42</v>
      </c>
      <c r="E40" s="24">
        <v>0</v>
      </c>
      <c r="F40" s="24">
        <v>0</v>
      </c>
      <c r="G40" s="11">
        <v>0</v>
      </c>
      <c r="H40" s="24">
        <v>0</v>
      </c>
      <c r="I40" s="24">
        <v>42</v>
      </c>
      <c r="J40" s="4">
        <v>0.35999999999999993</v>
      </c>
      <c r="K40" s="4">
        <v>15.120000000000001</v>
      </c>
      <c r="L40" s="19">
        <f t="shared" si="0"/>
        <v>42</v>
      </c>
    </row>
    <row r="41" spans="1:12" hidden="1" x14ac:dyDescent="0.25">
      <c r="A41" s="2" t="s">
        <v>144</v>
      </c>
      <c r="B41" s="2" t="s">
        <v>145</v>
      </c>
      <c r="C41" s="2" t="s">
        <v>827</v>
      </c>
      <c r="D41" s="24">
        <v>40</v>
      </c>
      <c r="E41" s="24">
        <v>0</v>
      </c>
      <c r="F41" s="24">
        <v>0</v>
      </c>
      <c r="G41" s="11">
        <v>64</v>
      </c>
      <c r="H41" s="24">
        <v>0</v>
      </c>
      <c r="I41" s="24">
        <v>40</v>
      </c>
      <c r="J41" s="4">
        <v>6.870000000000001</v>
      </c>
      <c r="K41" s="4">
        <v>274.80000000000007</v>
      </c>
      <c r="L41" s="19">
        <f t="shared" si="0"/>
        <v>-24</v>
      </c>
    </row>
    <row r="42" spans="1:12" hidden="1" x14ac:dyDescent="0.25">
      <c r="A42" s="2" t="s">
        <v>932</v>
      </c>
      <c r="B42" s="2" t="s">
        <v>933</v>
      </c>
      <c r="C42" s="2" t="s">
        <v>224</v>
      </c>
      <c r="D42" s="24">
        <v>40</v>
      </c>
      <c r="E42" s="24">
        <v>0</v>
      </c>
      <c r="F42" s="24">
        <v>0</v>
      </c>
      <c r="G42" s="11">
        <v>68.954999999999984</v>
      </c>
      <c r="H42" s="24">
        <v>0</v>
      </c>
      <c r="I42" s="24">
        <v>40</v>
      </c>
      <c r="J42" s="4">
        <v>209.54</v>
      </c>
      <c r="K42" s="4">
        <v>8381.6</v>
      </c>
      <c r="L42" s="19">
        <f t="shared" si="0"/>
        <v>-28.954999999999984</v>
      </c>
    </row>
    <row r="43" spans="1:12" hidden="1" x14ac:dyDescent="0.25">
      <c r="A43" s="2" t="s">
        <v>511</v>
      </c>
      <c r="B43" s="2" t="s">
        <v>512</v>
      </c>
      <c r="C43" s="2" t="s">
        <v>827</v>
      </c>
      <c r="D43" s="24">
        <v>38</v>
      </c>
      <c r="E43" s="24">
        <v>0</v>
      </c>
      <c r="F43" s="24">
        <v>0</v>
      </c>
      <c r="G43" s="11">
        <v>14</v>
      </c>
      <c r="H43" s="24">
        <v>0</v>
      </c>
      <c r="I43" s="24">
        <v>38</v>
      </c>
      <c r="J43" s="4">
        <v>6.8700000000000019</v>
      </c>
      <c r="K43" s="4">
        <v>261.06000000000006</v>
      </c>
      <c r="L43" s="19">
        <f t="shared" si="0"/>
        <v>24</v>
      </c>
    </row>
    <row r="44" spans="1:12" hidden="1" x14ac:dyDescent="0.25">
      <c r="A44" s="2" t="s">
        <v>663</v>
      </c>
      <c r="B44" s="2" t="s">
        <v>664</v>
      </c>
      <c r="C44" s="2" t="s">
        <v>649</v>
      </c>
      <c r="D44" s="24">
        <v>100</v>
      </c>
      <c r="E44" s="24">
        <v>0</v>
      </c>
      <c r="F44" s="24">
        <v>63</v>
      </c>
      <c r="G44" s="11">
        <v>142.04999999999998</v>
      </c>
      <c r="H44" s="24">
        <v>0</v>
      </c>
      <c r="I44" s="24">
        <v>37</v>
      </c>
      <c r="J44" s="4">
        <v>1094.67</v>
      </c>
      <c r="K44" s="4">
        <v>40502.79</v>
      </c>
      <c r="L44" s="19">
        <f t="shared" si="0"/>
        <v>-105.04999999999998</v>
      </c>
    </row>
    <row r="45" spans="1:12" hidden="1" x14ac:dyDescent="0.25">
      <c r="A45" s="2" t="s">
        <v>210</v>
      </c>
      <c r="B45" s="2" t="s">
        <v>294</v>
      </c>
      <c r="C45" s="2" t="s">
        <v>229</v>
      </c>
      <c r="D45" s="24">
        <v>33</v>
      </c>
      <c r="E45" s="24">
        <v>0</v>
      </c>
      <c r="F45" s="24">
        <v>0</v>
      </c>
      <c r="G45" s="11">
        <v>0</v>
      </c>
      <c r="H45" s="24">
        <v>0</v>
      </c>
      <c r="I45" s="24">
        <v>33</v>
      </c>
      <c r="J45" s="4">
        <v>0.12</v>
      </c>
      <c r="K45" s="4">
        <v>3.9599999999999995</v>
      </c>
      <c r="L45" s="19">
        <f t="shared" si="0"/>
        <v>33</v>
      </c>
    </row>
    <row r="46" spans="1:12" hidden="1" x14ac:dyDescent="0.25">
      <c r="A46" s="2" t="s">
        <v>301</v>
      </c>
      <c r="B46" s="2" t="s">
        <v>302</v>
      </c>
      <c r="C46" s="2" t="s">
        <v>242</v>
      </c>
      <c r="D46" s="24">
        <v>306.5</v>
      </c>
      <c r="E46" s="24">
        <v>94.5</v>
      </c>
      <c r="F46" s="24">
        <v>180</v>
      </c>
      <c r="G46" s="11">
        <v>80</v>
      </c>
      <c r="H46" s="24">
        <v>0</v>
      </c>
      <c r="I46" s="24">
        <v>32</v>
      </c>
      <c r="J46" s="4">
        <v>240</v>
      </c>
      <c r="K46" s="4">
        <v>7680</v>
      </c>
      <c r="L46" s="19">
        <f t="shared" si="0"/>
        <v>-48</v>
      </c>
    </row>
    <row r="47" spans="1:12" hidden="1" x14ac:dyDescent="0.25">
      <c r="A47" s="2" t="s">
        <v>1021</v>
      </c>
      <c r="B47" s="2" t="s">
        <v>1022</v>
      </c>
      <c r="C47" s="2" t="s">
        <v>217</v>
      </c>
      <c r="D47" s="24">
        <v>32</v>
      </c>
      <c r="E47" s="24">
        <v>0</v>
      </c>
      <c r="F47" s="24">
        <v>0</v>
      </c>
      <c r="G47" s="11">
        <v>0</v>
      </c>
      <c r="H47" s="24">
        <v>0</v>
      </c>
      <c r="I47" s="24">
        <v>32</v>
      </c>
      <c r="J47" s="4">
        <v>0.45</v>
      </c>
      <c r="K47" s="4">
        <v>14.4</v>
      </c>
      <c r="L47" s="19">
        <f t="shared" si="0"/>
        <v>32</v>
      </c>
    </row>
    <row r="48" spans="1:12" hidden="1" x14ac:dyDescent="0.25">
      <c r="A48" s="2" t="s">
        <v>501</v>
      </c>
      <c r="B48" s="2" t="s">
        <v>502</v>
      </c>
      <c r="C48" s="2" t="s">
        <v>1222</v>
      </c>
      <c r="D48" s="24">
        <v>30.5</v>
      </c>
      <c r="E48" s="24">
        <v>0</v>
      </c>
      <c r="F48" s="24">
        <v>0</v>
      </c>
      <c r="G48" s="11">
        <v>27</v>
      </c>
      <c r="H48" s="24">
        <v>0</v>
      </c>
      <c r="I48" s="24">
        <v>30.5</v>
      </c>
      <c r="J48" s="4">
        <v>13</v>
      </c>
      <c r="K48" s="4">
        <v>396.5</v>
      </c>
      <c r="L48" s="19">
        <f t="shared" si="0"/>
        <v>3.5</v>
      </c>
    </row>
    <row r="49" spans="1:12" hidden="1" x14ac:dyDescent="0.25">
      <c r="A49" s="2" t="s">
        <v>513</v>
      </c>
      <c r="B49" s="20" t="s">
        <v>514</v>
      </c>
      <c r="C49" s="2" t="s">
        <v>264</v>
      </c>
      <c r="D49" s="24">
        <v>40</v>
      </c>
      <c r="E49" s="24">
        <v>8</v>
      </c>
      <c r="F49" s="24">
        <v>6</v>
      </c>
      <c r="G49" s="11">
        <v>8</v>
      </c>
      <c r="H49" s="24">
        <v>0</v>
      </c>
      <c r="I49" s="24">
        <v>26</v>
      </c>
      <c r="J49" s="4">
        <v>1603.3300000000004</v>
      </c>
      <c r="K49" s="4">
        <v>41686.58</v>
      </c>
      <c r="L49" s="19">
        <f t="shared" si="0"/>
        <v>18</v>
      </c>
    </row>
    <row r="50" spans="1:12" hidden="1" x14ac:dyDescent="0.25">
      <c r="A50" s="2" t="s">
        <v>455</v>
      </c>
      <c r="B50" s="2" t="s">
        <v>456</v>
      </c>
      <c r="C50" s="2" t="s">
        <v>1224</v>
      </c>
      <c r="D50" s="24">
        <v>26</v>
      </c>
      <c r="E50" s="24">
        <v>0</v>
      </c>
      <c r="F50" s="24">
        <v>0</v>
      </c>
      <c r="G50" s="11">
        <v>93</v>
      </c>
      <c r="H50" s="24">
        <v>0</v>
      </c>
      <c r="I50" s="24">
        <v>26</v>
      </c>
      <c r="J50" s="4">
        <v>13.5</v>
      </c>
      <c r="K50" s="4">
        <v>351</v>
      </c>
      <c r="L50" s="19">
        <f t="shared" si="0"/>
        <v>-67</v>
      </c>
    </row>
    <row r="51" spans="1:12" hidden="1" x14ac:dyDescent="0.25">
      <c r="A51" s="2" t="s">
        <v>780</v>
      </c>
      <c r="B51" s="2" t="s">
        <v>781</v>
      </c>
      <c r="C51" s="2" t="s">
        <v>590</v>
      </c>
      <c r="D51" s="24">
        <v>38</v>
      </c>
      <c r="E51" s="24">
        <v>10</v>
      </c>
      <c r="F51" s="24">
        <v>3</v>
      </c>
      <c r="G51" s="11">
        <v>12</v>
      </c>
      <c r="H51" s="24">
        <v>0</v>
      </c>
      <c r="I51" s="24">
        <v>25</v>
      </c>
      <c r="J51" s="4">
        <v>444.13000000000005</v>
      </c>
      <c r="K51" s="4">
        <v>11103.25</v>
      </c>
      <c r="L51" s="19">
        <f t="shared" si="0"/>
        <v>13</v>
      </c>
    </row>
    <row r="52" spans="1:12" hidden="1" x14ac:dyDescent="0.25">
      <c r="A52" s="2" t="s">
        <v>775</v>
      </c>
      <c r="B52" s="2" t="s">
        <v>776</v>
      </c>
      <c r="C52" s="2" t="s">
        <v>255</v>
      </c>
      <c r="D52" s="24">
        <v>24</v>
      </c>
      <c r="E52" s="24">
        <v>0</v>
      </c>
      <c r="F52" s="24">
        <v>0</v>
      </c>
      <c r="G52" s="11">
        <v>0</v>
      </c>
      <c r="H52" s="24">
        <v>0</v>
      </c>
      <c r="I52" s="24">
        <v>24</v>
      </c>
      <c r="J52" s="4">
        <v>614.63</v>
      </c>
      <c r="K52" s="4">
        <v>14751.119999999997</v>
      </c>
      <c r="L52" s="19">
        <f t="shared" si="0"/>
        <v>24</v>
      </c>
    </row>
    <row r="53" spans="1:12" hidden="1" x14ac:dyDescent="0.25">
      <c r="A53" s="2" t="s">
        <v>1156</v>
      </c>
      <c r="B53" s="2" t="s">
        <v>1157</v>
      </c>
      <c r="C53" s="2" t="s">
        <v>636</v>
      </c>
      <c r="D53" s="24">
        <v>24</v>
      </c>
      <c r="E53" s="24">
        <v>0</v>
      </c>
      <c r="F53" s="24">
        <v>0</v>
      </c>
      <c r="G53" s="11">
        <v>0</v>
      </c>
      <c r="H53" s="24">
        <v>0</v>
      </c>
      <c r="I53" s="24">
        <v>24</v>
      </c>
      <c r="J53" s="4">
        <v>0.88</v>
      </c>
      <c r="K53" s="4">
        <v>21.12</v>
      </c>
      <c r="L53" s="19">
        <f t="shared" si="0"/>
        <v>24</v>
      </c>
    </row>
    <row r="54" spans="1:12" hidden="1" x14ac:dyDescent="0.25">
      <c r="A54" s="2" t="s">
        <v>608</v>
      </c>
      <c r="B54" s="2" t="s">
        <v>609</v>
      </c>
      <c r="C54" s="2" t="s">
        <v>637</v>
      </c>
      <c r="D54" s="24">
        <v>34</v>
      </c>
      <c r="E54" s="24">
        <v>8</v>
      </c>
      <c r="F54" s="24">
        <v>2</v>
      </c>
      <c r="G54" s="11">
        <v>8</v>
      </c>
      <c r="H54" s="24">
        <v>0</v>
      </c>
      <c r="I54" s="24">
        <v>24</v>
      </c>
      <c r="J54" s="4">
        <v>56.580000000000013</v>
      </c>
      <c r="K54" s="4">
        <v>1357.9199999999996</v>
      </c>
      <c r="L54" s="19">
        <f t="shared" si="0"/>
        <v>16</v>
      </c>
    </row>
    <row r="55" spans="1:12" hidden="1" x14ac:dyDescent="0.25">
      <c r="A55" s="2" t="s">
        <v>308</v>
      </c>
      <c r="B55" s="2" t="s">
        <v>309</v>
      </c>
      <c r="C55" s="2" t="s">
        <v>629</v>
      </c>
      <c r="D55" s="24">
        <v>37</v>
      </c>
      <c r="E55" s="24">
        <v>0</v>
      </c>
      <c r="F55" s="24">
        <v>13</v>
      </c>
      <c r="G55" s="11">
        <v>1</v>
      </c>
      <c r="H55" s="24">
        <v>0</v>
      </c>
      <c r="I55" s="24">
        <v>24</v>
      </c>
      <c r="J55" s="4">
        <v>65.42</v>
      </c>
      <c r="K55" s="4">
        <v>1570.0800000000006</v>
      </c>
      <c r="L55" s="19">
        <f t="shared" si="0"/>
        <v>23</v>
      </c>
    </row>
    <row r="56" spans="1:12" hidden="1" x14ac:dyDescent="0.25">
      <c r="A56" s="2" t="s">
        <v>87</v>
      </c>
      <c r="B56" s="2" t="s">
        <v>88</v>
      </c>
      <c r="C56" s="2" t="s">
        <v>242</v>
      </c>
      <c r="D56" s="24">
        <v>71.62</v>
      </c>
      <c r="E56" s="24">
        <v>0</v>
      </c>
      <c r="F56" s="24">
        <v>48</v>
      </c>
      <c r="G56" s="11">
        <v>-2.1316282072803006E-14</v>
      </c>
      <c r="H56" s="24">
        <v>0</v>
      </c>
      <c r="I56" s="24">
        <v>23.620000000000005</v>
      </c>
      <c r="J56" s="4">
        <v>100</v>
      </c>
      <c r="K56" s="4">
        <v>2362.0000000000005</v>
      </c>
      <c r="L56" s="19">
        <f t="shared" si="0"/>
        <v>23.620000000000026</v>
      </c>
    </row>
    <row r="57" spans="1:12" hidden="1" x14ac:dyDescent="0.25">
      <c r="A57" s="2" t="s">
        <v>1201</v>
      </c>
      <c r="B57" s="2" t="s">
        <v>1202</v>
      </c>
      <c r="C57" s="2" t="s">
        <v>491</v>
      </c>
      <c r="D57" s="24">
        <v>23.209999999999997</v>
      </c>
      <c r="E57" s="24">
        <v>0</v>
      </c>
      <c r="F57" s="24">
        <v>0</v>
      </c>
      <c r="G57" s="11">
        <v>8.5265128291212022E-14</v>
      </c>
      <c r="H57" s="24">
        <v>0</v>
      </c>
      <c r="I57" s="24">
        <v>23.209999999999997</v>
      </c>
      <c r="J57" s="4">
        <v>120.68</v>
      </c>
      <c r="K57" s="4">
        <v>2800.9827999999998</v>
      </c>
      <c r="L57" s="19">
        <f t="shared" si="0"/>
        <v>23.209999999999912</v>
      </c>
    </row>
    <row r="58" spans="1:12" hidden="1" x14ac:dyDescent="0.25">
      <c r="A58" s="2" t="s">
        <v>643</v>
      </c>
      <c r="B58" s="20" t="s">
        <v>644</v>
      </c>
      <c r="C58" s="2" t="s">
        <v>648</v>
      </c>
      <c r="D58" s="24">
        <v>52</v>
      </c>
      <c r="E58" s="24">
        <v>19</v>
      </c>
      <c r="F58" s="24">
        <v>11</v>
      </c>
      <c r="G58" s="11">
        <v>19</v>
      </c>
      <c r="H58" s="24">
        <v>0</v>
      </c>
      <c r="I58" s="24">
        <v>22</v>
      </c>
      <c r="J58" s="4">
        <v>3072</v>
      </c>
      <c r="K58" s="4">
        <v>67584</v>
      </c>
      <c r="L58" s="19">
        <f t="shared" si="0"/>
        <v>3</v>
      </c>
    </row>
    <row r="59" spans="1:12" hidden="1" x14ac:dyDescent="0.25">
      <c r="A59" s="2" t="s">
        <v>119</v>
      </c>
      <c r="B59" s="2" t="s">
        <v>120</v>
      </c>
      <c r="C59" s="2" t="s">
        <v>242</v>
      </c>
      <c r="D59" s="24">
        <v>106</v>
      </c>
      <c r="E59" s="24">
        <v>0</v>
      </c>
      <c r="F59" s="24">
        <v>84</v>
      </c>
      <c r="G59" s="11">
        <v>36</v>
      </c>
      <c r="H59" s="24">
        <v>0</v>
      </c>
      <c r="I59" s="24">
        <v>22</v>
      </c>
      <c r="J59" s="4">
        <v>20</v>
      </c>
      <c r="K59" s="4">
        <v>440</v>
      </c>
      <c r="L59" s="19">
        <f t="shared" si="0"/>
        <v>-14</v>
      </c>
    </row>
    <row r="60" spans="1:12" hidden="1" x14ac:dyDescent="0.25">
      <c r="A60" s="2" t="s">
        <v>339</v>
      </c>
      <c r="B60" s="2" t="s">
        <v>340</v>
      </c>
      <c r="C60" s="2" t="s">
        <v>491</v>
      </c>
      <c r="D60" s="24">
        <v>136.04</v>
      </c>
      <c r="E60" s="24">
        <v>54.14</v>
      </c>
      <c r="F60" s="24">
        <v>0</v>
      </c>
      <c r="G60" s="11">
        <v>154.95000000000013</v>
      </c>
      <c r="H60" s="24">
        <v>60</v>
      </c>
      <c r="I60" s="24">
        <v>21.899999999999984</v>
      </c>
      <c r="J60" s="4">
        <v>194.75</v>
      </c>
      <c r="K60" s="4">
        <v>4265.0249999999987</v>
      </c>
      <c r="L60" s="19">
        <f t="shared" si="0"/>
        <v>-133.05000000000013</v>
      </c>
    </row>
    <row r="61" spans="1:12" hidden="1" x14ac:dyDescent="0.25">
      <c r="A61" s="2" t="s">
        <v>381</v>
      </c>
      <c r="B61" s="2" t="s">
        <v>382</v>
      </c>
      <c r="C61" s="2" t="s">
        <v>822</v>
      </c>
      <c r="D61" s="24">
        <v>21.1</v>
      </c>
      <c r="E61" s="24">
        <v>0</v>
      </c>
      <c r="F61" s="24">
        <v>0</v>
      </c>
      <c r="G61" s="11">
        <v>20.300000000000054</v>
      </c>
      <c r="H61" s="24">
        <v>0</v>
      </c>
      <c r="I61" s="24">
        <v>21.100000000000005</v>
      </c>
      <c r="J61" s="4">
        <v>115</v>
      </c>
      <c r="K61" s="4">
        <v>2426.5</v>
      </c>
      <c r="L61" s="19">
        <f t="shared" si="0"/>
        <v>0.79999999999994742</v>
      </c>
    </row>
    <row r="62" spans="1:12" hidden="1" x14ac:dyDescent="0.25">
      <c r="A62" s="2" t="s">
        <v>820</v>
      </c>
      <c r="B62" s="2" t="s">
        <v>821</v>
      </c>
      <c r="C62" s="2" t="s">
        <v>277</v>
      </c>
      <c r="D62" s="24">
        <v>40</v>
      </c>
      <c r="E62" s="24">
        <v>5</v>
      </c>
      <c r="F62" s="24">
        <v>15</v>
      </c>
      <c r="G62" s="11">
        <v>10</v>
      </c>
      <c r="H62" s="24">
        <v>0</v>
      </c>
      <c r="I62" s="24">
        <v>20</v>
      </c>
      <c r="J62" s="4">
        <v>177.29</v>
      </c>
      <c r="K62" s="4">
        <v>3545.7999999999997</v>
      </c>
      <c r="L62" s="19">
        <f t="shared" si="0"/>
        <v>10</v>
      </c>
    </row>
    <row r="63" spans="1:12" hidden="1" x14ac:dyDescent="0.25">
      <c r="A63" s="2" t="s">
        <v>661</v>
      </c>
      <c r="B63" s="2" t="s">
        <v>662</v>
      </c>
      <c r="C63" s="2" t="s">
        <v>224</v>
      </c>
      <c r="D63" s="24">
        <v>19</v>
      </c>
      <c r="E63" s="24">
        <v>0</v>
      </c>
      <c r="F63" s="24">
        <v>0</v>
      </c>
      <c r="G63" s="11">
        <v>0</v>
      </c>
      <c r="H63" s="24">
        <v>0</v>
      </c>
      <c r="I63" s="24">
        <v>19</v>
      </c>
      <c r="J63" s="4">
        <v>80.98</v>
      </c>
      <c r="K63" s="4">
        <v>1538.6199999999997</v>
      </c>
      <c r="L63" s="19">
        <f t="shared" si="0"/>
        <v>19</v>
      </c>
    </row>
    <row r="64" spans="1:12" hidden="1" x14ac:dyDescent="0.25">
      <c r="A64" s="2" t="s">
        <v>23</v>
      </c>
      <c r="B64" s="2" t="s">
        <v>305</v>
      </c>
      <c r="C64" s="2" t="s">
        <v>636</v>
      </c>
      <c r="D64" s="24">
        <v>19</v>
      </c>
      <c r="E64" s="24">
        <v>0</v>
      </c>
      <c r="F64" s="24">
        <v>0</v>
      </c>
      <c r="G64" s="11">
        <v>7</v>
      </c>
      <c r="H64" s="24">
        <v>0</v>
      </c>
      <c r="I64" s="24">
        <v>19</v>
      </c>
      <c r="J64" s="4">
        <v>40</v>
      </c>
      <c r="K64" s="4">
        <v>760</v>
      </c>
      <c r="L64" s="19">
        <f t="shared" si="0"/>
        <v>12</v>
      </c>
    </row>
    <row r="65" spans="1:12" hidden="1" x14ac:dyDescent="0.25">
      <c r="A65" s="2" t="s">
        <v>487</v>
      </c>
      <c r="B65" s="2" t="s">
        <v>488</v>
      </c>
      <c r="C65" s="2" t="s">
        <v>1088</v>
      </c>
      <c r="D65" s="24">
        <v>38</v>
      </c>
      <c r="E65" s="24">
        <v>0</v>
      </c>
      <c r="F65" s="24">
        <v>20</v>
      </c>
      <c r="G65" s="11">
        <v>34</v>
      </c>
      <c r="H65" s="24">
        <v>0</v>
      </c>
      <c r="I65" s="24">
        <v>18</v>
      </c>
      <c r="J65" s="4">
        <v>82</v>
      </c>
      <c r="K65" s="4">
        <v>1476</v>
      </c>
      <c r="L65" s="19">
        <f t="shared" si="0"/>
        <v>-16</v>
      </c>
    </row>
    <row r="66" spans="1:12" hidden="1" x14ac:dyDescent="0.25">
      <c r="A66" s="2" t="s">
        <v>371</v>
      </c>
      <c r="B66" s="2" t="s">
        <v>372</v>
      </c>
      <c r="C66" s="2" t="s">
        <v>242</v>
      </c>
      <c r="D66" s="24">
        <v>214</v>
      </c>
      <c r="E66" s="24">
        <v>0</v>
      </c>
      <c r="F66" s="24">
        <v>196</v>
      </c>
      <c r="G66" s="11">
        <v>31</v>
      </c>
      <c r="H66" s="24">
        <v>0</v>
      </c>
      <c r="I66" s="24">
        <v>18</v>
      </c>
      <c r="J66" s="4">
        <v>20</v>
      </c>
      <c r="K66" s="4">
        <v>360</v>
      </c>
      <c r="L66" s="19">
        <f t="shared" si="0"/>
        <v>-13</v>
      </c>
    </row>
    <row r="67" spans="1:12" hidden="1" x14ac:dyDescent="0.25">
      <c r="A67" s="2" t="s">
        <v>115</v>
      </c>
      <c r="B67" s="2" t="s">
        <v>116</v>
      </c>
      <c r="C67" s="2" t="s">
        <v>491</v>
      </c>
      <c r="D67" s="24">
        <v>33.126000000000005</v>
      </c>
      <c r="E67" s="24">
        <v>15.178000000000001</v>
      </c>
      <c r="F67" s="24">
        <v>0</v>
      </c>
      <c r="G67" s="11">
        <v>65.030999999999977</v>
      </c>
      <c r="H67" s="24">
        <v>0</v>
      </c>
      <c r="I67" s="24">
        <v>17.948</v>
      </c>
      <c r="J67" s="4">
        <v>389.52999999999986</v>
      </c>
      <c r="K67" s="4">
        <v>6991.2844400000013</v>
      </c>
      <c r="L67" s="19">
        <f t="shared" si="0"/>
        <v>-47.08299999999997</v>
      </c>
    </row>
    <row r="68" spans="1:12" hidden="1" x14ac:dyDescent="0.25">
      <c r="A68" s="2" t="s">
        <v>395</v>
      </c>
      <c r="B68" s="2" t="s">
        <v>396</v>
      </c>
      <c r="C68" s="2" t="s">
        <v>629</v>
      </c>
      <c r="D68" s="24">
        <v>34.100000000000009</v>
      </c>
      <c r="E68" s="24">
        <v>0</v>
      </c>
      <c r="F68" s="24">
        <v>17</v>
      </c>
      <c r="G68" s="11">
        <v>3.0000000000000151</v>
      </c>
      <c r="H68" s="24">
        <v>0</v>
      </c>
      <c r="I68" s="24">
        <v>17.100000000000016</v>
      </c>
      <c r="J68" s="4">
        <v>145.82999999999998</v>
      </c>
      <c r="K68" s="4">
        <v>2493.6930000000011</v>
      </c>
      <c r="L68" s="19">
        <f t="shared" si="0"/>
        <v>14.099999999999994</v>
      </c>
    </row>
    <row r="69" spans="1:12" hidden="1" x14ac:dyDescent="0.25">
      <c r="A69" s="2" t="s">
        <v>489</v>
      </c>
      <c r="B69" s="2" t="s">
        <v>490</v>
      </c>
      <c r="C69" s="2" t="s">
        <v>483</v>
      </c>
      <c r="D69" s="24">
        <v>16</v>
      </c>
      <c r="E69" s="24">
        <v>0</v>
      </c>
      <c r="F69" s="24">
        <v>0</v>
      </c>
      <c r="G69" s="11">
        <v>0</v>
      </c>
      <c r="H69" s="24">
        <v>0</v>
      </c>
      <c r="I69" s="24">
        <v>16</v>
      </c>
      <c r="J69" s="4">
        <v>75</v>
      </c>
      <c r="K69" s="4">
        <v>1200</v>
      </c>
      <c r="L69" s="19">
        <f t="shared" si="0"/>
        <v>16</v>
      </c>
    </row>
    <row r="70" spans="1:12" hidden="1" x14ac:dyDescent="0.25">
      <c r="A70" s="2" t="s">
        <v>1068</v>
      </c>
      <c r="B70" s="2" t="s">
        <v>1069</v>
      </c>
      <c r="C70" s="2" t="s">
        <v>1222</v>
      </c>
      <c r="D70" s="24">
        <v>16</v>
      </c>
      <c r="E70" s="24">
        <v>0</v>
      </c>
      <c r="F70" s="24">
        <v>0</v>
      </c>
      <c r="G70" s="11">
        <v>0</v>
      </c>
      <c r="H70" s="24">
        <v>0</v>
      </c>
      <c r="I70" s="24">
        <v>16</v>
      </c>
      <c r="J70" s="4">
        <v>0</v>
      </c>
      <c r="K70" s="4">
        <v>0</v>
      </c>
      <c r="L70" s="19">
        <f t="shared" si="0"/>
        <v>16</v>
      </c>
    </row>
    <row r="71" spans="1:12" hidden="1" x14ac:dyDescent="0.25">
      <c r="A71" s="2" t="s">
        <v>866</v>
      </c>
      <c r="B71" s="20" t="s">
        <v>645</v>
      </c>
      <c r="C71" s="2" t="s">
        <v>648</v>
      </c>
      <c r="D71" s="24">
        <v>28</v>
      </c>
      <c r="E71" s="24">
        <v>7</v>
      </c>
      <c r="F71" s="24">
        <v>5</v>
      </c>
      <c r="G71" s="11">
        <v>7</v>
      </c>
      <c r="H71" s="24">
        <v>0</v>
      </c>
      <c r="I71" s="24">
        <v>16</v>
      </c>
      <c r="J71" s="4">
        <v>3532.8000000000011</v>
      </c>
      <c r="K71" s="4">
        <v>56524.800000000017</v>
      </c>
      <c r="L71" s="19">
        <f t="shared" si="0"/>
        <v>9</v>
      </c>
    </row>
    <row r="72" spans="1:12" hidden="1" x14ac:dyDescent="0.25">
      <c r="A72" s="2" t="s">
        <v>270</v>
      </c>
      <c r="B72" s="2" t="s">
        <v>589</v>
      </c>
      <c r="C72" s="2" t="s">
        <v>590</v>
      </c>
      <c r="D72" s="24">
        <v>20</v>
      </c>
      <c r="E72" s="24">
        <v>3</v>
      </c>
      <c r="F72" s="24">
        <v>1</v>
      </c>
      <c r="G72" s="11">
        <v>11</v>
      </c>
      <c r="H72" s="24">
        <v>0</v>
      </c>
      <c r="I72" s="24">
        <v>16</v>
      </c>
      <c r="J72" s="4">
        <v>13310.519999999995</v>
      </c>
      <c r="K72" s="4">
        <v>212968.31999999992</v>
      </c>
      <c r="L72" s="19">
        <f t="shared" si="0"/>
        <v>5</v>
      </c>
    </row>
    <row r="73" spans="1:12" hidden="1" x14ac:dyDescent="0.25">
      <c r="A73" s="2" t="s">
        <v>938</v>
      </c>
      <c r="B73" s="2" t="s">
        <v>939</v>
      </c>
      <c r="C73" s="2" t="s">
        <v>940</v>
      </c>
      <c r="D73" s="24">
        <v>16</v>
      </c>
      <c r="E73" s="24">
        <v>0</v>
      </c>
      <c r="F73" s="24">
        <v>0</v>
      </c>
      <c r="G73" s="11">
        <v>4</v>
      </c>
      <c r="H73" s="24">
        <v>0</v>
      </c>
      <c r="I73" s="24">
        <v>16</v>
      </c>
      <c r="J73" s="4">
        <v>90</v>
      </c>
      <c r="K73" s="4">
        <v>1440</v>
      </c>
      <c r="L73" s="19">
        <f t="shared" si="0"/>
        <v>12</v>
      </c>
    </row>
    <row r="74" spans="1:12" hidden="1" x14ac:dyDescent="0.25">
      <c r="A74" s="2" t="s">
        <v>1023</v>
      </c>
      <c r="B74" s="2" t="s">
        <v>1024</v>
      </c>
      <c r="C74" s="2" t="s">
        <v>217</v>
      </c>
      <c r="D74" s="24">
        <v>16</v>
      </c>
      <c r="E74" s="24">
        <v>0</v>
      </c>
      <c r="F74" s="24">
        <v>0</v>
      </c>
      <c r="G74" s="11">
        <v>0</v>
      </c>
      <c r="H74" s="24">
        <v>0</v>
      </c>
      <c r="I74" s="24">
        <v>16</v>
      </c>
      <c r="J74" s="4">
        <v>0.35</v>
      </c>
      <c r="K74" s="4">
        <v>5.6</v>
      </c>
      <c r="L74" s="19">
        <f t="shared" si="0"/>
        <v>16</v>
      </c>
    </row>
    <row r="75" spans="1:12" hidden="1" x14ac:dyDescent="0.25">
      <c r="A75" s="2" t="s">
        <v>1075</v>
      </c>
      <c r="B75" s="2" t="s">
        <v>1076</v>
      </c>
      <c r="C75" s="2" t="s">
        <v>1222</v>
      </c>
      <c r="D75" s="24">
        <v>15</v>
      </c>
      <c r="E75" s="24">
        <v>0</v>
      </c>
      <c r="F75" s="24">
        <v>0</v>
      </c>
      <c r="G75" s="11">
        <v>0</v>
      </c>
      <c r="H75" s="24">
        <v>0</v>
      </c>
      <c r="I75" s="24">
        <v>15</v>
      </c>
      <c r="J75" s="4">
        <v>0</v>
      </c>
      <c r="K75" s="4">
        <v>0</v>
      </c>
      <c r="L75" s="19">
        <f t="shared" si="0"/>
        <v>15</v>
      </c>
    </row>
    <row r="76" spans="1:12" hidden="1" x14ac:dyDescent="0.25">
      <c r="A76" s="2" t="s">
        <v>135</v>
      </c>
      <c r="B76" s="2" t="s">
        <v>136</v>
      </c>
      <c r="C76" s="2" t="s">
        <v>673</v>
      </c>
      <c r="D76" s="24">
        <v>154.5</v>
      </c>
      <c r="E76" s="24">
        <v>0</v>
      </c>
      <c r="F76" s="24">
        <v>60</v>
      </c>
      <c r="G76" s="11">
        <v>52</v>
      </c>
      <c r="H76" s="24">
        <v>80</v>
      </c>
      <c r="I76" s="24">
        <v>14.5</v>
      </c>
      <c r="J76" s="4">
        <v>49</v>
      </c>
      <c r="K76" s="4">
        <v>710.5</v>
      </c>
      <c r="L76" s="19">
        <f t="shared" si="0"/>
        <v>-37.5</v>
      </c>
    </row>
    <row r="77" spans="1:12" hidden="1" x14ac:dyDescent="0.25">
      <c r="A77" s="2" t="s">
        <v>1162</v>
      </c>
      <c r="B77" s="2" t="s">
        <v>1163</v>
      </c>
      <c r="C77" s="2" t="s">
        <v>1222</v>
      </c>
      <c r="D77" s="24">
        <v>14</v>
      </c>
      <c r="E77" s="24">
        <v>0</v>
      </c>
      <c r="F77" s="24">
        <v>0</v>
      </c>
      <c r="G77" s="11">
        <v>0</v>
      </c>
      <c r="H77" s="24">
        <v>0</v>
      </c>
      <c r="I77" s="24">
        <v>14</v>
      </c>
      <c r="J77" s="4">
        <v>0</v>
      </c>
      <c r="K77" s="4">
        <v>0</v>
      </c>
      <c r="L77" s="19">
        <f t="shared" ref="L77:L140" si="1">D77-E77-F77-G77-H77</f>
        <v>14</v>
      </c>
    </row>
    <row r="78" spans="1:12" hidden="1" x14ac:dyDescent="0.25">
      <c r="A78" s="2" t="s">
        <v>1154</v>
      </c>
      <c r="B78" s="2" t="s">
        <v>1155</v>
      </c>
      <c r="C78" s="2" t="s">
        <v>629</v>
      </c>
      <c r="D78" s="24">
        <v>45</v>
      </c>
      <c r="E78" s="24">
        <v>0</v>
      </c>
      <c r="F78" s="24">
        <v>31</v>
      </c>
      <c r="G78" s="11">
        <v>20</v>
      </c>
      <c r="H78" s="24">
        <v>0</v>
      </c>
      <c r="I78" s="24">
        <v>14</v>
      </c>
      <c r="J78" s="4">
        <v>87.5</v>
      </c>
      <c r="K78" s="4">
        <v>1225</v>
      </c>
      <c r="L78" s="19">
        <f t="shared" si="1"/>
        <v>-6</v>
      </c>
    </row>
    <row r="79" spans="1:12" hidden="1" x14ac:dyDescent="0.25">
      <c r="A79" s="2" t="s">
        <v>610</v>
      </c>
      <c r="B79" s="2" t="s">
        <v>611</v>
      </c>
      <c r="C79" s="2" t="s">
        <v>224</v>
      </c>
      <c r="D79" s="24">
        <v>29.400000000000006</v>
      </c>
      <c r="E79" s="24">
        <v>5.4</v>
      </c>
      <c r="F79" s="24">
        <v>0</v>
      </c>
      <c r="G79" s="11">
        <v>-9.7699626167013776E-15</v>
      </c>
      <c r="H79" s="24">
        <v>11</v>
      </c>
      <c r="I79" s="24">
        <v>13.000000000000002</v>
      </c>
      <c r="J79" s="4">
        <v>1833.3300000000011</v>
      </c>
      <c r="K79" s="4">
        <v>23833.290000000023</v>
      </c>
      <c r="L79" s="19">
        <f t="shared" si="1"/>
        <v>13.000000000000018</v>
      </c>
    </row>
    <row r="80" spans="1:12" hidden="1" x14ac:dyDescent="0.25">
      <c r="A80" s="2" t="s">
        <v>719</v>
      </c>
      <c r="B80" s="2" t="s">
        <v>720</v>
      </c>
      <c r="C80" s="2" t="s">
        <v>590</v>
      </c>
      <c r="D80" s="24">
        <v>17</v>
      </c>
      <c r="E80" s="24">
        <v>3</v>
      </c>
      <c r="F80" s="24">
        <v>1</v>
      </c>
      <c r="G80" s="11">
        <v>4</v>
      </c>
      <c r="H80" s="24">
        <v>0</v>
      </c>
      <c r="I80" s="24">
        <v>13</v>
      </c>
      <c r="J80" s="4">
        <v>12990.78</v>
      </c>
      <c r="K80" s="4">
        <v>168880.14000000007</v>
      </c>
      <c r="L80" s="19">
        <f t="shared" si="1"/>
        <v>9</v>
      </c>
    </row>
    <row r="81" spans="1:12" hidden="1" x14ac:dyDescent="0.25">
      <c r="A81" s="2" t="s">
        <v>1115</v>
      </c>
      <c r="B81" s="2" t="s">
        <v>1116</v>
      </c>
      <c r="C81" s="2" t="s">
        <v>224</v>
      </c>
      <c r="D81" s="24">
        <v>13</v>
      </c>
      <c r="E81" s="24">
        <v>0</v>
      </c>
      <c r="F81" s="24">
        <v>0</v>
      </c>
      <c r="G81" s="11">
        <v>36.529999999999973</v>
      </c>
      <c r="H81" s="24">
        <v>0</v>
      </c>
      <c r="I81" s="24">
        <v>13</v>
      </c>
      <c r="J81" s="4">
        <v>300.68</v>
      </c>
      <c r="K81" s="4">
        <v>3908.84</v>
      </c>
      <c r="L81" s="19">
        <f t="shared" si="1"/>
        <v>-23.529999999999973</v>
      </c>
    </row>
    <row r="82" spans="1:12" hidden="1" x14ac:dyDescent="0.25">
      <c r="A82" s="2" t="s">
        <v>747</v>
      </c>
      <c r="B82" s="2" t="s">
        <v>748</v>
      </c>
      <c r="C82" s="2" t="s">
        <v>1224</v>
      </c>
      <c r="D82" s="24">
        <v>16</v>
      </c>
      <c r="E82" s="24">
        <v>0</v>
      </c>
      <c r="F82" s="24">
        <v>3</v>
      </c>
      <c r="G82" s="11">
        <v>0</v>
      </c>
      <c r="H82" s="24">
        <v>0</v>
      </c>
      <c r="I82" s="24">
        <v>13</v>
      </c>
      <c r="J82" s="4">
        <v>54</v>
      </c>
      <c r="K82" s="4">
        <v>702</v>
      </c>
      <c r="L82" s="19">
        <f t="shared" si="1"/>
        <v>13</v>
      </c>
    </row>
    <row r="83" spans="1:12" hidden="1" x14ac:dyDescent="0.25">
      <c r="A83" s="2" t="s">
        <v>576</v>
      </c>
      <c r="B83" s="2" t="s">
        <v>577</v>
      </c>
      <c r="C83" s="2" t="s">
        <v>252</v>
      </c>
      <c r="D83" s="24">
        <v>97.55</v>
      </c>
      <c r="E83" s="24">
        <v>0</v>
      </c>
      <c r="F83" s="24">
        <v>85</v>
      </c>
      <c r="G83" s="11">
        <v>3.650000000000011</v>
      </c>
      <c r="H83" s="24">
        <v>0</v>
      </c>
      <c r="I83" s="24">
        <v>12.550000000000002</v>
      </c>
      <c r="J83" s="4">
        <v>348.1099999999999</v>
      </c>
      <c r="K83" s="4">
        <v>4368.7804999999989</v>
      </c>
      <c r="L83" s="19">
        <f t="shared" si="1"/>
        <v>8.8999999999999861</v>
      </c>
    </row>
    <row r="84" spans="1:12" hidden="1" x14ac:dyDescent="0.25">
      <c r="A84" s="2" t="s">
        <v>976</v>
      </c>
      <c r="B84" s="2" t="s">
        <v>977</v>
      </c>
      <c r="C84" s="2" t="s">
        <v>978</v>
      </c>
      <c r="D84" s="24">
        <v>12</v>
      </c>
      <c r="E84" s="24">
        <v>0</v>
      </c>
      <c r="F84" s="24">
        <v>0</v>
      </c>
      <c r="G84" s="11">
        <v>0</v>
      </c>
      <c r="H84" s="24">
        <v>0</v>
      </c>
      <c r="I84" s="24">
        <v>12</v>
      </c>
      <c r="J84" s="4">
        <v>2670.24</v>
      </c>
      <c r="K84" s="4">
        <v>32042.879999999994</v>
      </c>
      <c r="L84" s="19">
        <f t="shared" si="1"/>
        <v>12</v>
      </c>
    </row>
    <row r="85" spans="1:12" hidden="1" x14ac:dyDescent="0.25">
      <c r="A85" s="2" t="s">
        <v>266</v>
      </c>
      <c r="B85" s="2" t="s">
        <v>267</v>
      </c>
      <c r="C85" s="2" t="s">
        <v>215</v>
      </c>
      <c r="D85" s="24">
        <v>19</v>
      </c>
      <c r="E85" s="24">
        <v>6</v>
      </c>
      <c r="F85" s="24">
        <v>1</v>
      </c>
      <c r="G85" s="11">
        <v>7</v>
      </c>
      <c r="H85" s="24">
        <v>0</v>
      </c>
      <c r="I85" s="24">
        <v>12</v>
      </c>
      <c r="J85" s="4">
        <v>4633.3399999999983</v>
      </c>
      <c r="K85" s="4">
        <v>55600.079999999987</v>
      </c>
      <c r="L85" s="19">
        <f t="shared" si="1"/>
        <v>5</v>
      </c>
    </row>
    <row r="86" spans="1:12" hidden="1" x14ac:dyDescent="0.25">
      <c r="A86" s="2" t="s">
        <v>421</v>
      </c>
      <c r="B86" s="2" t="s">
        <v>422</v>
      </c>
      <c r="C86" s="2" t="s">
        <v>423</v>
      </c>
      <c r="D86" s="24">
        <v>11</v>
      </c>
      <c r="E86" s="24">
        <v>0</v>
      </c>
      <c r="F86" s="24">
        <v>0</v>
      </c>
      <c r="G86" s="11">
        <v>3.0000000000000142</v>
      </c>
      <c r="H86" s="24">
        <v>0</v>
      </c>
      <c r="I86" s="24">
        <v>11</v>
      </c>
      <c r="J86" s="4">
        <v>490.84999999999997</v>
      </c>
      <c r="K86" s="4">
        <v>5399.3499999999995</v>
      </c>
      <c r="L86" s="19">
        <f t="shared" si="1"/>
        <v>7.9999999999999858</v>
      </c>
    </row>
    <row r="87" spans="1:12" hidden="1" x14ac:dyDescent="0.25">
      <c r="A87" s="2" t="s">
        <v>646</v>
      </c>
      <c r="B87" s="2" t="s">
        <v>647</v>
      </c>
      <c r="C87" s="2" t="s">
        <v>264</v>
      </c>
      <c r="D87" s="24">
        <v>20</v>
      </c>
      <c r="E87" s="24">
        <v>6</v>
      </c>
      <c r="F87" s="24">
        <v>3</v>
      </c>
      <c r="G87" s="11">
        <v>8</v>
      </c>
      <c r="H87" s="24">
        <v>0</v>
      </c>
      <c r="I87" s="24">
        <v>11</v>
      </c>
      <c r="J87" s="4">
        <v>1820</v>
      </c>
      <c r="K87" s="4">
        <v>20020</v>
      </c>
      <c r="L87" s="19">
        <f t="shared" si="1"/>
        <v>3</v>
      </c>
    </row>
    <row r="88" spans="1:12" hidden="1" x14ac:dyDescent="0.25">
      <c r="A88" s="2" t="s">
        <v>604</v>
      </c>
      <c r="B88" s="2" t="s">
        <v>605</v>
      </c>
      <c r="C88" s="2" t="s">
        <v>637</v>
      </c>
      <c r="D88" s="24">
        <v>24</v>
      </c>
      <c r="E88" s="24">
        <v>4</v>
      </c>
      <c r="F88" s="24">
        <v>9</v>
      </c>
      <c r="G88" s="11">
        <v>6</v>
      </c>
      <c r="H88" s="24">
        <v>0</v>
      </c>
      <c r="I88" s="24">
        <v>11</v>
      </c>
      <c r="J88" s="4">
        <v>75.61</v>
      </c>
      <c r="K88" s="4">
        <v>831.71</v>
      </c>
      <c r="L88" s="19">
        <f t="shared" si="1"/>
        <v>5</v>
      </c>
    </row>
    <row r="89" spans="1:12" hidden="1" x14ac:dyDescent="0.25">
      <c r="A89" s="2" t="s">
        <v>627</v>
      </c>
      <c r="B89" s="20" t="s">
        <v>628</v>
      </c>
      <c r="C89" s="2" t="s">
        <v>626</v>
      </c>
      <c r="D89" s="24">
        <v>26</v>
      </c>
      <c r="E89" s="24">
        <v>6</v>
      </c>
      <c r="F89" s="24">
        <v>9</v>
      </c>
      <c r="G89" s="11">
        <v>20</v>
      </c>
      <c r="H89" s="24">
        <v>0</v>
      </c>
      <c r="I89" s="24">
        <v>11</v>
      </c>
      <c r="J89" s="4">
        <v>14946.25</v>
      </c>
      <c r="K89" s="4">
        <v>164408.75</v>
      </c>
      <c r="L89" s="19">
        <f t="shared" si="1"/>
        <v>-9</v>
      </c>
    </row>
    <row r="90" spans="1:12" hidden="1" x14ac:dyDescent="0.25">
      <c r="A90" s="2" t="s">
        <v>451</v>
      </c>
      <c r="B90" s="20" t="s">
        <v>625</v>
      </c>
      <c r="C90" s="2" t="s">
        <v>626</v>
      </c>
      <c r="D90" s="24">
        <v>26</v>
      </c>
      <c r="E90" s="24">
        <v>6</v>
      </c>
      <c r="F90" s="24">
        <v>10</v>
      </c>
      <c r="G90" s="11">
        <v>20</v>
      </c>
      <c r="H90" s="24">
        <v>0</v>
      </c>
      <c r="I90" s="24">
        <v>10</v>
      </c>
      <c r="J90" s="4">
        <v>14946.25</v>
      </c>
      <c r="K90" s="4">
        <v>149462.5</v>
      </c>
      <c r="L90" s="19">
        <f t="shared" si="1"/>
        <v>-10</v>
      </c>
    </row>
    <row r="91" spans="1:12" hidden="1" x14ac:dyDescent="0.25">
      <c r="A91" s="2" t="s">
        <v>497</v>
      </c>
      <c r="B91" s="2" t="s">
        <v>498</v>
      </c>
      <c r="C91" s="2" t="s">
        <v>714</v>
      </c>
      <c r="D91" s="24">
        <v>19</v>
      </c>
      <c r="E91" s="24">
        <v>6</v>
      </c>
      <c r="F91" s="24">
        <v>3</v>
      </c>
      <c r="G91" s="11">
        <v>8</v>
      </c>
      <c r="H91" s="24">
        <v>0</v>
      </c>
      <c r="I91" s="24">
        <v>10</v>
      </c>
      <c r="J91" s="4"/>
      <c r="K91" s="4">
        <v>0</v>
      </c>
      <c r="L91" s="19">
        <f t="shared" si="1"/>
        <v>2</v>
      </c>
    </row>
    <row r="92" spans="1:12" hidden="1" x14ac:dyDescent="0.25">
      <c r="A92" s="2" t="s">
        <v>936</v>
      </c>
      <c r="B92" s="2" t="s">
        <v>937</v>
      </c>
      <c r="C92" s="2" t="s">
        <v>315</v>
      </c>
      <c r="D92" s="24">
        <v>10</v>
      </c>
      <c r="E92" s="24">
        <v>0</v>
      </c>
      <c r="F92" s="24">
        <v>0</v>
      </c>
      <c r="G92" s="11">
        <v>90</v>
      </c>
      <c r="H92" s="24">
        <v>0</v>
      </c>
      <c r="I92" s="24">
        <v>10</v>
      </c>
      <c r="J92" s="4">
        <v>8</v>
      </c>
      <c r="K92" s="4">
        <v>80</v>
      </c>
      <c r="L92" s="19">
        <f t="shared" si="1"/>
        <v>-80</v>
      </c>
    </row>
    <row r="93" spans="1:12" hidden="1" x14ac:dyDescent="0.25">
      <c r="A93" s="2" t="s">
        <v>1049</v>
      </c>
      <c r="B93" s="2" t="s">
        <v>1050</v>
      </c>
      <c r="C93" s="2" t="s">
        <v>635</v>
      </c>
      <c r="D93" s="24">
        <v>16</v>
      </c>
      <c r="E93" s="24">
        <v>3</v>
      </c>
      <c r="F93" s="24">
        <v>3</v>
      </c>
      <c r="G93" s="11">
        <v>6</v>
      </c>
      <c r="H93" s="24">
        <v>0</v>
      </c>
      <c r="I93" s="24">
        <v>10</v>
      </c>
      <c r="J93" s="4">
        <v>12138.929999999997</v>
      </c>
      <c r="K93" s="4">
        <v>121389.30000000003</v>
      </c>
      <c r="L93" s="19">
        <f t="shared" si="1"/>
        <v>4</v>
      </c>
    </row>
    <row r="94" spans="1:12" hidden="1" x14ac:dyDescent="0.25">
      <c r="A94" s="2" t="s">
        <v>199</v>
      </c>
      <c r="B94" s="20" t="s">
        <v>200</v>
      </c>
      <c r="C94" s="2" t="s">
        <v>216</v>
      </c>
      <c r="D94" s="24">
        <v>14</v>
      </c>
      <c r="E94" s="24">
        <v>3</v>
      </c>
      <c r="F94" s="24">
        <v>1</v>
      </c>
      <c r="G94" s="11">
        <v>8</v>
      </c>
      <c r="H94" s="24">
        <v>0</v>
      </c>
      <c r="I94" s="24">
        <v>10</v>
      </c>
      <c r="J94" s="4">
        <v>15618.420000000004</v>
      </c>
      <c r="K94" s="4">
        <v>156184.19999999998</v>
      </c>
      <c r="L94" s="19">
        <f t="shared" si="1"/>
        <v>2</v>
      </c>
    </row>
    <row r="95" spans="1:12" hidden="1" x14ac:dyDescent="0.25">
      <c r="A95" s="2" t="s">
        <v>974</v>
      </c>
      <c r="B95" s="2" t="s">
        <v>975</v>
      </c>
      <c r="C95" s="2" t="s">
        <v>1222</v>
      </c>
      <c r="D95" s="24">
        <v>10</v>
      </c>
      <c r="E95" s="24">
        <v>0</v>
      </c>
      <c r="F95" s="24">
        <v>0</v>
      </c>
      <c r="G95" s="11">
        <v>0</v>
      </c>
      <c r="H95" s="24">
        <v>0</v>
      </c>
      <c r="I95" s="24">
        <v>10</v>
      </c>
      <c r="J95" s="4">
        <v>0.66</v>
      </c>
      <c r="K95" s="4">
        <v>6.6000000000000005</v>
      </c>
      <c r="L95" s="19">
        <f t="shared" si="1"/>
        <v>10</v>
      </c>
    </row>
    <row r="96" spans="1:12" hidden="1" x14ac:dyDescent="0.25">
      <c r="A96" s="2" t="s">
        <v>36</v>
      </c>
      <c r="B96" s="2" t="s">
        <v>37</v>
      </c>
      <c r="C96" s="2" t="s">
        <v>1221</v>
      </c>
      <c r="D96" s="24">
        <v>57</v>
      </c>
      <c r="E96" s="24">
        <v>12</v>
      </c>
      <c r="F96" s="24">
        <v>35</v>
      </c>
      <c r="G96" s="11">
        <v>24</v>
      </c>
      <c r="H96" s="24">
        <v>0</v>
      </c>
      <c r="I96" s="24">
        <v>10</v>
      </c>
      <c r="J96" s="4">
        <v>1750</v>
      </c>
      <c r="K96" s="4">
        <v>17500</v>
      </c>
      <c r="L96" s="19">
        <f t="shared" si="1"/>
        <v>-14</v>
      </c>
    </row>
    <row r="97" spans="1:12" hidden="1" x14ac:dyDescent="0.25">
      <c r="A97" s="2" t="s">
        <v>261</v>
      </c>
      <c r="B97" s="2" t="s">
        <v>262</v>
      </c>
      <c r="C97" s="2" t="s">
        <v>263</v>
      </c>
      <c r="D97" s="24">
        <v>15.349999999999998</v>
      </c>
      <c r="E97" s="24">
        <v>0.7</v>
      </c>
      <c r="F97" s="24">
        <v>5</v>
      </c>
      <c r="G97" s="11">
        <v>0.29999999999999449</v>
      </c>
      <c r="H97" s="24">
        <v>0</v>
      </c>
      <c r="I97" s="24">
        <v>9.6500000000000021</v>
      </c>
      <c r="J97" s="4">
        <v>1622.4000000000005</v>
      </c>
      <c r="K97" s="4">
        <v>15656.159999999998</v>
      </c>
      <c r="L97" s="19">
        <f t="shared" si="1"/>
        <v>9.350000000000005</v>
      </c>
    </row>
    <row r="98" spans="1:12" hidden="1" x14ac:dyDescent="0.25">
      <c r="A98" s="2" t="s">
        <v>834</v>
      </c>
      <c r="B98" s="2" t="s">
        <v>835</v>
      </c>
      <c r="C98" s="2" t="s">
        <v>836</v>
      </c>
      <c r="D98" s="24">
        <v>9</v>
      </c>
      <c r="E98" s="24">
        <v>0</v>
      </c>
      <c r="F98" s="24">
        <v>0</v>
      </c>
      <c r="G98" s="11">
        <v>36.5</v>
      </c>
      <c r="H98" s="24">
        <v>0</v>
      </c>
      <c r="I98" s="24">
        <v>9</v>
      </c>
      <c r="J98" s="4">
        <v>27.81</v>
      </c>
      <c r="K98" s="4">
        <v>250.29000000000002</v>
      </c>
      <c r="L98" s="19">
        <f t="shared" si="1"/>
        <v>-27.5</v>
      </c>
    </row>
    <row r="99" spans="1:12" hidden="1" x14ac:dyDescent="0.25">
      <c r="A99" s="2" t="s">
        <v>587</v>
      </c>
      <c r="B99" s="2" t="s">
        <v>588</v>
      </c>
      <c r="C99" s="2" t="s">
        <v>429</v>
      </c>
      <c r="D99" s="24">
        <v>9</v>
      </c>
      <c r="E99" s="24">
        <v>0</v>
      </c>
      <c r="F99" s="24">
        <v>0</v>
      </c>
      <c r="G99" s="11">
        <v>0</v>
      </c>
      <c r="H99" s="24">
        <v>0</v>
      </c>
      <c r="I99" s="24">
        <v>9</v>
      </c>
      <c r="J99" s="4">
        <v>60</v>
      </c>
      <c r="K99" s="4">
        <v>540</v>
      </c>
      <c r="L99" s="19">
        <f t="shared" si="1"/>
        <v>9</v>
      </c>
    </row>
    <row r="100" spans="1:12" hidden="1" x14ac:dyDescent="0.25">
      <c r="A100" s="2" t="s">
        <v>687</v>
      </c>
      <c r="B100" s="2" t="s">
        <v>688</v>
      </c>
      <c r="C100" s="2" t="s">
        <v>689</v>
      </c>
      <c r="D100" s="24">
        <v>9</v>
      </c>
      <c r="E100" s="24">
        <v>0</v>
      </c>
      <c r="F100" s="24">
        <v>0</v>
      </c>
      <c r="G100" s="11">
        <v>1</v>
      </c>
      <c r="H100" s="24">
        <v>0</v>
      </c>
      <c r="I100" s="24">
        <v>9</v>
      </c>
      <c r="J100" s="4">
        <v>1541.99</v>
      </c>
      <c r="K100" s="4">
        <v>13877.910000000002</v>
      </c>
      <c r="L100" s="19">
        <f t="shared" si="1"/>
        <v>8</v>
      </c>
    </row>
    <row r="101" spans="1:12" x14ac:dyDescent="0.25">
      <c r="A101" s="2" t="s">
        <v>265</v>
      </c>
      <c r="B101" s="2" t="s">
        <v>420</v>
      </c>
      <c r="C101" s="2" t="s">
        <v>228</v>
      </c>
      <c r="D101" s="24">
        <v>19</v>
      </c>
      <c r="E101" s="24">
        <v>5</v>
      </c>
      <c r="F101" s="24">
        <v>0</v>
      </c>
      <c r="G101" s="11">
        <v>10</v>
      </c>
      <c r="H101" s="24">
        <v>5</v>
      </c>
      <c r="I101" s="24">
        <v>9</v>
      </c>
      <c r="J101" s="4">
        <v>5994.0099999999984</v>
      </c>
      <c r="K101" s="4">
        <v>53946.089999999989</v>
      </c>
      <c r="L101" s="19">
        <f t="shared" si="1"/>
        <v>-1</v>
      </c>
    </row>
    <row r="102" spans="1:12" hidden="1" x14ac:dyDescent="0.25">
      <c r="A102" s="2" t="s">
        <v>140</v>
      </c>
      <c r="B102" s="2" t="s">
        <v>141</v>
      </c>
      <c r="C102" s="2" t="s">
        <v>673</v>
      </c>
      <c r="D102" s="24">
        <v>13.8</v>
      </c>
      <c r="E102" s="24">
        <v>0</v>
      </c>
      <c r="F102" s="24">
        <v>0</v>
      </c>
      <c r="G102" s="11">
        <v>6.0999999999999961</v>
      </c>
      <c r="H102" s="24">
        <v>5</v>
      </c>
      <c r="I102" s="24">
        <v>8.7999999999999989</v>
      </c>
      <c r="J102" s="4">
        <v>688.20000000000016</v>
      </c>
      <c r="K102" s="4">
        <v>6056.1600000000026</v>
      </c>
      <c r="L102" s="19">
        <f t="shared" si="1"/>
        <v>2.7000000000000046</v>
      </c>
    </row>
    <row r="103" spans="1:12" hidden="1" x14ac:dyDescent="0.25">
      <c r="A103" s="2" t="s">
        <v>744</v>
      </c>
      <c r="B103" s="2" t="s">
        <v>745</v>
      </c>
      <c r="C103" s="2" t="s">
        <v>746</v>
      </c>
      <c r="D103" s="24">
        <v>8.5</v>
      </c>
      <c r="E103" s="24">
        <v>0</v>
      </c>
      <c r="F103" s="24">
        <v>0</v>
      </c>
      <c r="G103" s="11">
        <v>45.5</v>
      </c>
      <c r="H103" s="24">
        <v>0</v>
      </c>
      <c r="I103" s="24">
        <v>8.5</v>
      </c>
      <c r="J103" s="4">
        <v>169.11</v>
      </c>
      <c r="K103" s="4">
        <v>1437.4349999999999</v>
      </c>
      <c r="L103" s="19">
        <f t="shared" si="1"/>
        <v>-37</v>
      </c>
    </row>
    <row r="104" spans="1:12" hidden="1" x14ac:dyDescent="0.25">
      <c r="A104" s="2" t="s">
        <v>476</v>
      </c>
      <c r="B104" s="2" t="s">
        <v>477</v>
      </c>
      <c r="C104" s="2" t="s">
        <v>1224</v>
      </c>
      <c r="D104" s="24">
        <v>14.25</v>
      </c>
      <c r="E104" s="24">
        <v>0</v>
      </c>
      <c r="F104" s="24">
        <v>6</v>
      </c>
      <c r="G104" s="11">
        <v>0</v>
      </c>
      <c r="H104" s="24">
        <v>0</v>
      </c>
      <c r="I104" s="24">
        <v>8.25</v>
      </c>
      <c r="J104" s="4">
        <v>20</v>
      </c>
      <c r="K104" s="4">
        <v>165</v>
      </c>
      <c r="L104" s="19">
        <f t="shared" si="1"/>
        <v>8.25</v>
      </c>
    </row>
    <row r="105" spans="1:12" hidden="1" x14ac:dyDescent="0.25">
      <c r="A105" s="2" t="s">
        <v>50</v>
      </c>
      <c r="B105" s="20" t="s">
        <v>51</v>
      </c>
      <c r="C105" s="2" t="s">
        <v>216</v>
      </c>
      <c r="D105" s="24">
        <v>17</v>
      </c>
      <c r="E105" s="24">
        <v>5</v>
      </c>
      <c r="F105" s="24">
        <v>4</v>
      </c>
      <c r="G105" s="11">
        <v>10</v>
      </c>
      <c r="H105" s="24">
        <v>0</v>
      </c>
      <c r="I105" s="24">
        <v>8</v>
      </c>
      <c r="J105" s="4">
        <v>5206.1400000000003</v>
      </c>
      <c r="K105" s="4">
        <v>41649.120000000003</v>
      </c>
      <c r="L105" s="19">
        <f t="shared" si="1"/>
        <v>-2</v>
      </c>
    </row>
    <row r="106" spans="1:12" hidden="1" x14ac:dyDescent="0.25">
      <c r="A106" s="2" t="s">
        <v>711</v>
      </c>
      <c r="B106" s="20" t="s">
        <v>712</v>
      </c>
      <c r="C106" s="2" t="s">
        <v>1196</v>
      </c>
      <c r="D106" s="24">
        <v>8</v>
      </c>
      <c r="E106" s="24">
        <v>0</v>
      </c>
      <c r="F106" s="24">
        <v>0</v>
      </c>
      <c r="G106" s="11">
        <v>2</v>
      </c>
      <c r="H106" s="24">
        <v>0</v>
      </c>
      <c r="I106" s="24">
        <v>8</v>
      </c>
      <c r="J106" s="4">
        <v>23970</v>
      </c>
      <c r="K106" s="4">
        <v>191760</v>
      </c>
      <c r="L106" s="19">
        <f t="shared" si="1"/>
        <v>6</v>
      </c>
    </row>
    <row r="107" spans="1:12" hidden="1" x14ac:dyDescent="0.25">
      <c r="A107" s="2" t="s">
        <v>73</v>
      </c>
      <c r="B107" s="2" t="s">
        <v>74</v>
      </c>
      <c r="C107" s="2" t="s">
        <v>635</v>
      </c>
      <c r="D107" s="24">
        <v>17</v>
      </c>
      <c r="E107" s="24">
        <v>6</v>
      </c>
      <c r="F107" s="24">
        <v>3</v>
      </c>
      <c r="G107" s="11">
        <v>7</v>
      </c>
      <c r="H107" s="24">
        <v>0</v>
      </c>
      <c r="I107" s="24">
        <v>8</v>
      </c>
      <c r="J107" s="4">
        <v>8822.9299999999967</v>
      </c>
      <c r="K107" s="4">
        <v>70583.439999999973</v>
      </c>
      <c r="L107" s="19">
        <f t="shared" si="1"/>
        <v>1</v>
      </c>
    </row>
    <row r="108" spans="1:12" hidden="1" x14ac:dyDescent="0.25">
      <c r="A108" s="2" t="s">
        <v>258</v>
      </c>
      <c r="B108" s="2" t="s">
        <v>259</v>
      </c>
      <c r="C108" s="2" t="s">
        <v>260</v>
      </c>
      <c r="D108" s="24">
        <v>41.7</v>
      </c>
      <c r="E108" s="24">
        <v>8</v>
      </c>
      <c r="F108" s="24">
        <v>14</v>
      </c>
      <c r="G108" s="11">
        <v>6.7999999999999963</v>
      </c>
      <c r="H108" s="24">
        <v>12</v>
      </c>
      <c r="I108" s="24">
        <v>7.7</v>
      </c>
      <c r="J108" s="4">
        <v>328.85000000000008</v>
      </c>
      <c r="K108" s="4">
        <v>2532.1450000000018</v>
      </c>
      <c r="L108" s="19">
        <f t="shared" si="1"/>
        <v>0.90000000000000568</v>
      </c>
    </row>
    <row r="109" spans="1:12" hidden="1" x14ac:dyDescent="0.25">
      <c r="A109" s="2" t="s">
        <v>943</v>
      </c>
      <c r="B109" s="2" t="s">
        <v>944</v>
      </c>
      <c r="C109" s="2" t="s">
        <v>242</v>
      </c>
      <c r="D109" s="24">
        <v>7.5</v>
      </c>
      <c r="E109" s="24">
        <v>0</v>
      </c>
      <c r="F109" s="24">
        <v>0</v>
      </c>
      <c r="G109" s="11">
        <v>0</v>
      </c>
      <c r="H109" s="24">
        <v>0</v>
      </c>
      <c r="I109" s="24">
        <v>7.5</v>
      </c>
      <c r="J109" s="4">
        <v>38</v>
      </c>
      <c r="K109" s="4">
        <v>285</v>
      </c>
      <c r="L109" s="19">
        <f t="shared" si="1"/>
        <v>7.5</v>
      </c>
    </row>
    <row r="110" spans="1:12" hidden="1" x14ac:dyDescent="0.25">
      <c r="A110" s="2" t="s">
        <v>463</v>
      </c>
      <c r="B110" s="2" t="s">
        <v>464</v>
      </c>
      <c r="C110" s="2" t="s">
        <v>491</v>
      </c>
      <c r="D110" s="24">
        <v>13.820000000000002</v>
      </c>
      <c r="E110" s="24">
        <v>6.62</v>
      </c>
      <c r="F110" s="24">
        <v>0</v>
      </c>
      <c r="G110" s="11">
        <v>5.5999999999999988</v>
      </c>
      <c r="H110" s="24">
        <v>0</v>
      </c>
      <c r="I110" s="24">
        <v>7.2</v>
      </c>
      <c r="J110" s="4">
        <v>162.51000000000008</v>
      </c>
      <c r="K110" s="4">
        <v>1170.0720000000003</v>
      </c>
      <c r="L110" s="19">
        <f t="shared" si="1"/>
        <v>1.6000000000000032</v>
      </c>
    </row>
    <row r="111" spans="1:12" hidden="1" x14ac:dyDescent="0.25">
      <c r="A111" s="2" t="s">
        <v>606</v>
      </c>
      <c r="B111" s="2" t="s">
        <v>607</v>
      </c>
      <c r="C111" s="2" t="s">
        <v>637</v>
      </c>
      <c r="D111" s="24">
        <v>44</v>
      </c>
      <c r="E111" s="24">
        <v>4</v>
      </c>
      <c r="F111" s="24">
        <v>33</v>
      </c>
      <c r="G111" s="11">
        <v>6</v>
      </c>
      <c r="H111" s="24">
        <v>0</v>
      </c>
      <c r="I111" s="24">
        <v>7</v>
      </c>
      <c r="J111" s="4">
        <v>172.30999999999997</v>
      </c>
      <c r="K111" s="4">
        <v>1206.17</v>
      </c>
      <c r="L111" s="19">
        <f t="shared" si="1"/>
        <v>1</v>
      </c>
    </row>
    <row r="112" spans="1:12" hidden="1" x14ac:dyDescent="0.25">
      <c r="A112" s="2" t="s">
        <v>927</v>
      </c>
      <c r="B112" s="2" t="s">
        <v>928</v>
      </c>
      <c r="C112" s="2" t="s">
        <v>629</v>
      </c>
      <c r="D112" s="24">
        <v>7</v>
      </c>
      <c r="E112" s="24">
        <v>0</v>
      </c>
      <c r="F112" s="24">
        <v>0</v>
      </c>
      <c r="G112" s="11">
        <v>246</v>
      </c>
      <c r="H112" s="24">
        <v>0</v>
      </c>
      <c r="I112" s="24">
        <v>7</v>
      </c>
      <c r="J112" s="4">
        <v>5.4200000000000008</v>
      </c>
      <c r="K112" s="4">
        <v>37.94</v>
      </c>
      <c r="L112" s="19">
        <f t="shared" si="1"/>
        <v>-239</v>
      </c>
    </row>
    <row r="113" spans="1:12" hidden="1" x14ac:dyDescent="0.25">
      <c r="A113" s="2" t="s">
        <v>91</v>
      </c>
      <c r="B113" s="2" t="s">
        <v>92</v>
      </c>
      <c r="C113" s="2" t="s">
        <v>635</v>
      </c>
      <c r="D113" s="24">
        <v>17</v>
      </c>
      <c r="E113" s="24">
        <v>4</v>
      </c>
      <c r="F113" s="24">
        <v>6</v>
      </c>
      <c r="G113" s="11">
        <v>10</v>
      </c>
      <c r="H113" s="24">
        <v>0</v>
      </c>
      <c r="I113" s="24">
        <v>7</v>
      </c>
      <c r="J113" s="4">
        <v>1776.43</v>
      </c>
      <c r="K113" s="4">
        <v>12435.010000000002</v>
      </c>
      <c r="L113" s="19">
        <f t="shared" si="1"/>
        <v>-3</v>
      </c>
    </row>
    <row r="114" spans="1:12" hidden="1" x14ac:dyDescent="0.25">
      <c r="A114" s="2" t="s">
        <v>52</v>
      </c>
      <c r="B114" s="20" t="s">
        <v>53</v>
      </c>
      <c r="C114" s="2" t="s">
        <v>216</v>
      </c>
      <c r="D114" s="24">
        <v>17</v>
      </c>
      <c r="E114" s="24">
        <v>5</v>
      </c>
      <c r="F114" s="24">
        <v>5</v>
      </c>
      <c r="G114" s="11">
        <v>10</v>
      </c>
      <c r="H114" s="24">
        <v>0</v>
      </c>
      <c r="I114" s="24">
        <v>7</v>
      </c>
      <c r="J114" s="4">
        <v>12234.429999999997</v>
      </c>
      <c r="K114" s="4">
        <v>85641.010000000009</v>
      </c>
      <c r="L114" s="19">
        <f t="shared" si="1"/>
        <v>-3</v>
      </c>
    </row>
    <row r="115" spans="1:12" hidden="1" x14ac:dyDescent="0.25">
      <c r="A115" s="2" t="s">
        <v>515</v>
      </c>
      <c r="B115" s="2" t="s">
        <v>516</v>
      </c>
      <c r="C115" s="2" t="s">
        <v>242</v>
      </c>
      <c r="D115" s="24">
        <v>6.9999999999999991</v>
      </c>
      <c r="E115" s="24">
        <v>0</v>
      </c>
      <c r="F115" s="24">
        <v>0</v>
      </c>
      <c r="G115" s="11">
        <v>-1.2878587085651816E-14</v>
      </c>
      <c r="H115" s="24">
        <v>0</v>
      </c>
      <c r="I115" s="24">
        <v>6.9999999999999982</v>
      </c>
      <c r="J115" s="4">
        <v>70</v>
      </c>
      <c r="K115" s="4">
        <v>489.99999999999989</v>
      </c>
      <c r="L115" s="19">
        <f t="shared" si="1"/>
        <v>7.0000000000000124</v>
      </c>
    </row>
    <row r="116" spans="1:12" hidden="1" x14ac:dyDescent="0.25">
      <c r="A116" s="2" t="s">
        <v>909</v>
      </c>
      <c r="B116" s="2" t="s">
        <v>910</v>
      </c>
      <c r="C116" s="2" t="s">
        <v>1222</v>
      </c>
      <c r="D116" s="24">
        <v>6</v>
      </c>
      <c r="E116" s="24">
        <v>0</v>
      </c>
      <c r="F116" s="24">
        <v>0</v>
      </c>
      <c r="G116" s="11">
        <v>106</v>
      </c>
      <c r="H116" s="24">
        <v>0</v>
      </c>
      <c r="I116" s="24">
        <v>6</v>
      </c>
      <c r="J116" s="4">
        <v>0.28999999999999998</v>
      </c>
      <c r="K116" s="4">
        <v>1.7399999999999998</v>
      </c>
      <c r="L116" s="19">
        <f t="shared" si="1"/>
        <v>-100</v>
      </c>
    </row>
    <row r="117" spans="1:12" hidden="1" x14ac:dyDescent="0.25">
      <c r="A117" s="2" t="s">
        <v>469</v>
      </c>
      <c r="B117" s="2" t="s">
        <v>580</v>
      </c>
      <c r="C117" s="2" t="s">
        <v>394</v>
      </c>
      <c r="D117" s="24">
        <v>39</v>
      </c>
      <c r="E117" s="24">
        <v>3</v>
      </c>
      <c r="F117" s="24">
        <v>30</v>
      </c>
      <c r="G117" s="11">
        <v>21.5</v>
      </c>
      <c r="H117" s="24">
        <v>0</v>
      </c>
      <c r="I117" s="24">
        <v>6</v>
      </c>
      <c r="J117" s="4">
        <v>118.14000000000004</v>
      </c>
      <c r="K117" s="4">
        <v>708.84</v>
      </c>
      <c r="L117" s="19">
        <f t="shared" si="1"/>
        <v>-15.5</v>
      </c>
    </row>
    <row r="118" spans="1:12" hidden="1" x14ac:dyDescent="0.25">
      <c r="A118" s="2" t="s">
        <v>15</v>
      </c>
      <c r="B118" s="2" t="s">
        <v>16</v>
      </c>
      <c r="C118" s="2" t="s">
        <v>216</v>
      </c>
      <c r="D118" s="24">
        <v>18</v>
      </c>
      <c r="E118" s="24">
        <v>5</v>
      </c>
      <c r="F118" s="24">
        <v>7</v>
      </c>
      <c r="G118" s="11">
        <v>10</v>
      </c>
      <c r="H118" s="24">
        <v>0</v>
      </c>
      <c r="I118" s="24">
        <v>6</v>
      </c>
      <c r="J118" s="4">
        <v>3383.9899999999984</v>
      </c>
      <c r="K118" s="4">
        <v>20303.939999999999</v>
      </c>
      <c r="L118" s="19">
        <f t="shared" si="1"/>
        <v>-4</v>
      </c>
    </row>
    <row r="119" spans="1:12" hidden="1" x14ac:dyDescent="0.25">
      <c r="A119" s="2" t="s">
        <v>148</v>
      </c>
      <c r="B119" s="2" t="s">
        <v>149</v>
      </c>
      <c r="C119" s="2" t="s">
        <v>228</v>
      </c>
      <c r="D119" s="24">
        <v>17</v>
      </c>
      <c r="E119" s="24">
        <v>4</v>
      </c>
      <c r="F119" s="24">
        <v>2</v>
      </c>
      <c r="G119" s="11">
        <v>8</v>
      </c>
      <c r="H119" s="24">
        <v>5</v>
      </c>
      <c r="I119" s="24">
        <v>6</v>
      </c>
      <c r="J119" s="4">
        <v>3152.400000000001</v>
      </c>
      <c r="K119" s="4">
        <v>18914.399999999998</v>
      </c>
      <c r="L119" s="19">
        <f t="shared" si="1"/>
        <v>-2</v>
      </c>
    </row>
    <row r="120" spans="1:12" hidden="1" x14ac:dyDescent="0.25">
      <c r="A120" s="2" t="s">
        <v>414</v>
      </c>
      <c r="B120" s="2" t="s">
        <v>665</v>
      </c>
      <c r="C120" s="2" t="s">
        <v>636</v>
      </c>
      <c r="D120" s="24">
        <v>5.0999999999999996</v>
      </c>
      <c r="E120" s="24">
        <v>0</v>
      </c>
      <c r="F120" s="24">
        <v>0</v>
      </c>
      <c r="G120" s="11">
        <v>93.799999999999955</v>
      </c>
      <c r="H120" s="24">
        <v>0</v>
      </c>
      <c r="I120" s="24">
        <v>5.0999999999999988</v>
      </c>
      <c r="J120" s="4">
        <v>6.7699999999999969</v>
      </c>
      <c r="K120" s="4">
        <v>34.527000000000001</v>
      </c>
      <c r="L120" s="19">
        <f t="shared" si="1"/>
        <v>-88.69999999999996</v>
      </c>
    </row>
    <row r="121" spans="1:12" hidden="1" x14ac:dyDescent="0.25">
      <c r="A121" s="2" t="s">
        <v>777</v>
      </c>
      <c r="B121" s="20" t="s">
        <v>778</v>
      </c>
      <c r="C121" s="2" t="s">
        <v>635</v>
      </c>
      <c r="D121" s="24">
        <v>18</v>
      </c>
      <c r="E121" s="24">
        <v>6</v>
      </c>
      <c r="F121" s="24">
        <v>7</v>
      </c>
      <c r="G121" s="11">
        <v>6</v>
      </c>
      <c r="H121" s="24">
        <v>0</v>
      </c>
      <c r="I121" s="24">
        <v>5</v>
      </c>
      <c r="J121" s="4">
        <v>2457.6500000000005</v>
      </c>
      <c r="K121" s="4">
        <v>12288.25</v>
      </c>
      <c r="L121" s="19">
        <f t="shared" si="1"/>
        <v>-1</v>
      </c>
    </row>
    <row r="122" spans="1:12" hidden="1" x14ac:dyDescent="0.25">
      <c r="A122" s="2" t="s">
        <v>109</v>
      </c>
      <c r="B122" s="2" t="s">
        <v>110</v>
      </c>
      <c r="C122" s="2" t="s">
        <v>224</v>
      </c>
      <c r="D122" s="24">
        <v>8</v>
      </c>
      <c r="E122" s="24">
        <v>3</v>
      </c>
      <c r="F122" s="24">
        <v>0</v>
      </c>
      <c r="G122" s="11">
        <v>5.5699999999999967</v>
      </c>
      <c r="H122" s="24">
        <v>0</v>
      </c>
      <c r="I122" s="24">
        <v>5</v>
      </c>
      <c r="J122" s="4">
        <v>1416.67</v>
      </c>
      <c r="K122" s="4">
        <v>7083.3499999999995</v>
      </c>
      <c r="L122" s="19">
        <f t="shared" si="1"/>
        <v>-0.56999999999999673</v>
      </c>
    </row>
    <row r="123" spans="1:12" hidden="1" x14ac:dyDescent="0.25">
      <c r="A123" s="2" t="s">
        <v>113</v>
      </c>
      <c r="B123" s="2" t="s">
        <v>114</v>
      </c>
      <c r="C123" s="2" t="s">
        <v>585</v>
      </c>
      <c r="D123" s="24">
        <v>11</v>
      </c>
      <c r="E123" s="24">
        <v>4</v>
      </c>
      <c r="F123" s="24">
        <v>2</v>
      </c>
      <c r="G123" s="11">
        <v>4</v>
      </c>
      <c r="H123" s="24">
        <v>0</v>
      </c>
      <c r="I123" s="24">
        <v>5</v>
      </c>
      <c r="J123" s="4">
        <v>7450</v>
      </c>
      <c r="K123" s="4">
        <v>37250</v>
      </c>
      <c r="L123" s="19">
        <f t="shared" si="1"/>
        <v>1</v>
      </c>
    </row>
    <row r="124" spans="1:12" hidden="1" x14ac:dyDescent="0.25">
      <c r="A124" s="2" t="s">
        <v>162</v>
      </c>
      <c r="B124" s="2" t="s">
        <v>163</v>
      </c>
      <c r="C124" s="2" t="s">
        <v>228</v>
      </c>
      <c r="D124" s="24">
        <v>14</v>
      </c>
      <c r="E124" s="24">
        <v>4</v>
      </c>
      <c r="F124" s="24">
        <v>2</v>
      </c>
      <c r="G124" s="11">
        <v>8</v>
      </c>
      <c r="H124" s="24">
        <v>3</v>
      </c>
      <c r="I124" s="24">
        <v>5</v>
      </c>
      <c r="J124" s="4">
        <v>6057.5</v>
      </c>
      <c r="K124" s="4">
        <v>30287.5</v>
      </c>
      <c r="L124" s="19">
        <f t="shared" si="1"/>
        <v>-3</v>
      </c>
    </row>
    <row r="125" spans="1:12" hidden="1" x14ac:dyDescent="0.25">
      <c r="A125" s="2" t="s">
        <v>698</v>
      </c>
      <c r="B125" s="2" t="s">
        <v>699</v>
      </c>
      <c r="C125" s="2" t="s">
        <v>253</v>
      </c>
      <c r="D125" s="24">
        <v>15</v>
      </c>
      <c r="E125" s="24">
        <v>3</v>
      </c>
      <c r="F125" s="24">
        <v>7</v>
      </c>
      <c r="G125" s="11">
        <v>4</v>
      </c>
      <c r="H125" s="24">
        <v>0</v>
      </c>
      <c r="I125" s="24">
        <v>5</v>
      </c>
      <c r="J125" s="4">
        <v>2200</v>
      </c>
      <c r="K125" s="4">
        <v>11000</v>
      </c>
      <c r="L125" s="19">
        <f t="shared" si="1"/>
        <v>1</v>
      </c>
    </row>
    <row r="126" spans="1:12" hidden="1" x14ac:dyDescent="0.25">
      <c r="A126" s="2" t="s">
        <v>727</v>
      </c>
      <c r="B126" s="2" t="s">
        <v>728</v>
      </c>
      <c r="C126" s="2" t="s">
        <v>635</v>
      </c>
      <c r="D126" s="24">
        <v>13</v>
      </c>
      <c r="E126" s="24">
        <v>3</v>
      </c>
      <c r="F126" s="24">
        <v>5</v>
      </c>
      <c r="G126" s="11">
        <v>5</v>
      </c>
      <c r="H126" s="24">
        <v>0</v>
      </c>
      <c r="I126" s="24">
        <v>5</v>
      </c>
      <c r="J126" s="4">
        <v>10899.550000000001</v>
      </c>
      <c r="K126" s="4">
        <v>54497.75</v>
      </c>
      <c r="L126" s="19">
        <f t="shared" si="1"/>
        <v>0</v>
      </c>
    </row>
    <row r="127" spans="1:12" hidden="1" x14ac:dyDescent="0.25">
      <c r="A127" s="2" t="s">
        <v>150</v>
      </c>
      <c r="B127" s="2" t="s">
        <v>151</v>
      </c>
      <c r="C127" s="2" t="s">
        <v>673</v>
      </c>
      <c r="D127" s="24">
        <v>14.600000000000003</v>
      </c>
      <c r="E127" s="24">
        <v>0</v>
      </c>
      <c r="F127" s="24">
        <v>5</v>
      </c>
      <c r="G127" s="11">
        <v>0</v>
      </c>
      <c r="H127" s="24">
        <v>5</v>
      </c>
      <c r="I127" s="24">
        <v>4.6000000000000023</v>
      </c>
      <c r="J127" s="4">
        <v>1147</v>
      </c>
      <c r="K127" s="4">
        <v>5276.2000000000035</v>
      </c>
      <c r="L127" s="19">
        <f t="shared" si="1"/>
        <v>4.6000000000000032</v>
      </c>
    </row>
    <row r="128" spans="1:12" hidden="1" x14ac:dyDescent="0.25">
      <c r="A128" s="2" t="s">
        <v>970</v>
      </c>
      <c r="B128" s="2" t="s">
        <v>971</v>
      </c>
      <c r="C128" s="2" t="s">
        <v>224</v>
      </c>
      <c r="D128" s="24">
        <v>4.4399999999999995</v>
      </c>
      <c r="E128" s="24">
        <v>0</v>
      </c>
      <c r="F128" s="24">
        <v>0</v>
      </c>
      <c r="G128" s="11">
        <v>30.759999999999991</v>
      </c>
      <c r="H128" s="24">
        <v>0</v>
      </c>
      <c r="I128" s="24">
        <v>4.4399999999999986</v>
      </c>
      <c r="J128" s="4">
        <v>1748.2099999999996</v>
      </c>
      <c r="K128" s="4">
        <v>7762.0523999999987</v>
      </c>
      <c r="L128" s="19">
        <f t="shared" si="1"/>
        <v>-26.319999999999993</v>
      </c>
    </row>
    <row r="129" spans="1:12" hidden="1" x14ac:dyDescent="0.25">
      <c r="A129" s="2" t="s">
        <v>923</v>
      </c>
      <c r="B129" s="2" t="s">
        <v>924</v>
      </c>
      <c r="C129" s="2" t="s">
        <v>636</v>
      </c>
      <c r="D129" s="24">
        <v>4</v>
      </c>
      <c r="E129" s="24">
        <v>0</v>
      </c>
      <c r="F129" s="24">
        <v>0</v>
      </c>
      <c r="G129" s="11">
        <v>0</v>
      </c>
      <c r="H129" s="24">
        <v>0</v>
      </c>
      <c r="I129" s="24">
        <v>4</v>
      </c>
      <c r="J129" s="4">
        <v>10</v>
      </c>
      <c r="K129" s="4">
        <v>40</v>
      </c>
      <c r="L129" s="19">
        <f t="shared" si="1"/>
        <v>4</v>
      </c>
    </row>
    <row r="130" spans="1:12" hidden="1" x14ac:dyDescent="0.25">
      <c r="A130" s="2" t="s">
        <v>32</v>
      </c>
      <c r="B130" s="2" t="s">
        <v>33</v>
      </c>
      <c r="C130" s="2" t="s">
        <v>1226</v>
      </c>
      <c r="D130" s="24">
        <v>24</v>
      </c>
      <c r="E130" s="24">
        <v>0</v>
      </c>
      <c r="F130" s="24">
        <v>0</v>
      </c>
      <c r="G130" s="11">
        <v>16</v>
      </c>
      <c r="H130" s="24">
        <v>20</v>
      </c>
      <c r="I130" s="24">
        <v>4</v>
      </c>
      <c r="J130" s="4">
        <v>2726.4199999999992</v>
      </c>
      <c r="K130" s="4">
        <v>10905.679999999997</v>
      </c>
      <c r="L130" s="19">
        <f t="shared" si="1"/>
        <v>-12</v>
      </c>
    </row>
    <row r="131" spans="1:12" hidden="1" x14ac:dyDescent="0.25">
      <c r="A131" s="2" t="s">
        <v>1229</v>
      </c>
      <c r="B131" s="2" t="s">
        <v>1230</v>
      </c>
      <c r="C131" s="2" t="s">
        <v>635</v>
      </c>
      <c r="D131" s="24">
        <v>4</v>
      </c>
      <c r="E131" s="24">
        <v>0</v>
      </c>
      <c r="F131" s="24">
        <v>0</v>
      </c>
      <c r="G131" s="11">
        <v>0</v>
      </c>
      <c r="H131" s="24">
        <v>0</v>
      </c>
      <c r="I131" s="24">
        <v>4</v>
      </c>
      <c r="J131" s="4">
        <v>3589.41</v>
      </c>
      <c r="K131" s="4">
        <v>14357.64</v>
      </c>
      <c r="L131" s="19">
        <f t="shared" si="1"/>
        <v>4</v>
      </c>
    </row>
    <row r="132" spans="1:12" hidden="1" x14ac:dyDescent="0.25">
      <c r="A132" s="2" t="s">
        <v>275</v>
      </c>
      <c r="B132" s="2" t="s">
        <v>276</v>
      </c>
      <c r="C132" s="2" t="s">
        <v>277</v>
      </c>
      <c r="D132" s="24">
        <v>19</v>
      </c>
      <c r="E132" s="24">
        <v>6</v>
      </c>
      <c r="F132" s="24">
        <v>9</v>
      </c>
      <c r="G132" s="11">
        <v>8</v>
      </c>
      <c r="H132" s="24">
        <v>0</v>
      </c>
      <c r="I132" s="24">
        <v>4</v>
      </c>
      <c r="J132" s="4">
        <v>487.56000000000006</v>
      </c>
      <c r="K132" s="4">
        <v>1950.2400000000002</v>
      </c>
      <c r="L132" s="19">
        <f t="shared" si="1"/>
        <v>-4</v>
      </c>
    </row>
    <row r="133" spans="1:12" hidden="1" x14ac:dyDescent="0.25">
      <c r="A133" s="2" t="s">
        <v>121</v>
      </c>
      <c r="B133" s="2" t="s">
        <v>312</v>
      </c>
      <c r="C133" s="2" t="s">
        <v>242</v>
      </c>
      <c r="D133" s="24">
        <v>33.699999999999996</v>
      </c>
      <c r="E133" s="24">
        <v>5.8</v>
      </c>
      <c r="F133" s="24">
        <v>24</v>
      </c>
      <c r="G133" s="11">
        <v>18.499999999999982</v>
      </c>
      <c r="H133" s="24">
        <v>0</v>
      </c>
      <c r="I133" s="24">
        <v>3.8999999999999928</v>
      </c>
      <c r="J133" s="4">
        <v>120</v>
      </c>
      <c r="K133" s="4">
        <v>467.99999999999932</v>
      </c>
      <c r="L133" s="19">
        <f t="shared" si="1"/>
        <v>-14.599999999999987</v>
      </c>
    </row>
    <row r="134" spans="1:12" hidden="1" x14ac:dyDescent="0.25">
      <c r="A134" s="2" t="s">
        <v>1188</v>
      </c>
      <c r="B134" s="2" t="s">
        <v>1189</v>
      </c>
      <c r="C134" s="2" t="s">
        <v>491</v>
      </c>
      <c r="D134" s="24">
        <v>3.4499999999999997</v>
      </c>
      <c r="E134" s="24">
        <v>0</v>
      </c>
      <c r="F134" s="24">
        <v>0</v>
      </c>
      <c r="G134" s="11">
        <v>0</v>
      </c>
      <c r="H134" s="24">
        <v>0</v>
      </c>
      <c r="I134" s="24">
        <v>3.4499999999999997</v>
      </c>
      <c r="J134" s="4">
        <v>115.78</v>
      </c>
      <c r="K134" s="4">
        <v>399.44099999999997</v>
      </c>
      <c r="L134" s="19">
        <f t="shared" si="1"/>
        <v>3.4499999999999997</v>
      </c>
    </row>
    <row r="135" spans="1:12" hidden="1" x14ac:dyDescent="0.25">
      <c r="A135" s="2" t="s">
        <v>1102</v>
      </c>
      <c r="B135" s="2" t="s">
        <v>1103</v>
      </c>
      <c r="C135" s="2" t="s">
        <v>1222</v>
      </c>
      <c r="D135" s="24">
        <v>3</v>
      </c>
      <c r="E135" s="24">
        <v>0</v>
      </c>
      <c r="F135" s="24">
        <v>0</v>
      </c>
      <c r="G135" s="11">
        <v>0</v>
      </c>
      <c r="H135" s="24">
        <v>0</v>
      </c>
      <c r="I135" s="24">
        <v>3</v>
      </c>
      <c r="J135" s="4">
        <v>96</v>
      </c>
      <c r="K135" s="4">
        <v>288</v>
      </c>
      <c r="L135" s="19">
        <f t="shared" si="1"/>
        <v>3</v>
      </c>
    </row>
    <row r="136" spans="1:12" hidden="1" x14ac:dyDescent="0.25">
      <c r="A136" s="2" t="s">
        <v>1131</v>
      </c>
      <c r="B136" s="2" t="s">
        <v>1132</v>
      </c>
      <c r="C136" s="2" t="s">
        <v>228</v>
      </c>
      <c r="D136" s="24">
        <v>3</v>
      </c>
      <c r="E136" s="24">
        <v>0</v>
      </c>
      <c r="F136" s="24">
        <v>0</v>
      </c>
      <c r="G136" s="11">
        <v>0</v>
      </c>
      <c r="H136" s="24">
        <v>0</v>
      </c>
      <c r="I136" s="24">
        <v>3</v>
      </c>
      <c r="J136" s="4">
        <v>13650.01</v>
      </c>
      <c r="K136" s="4">
        <v>40950.03</v>
      </c>
      <c r="L136" s="19">
        <f t="shared" si="1"/>
        <v>3</v>
      </c>
    </row>
    <row r="137" spans="1:12" hidden="1" x14ac:dyDescent="0.25">
      <c r="A137" s="2" t="s">
        <v>755</v>
      </c>
      <c r="B137" s="2" t="s">
        <v>756</v>
      </c>
      <c r="C137" s="2" t="s">
        <v>216</v>
      </c>
      <c r="D137" s="24">
        <v>5</v>
      </c>
      <c r="E137" s="24">
        <v>1</v>
      </c>
      <c r="F137" s="24">
        <v>1</v>
      </c>
      <c r="G137" s="11">
        <v>1</v>
      </c>
      <c r="H137" s="24">
        <v>0</v>
      </c>
      <c r="I137" s="24">
        <v>3</v>
      </c>
      <c r="J137" s="4">
        <v>32538.379999999997</v>
      </c>
      <c r="K137" s="4">
        <v>97615.14</v>
      </c>
      <c r="L137" s="19">
        <f t="shared" si="1"/>
        <v>2</v>
      </c>
    </row>
    <row r="138" spans="1:12" hidden="1" x14ac:dyDescent="0.25">
      <c r="A138" s="2" t="s">
        <v>325</v>
      </c>
      <c r="B138" s="2" t="s">
        <v>326</v>
      </c>
      <c r="C138" s="2" t="s">
        <v>327</v>
      </c>
      <c r="D138" s="24">
        <v>2.5820000000000007</v>
      </c>
      <c r="E138" s="24">
        <v>0</v>
      </c>
      <c r="F138" s="24">
        <v>0</v>
      </c>
      <c r="G138" s="11">
        <v>-4.4408920985006262E-16</v>
      </c>
      <c r="H138" s="24">
        <v>0</v>
      </c>
      <c r="I138" s="24">
        <v>2.5820000000000007</v>
      </c>
      <c r="J138" s="4">
        <v>1575</v>
      </c>
      <c r="K138" s="4">
        <v>4066.65</v>
      </c>
      <c r="L138" s="19">
        <f t="shared" si="1"/>
        <v>2.5820000000000012</v>
      </c>
    </row>
    <row r="139" spans="1:12" hidden="1" x14ac:dyDescent="0.25">
      <c r="A139" s="2" t="s">
        <v>553</v>
      </c>
      <c r="B139" s="2" t="s">
        <v>554</v>
      </c>
      <c r="C139" s="2" t="s">
        <v>242</v>
      </c>
      <c r="D139" s="24">
        <v>16.57</v>
      </c>
      <c r="E139" s="24">
        <v>0</v>
      </c>
      <c r="F139" s="24">
        <v>14</v>
      </c>
      <c r="G139" s="11">
        <v>9.9999999999999964</v>
      </c>
      <c r="H139" s="24">
        <v>0</v>
      </c>
      <c r="I139" s="24">
        <v>2.5700000000000003</v>
      </c>
      <c r="J139" s="4">
        <v>215</v>
      </c>
      <c r="K139" s="4">
        <v>552.54999999999995</v>
      </c>
      <c r="L139" s="19">
        <f t="shared" si="1"/>
        <v>-7.4299999999999962</v>
      </c>
    </row>
    <row r="140" spans="1:12" hidden="1" x14ac:dyDescent="0.25">
      <c r="A140" s="2" t="s">
        <v>1070</v>
      </c>
      <c r="B140" s="2" t="s">
        <v>1071</v>
      </c>
      <c r="C140" s="2" t="s">
        <v>1224</v>
      </c>
      <c r="D140" s="24">
        <v>2.5</v>
      </c>
      <c r="E140" s="24">
        <v>0</v>
      </c>
      <c r="F140" s="24">
        <v>0</v>
      </c>
      <c r="G140" s="11">
        <v>-3.5527136788005009E-15</v>
      </c>
      <c r="H140" s="24">
        <v>0</v>
      </c>
      <c r="I140" s="24">
        <v>2.5</v>
      </c>
      <c r="J140" s="4">
        <v>83.33</v>
      </c>
      <c r="K140" s="4">
        <v>208.32499999999999</v>
      </c>
      <c r="L140" s="19">
        <f t="shared" si="1"/>
        <v>2.5000000000000036</v>
      </c>
    </row>
    <row r="141" spans="1:12" hidden="1" x14ac:dyDescent="0.25">
      <c r="A141" s="2" t="s">
        <v>1140</v>
      </c>
      <c r="B141" s="2" t="s">
        <v>1141</v>
      </c>
      <c r="C141" s="2" t="s">
        <v>1222</v>
      </c>
      <c r="D141" s="24">
        <v>2</v>
      </c>
      <c r="E141" s="24">
        <v>0</v>
      </c>
      <c r="F141" s="24">
        <v>0</v>
      </c>
      <c r="G141" s="11">
        <v>0</v>
      </c>
      <c r="H141" s="24">
        <v>0</v>
      </c>
      <c r="I141" s="24">
        <v>2</v>
      </c>
      <c r="J141" s="4">
        <v>0</v>
      </c>
      <c r="K141" s="4">
        <v>0</v>
      </c>
      <c r="L141" s="19">
        <f t="shared" ref="L141:L204" si="2">D141-E141-F141-G141-H141</f>
        <v>2</v>
      </c>
    </row>
    <row r="142" spans="1:12" hidden="1" x14ac:dyDescent="0.25">
      <c r="A142" s="2" t="s">
        <v>452</v>
      </c>
      <c r="B142" s="2" t="s">
        <v>453</v>
      </c>
      <c r="C142" s="2" t="s">
        <v>242</v>
      </c>
      <c r="D142" s="24">
        <v>20</v>
      </c>
      <c r="E142" s="24">
        <v>6</v>
      </c>
      <c r="F142" s="24">
        <v>6</v>
      </c>
      <c r="G142" s="11">
        <v>7</v>
      </c>
      <c r="H142" s="24">
        <v>6</v>
      </c>
      <c r="I142" s="24">
        <v>2</v>
      </c>
      <c r="J142" s="4">
        <v>1600</v>
      </c>
      <c r="K142" s="4">
        <v>3200</v>
      </c>
      <c r="L142" s="19">
        <f t="shared" si="2"/>
        <v>-5</v>
      </c>
    </row>
    <row r="143" spans="1:12" hidden="1" x14ac:dyDescent="0.25">
      <c r="A143" s="2" t="s">
        <v>1133</v>
      </c>
      <c r="B143" s="2" t="s">
        <v>1134</v>
      </c>
      <c r="C143" s="2" t="s">
        <v>713</v>
      </c>
      <c r="D143" s="24">
        <v>2</v>
      </c>
      <c r="E143" s="24">
        <v>0</v>
      </c>
      <c r="F143" s="24">
        <v>0</v>
      </c>
      <c r="G143" s="11">
        <v>0</v>
      </c>
      <c r="H143" s="24">
        <v>0</v>
      </c>
      <c r="I143" s="24">
        <v>2</v>
      </c>
      <c r="J143" s="4">
        <v>24464.05</v>
      </c>
      <c r="K143" s="4">
        <v>48928.1</v>
      </c>
      <c r="L143" s="19">
        <f t="shared" si="2"/>
        <v>2</v>
      </c>
    </row>
    <row r="144" spans="1:12" hidden="1" x14ac:dyDescent="0.25">
      <c r="A144" s="2" t="s">
        <v>499</v>
      </c>
      <c r="B144" s="2" t="s">
        <v>500</v>
      </c>
      <c r="C144" s="2" t="s">
        <v>714</v>
      </c>
      <c r="D144" s="24">
        <v>19</v>
      </c>
      <c r="E144" s="24">
        <v>6</v>
      </c>
      <c r="F144" s="24">
        <v>11</v>
      </c>
      <c r="G144" s="11">
        <v>8</v>
      </c>
      <c r="H144" s="24">
        <v>0</v>
      </c>
      <c r="I144" s="24">
        <v>2</v>
      </c>
      <c r="J144" s="4"/>
      <c r="K144" s="4">
        <v>0</v>
      </c>
      <c r="L144" s="19">
        <f t="shared" si="2"/>
        <v>-6</v>
      </c>
    </row>
    <row r="145" spans="1:12" hidden="1" x14ac:dyDescent="0.25">
      <c r="A145" s="2" t="s">
        <v>739</v>
      </c>
      <c r="B145" s="20" t="s">
        <v>740</v>
      </c>
      <c r="C145" s="2" t="s">
        <v>668</v>
      </c>
      <c r="D145" s="24">
        <v>16</v>
      </c>
      <c r="E145" s="24">
        <v>2</v>
      </c>
      <c r="F145" s="24">
        <v>12</v>
      </c>
      <c r="G145" s="11">
        <v>14</v>
      </c>
      <c r="H145" s="24">
        <v>0</v>
      </c>
      <c r="I145" s="24">
        <v>2</v>
      </c>
      <c r="J145" s="4">
        <v>116.67000000000003</v>
      </c>
      <c r="K145" s="4">
        <v>233.34000000000006</v>
      </c>
      <c r="L145" s="19">
        <f t="shared" si="2"/>
        <v>-12</v>
      </c>
    </row>
    <row r="146" spans="1:12" x14ac:dyDescent="0.25">
      <c r="A146" s="2" t="s">
        <v>947</v>
      </c>
      <c r="B146" s="2" t="s">
        <v>948</v>
      </c>
      <c r="C146" s="2" t="s">
        <v>228</v>
      </c>
      <c r="D146" s="24">
        <v>7</v>
      </c>
      <c r="E146" s="24">
        <v>3</v>
      </c>
      <c r="F146" s="24">
        <v>0</v>
      </c>
      <c r="G146" s="11">
        <v>5</v>
      </c>
      <c r="H146" s="24">
        <v>2</v>
      </c>
      <c r="I146" s="24">
        <v>2</v>
      </c>
      <c r="J146" s="4">
        <v>3996</v>
      </c>
      <c r="K146" s="4">
        <v>7992</v>
      </c>
      <c r="L146" s="19">
        <f t="shared" si="2"/>
        <v>-3</v>
      </c>
    </row>
    <row r="147" spans="1:12" hidden="1" x14ac:dyDescent="0.25">
      <c r="A147" s="2" t="s">
        <v>7</v>
      </c>
      <c r="B147" s="2" t="s">
        <v>8</v>
      </c>
      <c r="C147" s="2" t="s">
        <v>228</v>
      </c>
      <c r="D147" s="24">
        <v>14</v>
      </c>
      <c r="E147" s="24">
        <v>6</v>
      </c>
      <c r="F147" s="24">
        <v>3</v>
      </c>
      <c r="G147" s="11">
        <v>7</v>
      </c>
      <c r="H147" s="24">
        <v>3</v>
      </c>
      <c r="I147" s="24">
        <v>2</v>
      </c>
      <c r="J147" s="4">
        <v>2477.52</v>
      </c>
      <c r="K147" s="4">
        <v>4955.04</v>
      </c>
      <c r="L147" s="19">
        <f t="shared" si="2"/>
        <v>-5</v>
      </c>
    </row>
    <row r="148" spans="1:12" hidden="1" x14ac:dyDescent="0.25">
      <c r="A148" s="2" t="s">
        <v>941</v>
      </c>
      <c r="B148" s="2" t="s">
        <v>942</v>
      </c>
      <c r="C148" s="2" t="s">
        <v>1052</v>
      </c>
      <c r="D148" s="24">
        <v>5</v>
      </c>
      <c r="E148" s="24">
        <v>1</v>
      </c>
      <c r="F148" s="24">
        <v>2</v>
      </c>
      <c r="G148" s="11">
        <v>1</v>
      </c>
      <c r="H148" s="24">
        <v>0</v>
      </c>
      <c r="I148" s="24">
        <v>2</v>
      </c>
      <c r="J148" s="4">
        <v>9940.35</v>
      </c>
      <c r="K148" s="4">
        <v>19880.7</v>
      </c>
      <c r="L148" s="19">
        <f t="shared" si="2"/>
        <v>1</v>
      </c>
    </row>
    <row r="149" spans="1:12" hidden="1" x14ac:dyDescent="0.25">
      <c r="A149" s="2" t="s">
        <v>965</v>
      </c>
      <c r="B149" s="2" t="s">
        <v>966</v>
      </c>
      <c r="C149" s="2" t="s">
        <v>635</v>
      </c>
      <c r="D149" s="24">
        <v>6</v>
      </c>
      <c r="E149" s="24">
        <v>3</v>
      </c>
      <c r="F149" s="24">
        <v>1</v>
      </c>
      <c r="G149" s="11">
        <v>6</v>
      </c>
      <c r="H149" s="24">
        <v>0</v>
      </c>
      <c r="I149" s="24">
        <v>2</v>
      </c>
      <c r="J149" s="4">
        <v>8424.67</v>
      </c>
      <c r="K149" s="4">
        <v>16849.34</v>
      </c>
      <c r="L149" s="19">
        <f t="shared" si="2"/>
        <v>-4</v>
      </c>
    </row>
    <row r="150" spans="1:12" hidden="1" x14ac:dyDescent="0.25">
      <c r="A150" s="2" t="s">
        <v>336</v>
      </c>
      <c r="B150" s="2" t="s">
        <v>623</v>
      </c>
      <c r="C150" s="2" t="s">
        <v>637</v>
      </c>
      <c r="D150" s="24">
        <v>11</v>
      </c>
      <c r="E150" s="24">
        <v>4</v>
      </c>
      <c r="F150" s="24">
        <v>5</v>
      </c>
      <c r="G150" s="11">
        <v>4</v>
      </c>
      <c r="H150" s="24">
        <v>0</v>
      </c>
      <c r="I150" s="24">
        <v>2</v>
      </c>
      <c r="J150" s="4">
        <v>1723.1199999999992</v>
      </c>
      <c r="K150" s="4">
        <v>3446.2399999999984</v>
      </c>
      <c r="L150" s="19">
        <f t="shared" si="2"/>
        <v>-2</v>
      </c>
    </row>
    <row r="151" spans="1:12" hidden="1" x14ac:dyDescent="0.25">
      <c r="A151" s="2" t="s">
        <v>337</v>
      </c>
      <c r="B151" s="2" t="s">
        <v>624</v>
      </c>
      <c r="C151" s="2" t="s">
        <v>637</v>
      </c>
      <c r="D151" s="24">
        <v>11</v>
      </c>
      <c r="E151" s="24">
        <v>4</v>
      </c>
      <c r="F151" s="24">
        <v>5</v>
      </c>
      <c r="G151" s="11">
        <v>4</v>
      </c>
      <c r="H151" s="24">
        <v>0</v>
      </c>
      <c r="I151" s="24">
        <v>2</v>
      </c>
      <c r="J151" s="4">
        <v>1678.8800000000008</v>
      </c>
      <c r="K151" s="4">
        <v>3357.7600000000016</v>
      </c>
      <c r="L151" s="19">
        <f t="shared" si="2"/>
        <v>-2</v>
      </c>
    </row>
    <row r="152" spans="1:12" hidden="1" x14ac:dyDescent="0.25">
      <c r="A152" s="2" t="s">
        <v>839</v>
      </c>
      <c r="B152" s="2" t="s">
        <v>840</v>
      </c>
      <c r="C152" s="2" t="s">
        <v>1222</v>
      </c>
      <c r="D152" s="24">
        <v>1.8000000000000003</v>
      </c>
      <c r="E152" s="24">
        <v>0</v>
      </c>
      <c r="F152" s="24">
        <v>0</v>
      </c>
      <c r="G152" s="11">
        <v>0</v>
      </c>
      <c r="H152" s="24">
        <v>0</v>
      </c>
      <c r="I152" s="24">
        <v>1.8000000000000003</v>
      </c>
      <c r="J152" s="4">
        <v>5</v>
      </c>
      <c r="K152" s="4">
        <v>9.0000000000000018</v>
      </c>
      <c r="L152" s="19">
        <f t="shared" si="2"/>
        <v>1.8000000000000003</v>
      </c>
    </row>
    <row r="153" spans="1:12" hidden="1" x14ac:dyDescent="0.25">
      <c r="A153" s="2" t="s">
        <v>1017</v>
      </c>
      <c r="B153" s="2" t="s">
        <v>1018</v>
      </c>
      <c r="C153" s="2" t="s">
        <v>1019</v>
      </c>
      <c r="D153" s="24">
        <v>1.8</v>
      </c>
      <c r="E153" s="24">
        <v>0</v>
      </c>
      <c r="F153" s="24">
        <v>0</v>
      </c>
      <c r="G153" s="11">
        <v>23.20000000000001</v>
      </c>
      <c r="H153" s="24">
        <v>0</v>
      </c>
      <c r="I153" s="24">
        <v>1.8</v>
      </c>
      <c r="J153" s="4">
        <v>200</v>
      </c>
      <c r="K153" s="4">
        <v>360</v>
      </c>
      <c r="L153" s="19">
        <f t="shared" si="2"/>
        <v>-21.400000000000009</v>
      </c>
    </row>
    <row r="154" spans="1:12" hidden="1" x14ac:dyDescent="0.25">
      <c r="A154" s="2" t="s">
        <v>320</v>
      </c>
      <c r="B154" s="2" t="s">
        <v>321</v>
      </c>
      <c r="C154" s="2" t="s">
        <v>763</v>
      </c>
      <c r="D154" s="24">
        <v>2.4870000000000005</v>
      </c>
      <c r="E154" s="24">
        <v>1.0609999999999999</v>
      </c>
      <c r="F154" s="24">
        <v>0</v>
      </c>
      <c r="G154" s="11">
        <v>4.5430000000000215</v>
      </c>
      <c r="H154" s="24">
        <v>0</v>
      </c>
      <c r="I154" s="24">
        <v>1.426000000000001</v>
      </c>
      <c r="J154" s="4">
        <v>19500</v>
      </c>
      <c r="K154" s="4">
        <v>27807.000000000007</v>
      </c>
      <c r="L154" s="19">
        <f t="shared" si="2"/>
        <v>-3.1170000000000209</v>
      </c>
    </row>
    <row r="155" spans="1:12" hidden="1" x14ac:dyDescent="0.25">
      <c r="A155" s="2" t="s">
        <v>348</v>
      </c>
      <c r="B155" s="2" t="s">
        <v>349</v>
      </c>
      <c r="C155" s="2" t="s">
        <v>218</v>
      </c>
      <c r="D155" s="24">
        <v>3.4000000000000008</v>
      </c>
      <c r="E155" s="24">
        <v>0</v>
      </c>
      <c r="F155" s="24">
        <v>2</v>
      </c>
      <c r="G155" s="11">
        <v>3.3306690738754696E-16</v>
      </c>
      <c r="H155" s="24">
        <v>0</v>
      </c>
      <c r="I155" s="24">
        <v>1.4000000000000012</v>
      </c>
      <c r="J155" s="4">
        <v>2778</v>
      </c>
      <c r="K155" s="4">
        <v>3889.2000000000025</v>
      </c>
      <c r="L155" s="19">
        <f t="shared" si="2"/>
        <v>1.4000000000000004</v>
      </c>
    </row>
    <row r="156" spans="1:12" hidden="1" x14ac:dyDescent="0.25">
      <c r="A156" s="2" t="s">
        <v>894</v>
      </c>
      <c r="B156" s="2" t="s">
        <v>895</v>
      </c>
      <c r="C156" s="2" t="s">
        <v>1224</v>
      </c>
      <c r="D156" s="24">
        <v>1.37</v>
      </c>
      <c r="E156" s="24">
        <v>0</v>
      </c>
      <c r="F156" s="24">
        <v>0</v>
      </c>
      <c r="G156" s="11">
        <v>-4.4408920985006262E-16</v>
      </c>
      <c r="H156" s="24">
        <v>0</v>
      </c>
      <c r="I156" s="24">
        <v>1.37</v>
      </c>
      <c r="J156" s="4">
        <v>142.5</v>
      </c>
      <c r="K156" s="4">
        <v>195.22500000000002</v>
      </c>
      <c r="L156" s="19">
        <f t="shared" si="2"/>
        <v>1.3700000000000006</v>
      </c>
    </row>
    <row r="157" spans="1:12" hidden="1" x14ac:dyDescent="0.25">
      <c r="A157" s="2" t="s">
        <v>990</v>
      </c>
      <c r="B157" s="2" t="s">
        <v>991</v>
      </c>
      <c r="C157" s="2" t="s">
        <v>697</v>
      </c>
      <c r="D157" s="24">
        <v>1.2</v>
      </c>
      <c r="E157" s="24">
        <v>0</v>
      </c>
      <c r="F157" s="24">
        <v>0</v>
      </c>
      <c r="G157" s="11">
        <v>50.000000000000043</v>
      </c>
      <c r="H157" s="24">
        <v>0</v>
      </c>
      <c r="I157" s="24">
        <v>1.2</v>
      </c>
      <c r="J157" s="4">
        <v>94.04</v>
      </c>
      <c r="K157" s="4">
        <v>112.848</v>
      </c>
      <c r="L157" s="19">
        <f t="shared" si="2"/>
        <v>-48.80000000000004</v>
      </c>
    </row>
    <row r="158" spans="1:12" hidden="1" x14ac:dyDescent="0.25">
      <c r="A158" s="2" t="s">
        <v>1092</v>
      </c>
      <c r="B158" s="2" t="s">
        <v>1093</v>
      </c>
      <c r="C158" s="2" t="s">
        <v>1222</v>
      </c>
      <c r="D158" s="24">
        <v>1</v>
      </c>
      <c r="E158" s="24">
        <v>0</v>
      </c>
      <c r="F158" s="24">
        <v>0</v>
      </c>
      <c r="G158" s="11">
        <v>0</v>
      </c>
      <c r="H158" s="24">
        <v>0</v>
      </c>
      <c r="I158" s="24">
        <v>1</v>
      </c>
      <c r="J158" s="4">
        <v>0</v>
      </c>
      <c r="K158" s="4">
        <v>0</v>
      </c>
      <c r="L158" s="19">
        <f t="shared" si="2"/>
        <v>1</v>
      </c>
    </row>
    <row r="159" spans="1:12" hidden="1" x14ac:dyDescent="0.25">
      <c r="A159" s="2" t="s">
        <v>1111</v>
      </c>
      <c r="B159" s="2" t="s">
        <v>1112</v>
      </c>
      <c r="C159" s="2" t="s">
        <v>1222</v>
      </c>
      <c r="D159" s="24">
        <v>1</v>
      </c>
      <c r="E159" s="24">
        <v>0</v>
      </c>
      <c r="F159" s="24">
        <v>0</v>
      </c>
      <c r="G159" s="11">
        <v>0</v>
      </c>
      <c r="H159" s="24">
        <v>0</v>
      </c>
      <c r="I159" s="24">
        <v>1</v>
      </c>
      <c r="J159" s="4">
        <v>2.12</v>
      </c>
      <c r="K159" s="4">
        <v>2.12</v>
      </c>
      <c r="L159" s="19">
        <f t="shared" si="2"/>
        <v>1</v>
      </c>
    </row>
    <row r="160" spans="1:12" hidden="1" x14ac:dyDescent="0.25">
      <c r="A160" s="2" t="s">
        <v>1117</v>
      </c>
      <c r="B160" s="2" t="s">
        <v>1118</v>
      </c>
      <c r="C160" s="2" t="s">
        <v>224</v>
      </c>
      <c r="D160" s="24">
        <v>1</v>
      </c>
      <c r="E160" s="24">
        <v>0</v>
      </c>
      <c r="F160" s="24">
        <v>0</v>
      </c>
      <c r="G160" s="11">
        <v>26.754999999999999</v>
      </c>
      <c r="H160" s="24">
        <v>0</v>
      </c>
      <c r="I160" s="24">
        <v>1</v>
      </c>
      <c r="J160" s="4">
        <v>882.72</v>
      </c>
      <c r="K160" s="4">
        <v>882.72</v>
      </c>
      <c r="L160" s="19">
        <f t="shared" si="2"/>
        <v>-25.754999999999999</v>
      </c>
    </row>
    <row r="161" spans="1:12" hidden="1" x14ac:dyDescent="0.25">
      <c r="A161" s="2" t="s">
        <v>1190</v>
      </c>
      <c r="B161" s="2" t="s">
        <v>1191</v>
      </c>
      <c r="C161" s="2" t="s">
        <v>1187</v>
      </c>
      <c r="D161" s="24">
        <v>1</v>
      </c>
      <c r="E161" s="24">
        <v>0</v>
      </c>
      <c r="F161" s="24">
        <v>0</v>
      </c>
      <c r="G161" s="11">
        <v>0</v>
      </c>
      <c r="H161" s="24">
        <v>0</v>
      </c>
      <c r="I161" s="24">
        <v>1</v>
      </c>
      <c r="J161" s="4">
        <v>17633.25</v>
      </c>
      <c r="K161" s="4">
        <v>17633.25</v>
      </c>
      <c r="L161" s="19">
        <f t="shared" si="2"/>
        <v>1</v>
      </c>
    </row>
    <row r="162" spans="1:12" hidden="1" x14ac:dyDescent="0.25">
      <c r="A162" s="2" t="s">
        <v>967</v>
      </c>
      <c r="B162" s="2" t="s">
        <v>968</v>
      </c>
      <c r="C162" s="2" t="s">
        <v>969</v>
      </c>
      <c r="D162" s="24">
        <v>3</v>
      </c>
      <c r="E162" s="24">
        <v>0</v>
      </c>
      <c r="F162" s="24">
        <v>2</v>
      </c>
      <c r="G162" s="11">
        <v>-7.1054273576010019E-15</v>
      </c>
      <c r="H162" s="24">
        <v>0</v>
      </c>
      <c r="I162" s="24">
        <v>1</v>
      </c>
      <c r="J162" s="4">
        <v>155</v>
      </c>
      <c r="K162" s="4">
        <v>155</v>
      </c>
      <c r="L162" s="19">
        <f t="shared" si="2"/>
        <v>1.0000000000000071</v>
      </c>
    </row>
    <row r="163" spans="1:12" hidden="1" x14ac:dyDescent="0.25">
      <c r="A163" s="2" t="s">
        <v>955</v>
      </c>
      <c r="B163" s="2" t="s">
        <v>956</v>
      </c>
      <c r="C163" s="2" t="s">
        <v>216</v>
      </c>
      <c r="D163" s="24">
        <v>2</v>
      </c>
      <c r="E163" s="24">
        <v>0</v>
      </c>
      <c r="F163" s="24">
        <v>1</v>
      </c>
      <c r="G163" s="11">
        <v>0</v>
      </c>
      <c r="H163" s="24">
        <v>0</v>
      </c>
      <c r="I163" s="24">
        <v>1</v>
      </c>
      <c r="J163" s="4">
        <v>65075.75</v>
      </c>
      <c r="K163" s="4">
        <v>65075.75</v>
      </c>
      <c r="L163" s="19">
        <f t="shared" si="2"/>
        <v>1</v>
      </c>
    </row>
    <row r="164" spans="1:12" hidden="1" x14ac:dyDescent="0.25">
      <c r="A164" s="2" t="s">
        <v>957</v>
      </c>
      <c r="B164" s="2" t="s">
        <v>958</v>
      </c>
      <c r="C164" s="2" t="s">
        <v>228</v>
      </c>
      <c r="D164" s="24">
        <v>4</v>
      </c>
      <c r="E164" s="24">
        <v>1</v>
      </c>
      <c r="F164" s="24">
        <v>0</v>
      </c>
      <c r="G164" s="11">
        <v>1</v>
      </c>
      <c r="H164" s="24">
        <v>2</v>
      </c>
      <c r="I164" s="24">
        <v>1</v>
      </c>
      <c r="J164" s="4">
        <v>11481.54</v>
      </c>
      <c r="K164" s="4">
        <v>11481.54</v>
      </c>
      <c r="L164" s="19">
        <f t="shared" si="2"/>
        <v>0</v>
      </c>
    </row>
    <row r="165" spans="1:12" hidden="1" x14ac:dyDescent="0.25">
      <c r="A165" s="2" t="s">
        <v>845</v>
      </c>
      <c r="B165" s="2" t="s">
        <v>846</v>
      </c>
      <c r="C165" s="2" t="s">
        <v>637</v>
      </c>
      <c r="D165" s="24">
        <v>63</v>
      </c>
      <c r="E165" s="24">
        <v>20</v>
      </c>
      <c r="F165" s="24">
        <v>42</v>
      </c>
      <c r="G165" s="11">
        <v>20</v>
      </c>
      <c r="H165" s="24">
        <v>0</v>
      </c>
      <c r="I165" s="24">
        <v>1</v>
      </c>
      <c r="J165" s="4">
        <v>348.69999999999987</v>
      </c>
      <c r="K165" s="4">
        <v>348.69999999999987</v>
      </c>
      <c r="L165" s="19">
        <f t="shared" si="2"/>
        <v>-19</v>
      </c>
    </row>
    <row r="166" spans="1:12" hidden="1" x14ac:dyDescent="0.25">
      <c r="A166" s="2" t="s">
        <v>715</v>
      </c>
      <c r="B166" s="2" t="s">
        <v>716</v>
      </c>
      <c r="C166" s="2" t="s">
        <v>216</v>
      </c>
      <c r="D166" s="24">
        <v>10</v>
      </c>
      <c r="E166" s="24">
        <v>4</v>
      </c>
      <c r="F166" s="24">
        <v>5</v>
      </c>
      <c r="G166" s="11">
        <v>4</v>
      </c>
      <c r="H166" s="24">
        <v>0</v>
      </c>
      <c r="I166" s="24">
        <v>1</v>
      </c>
      <c r="J166" s="4">
        <v>400</v>
      </c>
      <c r="K166" s="4">
        <v>400</v>
      </c>
      <c r="L166" s="19">
        <f t="shared" si="2"/>
        <v>-3</v>
      </c>
    </row>
    <row r="167" spans="1:12" hidden="1" x14ac:dyDescent="0.25">
      <c r="A167" s="2" t="s">
        <v>735</v>
      </c>
      <c r="B167" s="20" t="s">
        <v>736</v>
      </c>
      <c r="C167" s="2" t="s">
        <v>668</v>
      </c>
      <c r="D167" s="24">
        <v>16</v>
      </c>
      <c r="E167" s="24">
        <v>3</v>
      </c>
      <c r="F167" s="24">
        <v>12</v>
      </c>
      <c r="G167" s="11">
        <v>15</v>
      </c>
      <c r="H167" s="24">
        <v>0</v>
      </c>
      <c r="I167" s="24">
        <v>1</v>
      </c>
      <c r="J167" s="4">
        <v>565.83000000000004</v>
      </c>
      <c r="K167" s="4">
        <v>565.83000000000004</v>
      </c>
      <c r="L167" s="19">
        <f t="shared" si="2"/>
        <v>-14</v>
      </c>
    </row>
    <row r="168" spans="1:12" hidden="1" x14ac:dyDescent="0.25">
      <c r="A168" s="2" t="s">
        <v>1219</v>
      </c>
      <c r="B168" s="2" t="s">
        <v>1220</v>
      </c>
      <c r="C168" s="2" t="s">
        <v>228</v>
      </c>
      <c r="D168" s="24">
        <v>1</v>
      </c>
      <c r="E168" s="24">
        <v>0</v>
      </c>
      <c r="F168" s="24">
        <v>0</v>
      </c>
      <c r="G168" s="11">
        <v>1</v>
      </c>
      <c r="H168" s="24">
        <v>0</v>
      </c>
      <c r="I168" s="24">
        <v>1</v>
      </c>
      <c r="J168" s="4">
        <v>3321</v>
      </c>
      <c r="K168" s="4">
        <v>3321</v>
      </c>
      <c r="L168" s="19">
        <f t="shared" si="2"/>
        <v>0</v>
      </c>
    </row>
    <row r="169" spans="1:12" hidden="1" x14ac:dyDescent="0.25">
      <c r="A169" s="2" t="s">
        <v>1217</v>
      </c>
      <c r="B169" s="2" t="s">
        <v>1218</v>
      </c>
      <c r="C169" s="2" t="s">
        <v>830</v>
      </c>
      <c r="D169" s="24">
        <v>1</v>
      </c>
      <c r="E169" s="24">
        <v>0</v>
      </c>
      <c r="F169" s="24">
        <v>0</v>
      </c>
      <c r="G169" s="11">
        <v>0</v>
      </c>
      <c r="H169" s="24">
        <v>0</v>
      </c>
      <c r="I169" s="24">
        <v>1</v>
      </c>
      <c r="J169" s="4">
        <v>8250</v>
      </c>
      <c r="K169" s="4">
        <v>8250</v>
      </c>
      <c r="L169" s="19">
        <f t="shared" si="2"/>
        <v>1</v>
      </c>
    </row>
    <row r="170" spans="1:12" hidden="1" x14ac:dyDescent="0.25">
      <c r="A170" s="2" t="s">
        <v>48</v>
      </c>
      <c r="B170" s="2" t="s">
        <v>49</v>
      </c>
      <c r="C170" s="2" t="s">
        <v>247</v>
      </c>
      <c r="D170" s="24">
        <v>45</v>
      </c>
      <c r="E170" s="24">
        <v>20</v>
      </c>
      <c r="F170" s="24">
        <v>24</v>
      </c>
      <c r="G170" s="11">
        <v>27</v>
      </c>
      <c r="H170" s="24">
        <v>0</v>
      </c>
      <c r="I170" s="24">
        <v>1</v>
      </c>
      <c r="J170" s="4">
        <v>42</v>
      </c>
      <c r="K170" s="4">
        <v>42</v>
      </c>
      <c r="L170" s="19">
        <f t="shared" si="2"/>
        <v>-26</v>
      </c>
    </row>
    <row r="171" spans="1:12" hidden="1" x14ac:dyDescent="0.25">
      <c r="A171" s="2" t="s">
        <v>1185</v>
      </c>
      <c r="B171" s="2" t="s">
        <v>1186</v>
      </c>
      <c r="C171" s="2" t="s">
        <v>1187</v>
      </c>
      <c r="D171" s="24">
        <v>1</v>
      </c>
      <c r="E171" s="24">
        <v>0</v>
      </c>
      <c r="F171" s="24">
        <v>0</v>
      </c>
      <c r="G171" s="11">
        <v>1</v>
      </c>
      <c r="H171" s="24">
        <v>0</v>
      </c>
      <c r="I171" s="24">
        <v>1</v>
      </c>
      <c r="J171" s="4">
        <v>16009.7</v>
      </c>
      <c r="K171" s="4">
        <v>16009.7</v>
      </c>
      <c r="L171" s="19">
        <f t="shared" si="2"/>
        <v>0</v>
      </c>
    </row>
    <row r="172" spans="1:12" hidden="1" x14ac:dyDescent="0.25">
      <c r="A172" s="2" t="s">
        <v>896</v>
      </c>
      <c r="B172" s="2" t="s">
        <v>897</v>
      </c>
      <c r="C172" s="2" t="s">
        <v>898</v>
      </c>
      <c r="D172" s="24">
        <v>0.8</v>
      </c>
      <c r="E172" s="24">
        <v>0</v>
      </c>
      <c r="F172" s="24">
        <v>0</v>
      </c>
      <c r="G172" s="11">
        <v>0</v>
      </c>
      <c r="H172" s="24">
        <v>0</v>
      </c>
      <c r="I172" s="24">
        <v>0.8</v>
      </c>
      <c r="J172" s="4">
        <v>500</v>
      </c>
      <c r="K172" s="4">
        <v>400</v>
      </c>
      <c r="L172" s="19">
        <f t="shared" si="2"/>
        <v>0.8</v>
      </c>
    </row>
    <row r="173" spans="1:12" hidden="1" x14ac:dyDescent="0.25">
      <c r="A173" s="2" t="s">
        <v>1063</v>
      </c>
      <c r="B173" s="2" t="s">
        <v>1064</v>
      </c>
      <c r="C173" s="2" t="s">
        <v>1222</v>
      </c>
      <c r="D173" s="24">
        <v>0.8</v>
      </c>
      <c r="E173" s="24">
        <v>0</v>
      </c>
      <c r="F173" s="24">
        <v>0</v>
      </c>
      <c r="G173" s="11">
        <v>0</v>
      </c>
      <c r="H173" s="24">
        <v>0</v>
      </c>
      <c r="I173" s="24">
        <v>0.8</v>
      </c>
      <c r="J173" s="4">
        <v>3</v>
      </c>
      <c r="K173" s="4">
        <v>2.4000000000000004</v>
      </c>
      <c r="L173" s="19">
        <f t="shared" si="2"/>
        <v>0.8</v>
      </c>
    </row>
    <row r="174" spans="1:12" hidden="1" x14ac:dyDescent="0.25">
      <c r="A174" s="2" t="s">
        <v>921</v>
      </c>
      <c r="B174" s="2" t="s">
        <v>922</v>
      </c>
      <c r="C174" s="2" t="s">
        <v>1222</v>
      </c>
      <c r="D174" s="24">
        <v>0.75</v>
      </c>
      <c r="E174" s="24">
        <v>0</v>
      </c>
      <c r="F174" s="24">
        <v>0</v>
      </c>
      <c r="G174" s="11">
        <v>0</v>
      </c>
      <c r="H174" s="24">
        <v>0</v>
      </c>
      <c r="I174" s="24">
        <v>0.75</v>
      </c>
      <c r="J174" s="4">
        <v>99</v>
      </c>
      <c r="K174" s="4">
        <v>74.25</v>
      </c>
      <c r="L174" s="19">
        <f t="shared" si="2"/>
        <v>0.75</v>
      </c>
    </row>
    <row r="175" spans="1:12" hidden="1" x14ac:dyDescent="0.25">
      <c r="A175" s="2" t="s">
        <v>1121</v>
      </c>
      <c r="B175" s="2" t="s">
        <v>1122</v>
      </c>
      <c r="C175" s="2" t="s">
        <v>491</v>
      </c>
      <c r="D175" s="24">
        <v>0.60000000000000009</v>
      </c>
      <c r="E175" s="24">
        <v>0</v>
      </c>
      <c r="F175" s="24">
        <v>0</v>
      </c>
      <c r="G175" s="11">
        <v>0</v>
      </c>
      <c r="H175" s="24">
        <v>0</v>
      </c>
      <c r="I175" s="24">
        <v>0.60000000000000009</v>
      </c>
      <c r="J175" s="4">
        <v>210.82000000000002</v>
      </c>
      <c r="K175" s="4">
        <v>126.49200000000002</v>
      </c>
      <c r="L175" s="19">
        <f t="shared" si="2"/>
        <v>0.60000000000000009</v>
      </c>
    </row>
    <row r="176" spans="1:12" hidden="1" x14ac:dyDescent="0.25">
      <c r="A176" s="2" t="s">
        <v>1215</v>
      </c>
      <c r="B176" s="2" t="s">
        <v>1216</v>
      </c>
      <c r="C176" s="2" t="s">
        <v>1194</v>
      </c>
      <c r="D176" s="24">
        <v>0.6</v>
      </c>
      <c r="E176" s="24">
        <v>0</v>
      </c>
      <c r="F176" s="24">
        <v>0</v>
      </c>
      <c r="G176" s="11">
        <v>22</v>
      </c>
      <c r="H176" s="24">
        <v>0</v>
      </c>
      <c r="I176" s="24">
        <v>0.6</v>
      </c>
      <c r="J176" s="4">
        <v>270.91000000000003</v>
      </c>
      <c r="K176" s="4">
        <v>162.54600000000002</v>
      </c>
      <c r="L176" s="19">
        <f t="shared" si="2"/>
        <v>-21.4</v>
      </c>
    </row>
    <row r="177" spans="1:12" hidden="1" x14ac:dyDescent="0.25">
      <c r="A177" s="2" t="s">
        <v>1208</v>
      </c>
      <c r="B177" s="2" t="s">
        <v>1209</v>
      </c>
      <c r="C177" s="2" t="s">
        <v>491</v>
      </c>
      <c r="D177" s="24">
        <v>0.28000000000000003</v>
      </c>
      <c r="E177" s="24">
        <v>0</v>
      </c>
      <c r="F177" s="24">
        <v>0</v>
      </c>
      <c r="G177" s="11">
        <v>1</v>
      </c>
      <c r="H177" s="24">
        <v>0</v>
      </c>
      <c r="I177" s="24">
        <v>0.28000000000000003</v>
      </c>
      <c r="J177" s="4">
        <v>271.32</v>
      </c>
      <c r="K177" s="4">
        <v>75.9696</v>
      </c>
      <c r="L177" s="19">
        <f t="shared" si="2"/>
        <v>-0.72</v>
      </c>
    </row>
    <row r="178" spans="1:12" hidden="1" x14ac:dyDescent="0.25">
      <c r="A178" s="2" t="s">
        <v>328</v>
      </c>
      <c r="B178" s="2" t="s">
        <v>329</v>
      </c>
      <c r="C178" s="2" t="s">
        <v>242</v>
      </c>
      <c r="D178" s="24">
        <v>1.2600000000000002</v>
      </c>
      <c r="E178" s="24">
        <v>0</v>
      </c>
      <c r="F178" s="24">
        <v>1</v>
      </c>
      <c r="G178" s="11">
        <v>0.93000000000000194</v>
      </c>
      <c r="H178" s="24">
        <v>0</v>
      </c>
      <c r="I178" s="24">
        <v>0.26000000000000018</v>
      </c>
      <c r="J178" s="4">
        <v>1525</v>
      </c>
      <c r="K178" s="4">
        <v>396.50000000000023</v>
      </c>
      <c r="L178" s="19">
        <f t="shared" si="2"/>
        <v>-0.67000000000000171</v>
      </c>
    </row>
    <row r="179" spans="1:12" hidden="1" x14ac:dyDescent="0.25">
      <c r="A179" s="2" t="s">
        <v>531</v>
      </c>
      <c r="B179" s="2" t="s">
        <v>532</v>
      </c>
      <c r="C179" s="2" t="s">
        <v>242</v>
      </c>
      <c r="D179" s="24">
        <v>6.2999999999999989</v>
      </c>
      <c r="E179" s="24">
        <v>1.1000000000000001</v>
      </c>
      <c r="F179" s="24">
        <v>5</v>
      </c>
      <c r="G179" s="11">
        <v>9.8000000000000025</v>
      </c>
      <c r="H179" s="24">
        <v>0</v>
      </c>
      <c r="I179" s="24">
        <v>0.19999999999999929</v>
      </c>
      <c r="J179" s="4">
        <v>38</v>
      </c>
      <c r="K179" s="4">
        <v>7.5999999999999686</v>
      </c>
      <c r="L179" s="19">
        <f t="shared" si="2"/>
        <v>-9.6000000000000032</v>
      </c>
    </row>
    <row r="180" spans="1:12" hidden="1" x14ac:dyDescent="0.25">
      <c r="A180" s="2" t="s">
        <v>1089</v>
      </c>
      <c r="B180" s="2" t="s">
        <v>1090</v>
      </c>
      <c r="C180" s="2" t="s">
        <v>1091</v>
      </c>
      <c r="D180" s="24">
        <v>6</v>
      </c>
      <c r="E180" s="24">
        <v>4</v>
      </c>
      <c r="F180" s="24">
        <v>2</v>
      </c>
      <c r="G180" s="11">
        <v>4</v>
      </c>
      <c r="H180" s="24">
        <v>0</v>
      </c>
      <c r="I180" s="24">
        <v>0</v>
      </c>
      <c r="J180" s="4">
        <v>3500</v>
      </c>
      <c r="K180" s="4">
        <v>0</v>
      </c>
      <c r="L180" s="19">
        <f t="shared" si="2"/>
        <v>-4</v>
      </c>
    </row>
    <row r="181" spans="1:12" hidden="1" x14ac:dyDescent="0.25">
      <c r="A181" s="2" t="s">
        <v>1174</v>
      </c>
      <c r="B181" s="2" t="s">
        <v>1175</v>
      </c>
      <c r="C181" s="2" t="s">
        <v>454</v>
      </c>
      <c r="D181" s="24">
        <v>1</v>
      </c>
      <c r="E181" s="24">
        <v>1</v>
      </c>
      <c r="F181" s="24">
        <v>0</v>
      </c>
      <c r="G181" s="11">
        <v>1</v>
      </c>
      <c r="H181" s="24">
        <v>0</v>
      </c>
      <c r="I181" s="24">
        <v>0</v>
      </c>
      <c r="J181" s="4">
        <v>35</v>
      </c>
      <c r="K181" s="4">
        <v>0</v>
      </c>
      <c r="L181" s="19">
        <f t="shared" si="2"/>
        <v>-1</v>
      </c>
    </row>
    <row r="182" spans="1:12" hidden="1" x14ac:dyDescent="0.25">
      <c r="A182" s="2" t="s">
        <v>961</v>
      </c>
      <c r="B182" s="2" t="s">
        <v>962</v>
      </c>
      <c r="C182" s="2" t="s">
        <v>1072</v>
      </c>
      <c r="D182" s="24">
        <v>4</v>
      </c>
      <c r="E182" s="24">
        <v>0</v>
      </c>
      <c r="F182" s="24">
        <v>4</v>
      </c>
      <c r="G182" s="11">
        <v>2</v>
      </c>
      <c r="H182" s="24">
        <v>0</v>
      </c>
      <c r="I182" s="24">
        <v>0</v>
      </c>
      <c r="J182" s="4">
        <v>2249.17</v>
      </c>
      <c r="K182" s="4">
        <v>0</v>
      </c>
      <c r="L182" s="19">
        <f t="shared" si="2"/>
        <v>-2</v>
      </c>
    </row>
    <row r="183" spans="1:12" hidden="1" x14ac:dyDescent="0.25">
      <c r="A183" s="2" t="s">
        <v>666</v>
      </c>
      <c r="B183" s="20" t="s">
        <v>667</v>
      </c>
      <c r="C183" s="2" t="s">
        <v>830</v>
      </c>
      <c r="D183" s="24">
        <v>23</v>
      </c>
      <c r="E183" s="24">
        <v>3</v>
      </c>
      <c r="F183" s="24">
        <v>0</v>
      </c>
      <c r="G183" s="11">
        <v>4</v>
      </c>
      <c r="H183" s="24">
        <v>20</v>
      </c>
      <c r="I183" s="24">
        <v>0</v>
      </c>
      <c r="J183" s="4">
        <v>28000</v>
      </c>
      <c r="K183" s="4">
        <v>0</v>
      </c>
      <c r="L183" s="19">
        <f t="shared" si="2"/>
        <v>-4</v>
      </c>
    </row>
    <row r="184" spans="1:12" hidden="1" x14ac:dyDescent="0.25">
      <c r="A184" s="2" t="s">
        <v>919</v>
      </c>
      <c r="B184" s="2" t="s">
        <v>920</v>
      </c>
      <c r="C184" s="2" t="s">
        <v>508</v>
      </c>
      <c r="D184" s="24">
        <v>2</v>
      </c>
      <c r="E184" s="24">
        <v>1</v>
      </c>
      <c r="F184" s="24">
        <v>0</v>
      </c>
      <c r="G184" s="11">
        <v>1</v>
      </c>
      <c r="H184" s="24">
        <v>1</v>
      </c>
      <c r="I184" s="24">
        <v>0</v>
      </c>
      <c r="J184" s="4">
        <v>12601.06</v>
      </c>
      <c r="K184" s="4">
        <v>0</v>
      </c>
      <c r="L184" s="19">
        <f t="shared" si="2"/>
        <v>-1</v>
      </c>
    </row>
    <row r="185" spans="1:12" hidden="1" x14ac:dyDescent="0.25">
      <c r="A185" s="2" t="s">
        <v>1073</v>
      </c>
      <c r="B185" s="2" t="s">
        <v>1074</v>
      </c>
      <c r="C185" s="2" t="s">
        <v>648</v>
      </c>
      <c r="D185" s="24">
        <v>4</v>
      </c>
      <c r="E185" s="24">
        <v>4</v>
      </c>
      <c r="F185" s="24">
        <v>0</v>
      </c>
      <c r="G185" s="11">
        <v>4</v>
      </c>
      <c r="H185" s="24">
        <v>0</v>
      </c>
      <c r="I185" s="24">
        <v>0</v>
      </c>
      <c r="J185" s="4">
        <v>4532</v>
      </c>
      <c r="K185" s="4">
        <v>0</v>
      </c>
      <c r="L185" s="19">
        <f t="shared" si="2"/>
        <v>-4</v>
      </c>
    </row>
    <row r="186" spans="1:12" hidden="1" x14ac:dyDescent="0.25">
      <c r="A186" s="2" t="s">
        <v>764</v>
      </c>
      <c r="B186" s="2" t="s">
        <v>765</v>
      </c>
      <c r="C186" s="2" t="s">
        <v>766</v>
      </c>
      <c r="D186" s="24">
        <v>19</v>
      </c>
      <c r="E186" s="24">
        <v>6</v>
      </c>
      <c r="F186" s="24">
        <v>5</v>
      </c>
      <c r="G186" s="11">
        <v>7</v>
      </c>
      <c r="H186" s="24">
        <v>8</v>
      </c>
      <c r="I186" s="24">
        <v>0</v>
      </c>
      <c r="J186" s="4">
        <v>401.17</v>
      </c>
      <c r="K186" s="4">
        <v>0</v>
      </c>
      <c r="L186" s="19">
        <f t="shared" si="2"/>
        <v>-7</v>
      </c>
    </row>
    <row r="187" spans="1:12" hidden="1" x14ac:dyDescent="0.25">
      <c r="A187" s="2" t="s">
        <v>427</v>
      </c>
      <c r="B187" s="2" t="s">
        <v>428</v>
      </c>
      <c r="C187" s="2" t="s">
        <v>228</v>
      </c>
      <c r="D187" s="24">
        <v>19</v>
      </c>
      <c r="E187" s="24">
        <v>6</v>
      </c>
      <c r="F187" s="24">
        <v>4</v>
      </c>
      <c r="G187" s="11">
        <v>8</v>
      </c>
      <c r="H187" s="24">
        <v>9</v>
      </c>
      <c r="I187" s="24">
        <v>0</v>
      </c>
      <c r="J187" s="4">
        <v>266.39999999999998</v>
      </c>
      <c r="K187" s="4">
        <v>0</v>
      </c>
      <c r="L187" s="19">
        <f t="shared" si="2"/>
        <v>-8</v>
      </c>
    </row>
    <row r="188" spans="1:12" hidden="1" x14ac:dyDescent="0.25">
      <c r="A188" s="2" t="s">
        <v>1010</v>
      </c>
      <c r="B188" s="2" t="s">
        <v>1011</v>
      </c>
      <c r="C188" s="2" t="s">
        <v>1012</v>
      </c>
      <c r="D188" s="24">
        <v>1</v>
      </c>
      <c r="E188" s="24">
        <v>1</v>
      </c>
      <c r="F188" s="24">
        <v>0</v>
      </c>
      <c r="G188" s="11">
        <v>2</v>
      </c>
      <c r="H188" s="24">
        <v>0</v>
      </c>
      <c r="I188" s="24">
        <v>0</v>
      </c>
      <c r="J188" s="4">
        <v>2010.25</v>
      </c>
      <c r="K188" s="4">
        <v>0</v>
      </c>
      <c r="L188" s="19">
        <f t="shared" si="2"/>
        <v>-2</v>
      </c>
    </row>
    <row r="189" spans="1:12" hidden="1" x14ac:dyDescent="0.25">
      <c r="A189" s="2" t="s">
        <v>1210</v>
      </c>
      <c r="B189" s="2" t="s">
        <v>1211</v>
      </c>
      <c r="C189" s="2" t="s">
        <v>216</v>
      </c>
      <c r="D189" s="24">
        <v>1</v>
      </c>
      <c r="E189" s="24">
        <v>1</v>
      </c>
      <c r="F189" s="24">
        <v>0</v>
      </c>
      <c r="G189" s="11">
        <v>1</v>
      </c>
      <c r="H189" s="24">
        <v>0</v>
      </c>
      <c r="I189" s="24">
        <v>0</v>
      </c>
      <c r="J189" s="4">
        <v>39845.54</v>
      </c>
      <c r="K189" s="4">
        <v>0</v>
      </c>
      <c r="L189" s="19">
        <f t="shared" si="2"/>
        <v>-1</v>
      </c>
    </row>
    <row r="190" spans="1:12" hidden="1" x14ac:dyDescent="0.25">
      <c r="A190" s="2" t="s">
        <v>804</v>
      </c>
      <c r="B190" s="2" t="s">
        <v>805</v>
      </c>
      <c r="C190" s="2" t="s">
        <v>248</v>
      </c>
      <c r="D190" s="24">
        <v>8</v>
      </c>
      <c r="E190" s="24">
        <v>1</v>
      </c>
      <c r="F190" s="24">
        <v>7</v>
      </c>
      <c r="G190" s="11">
        <v>2</v>
      </c>
      <c r="H190" s="24">
        <v>0</v>
      </c>
      <c r="I190" s="24">
        <v>0</v>
      </c>
      <c r="J190" s="4">
        <v>337.5</v>
      </c>
      <c r="K190" s="4">
        <v>0</v>
      </c>
      <c r="L190" s="19">
        <f t="shared" si="2"/>
        <v>-2</v>
      </c>
    </row>
    <row r="191" spans="1:12" hidden="1" x14ac:dyDescent="0.25">
      <c r="A191" s="2" t="s">
        <v>864</v>
      </c>
      <c r="B191" s="20" t="s">
        <v>865</v>
      </c>
      <c r="C191" s="2" t="s">
        <v>648</v>
      </c>
      <c r="D191" s="24">
        <v>6</v>
      </c>
      <c r="E191" s="24">
        <v>0</v>
      </c>
      <c r="F191" s="24">
        <v>6</v>
      </c>
      <c r="G191" s="11">
        <v>0</v>
      </c>
      <c r="H191" s="24">
        <v>0</v>
      </c>
      <c r="I191" s="24">
        <v>0</v>
      </c>
      <c r="J191" s="4">
        <v>4864</v>
      </c>
      <c r="K191" s="4">
        <v>0</v>
      </c>
      <c r="L191" s="19">
        <f t="shared" si="2"/>
        <v>0</v>
      </c>
    </row>
    <row r="192" spans="1:12" hidden="1" x14ac:dyDescent="0.25">
      <c r="A192" s="2" t="s">
        <v>638</v>
      </c>
      <c r="B192" s="2" t="s">
        <v>639</v>
      </c>
      <c r="C192" s="2" t="s">
        <v>640</v>
      </c>
      <c r="D192" s="24">
        <v>19</v>
      </c>
      <c r="E192" s="24">
        <v>0</v>
      </c>
      <c r="F192" s="24">
        <v>19</v>
      </c>
      <c r="G192" s="11">
        <v>17</v>
      </c>
      <c r="H192" s="24">
        <v>0</v>
      </c>
      <c r="I192" s="24">
        <v>0</v>
      </c>
      <c r="J192" s="4">
        <v>113.64000000000004</v>
      </c>
      <c r="K192" s="4">
        <v>0</v>
      </c>
      <c r="L192" s="19">
        <f t="shared" si="2"/>
        <v>-17</v>
      </c>
    </row>
    <row r="193" spans="1:12" hidden="1" x14ac:dyDescent="0.25">
      <c r="A193" s="2" t="s">
        <v>509</v>
      </c>
      <c r="B193" s="2" t="s">
        <v>510</v>
      </c>
      <c r="C193" s="2" t="s">
        <v>508</v>
      </c>
      <c r="D193" s="24">
        <v>19</v>
      </c>
      <c r="E193" s="24">
        <v>6</v>
      </c>
      <c r="F193" s="24">
        <v>6</v>
      </c>
      <c r="G193" s="11">
        <v>9</v>
      </c>
      <c r="H193" s="24">
        <v>7</v>
      </c>
      <c r="I193" s="24">
        <v>0</v>
      </c>
      <c r="J193" s="4">
        <v>1535.25</v>
      </c>
      <c r="K193" s="4">
        <v>0</v>
      </c>
      <c r="L193" s="19">
        <f t="shared" si="2"/>
        <v>-9</v>
      </c>
    </row>
    <row r="194" spans="1:12" hidden="1" x14ac:dyDescent="0.25">
      <c r="A194" s="2" t="s">
        <v>1212</v>
      </c>
      <c r="B194" s="20" t="s">
        <v>1213</v>
      </c>
      <c r="C194" s="2" t="s">
        <v>1214</v>
      </c>
      <c r="D194" s="24">
        <v>1</v>
      </c>
      <c r="E194" s="24">
        <v>1</v>
      </c>
      <c r="F194" s="24">
        <v>0</v>
      </c>
      <c r="G194" s="11">
        <v>0</v>
      </c>
      <c r="H194" s="24">
        <v>0</v>
      </c>
      <c r="I194" s="24">
        <v>0</v>
      </c>
      <c r="J194" s="4"/>
      <c r="K194" s="4">
        <v>0</v>
      </c>
      <c r="L194" s="19">
        <f t="shared" si="2"/>
        <v>0</v>
      </c>
    </row>
    <row r="195" spans="1:12" hidden="1" x14ac:dyDescent="0.25">
      <c r="A195" s="2" t="s">
        <v>789</v>
      </c>
      <c r="B195" s="2" t="s">
        <v>790</v>
      </c>
      <c r="C195" s="2" t="s">
        <v>1104</v>
      </c>
      <c r="D195" s="24">
        <v>4</v>
      </c>
      <c r="E195" s="24">
        <v>0</v>
      </c>
      <c r="F195" s="24">
        <v>3</v>
      </c>
      <c r="G195" s="11">
        <v>2</v>
      </c>
      <c r="H195" s="24">
        <v>1</v>
      </c>
      <c r="I195" s="24">
        <v>0</v>
      </c>
      <c r="J195" s="4">
        <v>4484.26</v>
      </c>
      <c r="K195" s="4">
        <v>0</v>
      </c>
      <c r="L195" s="19">
        <f t="shared" si="2"/>
        <v>-2</v>
      </c>
    </row>
    <row r="196" spans="1:12" hidden="1" x14ac:dyDescent="0.25">
      <c r="A196" s="2" t="s">
        <v>816</v>
      </c>
      <c r="B196" s="2" t="s">
        <v>817</v>
      </c>
      <c r="C196" s="2" t="s">
        <v>697</v>
      </c>
      <c r="D196" s="24">
        <v>2</v>
      </c>
      <c r="E196" s="24">
        <v>1</v>
      </c>
      <c r="F196" s="24">
        <v>1</v>
      </c>
      <c r="G196" s="11">
        <v>5</v>
      </c>
      <c r="H196" s="24">
        <v>0</v>
      </c>
      <c r="I196" s="24">
        <v>0</v>
      </c>
      <c r="J196" s="4">
        <v>250</v>
      </c>
      <c r="K196" s="4">
        <v>0</v>
      </c>
      <c r="L196" s="19">
        <f t="shared" si="2"/>
        <v>-5</v>
      </c>
    </row>
    <row r="197" spans="1:12" hidden="1" x14ac:dyDescent="0.25">
      <c r="A197" s="2" t="s">
        <v>95</v>
      </c>
      <c r="B197" s="2" t="s">
        <v>96</v>
      </c>
      <c r="C197" s="2" t="s">
        <v>249</v>
      </c>
      <c r="D197" s="24">
        <v>20</v>
      </c>
      <c r="E197" s="24">
        <v>7</v>
      </c>
      <c r="F197" s="24">
        <v>13</v>
      </c>
      <c r="G197" s="11">
        <v>6</v>
      </c>
      <c r="H197" s="24">
        <v>0</v>
      </c>
      <c r="I197" s="24">
        <v>0</v>
      </c>
      <c r="J197" s="4">
        <v>1145.8300000000002</v>
      </c>
      <c r="K197" s="4">
        <v>0</v>
      </c>
      <c r="L197" s="19">
        <f t="shared" si="2"/>
        <v>-6</v>
      </c>
    </row>
    <row r="198" spans="1:12" hidden="1" x14ac:dyDescent="0.25">
      <c r="A198" s="2" t="s">
        <v>1107</v>
      </c>
      <c r="B198" s="2" t="s">
        <v>1108</v>
      </c>
      <c r="C198" s="2" t="s">
        <v>224</v>
      </c>
      <c r="D198" s="24">
        <v>6</v>
      </c>
      <c r="E198" s="24">
        <v>6</v>
      </c>
      <c r="F198" s="24">
        <v>0</v>
      </c>
      <c r="G198" s="11">
        <v>3.0350000000000019</v>
      </c>
      <c r="H198" s="24">
        <v>0</v>
      </c>
      <c r="I198" s="24">
        <v>0</v>
      </c>
      <c r="J198" s="4">
        <v>202.09</v>
      </c>
      <c r="K198" s="4">
        <v>0</v>
      </c>
      <c r="L198" s="19">
        <f t="shared" si="2"/>
        <v>-3.0350000000000019</v>
      </c>
    </row>
    <row r="199" spans="1:12" hidden="1" x14ac:dyDescent="0.25">
      <c r="A199" s="2" t="s">
        <v>757</v>
      </c>
      <c r="B199" s="2" t="s">
        <v>758</v>
      </c>
      <c r="C199" s="2" t="s">
        <v>633</v>
      </c>
      <c r="D199" s="24">
        <v>8</v>
      </c>
      <c r="E199" s="24">
        <v>2</v>
      </c>
      <c r="F199" s="24">
        <v>4</v>
      </c>
      <c r="G199" s="11">
        <v>2</v>
      </c>
      <c r="H199" s="24">
        <v>2</v>
      </c>
      <c r="I199" s="24">
        <v>0</v>
      </c>
      <c r="J199" s="4">
        <v>1667.1399999999999</v>
      </c>
      <c r="K199" s="4">
        <v>0</v>
      </c>
      <c r="L199" s="19">
        <f t="shared" si="2"/>
        <v>-2</v>
      </c>
    </row>
    <row r="200" spans="1:12" hidden="1" x14ac:dyDescent="0.25">
      <c r="A200" s="2" t="s">
        <v>949</v>
      </c>
      <c r="B200" s="2" t="s">
        <v>950</v>
      </c>
      <c r="C200" s="2" t="s">
        <v>635</v>
      </c>
      <c r="D200" s="24">
        <v>4</v>
      </c>
      <c r="E200" s="24">
        <v>0</v>
      </c>
      <c r="F200" s="24">
        <v>4</v>
      </c>
      <c r="G200" s="11">
        <v>4</v>
      </c>
      <c r="H200" s="24">
        <v>0</v>
      </c>
      <c r="I200" s="24">
        <v>0</v>
      </c>
      <c r="J200" s="4">
        <v>3256.79</v>
      </c>
      <c r="K200" s="4">
        <v>0</v>
      </c>
      <c r="L200" s="19">
        <f t="shared" si="2"/>
        <v>-4</v>
      </c>
    </row>
    <row r="201" spans="1:12" hidden="1" x14ac:dyDescent="0.25">
      <c r="A201" s="2" t="s">
        <v>1227</v>
      </c>
      <c r="B201" s="2" t="s">
        <v>1228</v>
      </c>
      <c r="C201" s="2" t="s">
        <v>635</v>
      </c>
      <c r="D201" s="24">
        <v>1</v>
      </c>
      <c r="E201" s="24">
        <v>0</v>
      </c>
      <c r="F201" s="24">
        <v>1</v>
      </c>
      <c r="G201" s="11">
        <v>0</v>
      </c>
      <c r="H201" s="24">
        <v>0</v>
      </c>
      <c r="I201" s="24">
        <v>0</v>
      </c>
      <c r="J201" s="4">
        <v>4396.6000000000004</v>
      </c>
      <c r="K201" s="4">
        <v>0</v>
      </c>
      <c r="L201" s="19">
        <f t="shared" si="2"/>
        <v>0</v>
      </c>
    </row>
    <row r="202" spans="1:12" hidden="1" x14ac:dyDescent="0.25">
      <c r="A202" s="2" t="s">
        <v>97</v>
      </c>
      <c r="B202" s="2" t="s">
        <v>98</v>
      </c>
      <c r="C202" s="2" t="s">
        <v>633</v>
      </c>
      <c r="D202" s="24">
        <v>11</v>
      </c>
      <c r="E202" s="24">
        <v>4</v>
      </c>
      <c r="F202" s="24">
        <v>0</v>
      </c>
      <c r="G202" s="11">
        <v>5</v>
      </c>
      <c r="H202" s="24">
        <v>7</v>
      </c>
      <c r="I202" s="24">
        <v>0</v>
      </c>
      <c r="J202" s="4">
        <v>1491.6700000000003</v>
      </c>
      <c r="K202" s="4">
        <v>0</v>
      </c>
      <c r="L202" s="19">
        <f t="shared" si="2"/>
        <v>-5</v>
      </c>
    </row>
    <row r="203" spans="1:12" hidden="1" x14ac:dyDescent="0.25">
      <c r="A203" s="2" t="s">
        <v>695</v>
      </c>
      <c r="B203" s="2" t="s">
        <v>696</v>
      </c>
      <c r="C203" s="2" t="s">
        <v>1224</v>
      </c>
      <c r="D203" s="24">
        <v>10</v>
      </c>
      <c r="E203" s="24">
        <v>4</v>
      </c>
      <c r="F203" s="24">
        <v>6</v>
      </c>
      <c r="G203" s="11">
        <v>4</v>
      </c>
      <c r="H203" s="24">
        <v>0</v>
      </c>
      <c r="I203" s="24">
        <v>0</v>
      </c>
      <c r="J203" s="4">
        <v>260</v>
      </c>
      <c r="K203" s="4">
        <v>0</v>
      </c>
      <c r="L203" s="19">
        <f t="shared" si="2"/>
        <v>-4</v>
      </c>
    </row>
    <row r="204" spans="1:12" hidden="1" x14ac:dyDescent="0.25">
      <c r="A204" s="2" t="s">
        <v>111</v>
      </c>
      <c r="B204" s="20" t="s">
        <v>112</v>
      </c>
      <c r="C204" s="2"/>
      <c r="D204" s="24">
        <v>19</v>
      </c>
      <c r="E204" s="24">
        <v>6</v>
      </c>
      <c r="F204" s="24">
        <v>2</v>
      </c>
      <c r="G204" s="11">
        <v>8</v>
      </c>
      <c r="H204" s="24">
        <v>11</v>
      </c>
      <c r="I204" s="24">
        <v>0</v>
      </c>
      <c r="J204" s="4">
        <v>675</v>
      </c>
      <c r="K204" s="4">
        <v>0</v>
      </c>
      <c r="L204" s="19">
        <f t="shared" si="2"/>
        <v>-8</v>
      </c>
    </row>
    <row r="205" spans="1:12" hidden="1" x14ac:dyDescent="0.25">
      <c r="A205" s="2" t="s">
        <v>295</v>
      </c>
      <c r="B205" s="2" t="s">
        <v>324</v>
      </c>
      <c r="C205" s="2" t="s">
        <v>221</v>
      </c>
      <c r="D205" s="24">
        <v>1.8800000000000006</v>
      </c>
      <c r="E205" s="24">
        <v>0</v>
      </c>
      <c r="F205" s="24">
        <v>2.5</v>
      </c>
      <c r="G205" s="11">
        <v>-6.106226635438361E-16</v>
      </c>
      <c r="H205" s="24">
        <v>0</v>
      </c>
      <c r="I205" s="24">
        <v>-0.61999999999999933</v>
      </c>
      <c r="J205" s="4">
        <v>2400</v>
      </c>
      <c r="K205" s="4">
        <v>0</v>
      </c>
      <c r="L205" s="19">
        <f t="shared" ref="L205:L268" si="3">D205-E205-F205-G205-H205</f>
        <v>-0.61999999999999877</v>
      </c>
    </row>
    <row r="206" spans="1:12" hidden="1" x14ac:dyDescent="0.25">
      <c r="A206" s="2" t="s">
        <v>343</v>
      </c>
      <c r="B206" s="2" t="s">
        <v>344</v>
      </c>
      <c r="C206" s="2" t="s">
        <v>218</v>
      </c>
      <c r="D206" s="24">
        <v>1.1500000000000001</v>
      </c>
      <c r="E206" s="24">
        <v>0</v>
      </c>
      <c r="F206" s="24">
        <v>2</v>
      </c>
      <c r="G206" s="11">
        <v>6.106226635438361E-16</v>
      </c>
      <c r="H206" s="24">
        <v>0</v>
      </c>
      <c r="I206" s="24">
        <v>-0.84999999999999976</v>
      </c>
      <c r="J206" s="4">
        <v>1400</v>
      </c>
      <c r="K206" s="4">
        <v>0</v>
      </c>
      <c r="L206" s="19">
        <f t="shared" si="3"/>
        <v>-0.85000000000000053</v>
      </c>
    </row>
    <row r="207" spans="1:12" hidden="1" x14ac:dyDescent="0.25">
      <c r="A207" s="2" t="s">
        <v>981</v>
      </c>
      <c r="B207" s="2" t="s">
        <v>982</v>
      </c>
      <c r="C207" s="2" t="s">
        <v>983</v>
      </c>
      <c r="D207" s="24">
        <v>3</v>
      </c>
      <c r="E207" s="24">
        <v>0</v>
      </c>
      <c r="F207" s="24">
        <v>4</v>
      </c>
      <c r="G207" s="11">
        <v>0</v>
      </c>
      <c r="H207" s="24">
        <v>0</v>
      </c>
      <c r="I207" s="24">
        <v>-1</v>
      </c>
      <c r="J207" s="4">
        <v>3017.33</v>
      </c>
      <c r="K207" s="4">
        <v>0</v>
      </c>
      <c r="L207" s="19">
        <f t="shared" si="3"/>
        <v>-1</v>
      </c>
    </row>
    <row r="208" spans="1:12" hidden="1" x14ac:dyDescent="0.25">
      <c r="A208" s="2" t="s">
        <v>596</v>
      </c>
      <c r="B208" s="2" t="s">
        <v>597</v>
      </c>
      <c r="C208" s="2" t="s">
        <v>637</v>
      </c>
      <c r="D208" s="24">
        <v>19</v>
      </c>
      <c r="E208" s="24">
        <v>0</v>
      </c>
      <c r="F208" s="24">
        <v>20</v>
      </c>
      <c r="G208" s="11">
        <v>1</v>
      </c>
      <c r="H208" s="24">
        <v>0</v>
      </c>
      <c r="I208" s="24">
        <v>-1</v>
      </c>
      <c r="J208" s="4">
        <v>4850.4400000000005</v>
      </c>
      <c r="K208" s="4">
        <v>0</v>
      </c>
      <c r="L208" s="19">
        <f t="shared" si="3"/>
        <v>-2</v>
      </c>
    </row>
    <row r="209" spans="1:12" hidden="1" x14ac:dyDescent="0.25">
      <c r="A209" s="2" t="s">
        <v>737</v>
      </c>
      <c r="B209" s="20" t="s">
        <v>738</v>
      </c>
      <c r="C209" s="2" t="s">
        <v>668</v>
      </c>
      <c r="D209" s="24">
        <v>16</v>
      </c>
      <c r="E209" s="24">
        <v>3</v>
      </c>
      <c r="F209" s="24">
        <v>14</v>
      </c>
      <c r="G209" s="11">
        <v>15</v>
      </c>
      <c r="H209" s="24">
        <v>0</v>
      </c>
      <c r="I209" s="24">
        <v>-1</v>
      </c>
      <c r="J209" s="4">
        <v>400</v>
      </c>
      <c r="K209" s="4">
        <v>0</v>
      </c>
      <c r="L209" s="19">
        <f t="shared" si="3"/>
        <v>-16</v>
      </c>
    </row>
    <row r="210" spans="1:12" hidden="1" x14ac:dyDescent="0.25">
      <c r="A210" s="2" t="s">
        <v>1172</v>
      </c>
      <c r="B210" s="2" t="s">
        <v>1173</v>
      </c>
      <c r="C210" s="2" t="s">
        <v>649</v>
      </c>
      <c r="D210" s="24">
        <v>20</v>
      </c>
      <c r="E210" s="24">
        <v>0</v>
      </c>
      <c r="F210" s="24">
        <v>21</v>
      </c>
      <c r="G210" s="11">
        <v>0</v>
      </c>
      <c r="H210" s="24">
        <v>0</v>
      </c>
      <c r="I210" s="24">
        <v>-1</v>
      </c>
      <c r="J210" s="4">
        <v>1097.9000000000001</v>
      </c>
      <c r="K210" s="4">
        <v>0</v>
      </c>
      <c r="L210" s="19">
        <f t="shared" si="3"/>
        <v>-1</v>
      </c>
    </row>
    <row r="211" spans="1:12" hidden="1" x14ac:dyDescent="0.25">
      <c r="A211" s="2" t="s">
        <v>1079</v>
      </c>
      <c r="B211" s="2" t="s">
        <v>1080</v>
      </c>
      <c r="C211" s="2" t="s">
        <v>291</v>
      </c>
      <c r="D211" s="24">
        <v>2</v>
      </c>
      <c r="E211" s="24">
        <v>2</v>
      </c>
      <c r="F211" s="24">
        <v>1</v>
      </c>
      <c r="G211" s="11">
        <v>2</v>
      </c>
      <c r="H211" s="24">
        <v>0</v>
      </c>
      <c r="I211" s="24">
        <v>-1</v>
      </c>
      <c r="J211" s="4">
        <v>1050</v>
      </c>
      <c r="K211" s="4">
        <v>0</v>
      </c>
      <c r="L211" s="19">
        <f t="shared" si="3"/>
        <v>-3</v>
      </c>
    </row>
    <row r="212" spans="1:12" hidden="1" x14ac:dyDescent="0.25">
      <c r="A212" s="2" t="s">
        <v>447</v>
      </c>
      <c r="B212" s="2" t="s">
        <v>448</v>
      </c>
      <c r="C212" s="2" t="s">
        <v>629</v>
      </c>
      <c r="D212" s="24">
        <v>22</v>
      </c>
      <c r="E212" s="24">
        <v>8</v>
      </c>
      <c r="F212" s="24">
        <v>15</v>
      </c>
      <c r="G212" s="11">
        <v>11</v>
      </c>
      <c r="H212" s="24">
        <v>0</v>
      </c>
      <c r="I212" s="24">
        <v>-1</v>
      </c>
      <c r="J212" s="4">
        <v>237.5</v>
      </c>
      <c r="K212" s="4">
        <v>0</v>
      </c>
      <c r="L212" s="19">
        <f t="shared" si="3"/>
        <v>-12</v>
      </c>
    </row>
    <row r="213" spans="1:12" hidden="1" x14ac:dyDescent="0.25">
      <c r="A213" s="2" t="s">
        <v>988</v>
      </c>
      <c r="B213" s="2" t="s">
        <v>989</v>
      </c>
      <c r="C213" s="2" t="s">
        <v>786</v>
      </c>
      <c r="D213" s="24">
        <v>4</v>
      </c>
      <c r="E213" s="24">
        <v>1</v>
      </c>
      <c r="F213" s="24">
        <v>2</v>
      </c>
      <c r="G213" s="11">
        <v>1</v>
      </c>
      <c r="H213" s="24">
        <v>2</v>
      </c>
      <c r="I213" s="24">
        <v>-1</v>
      </c>
      <c r="J213" s="4">
        <v>41000</v>
      </c>
      <c r="K213" s="4">
        <v>0</v>
      </c>
      <c r="L213" s="19">
        <f t="shared" si="3"/>
        <v>-2</v>
      </c>
    </row>
    <row r="214" spans="1:12" hidden="1" x14ac:dyDescent="0.25">
      <c r="A214" s="2" t="s">
        <v>753</v>
      </c>
      <c r="B214" s="20" t="s">
        <v>754</v>
      </c>
      <c r="C214" s="2" t="s">
        <v>585</v>
      </c>
      <c r="D214" s="24">
        <v>6</v>
      </c>
      <c r="E214" s="24">
        <v>2</v>
      </c>
      <c r="F214" s="24">
        <v>5</v>
      </c>
      <c r="G214" s="11">
        <v>2</v>
      </c>
      <c r="H214" s="24">
        <v>0</v>
      </c>
      <c r="I214" s="24">
        <v>-1</v>
      </c>
      <c r="J214" s="4">
        <v>7450</v>
      </c>
      <c r="K214" s="4">
        <v>0</v>
      </c>
      <c r="L214" s="19">
        <f t="shared" si="3"/>
        <v>-3</v>
      </c>
    </row>
    <row r="215" spans="1:12" hidden="1" x14ac:dyDescent="0.25">
      <c r="A215" s="2" t="s">
        <v>54</v>
      </c>
      <c r="B215" s="2" t="s">
        <v>55</v>
      </c>
      <c r="C215" s="2" t="s">
        <v>218</v>
      </c>
      <c r="D215" s="24">
        <v>19</v>
      </c>
      <c r="E215" s="24">
        <v>6</v>
      </c>
      <c r="F215" s="24">
        <v>10</v>
      </c>
      <c r="G215" s="11">
        <v>12</v>
      </c>
      <c r="H215" s="24">
        <v>4</v>
      </c>
      <c r="I215" s="24">
        <v>-1</v>
      </c>
      <c r="J215" s="4">
        <v>1600</v>
      </c>
      <c r="K215" s="4">
        <v>0</v>
      </c>
      <c r="L215" s="19">
        <f t="shared" si="3"/>
        <v>-13</v>
      </c>
    </row>
    <row r="216" spans="1:12" hidden="1" x14ac:dyDescent="0.25">
      <c r="A216" s="2" t="s">
        <v>271</v>
      </c>
      <c r="B216" s="2" t="s">
        <v>272</v>
      </c>
      <c r="C216" s="2" t="s">
        <v>221</v>
      </c>
      <c r="D216" s="24">
        <v>19</v>
      </c>
      <c r="E216" s="24">
        <v>6</v>
      </c>
      <c r="F216" s="24">
        <v>14</v>
      </c>
      <c r="G216" s="11">
        <v>8</v>
      </c>
      <c r="H216" s="24">
        <v>0</v>
      </c>
      <c r="I216" s="24">
        <v>-1</v>
      </c>
      <c r="J216" s="4">
        <v>270</v>
      </c>
      <c r="K216" s="4">
        <v>0</v>
      </c>
      <c r="L216" s="19">
        <f t="shared" si="3"/>
        <v>-9</v>
      </c>
    </row>
    <row r="217" spans="1:12" hidden="1" x14ac:dyDescent="0.25">
      <c r="A217" s="2" t="s">
        <v>273</v>
      </c>
      <c r="B217" s="2" t="s">
        <v>621</v>
      </c>
      <c r="C217" s="2" t="s">
        <v>637</v>
      </c>
      <c r="D217" s="24">
        <v>11</v>
      </c>
      <c r="E217" s="24">
        <v>4</v>
      </c>
      <c r="F217" s="24">
        <v>8</v>
      </c>
      <c r="G217" s="11">
        <v>4</v>
      </c>
      <c r="H217" s="24">
        <v>0</v>
      </c>
      <c r="I217" s="24">
        <v>-1</v>
      </c>
      <c r="J217" s="4">
        <v>1723.1199999999992</v>
      </c>
      <c r="K217" s="4">
        <v>0</v>
      </c>
      <c r="L217" s="19">
        <f t="shared" si="3"/>
        <v>-5</v>
      </c>
    </row>
    <row r="218" spans="1:12" hidden="1" x14ac:dyDescent="0.25">
      <c r="A218" s="2" t="s">
        <v>1123</v>
      </c>
      <c r="B218" s="2" t="s">
        <v>1124</v>
      </c>
      <c r="C218" s="2" t="s">
        <v>637</v>
      </c>
      <c r="D218" s="24">
        <v>3</v>
      </c>
      <c r="E218" s="24">
        <v>0</v>
      </c>
      <c r="F218" s="24">
        <v>4</v>
      </c>
      <c r="G218" s="11">
        <v>0</v>
      </c>
      <c r="H218" s="24">
        <v>0</v>
      </c>
      <c r="I218" s="24">
        <v>-1</v>
      </c>
      <c r="J218" s="4">
        <v>3899.59</v>
      </c>
      <c r="K218" s="4">
        <v>0</v>
      </c>
      <c r="L218" s="19">
        <f t="shared" si="3"/>
        <v>-1</v>
      </c>
    </row>
    <row r="219" spans="1:12" hidden="1" x14ac:dyDescent="0.25">
      <c r="A219" s="2" t="s">
        <v>107</v>
      </c>
      <c r="B219" s="2" t="s">
        <v>108</v>
      </c>
      <c r="C219" s="2" t="s">
        <v>218</v>
      </c>
      <c r="D219" s="24">
        <v>19</v>
      </c>
      <c r="E219" s="24">
        <v>6</v>
      </c>
      <c r="F219" s="24">
        <v>9</v>
      </c>
      <c r="G219" s="11">
        <v>8</v>
      </c>
      <c r="H219" s="24">
        <v>5</v>
      </c>
      <c r="I219" s="24">
        <v>-1</v>
      </c>
      <c r="J219" s="4">
        <v>1200</v>
      </c>
      <c r="K219" s="4">
        <v>0</v>
      </c>
      <c r="L219" s="19">
        <f t="shared" si="3"/>
        <v>-9</v>
      </c>
    </row>
    <row r="220" spans="1:12" hidden="1" x14ac:dyDescent="0.25">
      <c r="A220" s="2" t="s">
        <v>1086</v>
      </c>
      <c r="B220" s="2" t="s">
        <v>1087</v>
      </c>
      <c r="C220" s="2" t="s">
        <v>1052</v>
      </c>
      <c r="D220" s="24">
        <v>1</v>
      </c>
      <c r="E220" s="24">
        <v>0</v>
      </c>
      <c r="F220" s="24">
        <v>2</v>
      </c>
      <c r="G220" s="11">
        <v>0</v>
      </c>
      <c r="H220" s="24">
        <v>0</v>
      </c>
      <c r="I220" s="24">
        <v>-1</v>
      </c>
      <c r="J220" s="4">
        <v>13859.07</v>
      </c>
      <c r="K220" s="4">
        <v>0</v>
      </c>
      <c r="L220" s="19">
        <f t="shared" si="3"/>
        <v>-1</v>
      </c>
    </row>
    <row r="221" spans="1:12" hidden="1" x14ac:dyDescent="0.25">
      <c r="A221" s="2" t="s">
        <v>1077</v>
      </c>
      <c r="B221" s="2" t="s">
        <v>1078</v>
      </c>
      <c r="C221" s="2" t="s">
        <v>593</v>
      </c>
      <c r="D221" s="24">
        <v>18</v>
      </c>
      <c r="E221" s="24">
        <v>6</v>
      </c>
      <c r="F221" s="24">
        <v>4</v>
      </c>
      <c r="G221" s="11">
        <v>7</v>
      </c>
      <c r="H221" s="24">
        <v>10</v>
      </c>
      <c r="I221" s="24">
        <v>-2</v>
      </c>
      <c r="J221" s="4">
        <v>3097.6299999999992</v>
      </c>
      <c r="K221" s="4">
        <v>0</v>
      </c>
      <c r="L221" s="19">
        <f t="shared" si="3"/>
        <v>-9</v>
      </c>
    </row>
    <row r="222" spans="1:12" hidden="1" x14ac:dyDescent="0.25">
      <c r="A222" s="2" t="s">
        <v>1041</v>
      </c>
      <c r="B222" s="2" t="s">
        <v>1042</v>
      </c>
      <c r="C222" s="2" t="s">
        <v>1032</v>
      </c>
      <c r="D222" s="24">
        <v>2</v>
      </c>
      <c r="E222" s="24">
        <v>2</v>
      </c>
      <c r="F222" s="24">
        <v>2</v>
      </c>
      <c r="G222" s="11">
        <v>2</v>
      </c>
      <c r="H222" s="24">
        <v>0</v>
      </c>
      <c r="I222" s="24">
        <v>-2</v>
      </c>
      <c r="J222" s="4">
        <v>400</v>
      </c>
      <c r="K222" s="4">
        <v>0</v>
      </c>
      <c r="L222" s="19">
        <f t="shared" si="3"/>
        <v>-4</v>
      </c>
    </row>
    <row r="223" spans="1:12" hidden="1" x14ac:dyDescent="0.25">
      <c r="A223" s="2" t="s">
        <v>1035</v>
      </c>
      <c r="B223" s="2" t="s">
        <v>1036</v>
      </c>
      <c r="C223" s="2" t="s">
        <v>1032</v>
      </c>
      <c r="D223" s="24">
        <v>2</v>
      </c>
      <c r="E223" s="24">
        <v>2</v>
      </c>
      <c r="F223" s="24">
        <v>2</v>
      </c>
      <c r="G223" s="11">
        <v>2</v>
      </c>
      <c r="H223" s="24">
        <v>0</v>
      </c>
      <c r="I223" s="24">
        <v>-2</v>
      </c>
      <c r="J223" s="4">
        <v>400</v>
      </c>
      <c r="K223" s="4">
        <v>0</v>
      </c>
      <c r="L223" s="19">
        <f t="shared" si="3"/>
        <v>-4</v>
      </c>
    </row>
    <row r="224" spans="1:12" hidden="1" x14ac:dyDescent="0.25">
      <c r="A224" s="2" t="s">
        <v>19</v>
      </c>
      <c r="B224" s="2" t="s">
        <v>20</v>
      </c>
      <c r="C224" s="2" t="s">
        <v>228</v>
      </c>
      <c r="D224" s="24">
        <v>70</v>
      </c>
      <c r="E224" s="24">
        <v>29</v>
      </c>
      <c r="F224" s="24">
        <v>13</v>
      </c>
      <c r="G224" s="11">
        <v>22</v>
      </c>
      <c r="H224" s="24">
        <v>30</v>
      </c>
      <c r="I224" s="24">
        <v>-2</v>
      </c>
      <c r="J224" s="4">
        <v>122.09999999999995</v>
      </c>
      <c r="K224" s="4">
        <v>0</v>
      </c>
      <c r="L224" s="19">
        <f t="shared" si="3"/>
        <v>-24</v>
      </c>
    </row>
    <row r="225" spans="1:12" hidden="1" x14ac:dyDescent="0.25">
      <c r="A225" s="2" t="s">
        <v>1043</v>
      </c>
      <c r="B225" s="2" t="s">
        <v>1044</v>
      </c>
      <c r="C225" s="2" t="s">
        <v>1032</v>
      </c>
      <c r="D225" s="24">
        <v>2</v>
      </c>
      <c r="E225" s="24">
        <v>2</v>
      </c>
      <c r="F225" s="24">
        <v>2</v>
      </c>
      <c r="G225" s="11">
        <v>2</v>
      </c>
      <c r="H225" s="24">
        <v>0</v>
      </c>
      <c r="I225" s="24">
        <v>-2</v>
      </c>
      <c r="J225" s="4">
        <v>400</v>
      </c>
      <c r="K225" s="4">
        <v>0</v>
      </c>
      <c r="L225" s="19">
        <f t="shared" si="3"/>
        <v>-4</v>
      </c>
    </row>
    <row r="226" spans="1:12" hidden="1" x14ac:dyDescent="0.25">
      <c r="A226" s="2" t="s">
        <v>1039</v>
      </c>
      <c r="B226" s="2" t="s">
        <v>1040</v>
      </c>
      <c r="C226" s="2" t="s">
        <v>1032</v>
      </c>
      <c r="D226" s="24">
        <v>2</v>
      </c>
      <c r="E226" s="24">
        <v>2</v>
      </c>
      <c r="F226" s="24">
        <v>2</v>
      </c>
      <c r="G226" s="11">
        <v>2</v>
      </c>
      <c r="H226" s="24">
        <v>0</v>
      </c>
      <c r="I226" s="24">
        <v>-2</v>
      </c>
      <c r="J226" s="4">
        <v>400</v>
      </c>
      <c r="K226" s="4">
        <v>0</v>
      </c>
      <c r="L226" s="19">
        <f t="shared" si="3"/>
        <v>-4</v>
      </c>
    </row>
    <row r="227" spans="1:12" hidden="1" x14ac:dyDescent="0.25">
      <c r="A227" s="2" t="s">
        <v>34</v>
      </c>
      <c r="B227" s="2" t="s">
        <v>35</v>
      </c>
      <c r="C227" s="2" t="s">
        <v>1104</v>
      </c>
      <c r="D227" s="24">
        <v>23</v>
      </c>
      <c r="E227" s="24">
        <v>7</v>
      </c>
      <c r="F227" s="24">
        <v>8</v>
      </c>
      <c r="G227" s="11">
        <v>8</v>
      </c>
      <c r="H227" s="24">
        <v>10</v>
      </c>
      <c r="I227" s="24">
        <v>-2</v>
      </c>
      <c r="J227" s="4">
        <v>62.830000000000005</v>
      </c>
      <c r="K227" s="4">
        <v>0</v>
      </c>
      <c r="L227" s="19">
        <f t="shared" si="3"/>
        <v>-10</v>
      </c>
    </row>
    <row r="228" spans="1:12" hidden="1" x14ac:dyDescent="0.25">
      <c r="A228" s="2" t="s">
        <v>1030</v>
      </c>
      <c r="B228" s="2" t="s">
        <v>1031</v>
      </c>
      <c r="C228" s="2" t="s">
        <v>1032</v>
      </c>
      <c r="D228" s="24">
        <v>2</v>
      </c>
      <c r="E228" s="24">
        <v>2</v>
      </c>
      <c r="F228" s="24">
        <v>2</v>
      </c>
      <c r="G228" s="11">
        <v>2</v>
      </c>
      <c r="H228" s="24">
        <v>0</v>
      </c>
      <c r="I228" s="24">
        <v>-2</v>
      </c>
      <c r="J228" s="4">
        <v>400</v>
      </c>
      <c r="K228" s="4">
        <v>0</v>
      </c>
      <c r="L228" s="19">
        <f t="shared" si="3"/>
        <v>-4</v>
      </c>
    </row>
    <row r="229" spans="1:12" hidden="1" x14ac:dyDescent="0.25">
      <c r="A229" s="2" t="s">
        <v>377</v>
      </c>
      <c r="B229" s="2" t="s">
        <v>378</v>
      </c>
      <c r="C229" s="2" t="s">
        <v>822</v>
      </c>
      <c r="D229" s="24">
        <v>56</v>
      </c>
      <c r="E229" s="24">
        <v>0</v>
      </c>
      <c r="F229" s="24">
        <v>38</v>
      </c>
      <c r="G229" s="11">
        <v>25</v>
      </c>
      <c r="H229" s="24">
        <v>20</v>
      </c>
      <c r="I229" s="24">
        <v>-2</v>
      </c>
      <c r="J229" s="4">
        <v>245</v>
      </c>
      <c r="K229" s="4">
        <v>0</v>
      </c>
      <c r="L229" s="19">
        <f t="shared" si="3"/>
        <v>-27</v>
      </c>
    </row>
    <row r="230" spans="1:12" hidden="1" x14ac:dyDescent="0.25">
      <c r="A230" s="2" t="s">
        <v>1037</v>
      </c>
      <c r="B230" s="2" t="s">
        <v>1038</v>
      </c>
      <c r="C230" s="2" t="s">
        <v>1032</v>
      </c>
      <c r="D230" s="24">
        <v>2</v>
      </c>
      <c r="E230" s="24">
        <v>2</v>
      </c>
      <c r="F230" s="24">
        <v>2</v>
      </c>
      <c r="G230" s="11">
        <v>2</v>
      </c>
      <c r="H230" s="24">
        <v>0</v>
      </c>
      <c r="I230" s="24">
        <v>-2</v>
      </c>
      <c r="J230" s="4">
        <v>400</v>
      </c>
      <c r="K230" s="4">
        <v>0</v>
      </c>
      <c r="L230" s="19">
        <f t="shared" si="3"/>
        <v>-4</v>
      </c>
    </row>
    <row r="231" spans="1:12" hidden="1" x14ac:dyDescent="0.25">
      <c r="A231" s="2" t="s">
        <v>1231</v>
      </c>
      <c r="B231" s="2" t="s">
        <v>1232</v>
      </c>
      <c r="C231" s="2" t="s">
        <v>635</v>
      </c>
      <c r="D231" s="24">
        <v>2</v>
      </c>
      <c r="E231" s="24">
        <v>0</v>
      </c>
      <c r="F231" s="24">
        <v>4</v>
      </c>
      <c r="G231" s="11">
        <v>2</v>
      </c>
      <c r="H231" s="24">
        <v>0</v>
      </c>
      <c r="I231" s="24">
        <v>-2</v>
      </c>
      <c r="J231" s="4">
        <v>1802.17</v>
      </c>
      <c r="K231" s="4">
        <v>0</v>
      </c>
      <c r="L231" s="19">
        <f t="shared" si="3"/>
        <v>-4</v>
      </c>
    </row>
    <row r="232" spans="1:12" hidden="1" x14ac:dyDescent="0.25">
      <c r="A232" s="2" t="s">
        <v>399</v>
      </c>
      <c r="B232" s="2" t="s">
        <v>400</v>
      </c>
      <c r="C232" s="2" t="s">
        <v>1222</v>
      </c>
      <c r="D232" s="24">
        <v>0.24999999999999997</v>
      </c>
      <c r="E232" s="24">
        <v>0</v>
      </c>
      <c r="F232" s="24">
        <v>3</v>
      </c>
      <c r="G232" s="11">
        <v>-2.2204460492503131E-16</v>
      </c>
      <c r="H232" s="24">
        <v>0</v>
      </c>
      <c r="I232" s="24">
        <v>-2.75</v>
      </c>
      <c r="J232" s="4">
        <v>148.30999999999997</v>
      </c>
      <c r="K232" s="4">
        <v>0</v>
      </c>
      <c r="L232" s="19">
        <f t="shared" si="3"/>
        <v>-2.75</v>
      </c>
    </row>
    <row r="233" spans="1:12" hidden="1" x14ac:dyDescent="0.25">
      <c r="A233" s="2" t="s">
        <v>782</v>
      </c>
      <c r="B233" s="2" t="s">
        <v>783</v>
      </c>
      <c r="C233" s="2" t="s">
        <v>291</v>
      </c>
      <c r="D233" s="24">
        <v>17</v>
      </c>
      <c r="E233" s="24">
        <v>4</v>
      </c>
      <c r="F233" s="24">
        <v>6</v>
      </c>
      <c r="G233" s="11">
        <v>7</v>
      </c>
      <c r="H233" s="24">
        <v>10</v>
      </c>
      <c r="I233" s="24">
        <v>-3</v>
      </c>
      <c r="J233" s="4">
        <v>750</v>
      </c>
      <c r="K233" s="4">
        <v>0</v>
      </c>
      <c r="L233" s="19">
        <f t="shared" si="3"/>
        <v>-10</v>
      </c>
    </row>
    <row r="234" spans="1:12" hidden="1" x14ac:dyDescent="0.25">
      <c r="A234" s="2" t="s">
        <v>904</v>
      </c>
      <c r="B234" s="2" t="s">
        <v>905</v>
      </c>
      <c r="C234" s="2" t="s">
        <v>1224</v>
      </c>
      <c r="D234" s="24">
        <v>6</v>
      </c>
      <c r="E234" s="24">
        <v>6</v>
      </c>
      <c r="F234" s="24">
        <v>3</v>
      </c>
      <c r="G234" s="11">
        <v>6</v>
      </c>
      <c r="H234" s="24">
        <v>0</v>
      </c>
      <c r="I234" s="24">
        <v>-3</v>
      </c>
      <c r="J234" s="4">
        <v>100</v>
      </c>
      <c r="K234" s="4">
        <v>0</v>
      </c>
      <c r="L234" s="19">
        <f t="shared" si="3"/>
        <v>-9</v>
      </c>
    </row>
    <row r="235" spans="1:12" hidden="1" x14ac:dyDescent="0.25">
      <c r="A235" s="2" t="s">
        <v>984</v>
      </c>
      <c r="B235" s="2" t="s">
        <v>985</v>
      </c>
      <c r="C235" s="2" t="s">
        <v>242</v>
      </c>
      <c r="D235" s="24">
        <v>2</v>
      </c>
      <c r="E235" s="24">
        <v>0</v>
      </c>
      <c r="F235" s="24">
        <v>5</v>
      </c>
      <c r="G235" s="11">
        <v>0</v>
      </c>
      <c r="H235" s="24">
        <v>0</v>
      </c>
      <c r="I235" s="24">
        <v>-3</v>
      </c>
      <c r="J235" s="4">
        <v>270</v>
      </c>
      <c r="K235" s="4">
        <v>0</v>
      </c>
      <c r="L235" s="19">
        <f t="shared" si="3"/>
        <v>-3</v>
      </c>
    </row>
    <row r="236" spans="1:12" hidden="1" x14ac:dyDescent="0.25">
      <c r="A236" s="2" t="s">
        <v>1203</v>
      </c>
      <c r="B236" s="2" t="s">
        <v>1204</v>
      </c>
      <c r="C236" s="2" t="s">
        <v>291</v>
      </c>
      <c r="D236" s="24">
        <v>1</v>
      </c>
      <c r="E236" s="24">
        <v>0</v>
      </c>
      <c r="F236" s="24">
        <v>4</v>
      </c>
      <c r="G236" s="11">
        <v>0</v>
      </c>
      <c r="H236" s="24">
        <v>0</v>
      </c>
      <c r="I236" s="24">
        <v>-3</v>
      </c>
      <c r="J236" s="4">
        <v>873.08</v>
      </c>
      <c r="K236" s="4">
        <v>0</v>
      </c>
      <c r="L236" s="19">
        <f t="shared" si="3"/>
        <v>-3</v>
      </c>
    </row>
    <row r="237" spans="1:12" hidden="1" x14ac:dyDescent="0.25">
      <c r="A237" s="2" t="s">
        <v>851</v>
      </c>
      <c r="B237" s="2" t="s">
        <v>852</v>
      </c>
      <c r="C237" s="2" t="s">
        <v>242</v>
      </c>
      <c r="D237" s="24">
        <v>7</v>
      </c>
      <c r="E237" s="24">
        <v>0</v>
      </c>
      <c r="F237" s="24">
        <v>10</v>
      </c>
      <c r="G237" s="11">
        <v>3</v>
      </c>
      <c r="H237" s="24">
        <v>0</v>
      </c>
      <c r="I237" s="24">
        <v>-3</v>
      </c>
      <c r="J237" s="4">
        <v>45</v>
      </c>
      <c r="K237" s="4">
        <v>0</v>
      </c>
      <c r="L237" s="19">
        <f t="shared" si="3"/>
        <v>-6</v>
      </c>
    </row>
    <row r="238" spans="1:12" hidden="1" x14ac:dyDescent="0.25">
      <c r="A238" s="2" t="s">
        <v>591</v>
      </c>
      <c r="B238" s="2" t="s">
        <v>592</v>
      </c>
      <c r="C238" s="2" t="s">
        <v>593</v>
      </c>
      <c r="D238" s="24">
        <v>19</v>
      </c>
      <c r="E238" s="24">
        <v>6</v>
      </c>
      <c r="F238" s="24">
        <v>6</v>
      </c>
      <c r="G238" s="11">
        <v>8</v>
      </c>
      <c r="H238" s="24">
        <v>10</v>
      </c>
      <c r="I238" s="24">
        <v>-3</v>
      </c>
      <c r="J238" s="4">
        <v>583.77000000000021</v>
      </c>
      <c r="K238" s="4">
        <v>0</v>
      </c>
      <c r="L238" s="19">
        <f t="shared" si="3"/>
        <v>-11</v>
      </c>
    </row>
    <row r="239" spans="1:12" hidden="1" x14ac:dyDescent="0.25">
      <c r="A239" s="2" t="s">
        <v>350</v>
      </c>
      <c r="B239" s="2" t="s">
        <v>351</v>
      </c>
      <c r="C239" s="2" t="s">
        <v>1224</v>
      </c>
      <c r="D239" s="24">
        <v>9</v>
      </c>
      <c r="E239" s="24">
        <v>0</v>
      </c>
      <c r="F239" s="24">
        <v>12</v>
      </c>
      <c r="G239" s="11">
        <v>3</v>
      </c>
      <c r="H239" s="24">
        <v>0</v>
      </c>
      <c r="I239" s="24">
        <v>-3</v>
      </c>
      <c r="J239" s="4">
        <v>130</v>
      </c>
      <c r="K239" s="4">
        <v>0</v>
      </c>
      <c r="L239" s="19">
        <f t="shared" si="3"/>
        <v>-6</v>
      </c>
    </row>
    <row r="240" spans="1:12" hidden="1" x14ac:dyDescent="0.25">
      <c r="A240" s="2" t="s">
        <v>818</v>
      </c>
      <c r="B240" s="2" t="s">
        <v>819</v>
      </c>
      <c r="C240" s="2" t="s">
        <v>697</v>
      </c>
      <c r="D240" s="24">
        <v>2</v>
      </c>
      <c r="E240" s="24">
        <v>1</v>
      </c>
      <c r="F240" s="24">
        <v>4</v>
      </c>
      <c r="G240" s="11">
        <v>3</v>
      </c>
      <c r="H240" s="24">
        <v>0</v>
      </c>
      <c r="I240" s="24">
        <v>-3</v>
      </c>
      <c r="J240" s="4">
        <v>200</v>
      </c>
      <c r="K240" s="4">
        <v>0</v>
      </c>
      <c r="L240" s="19">
        <f t="shared" si="3"/>
        <v>-6</v>
      </c>
    </row>
    <row r="241" spans="1:12" hidden="1" x14ac:dyDescent="0.25">
      <c r="A241" s="2" t="s">
        <v>917</v>
      </c>
      <c r="B241" s="2" t="s">
        <v>918</v>
      </c>
      <c r="C241" s="2" t="s">
        <v>1020</v>
      </c>
      <c r="D241" s="24">
        <v>1</v>
      </c>
      <c r="E241" s="24">
        <v>1</v>
      </c>
      <c r="F241" s="24">
        <v>3</v>
      </c>
      <c r="G241" s="11">
        <v>1</v>
      </c>
      <c r="H241" s="24">
        <v>0</v>
      </c>
      <c r="I241" s="24">
        <v>-3</v>
      </c>
      <c r="J241" s="4">
        <v>2000</v>
      </c>
      <c r="K241" s="4">
        <v>0</v>
      </c>
      <c r="L241" s="19">
        <f t="shared" si="3"/>
        <v>-4</v>
      </c>
    </row>
    <row r="242" spans="1:12" hidden="1" x14ac:dyDescent="0.25">
      <c r="A242" s="2" t="s">
        <v>134</v>
      </c>
      <c r="B242" s="2" t="s">
        <v>311</v>
      </c>
      <c r="C242" s="2" t="s">
        <v>827</v>
      </c>
      <c r="D242" s="24">
        <v>19</v>
      </c>
      <c r="E242" s="24">
        <v>6</v>
      </c>
      <c r="F242" s="24">
        <v>16</v>
      </c>
      <c r="G242" s="11">
        <v>8</v>
      </c>
      <c r="H242" s="24">
        <v>0</v>
      </c>
      <c r="I242" s="24">
        <v>-3</v>
      </c>
      <c r="J242" s="4">
        <v>224.45999999999998</v>
      </c>
      <c r="K242" s="4">
        <v>0</v>
      </c>
      <c r="L242" s="19">
        <f t="shared" si="3"/>
        <v>-11</v>
      </c>
    </row>
    <row r="243" spans="1:12" hidden="1" x14ac:dyDescent="0.25">
      <c r="A243" s="2" t="s">
        <v>654</v>
      </c>
      <c r="B243" s="2" t="s">
        <v>655</v>
      </c>
      <c r="C243" s="2" t="s">
        <v>491</v>
      </c>
      <c r="D243" s="24">
        <v>1.2000000000000002</v>
      </c>
      <c r="E243" s="24">
        <v>0.89999999999999991</v>
      </c>
      <c r="F243" s="24">
        <v>1.8000000000000005</v>
      </c>
      <c r="G243" s="11">
        <v>0.84999999999999798</v>
      </c>
      <c r="H243" s="24">
        <v>1.75</v>
      </c>
      <c r="I243" s="24">
        <v>-3.25</v>
      </c>
      <c r="J243" s="4">
        <v>645.6400000000001</v>
      </c>
      <c r="K243" s="4">
        <v>0</v>
      </c>
      <c r="L243" s="19">
        <f t="shared" si="3"/>
        <v>-4.0999999999999979</v>
      </c>
    </row>
    <row r="244" spans="1:12" hidden="1" x14ac:dyDescent="0.25">
      <c r="A244" s="2" t="s">
        <v>876</v>
      </c>
      <c r="B244" s="2" t="s">
        <v>877</v>
      </c>
      <c r="C244" s="2" t="s">
        <v>637</v>
      </c>
      <c r="D244" s="24">
        <v>6</v>
      </c>
      <c r="E244" s="24">
        <v>6</v>
      </c>
      <c r="F244" s="24">
        <v>4</v>
      </c>
      <c r="G244" s="11">
        <v>12</v>
      </c>
      <c r="H244" s="24">
        <v>0</v>
      </c>
      <c r="I244" s="24">
        <v>-4</v>
      </c>
      <c r="J244" s="4">
        <v>1028.21</v>
      </c>
      <c r="K244" s="4">
        <v>0</v>
      </c>
      <c r="L244" s="19">
        <f t="shared" si="3"/>
        <v>-16</v>
      </c>
    </row>
    <row r="245" spans="1:12" hidden="1" x14ac:dyDescent="0.25">
      <c r="A245" s="2" t="s">
        <v>855</v>
      </c>
      <c r="B245" s="2" t="s">
        <v>856</v>
      </c>
      <c r="C245" s="2" t="s">
        <v>629</v>
      </c>
      <c r="D245" s="24">
        <v>1</v>
      </c>
      <c r="E245" s="24">
        <v>0</v>
      </c>
      <c r="F245" s="24">
        <v>5</v>
      </c>
      <c r="G245" s="11">
        <v>0</v>
      </c>
      <c r="H245" s="24">
        <v>0</v>
      </c>
      <c r="I245" s="24">
        <v>-4</v>
      </c>
      <c r="J245" s="4">
        <v>225</v>
      </c>
      <c r="K245" s="4">
        <v>0</v>
      </c>
      <c r="L245" s="19">
        <f t="shared" si="3"/>
        <v>-4</v>
      </c>
    </row>
    <row r="246" spans="1:12" hidden="1" x14ac:dyDescent="0.25">
      <c r="A246" s="2" t="s">
        <v>878</v>
      </c>
      <c r="B246" s="2" t="s">
        <v>879</v>
      </c>
      <c r="C246" s="2" t="s">
        <v>637</v>
      </c>
      <c r="D246" s="24">
        <v>6</v>
      </c>
      <c r="E246" s="24">
        <v>6</v>
      </c>
      <c r="F246" s="24">
        <v>4</v>
      </c>
      <c r="G246" s="11">
        <v>12</v>
      </c>
      <c r="H246" s="24">
        <v>0</v>
      </c>
      <c r="I246" s="24">
        <v>-4</v>
      </c>
      <c r="J246" s="4">
        <v>1028.73</v>
      </c>
      <c r="K246" s="4">
        <v>0</v>
      </c>
      <c r="L246" s="19">
        <f t="shared" si="3"/>
        <v>-16</v>
      </c>
    </row>
    <row r="247" spans="1:12" hidden="1" x14ac:dyDescent="0.25">
      <c r="A247" s="2" t="s">
        <v>432</v>
      </c>
      <c r="B247" s="2" t="s">
        <v>433</v>
      </c>
      <c r="C247" s="2" t="s">
        <v>637</v>
      </c>
      <c r="D247" s="24">
        <v>8</v>
      </c>
      <c r="E247" s="24">
        <v>2</v>
      </c>
      <c r="F247" s="24">
        <v>10</v>
      </c>
      <c r="G247" s="11">
        <v>3</v>
      </c>
      <c r="H247" s="24">
        <v>0</v>
      </c>
      <c r="I247" s="24">
        <v>-4</v>
      </c>
      <c r="J247" s="4">
        <v>1723.1199999999994</v>
      </c>
      <c r="K247" s="4">
        <v>0</v>
      </c>
      <c r="L247" s="19">
        <f t="shared" si="3"/>
        <v>-7</v>
      </c>
    </row>
    <row r="248" spans="1:12" hidden="1" x14ac:dyDescent="0.25">
      <c r="A248" s="2" t="s">
        <v>784</v>
      </c>
      <c r="B248" s="2" t="s">
        <v>785</v>
      </c>
      <c r="C248" s="2" t="s">
        <v>291</v>
      </c>
      <c r="D248" s="24">
        <v>19</v>
      </c>
      <c r="E248" s="24">
        <v>6</v>
      </c>
      <c r="F248" s="24">
        <v>7</v>
      </c>
      <c r="G248" s="11">
        <v>9</v>
      </c>
      <c r="H248" s="24">
        <v>10</v>
      </c>
      <c r="I248" s="24">
        <v>-4</v>
      </c>
      <c r="J248" s="4">
        <v>450</v>
      </c>
      <c r="K248" s="4">
        <v>0</v>
      </c>
      <c r="L248" s="19">
        <f t="shared" si="3"/>
        <v>-13</v>
      </c>
    </row>
    <row r="249" spans="1:12" x14ac:dyDescent="0.25">
      <c r="A249" s="2" t="s">
        <v>449</v>
      </c>
      <c r="B249" s="2" t="s">
        <v>450</v>
      </c>
      <c r="C249" s="2" t="s">
        <v>228</v>
      </c>
      <c r="D249" s="24">
        <v>38</v>
      </c>
      <c r="E249" s="24">
        <v>12</v>
      </c>
      <c r="F249" s="24">
        <v>15</v>
      </c>
      <c r="G249" s="11">
        <v>14</v>
      </c>
      <c r="H249" s="24">
        <v>15</v>
      </c>
      <c r="I249" s="24">
        <v>-4</v>
      </c>
      <c r="J249" s="4">
        <v>65.710000000000008</v>
      </c>
      <c r="K249" s="4">
        <v>0</v>
      </c>
      <c r="L249" s="19">
        <f t="shared" si="3"/>
        <v>-18</v>
      </c>
    </row>
    <row r="250" spans="1:12" hidden="1" x14ac:dyDescent="0.25">
      <c r="A250" s="2" t="s">
        <v>1205</v>
      </c>
      <c r="B250" s="2" t="s">
        <v>1206</v>
      </c>
      <c r="C250" s="2" t="s">
        <v>1207</v>
      </c>
      <c r="D250" s="24">
        <v>2</v>
      </c>
      <c r="E250" s="24">
        <v>0</v>
      </c>
      <c r="F250" s="24">
        <v>6</v>
      </c>
      <c r="G250" s="11">
        <v>0</v>
      </c>
      <c r="H250" s="24">
        <v>0</v>
      </c>
      <c r="I250" s="24">
        <v>-4</v>
      </c>
      <c r="J250" s="4">
        <v>129.16999999999999</v>
      </c>
      <c r="K250" s="4">
        <v>0</v>
      </c>
      <c r="L250" s="19">
        <f t="shared" si="3"/>
        <v>-4</v>
      </c>
    </row>
    <row r="251" spans="1:12" hidden="1" x14ac:dyDescent="0.25">
      <c r="A251" s="2" t="s">
        <v>759</v>
      </c>
      <c r="B251" s="20" t="s">
        <v>760</v>
      </c>
      <c r="C251" s="2" t="s">
        <v>277</v>
      </c>
      <c r="D251" s="24">
        <v>6</v>
      </c>
      <c r="E251" s="24">
        <v>3</v>
      </c>
      <c r="F251" s="24">
        <v>7</v>
      </c>
      <c r="G251" s="11">
        <v>4</v>
      </c>
      <c r="H251" s="24">
        <v>0</v>
      </c>
      <c r="I251" s="24">
        <v>-4</v>
      </c>
      <c r="J251" s="4">
        <v>8495.43</v>
      </c>
      <c r="K251" s="4">
        <v>0</v>
      </c>
      <c r="L251" s="19">
        <f t="shared" si="3"/>
        <v>-8</v>
      </c>
    </row>
    <row r="252" spans="1:12" hidden="1" x14ac:dyDescent="0.25">
      <c r="A252" s="2" t="s">
        <v>274</v>
      </c>
      <c r="B252" s="2" t="s">
        <v>622</v>
      </c>
      <c r="C252" s="2" t="s">
        <v>637</v>
      </c>
      <c r="D252" s="24">
        <v>11</v>
      </c>
      <c r="E252" s="24">
        <v>4</v>
      </c>
      <c r="F252" s="24">
        <v>11</v>
      </c>
      <c r="G252" s="11">
        <v>4</v>
      </c>
      <c r="H252" s="24">
        <v>0</v>
      </c>
      <c r="I252" s="24">
        <v>-4</v>
      </c>
      <c r="J252" s="4">
        <v>1678.8800000000008</v>
      </c>
      <c r="K252" s="4">
        <v>0</v>
      </c>
      <c r="L252" s="19">
        <f t="shared" si="3"/>
        <v>-8</v>
      </c>
    </row>
    <row r="253" spans="1:12" hidden="1" x14ac:dyDescent="0.25">
      <c r="A253" s="2" t="s">
        <v>808</v>
      </c>
      <c r="B253" s="2" t="s">
        <v>809</v>
      </c>
      <c r="C253" s="2" t="s">
        <v>629</v>
      </c>
      <c r="D253" s="24">
        <v>8</v>
      </c>
      <c r="E253" s="24">
        <v>1</v>
      </c>
      <c r="F253" s="24">
        <v>11</v>
      </c>
      <c r="G253" s="11">
        <v>1</v>
      </c>
      <c r="H253" s="24">
        <v>0</v>
      </c>
      <c r="I253" s="24">
        <v>-4</v>
      </c>
      <c r="J253" s="4">
        <v>583.33000000000004</v>
      </c>
      <c r="K253" s="4">
        <v>0</v>
      </c>
      <c r="L253" s="19">
        <f t="shared" si="3"/>
        <v>-5</v>
      </c>
    </row>
    <row r="254" spans="1:12" hidden="1" x14ac:dyDescent="0.25">
      <c r="A254" s="2" t="s">
        <v>1109</v>
      </c>
      <c r="B254" s="2" t="s">
        <v>1110</v>
      </c>
      <c r="C254" s="2" t="s">
        <v>1224</v>
      </c>
      <c r="D254" s="24">
        <v>0.9</v>
      </c>
      <c r="E254" s="24">
        <v>0</v>
      </c>
      <c r="F254" s="24">
        <v>5</v>
      </c>
      <c r="G254" s="11">
        <v>3.5527136788005009E-15</v>
      </c>
      <c r="H254" s="24">
        <v>0</v>
      </c>
      <c r="I254" s="24">
        <v>-4.0999999999999996</v>
      </c>
      <c r="J254" s="4">
        <v>196</v>
      </c>
      <c r="K254" s="4">
        <v>0</v>
      </c>
      <c r="L254" s="19">
        <f t="shared" si="3"/>
        <v>-4.1000000000000032</v>
      </c>
    </row>
    <row r="255" spans="1:12" hidden="1" x14ac:dyDescent="0.25">
      <c r="A255" s="2" t="s">
        <v>843</v>
      </c>
      <c r="B255" s="2" t="s">
        <v>844</v>
      </c>
      <c r="C255" s="2" t="s">
        <v>668</v>
      </c>
      <c r="D255" s="24">
        <v>1</v>
      </c>
      <c r="E255" s="24">
        <v>0</v>
      </c>
      <c r="F255" s="24">
        <v>6</v>
      </c>
      <c r="G255" s="11">
        <v>0</v>
      </c>
      <c r="H255" s="24">
        <v>0</v>
      </c>
      <c r="I255" s="24">
        <v>-5</v>
      </c>
      <c r="J255" s="4">
        <v>749.17</v>
      </c>
      <c r="K255" s="4">
        <v>0</v>
      </c>
      <c r="L255" s="19">
        <f t="shared" si="3"/>
        <v>-5</v>
      </c>
    </row>
    <row r="256" spans="1:12" hidden="1" x14ac:dyDescent="0.25">
      <c r="A256" s="2" t="s">
        <v>676</v>
      </c>
      <c r="B256" s="2" t="s">
        <v>677</v>
      </c>
      <c r="C256" s="2" t="s">
        <v>256</v>
      </c>
      <c r="D256" s="24">
        <v>15</v>
      </c>
      <c r="E256" s="24">
        <v>0</v>
      </c>
      <c r="F256" s="24">
        <v>20</v>
      </c>
      <c r="G256" s="11">
        <v>15.999999999999986</v>
      </c>
      <c r="H256" s="24">
        <v>0</v>
      </c>
      <c r="I256" s="24">
        <v>-5</v>
      </c>
      <c r="J256" s="4">
        <v>97.169999999999987</v>
      </c>
      <c r="K256" s="4">
        <v>0</v>
      </c>
      <c r="L256" s="19">
        <f t="shared" si="3"/>
        <v>-20.999999999999986</v>
      </c>
    </row>
    <row r="257" spans="1:12" hidden="1" x14ac:dyDescent="0.25">
      <c r="A257" s="2" t="s">
        <v>600</v>
      </c>
      <c r="B257" s="2" t="s">
        <v>601</v>
      </c>
      <c r="C257" s="2" t="s">
        <v>637</v>
      </c>
      <c r="D257" s="24">
        <v>44</v>
      </c>
      <c r="E257" s="24">
        <v>4</v>
      </c>
      <c r="F257" s="24">
        <v>45</v>
      </c>
      <c r="G257" s="11">
        <v>6</v>
      </c>
      <c r="H257" s="24">
        <v>0</v>
      </c>
      <c r="I257" s="24">
        <v>-5</v>
      </c>
      <c r="J257" s="4">
        <v>313.76000000000005</v>
      </c>
      <c r="K257" s="4">
        <v>0</v>
      </c>
      <c r="L257" s="19">
        <f t="shared" si="3"/>
        <v>-11</v>
      </c>
    </row>
    <row r="258" spans="1:12" hidden="1" x14ac:dyDescent="0.25">
      <c r="A258" s="2" t="s">
        <v>671</v>
      </c>
      <c r="B258" s="2" t="s">
        <v>672</v>
      </c>
      <c r="C258" s="2" t="s">
        <v>215</v>
      </c>
      <c r="D258" s="24">
        <v>19</v>
      </c>
      <c r="E258" s="24">
        <v>12</v>
      </c>
      <c r="F258" s="24">
        <v>12</v>
      </c>
      <c r="G258" s="11">
        <v>13</v>
      </c>
      <c r="H258" s="24">
        <v>0</v>
      </c>
      <c r="I258" s="24">
        <v>-5</v>
      </c>
      <c r="J258" s="4">
        <v>28339.379999999997</v>
      </c>
      <c r="K258" s="4">
        <v>0</v>
      </c>
      <c r="L258" s="19">
        <f t="shared" si="3"/>
        <v>-18</v>
      </c>
    </row>
    <row r="259" spans="1:12" hidden="1" x14ac:dyDescent="0.25">
      <c r="A259" s="2" t="s">
        <v>58</v>
      </c>
      <c r="B259" s="2" t="s">
        <v>59</v>
      </c>
      <c r="C259" s="2" t="s">
        <v>827</v>
      </c>
      <c r="D259" s="24">
        <v>19</v>
      </c>
      <c r="E259" s="24">
        <v>6</v>
      </c>
      <c r="F259" s="24">
        <v>18</v>
      </c>
      <c r="G259" s="11">
        <v>10</v>
      </c>
      <c r="H259" s="24">
        <v>0</v>
      </c>
      <c r="I259" s="24">
        <v>-5</v>
      </c>
      <c r="J259" s="4">
        <v>1094.4000000000001</v>
      </c>
      <c r="K259" s="4">
        <v>0</v>
      </c>
      <c r="L259" s="19">
        <f t="shared" si="3"/>
        <v>-15</v>
      </c>
    </row>
    <row r="260" spans="1:12" hidden="1" x14ac:dyDescent="0.25">
      <c r="A260" s="2" t="s">
        <v>60</v>
      </c>
      <c r="B260" s="2" t="s">
        <v>61</v>
      </c>
      <c r="C260" s="2" t="s">
        <v>827</v>
      </c>
      <c r="D260" s="24">
        <v>19</v>
      </c>
      <c r="E260" s="24">
        <v>6</v>
      </c>
      <c r="F260" s="24">
        <v>18</v>
      </c>
      <c r="G260" s="11">
        <v>10</v>
      </c>
      <c r="H260" s="24">
        <v>0</v>
      </c>
      <c r="I260" s="24">
        <v>-5</v>
      </c>
      <c r="J260" s="4">
        <v>115.59999999999995</v>
      </c>
      <c r="K260" s="4">
        <v>0</v>
      </c>
      <c r="L260" s="19">
        <f t="shared" si="3"/>
        <v>-15</v>
      </c>
    </row>
    <row r="261" spans="1:12" hidden="1" x14ac:dyDescent="0.25">
      <c r="A261" s="2" t="s">
        <v>1002</v>
      </c>
      <c r="B261" s="2" t="s">
        <v>1003</v>
      </c>
      <c r="C261" s="2" t="s">
        <v>1004</v>
      </c>
      <c r="D261" s="24">
        <v>2</v>
      </c>
      <c r="E261" s="24">
        <v>2</v>
      </c>
      <c r="F261" s="24">
        <v>5</v>
      </c>
      <c r="G261" s="11">
        <v>4</v>
      </c>
      <c r="H261" s="24">
        <v>0</v>
      </c>
      <c r="I261" s="24">
        <v>-5</v>
      </c>
      <c r="J261" s="4">
        <v>5112.92</v>
      </c>
      <c r="K261" s="4">
        <v>0</v>
      </c>
      <c r="L261" s="19">
        <f t="shared" si="3"/>
        <v>-9</v>
      </c>
    </row>
    <row r="262" spans="1:12" hidden="1" x14ac:dyDescent="0.25">
      <c r="A262" s="2" t="s">
        <v>158</v>
      </c>
      <c r="B262" s="2" t="s">
        <v>159</v>
      </c>
      <c r="C262" s="2" t="s">
        <v>762</v>
      </c>
      <c r="D262" s="24">
        <v>19</v>
      </c>
      <c r="E262" s="24">
        <v>0</v>
      </c>
      <c r="F262" s="24">
        <v>4</v>
      </c>
      <c r="G262" s="11">
        <v>22</v>
      </c>
      <c r="H262" s="24">
        <v>20</v>
      </c>
      <c r="I262" s="24">
        <v>-5</v>
      </c>
      <c r="J262" s="4">
        <v>65</v>
      </c>
      <c r="K262" s="4">
        <v>0</v>
      </c>
      <c r="L262" s="19">
        <f t="shared" si="3"/>
        <v>-27</v>
      </c>
    </row>
    <row r="263" spans="1:12" hidden="1" x14ac:dyDescent="0.25">
      <c r="A263" s="2" t="s">
        <v>899</v>
      </c>
      <c r="B263" s="2" t="s">
        <v>900</v>
      </c>
      <c r="C263" s="2" t="s">
        <v>901</v>
      </c>
      <c r="D263" s="24">
        <v>4.9000000000000004</v>
      </c>
      <c r="E263" s="24">
        <v>0</v>
      </c>
      <c r="F263" s="24">
        <v>0</v>
      </c>
      <c r="G263" s="11">
        <v>5.3290705182007514E-15</v>
      </c>
      <c r="H263" s="24">
        <v>10</v>
      </c>
      <c r="I263" s="24">
        <v>-5.1000000000000005</v>
      </c>
      <c r="J263" s="4">
        <v>255.54999999999998</v>
      </c>
      <c r="K263" s="4">
        <v>0</v>
      </c>
      <c r="L263" s="19">
        <f t="shared" si="3"/>
        <v>-5.100000000000005</v>
      </c>
    </row>
    <row r="264" spans="1:12" hidden="1" x14ac:dyDescent="0.25">
      <c r="A264" s="2" t="s">
        <v>68</v>
      </c>
      <c r="B264" s="2" t="s">
        <v>586</v>
      </c>
      <c r="C264" s="2" t="s">
        <v>1051</v>
      </c>
      <c r="D264" s="24">
        <v>8.1499999999999986</v>
      </c>
      <c r="E264" s="24">
        <v>0</v>
      </c>
      <c r="F264" s="24">
        <v>13.5</v>
      </c>
      <c r="G264" s="11">
        <v>8.5</v>
      </c>
      <c r="H264" s="24">
        <v>0</v>
      </c>
      <c r="I264" s="24">
        <v>-5.3499999999999988</v>
      </c>
      <c r="J264" s="4">
        <v>1600</v>
      </c>
      <c r="K264" s="4">
        <v>0</v>
      </c>
      <c r="L264" s="19">
        <f t="shared" si="3"/>
        <v>-13.850000000000001</v>
      </c>
    </row>
    <row r="265" spans="1:12" hidden="1" x14ac:dyDescent="0.25">
      <c r="A265" s="2" t="s">
        <v>459</v>
      </c>
      <c r="B265" s="2" t="s">
        <v>460</v>
      </c>
      <c r="C265" s="2" t="s">
        <v>217</v>
      </c>
      <c r="D265" s="24">
        <v>0.67000000000000015</v>
      </c>
      <c r="E265" s="24">
        <v>0.17</v>
      </c>
      <c r="F265" s="24">
        <v>6</v>
      </c>
      <c r="G265" s="11">
        <v>22.52999999999999</v>
      </c>
      <c r="H265" s="24">
        <v>0</v>
      </c>
      <c r="I265" s="24">
        <v>-5.5</v>
      </c>
      <c r="J265" s="4">
        <v>133</v>
      </c>
      <c r="K265" s="4">
        <v>0</v>
      </c>
      <c r="L265" s="19">
        <f t="shared" si="3"/>
        <v>-28.02999999999999</v>
      </c>
    </row>
    <row r="266" spans="1:12" hidden="1" x14ac:dyDescent="0.25">
      <c r="A266" s="2" t="s">
        <v>683</v>
      </c>
      <c r="B266" s="2" t="s">
        <v>684</v>
      </c>
      <c r="C266" s="2" t="s">
        <v>585</v>
      </c>
      <c r="D266" s="24">
        <v>28</v>
      </c>
      <c r="E266" s="24">
        <v>0</v>
      </c>
      <c r="F266" s="24">
        <v>34</v>
      </c>
      <c r="G266" s="11">
        <v>27</v>
      </c>
      <c r="H266" s="24">
        <v>0</v>
      </c>
      <c r="I266" s="24">
        <v>-6</v>
      </c>
      <c r="J266" s="4">
        <v>500</v>
      </c>
      <c r="K266" s="4">
        <v>0</v>
      </c>
      <c r="L266" s="19">
        <f t="shared" si="3"/>
        <v>-33</v>
      </c>
    </row>
    <row r="267" spans="1:12" hidden="1" x14ac:dyDescent="0.25">
      <c r="A267" s="2" t="s">
        <v>741</v>
      </c>
      <c r="B267" s="20" t="s">
        <v>742</v>
      </c>
      <c r="C267" s="2" t="s">
        <v>668</v>
      </c>
      <c r="D267" s="24">
        <v>16</v>
      </c>
      <c r="E267" s="24">
        <v>3</v>
      </c>
      <c r="F267" s="24">
        <v>19</v>
      </c>
      <c r="G267" s="11">
        <v>15</v>
      </c>
      <c r="H267" s="24">
        <v>0</v>
      </c>
      <c r="I267" s="24">
        <v>-6</v>
      </c>
      <c r="J267" s="4">
        <v>41.67</v>
      </c>
      <c r="K267" s="4">
        <v>0</v>
      </c>
      <c r="L267" s="19">
        <f t="shared" si="3"/>
        <v>-21</v>
      </c>
    </row>
    <row r="268" spans="1:12" hidden="1" x14ac:dyDescent="0.25">
      <c r="A268" s="2" t="s">
        <v>430</v>
      </c>
      <c r="B268" s="2" t="s">
        <v>431</v>
      </c>
      <c r="C268" s="2" t="s">
        <v>637</v>
      </c>
      <c r="D268" s="24">
        <v>8</v>
      </c>
      <c r="E268" s="24">
        <v>2</v>
      </c>
      <c r="F268" s="24">
        <v>12</v>
      </c>
      <c r="G268" s="11">
        <v>3</v>
      </c>
      <c r="H268" s="24">
        <v>0</v>
      </c>
      <c r="I268" s="24">
        <v>-6</v>
      </c>
      <c r="J268" s="4">
        <v>1678.8800000000006</v>
      </c>
      <c r="K268" s="4">
        <v>0</v>
      </c>
      <c r="L268" s="19">
        <f t="shared" si="3"/>
        <v>-9</v>
      </c>
    </row>
    <row r="269" spans="1:12" hidden="1" x14ac:dyDescent="0.25">
      <c r="A269" s="2" t="s">
        <v>1060</v>
      </c>
      <c r="B269" s="2" t="s">
        <v>1061</v>
      </c>
      <c r="C269" s="2" t="s">
        <v>590</v>
      </c>
      <c r="D269" s="24">
        <v>2</v>
      </c>
      <c r="E269" s="24">
        <v>2</v>
      </c>
      <c r="F269" s="24">
        <v>6</v>
      </c>
      <c r="G269" s="11">
        <v>3</v>
      </c>
      <c r="H269" s="24">
        <v>0</v>
      </c>
      <c r="I269" s="24">
        <v>-6</v>
      </c>
      <c r="J269" s="4">
        <v>12124.73</v>
      </c>
      <c r="K269" s="4">
        <v>0</v>
      </c>
      <c r="L269" s="19">
        <f t="shared" ref="L269:L332" si="4">D269-E269-F269-G269-H269</f>
        <v>-9</v>
      </c>
    </row>
    <row r="270" spans="1:12" hidden="1" x14ac:dyDescent="0.25">
      <c r="A270" s="2" t="s">
        <v>436</v>
      </c>
      <c r="B270" s="2" t="s">
        <v>437</v>
      </c>
      <c r="C270" s="2" t="s">
        <v>637</v>
      </c>
      <c r="D270" s="24">
        <v>8</v>
      </c>
      <c r="E270" s="24">
        <v>2</v>
      </c>
      <c r="F270" s="24">
        <v>12</v>
      </c>
      <c r="G270" s="11">
        <v>3</v>
      </c>
      <c r="H270" s="24">
        <v>0</v>
      </c>
      <c r="I270" s="24">
        <v>-6</v>
      </c>
      <c r="J270" s="4">
        <v>1723.1199999999994</v>
      </c>
      <c r="K270" s="4">
        <v>0</v>
      </c>
      <c r="L270" s="19">
        <f t="shared" si="4"/>
        <v>-9</v>
      </c>
    </row>
    <row r="271" spans="1:12" hidden="1" x14ac:dyDescent="0.25">
      <c r="A271" s="2" t="s">
        <v>2</v>
      </c>
      <c r="B271" s="2" t="s">
        <v>424</v>
      </c>
      <c r="C271" s="2" t="s">
        <v>218</v>
      </c>
      <c r="D271" s="24">
        <v>38</v>
      </c>
      <c r="E271" s="24">
        <v>12</v>
      </c>
      <c r="F271" s="24">
        <v>22</v>
      </c>
      <c r="G271" s="11">
        <v>18</v>
      </c>
      <c r="H271" s="24">
        <v>10</v>
      </c>
      <c r="I271" s="24">
        <v>-6</v>
      </c>
      <c r="J271" s="4">
        <v>400</v>
      </c>
      <c r="K271" s="4">
        <v>0</v>
      </c>
      <c r="L271" s="19">
        <f t="shared" si="4"/>
        <v>-24</v>
      </c>
    </row>
    <row r="272" spans="1:12" hidden="1" x14ac:dyDescent="0.25">
      <c r="A272" s="2" t="s">
        <v>681</v>
      </c>
      <c r="B272" s="2" t="s">
        <v>682</v>
      </c>
      <c r="C272" s="2" t="s">
        <v>248</v>
      </c>
      <c r="D272" s="24">
        <v>7</v>
      </c>
      <c r="E272" s="24">
        <v>2</v>
      </c>
      <c r="F272" s="24">
        <v>11</v>
      </c>
      <c r="G272" s="11">
        <v>3</v>
      </c>
      <c r="H272" s="24">
        <v>0</v>
      </c>
      <c r="I272" s="24">
        <v>-6</v>
      </c>
      <c r="J272" s="4">
        <v>252</v>
      </c>
      <c r="K272" s="4">
        <v>0</v>
      </c>
      <c r="L272" s="19">
        <f t="shared" si="4"/>
        <v>-9</v>
      </c>
    </row>
    <row r="273" spans="1:12" hidden="1" x14ac:dyDescent="0.25">
      <c r="A273" s="2" t="s">
        <v>998</v>
      </c>
      <c r="B273" s="2" t="s">
        <v>999</v>
      </c>
      <c r="C273" s="2" t="s">
        <v>1224</v>
      </c>
      <c r="D273" s="24">
        <v>4</v>
      </c>
      <c r="E273" s="24">
        <v>4</v>
      </c>
      <c r="F273" s="24">
        <v>6</v>
      </c>
      <c r="G273" s="11">
        <v>8</v>
      </c>
      <c r="H273" s="24">
        <v>0</v>
      </c>
      <c r="I273" s="24">
        <v>-6</v>
      </c>
      <c r="J273" s="4">
        <v>225</v>
      </c>
      <c r="K273" s="4">
        <v>0</v>
      </c>
      <c r="L273" s="19">
        <f t="shared" si="4"/>
        <v>-14</v>
      </c>
    </row>
    <row r="274" spans="1:12" hidden="1" x14ac:dyDescent="0.25">
      <c r="A274" s="2" t="s">
        <v>669</v>
      </c>
      <c r="B274" s="2" t="s">
        <v>670</v>
      </c>
      <c r="C274" s="2" t="s">
        <v>338</v>
      </c>
      <c r="D274" s="24">
        <v>11</v>
      </c>
      <c r="E274" s="24">
        <v>4</v>
      </c>
      <c r="F274" s="24">
        <v>13</v>
      </c>
      <c r="G274" s="11">
        <v>4</v>
      </c>
      <c r="H274" s="24">
        <v>0</v>
      </c>
      <c r="I274" s="24">
        <v>-6</v>
      </c>
      <c r="J274" s="4">
        <v>1250</v>
      </c>
      <c r="K274" s="4">
        <v>0</v>
      </c>
      <c r="L274" s="19">
        <f t="shared" si="4"/>
        <v>-10</v>
      </c>
    </row>
    <row r="275" spans="1:12" hidden="1" x14ac:dyDescent="0.25">
      <c r="A275" s="2" t="s">
        <v>814</v>
      </c>
      <c r="B275" s="2" t="s">
        <v>815</v>
      </c>
      <c r="C275" s="2" t="s">
        <v>697</v>
      </c>
      <c r="D275" s="24">
        <v>2</v>
      </c>
      <c r="E275" s="24">
        <v>1</v>
      </c>
      <c r="F275" s="24">
        <v>7</v>
      </c>
      <c r="G275" s="11">
        <v>4</v>
      </c>
      <c r="H275" s="24">
        <v>0</v>
      </c>
      <c r="I275" s="24">
        <v>-6</v>
      </c>
      <c r="J275" s="4">
        <v>460</v>
      </c>
      <c r="K275" s="4">
        <v>0</v>
      </c>
      <c r="L275" s="19">
        <f t="shared" si="4"/>
        <v>-10</v>
      </c>
    </row>
    <row r="276" spans="1:12" hidden="1" x14ac:dyDescent="0.25">
      <c r="A276" s="2" t="s">
        <v>334</v>
      </c>
      <c r="B276" s="2" t="s">
        <v>335</v>
      </c>
      <c r="C276" s="2" t="s">
        <v>1224</v>
      </c>
      <c r="D276" s="24">
        <v>19</v>
      </c>
      <c r="E276" s="24">
        <v>0</v>
      </c>
      <c r="F276" s="24">
        <v>25</v>
      </c>
      <c r="G276" s="11">
        <v>18</v>
      </c>
      <c r="H276" s="24">
        <v>0</v>
      </c>
      <c r="I276" s="24">
        <v>-6</v>
      </c>
      <c r="J276" s="4">
        <v>225</v>
      </c>
      <c r="K276" s="4">
        <v>0</v>
      </c>
      <c r="L276" s="19">
        <f t="shared" si="4"/>
        <v>-24</v>
      </c>
    </row>
    <row r="277" spans="1:12" hidden="1" x14ac:dyDescent="0.25">
      <c r="A277" s="2" t="s">
        <v>5</v>
      </c>
      <c r="B277" s="2" t="s">
        <v>6</v>
      </c>
      <c r="C277" s="2" t="s">
        <v>827</v>
      </c>
      <c r="D277" s="24">
        <v>93.6</v>
      </c>
      <c r="E277" s="24">
        <v>0</v>
      </c>
      <c r="F277" s="24">
        <v>100</v>
      </c>
      <c r="G277" s="11">
        <v>1.9999999999999432</v>
      </c>
      <c r="H277" s="24">
        <v>0</v>
      </c>
      <c r="I277" s="24">
        <v>-6.4000000000000057</v>
      </c>
      <c r="J277" s="4">
        <v>111</v>
      </c>
      <c r="K277" s="4">
        <v>0</v>
      </c>
      <c r="L277" s="19">
        <f t="shared" si="4"/>
        <v>-8.3999999999999488</v>
      </c>
    </row>
    <row r="278" spans="1:12" hidden="1" x14ac:dyDescent="0.25">
      <c r="A278" s="2" t="s">
        <v>806</v>
      </c>
      <c r="B278" s="2" t="s">
        <v>807</v>
      </c>
      <c r="C278" s="2" t="s">
        <v>629</v>
      </c>
      <c r="D278" s="24">
        <v>8</v>
      </c>
      <c r="E278" s="24">
        <v>1</v>
      </c>
      <c r="F278" s="24">
        <v>14</v>
      </c>
      <c r="G278" s="11">
        <v>1</v>
      </c>
      <c r="H278" s="24">
        <v>0</v>
      </c>
      <c r="I278" s="24">
        <v>-7</v>
      </c>
      <c r="J278" s="4">
        <v>458.33</v>
      </c>
      <c r="K278" s="4">
        <v>0</v>
      </c>
      <c r="L278" s="19">
        <f t="shared" si="4"/>
        <v>-8</v>
      </c>
    </row>
    <row r="279" spans="1:12" hidden="1" x14ac:dyDescent="0.25">
      <c r="A279" s="2" t="s">
        <v>857</v>
      </c>
      <c r="B279" s="2" t="s">
        <v>858</v>
      </c>
      <c r="C279" s="2" t="s">
        <v>248</v>
      </c>
      <c r="D279" s="24">
        <v>1</v>
      </c>
      <c r="E279" s="24">
        <v>0</v>
      </c>
      <c r="F279" s="24">
        <v>8</v>
      </c>
      <c r="G279" s="11">
        <v>0</v>
      </c>
      <c r="H279" s="24">
        <v>0</v>
      </c>
      <c r="I279" s="24">
        <v>-7</v>
      </c>
      <c r="J279" s="4">
        <v>93.6</v>
      </c>
      <c r="K279" s="4">
        <v>0</v>
      </c>
      <c r="L279" s="19">
        <f t="shared" si="4"/>
        <v>-7</v>
      </c>
    </row>
    <row r="280" spans="1:12" hidden="1" x14ac:dyDescent="0.25">
      <c r="A280" s="2" t="s">
        <v>24</v>
      </c>
      <c r="B280" s="2" t="s">
        <v>25</v>
      </c>
      <c r="C280" s="2" t="s">
        <v>629</v>
      </c>
      <c r="D280" s="24">
        <v>23</v>
      </c>
      <c r="E280" s="24">
        <v>0</v>
      </c>
      <c r="F280" s="24">
        <v>30</v>
      </c>
      <c r="G280" s="11">
        <v>20</v>
      </c>
      <c r="H280" s="24">
        <v>0</v>
      </c>
      <c r="I280" s="24">
        <v>-7</v>
      </c>
      <c r="J280" s="4">
        <v>62.5</v>
      </c>
      <c r="K280" s="4">
        <v>0</v>
      </c>
      <c r="L280" s="19">
        <f t="shared" si="4"/>
        <v>-27</v>
      </c>
    </row>
    <row r="281" spans="1:12" hidden="1" x14ac:dyDescent="0.25">
      <c r="A281" s="2" t="s">
        <v>574</v>
      </c>
      <c r="B281" s="2" t="s">
        <v>575</v>
      </c>
      <c r="C281" s="2" t="s">
        <v>242</v>
      </c>
      <c r="D281" s="24">
        <v>16.399999999999999</v>
      </c>
      <c r="E281" s="24">
        <v>0</v>
      </c>
      <c r="F281" s="24">
        <v>24</v>
      </c>
      <c r="G281" s="11">
        <v>-3.5527136788005009E-14</v>
      </c>
      <c r="H281" s="24">
        <v>0</v>
      </c>
      <c r="I281" s="24">
        <v>-7.599999999999997</v>
      </c>
      <c r="J281" s="4">
        <v>120</v>
      </c>
      <c r="K281" s="4">
        <v>0</v>
      </c>
      <c r="L281" s="19">
        <f t="shared" si="4"/>
        <v>-7.5999999999999659</v>
      </c>
    </row>
    <row r="282" spans="1:12" hidden="1" x14ac:dyDescent="0.25">
      <c r="A282" s="2" t="s">
        <v>566</v>
      </c>
      <c r="B282" s="2" t="s">
        <v>567</v>
      </c>
      <c r="C282" s="2" t="s">
        <v>1224</v>
      </c>
      <c r="D282" s="24">
        <v>18</v>
      </c>
      <c r="E282" s="24">
        <v>0</v>
      </c>
      <c r="F282" s="24">
        <v>26</v>
      </c>
      <c r="G282" s="11">
        <v>46</v>
      </c>
      <c r="H282" s="24">
        <v>0</v>
      </c>
      <c r="I282" s="24">
        <v>-8</v>
      </c>
      <c r="J282" s="4">
        <v>12</v>
      </c>
      <c r="K282" s="4">
        <v>0</v>
      </c>
      <c r="L282" s="19">
        <f t="shared" si="4"/>
        <v>-54</v>
      </c>
    </row>
    <row r="283" spans="1:12" hidden="1" x14ac:dyDescent="0.25">
      <c r="A283" s="2" t="s">
        <v>602</v>
      </c>
      <c r="B283" s="2" t="s">
        <v>603</v>
      </c>
      <c r="C283" s="2" t="s">
        <v>637</v>
      </c>
      <c r="D283" s="24">
        <v>24</v>
      </c>
      <c r="E283" s="24">
        <v>4</v>
      </c>
      <c r="F283" s="24">
        <v>28</v>
      </c>
      <c r="G283" s="11">
        <v>6</v>
      </c>
      <c r="H283" s="24">
        <v>0</v>
      </c>
      <c r="I283" s="24">
        <v>-8</v>
      </c>
      <c r="J283" s="4">
        <v>50.409999999999989</v>
      </c>
      <c r="K283" s="4">
        <v>0</v>
      </c>
      <c r="L283" s="19">
        <f t="shared" si="4"/>
        <v>-14</v>
      </c>
    </row>
    <row r="284" spans="1:12" hidden="1" x14ac:dyDescent="0.25">
      <c r="A284" s="2" t="s">
        <v>1015</v>
      </c>
      <c r="B284" s="2" t="s">
        <v>1016</v>
      </c>
      <c r="C284" s="2" t="s">
        <v>1224</v>
      </c>
      <c r="D284" s="24">
        <v>2</v>
      </c>
      <c r="E284" s="24">
        <v>2</v>
      </c>
      <c r="F284" s="24">
        <v>8</v>
      </c>
      <c r="G284" s="11">
        <v>4</v>
      </c>
      <c r="H284" s="24">
        <v>0</v>
      </c>
      <c r="I284" s="24">
        <v>-8</v>
      </c>
      <c r="J284" s="4">
        <v>250</v>
      </c>
      <c r="K284" s="4">
        <v>0</v>
      </c>
      <c r="L284" s="19">
        <f t="shared" si="4"/>
        <v>-12</v>
      </c>
    </row>
    <row r="285" spans="1:12" hidden="1" x14ac:dyDescent="0.25">
      <c r="A285" s="2" t="s">
        <v>472</v>
      </c>
      <c r="B285" s="2" t="s">
        <v>473</v>
      </c>
      <c r="C285" s="2" t="s">
        <v>242</v>
      </c>
      <c r="D285" s="24">
        <v>196</v>
      </c>
      <c r="E285" s="24">
        <v>4</v>
      </c>
      <c r="F285" s="24">
        <v>200</v>
      </c>
      <c r="G285" s="11">
        <v>343</v>
      </c>
      <c r="H285" s="24">
        <v>0</v>
      </c>
      <c r="I285" s="24">
        <v>-8</v>
      </c>
      <c r="J285" s="4">
        <v>9</v>
      </c>
      <c r="K285" s="4">
        <v>0</v>
      </c>
      <c r="L285" s="19">
        <f t="shared" si="4"/>
        <v>-351</v>
      </c>
    </row>
    <row r="286" spans="1:12" hidden="1" x14ac:dyDescent="0.25">
      <c r="A286" s="2" t="s">
        <v>434</v>
      </c>
      <c r="B286" s="2" t="s">
        <v>435</v>
      </c>
      <c r="C286" s="2" t="s">
        <v>637</v>
      </c>
      <c r="D286" s="24">
        <v>8</v>
      </c>
      <c r="E286" s="24">
        <v>2</v>
      </c>
      <c r="F286" s="24">
        <v>14</v>
      </c>
      <c r="G286" s="11">
        <v>3</v>
      </c>
      <c r="H286" s="24">
        <v>0</v>
      </c>
      <c r="I286" s="24">
        <v>-8</v>
      </c>
      <c r="J286" s="4">
        <v>1678.8800000000006</v>
      </c>
      <c r="K286" s="4">
        <v>0</v>
      </c>
      <c r="L286" s="19">
        <f t="shared" si="4"/>
        <v>-11</v>
      </c>
    </row>
    <row r="287" spans="1:12" hidden="1" x14ac:dyDescent="0.25">
      <c r="A287" s="2" t="s">
        <v>685</v>
      </c>
      <c r="B287" s="2" t="s">
        <v>686</v>
      </c>
      <c r="C287" s="2" t="s">
        <v>585</v>
      </c>
      <c r="D287" s="24">
        <v>15</v>
      </c>
      <c r="E287" s="24">
        <v>0</v>
      </c>
      <c r="F287" s="24">
        <v>23</v>
      </c>
      <c r="G287" s="11">
        <v>17</v>
      </c>
      <c r="H287" s="24">
        <v>0</v>
      </c>
      <c r="I287" s="24">
        <v>-8</v>
      </c>
      <c r="J287" s="4">
        <v>750</v>
      </c>
      <c r="K287" s="4">
        <v>0</v>
      </c>
      <c r="L287" s="19">
        <f t="shared" si="4"/>
        <v>-25</v>
      </c>
    </row>
    <row r="288" spans="1:12" hidden="1" x14ac:dyDescent="0.25">
      <c r="A288" s="2" t="s">
        <v>21</v>
      </c>
      <c r="B288" s="2" t="s">
        <v>22</v>
      </c>
      <c r="C288" s="2" t="s">
        <v>827</v>
      </c>
      <c r="D288" s="24">
        <v>92</v>
      </c>
      <c r="E288" s="24">
        <v>0</v>
      </c>
      <c r="F288" s="24">
        <v>100</v>
      </c>
      <c r="G288" s="11">
        <v>105.5</v>
      </c>
      <c r="H288" s="24">
        <v>0</v>
      </c>
      <c r="I288" s="24">
        <v>-8</v>
      </c>
      <c r="J288" s="4">
        <v>131.25</v>
      </c>
      <c r="K288" s="4">
        <v>0</v>
      </c>
      <c r="L288" s="19">
        <f t="shared" si="4"/>
        <v>-113.5</v>
      </c>
    </row>
    <row r="289" spans="1:12" hidden="1" x14ac:dyDescent="0.25">
      <c r="A289" s="2" t="s">
        <v>375</v>
      </c>
      <c r="B289" s="2" t="s">
        <v>376</v>
      </c>
      <c r="C289" s="2" t="s">
        <v>242</v>
      </c>
      <c r="D289" s="24">
        <v>34</v>
      </c>
      <c r="E289" s="24">
        <v>0</v>
      </c>
      <c r="F289" s="24">
        <v>42</v>
      </c>
      <c r="G289" s="11">
        <v>34</v>
      </c>
      <c r="H289" s="24">
        <v>0</v>
      </c>
      <c r="I289" s="24">
        <v>-8</v>
      </c>
      <c r="J289" s="4">
        <v>65</v>
      </c>
      <c r="K289" s="4">
        <v>0</v>
      </c>
      <c r="L289" s="19">
        <f t="shared" si="4"/>
        <v>-42</v>
      </c>
    </row>
    <row r="290" spans="1:12" hidden="1" x14ac:dyDescent="0.25">
      <c r="A290" s="2" t="s">
        <v>93</v>
      </c>
      <c r="B290" s="2" t="s">
        <v>94</v>
      </c>
      <c r="C290" s="2" t="s">
        <v>242</v>
      </c>
      <c r="D290" s="24">
        <v>97</v>
      </c>
      <c r="E290" s="24">
        <v>0</v>
      </c>
      <c r="F290" s="24">
        <v>105</v>
      </c>
      <c r="G290" s="11">
        <v>56</v>
      </c>
      <c r="H290" s="24">
        <v>0</v>
      </c>
      <c r="I290" s="24">
        <v>-8</v>
      </c>
      <c r="J290" s="4">
        <v>72.599999999999994</v>
      </c>
      <c r="K290" s="4">
        <v>0</v>
      </c>
      <c r="L290" s="19">
        <f t="shared" si="4"/>
        <v>-64</v>
      </c>
    </row>
    <row r="291" spans="1:12" hidden="1" x14ac:dyDescent="0.25">
      <c r="A291" s="2" t="s">
        <v>138</v>
      </c>
      <c r="B291" s="2" t="s">
        <v>139</v>
      </c>
      <c r="C291" s="2" t="s">
        <v>228</v>
      </c>
      <c r="D291" s="24">
        <v>41</v>
      </c>
      <c r="E291" s="24">
        <v>17</v>
      </c>
      <c r="F291" s="24">
        <v>23</v>
      </c>
      <c r="G291" s="11">
        <v>22</v>
      </c>
      <c r="H291" s="24">
        <v>10</v>
      </c>
      <c r="I291" s="24">
        <v>-9</v>
      </c>
      <c r="J291" s="4">
        <v>71.77</v>
      </c>
      <c r="K291" s="4">
        <v>0</v>
      </c>
      <c r="L291" s="19">
        <f t="shared" si="4"/>
        <v>-31</v>
      </c>
    </row>
    <row r="292" spans="1:12" hidden="1" x14ac:dyDescent="0.25">
      <c r="A292" s="2" t="s">
        <v>803</v>
      </c>
      <c r="B292" s="2" t="s">
        <v>823</v>
      </c>
      <c r="C292" s="2" t="s">
        <v>218</v>
      </c>
      <c r="D292" s="24">
        <v>19</v>
      </c>
      <c r="E292" s="24">
        <v>8</v>
      </c>
      <c r="F292" s="24">
        <v>20.5</v>
      </c>
      <c r="G292" s="11">
        <v>5</v>
      </c>
      <c r="H292" s="24">
        <v>0</v>
      </c>
      <c r="I292" s="24">
        <v>-9.5</v>
      </c>
      <c r="J292" s="4">
        <v>175</v>
      </c>
      <c r="K292" s="4">
        <v>0</v>
      </c>
      <c r="L292" s="19">
        <f t="shared" si="4"/>
        <v>-14.5</v>
      </c>
    </row>
    <row r="293" spans="1:12" hidden="1" x14ac:dyDescent="0.25">
      <c r="A293" s="2" t="s">
        <v>996</v>
      </c>
      <c r="B293" s="2" t="s">
        <v>997</v>
      </c>
      <c r="C293" s="2" t="s">
        <v>253</v>
      </c>
      <c r="D293" s="24">
        <v>2</v>
      </c>
      <c r="E293" s="24">
        <v>2</v>
      </c>
      <c r="F293" s="24">
        <v>10</v>
      </c>
      <c r="G293" s="11">
        <v>2</v>
      </c>
      <c r="H293" s="24">
        <v>0</v>
      </c>
      <c r="I293" s="24">
        <v>-10</v>
      </c>
      <c r="J293" s="4">
        <v>3400</v>
      </c>
      <c r="K293" s="4">
        <v>0</v>
      </c>
      <c r="L293" s="19">
        <f t="shared" si="4"/>
        <v>-12</v>
      </c>
    </row>
    <row r="294" spans="1:12" hidden="1" x14ac:dyDescent="0.25">
      <c r="A294" s="2" t="s">
        <v>245</v>
      </c>
      <c r="B294" s="2" t="s">
        <v>246</v>
      </c>
      <c r="C294" s="2" t="s">
        <v>629</v>
      </c>
      <c r="D294" s="24">
        <v>17</v>
      </c>
      <c r="E294" s="24">
        <v>7</v>
      </c>
      <c r="F294" s="24">
        <v>20</v>
      </c>
      <c r="G294" s="11">
        <v>7</v>
      </c>
      <c r="H294" s="24">
        <v>0</v>
      </c>
      <c r="I294" s="24">
        <v>-10</v>
      </c>
      <c r="J294" s="4">
        <v>60</v>
      </c>
      <c r="K294" s="4">
        <v>0</v>
      </c>
      <c r="L294" s="19">
        <f t="shared" si="4"/>
        <v>-17</v>
      </c>
    </row>
    <row r="295" spans="1:12" hidden="1" x14ac:dyDescent="0.25">
      <c r="A295" s="2" t="s">
        <v>906</v>
      </c>
      <c r="B295" s="2" t="s">
        <v>907</v>
      </c>
      <c r="C295" s="2" t="s">
        <v>908</v>
      </c>
      <c r="D295" s="24">
        <v>6</v>
      </c>
      <c r="E295" s="24">
        <v>3</v>
      </c>
      <c r="F295" s="24">
        <v>13</v>
      </c>
      <c r="G295" s="11">
        <v>6</v>
      </c>
      <c r="H295" s="24">
        <v>0</v>
      </c>
      <c r="I295" s="24">
        <v>-10</v>
      </c>
      <c r="J295" s="4">
        <v>344.13999999999993</v>
      </c>
      <c r="K295" s="4">
        <v>0</v>
      </c>
      <c r="L295" s="19">
        <f t="shared" si="4"/>
        <v>-16</v>
      </c>
    </row>
    <row r="296" spans="1:12" hidden="1" x14ac:dyDescent="0.25">
      <c r="A296" s="2" t="s">
        <v>268</v>
      </c>
      <c r="B296" s="2" t="s">
        <v>269</v>
      </c>
      <c r="C296" s="2" t="s">
        <v>1224</v>
      </c>
      <c r="D296" s="24">
        <v>20</v>
      </c>
      <c r="E296" s="24">
        <v>0</v>
      </c>
      <c r="F296" s="24">
        <v>30</v>
      </c>
      <c r="G296" s="11">
        <v>0</v>
      </c>
      <c r="H296" s="24">
        <v>0</v>
      </c>
      <c r="I296" s="24">
        <v>-10</v>
      </c>
      <c r="J296" s="4">
        <v>60</v>
      </c>
      <c r="K296" s="4">
        <v>0</v>
      </c>
      <c r="L296" s="19">
        <f t="shared" si="4"/>
        <v>-10</v>
      </c>
    </row>
    <row r="297" spans="1:12" hidden="1" x14ac:dyDescent="0.25">
      <c r="A297" s="2" t="s">
        <v>578</v>
      </c>
      <c r="B297" s="2" t="s">
        <v>579</v>
      </c>
      <c r="C297" s="2" t="s">
        <v>491</v>
      </c>
      <c r="D297" s="24">
        <v>1.9999999999999998</v>
      </c>
      <c r="E297" s="24">
        <v>0.2</v>
      </c>
      <c r="F297" s="24">
        <v>12</v>
      </c>
      <c r="G297" s="11">
        <v>1.2000000000000011</v>
      </c>
      <c r="H297" s="24">
        <v>0</v>
      </c>
      <c r="I297" s="24">
        <v>-10.200000000000001</v>
      </c>
      <c r="J297" s="4">
        <v>221.8</v>
      </c>
      <c r="K297" s="4">
        <v>0</v>
      </c>
      <c r="L297" s="19">
        <f t="shared" si="4"/>
        <v>-11.4</v>
      </c>
    </row>
    <row r="298" spans="1:12" hidden="1" x14ac:dyDescent="0.25">
      <c r="A298" s="2" t="s">
        <v>527</v>
      </c>
      <c r="B298" s="2" t="s">
        <v>528</v>
      </c>
      <c r="C298" s="2" t="s">
        <v>256</v>
      </c>
      <c r="D298" s="24">
        <v>9.6</v>
      </c>
      <c r="E298" s="24">
        <v>0</v>
      </c>
      <c r="F298" s="24">
        <v>20</v>
      </c>
      <c r="G298" s="11">
        <v>2.6645352591003757E-15</v>
      </c>
      <c r="H298" s="24">
        <v>0</v>
      </c>
      <c r="I298" s="24">
        <v>-10.400000000000002</v>
      </c>
      <c r="J298" s="4">
        <v>38.329999999999991</v>
      </c>
      <c r="K298" s="4">
        <v>0</v>
      </c>
      <c r="L298" s="19">
        <f t="shared" si="4"/>
        <v>-10.400000000000002</v>
      </c>
    </row>
    <row r="299" spans="1:12" hidden="1" x14ac:dyDescent="0.25">
      <c r="A299" s="2" t="s">
        <v>442</v>
      </c>
      <c r="B299" s="2" t="s">
        <v>443</v>
      </c>
      <c r="C299" s="2" t="s">
        <v>637</v>
      </c>
      <c r="D299" s="24">
        <v>16</v>
      </c>
      <c r="E299" s="24">
        <v>2</v>
      </c>
      <c r="F299" s="24">
        <v>25</v>
      </c>
      <c r="G299" s="11">
        <v>3</v>
      </c>
      <c r="H299" s="24">
        <v>0</v>
      </c>
      <c r="I299" s="24">
        <v>-11</v>
      </c>
      <c r="J299" s="4">
        <v>360.05000000000013</v>
      </c>
      <c r="K299" s="4">
        <v>0</v>
      </c>
      <c r="L299" s="19">
        <f t="shared" si="4"/>
        <v>-14</v>
      </c>
    </row>
    <row r="300" spans="1:12" hidden="1" x14ac:dyDescent="0.25">
      <c r="A300" s="2" t="s">
        <v>9</v>
      </c>
      <c r="B300" s="2" t="s">
        <v>10</v>
      </c>
      <c r="C300" s="2" t="s">
        <v>228</v>
      </c>
      <c r="D300" s="24">
        <v>56</v>
      </c>
      <c r="E300" s="24">
        <v>28</v>
      </c>
      <c r="F300" s="24">
        <v>19</v>
      </c>
      <c r="G300" s="11">
        <v>32</v>
      </c>
      <c r="H300" s="24">
        <v>20</v>
      </c>
      <c r="I300" s="24">
        <v>-11</v>
      </c>
      <c r="J300" s="4">
        <v>72.819999999999965</v>
      </c>
      <c r="K300" s="4">
        <v>0</v>
      </c>
      <c r="L300" s="19">
        <f t="shared" si="4"/>
        <v>-43</v>
      </c>
    </row>
    <row r="301" spans="1:12" hidden="1" x14ac:dyDescent="0.25">
      <c r="A301" s="2" t="s">
        <v>330</v>
      </c>
      <c r="B301" s="2" t="s">
        <v>331</v>
      </c>
      <c r="C301" s="2" t="s">
        <v>242</v>
      </c>
      <c r="D301" s="24">
        <v>107</v>
      </c>
      <c r="E301" s="24">
        <v>0</v>
      </c>
      <c r="F301" s="24">
        <v>118</v>
      </c>
      <c r="G301" s="11">
        <v>18</v>
      </c>
      <c r="H301" s="24">
        <v>0</v>
      </c>
      <c r="I301" s="24">
        <v>-11</v>
      </c>
      <c r="J301" s="4">
        <v>14.5</v>
      </c>
      <c r="K301" s="4">
        <v>0</v>
      </c>
      <c r="L301" s="19">
        <f t="shared" si="4"/>
        <v>-29</v>
      </c>
    </row>
    <row r="302" spans="1:12" s="17" customFormat="1" hidden="1" x14ac:dyDescent="0.25">
      <c r="A302" s="2" t="s">
        <v>559</v>
      </c>
      <c r="B302" s="2" t="s">
        <v>560</v>
      </c>
      <c r="C302" s="2" t="s">
        <v>242</v>
      </c>
      <c r="D302" s="24">
        <v>59.52</v>
      </c>
      <c r="E302" s="24">
        <v>24.639999999999997</v>
      </c>
      <c r="F302" s="24">
        <v>46</v>
      </c>
      <c r="G302" s="11">
        <v>85.879999999999939</v>
      </c>
      <c r="H302" s="24">
        <v>0</v>
      </c>
      <c r="I302" s="24">
        <v>-11.120000000000001</v>
      </c>
      <c r="J302" s="4">
        <v>55</v>
      </c>
      <c r="K302" s="4">
        <v>0</v>
      </c>
      <c r="L302" s="19">
        <f t="shared" si="4"/>
        <v>-96.999999999999929</v>
      </c>
    </row>
    <row r="303" spans="1:12" hidden="1" x14ac:dyDescent="0.25">
      <c r="A303" s="2" t="s">
        <v>207</v>
      </c>
      <c r="B303" s="2" t="s">
        <v>282</v>
      </c>
      <c r="C303" s="2" t="s">
        <v>242</v>
      </c>
      <c r="D303" s="24">
        <v>15.576000000000001</v>
      </c>
      <c r="E303" s="24">
        <v>6.7360000000000007</v>
      </c>
      <c r="F303" s="24">
        <v>20</v>
      </c>
      <c r="G303" s="11">
        <v>116.66400000000019</v>
      </c>
      <c r="H303" s="24">
        <v>0</v>
      </c>
      <c r="I303" s="24">
        <v>-11.159999999999998</v>
      </c>
      <c r="J303" s="4">
        <v>185</v>
      </c>
      <c r="K303" s="4">
        <v>0</v>
      </c>
      <c r="L303" s="19">
        <f t="shared" si="4"/>
        <v>-127.82400000000018</v>
      </c>
    </row>
    <row r="304" spans="1:12" hidden="1" x14ac:dyDescent="0.25">
      <c r="A304" s="2" t="s">
        <v>1033</v>
      </c>
      <c r="B304" s="2" t="s">
        <v>1034</v>
      </c>
      <c r="C304" s="2" t="s">
        <v>822</v>
      </c>
      <c r="D304" s="24">
        <v>11</v>
      </c>
      <c r="E304" s="24">
        <v>4</v>
      </c>
      <c r="F304" s="24">
        <v>19</v>
      </c>
      <c r="G304" s="11">
        <v>4</v>
      </c>
      <c r="H304" s="24">
        <v>0</v>
      </c>
      <c r="I304" s="24">
        <v>-12</v>
      </c>
      <c r="J304" s="4">
        <v>85</v>
      </c>
      <c r="K304" s="4">
        <v>0</v>
      </c>
      <c r="L304" s="19">
        <f t="shared" si="4"/>
        <v>-16</v>
      </c>
    </row>
    <row r="305" spans="1:12" hidden="1" x14ac:dyDescent="0.25">
      <c r="A305" s="2" t="s">
        <v>880</v>
      </c>
      <c r="B305" s="2" t="s">
        <v>881</v>
      </c>
      <c r="C305" s="2" t="s">
        <v>882</v>
      </c>
      <c r="D305" s="24">
        <v>20</v>
      </c>
      <c r="E305" s="24">
        <v>7</v>
      </c>
      <c r="F305" s="24">
        <v>10</v>
      </c>
      <c r="G305" s="11">
        <v>7</v>
      </c>
      <c r="H305" s="24">
        <v>15</v>
      </c>
      <c r="I305" s="24">
        <v>-12</v>
      </c>
      <c r="J305" s="4">
        <v>776.14999999999975</v>
      </c>
      <c r="K305" s="4">
        <v>0</v>
      </c>
      <c r="L305" s="19">
        <f t="shared" si="4"/>
        <v>-19</v>
      </c>
    </row>
    <row r="306" spans="1:12" hidden="1" x14ac:dyDescent="0.25">
      <c r="A306" s="2" t="s">
        <v>438</v>
      </c>
      <c r="B306" s="2" t="s">
        <v>439</v>
      </c>
      <c r="C306" s="2" t="s">
        <v>637</v>
      </c>
      <c r="D306" s="24">
        <v>16</v>
      </c>
      <c r="E306" s="24">
        <v>2</v>
      </c>
      <c r="F306" s="24">
        <v>26</v>
      </c>
      <c r="G306" s="11">
        <v>3</v>
      </c>
      <c r="H306" s="24">
        <v>0</v>
      </c>
      <c r="I306" s="24">
        <v>-12</v>
      </c>
      <c r="J306" s="4">
        <v>360.05000000000013</v>
      </c>
      <c r="K306" s="4">
        <v>0</v>
      </c>
      <c r="L306" s="19">
        <f t="shared" si="4"/>
        <v>-15</v>
      </c>
    </row>
    <row r="307" spans="1:12" hidden="1" x14ac:dyDescent="0.25">
      <c r="A307" s="2" t="s">
        <v>690</v>
      </c>
      <c r="B307" s="2" t="s">
        <v>691</v>
      </c>
      <c r="C307" s="2" t="s">
        <v>692</v>
      </c>
      <c r="D307" s="24">
        <v>16</v>
      </c>
      <c r="E307" s="24">
        <v>3</v>
      </c>
      <c r="F307" s="24">
        <v>25</v>
      </c>
      <c r="G307" s="11">
        <v>3</v>
      </c>
      <c r="H307" s="24">
        <v>0</v>
      </c>
      <c r="I307" s="24">
        <v>-12</v>
      </c>
      <c r="J307" s="4">
        <v>871.93000000000018</v>
      </c>
      <c r="K307" s="4">
        <v>0</v>
      </c>
      <c r="L307" s="19">
        <f t="shared" si="4"/>
        <v>-15</v>
      </c>
    </row>
    <row r="308" spans="1:12" hidden="1" x14ac:dyDescent="0.25">
      <c r="A308" s="2" t="s">
        <v>407</v>
      </c>
      <c r="B308" s="2" t="s">
        <v>408</v>
      </c>
      <c r="C308" s="2" t="s">
        <v>827</v>
      </c>
      <c r="D308" s="24">
        <v>26</v>
      </c>
      <c r="E308" s="24">
        <v>3</v>
      </c>
      <c r="F308" s="24">
        <v>35</v>
      </c>
      <c r="G308" s="11">
        <v>61</v>
      </c>
      <c r="H308" s="24">
        <v>0</v>
      </c>
      <c r="I308" s="24">
        <v>-12</v>
      </c>
      <c r="J308" s="4">
        <v>19.069999999999997</v>
      </c>
      <c r="K308" s="4">
        <v>0</v>
      </c>
      <c r="L308" s="19">
        <f t="shared" si="4"/>
        <v>-73</v>
      </c>
    </row>
    <row r="309" spans="1:12" hidden="1" x14ac:dyDescent="0.25">
      <c r="A309" s="2" t="s">
        <v>1005</v>
      </c>
      <c r="B309" s="2" t="s">
        <v>1006</v>
      </c>
      <c r="C309" s="2" t="s">
        <v>1007</v>
      </c>
      <c r="D309" s="24">
        <v>2</v>
      </c>
      <c r="E309" s="24">
        <v>2</v>
      </c>
      <c r="F309" s="24">
        <v>12</v>
      </c>
      <c r="G309" s="11">
        <v>4</v>
      </c>
      <c r="H309" s="24">
        <v>0</v>
      </c>
      <c r="I309" s="24">
        <v>-12</v>
      </c>
      <c r="J309" s="4">
        <v>57.06</v>
      </c>
      <c r="K309" s="4">
        <v>0</v>
      </c>
      <c r="L309" s="19">
        <f t="shared" si="4"/>
        <v>-16</v>
      </c>
    </row>
    <row r="310" spans="1:12" hidden="1" x14ac:dyDescent="0.25">
      <c r="A310" s="2" t="s">
        <v>387</v>
      </c>
      <c r="B310" s="2" t="s">
        <v>614</v>
      </c>
      <c r="C310" s="2" t="s">
        <v>224</v>
      </c>
      <c r="D310" s="24">
        <v>16</v>
      </c>
      <c r="E310" s="24">
        <v>1</v>
      </c>
      <c r="F310" s="24">
        <v>15.900000000000004</v>
      </c>
      <c r="G310" s="11">
        <v>39.32999999999997</v>
      </c>
      <c r="H310" s="24">
        <v>11.895000000000001</v>
      </c>
      <c r="I310" s="24">
        <v>-12.795000000000012</v>
      </c>
      <c r="J310" s="4">
        <v>641.03</v>
      </c>
      <c r="K310" s="4">
        <v>0</v>
      </c>
      <c r="L310" s="19">
        <f t="shared" si="4"/>
        <v>-52.124999999999979</v>
      </c>
    </row>
    <row r="311" spans="1:12" hidden="1" x14ac:dyDescent="0.25">
      <c r="A311" s="2" t="s">
        <v>444</v>
      </c>
      <c r="B311" s="2" t="s">
        <v>445</v>
      </c>
      <c r="C311" s="2" t="s">
        <v>637</v>
      </c>
      <c r="D311" s="24">
        <v>16</v>
      </c>
      <c r="E311" s="24">
        <v>2</v>
      </c>
      <c r="F311" s="24">
        <v>27</v>
      </c>
      <c r="G311" s="11">
        <v>3</v>
      </c>
      <c r="H311" s="24">
        <v>0</v>
      </c>
      <c r="I311" s="24">
        <v>-13</v>
      </c>
      <c r="J311" s="4">
        <v>372.90999999999991</v>
      </c>
      <c r="K311" s="4">
        <v>0</v>
      </c>
      <c r="L311" s="19">
        <f t="shared" si="4"/>
        <v>-16</v>
      </c>
    </row>
    <row r="312" spans="1:12" hidden="1" x14ac:dyDescent="0.25">
      <c r="A312" s="2" t="s">
        <v>598</v>
      </c>
      <c r="B312" s="2" t="s">
        <v>599</v>
      </c>
      <c r="C312" s="2" t="s">
        <v>637</v>
      </c>
      <c r="D312" s="24">
        <v>24</v>
      </c>
      <c r="E312" s="24">
        <v>4</v>
      </c>
      <c r="F312" s="24">
        <v>33</v>
      </c>
      <c r="G312" s="11">
        <v>5</v>
      </c>
      <c r="H312" s="24">
        <v>0</v>
      </c>
      <c r="I312" s="24">
        <v>-13</v>
      </c>
      <c r="J312" s="4">
        <v>354.90999999999991</v>
      </c>
      <c r="K312" s="4">
        <v>0</v>
      </c>
      <c r="L312" s="19">
        <f t="shared" si="4"/>
        <v>-18</v>
      </c>
    </row>
    <row r="313" spans="1:12" hidden="1" x14ac:dyDescent="0.25">
      <c r="A313" s="2" t="s">
        <v>849</v>
      </c>
      <c r="B313" s="2" t="s">
        <v>850</v>
      </c>
      <c r="C313" s="2" t="s">
        <v>1135</v>
      </c>
      <c r="D313" s="24">
        <v>9</v>
      </c>
      <c r="E313" s="24">
        <v>0</v>
      </c>
      <c r="F313" s="24">
        <v>22</v>
      </c>
      <c r="G313" s="11">
        <v>18</v>
      </c>
      <c r="H313" s="24">
        <v>0</v>
      </c>
      <c r="I313" s="24">
        <v>-13</v>
      </c>
      <c r="J313" s="4">
        <v>19.600000000000001</v>
      </c>
      <c r="K313" s="4">
        <v>0</v>
      </c>
      <c r="L313" s="19">
        <f t="shared" si="4"/>
        <v>-31</v>
      </c>
    </row>
    <row r="314" spans="1:12" hidden="1" x14ac:dyDescent="0.25">
      <c r="A314" s="2" t="s">
        <v>1083</v>
      </c>
      <c r="B314" s="2" t="s">
        <v>1084</v>
      </c>
      <c r="C314" s="2" t="s">
        <v>218</v>
      </c>
      <c r="D314" s="24">
        <v>34</v>
      </c>
      <c r="E314" s="24">
        <v>12</v>
      </c>
      <c r="F314" s="24">
        <v>16</v>
      </c>
      <c r="G314" s="11">
        <v>14</v>
      </c>
      <c r="H314" s="24">
        <v>20</v>
      </c>
      <c r="I314" s="24">
        <v>-14</v>
      </c>
      <c r="J314" s="4">
        <v>194</v>
      </c>
      <c r="K314" s="4">
        <v>0</v>
      </c>
      <c r="L314" s="19">
        <f t="shared" si="4"/>
        <v>-28</v>
      </c>
    </row>
    <row r="315" spans="1:12" hidden="1" x14ac:dyDescent="0.25">
      <c r="A315" s="2" t="s">
        <v>594</v>
      </c>
      <c r="B315" s="2" t="s">
        <v>595</v>
      </c>
      <c r="C315" s="2" t="s">
        <v>1032</v>
      </c>
      <c r="D315" s="24">
        <v>44</v>
      </c>
      <c r="E315" s="24">
        <v>12</v>
      </c>
      <c r="F315" s="24">
        <v>46</v>
      </c>
      <c r="G315" s="11">
        <v>12</v>
      </c>
      <c r="H315" s="24">
        <v>0</v>
      </c>
      <c r="I315" s="24">
        <v>-14</v>
      </c>
      <c r="J315" s="4">
        <v>100</v>
      </c>
      <c r="K315" s="4">
        <v>0</v>
      </c>
      <c r="L315" s="19">
        <f t="shared" si="4"/>
        <v>-26</v>
      </c>
    </row>
    <row r="316" spans="1:12" hidden="1" x14ac:dyDescent="0.25">
      <c r="A316" s="2" t="s">
        <v>257</v>
      </c>
      <c r="B316" s="2" t="s">
        <v>310</v>
      </c>
      <c r="C316" s="2" t="s">
        <v>827</v>
      </c>
      <c r="D316" s="24">
        <v>38</v>
      </c>
      <c r="E316" s="24">
        <v>12</v>
      </c>
      <c r="F316" s="24">
        <v>40</v>
      </c>
      <c r="G316" s="11">
        <v>18</v>
      </c>
      <c r="H316" s="24">
        <v>0</v>
      </c>
      <c r="I316" s="24">
        <v>-14</v>
      </c>
      <c r="J316" s="4">
        <v>55</v>
      </c>
      <c r="K316" s="4">
        <v>0</v>
      </c>
      <c r="L316" s="19">
        <f t="shared" si="4"/>
        <v>-32</v>
      </c>
    </row>
    <row r="317" spans="1:12" hidden="1" x14ac:dyDescent="0.25">
      <c r="A317" s="2" t="s">
        <v>239</v>
      </c>
      <c r="B317" s="2" t="s">
        <v>307</v>
      </c>
      <c r="C317" s="2" t="s">
        <v>827</v>
      </c>
      <c r="D317" s="24">
        <v>38</v>
      </c>
      <c r="E317" s="24">
        <v>12</v>
      </c>
      <c r="F317" s="24">
        <v>40</v>
      </c>
      <c r="G317" s="11">
        <v>18</v>
      </c>
      <c r="H317" s="24">
        <v>0</v>
      </c>
      <c r="I317" s="24">
        <v>-14</v>
      </c>
      <c r="J317" s="4">
        <v>45.299999999999983</v>
      </c>
      <c r="K317" s="4">
        <v>0</v>
      </c>
      <c r="L317" s="19">
        <f t="shared" si="4"/>
        <v>-32</v>
      </c>
    </row>
    <row r="318" spans="1:12" hidden="1" x14ac:dyDescent="0.25">
      <c r="A318" s="2" t="s">
        <v>1182</v>
      </c>
      <c r="B318" s="2" t="s">
        <v>1183</v>
      </c>
      <c r="C318" s="2" t="s">
        <v>1184</v>
      </c>
      <c r="D318" s="24">
        <v>1</v>
      </c>
      <c r="E318" s="24">
        <v>1</v>
      </c>
      <c r="F318" s="24">
        <v>14</v>
      </c>
      <c r="G318" s="11">
        <v>1</v>
      </c>
      <c r="H318" s="24">
        <v>0</v>
      </c>
      <c r="I318" s="24">
        <v>-14</v>
      </c>
      <c r="J318" s="4">
        <v>762.72</v>
      </c>
      <c r="K318" s="4">
        <v>0</v>
      </c>
      <c r="L318" s="19">
        <f t="shared" si="4"/>
        <v>-15</v>
      </c>
    </row>
    <row r="319" spans="1:12" hidden="1" x14ac:dyDescent="0.25">
      <c r="A319" s="2" t="s">
        <v>773</v>
      </c>
      <c r="B319" s="2" t="s">
        <v>774</v>
      </c>
      <c r="C319" s="2" t="s">
        <v>249</v>
      </c>
      <c r="D319" s="24">
        <v>70</v>
      </c>
      <c r="E319" s="24">
        <v>20</v>
      </c>
      <c r="F319" s="24">
        <v>64.5</v>
      </c>
      <c r="G319" s="11">
        <v>20</v>
      </c>
      <c r="H319" s="24">
        <v>0</v>
      </c>
      <c r="I319" s="24">
        <v>-14.5</v>
      </c>
      <c r="J319" s="4">
        <v>200</v>
      </c>
      <c r="K319" s="4">
        <v>0</v>
      </c>
      <c r="L319" s="19">
        <f t="shared" si="4"/>
        <v>-34.5</v>
      </c>
    </row>
    <row r="320" spans="1:12" hidden="1" x14ac:dyDescent="0.25">
      <c r="A320" s="17" t="s">
        <v>379</v>
      </c>
      <c r="B320" s="17" t="s">
        <v>380</v>
      </c>
      <c r="C320" s="17" t="s">
        <v>242</v>
      </c>
      <c r="D320" s="25">
        <v>35</v>
      </c>
      <c r="E320" s="25">
        <v>0</v>
      </c>
      <c r="F320" s="25">
        <v>50</v>
      </c>
      <c r="G320" s="21">
        <v>33</v>
      </c>
      <c r="H320" s="25">
        <v>0</v>
      </c>
      <c r="I320" s="25">
        <v>-15</v>
      </c>
      <c r="J320" s="22">
        <v>72.599999999999994</v>
      </c>
      <c r="K320" s="22">
        <v>0</v>
      </c>
      <c r="L320" s="19">
        <f t="shared" si="4"/>
        <v>-48</v>
      </c>
    </row>
    <row r="321" spans="1:12" hidden="1" x14ac:dyDescent="0.25">
      <c r="A321" s="2" t="s">
        <v>66</v>
      </c>
      <c r="B321" s="2" t="s">
        <v>67</v>
      </c>
      <c r="C321" s="2" t="s">
        <v>822</v>
      </c>
      <c r="D321" s="24">
        <v>110</v>
      </c>
      <c r="E321" s="24">
        <v>0</v>
      </c>
      <c r="F321" s="24">
        <v>85</v>
      </c>
      <c r="G321" s="11">
        <v>43</v>
      </c>
      <c r="H321" s="24">
        <v>40</v>
      </c>
      <c r="I321" s="24">
        <v>-15</v>
      </c>
      <c r="J321" s="4">
        <v>60</v>
      </c>
      <c r="K321" s="4">
        <v>0</v>
      </c>
      <c r="L321" s="19">
        <f t="shared" si="4"/>
        <v>-58</v>
      </c>
    </row>
    <row r="322" spans="1:12" hidden="1" x14ac:dyDescent="0.25">
      <c r="A322" s="2" t="s">
        <v>208</v>
      </c>
      <c r="B322" s="2" t="s">
        <v>283</v>
      </c>
      <c r="C322" s="2" t="s">
        <v>242</v>
      </c>
      <c r="D322" s="24">
        <v>56.97</v>
      </c>
      <c r="E322" s="24">
        <v>10</v>
      </c>
      <c r="F322" s="24">
        <v>62</v>
      </c>
      <c r="G322" s="11">
        <v>0.27000000000000668</v>
      </c>
      <c r="H322" s="24">
        <v>0</v>
      </c>
      <c r="I322" s="24">
        <v>-15.030000000000003</v>
      </c>
      <c r="J322" s="4">
        <v>28</v>
      </c>
      <c r="K322" s="4">
        <v>0</v>
      </c>
      <c r="L322" s="19">
        <f t="shared" si="4"/>
        <v>-15.300000000000008</v>
      </c>
    </row>
    <row r="323" spans="1:12" hidden="1" x14ac:dyDescent="0.25">
      <c r="A323" s="2" t="s">
        <v>572</v>
      </c>
      <c r="B323" s="2" t="s">
        <v>573</v>
      </c>
      <c r="C323" s="2" t="s">
        <v>1224</v>
      </c>
      <c r="D323" s="24">
        <v>34.799999999999997</v>
      </c>
      <c r="E323" s="24">
        <v>0</v>
      </c>
      <c r="F323" s="24">
        <v>50</v>
      </c>
      <c r="G323" s="11">
        <v>-1.4210854715202004E-14</v>
      </c>
      <c r="H323" s="24">
        <v>0</v>
      </c>
      <c r="I323" s="24">
        <v>-15.199999999999998</v>
      </c>
      <c r="J323" s="4">
        <v>11</v>
      </c>
      <c r="K323" s="4">
        <v>0</v>
      </c>
      <c r="L323" s="19">
        <f t="shared" si="4"/>
        <v>-15.199999999999989</v>
      </c>
    </row>
    <row r="324" spans="1:12" hidden="1" x14ac:dyDescent="0.25">
      <c r="A324" s="2" t="s">
        <v>287</v>
      </c>
      <c r="B324" s="2" t="s">
        <v>288</v>
      </c>
      <c r="C324" s="2" t="s">
        <v>491</v>
      </c>
      <c r="D324" s="24">
        <v>6.45</v>
      </c>
      <c r="E324" s="24">
        <v>2.2600000000000002</v>
      </c>
      <c r="F324" s="24">
        <v>10</v>
      </c>
      <c r="G324" s="11">
        <v>14.129999999999999</v>
      </c>
      <c r="H324" s="24">
        <v>10</v>
      </c>
      <c r="I324" s="24">
        <v>-15.809999999999999</v>
      </c>
      <c r="J324" s="4">
        <v>393.83</v>
      </c>
      <c r="K324" s="4">
        <v>0</v>
      </c>
      <c r="L324" s="19">
        <f t="shared" si="4"/>
        <v>-29.939999999999998</v>
      </c>
    </row>
    <row r="325" spans="1:12" hidden="1" x14ac:dyDescent="0.25">
      <c r="A325" s="2" t="s">
        <v>440</v>
      </c>
      <c r="B325" s="2" t="s">
        <v>441</v>
      </c>
      <c r="C325" s="2" t="s">
        <v>637</v>
      </c>
      <c r="D325" s="24">
        <v>16</v>
      </c>
      <c r="E325" s="24">
        <v>2</v>
      </c>
      <c r="F325" s="24">
        <v>30</v>
      </c>
      <c r="G325" s="11">
        <v>3</v>
      </c>
      <c r="H325" s="24">
        <v>0</v>
      </c>
      <c r="I325" s="24">
        <v>-16</v>
      </c>
      <c r="J325" s="4">
        <v>372.90999999999991</v>
      </c>
      <c r="K325" s="4">
        <v>0</v>
      </c>
      <c r="L325" s="19">
        <f t="shared" si="4"/>
        <v>-19</v>
      </c>
    </row>
    <row r="326" spans="1:12" hidden="1" x14ac:dyDescent="0.25">
      <c r="A326" s="2" t="s">
        <v>791</v>
      </c>
      <c r="B326" s="2" t="s">
        <v>829</v>
      </c>
      <c r="C326" s="2" t="s">
        <v>792</v>
      </c>
      <c r="D326" s="24">
        <v>84</v>
      </c>
      <c r="E326" s="24">
        <v>0</v>
      </c>
      <c r="F326" s="24">
        <v>100</v>
      </c>
      <c r="G326" s="11">
        <v>50</v>
      </c>
      <c r="H326" s="24">
        <v>0</v>
      </c>
      <c r="I326" s="24">
        <v>-16</v>
      </c>
      <c r="J326" s="4">
        <v>46</v>
      </c>
      <c r="K326" s="4">
        <v>0</v>
      </c>
      <c r="L326" s="19">
        <f t="shared" si="4"/>
        <v>-66</v>
      </c>
    </row>
    <row r="327" spans="1:12" hidden="1" x14ac:dyDescent="0.25">
      <c r="A327" s="2" t="s">
        <v>929</v>
      </c>
      <c r="B327" s="2" t="s">
        <v>930</v>
      </c>
      <c r="C327" s="2" t="s">
        <v>931</v>
      </c>
      <c r="D327" s="24">
        <v>9</v>
      </c>
      <c r="E327" s="24">
        <v>9</v>
      </c>
      <c r="F327" s="24">
        <v>16</v>
      </c>
      <c r="G327" s="11">
        <v>9</v>
      </c>
      <c r="H327" s="24">
        <v>0</v>
      </c>
      <c r="I327" s="24">
        <v>-16</v>
      </c>
      <c r="J327" s="4">
        <v>110</v>
      </c>
      <c r="K327" s="4">
        <v>0</v>
      </c>
      <c r="L327" s="19">
        <f t="shared" si="4"/>
        <v>-25</v>
      </c>
    </row>
    <row r="328" spans="1:12" hidden="1" x14ac:dyDescent="0.25">
      <c r="A328" s="2" t="s">
        <v>581</v>
      </c>
      <c r="B328" s="2" t="s">
        <v>582</v>
      </c>
      <c r="C328" s="2" t="s">
        <v>491</v>
      </c>
      <c r="D328" s="24">
        <v>412.33000000000004</v>
      </c>
      <c r="E328" s="24">
        <v>208.92000000000004</v>
      </c>
      <c r="F328" s="24">
        <v>140</v>
      </c>
      <c r="G328" s="11">
        <v>139.95999999999964</v>
      </c>
      <c r="H328" s="24">
        <v>80</v>
      </c>
      <c r="I328" s="24">
        <v>-16.590000000000032</v>
      </c>
      <c r="J328" s="4">
        <v>164.09000000000003</v>
      </c>
      <c r="K328" s="4">
        <v>0</v>
      </c>
      <c r="L328" s="19">
        <f t="shared" si="4"/>
        <v>-156.54999999999964</v>
      </c>
    </row>
    <row r="329" spans="1:12" hidden="1" x14ac:dyDescent="0.25">
      <c r="A329" s="2" t="s">
        <v>543</v>
      </c>
      <c r="B329" s="2" t="s">
        <v>544</v>
      </c>
      <c r="C329" s="2" t="s">
        <v>1222</v>
      </c>
      <c r="D329" s="24">
        <v>1</v>
      </c>
      <c r="E329" s="24">
        <v>0</v>
      </c>
      <c r="F329" s="24">
        <v>18</v>
      </c>
      <c r="G329" s="11">
        <v>28</v>
      </c>
      <c r="H329" s="24">
        <v>0</v>
      </c>
      <c r="I329" s="24">
        <v>-17</v>
      </c>
      <c r="J329" s="4">
        <v>2</v>
      </c>
      <c r="K329" s="4">
        <v>0</v>
      </c>
      <c r="L329" s="19">
        <f t="shared" si="4"/>
        <v>-45</v>
      </c>
    </row>
    <row r="330" spans="1:12" hidden="1" x14ac:dyDescent="0.25">
      <c r="A330" s="2" t="s">
        <v>874</v>
      </c>
      <c r="B330" s="2" t="s">
        <v>875</v>
      </c>
      <c r="C330" s="2" t="s">
        <v>873</v>
      </c>
      <c r="D330" s="24">
        <v>3</v>
      </c>
      <c r="E330" s="24">
        <v>3</v>
      </c>
      <c r="F330" s="24">
        <v>5</v>
      </c>
      <c r="G330" s="11">
        <v>6</v>
      </c>
      <c r="H330" s="24">
        <v>12</v>
      </c>
      <c r="I330" s="24">
        <v>-17</v>
      </c>
      <c r="J330" s="4">
        <v>14305.4</v>
      </c>
      <c r="K330" s="4">
        <v>0</v>
      </c>
      <c r="L330" s="19">
        <f t="shared" si="4"/>
        <v>-23</v>
      </c>
    </row>
    <row r="331" spans="1:12" hidden="1" x14ac:dyDescent="0.25">
      <c r="A331" s="2" t="s">
        <v>994</v>
      </c>
      <c r="B331" s="2" t="s">
        <v>995</v>
      </c>
      <c r="C331" s="2" t="s">
        <v>668</v>
      </c>
      <c r="D331" s="24">
        <v>2</v>
      </c>
      <c r="E331" s="24">
        <v>2</v>
      </c>
      <c r="F331" s="24">
        <v>17</v>
      </c>
      <c r="G331" s="11">
        <v>4</v>
      </c>
      <c r="H331" s="24">
        <v>0</v>
      </c>
      <c r="I331" s="24">
        <v>-17</v>
      </c>
      <c r="J331" s="4">
        <v>117.85</v>
      </c>
      <c r="K331" s="4">
        <v>0</v>
      </c>
      <c r="L331" s="19">
        <f t="shared" si="4"/>
        <v>-21</v>
      </c>
    </row>
    <row r="332" spans="1:12" hidden="1" x14ac:dyDescent="0.25">
      <c r="A332" s="2" t="s">
        <v>403</v>
      </c>
      <c r="B332" s="2" t="s">
        <v>404</v>
      </c>
      <c r="C332" s="2" t="s">
        <v>221</v>
      </c>
      <c r="D332" s="24">
        <v>20</v>
      </c>
      <c r="E332" s="24">
        <v>9</v>
      </c>
      <c r="F332" s="24">
        <v>28</v>
      </c>
      <c r="G332" s="11">
        <v>12</v>
      </c>
      <c r="H332" s="24">
        <v>0</v>
      </c>
      <c r="I332" s="24">
        <v>-17</v>
      </c>
      <c r="J332" s="4">
        <v>15</v>
      </c>
      <c r="K332" s="4">
        <v>0</v>
      </c>
      <c r="L332" s="19">
        <f t="shared" si="4"/>
        <v>-29</v>
      </c>
    </row>
    <row r="333" spans="1:12" hidden="1" x14ac:dyDescent="0.25">
      <c r="A333" s="2" t="s">
        <v>619</v>
      </c>
      <c r="B333" s="2" t="s">
        <v>828</v>
      </c>
      <c r="C333" s="2" t="s">
        <v>822</v>
      </c>
      <c r="D333" s="24">
        <v>20</v>
      </c>
      <c r="E333" s="24">
        <v>0</v>
      </c>
      <c r="F333" s="24">
        <v>37</v>
      </c>
      <c r="G333" s="11">
        <v>2</v>
      </c>
      <c r="H333" s="24">
        <v>0</v>
      </c>
      <c r="I333" s="24">
        <v>-17</v>
      </c>
      <c r="J333" s="4">
        <v>82.59999999999998</v>
      </c>
      <c r="K333" s="4">
        <v>0</v>
      </c>
      <c r="L333" s="19">
        <f t="shared" ref="L333:L396" si="5">D333-E333-F333-G333-H333</f>
        <v>-19</v>
      </c>
    </row>
    <row r="334" spans="1:12" hidden="1" x14ac:dyDescent="0.25">
      <c r="A334" s="2" t="s">
        <v>26</v>
      </c>
      <c r="B334" s="2" t="s">
        <v>27</v>
      </c>
      <c r="C334" s="2" t="s">
        <v>1224</v>
      </c>
      <c r="D334" s="24">
        <v>11</v>
      </c>
      <c r="E334" s="24">
        <v>4</v>
      </c>
      <c r="F334" s="24">
        <v>24</v>
      </c>
      <c r="G334" s="11">
        <v>4</v>
      </c>
      <c r="H334" s="24">
        <v>0</v>
      </c>
      <c r="I334" s="24">
        <v>-17</v>
      </c>
      <c r="J334" s="4">
        <v>625</v>
      </c>
      <c r="K334" s="4">
        <v>0</v>
      </c>
      <c r="L334" s="19">
        <f t="shared" si="5"/>
        <v>-21</v>
      </c>
    </row>
    <row r="335" spans="1:12" hidden="1" x14ac:dyDescent="0.25">
      <c r="A335" s="2" t="s">
        <v>77</v>
      </c>
      <c r="B335" s="2" t="s">
        <v>78</v>
      </c>
      <c r="C335" s="2" t="s">
        <v>1153</v>
      </c>
      <c r="D335" s="24">
        <v>68</v>
      </c>
      <c r="E335" s="24">
        <v>0</v>
      </c>
      <c r="F335" s="24">
        <v>85</v>
      </c>
      <c r="G335" s="11">
        <v>31</v>
      </c>
      <c r="H335" s="24">
        <v>0</v>
      </c>
      <c r="I335" s="24">
        <v>-17</v>
      </c>
      <c r="J335" s="4">
        <v>120</v>
      </c>
      <c r="K335" s="4">
        <v>0</v>
      </c>
      <c r="L335" s="19">
        <f t="shared" si="5"/>
        <v>-48</v>
      </c>
    </row>
    <row r="336" spans="1:12" hidden="1" x14ac:dyDescent="0.25">
      <c r="A336" s="2" t="s">
        <v>102</v>
      </c>
      <c r="B336" s="2" t="s">
        <v>103</v>
      </c>
      <c r="C336" s="2" t="s">
        <v>242</v>
      </c>
      <c r="D336" s="24">
        <v>75.059999999999988</v>
      </c>
      <c r="E336" s="24">
        <v>26.150000000000002</v>
      </c>
      <c r="F336" s="24">
        <v>66</v>
      </c>
      <c r="G336" s="11">
        <v>36.349999999999952</v>
      </c>
      <c r="H336" s="24">
        <v>0</v>
      </c>
      <c r="I336" s="24">
        <v>-17.090000000000025</v>
      </c>
      <c r="J336" s="4">
        <v>129.63000000000005</v>
      </c>
      <c r="K336" s="4">
        <v>0</v>
      </c>
      <c r="L336" s="19">
        <f t="shared" si="5"/>
        <v>-53.439999999999969</v>
      </c>
    </row>
    <row r="337" spans="1:12" hidden="1" x14ac:dyDescent="0.25">
      <c r="A337" s="2" t="s">
        <v>373</v>
      </c>
      <c r="B337" s="2" t="s">
        <v>374</v>
      </c>
      <c r="C337" s="2" t="s">
        <v>822</v>
      </c>
      <c r="D337" s="24">
        <v>107</v>
      </c>
      <c r="E337" s="24">
        <v>0</v>
      </c>
      <c r="F337" s="24">
        <v>85</v>
      </c>
      <c r="G337" s="11">
        <v>34</v>
      </c>
      <c r="H337" s="24">
        <v>40</v>
      </c>
      <c r="I337" s="24">
        <v>-18</v>
      </c>
      <c r="J337" s="4">
        <v>74</v>
      </c>
      <c r="K337" s="4">
        <v>0</v>
      </c>
      <c r="L337" s="19">
        <f t="shared" si="5"/>
        <v>-52</v>
      </c>
    </row>
    <row r="338" spans="1:12" hidden="1" x14ac:dyDescent="0.25">
      <c r="A338" s="2" t="s">
        <v>85</v>
      </c>
      <c r="B338" s="2" t="s">
        <v>86</v>
      </c>
      <c r="C338" s="2" t="s">
        <v>249</v>
      </c>
      <c r="D338" s="24">
        <v>38</v>
      </c>
      <c r="E338" s="24">
        <v>12</v>
      </c>
      <c r="F338" s="24">
        <v>44</v>
      </c>
      <c r="G338" s="11">
        <v>12</v>
      </c>
      <c r="H338" s="24">
        <v>0</v>
      </c>
      <c r="I338" s="24">
        <v>-18</v>
      </c>
      <c r="J338" s="4">
        <v>375</v>
      </c>
      <c r="K338" s="4">
        <v>0</v>
      </c>
      <c r="L338" s="19">
        <f t="shared" si="5"/>
        <v>-30</v>
      </c>
    </row>
    <row r="339" spans="1:12" hidden="1" x14ac:dyDescent="0.25">
      <c r="A339" s="2" t="s">
        <v>470</v>
      </c>
      <c r="B339" s="2" t="s">
        <v>471</v>
      </c>
      <c r="C339" s="2" t="s">
        <v>822</v>
      </c>
      <c r="D339" s="24">
        <v>20</v>
      </c>
      <c r="E339" s="24">
        <v>0</v>
      </c>
      <c r="F339" s="24">
        <v>39</v>
      </c>
      <c r="G339" s="11">
        <v>2</v>
      </c>
      <c r="H339" s="24">
        <v>0</v>
      </c>
      <c r="I339" s="24">
        <v>-19</v>
      </c>
      <c r="J339" s="4">
        <v>65</v>
      </c>
      <c r="K339" s="4">
        <v>0</v>
      </c>
      <c r="L339" s="19">
        <f t="shared" si="5"/>
        <v>-21</v>
      </c>
    </row>
    <row r="340" spans="1:12" hidden="1" x14ac:dyDescent="0.25">
      <c r="A340" s="2" t="s">
        <v>401</v>
      </c>
      <c r="B340" s="2" t="s">
        <v>402</v>
      </c>
      <c r="C340" s="2" t="s">
        <v>221</v>
      </c>
      <c r="D340" s="24">
        <v>20</v>
      </c>
      <c r="E340" s="24">
        <v>9</v>
      </c>
      <c r="F340" s="24">
        <v>31</v>
      </c>
      <c r="G340" s="11">
        <v>12</v>
      </c>
      <c r="H340" s="24">
        <v>0</v>
      </c>
      <c r="I340" s="24">
        <v>-20</v>
      </c>
      <c r="J340" s="4">
        <v>15</v>
      </c>
      <c r="K340" s="4">
        <v>0</v>
      </c>
      <c r="L340" s="19">
        <f t="shared" si="5"/>
        <v>-32</v>
      </c>
    </row>
    <row r="341" spans="1:12" hidden="1" x14ac:dyDescent="0.25">
      <c r="A341" s="2" t="s">
        <v>794</v>
      </c>
      <c r="B341" s="2" t="s">
        <v>795</v>
      </c>
      <c r="C341" s="2" t="s">
        <v>796</v>
      </c>
      <c r="D341" s="24">
        <v>9</v>
      </c>
      <c r="E341" s="24">
        <v>3</v>
      </c>
      <c r="F341" s="24">
        <v>26</v>
      </c>
      <c r="G341" s="11">
        <v>3</v>
      </c>
      <c r="H341" s="24">
        <v>0</v>
      </c>
      <c r="I341" s="24">
        <v>-20</v>
      </c>
      <c r="J341" s="4">
        <v>2800</v>
      </c>
      <c r="K341" s="4">
        <v>0</v>
      </c>
      <c r="L341" s="19">
        <f t="shared" si="5"/>
        <v>-23</v>
      </c>
    </row>
    <row r="342" spans="1:12" hidden="1" x14ac:dyDescent="0.25">
      <c r="A342" s="2" t="s">
        <v>280</v>
      </c>
      <c r="B342" s="2" t="s">
        <v>318</v>
      </c>
      <c r="C342" s="2" t="s">
        <v>637</v>
      </c>
      <c r="D342" s="24">
        <v>11</v>
      </c>
      <c r="E342" s="24">
        <v>4</v>
      </c>
      <c r="F342" s="24">
        <v>27</v>
      </c>
      <c r="G342" s="11">
        <v>4</v>
      </c>
      <c r="H342" s="24">
        <v>0</v>
      </c>
      <c r="I342" s="24">
        <v>-20</v>
      </c>
      <c r="J342" s="4">
        <v>287.01000000000005</v>
      </c>
      <c r="K342" s="4">
        <v>0</v>
      </c>
      <c r="L342" s="19">
        <f t="shared" si="5"/>
        <v>-24</v>
      </c>
    </row>
    <row r="343" spans="1:12" hidden="1" x14ac:dyDescent="0.25">
      <c r="A343" s="2" t="s">
        <v>281</v>
      </c>
      <c r="B343" s="2" t="s">
        <v>319</v>
      </c>
      <c r="C343" s="2" t="s">
        <v>637</v>
      </c>
      <c r="D343" s="24">
        <v>11</v>
      </c>
      <c r="E343" s="24">
        <v>4</v>
      </c>
      <c r="F343" s="24">
        <v>27</v>
      </c>
      <c r="G343" s="11">
        <v>4</v>
      </c>
      <c r="H343" s="24">
        <v>0</v>
      </c>
      <c r="I343" s="24">
        <v>-20</v>
      </c>
      <c r="J343" s="4">
        <v>290.61999999999995</v>
      </c>
      <c r="K343" s="4">
        <v>0</v>
      </c>
      <c r="L343" s="19">
        <f t="shared" si="5"/>
        <v>-24</v>
      </c>
    </row>
    <row r="344" spans="1:12" hidden="1" x14ac:dyDescent="0.25">
      <c r="A344" s="2" t="s">
        <v>279</v>
      </c>
      <c r="B344" s="2" t="s">
        <v>317</v>
      </c>
      <c r="C344" s="2" t="s">
        <v>637</v>
      </c>
      <c r="D344" s="24">
        <v>11</v>
      </c>
      <c r="E344" s="24">
        <v>4</v>
      </c>
      <c r="F344" s="24">
        <v>27</v>
      </c>
      <c r="G344" s="11">
        <v>4</v>
      </c>
      <c r="H344" s="24">
        <v>0</v>
      </c>
      <c r="I344" s="24">
        <v>-20</v>
      </c>
      <c r="J344" s="4">
        <v>287.01000000000005</v>
      </c>
      <c r="K344" s="4">
        <v>0</v>
      </c>
      <c r="L344" s="19">
        <f t="shared" si="5"/>
        <v>-24</v>
      </c>
    </row>
    <row r="345" spans="1:12" hidden="1" x14ac:dyDescent="0.25">
      <c r="A345" s="2" t="s">
        <v>1013</v>
      </c>
      <c r="B345" s="2" t="s">
        <v>1014</v>
      </c>
      <c r="C345" s="2" t="s">
        <v>248</v>
      </c>
      <c r="D345" s="24">
        <v>4</v>
      </c>
      <c r="E345" s="24">
        <v>4</v>
      </c>
      <c r="F345" s="24">
        <v>21</v>
      </c>
      <c r="G345" s="11">
        <v>8</v>
      </c>
      <c r="H345" s="24">
        <v>0</v>
      </c>
      <c r="I345" s="24">
        <v>-21</v>
      </c>
      <c r="J345" s="4">
        <v>451</v>
      </c>
      <c r="K345" s="4">
        <v>0</v>
      </c>
      <c r="L345" s="19">
        <f t="shared" si="5"/>
        <v>-29</v>
      </c>
    </row>
    <row r="346" spans="1:12" hidden="1" x14ac:dyDescent="0.25">
      <c r="A346" s="2" t="s">
        <v>278</v>
      </c>
      <c r="B346" s="2" t="s">
        <v>316</v>
      </c>
      <c r="C346" s="2" t="s">
        <v>637</v>
      </c>
      <c r="D346" s="24">
        <v>11</v>
      </c>
      <c r="E346" s="24">
        <v>4</v>
      </c>
      <c r="F346" s="24">
        <v>28</v>
      </c>
      <c r="G346" s="11">
        <v>4</v>
      </c>
      <c r="H346" s="24">
        <v>0</v>
      </c>
      <c r="I346" s="24">
        <v>-21</v>
      </c>
      <c r="J346" s="4">
        <v>290.61999999999995</v>
      </c>
      <c r="K346" s="4">
        <v>0</v>
      </c>
      <c r="L346" s="19">
        <f t="shared" si="5"/>
        <v>-25</v>
      </c>
    </row>
    <row r="347" spans="1:12" hidden="1" x14ac:dyDescent="0.25">
      <c r="A347" s="2" t="s">
        <v>64</v>
      </c>
      <c r="B347" s="2" t="s">
        <v>65</v>
      </c>
      <c r="C347" s="2" t="s">
        <v>218</v>
      </c>
      <c r="D347" s="24">
        <v>23</v>
      </c>
      <c r="E347" s="24">
        <v>7</v>
      </c>
      <c r="F347" s="24">
        <v>38</v>
      </c>
      <c r="G347" s="11">
        <v>10</v>
      </c>
      <c r="H347" s="24">
        <v>0</v>
      </c>
      <c r="I347" s="24">
        <v>-22</v>
      </c>
      <c r="J347" s="4">
        <v>95</v>
      </c>
      <c r="K347" s="4">
        <v>0</v>
      </c>
      <c r="L347" s="19">
        <f t="shared" si="5"/>
        <v>-32</v>
      </c>
    </row>
    <row r="348" spans="1:12" hidden="1" x14ac:dyDescent="0.25">
      <c r="A348" s="2" t="s">
        <v>385</v>
      </c>
      <c r="B348" s="2" t="s">
        <v>386</v>
      </c>
      <c r="C348" s="2" t="s">
        <v>629</v>
      </c>
      <c r="D348" s="24">
        <v>473</v>
      </c>
      <c r="E348" s="24">
        <v>0</v>
      </c>
      <c r="F348" s="24">
        <v>495</v>
      </c>
      <c r="G348" s="11">
        <v>146</v>
      </c>
      <c r="H348" s="24">
        <v>0</v>
      </c>
      <c r="I348" s="24">
        <v>-22</v>
      </c>
      <c r="J348" s="4">
        <v>3.75</v>
      </c>
      <c r="K348" s="4">
        <v>0</v>
      </c>
      <c r="L348" s="19">
        <f t="shared" si="5"/>
        <v>-168</v>
      </c>
    </row>
    <row r="349" spans="1:12" hidden="1" x14ac:dyDescent="0.25">
      <c r="A349" s="2" t="s">
        <v>11</v>
      </c>
      <c r="B349" s="2" t="s">
        <v>12</v>
      </c>
      <c r="C349" s="2" t="s">
        <v>590</v>
      </c>
      <c r="D349" s="24">
        <v>8</v>
      </c>
      <c r="E349" s="24">
        <v>4</v>
      </c>
      <c r="F349" s="24">
        <v>26</v>
      </c>
      <c r="G349" s="11">
        <v>8</v>
      </c>
      <c r="H349" s="24">
        <v>0</v>
      </c>
      <c r="I349" s="24">
        <v>-22</v>
      </c>
      <c r="J349" s="4">
        <v>368.07000000000005</v>
      </c>
      <c r="K349" s="4">
        <v>0</v>
      </c>
      <c r="L349" s="19">
        <f t="shared" si="5"/>
        <v>-30</v>
      </c>
    </row>
    <row r="350" spans="1:12" hidden="1" x14ac:dyDescent="0.25">
      <c r="A350" s="2" t="s">
        <v>1081</v>
      </c>
      <c r="B350" s="2" t="s">
        <v>1082</v>
      </c>
      <c r="C350" s="2" t="s">
        <v>593</v>
      </c>
      <c r="D350" s="24">
        <v>40</v>
      </c>
      <c r="E350" s="24">
        <v>16</v>
      </c>
      <c r="F350" s="24">
        <v>17</v>
      </c>
      <c r="G350" s="11">
        <v>16</v>
      </c>
      <c r="H350" s="24">
        <v>30</v>
      </c>
      <c r="I350" s="24">
        <v>-23</v>
      </c>
      <c r="J350" s="4">
        <v>67.220000000000013</v>
      </c>
      <c r="K350" s="4">
        <v>0</v>
      </c>
      <c r="L350" s="19">
        <f t="shared" si="5"/>
        <v>-39</v>
      </c>
    </row>
    <row r="351" spans="1:12" hidden="1" x14ac:dyDescent="0.25">
      <c r="A351" s="2" t="s">
        <v>79</v>
      </c>
      <c r="B351" s="2" t="s">
        <v>80</v>
      </c>
      <c r="C351" s="2" t="s">
        <v>242</v>
      </c>
      <c r="D351" s="24">
        <v>58</v>
      </c>
      <c r="E351" s="24">
        <v>0</v>
      </c>
      <c r="F351" s="24">
        <v>81</v>
      </c>
      <c r="G351" s="11">
        <v>5</v>
      </c>
      <c r="H351" s="24">
        <v>0</v>
      </c>
      <c r="I351" s="24">
        <v>-23</v>
      </c>
      <c r="J351" s="4">
        <v>188</v>
      </c>
      <c r="K351" s="4">
        <v>0</v>
      </c>
      <c r="L351" s="19">
        <f t="shared" si="5"/>
        <v>-28</v>
      </c>
    </row>
    <row r="352" spans="1:12" hidden="1" x14ac:dyDescent="0.25">
      <c r="A352" s="2" t="s">
        <v>313</v>
      </c>
      <c r="B352" s="2" t="s">
        <v>314</v>
      </c>
      <c r="C352" s="2" t="s">
        <v>315</v>
      </c>
      <c r="D352" s="24">
        <v>101</v>
      </c>
      <c r="E352" s="24">
        <v>0</v>
      </c>
      <c r="F352" s="24">
        <v>125</v>
      </c>
      <c r="G352" s="11">
        <v>16.500000000000025</v>
      </c>
      <c r="H352" s="24">
        <v>0</v>
      </c>
      <c r="I352" s="24">
        <v>-24</v>
      </c>
      <c r="J352" s="4">
        <v>80.839999999999989</v>
      </c>
      <c r="K352" s="4">
        <v>0</v>
      </c>
      <c r="L352" s="19">
        <f t="shared" si="5"/>
        <v>-40.500000000000028</v>
      </c>
    </row>
    <row r="353" spans="1:12" hidden="1" x14ac:dyDescent="0.25">
      <c r="A353" s="2" t="s">
        <v>154</v>
      </c>
      <c r="B353" s="2" t="s">
        <v>155</v>
      </c>
      <c r="C353" s="2" t="s">
        <v>277</v>
      </c>
      <c r="D353" s="24">
        <v>43</v>
      </c>
      <c r="E353" s="24">
        <v>12</v>
      </c>
      <c r="F353" s="24">
        <v>55</v>
      </c>
      <c r="G353" s="11">
        <v>17</v>
      </c>
      <c r="H353" s="24">
        <v>0</v>
      </c>
      <c r="I353" s="24">
        <v>-24</v>
      </c>
      <c r="J353" s="4">
        <v>199.45000000000002</v>
      </c>
      <c r="K353" s="4">
        <v>0</v>
      </c>
      <c r="L353" s="19">
        <f t="shared" si="5"/>
        <v>-41</v>
      </c>
    </row>
    <row r="354" spans="1:12" hidden="1" x14ac:dyDescent="0.25">
      <c r="A354" s="2" t="s">
        <v>75</v>
      </c>
      <c r="B354" s="2" t="s">
        <v>76</v>
      </c>
      <c r="C354" s="2" t="s">
        <v>822</v>
      </c>
      <c r="D354" s="24">
        <v>50</v>
      </c>
      <c r="E354" s="24">
        <v>0</v>
      </c>
      <c r="F354" s="24">
        <v>24</v>
      </c>
      <c r="G354" s="11">
        <v>30</v>
      </c>
      <c r="H354" s="24">
        <v>50</v>
      </c>
      <c r="I354" s="24">
        <v>-24</v>
      </c>
      <c r="J354" s="4">
        <v>37</v>
      </c>
      <c r="K354" s="4">
        <v>0</v>
      </c>
      <c r="L354" s="19">
        <f t="shared" si="5"/>
        <v>-54</v>
      </c>
    </row>
    <row r="355" spans="1:12" hidden="1" x14ac:dyDescent="0.25">
      <c r="A355" s="2" t="s">
        <v>322</v>
      </c>
      <c r="B355" s="2" t="s">
        <v>323</v>
      </c>
      <c r="C355" s="2" t="s">
        <v>242</v>
      </c>
      <c r="D355" s="24">
        <v>96.449999999999989</v>
      </c>
      <c r="E355" s="24">
        <v>37.050000000000004</v>
      </c>
      <c r="F355" s="24">
        <v>84</v>
      </c>
      <c r="G355" s="11">
        <v>195.89999999999978</v>
      </c>
      <c r="H355" s="24">
        <v>0</v>
      </c>
      <c r="I355" s="24">
        <v>-24.600000000000023</v>
      </c>
      <c r="J355" s="4">
        <v>29</v>
      </c>
      <c r="K355" s="4">
        <v>0</v>
      </c>
      <c r="L355" s="19">
        <f t="shared" si="5"/>
        <v>-220.4999999999998</v>
      </c>
    </row>
    <row r="356" spans="1:12" hidden="1" x14ac:dyDescent="0.25">
      <c r="A356" s="2" t="s">
        <v>551</v>
      </c>
      <c r="B356" s="2" t="s">
        <v>552</v>
      </c>
      <c r="C356" s="2" t="s">
        <v>491</v>
      </c>
      <c r="D356" s="24">
        <v>36</v>
      </c>
      <c r="E356" s="24">
        <v>12</v>
      </c>
      <c r="F356" s="24">
        <v>35</v>
      </c>
      <c r="G356" s="11">
        <v>14</v>
      </c>
      <c r="H356" s="24">
        <v>15</v>
      </c>
      <c r="I356" s="24">
        <v>-26</v>
      </c>
      <c r="J356" s="4">
        <v>43.75</v>
      </c>
      <c r="K356" s="4">
        <v>0</v>
      </c>
      <c r="L356" s="19">
        <f t="shared" si="5"/>
        <v>-40</v>
      </c>
    </row>
    <row r="357" spans="1:12" hidden="1" x14ac:dyDescent="0.25">
      <c r="A357" s="2" t="s">
        <v>1138</v>
      </c>
      <c r="B357" s="2" t="s">
        <v>1139</v>
      </c>
      <c r="C357" s="2" t="s">
        <v>637</v>
      </c>
      <c r="D357" s="24">
        <v>2</v>
      </c>
      <c r="E357" s="24">
        <v>0</v>
      </c>
      <c r="F357" s="24">
        <v>29</v>
      </c>
      <c r="G357" s="11">
        <v>0</v>
      </c>
      <c r="H357" s="24">
        <v>0</v>
      </c>
      <c r="I357" s="24">
        <v>-27</v>
      </c>
      <c r="J357" s="4">
        <v>213.48</v>
      </c>
      <c r="K357" s="4">
        <v>0</v>
      </c>
      <c r="L357" s="19">
        <f t="shared" si="5"/>
        <v>-27</v>
      </c>
    </row>
    <row r="358" spans="1:12" hidden="1" x14ac:dyDescent="0.25">
      <c r="A358" s="2" t="s">
        <v>390</v>
      </c>
      <c r="B358" s="2" t="s">
        <v>391</v>
      </c>
      <c r="C358" s="2" t="s">
        <v>1223</v>
      </c>
      <c r="D358" s="24">
        <v>72</v>
      </c>
      <c r="E358" s="24">
        <v>0</v>
      </c>
      <c r="F358" s="24">
        <v>100</v>
      </c>
      <c r="G358" s="11">
        <v>352</v>
      </c>
      <c r="H358" s="24">
        <v>0</v>
      </c>
      <c r="I358" s="24">
        <v>-28</v>
      </c>
      <c r="J358" s="4">
        <v>6.3999999999999995</v>
      </c>
      <c r="K358" s="4">
        <v>0</v>
      </c>
      <c r="L358" s="19">
        <f t="shared" si="5"/>
        <v>-380</v>
      </c>
    </row>
    <row r="359" spans="1:12" hidden="1" x14ac:dyDescent="0.25">
      <c r="A359" s="2" t="s">
        <v>1000</v>
      </c>
      <c r="B359" s="2" t="s">
        <v>1001</v>
      </c>
      <c r="C359" s="2" t="s">
        <v>256</v>
      </c>
      <c r="D359" s="24">
        <v>2</v>
      </c>
      <c r="E359" s="24">
        <v>0</v>
      </c>
      <c r="F359" s="24">
        <v>30</v>
      </c>
      <c r="G359" s="11">
        <v>5.7</v>
      </c>
      <c r="H359" s="24">
        <v>0</v>
      </c>
      <c r="I359" s="24">
        <v>-28</v>
      </c>
      <c r="J359" s="4">
        <v>199.37</v>
      </c>
      <c r="K359" s="4">
        <v>0</v>
      </c>
      <c r="L359" s="19">
        <f t="shared" si="5"/>
        <v>-33.700000000000003</v>
      </c>
    </row>
    <row r="360" spans="1:12" hidden="1" x14ac:dyDescent="0.25">
      <c r="A360" s="2" t="s">
        <v>40</v>
      </c>
      <c r="B360" s="2" t="s">
        <v>41</v>
      </c>
      <c r="C360" s="2" t="s">
        <v>1224</v>
      </c>
      <c r="D360" s="24">
        <v>5</v>
      </c>
      <c r="E360" s="24">
        <v>3</v>
      </c>
      <c r="F360" s="24">
        <v>30</v>
      </c>
      <c r="G360" s="11">
        <v>3</v>
      </c>
      <c r="H360" s="24">
        <v>0</v>
      </c>
      <c r="I360" s="24">
        <v>-28</v>
      </c>
      <c r="J360" s="4">
        <v>90</v>
      </c>
      <c r="K360" s="4">
        <v>0</v>
      </c>
      <c r="L360" s="19">
        <f t="shared" si="5"/>
        <v>-31</v>
      </c>
    </row>
    <row r="361" spans="1:12" hidden="1" x14ac:dyDescent="0.25">
      <c r="A361" s="2" t="s">
        <v>963</v>
      </c>
      <c r="B361" s="2" t="s">
        <v>964</v>
      </c>
      <c r="C361" s="2" t="s">
        <v>1224</v>
      </c>
      <c r="D361" s="24">
        <v>12</v>
      </c>
      <c r="E361" s="24">
        <v>0</v>
      </c>
      <c r="F361" s="24">
        <v>40</v>
      </c>
      <c r="G361" s="11">
        <v>0</v>
      </c>
      <c r="H361" s="24">
        <v>0</v>
      </c>
      <c r="I361" s="24">
        <v>-28</v>
      </c>
      <c r="J361" s="4">
        <v>33</v>
      </c>
      <c r="K361" s="4">
        <v>0</v>
      </c>
      <c r="L361" s="19">
        <f t="shared" si="5"/>
        <v>-28</v>
      </c>
    </row>
    <row r="362" spans="1:12" hidden="1" x14ac:dyDescent="0.25">
      <c r="A362" s="2" t="s">
        <v>485</v>
      </c>
      <c r="B362" s="2" t="s">
        <v>486</v>
      </c>
      <c r="C362" s="2" t="s">
        <v>483</v>
      </c>
      <c r="D362" s="24">
        <v>6</v>
      </c>
      <c r="E362" s="24">
        <v>0</v>
      </c>
      <c r="F362" s="24">
        <v>35</v>
      </c>
      <c r="G362" s="11">
        <v>8</v>
      </c>
      <c r="H362" s="24">
        <v>0</v>
      </c>
      <c r="I362" s="24">
        <v>-29</v>
      </c>
      <c r="J362" s="4">
        <v>94.17</v>
      </c>
      <c r="K362" s="4">
        <v>0</v>
      </c>
      <c r="L362" s="19">
        <f t="shared" si="5"/>
        <v>-37</v>
      </c>
    </row>
    <row r="363" spans="1:12" hidden="1" x14ac:dyDescent="0.25">
      <c r="A363" s="2" t="s">
        <v>506</v>
      </c>
      <c r="B363" s="2" t="s">
        <v>507</v>
      </c>
      <c r="C363" s="2" t="s">
        <v>1065</v>
      </c>
      <c r="D363" s="24">
        <v>19</v>
      </c>
      <c r="E363" s="24">
        <v>6</v>
      </c>
      <c r="F363" s="24">
        <v>8</v>
      </c>
      <c r="G363" s="11">
        <v>9</v>
      </c>
      <c r="H363" s="24">
        <v>36</v>
      </c>
      <c r="I363" s="24">
        <v>-31</v>
      </c>
      <c r="J363" s="4">
        <v>101.40000000000003</v>
      </c>
      <c r="K363" s="4">
        <v>0</v>
      </c>
      <c r="L363" s="19">
        <f t="shared" si="5"/>
        <v>-40</v>
      </c>
    </row>
    <row r="364" spans="1:12" hidden="1" x14ac:dyDescent="0.25">
      <c r="A364" s="2" t="s">
        <v>202</v>
      </c>
      <c r="B364" s="2" t="s">
        <v>226</v>
      </c>
      <c r="C364" s="2" t="s">
        <v>505</v>
      </c>
      <c r="D364" s="24">
        <v>65</v>
      </c>
      <c r="E364" s="24">
        <v>22</v>
      </c>
      <c r="F364" s="24">
        <v>24</v>
      </c>
      <c r="G364" s="11">
        <v>22</v>
      </c>
      <c r="H364" s="24">
        <v>50</v>
      </c>
      <c r="I364" s="24">
        <v>-31</v>
      </c>
      <c r="J364" s="4">
        <v>44</v>
      </c>
      <c r="K364" s="4">
        <v>0</v>
      </c>
      <c r="L364" s="19">
        <f t="shared" si="5"/>
        <v>-53</v>
      </c>
    </row>
    <row r="365" spans="1:12" hidden="1" x14ac:dyDescent="0.25">
      <c r="A365" s="2" t="s">
        <v>46</v>
      </c>
      <c r="B365" s="2" t="s">
        <v>47</v>
      </c>
      <c r="C365" s="2" t="s">
        <v>247</v>
      </c>
      <c r="D365" s="24">
        <v>76</v>
      </c>
      <c r="E365" s="24">
        <v>24</v>
      </c>
      <c r="F365" s="24">
        <v>83</v>
      </c>
      <c r="G365" s="11">
        <v>52</v>
      </c>
      <c r="H365" s="24">
        <v>0</v>
      </c>
      <c r="I365" s="24">
        <v>-31</v>
      </c>
      <c r="J365" s="4">
        <v>170</v>
      </c>
      <c r="K365" s="4">
        <v>0</v>
      </c>
      <c r="L365" s="19">
        <f t="shared" si="5"/>
        <v>-83</v>
      </c>
    </row>
    <row r="366" spans="1:12" hidden="1" x14ac:dyDescent="0.25">
      <c r="A366" s="2" t="s">
        <v>934</v>
      </c>
      <c r="B366" s="2" t="s">
        <v>935</v>
      </c>
      <c r="C366" s="2" t="s">
        <v>221</v>
      </c>
      <c r="D366" s="24">
        <v>8</v>
      </c>
      <c r="E366" s="24">
        <v>6</v>
      </c>
      <c r="F366" s="24">
        <v>33</v>
      </c>
      <c r="G366" s="11">
        <v>16</v>
      </c>
      <c r="H366" s="24">
        <v>0</v>
      </c>
      <c r="I366" s="24">
        <v>-31</v>
      </c>
      <c r="J366" s="4">
        <v>930</v>
      </c>
      <c r="K366" s="4">
        <v>0</v>
      </c>
      <c r="L366" s="19">
        <f t="shared" si="5"/>
        <v>-47</v>
      </c>
    </row>
    <row r="367" spans="1:12" hidden="1" x14ac:dyDescent="0.25">
      <c r="A367" s="2" t="s">
        <v>1192</v>
      </c>
      <c r="B367" s="2" t="s">
        <v>1193</v>
      </c>
      <c r="C367" s="2" t="s">
        <v>1194</v>
      </c>
      <c r="D367" s="24">
        <v>0.6</v>
      </c>
      <c r="E367" s="24">
        <v>0</v>
      </c>
      <c r="F367" s="24">
        <v>32</v>
      </c>
      <c r="G367" s="11">
        <v>60</v>
      </c>
      <c r="H367" s="24">
        <v>0</v>
      </c>
      <c r="I367" s="24">
        <v>-31.400000000000002</v>
      </c>
      <c r="J367" s="4">
        <v>110</v>
      </c>
      <c r="K367" s="4">
        <v>0</v>
      </c>
      <c r="L367" s="19">
        <f t="shared" si="5"/>
        <v>-91.4</v>
      </c>
    </row>
    <row r="368" spans="1:12" hidden="1" x14ac:dyDescent="0.25">
      <c r="A368" s="2" t="s">
        <v>1066</v>
      </c>
      <c r="B368" s="2" t="s">
        <v>1067</v>
      </c>
      <c r="C368" s="2" t="s">
        <v>827</v>
      </c>
      <c r="D368" s="24">
        <v>68</v>
      </c>
      <c r="E368" s="24">
        <v>0</v>
      </c>
      <c r="F368" s="24">
        <v>100</v>
      </c>
      <c r="G368" s="11">
        <v>84</v>
      </c>
      <c r="H368" s="24">
        <v>0</v>
      </c>
      <c r="I368" s="24">
        <v>-32</v>
      </c>
      <c r="J368" s="4">
        <v>14.85</v>
      </c>
      <c r="K368" s="4">
        <v>0</v>
      </c>
      <c r="L368" s="19">
        <f t="shared" si="5"/>
        <v>-116</v>
      </c>
    </row>
    <row r="369" spans="1:12" hidden="1" x14ac:dyDescent="0.25">
      <c r="A369" s="2" t="s">
        <v>557</v>
      </c>
      <c r="B369" s="2" t="s">
        <v>558</v>
      </c>
      <c r="C369" s="2" t="s">
        <v>242</v>
      </c>
      <c r="D369" s="24">
        <v>1.0999999999999999</v>
      </c>
      <c r="E369" s="24">
        <v>0.4</v>
      </c>
      <c r="F369" s="24">
        <v>33</v>
      </c>
      <c r="G369" s="11">
        <v>6.1</v>
      </c>
      <c r="H369" s="24">
        <v>0</v>
      </c>
      <c r="I369" s="24">
        <v>-32.300000000000004</v>
      </c>
      <c r="J369" s="4">
        <v>25</v>
      </c>
      <c r="K369" s="4">
        <v>0</v>
      </c>
      <c r="L369" s="19">
        <f t="shared" si="5"/>
        <v>-38.4</v>
      </c>
    </row>
    <row r="370" spans="1:12" hidden="1" x14ac:dyDescent="0.25">
      <c r="A370" s="2" t="s">
        <v>419</v>
      </c>
      <c r="B370" s="2" t="s">
        <v>1225</v>
      </c>
      <c r="C370" s="2" t="s">
        <v>629</v>
      </c>
      <c r="D370" s="24">
        <v>115</v>
      </c>
      <c r="E370" s="24">
        <v>0</v>
      </c>
      <c r="F370" s="24">
        <v>148</v>
      </c>
      <c r="G370" s="11">
        <v>59</v>
      </c>
      <c r="H370" s="24">
        <v>0</v>
      </c>
      <c r="I370" s="24">
        <v>-33</v>
      </c>
      <c r="J370" s="4">
        <v>24.170000000000009</v>
      </c>
      <c r="K370" s="4">
        <v>0</v>
      </c>
      <c r="L370" s="19">
        <f t="shared" si="5"/>
        <v>-92</v>
      </c>
    </row>
    <row r="371" spans="1:12" hidden="1" x14ac:dyDescent="0.25">
      <c r="A371" s="2" t="s">
        <v>383</v>
      </c>
      <c r="B371" s="2" t="s">
        <v>384</v>
      </c>
      <c r="C371" s="2" t="s">
        <v>242</v>
      </c>
      <c r="D371" s="24">
        <v>19</v>
      </c>
      <c r="E371" s="24">
        <v>0</v>
      </c>
      <c r="F371" s="24">
        <v>52</v>
      </c>
      <c r="G371" s="11">
        <v>2</v>
      </c>
      <c r="H371" s="24">
        <v>0</v>
      </c>
      <c r="I371" s="24">
        <v>-33</v>
      </c>
      <c r="J371" s="4">
        <v>34</v>
      </c>
      <c r="K371" s="4">
        <v>0</v>
      </c>
      <c r="L371" s="19">
        <f t="shared" si="5"/>
        <v>-35</v>
      </c>
    </row>
    <row r="372" spans="1:12" hidden="1" x14ac:dyDescent="0.25">
      <c r="A372" s="2" t="s">
        <v>1028</v>
      </c>
      <c r="B372" s="2" t="s">
        <v>1029</v>
      </c>
      <c r="C372" s="2" t="s">
        <v>454</v>
      </c>
      <c r="D372" s="24">
        <v>4.375</v>
      </c>
      <c r="E372" s="24">
        <v>0</v>
      </c>
      <c r="F372" s="24">
        <v>40</v>
      </c>
      <c r="G372" s="11">
        <v>20</v>
      </c>
      <c r="H372" s="24">
        <v>0</v>
      </c>
      <c r="I372" s="24">
        <v>-35.625</v>
      </c>
      <c r="J372" s="4">
        <v>54.170000000000009</v>
      </c>
      <c r="K372" s="4">
        <v>0</v>
      </c>
      <c r="L372" s="19">
        <f t="shared" si="5"/>
        <v>-55.625</v>
      </c>
    </row>
    <row r="373" spans="1:12" hidden="1" x14ac:dyDescent="0.25">
      <c r="A373" s="2" t="s">
        <v>243</v>
      </c>
      <c r="B373" s="2" t="s">
        <v>244</v>
      </c>
      <c r="C373" s="2" t="s">
        <v>491</v>
      </c>
      <c r="D373" s="24">
        <v>21.450000000000003</v>
      </c>
      <c r="E373" s="24">
        <v>10.049999999999999</v>
      </c>
      <c r="F373" s="24">
        <v>49</v>
      </c>
      <c r="G373" s="11">
        <v>1.6000000000000014</v>
      </c>
      <c r="H373" s="24">
        <v>0</v>
      </c>
      <c r="I373" s="24">
        <v>-37.600000000000009</v>
      </c>
      <c r="J373" s="4">
        <v>60</v>
      </c>
      <c r="K373" s="4">
        <v>0</v>
      </c>
      <c r="L373" s="19">
        <f t="shared" si="5"/>
        <v>-39.199999999999996</v>
      </c>
    </row>
    <row r="374" spans="1:12" hidden="1" x14ac:dyDescent="0.25">
      <c r="A374" s="2" t="s">
        <v>0</v>
      </c>
      <c r="B374" s="2" t="s">
        <v>1</v>
      </c>
      <c r="C374" s="2" t="s">
        <v>221</v>
      </c>
      <c r="D374" s="24">
        <v>44</v>
      </c>
      <c r="E374" s="24">
        <v>13</v>
      </c>
      <c r="F374" s="24">
        <v>69</v>
      </c>
      <c r="G374" s="11">
        <v>22</v>
      </c>
      <c r="H374" s="24">
        <v>0</v>
      </c>
      <c r="I374" s="24">
        <v>-38</v>
      </c>
      <c r="J374" s="4">
        <v>640</v>
      </c>
      <c r="K374" s="4">
        <v>0</v>
      </c>
      <c r="L374" s="19">
        <f t="shared" si="5"/>
        <v>-60</v>
      </c>
    </row>
    <row r="375" spans="1:12" hidden="1" x14ac:dyDescent="0.25">
      <c r="A375" s="2" t="s">
        <v>892</v>
      </c>
      <c r="B375" s="2" t="s">
        <v>893</v>
      </c>
      <c r="C375" s="2" t="s">
        <v>216</v>
      </c>
      <c r="D375" s="24">
        <v>9</v>
      </c>
      <c r="E375" s="24">
        <v>0</v>
      </c>
      <c r="F375" s="24">
        <v>50</v>
      </c>
      <c r="G375" s="11">
        <v>0</v>
      </c>
      <c r="H375" s="24">
        <v>0</v>
      </c>
      <c r="I375" s="24">
        <v>-41</v>
      </c>
      <c r="J375" s="4">
        <v>150</v>
      </c>
      <c r="K375" s="4">
        <v>0</v>
      </c>
      <c r="L375" s="19">
        <f t="shared" si="5"/>
        <v>-41</v>
      </c>
    </row>
    <row r="376" spans="1:12" hidden="1" x14ac:dyDescent="0.25">
      <c r="A376" s="2" t="s">
        <v>104</v>
      </c>
      <c r="B376" s="2" t="s">
        <v>290</v>
      </c>
      <c r="C376" s="2" t="s">
        <v>252</v>
      </c>
      <c r="D376" s="24">
        <v>44.099999999999994</v>
      </c>
      <c r="E376" s="24">
        <v>0</v>
      </c>
      <c r="F376" s="24">
        <v>87</v>
      </c>
      <c r="G376" s="11">
        <v>50.899999999999977</v>
      </c>
      <c r="H376" s="24">
        <v>0</v>
      </c>
      <c r="I376" s="24">
        <v>-42.899999999999991</v>
      </c>
      <c r="J376" s="4">
        <v>122.08999999999999</v>
      </c>
      <c r="K376" s="4">
        <v>0</v>
      </c>
      <c r="L376" s="19">
        <f t="shared" si="5"/>
        <v>-93.799999999999983</v>
      </c>
    </row>
    <row r="377" spans="1:12" hidden="1" x14ac:dyDescent="0.25">
      <c r="A377" s="2" t="s">
        <v>17</v>
      </c>
      <c r="B377" s="2" t="s">
        <v>18</v>
      </c>
      <c r="C377" s="2" t="s">
        <v>236</v>
      </c>
      <c r="D377" s="24">
        <v>20</v>
      </c>
      <c r="E377" s="24">
        <v>6</v>
      </c>
      <c r="F377" s="24">
        <v>7</v>
      </c>
      <c r="G377" s="11">
        <v>10</v>
      </c>
      <c r="H377" s="24">
        <v>50</v>
      </c>
      <c r="I377" s="24">
        <v>-43</v>
      </c>
      <c r="J377" s="4">
        <v>839.20000000000039</v>
      </c>
      <c r="K377" s="4">
        <v>0</v>
      </c>
      <c r="L377" s="19">
        <f t="shared" si="5"/>
        <v>-53</v>
      </c>
    </row>
    <row r="378" spans="1:12" hidden="1" x14ac:dyDescent="0.25">
      <c r="A378" s="2" t="s">
        <v>461</v>
      </c>
      <c r="B378" s="2" t="s">
        <v>462</v>
      </c>
      <c r="C378" s="2" t="s">
        <v>242</v>
      </c>
      <c r="D378" s="24">
        <v>28.5</v>
      </c>
      <c r="E378" s="24">
        <v>0</v>
      </c>
      <c r="F378" s="24">
        <v>72</v>
      </c>
      <c r="G378" s="11">
        <v>2</v>
      </c>
      <c r="H378" s="24">
        <v>0</v>
      </c>
      <c r="I378" s="24">
        <v>-43.5</v>
      </c>
      <c r="J378" s="4">
        <v>5</v>
      </c>
      <c r="K378" s="4">
        <v>0</v>
      </c>
      <c r="L378" s="19">
        <f t="shared" si="5"/>
        <v>-45.5</v>
      </c>
    </row>
    <row r="379" spans="1:12" hidden="1" x14ac:dyDescent="0.25">
      <c r="A379" s="2" t="s">
        <v>953</v>
      </c>
      <c r="B379" s="2" t="s">
        <v>954</v>
      </c>
      <c r="C379" s="2" t="s">
        <v>637</v>
      </c>
      <c r="D379" s="24">
        <v>6</v>
      </c>
      <c r="E379" s="24">
        <v>2</v>
      </c>
      <c r="F379" s="24">
        <v>48</v>
      </c>
      <c r="G379" s="11">
        <v>2</v>
      </c>
      <c r="H379" s="24">
        <v>0</v>
      </c>
      <c r="I379" s="24">
        <v>-44</v>
      </c>
      <c r="J379" s="4">
        <v>428.46</v>
      </c>
      <c r="K379" s="4">
        <v>0</v>
      </c>
      <c r="L379" s="19">
        <f t="shared" si="5"/>
        <v>-46</v>
      </c>
    </row>
    <row r="380" spans="1:12" hidden="1" x14ac:dyDescent="0.25">
      <c r="A380" s="2" t="s">
        <v>89</v>
      </c>
      <c r="B380" s="2" t="s">
        <v>90</v>
      </c>
      <c r="C380" s="2" t="s">
        <v>315</v>
      </c>
      <c r="D380" s="24">
        <v>80.899999999999977</v>
      </c>
      <c r="E380" s="24">
        <v>0</v>
      </c>
      <c r="F380" s="24">
        <v>125</v>
      </c>
      <c r="G380" s="11">
        <v>37.499999999999993</v>
      </c>
      <c r="H380" s="24">
        <v>0</v>
      </c>
      <c r="I380" s="24">
        <v>-44.100000000000023</v>
      </c>
      <c r="J380" s="4">
        <v>44</v>
      </c>
      <c r="K380" s="4">
        <v>0</v>
      </c>
      <c r="L380" s="19">
        <f t="shared" si="5"/>
        <v>-81.600000000000023</v>
      </c>
    </row>
    <row r="381" spans="1:12" hidden="1" x14ac:dyDescent="0.25">
      <c r="A381" s="2" t="s">
        <v>693</v>
      </c>
      <c r="B381" s="2" t="s">
        <v>694</v>
      </c>
      <c r="C381" s="2" t="s">
        <v>224</v>
      </c>
      <c r="D381" s="24">
        <v>86</v>
      </c>
      <c r="E381" s="24">
        <v>0</v>
      </c>
      <c r="F381" s="24">
        <v>35.699999999999996</v>
      </c>
      <c r="G381" s="11">
        <v>9.1250000000001279</v>
      </c>
      <c r="H381" s="24">
        <v>95.159999999999982</v>
      </c>
      <c r="I381" s="24">
        <v>-44.859999999999985</v>
      </c>
      <c r="J381" s="4">
        <v>300.55</v>
      </c>
      <c r="K381" s="4">
        <v>0</v>
      </c>
      <c r="L381" s="19">
        <f t="shared" si="5"/>
        <v>-53.985000000000106</v>
      </c>
    </row>
    <row r="382" spans="1:12" hidden="1" x14ac:dyDescent="0.25">
      <c r="A382" s="2" t="s">
        <v>203</v>
      </c>
      <c r="B382" s="2" t="s">
        <v>204</v>
      </c>
      <c r="C382" s="2" t="s">
        <v>237</v>
      </c>
      <c r="D382" s="24">
        <v>2.6139999999999999</v>
      </c>
      <c r="E382" s="24">
        <v>0</v>
      </c>
      <c r="F382" s="24">
        <v>50</v>
      </c>
      <c r="G382" s="11">
        <v>-5.5511151231257827E-15</v>
      </c>
      <c r="H382" s="24">
        <v>0</v>
      </c>
      <c r="I382" s="24">
        <v>-47.385999999999989</v>
      </c>
      <c r="J382" s="4">
        <v>10.610000000000005</v>
      </c>
      <c r="K382" s="4">
        <v>0</v>
      </c>
      <c r="L382" s="19">
        <f t="shared" si="5"/>
        <v>-47.385999999999996</v>
      </c>
    </row>
    <row r="383" spans="1:12" hidden="1" x14ac:dyDescent="0.25">
      <c r="A383" s="2" t="s">
        <v>160</v>
      </c>
      <c r="B383" s="2" t="s">
        <v>161</v>
      </c>
      <c r="C383" s="2" t="s">
        <v>620</v>
      </c>
      <c r="D383" s="24">
        <v>4.6100000000000012</v>
      </c>
      <c r="E383" s="24">
        <v>0</v>
      </c>
      <c r="F383" s="24">
        <v>52</v>
      </c>
      <c r="G383" s="11">
        <v>38.619999999999997</v>
      </c>
      <c r="H383" s="24">
        <v>0</v>
      </c>
      <c r="I383" s="24">
        <v>-47.389999999999993</v>
      </c>
      <c r="J383" s="4">
        <v>126.35999999999999</v>
      </c>
      <c r="K383" s="4">
        <v>0</v>
      </c>
      <c r="L383" s="19">
        <f t="shared" si="5"/>
        <v>-86.009999999999991</v>
      </c>
    </row>
    <row r="384" spans="1:12" hidden="1" x14ac:dyDescent="0.25">
      <c r="A384" s="2" t="s">
        <v>415</v>
      </c>
      <c r="B384" s="2" t="s">
        <v>416</v>
      </c>
      <c r="C384" s="2" t="s">
        <v>827</v>
      </c>
      <c r="D384" s="24">
        <v>2.2000000000000006</v>
      </c>
      <c r="E384" s="24">
        <v>0</v>
      </c>
      <c r="F384" s="24">
        <v>50</v>
      </c>
      <c r="G384" s="11">
        <v>2.8310687127941492E-15</v>
      </c>
      <c r="H384" s="24">
        <v>0</v>
      </c>
      <c r="I384" s="24">
        <v>-47.799999999999983</v>
      </c>
      <c r="J384" s="4">
        <v>25.410000000000011</v>
      </c>
      <c r="K384" s="4">
        <v>0</v>
      </c>
      <c r="L384" s="19">
        <f t="shared" si="5"/>
        <v>-47.8</v>
      </c>
    </row>
    <row r="385" spans="1:12" hidden="1" x14ac:dyDescent="0.25">
      <c r="A385" s="2" t="s">
        <v>972</v>
      </c>
      <c r="B385" s="2" t="s">
        <v>973</v>
      </c>
      <c r="C385" s="2" t="s">
        <v>315</v>
      </c>
      <c r="D385" s="24">
        <v>2</v>
      </c>
      <c r="E385" s="24">
        <v>0</v>
      </c>
      <c r="F385" s="24">
        <v>50</v>
      </c>
      <c r="G385" s="11">
        <v>0</v>
      </c>
      <c r="H385" s="24">
        <v>0</v>
      </c>
      <c r="I385" s="24">
        <v>-48</v>
      </c>
      <c r="J385" s="4">
        <v>180</v>
      </c>
      <c r="K385" s="4">
        <v>0</v>
      </c>
      <c r="L385" s="19">
        <f t="shared" si="5"/>
        <v>-48</v>
      </c>
    </row>
    <row r="386" spans="1:12" hidden="1" x14ac:dyDescent="0.25">
      <c r="A386" s="2" t="s">
        <v>674</v>
      </c>
      <c r="B386" s="2" t="s">
        <v>675</v>
      </c>
      <c r="C386" s="2" t="s">
        <v>1224</v>
      </c>
      <c r="D386" s="24">
        <v>102</v>
      </c>
      <c r="E386" s="24">
        <v>0</v>
      </c>
      <c r="F386" s="24">
        <v>150</v>
      </c>
      <c r="G386" s="11">
        <v>78</v>
      </c>
      <c r="H386" s="24">
        <v>0</v>
      </c>
      <c r="I386" s="24">
        <v>-48</v>
      </c>
      <c r="J386" s="4">
        <v>20.829999999999991</v>
      </c>
      <c r="K386" s="4">
        <v>0</v>
      </c>
      <c r="L386" s="19">
        <f t="shared" si="5"/>
        <v>-126</v>
      </c>
    </row>
    <row r="387" spans="1:12" hidden="1" x14ac:dyDescent="0.25">
      <c r="A387" s="2" t="s">
        <v>341</v>
      </c>
      <c r="B387" s="2" t="s">
        <v>342</v>
      </c>
      <c r="C387" s="2" t="s">
        <v>242</v>
      </c>
      <c r="D387" s="24">
        <v>37.82</v>
      </c>
      <c r="E387" s="24">
        <v>10.86</v>
      </c>
      <c r="F387" s="24">
        <v>75</v>
      </c>
      <c r="G387" s="11">
        <v>42.700000000000159</v>
      </c>
      <c r="H387" s="24">
        <v>0</v>
      </c>
      <c r="I387" s="24">
        <v>-48.039999999999985</v>
      </c>
      <c r="J387" s="4">
        <v>15</v>
      </c>
      <c r="K387" s="4">
        <v>0</v>
      </c>
      <c r="L387" s="19">
        <f t="shared" si="5"/>
        <v>-90.740000000000151</v>
      </c>
    </row>
    <row r="388" spans="1:12" hidden="1" x14ac:dyDescent="0.25">
      <c r="A388" s="2" t="s">
        <v>292</v>
      </c>
      <c r="B388" s="2" t="s">
        <v>293</v>
      </c>
      <c r="C388" s="2" t="s">
        <v>629</v>
      </c>
      <c r="D388" s="24">
        <v>132</v>
      </c>
      <c r="E388" s="24">
        <v>48</v>
      </c>
      <c r="F388" s="24">
        <v>133</v>
      </c>
      <c r="G388" s="11">
        <v>46</v>
      </c>
      <c r="H388" s="24">
        <v>0</v>
      </c>
      <c r="I388" s="24">
        <v>-49</v>
      </c>
      <c r="J388" s="4">
        <v>3.75</v>
      </c>
      <c r="K388" s="4">
        <v>0</v>
      </c>
      <c r="L388" s="19">
        <f t="shared" si="5"/>
        <v>-95</v>
      </c>
    </row>
    <row r="389" spans="1:12" hidden="1" x14ac:dyDescent="0.25">
      <c r="A389" s="2" t="s">
        <v>69</v>
      </c>
      <c r="B389" s="2" t="s">
        <v>70</v>
      </c>
      <c r="C389" s="2" t="s">
        <v>491</v>
      </c>
      <c r="D389" s="24">
        <v>184.60999999999999</v>
      </c>
      <c r="E389" s="24">
        <v>6.5400000000000009</v>
      </c>
      <c r="F389" s="24">
        <v>181</v>
      </c>
      <c r="G389" s="11">
        <v>-9.9475983006414026E-14</v>
      </c>
      <c r="H389" s="24">
        <v>46.100000000000016</v>
      </c>
      <c r="I389" s="24">
        <v>-49.030000000000008</v>
      </c>
      <c r="J389" s="4">
        <v>96.369999999999962</v>
      </c>
      <c r="K389" s="4">
        <v>0</v>
      </c>
      <c r="L389" s="19">
        <f t="shared" si="5"/>
        <v>-49.029999999999923</v>
      </c>
    </row>
    <row r="390" spans="1:12" hidden="1" x14ac:dyDescent="0.25">
      <c r="A390" s="2" t="s">
        <v>1008</v>
      </c>
      <c r="B390" s="2" t="s">
        <v>1009</v>
      </c>
      <c r="C390" s="2" t="s">
        <v>256</v>
      </c>
      <c r="D390" s="24">
        <v>4</v>
      </c>
      <c r="E390" s="24">
        <v>0</v>
      </c>
      <c r="F390" s="24">
        <v>54</v>
      </c>
      <c r="G390" s="11">
        <v>10</v>
      </c>
      <c r="H390" s="24">
        <v>0</v>
      </c>
      <c r="I390" s="24">
        <v>-50</v>
      </c>
      <c r="J390" s="4">
        <v>105.6</v>
      </c>
      <c r="K390" s="4">
        <v>0</v>
      </c>
      <c r="L390" s="19">
        <f t="shared" si="5"/>
        <v>-60</v>
      </c>
    </row>
    <row r="391" spans="1:12" hidden="1" x14ac:dyDescent="0.25">
      <c r="A391" s="2" t="s">
        <v>211</v>
      </c>
      <c r="B391" s="2" t="s">
        <v>212</v>
      </c>
      <c r="C391" s="2" t="s">
        <v>218</v>
      </c>
      <c r="D391" s="24">
        <v>19</v>
      </c>
      <c r="E391" s="24">
        <v>6</v>
      </c>
      <c r="F391" s="24">
        <v>23</v>
      </c>
      <c r="G391" s="11">
        <v>8</v>
      </c>
      <c r="H391" s="24">
        <v>40</v>
      </c>
      <c r="I391" s="24">
        <v>-50</v>
      </c>
      <c r="J391" s="4">
        <v>312</v>
      </c>
      <c r="K391" s="4">
        <v>0</v>
      </c>
      <c r="L391" s="19">
        <f t="shared" si="5"/>
        <v>-58</v>
      </c>
    </row>
    <row r="392" spans="1:12" hidden="1" x14ac:dyDescent="0.25">
      <c r="A392" s="2" t="s">
        <v>1127</v>
      </c>
      <c r="B392" s="2" t="s">
        <v>1128</v>
      </c>
      <c r="C392" s="2" t="s">
        <v>746</v>
      </c>
      <c r="D392" s="24">
        <v>9.5</v>
      </c>
      <c r="E392" s="24">
        <v>0</v>
      </c>
      <c r="F392" s="24">
        <v>60</v>
      </c>
      <c r="G392" s="11">
        <v>50</v>
      </c>
      <c r="H392" s="24">
        <v>0</v>
      </c>
      <c r="I392" s="24">
        <v>-50.5</v>
      </c>
      <c r="J392" s="4">
        <v>265</v>
      </c>
      <c r="K392" s="4">
        <v>0</v>
      </c>
      <c r="L392" s="19">
        <f t="shared" si="5"/>
        <v>-100.5</v>
      </c>
    </row>
    <row r="393" spans="1:12" hidden="1" x14ac:dyDescent="0.25">
      <c r="A393" s="2" t="s">
        <v>615</v>
      </c>
      <c r="B393" s="2" t="s">
        <v>616</v>
      </c>
      <c r="C393" s="2" t="s">
        <v>255</v>
      </c>
      <c r="D393" s="24">
        <v>20.5</v>
      </c>
      <c r="E393" s="24">
        <v>0</v>
      </c>
      <c r="F393" s="24">
        <v>72</v>
      </c>
      <c r="G393" s="11">
        <v>7</v>
      </c>
      <c r="H393" s="24">
        <v>0</v>
      </c>
      <c r="I393" s="24">
        <v>-51.5</v>
      </c>
      <c r="J393" s="4">
        <v>212.92999999999992</v>
      </c>
      <c r="K393" s="4">
        <v>0</v>
      </c>
      <c r="L393" s="19">
        <f t="shared" si="5"/>
        <v>-58.5</v>
      </c>
    </row>
    <row r="394" spans="1:12" hidden="1" x14ac:dyDescent="0.25">
      <c r="A394" s="2" t="s">
        <v>702</v>
      </c>
      <c r="B394" s="2" t="s">
        <v>703</v>
      </c>
      <c r="C394" s="2" t="s">
        <v>827</v>
      </c>
      <c r="D394" s="24">
        <v>48</v>
      </c>
      <c r="E394" s="24">
        <v>0</v>
      </c>
      <c r="F394" s="24">
        <v>100</v>
      </c>
      <c r="G394" s="11">
        <v>52</v>
      </c>
      <c r="H394" s="24">
        <v>0</v>
      </c>
      <c r="I394" s="24">
        <v>-52</v>
      </c>
      <c r="J394" s="4">
        <v>1.1299999999999994</v>
      </c>
      <c r="K394" s="4">
        <v>0</v>
      </c>
      <c r="L394" s="19">
        <f t="shared" si="5"/>
        <v>-104</v>
      </c>
    </row>
    <row r="395" spans="1:12" hidden="1" x14ac:dyDescent="0.25">
      <c r="A395" s="2" t="s">
        <v>519</v>
      </c>
      <c r="B395" s="2" t="s">
        <v>520</v>
      </c>
      <c r="C395" s="2" t="s">
        <v>242</v>
      </c>
      <c r="D395" s="24">
        <v>58.460000000000008</v>
      </c>
      <c r="E395" s="24">
        <v>0</v>
      </c>
      <c r="F395" s="24">
        <v>111</v>
      </c>
      <c r="G395" s="11">
        <v>4.2632564145606011E-14</v>
      </c>
      <c r="H395" s="24">
        <v>0</v>
      </c>
      <c r="I395" s="24">
        <v>-52.539999999999971</v>
      </c>
      <c r="J395" s="4">
        <v>36</v>
      </c>
      <c r="K395" s="4">
        <v>0</v>
      </c>
      <c r="L395" s="19">
        <f t="shared" si="5"/>
        <v>-52.540000000000035</v>
      </c>
    </row>
    <row r="396" spans="1:12" hidden="1" x14ac:dyDescent="0.25">
      <c r="A396" s="2" t="s">
        <v>725</v>
      </c>
      <c r="B396" s="2" t="s">
        <v>726</v>
      </c>
      <c r="C396" s="2" t="s">
        <v>242</v>
      </c>
      <c r="D396" s="24">
        <v>5</v>
      </c>
      <c r="E396" s="24">
        <v>2</v>
      </c>
      <c r="F396" s="24">
        <v>56</v>
      </c>
      <c r="G396" s="11">
        <v>4</v>
      </c>
      <c r="H396" s="24">
        <v>0</v>
      </c>
      <c r="I396" s="24">
        <v>-53</v>
      </c>
      <c r="J396" s="4">
        <v>16.5</v>
      </c>
      <c r="K396" s="4">
        <v>0</v>
      </c>
      <c r="L396" s="19">
        <f t="shared" si="5"/>
        <v>-57</v>
      </c>
    </row>
    <row r="397" spans="1:12" hidden="1" x14ac:dyDescent="0.25">
      <c r="A397" s="2" t="s">
        <v>362</v>
      </c>
      <c r="B397" s="2" t="s">
        <v>363</v>
      </c>
      <c r="C397" s="2" t="s">
        <v>315</v>
      </c>
      <c r="D397" s="24">
        <v>141.30000000000001</v>
      </c>
      <c r="E397" s="24">
        <v>0</v>
      </c>
      <c r="F397" s="24">
        <v>200</v>
      </c>
      <c r="G397" s="11">
        <v>39.999999999999773</v>
      </c>
      <c r="H397" s="24">
        <v>0</v>
      </c>
      <c r="I397" s="24">
        <v>-58.700000000000024</v>
      </c>
      <c r="J397" s="4">
        <v>22.5</v>
      </c>
      <c r="K397" s="4">
        <v>0</v>
      </c>
      <c r="L397" s="19">
        <f t="shared" ref="L397:L460" si="6">D397-E397-F397-G397-H397</f>
        <v>-98.699999999999761</v>
      </c>
    </row>
    <row r="398" spans="1:12" hidden="1" x14ac:dyDescent="0.25">
      <c r="A398" s="2" t="s">
        <v>364</v>
      </c>
      <c r="B398" s="2" t="s">
        <v>365</v>
      </c>
      <c r="C398" s="2" t="s">
        <v>315</v>
      </c>
      <c r="D398" s="24">
        <v>141.30000000000001</v>
      </c>
      <c r="E398" s="24">
        <v>0</v>
      </c>
      <c r="F398" s="24">
        <v>200</v>
      </c>
      <c r="G398" s="11">
        <v>59.900000000000077</v>
      </c>
      <c r="H398" s="24">
        <v>0</v>
      </c>
      <c r="I398" s="24">
        <v>-58.700000000000024</v>
      </c>
      <c r="J398" s="4">
        <v>22.5</v>
      </c>
      <c r="K398" s="4">
        <v>0</v>
      </c>
      <c r="L398" s="19">
        <f t="shared" si="6"/>
        <v>-118.60000000000007</v>
      </c>
    </row>
    <row r="399" spans="1:12" hidden="1" x14ac:dyDescent="0.25">
      <c r="A399" s="2" t="s">
        <v>871</v>
      </c>
      <c r="B399" s="2" t="s">
        <v>872</v>
      </c>
      <c r="C399" s="2" t="s">
        <v>873</v>
      </c>
      <c r="D399" s="24">
        <v>12</v>
      </c>
      <c r="E399" s="24">
        <v>0</v>
      </c>
      <c r="F399" s="24">
        <v>0</v>
      </c>
      <c r="G399" s="11">
        <v>8</v>
      </c>
      <c r="H399" s="24">
        <v>72</v>
      </c>
      <c r="I399" s="24">
        <v>-60</v>
      </c>
      <c r="J399" s="4">
        <v>5265.79</v>
      </c>
      <c r="K399" s="4">
        <v>0</v>
      </c>
      <c r="L399" s="19">
        <f t="shared" si="6"/>
        <v>-68</v>
      </c>
    </row>
    <row r="400" spans="1:12" hidden="1" x14ac:dyDescent="0.25">
      <c r="A400" s="2" t="s">
        <v>859</v>
      </c>
      <c r="B400" s="2" t="s">
        <v>860</v>
      </c>
      <c r="C400" s="2" t="s">
        <v>861</v>
      </c>
      <c r="D400" s="24">
        <v>36</v>
      </c>
      <c r="E400" s="24">
        <v>0</v>
      </c>
      <c r="F400" s="24">
        <v>100</v>
      </c>
      <c r="G400" s="11">
        <v>0</v>
      </c>
      <c r="H400" s="24">
        <v>0</v>
      </c>
      <c r="I400" s="24">
        <v>-64</v>
      </c>
      <c r="J400" s="4">
        <v>21.45</v>
      </c>
      <c r="K400" s="4">
        <v>0</v>
      </c>
      <c r="L400" s="19">
        <f t="shared" si="6"/>
        <v>-64</v>
      </c>
    </row>
    <row r="401" spans="1:12" hidden="1" x14ac:dyDescent="0.25">
      <c r="A401" s="2" t="s">
        <v>481</v>
      </c>
      <c r="B401" s="2" t="s">
        <v>482</v>
      </c>
      <c r="C401" s="2" t="s">
        <v>1223</v>
      </c>
      <c r="D401" s="24">
        <v>378</v>
      </c>
      <c r="E401" s="24">
        <v>0</v>
      </c>
      <c r="F401" s="24">
        <v>442</v>
      </c>
      <c r="G401" s="11">
        <v>0</v>
      </c>
      <c r="H401" s="24">
        <v>0</v>
      </c>
      <c r="I401" s="24">
        <v>-64</v>
      </c>
      <c r="J401" s="4">
        <v>9.3499999999999979</v>
      </c>
      <c r="K401" s="4">
        <v>0</v>
      </c>
      <c r="L401" s="19">
        <f t="shared" si="6"/>
        <v>-64</v>
      </c>
    </row>
    <row r="402" spans="1:12" hidden="1" x14ac:dyDescent="0.25">
      <c r="A402" s="2" t="s">
        <v>959</v>
      </c>
      <c r="B402" s="2" t="s">
        <v>960</v>
      </c>
      <c r="C402" s="2" t="s">
        <v>1224</v>
      </c>
      <c r="D402" s="24">
        <v>24</v>
      </c>
      <c r="E402" s="24">
        <v>0</v>
      </c>
      <c r="F402" s="24">
        <v>92</v>
      </c>
      <c r="G402" s="11">
        <v>0</v>
      </c>
      <c r="H402" s="24">
        <v>0</v>
      </c>
      <c r="I402" s="24">
        <v>-68</v>
      </c>
      <c r="J402" s="4">
        <v>33</v>
      </c>
      <c r="K402" s="4">
        <v>0</v>
      </c>
      <c r="L402" s="19">
        <f t="shared" si="6"/>
        <v>-68</v>
      </c>
    </row>
    <row r="403" spans="1:12" hidden="1" x14ac:dyDescent="0.25">
      <c r="A403" s="2" t="s">
        <v>446</v>
      </c>
      <c r="B403" s="2" t="s">
        <v>630</v>
      </c>
      <c r="C403" s="2" t="s">
        <v>629</v>
      </c>
      <c r="D403" s="24">
        <v>52</v>
      </c>
      <c r="E403" s="24">
        <v>8</v>
      </c>
      <c r="F403" s="24">
        <v>115</v>
      </c>
      <c r="G403" s="11">
        <v>28</v>
      </c>
      <c r="H403" s="24">
        <v>0</v>
      </c>
      <c r="I403" s="24">
        <v>-71</v>
      </c>
      <c r="J403" s="4">
        <v>250</v>
      </c>
      <c r="K403" s="4">
        <v>0</v>
      </c>
      <c r="L403" s="19">
        <f t="shared" si="6"/>
        <v>-99</v>
      </c>
    </row>
    <row r="404" spans="1:12" hidden="1" x14ac:dyDescent="0.25">
      <c r="A404" s="2" t="s">
        <v>517</v>
      </c>
      <c r="B404" s="2" t="s">
        <v>518</v>
      </c>
      <c r="C404" s="2" t="s">
        <v>347</v>
      </c>
      <c r="D404" s="24">
        <v>26</v>
      </c>
      <c r="E404" s="24">
        <v>9.5</v>
      </c>
      <c r="F404" s="24">
        <v>91</v>
      </c>
      <c r="G404" s="11">
        <v>17.800000000000004</v>
      </c>
      <c r="H404" s="24">
        <v>0</v>
      </c>
      <c r="I404" s="24">
        <v>-74.5</v>
      </c>
      <c r="J404" s="4">
        <v>85</v>
      </c>
      <c r="K404" s="4">
        <v>0</v>
      </c>
      <c r="L404" s="19">
        <f t="shared" si="6"/>
        <v>-92.300000000000011</v>
      </c>
    </row>
    <row r="405" spans="1:12" hidden="1" x14ac:dyDescent="0.25">
      <c r="A405" s="2" t="s">
        <v>3</v>
      </c>
      <c r="B405" s="2" t="s">
        <v>4</v>
      </c>
      <c r="C405" s="2" t="s">
        <v>1151</v>
      </c>
      <c r="D405" s="24">
        <v>74</v>
      </c>
      <c r="E405" s="24">
        <v>0</v>
      </c>
      <c r="F405" s="24">
        <v>150</v>
      </c>
      <c r="G405" s="11">
        <v>0</v>
      </c>
      <c r="H405" s="24">
        <v>0</v>
      </c>
      <c r="I405" s="24">
        <v>-76</v>
      </c>
      <c r="J405" s="4">
        <v>320</v>
      </c>
      <c r="K405" s="4">
        <v>0</v>
      </c>
      <c r="L405" s="19">
        <f t="shared" si="6"/>
        <v>-76</v>
      </c>
    </row>
    <row r="406" spans="1:12" hidden="1" x14ac:dyDescent="0.25">
      <c r="A406" s="2" t="s">
        <v>503</v>
      </c>
      <c r="B406" s="2" t="s">
        <v>504</v>
      </c>
      <c r="C406" s="2" t="s">
        <v>505</v>
      </c>
      <c r="D406" s="24">
        <v>38</v>
      </c>
      <c r="E406" s="24">
        <v>0</v>
      </c>
      <c r="F406" s="24">
        <v>115</v>
      </c>
      <c r="G406" s="11">
        <v>2</v>
      </c>
      <c r="H406" s="24">
        <v>0</v>
      </c>
      <c r="I406" s="24">
        <v>-77</v>
      </c>
      <c r="J406" s="4">
        <v>0.44000000000000017</v>
      </c>
      <c r="K406" s="4">
        <v>0</v>
      </c>
      <c r="L406" s="19">
        <f t="shared" si="6"/>
        <v>-79</v>
      </c>
    </row>
    <row r="407" spans="1:12" hidden="1" x14ac:dyDescent="0.25">
      <c r="A407" s="2" t="s">
        <v>240</v>
      </c>
      <c r="B407" s="2" t="s">
        <v>241</v>
      </c>
      <c r="C407" s="2" t="s">
        <v>242</v>
      </c>
      <c r="D407" s="24">
        <v>71.139999999999986</v>
      </c>
      <c r="E407" s="24">
        <v>39.800000000000004</v>
      </c>
      <c r="F407" s="24">
        <v>110</v>
      </c>
      <c r="G407" s="11">
        <v>57.220000000000049</v>
      </c>
      <c r="H407" s="24">
        <v>0</v>
      </c>
      <c r="I407" s="24">
        <v>-78.660000000000053</v>
      </c>
      <c r="J407" s="4">
        <v>40</v>
      </c>
      <c r="K407" s="4">
        <v>0</v>
      </c>
      <c r="L407" s="19">
        <f t="shared" si="6"/>
        <v>-135.88000000000008</v>
      </c>
    </row>
    <row r="408" spans="1:12" hidden="1" x14ac:dyDescent="0.25">
      <c r="A408" s="2" t="s">
        <v>979</v>
      </c>
      <c r="B408" s="2" t="s">
        <v>980</v>
      </c>
      <c r="C408" s="2" t="s">
        <v>221</v>
      </c>
      <c r="D408" s="24">
        <v>0.32</v>
      </c>
      <c r="E408" s="24">
        <v>0</v>
      </c>
      <c r="F408" s="24">
        <v>80</v>
      </c>
      <c r="G408" s="11">
        <v>56.840000000000018</v>
      </c>
      <c r="H408" s="24">
        <v>0</v>
      </c>
      <c r="I408" s="24">
        <v>-79.680000000000007</v>
      </c>
      <c r="J408" s="4">
        <v>9.5</v>
      </c>
      <c r="K408" s="4">
        <v>0</v>
      </c>
      <c r="L408" s="19">
        <f t="shared" si="6"/>
        <v>-136.52000000000004</v>
      </c>
    </row>
    <row r="409" spans="1:12" hidden="1" x14ac:dyDescent="0.25">
      <c r="A409" s="2" t="s">
        <v>284</v>
      </c>
      <c r="B409" s="2" t="s">
        <v>285</v>
      </c>
      <c r="C409" s="2" t="s">
        <v>242</v>
      </c>
      <c r="D409" s="24">
        <v>22.650000000000002</v>
      </c>
      <c r="E409" s="24">
        <v>0</v>
      </c>
      <c r="F409" s="24">
        <v>104</v>
      </c>
      <c r="G409" s="11">
        <v>3.5527136788005009E-15</v>
      </c>
      <c r="H409" s="24">
        <v>0</v>
      </c>
      <c r="I409" s="24">
        <v>-81.34999999999998</v>
      </c>
      <c r="J409" s="4">
        <v>22</v>
      </c>
      <c r="K409" s="4">
        <v>0</v>
      </c>
      <c r="L409" s="19">
        <f t="shared" si="6"/>
        <v>-81.349999999999994</v>
      </c>
    </row>
    <row r="410" spans="1:12" hidden="1" x14ac:dyDescent="0.25">
      <c r="A410" s="2" t="s">
        <v>474</v>
      </c>
      <c r="B410" s="2" t="s">
        <v>475</v>
      </c>
      <c r="C410" s="2" t="s">
        <v>242</v>
      </c>
      <c r="D410" s="24">
        <v>828</v>
      </c>
      <c r="E410" s="24">
        <v>30</v>
      </c>
      <c r="F410" s="24">
        <v>880</v>
      </c>
      <c r="G410" s="11">
        <v>414</v>
      </c>
      <c r="H410" s="24">
        <v>0</v>
      </c>
      <c r="I410" s="24">
        <v>-82</v>
      </c>
      <c r="J410" s="4">
        <v>2.1000000000000005</v>
      </c>
      <c r="K410" s="4">
        <v>0</v>
      </c>
      <c r="L410" s="19">
        <f t="shared" si="6"/>
        <v>-496</v>
      </c>
    </row>
    <row r="411" spans="1:12" hidden="1" x14ac:dyDescent="0.25">
      <c r="A411" s="2" t="s">
        <v>812</v>
      </c>
      <c r="B411" s="2" t="s">
        <v>813</v>
      </c>
      <c r="C411" s="2" t="s">
        <v>1223</v>
      </c>
      <c r="D411" s="24">
        <v>16</v>
      </c>
      <c r="E411" s="24">
        <v>0</v>
      </c>
      <c r="F411" s="24">
        <v>100</v>
      </c>
      <c r="G411" s="11">
        <v>138</v>
      </c>
      <c r="H411" s="24">
        <v>0</v>
      </c>
      <c r="I411" s="24">
        <v>-84</v>
      </c>
      <c r="J411" s="4">
        <v>8</v>
      </c>
      <c r="K411" s="4">
        <v>0</v>
      </c>
      <c r="L411" s="19">
        <f t="shared" si="6"/>
        <v>-222</v>
      </c>
    </row>
    <row r="412" spans="1:12" hidden="1" x14ac:dyDescent="0.25">
      <c r="A412" s="2" t="s">
        <v>915</v>
      </c>
      <c r="B412" s="2" t="s">
        <v>916</v>
      </c>
      <c r="C412" s="2" t="s">
        <v>827</v>
      </c>
      <c r="D412" s="24">
        <v>15</v>
      </c>
      <c r="E412" s="24">
        <v>0</v>
      </c>
      <c r="F412" s="24">
        <v>100</v>
      </c>
      <c r="G412" s="11">
        <v>26</v>
      </c>
      <c r="H412" s="24">
        <v>0</v>
      </c>
      <c r="I412" s="24">
        <v>-85</v>
      </c>
      <c r="J412" s="4">
        <v>49.1</v>
      </c>
      <c r="K412" s="4">
        <v>0</v>
      </c>
      <c r="L412" s="19">
        <f t="shared" si="6"/>
        <v>-111</v>
      </c>
    </row>
    <row r="413" spans="1:12" hidden="1" x14ac:dyDescent="0.25">
      <c r="A413" s="2" t="s">
        <v>913</v>
      </c>
      <c r="B413" s="2" t="s">
        <v>914</v>
      </c>
      <c r="C413" s="2" t="s">
        <v>827</v>
      </c>
      <c r="D413" s="24">
        <v>15</v>
      </c>
      <c r="E413" s="24">
        <v>0</v>
      </c>
      <c r="F413" s="24">
        <v>100</v>
      </c>
      <c r="G413" s="11">
        <v>26</v>
      </c>
      <c r="H413" s="24">
        <v>0</v>
      </c>
      <c r="I413" s="24">
        <v>-85</v>
      </c>
      <c r="J413" s="4">
        <v>49.1</v>
      </c>
      <c r="K413" s="4">
        <v>0</v>
      </c>
      <c r="L413" s="19">
        <f t="shared" si="6"/>
        <v>-111</v>
      </c>
    </row>
    <row r="414" spans="1:12" hidden="1" x14ac:dyDescent="0.25">
      <c r="A414" s="2" t="s">
        <v>787</v>
      </c>
      <c r="B414" s="2" t="s">
        <v>788</v>
      </c>
      <c r="C414" s="2" t="s">
        <v>827</v>
      </c>
      <c r="D414" s="24">
        <v>11.5</v>
      </c>
      <c r="E414" s="24">
        <v>0</v>
      </c>
      <c r="F414" s="24">
        <v>100</v>
      </c>
      <c r="G414" s="11">
        <v>185.5</v>
      </c>
      <c r="H414" s="24">
        <v>0</v>
      </c>
      <c r="I414" s="24">
        <v>-88.5</v>
      </c>
      <c r="J414" s="4">
        <v>57.6</v>
      </c>
      <c r="K414" s="4">
        <v>0</v>
      </c>
      <c r="L414" s="19">
        <f t="shared" si="6"/>
        <v>-274</v>
      </c>
    </row>
    <row r="415" spans="1:12" hidden="1" x14ac:dyDescent="0.25">
      <c r="A415" s="2" t="s">
        <v>205</v>
      </c>
      <c r="B415" s="2" t="s">
        <v>206</v>
      </c>
      <c r="C415" s="2" t="s">
        <v>221</v>
      </c>
      <c r="D415" s="24">
        <v>10.5</v>
      </c>
      <c r="E415" s="24">
        <v>0</v>
      </c>
      <c r="F415" s="24">
        <v>100</v>
      </c>
      <c r="G415" s="11">
        <v>41</v>
      </c>
      <c r="H415" s="24">
        <v>0</v>
      </c>
      <c r="I415" s="24">
        <v>-89.5</v>
      </c>
      <c r="J415" s="4">
        <v>60</v>
      </c>
      <c r="K415" s="4">
        <v>0</v>
      </c>
      <c r="L415" s="19">
        <f t="shared" si="6"/>
        <v>-130.5</v>
      </c>
    </row>
    <row r="416" spans="1:12" hidden="1" x14ac:dyDescent="0.25">
      <c r="A416" s="2" t="s">
        <v>902</v>
      </c>
      <c r="B416" s="2" t="s">
        <v>903</v>
      </c>
      <c r="C416" s="2" t="s">
        <v>1222</v>
      </c>
      <c r="D416" s="24">
        <v>12</v>
      </c>
      <c r="E416" s="24">
        <v>0</v>
      </c>
      <c r="F416" s="24">
        <v>102</v>
      </c>
      <c r="G416" s="11">
        <v>0</v>
      </c>
      <c r="H416" s="24">
        <v>0</v>
      </c>
      <c r="I416" s="24">
        <v>-90</v>
      </c>
      <c r="J416" s="4">
        <v>7</v>
      </c>
      <c r="K416" s="4">
        <v>0</v>
      </c>
      <c r="L416" s="19">
        <f t="shared" si="6"/>
        <v>-90</v>
      </c>
    </row>
    <row r="417" spans="1:12" hidden="1" x14ac:dyDescent="0.25">
      <c r="A417" s="2" t="s">
        <v>479</v>
      </c>
      <c r="B417" s="2" t="s">
        <v>480</v>
      </c>
      <c r="C417" s="2" t="s">
        <v>1223</v>
      </c>
      <c r="D417" s="24">
        <v>860</v>
      </c>
      <c r="E417" s="24">
        <v>0</v>
      </c>
      <c r="F417" s="24">
        <v>950</v>
      </c>
      <c r="G417" s="11">
        <v>380</v>
      </c>
      <c r="H417" s="24">
        <v>0</v>
      </c>
      <c r="I417" s="24">
        <v>-90</v>
      </c>
      <c r="J417" s="4">
        <v>0.40000000000000013</v>
      </c>
      <c r="K417" s="4">
        <v>0</v>
      </c>
      <c r="L417" s="19">
        <f t="shared" si="6"/>
        <v>-470</v>
      </c>
    </row>
    <row r="418" spans="1:12" hidden="1" x14ac:dyDescent="0.25">
      <c r="A418" s="2" t="s">
        <v>478</v>
      </c>
      <c r="B418" s="2" t="s">
        <v>565</v>
      </c>
      <c r="C418" s="2" t="s">
        <v>242</v>
      </c>
      <c r="D418" s="24">
        <v>9.5</v>
      </c>
      <c r="E418" s="24">
        <v>0</v>
      </c>
      <c r="F418" s="24">
        <v>100</v>
      </c>
      <c r="G418" s="11">
        <v>0</v>
      </c>
      <c r="H418" s="24">
        <v>0</v>
      </c>
      <c r="I418" s="24">
        <v>-90.5</v>
      </c>
      <c r="J418" s="4">
        <v>13.5</v>
      </c>
      <c r="K418" s="4">
        <v>0</v>
      </c>
      <c r="L418" s="19">
        <f t="shared" si="6"/>
        <v>-90.5</v>
      </c>
    </row>
    <row r="419" spans="1:12" hidden="1" x14ac:dyDescent="0.25">
      <c r="A419" s="2" t="s">
        <v>945</v>
      </c>
      <c r="B419" s="2" t="s">
        <v>946</v>
      </c>
      <c r="C419" s="2" t="s">
        <v>242</v>
      </c>
      <c r="D419" s="24">
        <v>6</v>
      </c>
      <c r="E419" s="24">
        <v>0</v>
      </c>
      <c r="F419" s="24">
        <v>100</v>
      </c>
      <c r="G419" s="11">
        <v>1016</v>
      </c>
      <c r="H419" s="24">
        <v>0</v>
      </c>
      <c r="I419" s="24">
        <v>-94</v>
      </c>
      <c r="J419" s="4">
        <v>1.3</v>
      </c>
      <c r="K419" s="4">
        <v>0</v>
      </c>
      <c r="L419" s="19">
        <f t="shared" si="6"/>
        <v>-1110</v>
      </c>
    </row>
    <row r="420" spans="1:12" hidden="1" x14ac:dyDescent="0.25">
      <c r="A420" s="2" t="s">
        <v>659</v>
      </c>
      <c r="B420" s="2" t="s">
        <v>660</v>
      </c>
      <c r="C420" s="2" t="s">
        <v>242</v>
      </c>
      <c r="D420" s="24">
        <v>8</v>
      </c>
      <c r="E420" s="24">
        <v>2</v>
      </c>
      <c r="F420" s="24">
        <v>0</v>
      </c>
      <c r="G420" s="11">
        <v>65</v>
      </c>
      <c r="H420" s="24">
        <v>100</v>
      </c>
      <c r="I420" s="24">
        <v>-94</v>
      </c>
      <c r="J420" s="4">
        <v>115</v>
      </c>
      <c r="K420" s="4">
        <v>0</v>
      </c>
      <c r="L420" s="19">
        <f t="shared" si="6"/>
        <v>-159</v>
      </c>
    </row>
    <row r="421" spans="1:12" hidden="1" x14ac:dyDescent="0.25">
      <c r="A421" s="2" t="s">
        <v>824</v>
      </c>
      <c r="B421" s="2" t="s">
        <v>825</v>
      </c>
      <c r="C421" s="2" t="s">
        <v>1223</v>
      </c>
      <c r="D421" s="24">
        <v>88</v>
      </c>
      <c r="E421" s="24">
        <v>8</v>
      </c>
      <c r="F421" s="24">
        <v>175</v>
      </c>
      <c r="G421" s="11">
        <v>0</v>
      </c>
      <c r="H421" s="24">
        <v>0</v>
      </c>
      <c r="I421" s="24">
        <v>-95</v>
      </c>
      <c r="J421" s="4">
        <v>8.42</v>
      </c>
      <c r="K421" s="4">
        <v>0</v>
      </c>
      <c r="L421" s="19">
        <f t="shared" si="6"/>
        <v>-95</v>
      </c>
    </row>
    <row r="422" spans="1:12" hidden="1" x14ac:dyDescent="0.25">
      <c r="A422" s="2" t="s">
        <v>1199</v>
      </c>
      <c r="B422" s="2" t="s">
        <v>1200</v>
      </c>
      <c r="C422" s="2" t="s">
        <v>762</v>
      </c>
      <c r="D422" s="24">
        <v>16</v>
      </c>
      <c r="E422" s="24">
        <v>0</v>
      </c>
      <c r="F422" s="24">
        <v>113</v>
      </c>
      <c r="G422" s="11">
        <v>0</v>
      </c>
      <c r="H422" s="24">
        <v>0</v>
      </c>
      <c r="I422" s="24">
        <v>-97</v>
      </c>
      <c r="J422" s="4">
        <v>75</v>
      </c>
      <c r="K422" s="4">
        <v>0</v>
      </c>
      <c r="L422" s="19">
        <f t="shared" si="6"/>
        <v>-97</v>
      </c>
    </row>
    <row r="423" spans="1:12" hidden="1" x14ac:dyDescent="0.25">
      <c r="A423" s="2" t="s">
        <v>13</v>
      </c>
      <c r="B423" s="2" t="s">
        <v>14</v>
      </c>
      <c r="C423" s="2" t="s">
        <v>636</v>
      </c>
      <c r="D423" s="24">
        <v>3</v>
      </c>
      <c r="E423" s="24">
        <v>0</v>
      </c>
      <c r="F423" s="24">
        <v>100</v>
      </c>
      <c r="G423" s="11">
        <v>4.5474735088646412E-13</v>
      </c>
      <c r="H423" s="24">
        <v>0</v>
      </c>
      <c r="I423" s="24">
        <v>-97</v>
      </c>
      <c r="J423" s="4">
        <v>24</v>
      </c>
      <c r="K423" s="4">
        <v>0</v>
      </c>
      <c r="L423" s="19">
        <f t="shared" si="6"/>
        <v>-97.000000000000455</v>
      </c>
    </row>
    <row r="424" spans="1:12" hidden="1" x14ac:dyDescent="0.25">
      <c r="A424" s="2" t="s">
        <v>1129</v>
      </c>
      <c r="B424" s="2" t="s">
        <v>1130</v>
      </c>
      <c r="C424" s="2" t="s">
        <v>242</v>
      </c>
      <c r="D424" s="24">
        <v>5</v>
      </c>
      <c r="E424" s="24">
        <v>5</v>
      </c>
      <c r="F424" s="24">
        <v>100</v>
      </c>
      <c r="G424" s="11">
        <v>117</v>
      </c>
      <c r="H424" s="24">
        <v>0</v>
      </c>
      <c r="I424" s="24">
        <v>-100</v>
      </c>
      <c r="J424" s="4">
        <v>13.5</v>
      </c>
      <c r="K424" s="4">
        <v>0</v>
      </c>
      <c r="L424" s="19">
        <f t="shared" si="6"/>
        <v>-217</v>
      </c>
    </row>
    <row r="425" spans="1:12" hidden="1" x14ac:dyDescent="0.25">
      <c r="A425" s="2" t="s">
        <v>583</v>
      </c>
      <c r="B425" s="2" t="s">
        <v>584</v>
      </c>
      <c r="C425" s="2" t="s">
        <v>491</v>
      </c>
      <c r="D425" s="24">
        <v>100.30000000000003</v>
      </c>
      <c r="E425" s="24">
        <v>5.9</v>
      </c>
      <c r="F425" s="24">
        <v>100</v>
      </c>
      <c r="G425" s="11">
        <v>197.39999999999981</v>
      </c>
      <c r="H425" s="24">
        <v>100</v>
      </c>
      <c r="I425" s="24">
        <v>-105.59999999999997</v>
      </c>
      <c r="J425" s="4">
        <v>232.75</v>
      </c>
      <c r="K425" s="4">
        <v>0</v>
      </c>
      <c r="L425" s="19">
        <f t="shared" si="6"/>
        <v>-302.99999999999977</v>
      </c>
    </row>
    <row r="426" spans="1:12" hidden="1" x14ac:dyDescent="0.25">
      <c r="A426" s="2" t="s">
        <v>547</v>
      </c>
      <c r="B426" s="2" t="s">
        <v>548</v>
      </c>
      <c r="C426" s="2" t="s">
        <v>1222</v>
      </c>
      <c r="D426" s="24">
        <v>9</v>
      </c>
      <c r="E426" s="24">
        <v>6</v>
      </c>
      <c r="F426" s="24">
        <v>109</v>
      </c>
      <c r="G426" s="11">
        <v>6</v>
      </c>
      <c r="H426" s="24">
        <v>0</v>
      </c>
      <c r="I426" s="24">
        <v>-106</v>
      </c>
      <c r="J426" s="4">
        <v>90</v>
      </c>
      <c r="K426" s="4">
        <v>0</v>
      </c>
      <c r="L426" s="19">
        <f t="shared" si="6"/>
        <v>-112</v>
      </c>
    </row>
    <row r="427" spans="1:12" hidden="1" x14ac:dyDescent="0.25">
      <c r="A427" s="2" t="s">
        <v>617</v>
      </c>
      <c r="B427" s="2" t="s">
        <v>618</v>
      </c>
      <c r="C427" s="2" t="s">
        <v>1222</v>
      </c>
      <c r="D427" s="24">
        <v>5</v>
      </c>
      <c r="E427" s="24">
        <v>0</v>
      </c>
      <c r="F427" s="24">
        <v>114</v>
      </c>
      <c r="G427" s="11">
        <v>0</v>
      </c>
      <c r="H427" s="24">
        <v>0</v>
      </c>
      <c r="I427" s="24">
        <v>-109</v>
      </c>
      <c r="J427" s="4">
        <v>10</v>
      </c>
      <c r="K427" s="4">
        <v>0</v>
      </c>
      <c r="L427" s="19">
        <f t="shared" si="6"/>
        <v>-109</v>
      </c>
    </row>
    <row r="428" spans="1:12" hidden="1" x14ac:dyDescent="0.25">
      <c r="A428" s="2" t="s">
        <v>296</v>
      </c>
      <c r="B428" s="2" t="s">
        <v>297</v>
      </c>
      <c r="C428" s="2" t="s">
        <v>827</v>
      </c>
      <c r="D428" s="24">
        <v>12</v>
      </c>
      <c r="E428" s="24">
        <v>9</v>
      </c>
      <c r="F428" s="24">
        <v>118</v>
      </c>
      <c r="G428" s="11">
        <v>21</v>
      </c>
      <c r="H428" s="24">
        <v>0</v>
      </c>
      <c r="I428" s="24">
        <v>-115</v>
      </c>
      <c r="J428" s="4">
        <v>14.33</v>
      </c>
      <c r="K428" s="4">
        <v>0</v>
      </c>
      <c r="L428" s="19">
        <f t="shared" si="6"/>
        <v>-136</v>
      </c>
    </row>
    <row r="429" spans="1:12" hidden="1" x14ac:dyDescent="0.25">
      <c r="A429" s="2" t="s">
        <v>700</v>
      </c>
      <c r="B429" s="2" t="s">
        <v>701</v>
      </c>
      <c r="C429" s="2" t="s">
        <v>221</v>
      </c>
      <c r="D429" s="24">
        <v>21</v>
      </c>
      <c r="E429" s="24">
        <v>4</v>
      </c>
      <c r="F429" s="24">
        <v>136</v>
      </c>
      <c r="G429" s="11">
        <v>6</v>
      </c>
      <c r="H429" s="24">
        <v>0</v>
      </c>
      <c r="I429" s="24">
        <v>-119</v>
      </c>
      <c r="J429" s="4">
        <v>39.600000000000009</v>
      </c>
      <c r="K429" s="4">
        <v>0</v>
      </c>
      <c r="L429" s="19">
        <f t="shared" si="6"/>
        <v>-125</v>
      </c>
    </row>
    <row r="430" spans="1:12" hidden="1" x14ac:dyDescent="0.25">
      <c r="A430" s="2" t="s">
        <v>56</v>
      </c>
      <c r="B430" s="2" t="s">
        <v>57</v>
      </c>
      <c r="C430" s="2" t="s">
        <v>827</v>
      </c>
      <c r="D430" s="24">
        <v>24</v>
      </c>
      <c r="E430" s="24">
        <v>6</v>
      </c>
      <c r="F430" s="24">
        <v>140</v>
      </c>
      <c r="G430" s="11">
        <v>0</v>
      </c>
      <c r="H430" s="24">
        <v>0</v>
      </c>
      <c r="I430" s="24">
        <v>-122</v>
      </c>
      <c r="J430" s="4">
        <v>25.42</v>
      </c>
      <c r="K430" s="4">
        <v>0</v>
      </c>
      <c r="L430" s="19">
        <f t="shared" si="6"/>
        <v>-122</v>
      </c>
    </row>
    <row r="431" spans="1:12" hidden="1" x14ac:dyDescent="0.25">
      <c r="A431" s="2" t="s">
        <v>986</v>
      </c>
      <c r="B431" s="2" t="s">
        <v>987</v>
      </c>
      <c r="C431" s="2" t="s">
        <v>491</v>
      </c>
      <c r="D431" s="24">
        <v>29.5</v>
      </c>
      <c r="E431" s="24">
        <v>14.5</v>
      </c>
      <c r="F431" s="24">
        <v>139</v>
      </c>
      <c r="G431" s="11">
        <v>45.500000000000114</v>
      </c>
      <c r="H431" s="24">
        <v>0</v>
      </c>
      <c r="I431" s="24">
        <v>-124</v>
      </c>
      <c r="J431" s="4">
        <v>233.95</v>
      </c>
      <c r="K431" s="4">
        <v>0</v>
      </c>
      <c r="L431" s="19">
        <f t="shared" si="6"/>
        <v>-169.50000000000011</v>
      </c>
    </row>
    <row r="432" spans="1:12" hidden="1" x14ac:dyDescent="0.25">
      <c r="A432" s="2" t="s">
        <v>354</v>
      </c>
      <c r="B432" s="2" t="s">
        <v>355</v>
      </c>
      <c r="C432" s="2" t="s">
        <v>1223</v>
      </c>
      <c r="D432" s="24">
        <v>358</v>
      </c>
      <c r="E432" s="24">
        <v>0</v>
      </c>
      <c r="F432" s="24">
        <v>491</v>
      </c>
      <c r="G432" s="11">
        <v>50</v>
      </c>
      <c r="H432" s="24">
        <v>0</v>
      </c>
      <c r="I432" s="24">
        <v>-133</v>
      </c>
      <c r="J432" s="4">
        <v>10.650000000000002</v>
      </c>
      <c r="K432" s="4">
        <v>0</v>
      </c>
      <c r="L432" s="19">
        <f t="shared" si="6"/>
        <v>-183</v>
      </c>
    </row>
    <row r="433" spans="1:12" hidden="1" x14ac:dyDescent="0.25">
      <c r="A433" s="2" t="s">
        <v>853</v>
      </c>
      <c r="B433" s="2" t="s">
        <v>854</v>
      </c>
      <c r="C433" s="2" t="s">
        <v>1223</v>
      </c>
      <c r="D433" s="24">
        <v>116</v>
      </c>
      <c r="E433" s="24">
        <v>0</v>
      </c>
      <c r="F433" s="24">
        <v>250</v>
      </c>
      <c r="G433" s="11">
        <v>835</v>
      </c>
      <c r="H433" s="24">
        <v>0</v>
      </c>
      <c r="I433" s="24">
        <v>-134</v>
      </c>
      <c r="J433" s="4">
        <v>1.5799999999999998</v>
      </c>
      <c r="K433" s="4">
        <v>0</v>
      </c>
      <c r="L433" s="19">
        <f t="shared" si="6"/>
        <v>-969</v>
      </c>
    </row>
    <row r="434" spans="1:12" hidden="1" x14ac:dyDescent="0.25">
      <c r="A434" s="2" t="s">
        <v>797</v>
      </c>
      <c r="B434" s="2" t="s">
        <v>798</v>
      </c>
      <c r="C434" s="2" t="s">
        <v>1224</v>
      </c>
      <c r="D434" s="24">
        <v>60</v>
      </c>
      <c r="E434" s="24">
        <v>0</v>
      </c>
      <c r="F434" s="24">
        <v>200</v>
      </c>
      <c r="G434" s="11">
        <v>61</v>
      </c>
      <c r="H434" s="24">
        <v>0</v>
      </c>
      <c r="I434" s="24">
        <v>-140</v>
      </c>
      <c r="J434" s="4">
        <v>12</v>
      </c>
      <c r="K434" s="4">
        <v>0</v>
      </c>
      <c r="L434" s="19">
        <f t="shared" si="6"/>
        <v>-201</v>
      </c>
    </row>
    <row r="435" spans="1:12" hidden="1" x14ac:dyDescent="0.25">
      <c r="A435" s="2" t="s">
        <v>862</v>
      </c>
      <c r="B435" s="2" t="s">
        <v>863</v>
      </c>
      <c r="C435" s="2" t="s">
        <v>861</v>
      </c>
      <c r="D435" s="24">
        <v>36</v>
      </c>
      <c r="E435" s="24">
        <v>0</v>
      </c>
      <c r="F435" s="24">
        <v>178</v>
      </c>
      <c r="G435" s="11">
        <v>0</v>
      </c>
      <c r="H435" s="24">
        <v>0</v>
      </c>
      <c r="I435" s="24">
        <v>-142</v>
      </c>
      <c r="J435" s="4">
        <v>3.4500000000000006</v>
      </c>
      <c r="K435" s="4">
        <v>0</v>
      </c>
      <c r="L435" s="19">
        <f t="shared" si="6"/>
        <v>-142</v>
      </c>
    </row>
    <row r="436" spans="1:12" hidden="1" x14ac:dyDescent="0.25">
      <c r="A436" s="2" t="s">
        <v>535</v>
      </c>
      <c r="B436" s="2" t="s">
        <v>536</v>
      </c>
      <c r="C436" s="2" t="s">
        <v>242</v>
      </c>
      <c r="D436" s="24">
        <v>66</v>
      </c>
      <c r="E436" s="24">
        <v>0</v>
      </c>
      <c r="F436" s="24">
        <v>212</v>
      </c>
      <c r="G436" s="11">
        <v>625</v>
      </c>
      <c r="H436" s="24">
        <v>0</v>
      </c>
      <c r="I436" s="24">
        <v>-146</v>
      </c>
      <c r="J436" s="4">
        <v>3.9500000000000006</v>
      </c>
      <c r="K436" s="4">
        <v>0</v>
      </c>
      <c r="L436" s="19">
        <f t="shared" si="6"/>
        <v>-771</v>
      </c>
    </row>
    <row r="437" spans="1:12" hidden="1" x14ac:dyDescent="0.25">
      <c r="A437" s="2" t="s">
        <v>411</v>
      </c>
      <c r="B437" s="2" t="s">
        <v>412</v>
      </c>
      <c r="C437" s="2" t="s">
        <v>221</v>
      </c>
      <c r="D437" s="24">
        <v>0.23500000000000001</v>
      </c>
      <c r="E437" s="24">
        <v>0</v>
      </c>
      <c r="F437" s="24">
        <v>150</v>
      </c>
      <c r="G437" s="11">
        <v>0</v>
      </c>
      <c r="H437" s="24">
        <v>0</v>
      </c>
      <c r="I437" s="24">
        <v>-149.76499999999993</v>
      </c>
      <c r="J437" s="4">
        <v>1.8</v>
      </c>
      <c r="K437" s="4">
        <v>0</v>
      </c>
      <c r="L437" s="19">
        <f t="shared" si="6"/>
        <v>-149.76499999999999</v>
      </c>
    </row>
    <row r="438" spans="1:12" hidden="1" x14ac:dyDescent="0.25">
      <c r="A438" s="2" t="s">
        <v>521</v>
      </c>
      <c r="B438" s="2" t="s">
        <v>522</v>
      </c>
      <c r="C438" s="2" t="s">
        <v>1224</v>
      </c>
      <c r="D438" s="24">
        <v>40</v>
      </c>
      <c r="E438" s="24">
        <v>5</v>
      </c>
      <c r="F438" s="24">
        <v>200</v>
      </c>
      <c r="G438" s="11">
        <v>70</v>
      </c>
      <c r="H438" s="24">
        <v>0</v>
      </c>
      <c r="I438" s="24">
        <v>-165</v>
      </c>
      <c r="J438" s="4">
        <v>10</v>
      </c>
      <c r="K438" s="4">
        <v>0</v>
      </c>
      <c r="L438" s="19">
        <f t="shared" si="6"/>
        <v>-235</v>
      </c>
    </row>
    <row r="439" spans="1:12" hidden="1" x14ac:dyDescent="0.25">
      <c r="A439" s="2" t="s">
        <v>539</v>
      </c>
      <c r="B439" s="2" t="s">
        <v>540</v>
      </c>
      <c r="C439" s="2" t="s">
        <v>1222</v>
      </c>
      <c r="D439" s="24">
        <v>86</v>
      </c>
      <c r="E439" s="24">
        <v>2</v>
      </c>
      <c r="F439" s="24">
        <v>250</v>
      </c>
      <c r="G439" s="11">
        <v>3</v>
      </c>
      <c r="H439" s="24">
        <v>0</v>
      </c>
      <c r="I439" s="24">
        <v>-166</v>
      </c>
      <c r="J439" s="4">
        <v>2</v>
      </c>
      <c r="K439" s="4">
        <v>0</v>
      </c>
      <c r="L439" s="19">
        <f t="shared" si="6"/>
        <v>-169</v>
      </c>
    </row>
    <row r="440" spans="1:12" hidden="1" x14ac:dyDescent="0.25">
      <c r="A440" s="2" t="s">
        <v>465</v>
      </c>
      <c r="B440" s="2" t="s">
        <v>466</v>
      </c>
      <c r="C440" s="2" t="s">
        <v>242</v>
      </c>
      <c r="D440" s="24">
        <v>56</v>
      </c>
      <c r="E440" s="24">
        <v>0</v>
      </c>
      <c r="F440" s="24">
        <v>222</v>
      </c>
      <c r="G440" s="11">
        <v>2</v>
      </c>
      <c r="H440" s="24">
        <v>0</v>
      </c>
      <c r="I440" s="24">
        <v>-166</v>
      </c>
      <c r="J440" s="4">
        <v>11.5</v>
      </c>
      <c r="K440" s="4">
        <v>0</v>
      </c>
      <c r="L440" s="19">
        <f t="shared" si="6"/>
        <v>-168</v>
      </c>
    </row>
    <row r="441" spans="1:12" hidden="1" x14ac:dyDescent="0.25">
      <c r="A441" s="2" t="s">
        <v>405</v>
      </c>
      <c r="B441" s="2" t="s">
        <v>406</v>
      </c>
      <c r="C441" s="2" t="s">
        <v>827</v>
      </c>
      <c r="D441" s="24">
        <v>75</v>
      </c>
      <c r="E441" s="24">
        <v>10</v>
      </c>
      <c r="F441" s="24">
        <v>234</v>
      </c>
      <c r="G441" s="11">
        <v>30</v>
      </c>
      <c r="H441" s="24">
        <v>0</v>
      </c>
      <c r="I441" s="24">
        <v>-169</v>
      </c>
      <c r="J441" s="4">
        <v>15.210000000000006</v>
      </c>
      <c r="K441" s="4">
        <v>0</v>
      </c>
      <c r="L441" s="19">
        <f t="shared" si="6"/>
        <v>-199</v>
      </c>
    </row>
    <row r="442" spans="1:12" hidden="1" x14ac:dyDescent="0.25">
      <c r="A442" s="2" t="s">
        <v>99</v>
      </c>
      <c r="B442" s="2" t="s">
        <v>250</v>
      </c>
      <c r="C442" s="2" t="s">
        <v>826</v>
      </c>
      <c r="D442" s="24">
        <v>123</v>
      </c>
      <c r="E442" s="24">
        <v>65</v>
      </c>
      <c r="F442" s="24">
        <v>230</v>
      </c>
      <c r="G442" s="11">
        <v>72</v>
      </c>
      <c r="H442" s="24">
        <v>0</v>
      </c>
      <c r="I442" s="24">
        <v>-172</v>
      </c>
      <c r="J442" s="4">
        <v>225</v>
      </c>
      <c r="K442" s="4">
        <v>0</v>
      </c>
      <c r="L442" s="19">
        <f t="shared" si="6"/>
        <v>-244</v>
      </c>
    </row>
    <row r="443" spans="1:12" hidden="1" x14ac:dyDescent="0.25">
      <c r="A443" s="2" t="s">
        <v>1136</v>
      </c>
      <c r="B443" s="2" t="s">
        <v>1137</v>
      </c>
      <c r="C443" s="2" t="s">
        <v>242</v>
      </c>
      <c r="D443" s="24">
        <v>27</v>
      </c>
      <c r="E443" s="24">
        <v>0</v>
      </c>
      <c r="F443" s="24">
        <v>0</v>
      </c>
      <c r="G443" s="11">
        <v>0</v>
      </c>
      <c r="H443" s="24">
        <v>200</v>
      </c>
      <c r="I443" s="24">
        <v>-173</v>
      </c>
      <c r="J443" s="4">
        <v>12</v>
      </c>
      <c r="K443" s="4">
        <v>0</v>
      </c>
      <c r="L443" s="19">
        <f t="shared" si="6"/>
        <v>-173</v>
      </c>
    </row>
    <row r="444" spans="1:12" hidden="1" x14ac:dyDescent="0.25">
      <c r="A444" s="2" t="s">
        <v>71</v>
      </c>
      <c r="B444" s="2" t="s">
        <v>289</v>
      </c>
      <c r="C444" s="2" t="s">
        <v>491</v>
      </c>
      <c r="D444" s="24">
        <v>122.22</v>
      </c>
      <c r="E444" s="24">
        <v>59.09</v>
      </c>
      <c r="F444" s="24">
        <v>120</v>
      </c>
      <c r="G444" s="11">
        <v>113.68999999999981</v>
      </c>
      <c r="H444" s="24">
        <v>120</v>
      </c>
      <c r="I444" s="24">
        <v>-176.87</v>
      </c>
      <c r="J444" s="4">
        <v>101.44000000000003</v>
      </c>
      <c r="K444" s="4">
        <v>0</v>
      </c>
      <c r="L444" s="19">
        <f t="shared" si="6"/>
        <v>-290.55999999999983</v>
      </c>
    </row>
    <row r="445" spans="1:12" hidden="1" x14ac:dyDescent="0.25">
      <c r="A445" s="2" t="s">
        <v>425</v>
      </c>
      <c r="B445" s="2" t="s">
        <v>426</v>
      </c>
      <c r="C445" s="2" t="s">
        <v>221</v>
      </c>
      <c r="D445" s="24">
        <v>1</v>
      </c>
      <c r="E445" s="24">
        <v>1</v>
      </c>
      <c r="F445" s="24">
        <v>181</v>
      </c>
      <c r="G445" s="11">
        <v>3</v>
      </c>
      <c r="H445" s="24">
        <v>0</v>
      </c>
      <c r="I445" s="24">
        <v>-181</v>
      </c>
      <c r="J445" s="4">
        <v>39.6</v>
      </c>
      <c r="K445" s="4">
        <v>0</v>
      </c>
      <c r="L445" s="19">
        <f t="shared" si="6"/>
        <v>-184</v>
      </c>
    </row>
    <row r="446" spans="1:12" hidden="1" x14ac:dyDescent="0.25">
      <c r="A446" s="2" t="s">
        <v>810</v>
      </c>
      <c r="B446" s="2" t="s">
        <v>811</v>
      </c>
      <c r="C446" s="2" t="s">
        <v>1223</v>
      </c>
      <c r="D446" s="24">
        <v>16</v>
      </c>
      <c r="E446" s="24">
        <v>0</v>
      </c>
      <c r="F446" s="24">
        <v>200</v>
      </c>
      <c r="G446" s="11">
        <v>180</v>
      </c>
      <c r="H446" s="24">
        <v>0</v>
      </c>
      <c r="I446" s="24">
        <v>-184</v>
      </c>
      <c r="J446" s="4">
        <v>5.04</v>
      </c>
      <c r="K446" s="4">
        <v>0</v>
      </c>
      <c r="L446" s="19">
        <f t="shared" si="6"/>
        <v>-364</v>
      </c>
    </row>
    <row r="447" spans="1:12" hidden="1" x14ac:dyDescent="0.25">
      <c r="A447" s="2" t="s">
        <v>234</v>
      </c>
      <c r="B447" s="2" t="s">
        <v>235</v>
      </c>
      <c r="C447" s="2" t="s">
        <v>221</v>
      </c>
      <c r="D447" s="24">
        <v>38</v>
      </c>
      <c r="E447" s="24">
        <v>0</v>
      </c>
      <c r="F447" s="24">
        <v>222</v>
      </c>
      <c r="G447" s="11">
        <v>90</v>
      </c>
      <c r="H447" s="24">
        <v>0</v>
      </c>
      <c r="I447" s="24">
        <v>-184</v>
      </c>
      <c r="J447" s="4">
        <v>4</v>
      </c>
      <c r="K447" s="4">
        <v>0</v>
      </c>
      <c r="L447" s="19">
        <f t="shared" si="6"/>
        <v>-274</v>
      </c>
    </row>
    <row r="448" spans="1:12" hidden="1" x14ac:dyDescent="0.25">
      <c r="A448" s="2" t="s">
        <v>345</v>
      </c>
      <c r="B448" s="2" t="s">
        <v>346</v>
      </c>
      <c r="C448" s="2" t="s">
        <v>347</v>
      </c>
      <c r="D448" s="24">
        <v>42</v>
      </c>
      <c r="E448" s="24">
        <v>0</v>
      </c>
      <c r="F448" s="24">
        <v>228</v>
      </c>
      <c r="G448" s="11">
        <v>0</v>
      </c>
      <c r="H448" s="24">
        <v>0</v>
      </c>
      <c r="I448" s="24">
        <v>-186</v>
      </c>
      <c r="J448" s="4">
        <v>6</v>
      </c>
      <c r="K448" s="4">
        <v>0</v>
      </c>
      <c r="L448" s="19">
        <f t="shared" si="6"/>
        <v>-186</v>
      </c>
    </row>
    <row r="449" spans="1:12" hidden="1" x14ac:dyDescent="0.25">
      <c r="A449" s="2" t="s">
        <v>799</v>
      </c>
      <c r="B449" s="2" t="s">
        <v>800</v>
      </c>
      <c r="C449" s="2" t="s">
        <v>1224</v>
      </c>
      <c r="D449" s="24">
        <v>12</v>
      </c>
      <c r="E449" s="24">
        <v>0</v>
      </c>
      <c r="F449" s="24">
        <v>200</v>
      </c>
      <c r="G449" s="11">
        <v>0</v>
      </c>
      <c r="H449" s="24">
        <v>0</v>
      </c>
      <c r="I449" s="24">
        <v>-188</v>
      </c>
      <c r="J449" s="4">
        <v>10</v>
      </c>
      <c r="K449" s="4">
        <v>0</v>
      </c>
      <c r="L449" s="19">
        <f t="shared" si="6"/>
        <v>-188</v>
      </c>
    </row>
    <row r="450" spans="1:12" hidden="1" x14ac:dyDescent="0.25">
      <c r="A450" s="2" t="s">
        <v>721</v>
      </c>
      <c r="B450" s="2" t="s">
        <v>722</v>
      </c>
      <c r="C450" s="2" t="s">
        <v>1224</v>
      </c>
      <c r="D450" s="24">
        <v>10</v>
      </c>
      <c r="E450" s="24">
        <v>0</v>
      </c>
      <c r="F450" s="24">
        <v>200</v>
      </c>
      <c r="G450" s="11">
        <v>88</v>
      </c>
      <c r="H450" s="24">
        <v>0</v>
      </c>
      <c r="I450" s="24">
        <v>-190</v>
      </c>
      <c r="J450" s="4">
        <v>10</v>
      </c>
      <c r="K450" s="4">
        <v>0</v>
      </c>
      <c r="L450" s="19">
        <f t="shared" si="6"/>
        <v>-278</v>
      </c>
    </row>
    <row r="451" spans="1:12" hidden="1" x14ac:dyDescent="0.25">
      <c r="A451" s="2" t="s">
        <v>656</v>
      </c>
      <c r="B451" s="2" t="s">
        <v>657</v>
      </c>
      <c r="C451" s="2" t="s">
        <v>221</v>
      </c>
      <c r="D451" s="24">
        <v>26</v>
      </c>
      <c r="E451" s="24">
        <v>0</v>
      </c>
      <c r="F451" s="24">
        <v>216</v>
      </c>
      <c r="G451" s="11">
        <v>118</v>
      </c>
      <c r="H451" s="24">
        <v>0</v>
      </c>
      <c r="I451" s="24">
        <v>-190</v>
      </c>
      <c r="J451" s="4">
        <v>3.9500000000000006</v>
      </c>
      <c r="K451" s="4">
        <v>0</v>
      </c>
      <c r="L451" s="19">
        <f t="shared" si="6"/>
        <v>-308</v>
      </c>
    </row>
    <row r="452" spans="1:12" hidden="1" x14ac:dyDescent="0.25">
      <c r="A452" s="2" t="s">
        <v>124</v>
      </c>
      <c r="B452" s="2" t="s">
        <v>634</v>
      </c>
      <c r="C452" s="2" t="s">
        <v>827</v>
      </c>
      <c r="D452" s="24">
        <v>3.8500000000000005</v>
      </c>
      <c r="E452" s="24">
        <v>0</v>
      </c>
      <c r="F452" s="24">
        <v>200</v>
      </c>
      <c r="G452" s="11">
        <v>1.1368683772161603E-13</v>
      </c>
      <c r="H452" s="24">
        <v>0</v>
      </c>
      <c r="I452" s="24">
        <v>-196.15000000000006</v>
      </c>
      <c r="J452" s="4">
        <v>2.89</v>
      </c>
      <c r="K452" s="4">
        <v>0</v>
      </c>
      <c r="L452" s="19">
        <f t="shared" si="6"/>
        <v>-196.15000000000012</v>
      </c>
    </row>
    <row r="453" spans="1:12" hidden="1" x14ac:dyDescent="0.25">
      <c r="A453" s="2" t="s">
        <v>717</v>
      </c>
      <c r="B453" s="2" t="s">
        <v>718</v>
      </c>
      <c r="C453" s="2" t="s">
        <v>827</v>
      </c>
      <c r="D453" s="24">
        <v>3.600000000000001</v>
      </c>
      <c r="E453" s="24">
        <v>0</v>
      </c>
      <c r="F453" s="24">
        <v>200</v>
      </c>
      <c r="G453" s="11">
        <v>85.65000000000002</v>
      </c>
      <c r="H453" s="24">
        <v>0</v>
      </c>
      <c r="I453" s="24">
        <v>-196.40000000000006</v>
      </c>
      <c r="J453" s="4">
        <v>3.6199999999999992</v>
      </c>
      <c r="K453" s="4">
        <v>0</v>
      </c>
      <c r="L453" s="19">
        <f t="shared" si="6"/>
        <v>-282.05</v>
      </c>
    </row>
    <row r="454" spans="1:12" hidden="1" x14ac:dyDescent="0.25">
      <c r="A454" s="2" t="s">
        <v>156</v>
      </c>
      <c r="B454" s="2" t="s">
        <v>157</v>
      </c>
      <c r="C454" s="2" t="s">
        <v>636</v>
      </c>
      <c r="D454" s="24">
        <v>1.05</v>
      </c>
      <c r="E454" s="24">
        <v>0</v>
      </c>
      <c r="F454" s="24">
        <v>200</v>
      </c>
      <c r="G454" s="11">
        <v>74.999999999999957</v>
      </c>
      <c r="H454" s="24">
        <v>0</v>
      </c>
      <c r="I454" s="24">
        <v>-198.95000000000002</v>
      </c>
      <c r="J454" s="4">
        <v>7.3999999999999995</v>
      </c>
      <c r="K454" s="4">
        <v>0</v>
      </c>
      <c r="L454" s="19">
        <f t="shared" si="6"/>
        <v>-273.94999999999993</v>
      </c>
    </row>
    <row r="455" spans="1:12" hidden="1" x14ac:dyDescent="0.25">
      <c r="A455" s="2" t="s">
        <v>230</v>
      </c>
      <c r="B455" s="2" t="s">
        <v>231</v>
      </c>
      <c r="C455" s="2" t="s">
        <v>221</v>
      </c>
      <c r="D455" s="24">
        <v>38</v>
      </c>
      <c r="E455" s="24">
        <v>0</v>
      </c>
      <c r="F455" s="24">
        <v>238</v>
      </c>
      <c r="G455" s="11">
        <v>90</v>
      </c>
      <c r="H455" s="24">
        <v>0</v>
      </c>
      <c r="I455" s="24">
        <v>-200</v>
      </c>
      <c r="J455" s="4">
        <v>4</v>
      </c>
      <c r="K455" s="4">
        <v>0</v>
      </c>
      <c r="L455" s="19">
        <f t="shared" si="6"/>
        <v>-290</v>
      </c>
    </row>
    <row r="456" spans="1:12" hidden="1" x14ac:dyDescent="0.25">
      <c r="A456" s="2" t="s">
        <v>232</v>
      </c>
      <c r="B456" s="2" t="s">
        <v>233</v>
      </c>
      <c r="C456" s="2" t="s">
        <v>221</v>
      </c>
      <c r="D456" s="24">
        <v>38</v>
      </c>
      <c r="E456" s="24">
        <v>0</v>
      </c>
      <c r="F456" s="24">
        <v>239</v>
      </c>
      <c r="G456" s="11">
        <v>90</v>
      </c>
      <c r="H456" s="24">
        <v>0</v>
      </c>
      <c r="I456" s="24">
        <v>-201</v>
      </c>
      <c r="J456" s="4">
        <v>4</v>
      </c>
      <c r="K456" s="4">
        <v>0</v>
      </c>
      <c r="L456" s="19">
        <f t="shared" si="6"/>
        <v>-291</v>
      </c>
    </row>
    <row r="457" spans="1:12" hidden="1" x14ac:dyDescent="0.25">
      <c r="A457" s="2" t="s">
        <v>704</v>
      </c>
      <c r="B457" s="2" t="s">
        <v>705</v>
      </c>
      <c r="C457" s="2" t="s">
        <v>827</v>
      </c>
      <c r="D457" s="24">
        <v>48</v>
      </c>
      <c r="E457" s="24">
        <v>0</v>
      </c>
      <c r="F457" s="24">
        <v>250</v>
      </c>
      <c r="G457" s="11">
        <v>302</v>
      </c>
      <c r="H457" s="24">
        <v>0</v>
      </c>
      <c r="I457" s="24">
        <v>-202</v>
      </c>
      <c r="J457" s="4">
        <v>0.90000000000000024</v>
      </c>
      <c r="K457" s="4">
        <v>0</v>
      </c>
      <c r="L457" s="19">
        <f t="shared" si="6"/>
        <v>-504</v>
      </c>
    </row>
    <row r="458" spans="1:12" hidden="1" x14ac:dyDescent="0.25">
      <c r="A458" s="2" t="s">
        <v>523</v>
      </c>
      <c r="B458" s="2" t="s">
        <v>524</v>
      </c>
      <c r="C458" s="2" t="s">
        <v>1224</v>
      </c>
      <c r="D458" s="24">
        <v>19.059999999999999</v>
      </c>
      <c r="E458" s="24">
        <v>0</v>
      </c>
      <c r="F458" s="24">
        <v>235</v>
      </c>
      <c r="G458" s="11">
        <v>-2.2737367544323206E-13</v>
      </c>
      <c r="H458" s="24">
        <v>0</v>
      </c>
      <c r="I458" s="24">
        <v>-215.94000000000003</v>
      </c>
      <c r="J458" s="4">
        <v>15</v>
      </c>
      <c r="K458" s="4">
        <v>0</v>
      </c>
      <c r="L458" s="19">
        <f t="shared" si="6"/>
        <v>-215.93999999999977</v>
      </c>
    </row>
    <row r="459" spans="1:12" hidden="1" x14ac:dyDescent="0.25">
      <c r="A459" s="2" t="s">
        <v>749</v>
      </c>
      <c r="B459" s="2" t="s">
        <v>750</v>
      </c>
      <c r="C459" s="2" t="s">
        <v>1223</v>
      </c>
      <c r="D459" s="24">
        <v>32</v>
      </c>
      <c r="E459" s="24">
        <v>0</v>
      </c>
      <c r="F459" s="24">
        <v>250</v>
      </c>
      <c r="G459" s="11">
        <v>0</v>
      </c>
      <c r="H459" s="24">
        <v>0</v>
      </c>
      <c r="I459" s="24">
        <v>-218</v>
      </c>
      <c r="J459" s="4">
        <v>5.7400000000000011</v>
      </c>
      <c r="K459" s="4">
        <v>0</v>
      </c>
      <c r="L459" s="19">
        <f t="shared" si="6"/>
        <v>-218</v>
      </c>
    </row>
    <row r="460" spans="1:12" hidden="1" x14ac:dyDescent="0.25">
      <c r="A460" s="2" t="s">
        <v>533</v>
      </c>
      <c r="B460" s="2" t="s">
        <v>534</v>
      </c>
      <c r="C460" s="2" t="s">
        <v>225</v>
      </c>
      <c r="D460" s="24">
        <v>180</v>
      </c>
      <c r="E460" s="24">
        <v>0</v>
      </c>
      <c r="F460" s="24">
        <v>0</v>
      </c>
      <c r="G460" s="11">
        <v>0</v>
      </c>
      <c r="H460" s="24">
        <v>400</v>
      </c>
      <c r="I460" s="24">
        <v>-220</v>
      </c>
      <c r="J460" s="4">
        <v>5</v>
      </c>
      <c r="K460" s="4">
        <v>0</v>
      </c>
      <c r="L460" s="19">
        <f t="shared" si="6"/>
        <v>-220</v>
      </c>
    </row>
    <row r="461" spans="1:12" hidden="1" x14ac:dyDescent="0.25">
      <c r="A461" s="2" t="s">
        <v>1045</v>
      </c>
      <c r="B461" s="2" t="s">
        <v>1046</v>
      </c>
      <c r="C461" s="2" t="s">
        <v>1224</v>
      </c>
      <c r="D461" s="24">
        <v>8</v>
      </c>
      <c r="E461" s="24">
        <v>0</v>
      </c>
      <c r="F461" s="24">
        <v>233</v>
      </c>
      <c r="G461" s="11">
        <v>0</v>
      </c>
      <c r="H461" s="24">
        <v>0</v>
      </c>
      <c r="I461" s="24">
        <v>-225</v>
      </c>
      <c r="J461" s="4">
        <v>7</v>
      </c>
      <c r="K461" s="4">
        <v>0</v>
      </c>
      <c r="L461" s="19">
        <f t="shared" ref="L461:L524" si="7">D461-E461-F461-G461-H461</f>
        <v>-225</v>
      </c>
    </row>
    <row r="462" spans="1:12" hidden="1" x14ac:dyDescent="0.25">
      <c r="A462" s="2" t="s">
        <v>831</v>
      </c>
      <c r="B462" s="2" t="s">
        <v>832</v>
      </c>
      <c r="C462" s="2" t="s">
        <v>833</v>
      </c>
      <c r="D462" s="24">
        <v>87</v>
      </c>
      <c r="E462" s="24">
        <v>0</v>
      </c>
      <c r="F462" s="24">
        <v>100</v>
      </c>
      <c r="G462" s="11">
        <v>0</v>
      </c>
      <c r="H462" s="24">
        <v>214.6399999999999</v>
      </c>
      <c r="I462" s="24">
        <v>-227.6399999999999</v>
      </c>
      <c r="J462" s="4">
        <v>50.809999999999981</v>
      </c>
      <c r="K462" s="4">
        <v>0</v>
      </c>
      <c r="L462" s="19">
        <f t="shared" si="7"/>
        <v>-227.6399999999999</v>
      </c>
    </row>
    <row r="463" spans="1:12" hidden="1" x14ac:dyDescent="0.25">
      <c r="A463" s="2" t="s">
        <v>100</v>
      </c>
      <c r="B463" s="2" t="s">
        <v>101</v>
      </c>
      <c r="C463" s="2" t="s">
        <v>491</v>
      </c>
      <c r="D463" s="24">
        <v>622.84999999999991</v>
      </c>
      <c r="E463" s="24">
        <v>274.21999999999997</v>
      </c>
      <c r="F463" s="24">
        <v>289.69999999999993</v>
      </c>
      <c r="G463" s="11">
        <v>148.12000000000029</v>
      </c>
      <c r="H463" s="24">
        <v>289.69999999999993</v>
      </c>
      <c r="I463" s="24">
        <v>-230.7699999999999</v>
      </c>
      <c r="J463" s="4">
        <v>96.369999999999962</v>
      </c>
      <c r="K463" s="4">
        <v>0</v>
      </c>
      <c r="L463" s="19">
        <f t="shared" si="7"/>
        <v>-378.89000000000021</v>
      </c>
    </row>
    <row r="464" spans="1:12" hidden="1" x14ac:dyDescent="0.25">
      <c r="A464" s="2" t="s">
        <v>561</v>
      </c>
      <c r="B464" s="2" t="s">
        <v>562</v>
      </c>
      <c r="C464" s="2" t="s">
        <v>242</v>
      </c>
      <c r="D464" s="24">
        <v>41.5</v>
      </c>
      <c r="E464" s="24">
        <v>2.7</v>
      </c>
      <c r="F464" s="24">
        <v>272</v>
      </c>
      <c r="G464" s="11">
        <v>4.2999999999999972</v>
      </c>
      <c r="H464" s="24">
        <v>0</v>
      </c>
      <c r="I464" s="24">
        <v>-233.1999999999999</v>
      </c>
      <c r="J464" s="4">
        <v>30</v>
      </c>
      <c r="K464" s="4">
        <v>0</v>
      </c>
      <c r="L464" s="19">
        <f t="shared" si="7"/>
        <v>-237.5</v>
      </c>
    </row>
    <row r="465" spans="1:12" hidden="1" x14ac:dyDescent="0.25">
      <c r="A465" s="2" t="s">
        <v>1170</v>
      </c>
      <c r="B465" s="2" t="s">
        <v>1171</v>
      </c>
      <c r="C465" s="2" t="s">
        <v>827</v>
      </c>
      <c r="D465" s="24">
        <v>14</v>
      </c>
      <c r="E465" s="24">
        <v>0</v>
      </c>
      <c r="F465" s="24">
        <v>250</v>
      </c>
      <c r="G465" s="11">
        <v>250</v>
      </c>
      <c r="H465" s="24">
        <v>0</v>
      </c>
      <c r="I465" s="24">
        <v>-236</v>
      </c>
      <c r="J465" s="4">
        <v>1.08</v>
      </c>
      <c r="K465" s="4">
        <v>0</v>
      </c>
      <c r="L465" s="19">
        <f t="shared" si="7"/>
        <v>-486</v>
      </c>
    </row>
    <row r="466" spans="1:12" hidden="1" x14ac:dyDescent="0.25">
      <c r="A466" s="2" t="s">
        <v>679</v>
      </c>
      <c r="B466" s="2" t="s">
        <v>680</v>
      </c>
      <c r="C466" s="2" t="s">
        <v>1224</v>
      </c>
      <c r="D466" s="24">
        <v>105</v>
      </c>
      <c r="E466" s="24">
        <v>0</v>
      </c>
      <c r="F466" s="24">
        <v>350</v>
      </c>
      <c r="G466" s="11">
        <v>210</v>
      </c>
      <c r="H466" s="24">
        <v>0</v>
      </c>
      <c r="I466" s="24">
        <v>-245</v>
      </c>
      <c r="J466" s="4">
        <v>4</v>
      </c>
      <c r="K466" s="4">
        <v>0</v>
      </c>
      <c r="L466" s="19">
        <f t="shared" si="7"/>
        <v>-455</v>
      </c>
    </row>
    <row r="467" spans="1:12" hidden="1" x14ac:dyDescent="0.25">
      <c r="A467" s="2" t="s">
        <v>62</v>
      </c>
      <c r="B467" s="2" t="s">
        <v>63</v>
      </c>
      <c r="C467" s="2" t="s">
        <v>827</v>
      </c>
      <c r="D467" s="24">
        <v>24</v>
      </c>
      <c r="E467" s="24">
        <v>12</v>
      </c>
      <c r="F467" s="24">
        <v>260</v>
      </c>
      <c r="G467" s="11">
        <v>0</v>
      </c>
      <c r="H467" s="24">
        <v>0</v>
      </c>
      <c r="I467" s="24">
        <v>-248</v>
      </c>
      <c r="J467" s="4">
        <v>8.4</v>
      </c>
      <c r="K467" s="4">
        <v>0</v>
      </c>
      <c r="L467" s="19">
        <f t="shared" si="7"/>
        <v>-248</v>
      </c>
    </row>
    <row r="468" spans="1:12" hidden="1" x14ac:dyDescent="0.25">
      <c r="A468" s="2" t="s">
        <v>731</v>
      </c>
      <c r="B468" s="2" t="s">
        <v>732</v>
      </c>
      <c r="C468" s="2" t="s">
        <v>221</v>
      </c>
      <c r="D468" s="24">
        <v>16</v>
      </c>
      <c r="E468" s="24">
        <v>0</v>
      </c>
      <c r="F468" s="24">
        <v>265</v>
      </c>
      <c r="G468" s="11">
        <v>94</v>
      </c>
      <c r="H468" s="24">
        <v>0</v>
      </c>
      <c r="I468" s="24">
        <v>-249</v>
      </c>
      <c r="J468" s="4">
        <v>4</v>
      </c>
      <c r="K468" s="4">
        <v>0</v>
      </c>
      <c r="L468" s="19">
        <f t="shared" si="7"/>
        <v>-343</v>
      </c>
    </row>
    <row r="469" spans="1:12" hidden="1" x14ac:dyDescent="0.25">
      <c r="A469" s="2" t="s">
        <v>779</v>
      </c>
      <c r="B469" s="2" t="s">
        <v>133</v>
      </c>
      <c r="C469" s="2" t="s">
        <v>1195</v>
      </c>
      <c r="D469" s="24">
        <v>314</v>
      </c>
      <c r="E469" s="24">
        <v>0</v>
      </c>
      <c r="F469" s="24">
        <v>574</v>
      </c>
      <c r="G469" s="11">
        <v>98</v>
      </c>
      <c r="H469" s="24">
        <v>0</v>
      </c>
      <c r="I469" s="24">
        <v>-260</v>
      </c>
      <c r="J469" s="4">
        <v>6.6700000000000008</v>
      </c>
      <c r="K469" s="4">
        <v>0</v>
      </c>
      <c r="L469" s="19">
        <f t="shared" si="7"/>
        <v>-358</v>
      </c>
    </row>
    <row r="470" spans="1:12" hidden="1" x14ac:dyDescent="0.25">
      <c r="A470" s="2" t="s">
        <v>219</v>
      </c>
      <c r="B470" s="2" t="s">
        <v>220</v>
      </c>
      <c r="C470" s="2" t="s">
        <v>221</v>
      </c>
      <c r="D470" s="24">
        <v>28</v>
      </c>
      <c r="E470" s="24">
        <v>0</v>
      </c>
      <c r="F470" s="24">
        <v>288</v>
      </c>
      <c r="G470" s="11">
        <v>94</v>
      </c>
      <c r="H470" s="24">
        <v>0</v>
      </c>
      <c r="I470" s="24">
        <v>-260</v>
      </c>
      <c r="J470" s="4">
        <v>4</v>
      </c>
      <c r="K470" s="4">
        <v>0</v>
      </c>
      <c r="L470" s="19">
        <f t="shared" si="7"/>
        <v>-354</v>
      </c>
    </row>
    <row r="471" spans="1:12" hidden="1" x14ac:dyDescent="0.25">
      <c r="A471" s="2" t="s">
        <v>38</v>
      </c>
      <c r="B471" s="2" t="s">
        <v>39</v>
      </c>
      <c r="C471" s="2" t="s">
        <v>221</v>
      </c>
      <c r="D471" s="24">
        <v>30</v>
      </c>
      <c r="E471" s="24">
        <v>5</v>
      </c>
      <c r="F471" s="24">
        <v>306</v>
      </c>
      <c r="G471" s="11">
        <v>11</v>
      </c>
      <c r="H471" s="24">
        <v>0</v>
      </c>
      <c r="I471" s="24">
        <v>-281</v>
      </c>
      <c r="J471" s="4">
        <v>210</v>
      </c>
      <c r="K471" s="4">
        <v>0</v>
      </c>
      <c r="L471" s="19">
        <f t="shared" si="7"/>
        <v>-292</v>
      </c>
    </row>
    <row r="472" spans="1:12" hidden="1" x14ac:dyDescent="0.25">
      <c r="A472" s="2" t="s">
        <v>841</v>
      </c>
      <c r="B472" s="2" t="s">
        <v>842</v>
      </c>
      <c r="C472" s="2" t="s">
        <v>225</v>
      </c>
      <c r="D472" s="24">
        <v>111</v>
      </c>
      <c r="E472" s="24">
        <v>0</v>
      </c>
      <c r="F472" s="24">
        <v>0</v>
      </c>
      <c r="G472" s="11">
        <v>165</v>
      </c>
      <c r="H472" s="24">
        <v>400</v>
      </c>
      <c r="I472" s="24">
        <v>-289</v>
      </c>
      <c r="J472" s="4">
        <v>5</v>
      </c>
      <c r="K472" s="4">
        <v>0</v>
      </c>
      <c r="L472" s="19">
        <f t="shared" si="7"/>
        <v>-454</v>
      </c>
    </row>
    <row r="473" spans="1:12" hidden="1" x14ac:dyDescent="0.25">
      <c r="A473" s="2" t="s">
        <v>368</v>
      </c>
      <c r="B473" s="2" t="s">
        <v>369</v>
      </c>
      <c r="C473" s="2" t="s">
        <v>370</v>
      </c>
      <c r="D473" s="24">
        <v>909</v>
      </c>
      <c r="E473" s="24">
        <v>0</v>
      </c>
      <c r="F473" s="24">
        <v>1200</v>
      </c>
      <c r="G473" s="11">
        <v>196</v>
      </c>
      <c r="H473" s="24">
        <v>0</v>
      </c>
      <c r="I473" s="24">
        <v>-291</v>
      </c>
      <c r="J473" s="4">
        <v>12.5</v>
      </c>
      <c r="K473" s="4">
        <v>0</v>
      </c>
      <c r="L473" s="19">
        <f t="shared" si="7"/>
        <v>-487</v>
      </c>
    </row>
    <row r="474" spans="1:12" hidden="1" x14ac:dyDescent="0.25">
      <c r="A474" s="2" t="s">
        <v>525</v>
      </c>
      <c r="B474" s="2" t="s">
        <v>526</v>
      </c>
      <c r="C474" s="2" t="s">
        <v>1224</v>
      </c>
      <c r="D474" s="24">
        <v>148</v>
      </c>
      <c r="E474" s="24">
        <v>40</v>
      </c>
      <c r="F474" s="24">
        <v>400</v>
      </c>
      <c r="G474" s="11">
        <v>225</v>
      </c>
      <c r="H474" s="24">
        <v>0</v>
      </c>
      <c r="I474" s="24">
        <v>-292</v>
      </c>
      <c r="J474" s="4">
        <v>12</v>
      </c>
      <c r="K474" s="4">
        <v>0</v>
      </c>
      <c r="L474" s="19">
        <f t="shared" si="7"/>
        <v>-517</v>
      </c>
    </row>
    <row r="475" spans="1:12" hidden="1" x14ac:dyDescent="0.25">
      <c r="A475" s="2" t="s">
        <v>869</v>
      </c>
      <c r="B475" s="2" t="s">
        <v>870</v>
      </c>
      <c r="C475" s="2" t="s">
        <v>242</v>
      </c>
      <c r="D475" s="24">
        <v>9</v>
      </c>
      <c r="E475" s="24">
        <v>0</v>
      </c>
      <c r="F475" s="24">
        <v>302</v>
      </c>
      <c r="G475" s="11">
        <v>1</v>
      </c>
      <c r="H475" s="24">
        <v>0</v>
      </c>
      <c r="I475" s="24">
        <v>-293</v>
      </c>
      <c r="J475" s="4">
        <v>8</v>
      </c>
      <c r="K475" s="4">
        <v>0</v>
      </c>
      <c r="L475" s="19">
        <f t="shared" si="7"/>
        <v>-294</v>
      </c>
    </row>
    <row r="476" spans="1:12" hidden="1" x14ac:dyDescent="0.25">
      <c r="A476" s="2" t="s">
        <v>358</v>
      </c>
      <c r="B476" s="2" t="s">
        <v>359</v>
      </c>
      <c r="C476" s="2" t="s">
        <v>242</v>
      </c>
      <c r="D476" s="24">
        <v>222</v>
      </c>
      <c r="E476" s="24">
        <v>16</v>
      </c>
      <c r="F476" s="24">
        <v>500</v>
      </c>
      <c r="G476" s="11">
        <v>490</v>
      </c>
      <c r="H476" s="24">
        <v>0</v>
      </c>
      <c r="I476" s="24">
        <v>-294</v>
      </c>
      <c r="J476" s="4">
        <v>1.6000000000000005</v>
      </c>
      <c r="K476" s="4">
        <v>0</v>
      </c>
      <c r="L476" s="19">
        <f t="shared" si="7"/>
        <v>-784</v>
      </c>
    </row>
    <row r="477" spans="1:12" hidden="1" x14ac:dyDescent="0.25">
      <c r="A477" s="2" t="s">
        <v>793</v>
      </c>
      <c r="B477" s="2" t="s">
        <v>137</v>
      </c>
      <c r="C477" s="2" t="s">
        <v>505</v>
      </c>
      <c r="D477" s="24">
        <v>150</v>
      </c>
      <c r="E477" s="24">
        <v>0</v>
      </c>
      <c r="F477" s="24">
        <v>524</v>
      </c>
      <c r="G477" s="11">
        <v>352</v>
      </c>
      <c r="H477" s="24">
        <v>0</v>
      </c>
      <c r="I477" s="24">
        <v>-374</v>
      </c>
      <c r="J477" s="4">
        <v>8.0999999999999979</v>
      </c>
      <c r="K477" s="4">
        <v>0</v>
      </c>
      <c r="L477" s="19">
        <f t="shared" si="7"/>
        <v>-726</v>
      </c>
    </row>
    <row r="478" spans="1:12" hidden="1" x14ac:dyDescent="0.25">
      <c r="A478" s="2" t="s">
        <v>801</v>
      </c>
      <c r="B478" s="2" t="s">
        <v>802</v>
      </c>
      <c r="C478" s="2" t="s">
        <v>1224</v>
      </c>
      <c r="D478" s="24">
        <v>12</v>
      </c>
      <c r="E478" s="24">
        <v>0</v>
      </c>
      <c r="F478" s="24">
        <v>400</v>
      </c>
      <c r="G478" s="11">
        <v>0</v>
      </c>
      <c r="H478" s="24">
        <v>0</v>
      </c>
      <c r="I478" s="24">
        <v>-388</v>
      </c>
      <c r="J478" s="4">
        <v>10</v>
      </c>
      <c r="K478" s="4">
        <v>0</v>
      </c>
      <c r="L478" s="19">
        <f t="shared" si="7"/>
        <v>-388</v>
      </c>
    </row>
    <row r="479" spans="1:12" hidden="1" x14ac:dyDescent="0.25">
      <c r="A479" s="2" t="s">
        <v>867</v>
      </c>
      <c r="B479" s="2" t="s">
        <v>868</v>
      </c>
      <c r="C479" s="2" t="s">
        <v>242</v>
      </c>
      <c r="D479" s="24">
        <v>22</v>
      </c>
      <c r="E479" s="24">
        <v>0</v>
      </c>
      <c r="F479" s="24">
        <v>415</v>
      </c>
      <c r="G479" s="11">
        <v>0</v>
      </c>
      <c r="H479" s="24">
        <v>0</v>
      </c>
      <c r="I479" s="24">
        <v>-393</v>
      </c>
      <c r="J479" s="4">
        <v>4.25</v>
      </c>
      <c r="K479" s="4">
        <v>0</v>
      </c>
      <c r="L479" s="19">
        <f t="shared" si="7"/>
        <v>-393</v>
      </c>
    </row>
    <row r="480" spans="1:12" hidden="1" x14ac:dyDescent="0.25">
      <c r="A480" s="2" t="s">
        <v>709</v>
      </c>
      <c r="B480" s="2" t="s">
        <v>710</v>
      </c>
      <c r="C480" s="2" t="s">
        <v>636</v>
      </c>
      <c r="D480" s="24">
        <v>12</v>
      </c>
      <c r="E480" s="24">
        <v>9</v>
      </c>
      <c r="F480" s="24">
        <v>400</v>
      </c>
      <c r="G480" s="11">
        <v>32</v>
      </c>
      <c r="H480" s="24">
        <v>0</v>
      </c>
      <c r="I480" s="24">
        <v>-397</v>
      </c>
      <c r="J480" s="4">
        <v>11.5</v>
      </c>
      <c r="K480" s="4">
        <v>0</v>
      </c>
      <c r="L480" s="19">
        <f t="shared" si="7"/>
        <v>-429</v>
      </c>
    </row>
    <row r="481" spans="1:12" hidden="1" x14ac:dyDescent="0.25">
      <c r="A481" s="2" t="s">
        <v>884</v>
      </c>
      <c r="B481" s="2" t="s">
        <v>885</v>
      </c>
      <c r="C481" s="2" t="s">
        <v>1222</v>
      </c>
      <c r="D481" s="24">
        <v>72</v>
      </c>
      <c r="E481" s="24">
        <v>0</v>
      </c>
      <c r="F481" s="24">
        <v>480</v>
      </c>
      <c r="G481" s="11">
        <v>0</v>
      </c>
      <c r="H481" s="24">
        <v>0</v>
      </c>
      <c r="I481" s="24">
        <v>-408</v>
      </c>
      <c r="J481" s="4">
        <v>4</v>
      </c>
      <c r="K481" s="4">
        <v>0</v>
      </c>
      <c r="L481" s="19">
        <f t="shared" si="7"/>
        <v>-408</v>
      </c>
    </row>
    <row r="482" spans="1:12" hidden="1" x14ac:dyDescent="0.25">
      <c r="A482" s="2" t="s">
        <v>549</v>
      </c>
      <c r="B482" s="2" t="s">
        <v>550</v>
      </c>
      <c r="C482" s="2" t="s">
        <v>629</v>
      </c>
      <c r="D482" s="24">
        <v>520</v>
      </c>
      <c r="E482" s="24">
        <v>134</v>
      </c>
      <c r="F482" s="24">
        <v>800</v>
      </c>
      <c r="G482" s="11">
        <v>0</v>
      </c>
      <c r="H482" s="24">
        <v>0</v>
      </c>
      <c r="I482" s="24">
        <v>-414</v>
      </c>
      <c r="J482" s="4">
        <v>13.75</v>
      </c>
      <c r="K482" s="4">
        <v>0</v>
      </c>
      <c r="L482" s="19">
        <f t="shared" si="7"/>
        <v>-414</v>
      </c>
    </row>
    <row r="483" spans="1:12" hidden="1" x14ac:dyDescent="0.25">
      <c r="A483" s="2" t="s">
        <v>238</v>
      </c>
      <c r="B483" s="2" t="s">
        <v>306</v>
      </c>
      <c r="C483" s="2" t="s">
        <v>1222</v>
      </c>
      <c r="D483" s="24">
        <v>38</v>
      </c>
      <c r="E483" s="24">
        <v>12</v>
      </c>
      <c r="F483" s="24">
        <v>455</v>
      </c>
      <c r="G483" s="11">
        <v>23</v>
      </c>
      <c r="H483" s="24">
        <v>0</v>
      </c>
      <c r="I483" s="24">
        <v>-429</v>
      </c>
      <c r="J483" s="4">
        <v>20</v>
      </c>
      <c r="K483" s="4">
        <v>0</v>
      </c>
      <c r="L483" s="19">
        <f t="shared" si="7"/>
        <v>-452</v>
      </c>
    </row>
    <row r="484" spans="1:12" hidden="1" x14ac:dyDescent="0.25">
      <c r="A484" s="2" t="s">
        <v>417</v>
      </c>
      <c r="B484" s="2" t="s">
        <v>418</v>
      </c>
      <c r="C484" s="2" t="s">
        <v>629</v>
      </c>
      <c r="D484" s="24">
        <v>550</v>
      </c>
      <c r="E484" s="24">
        <v>0</v>
      </c>
      <c r="F484" s="24">
        <v>1000</v>
      </c>
      <c r="G484" s="11">
        <v>4807</v>
      </c>
      <c r="H484" s="24">
        <v>0</v>
      </c>
      <c r="I484" s="24">
        <v>-450</v>
      </c>
      <c r="J484" s="4">
        <v>0.29999999999999993</v>
      </c>
      <c r="K484" s="4">
        <v>0</v>
      </c>
      <c r="L484" s="19">
        <f t="shared" si="7"/>
        <v>-5257</v>
      </c>
    </row>
    <row r="485" spans="1:12" hidden="1" x14ac:dyDescent="0.25">
      <c r="A485" s="2" t="s">
        <v>1119</v>
      </c>
      <c r="B485" s="2" t="s">
        <v>1120</v>
      </c>
      <c r="C485" s="2" t="s">
        <v>1222</v>
      </c>
      <c r="D485" s="24">
        <v>9</v>
      </c>
      <c r="E485" s="24">
        <v>0</v>
      </c>
      <c r="F485" s="24">
        <v>480</v>
      </c>
      <c r="G485" s="11">
        <v>0</v>
      </c>
      <c r="H485" s="24">
        <v>0</v>
      </c>
      <c r="I485" s="24">
        <v>-471</v>
      </c>
      <c r="J485" s="4">
        <v>5</v>
      </c>
      <c r="K485" s="4">
        <v>0</v>
      </c>
      <c r="L485" s="19">
        <f t="shared" si="7"/>
        <v>-471</v>
      </c>
    </row>
    <row r="486" spans="1:12" hidden="1" x14ac:dyDescent="0.25">
      <c r="A486" s="2" t="s">
        <v>1164</v>
      </c>
      <c r="B486" s="2" t="s">
        <v>1165</v>
      </c>
      <c r="C486" s="2" t="s">
        <v>827</v>
      </c>
      <c r="D486" s="24">
        <v>14</v>
      </c>
      <c r="E486" s="24">
        <v>0</v>
      </c>
      <c r="F486" s="24">
        <v>500</v>
      </c>
      <c r="G486" s="11">
        <v>500</v>
      </c>
      <c r="H486" s="24">
        <v>0</v>
      </c>
      <c r="I486" s="24">
        <v>-486</v>
      </c>
      <c r="J486" s="4">
        <v>0.54999999999999993</v>
      </c>
      <c r="K486" s="4">
        <v>0</v>
      </c>
      <c r="L486" s="19">
        <f t="shared" si="7"/>
        <v>-986</v>
      </c>
    </row>
    <row r="487" spans="1:12" hidden="1" x14ac:dyDescent="0.25">
      <c r="A487" s="2" t="s">
        <v>1168</v>
      </c>
      <c r="B487" s="2" t="s">
        <v>1169</v>
      </c>
      <c r="C487" s="2" t="s">
        <v>827</v>
      </c>
      <c r="D487" s="24">
        <v>14</v>
      </c>
      <c r="E487" s="24">
        <v>0</v>
      </c>
      <c r="F487" s="24">
        <v>500</v>
      </c>
      <c r="G487" s="11">
        <v>500</v>
      </c>
      <c r="H487" s="24">
        <v>0</v>
      </c>
      <c r="I487" s="24">
        <v>-486</v>
      </c>
      <c r="J487" s="4">
        <v>0.54999999999999993</v>
      </c>
      <c r="K487" s="4">
        <v>0</v>
      </c>
      <c r="L487" s="19">
        <f t="shared" si="7"/>
        <v>-986</v>
      </c>
    </row>
    <row r="488" spans="1:12" hidden="1" x14ac:dyDescent="0.25">
      <c r="A488" s="2" t="s">
        <v>1176</v>
      </c>
      <c r="B488" s="2" t="s">
        <v>1177</v>
      </c>
      <c r="C488" s="2" t="s">
        <v>827</v>
      </c>
      <c r="D488" s="24">
        <v>14</v>
      </c>
      <c r="E488" s="24">
        <v>0</v>
      </c>
      <c r="F488" s="24">
        <v>500</v>
      </c>
      <c r="G488" s="11">
        <v>500</v>
      </c>
      <c r="H488" s="24">
        <v>0</v>
      </c>
      <c r="I488" s="24">
        <v>-486</v>
      </c>
      <c r="J488" s="4">
        <v>0.65</v>
      </c>
      <c r="K488" s="4">
        <v>0</v>
      </c>
      <c r="L488" s="19">
        <f t="shared" si="7"/>
        <v>-986</v>
      </c>
    </row>
    <row r="489" spans="1:12" hidden="1" x14ac:dyDescent="0.25">
      <c r="A489" s="2" t="s">
        <v>1178</v>
      </c>
      <c r="B489" s="2" t="s">
        <v>1179</v>
      </c>
      <c r="C489" s="2" t="s">
        <v>827</v>
      </c>
      <c r="D489" s="24">
        <v>14</v>
      </c>
      <c r="E489" s="24">
        <v>0</v>
      </c>
      <c r="F489" s="24">
        <v>500</v>
      </c>
      <c r="G489" s="11">
        <v>500</v>
      </c>
      <c r="H489" s="24">
        <v>0</v>
      </c>
      <c r="I489" s="24">
        <v>-486</v>
      </c>
      <c r="J489" s="4">
        <v>0.39000000000000007</v>
      </c>
      <c r="K489" s="4">
        <v>0</v>
      </c>
      <c r="L489" s="19">
        <f t="shared" si="7"/>
        <v>-986</v>
      </c>
    </row>
    <row r="490" spans="1:12" hidden="1" x14ac:dyDescent="0.25">
      <c r="A490" s="2" t="s">
        <v>1105</v>
      </c>
      <c r="B490" s="2" t="s">
        <v>1106</v>
      </c>
      <c r="C490" s="2" t="s">
        <v>347</v>
      </c>
      <c r="D490" s="24">
        <v>1</v>
      </c>
      <c r="E490" s="24">
        <v>0</v>
      </c>
      <c r="F490" s="24">
        <v>500</v>
      </c>
      <c r="G490" s="11">
        <v>0</v>
      </c>
      <c r="H490" s="24">
        <v>0</v>
      </c>
      <c r="I490" s="24">
        <v>-499</v>
      </c>
      <c r="J490" s="4">
        <v>4</v>
      </c>
      <c r="K490" s="4">
        <v>0</v>
      </c>
      <c r="L490" s="19">
        <f t="shared" si="7"/>
        <v>-499</v>
      </c>
    </row>
    <row r="491" spans="1:12" hidden="1" x14ac:dyDescent="0.25">
      <c r="A491" s="2" t="s">
        <v>652</v>
      </c>
      <c r="B491" s="2" t="s">
        <v>653</v>
      </c>
      <c r="C491" s="2" t="s">
        <v>1223</v>
      </c>
      <c r="D491" s="24">
        <v>493</v>
      </c>
      <c r="E491" s="24">
        <v>25</v>
      </c>
      <c r="F491" s="24">
        <v>976</v>
      </c>
      <c r="G491" s="11">
        <v>167</v>
      </c>
      <c r="H491" s="24">
        <v>0</v>
      </c>
      <c r="I491" s="24">
        <v>-508</v>
      </c>
      <c r="J491" s="4">
        <v>3.4600000000000004</v>
      </c>
      <c r="K491" s="4">
        <v>0</v>
      </c>
      <c r="L491" s="19">
        <f t="shared" si="7"/>
        <v>-675</v>
      </c>
    </row>
    <row r="492" spans="1:12" hidden="1" x14ac:dyDescent="0.25">
      <c r="A492" s="2" t="s">
        <v>890</v>
      </c>
      <c r="B492" s="2" t="s">
        <v>891</v>
      </c>
      <c r="C492" s="2" t="s">
        <v>242</v>
      </c>
      <c r="D492" s="24">
        <v>16</v>
      </c>
      <c r="E492" s="24">
        <v>0</v>
      </c>
      <c r="F492" s="24">
        <v>634</v>
      </c>
      <c r="G492" s="11">
        <v>0</v>
      </c>
      <c r="H492" s="24">
        <v>0</v>
      </c>
      <c r="I492" s="24">
        <v>-618</v>
      </c>
      <c r="J492" s="4">
        <v>1</v>
      </c>
      <c r="K492" s="4">
        <v>0</v>
      </c>
      <c r="L492" s="19">
        <f t="shared" si="7"/>
        <v>-618</v>
      </c>
    </row>
    <row r="493" spans="1:12" hidden="1" x14ac:dyDescent="0.25">
      <c r="A493" s="2" t="s">
        <v>352</v>
      </c>
      <c r="B493" s="2" t="s">
        <v>353</v>
      </c>
      <c r="C493" s="2" t="s">
        <v>242</v>
      </c>
      <c r="D493" s="24">
        <v>3286</v>
      </c>
      <c r="E493" s="24">
        <v>0</v>
      </c>
      <c r="F493" s="24">
        <v>4000</v>
      </c>
      <c r="G493" s="11">
        <v>7366</v>
      </c>
      <c r="H493" s="24">
        <v>0</v>
      </c>
      <c r="I493" s="24">
        <v>-714</v>
      </c>
      <c r="J493" s="4">
        <v>0.34999999999999987</v>
      </c>
      <c r="K493" s="4">
        <v>0</v>
      </c>
      <c r="L493" s="19">
        <f t="shared" si="7"/>
        <v>-8080</v>
      </c>
    </row>
    <row r="494" spans="1:12" hidden="1" x14ac:dyDescent="0.25">
      <c r="A494" s="2" t="s">
        <v>131</v>
      </c>
      <c r="B494" s="2" t="s">
        <v>132</v>
      </c>
      <c r="C494" s="2" t="s">
        <v>242</v>
      </c>
      <c r="D494" s="24">
        <v>2003</v>
      </c>
      <c r="E494" s="24">
        <v>0</v>
      </c>
      <c r="F494" s="24">
        <v>2750</v>
      </c>
      <c r="G494" s="11">
        <v>0</v>
      </c>
      <c r="H494" s="24">
        <v>0</v>
      </c>
      <c r="I494" s="24">
        <v>-747</v>
      </c>
      <c r="J494" s="4">
        <v>0.69999999999999973</v>
      </c>
      <c r="K494" s="4">
        <v>0</v>
      </c>
      <c r="L494" s="19">
        <f t="shared" si="7"/>
        <v>-747</v>
      </c>
    </row>
    <row r="495" spans="1:12" hidden="1" x14ac:dyDescent="0.25">
      <c r="A495" s="2" t="s">
        <v>332</v>
      </c>
      <c r="B495" s="2" t="s">
        <v>333</v>
      </c>
      <c r="C495" s="2" t="s">
        <v>242</v>
      </c>
      <c r="D495" s="24">
        <v>41</v>
      </c>
      <c r="E495" s="24">
        <v>0</v>
      </c>
      <c r="F495" s="24">
        <v>809</v>
      </c>
      <c r="G495" s="11">
        <v>0</v>
      </c>
      <c r="H495" s="24">
        <v>0</v>
      </c>
      <c r="I495" s="24">
        <v>-768</v>
      </c>
      <c r="J495" s="4">
        <v>2.3999999999999995</v>
      </c>
      <c r="K495" s="4">
        <v>0</v>
      </c>
      <c r="L495" s="19">
        <f t="shared" si="7"/>
        <v>-768</v>
      </c>
    </row>
    <row r="496" spans="1:12" hidden="1" x14ac:dyDescent="0.25">
      <c r="A496" s="2" t="s">
        <v>388</v>
      </c>
      <c r="B496" s="2" t="s">
        <v>389</v>
      </c>
      <c r="C496" s="2" t="s">
        <v>242</v>
      </c>
      <c r="D496" s="24">
        <v>268</v>
      </c>
      <c r="E496" s="24">
        <v>0</v>
      </c>
      <c r="F496" s="24">
        <v>1100</v>
      </c>
      <c r="G496" s="11">
        <v>780</v>
      </c>
      <c r="H496" s="24">
        <v>0</v>
      </c>
      <c r="I496" s="24">
        <v>-832</v>
      </c>
      <c r="J496" s="4">
        <v>0.32000000000000006</v>
      </c>
      <c r="K496" s="4">
        <v>0</v>
      </c>
      <c r="L496" s="19">
        <f t="shared" si="7"/>
        <v>-1612</v>
      </c>
    </row>
    <row r="497" spans="1:12" hidden="1" x14ac:dyDescent="0.25">
      <c r="A497" s="2" t="s">
        <v>1025</v>
      </c>
      <c r="B497" s="2" t="s">
        <v>1026</v>
      </c>
      <c r="C497" s="2" t="s">
        <v>1027</v>
      </c>
      <c r="D497" s="24">
        <v>8</v>
      </c>
      <c r="E497" s="24">
        <v>0</v>
      </c>
      <c r="F497" s="24">
        <v>842</v>
      </c>
      <c r="G497" s="11">
        <v>0</v>
      </c>
      <c r="H497" s="24">
        <v>0</v>
      </c>
      <c r="I497" s="24">
        <v>-834</v>
      </c>
      <c r="J497" s="4">
        <v>0.93</v>
      </c>
      <c r="K497" s="4">
        <v>0</v>
      </c>
      <c r="L497" s="19">
        <f t="shared" si="7"/>
        <v>-834</v>
      </c>
    </row>
    <row r="498" spans="1:12" hidden="1" x14ac:dyDescent="0.25">
      <c r="A498" s="2" t="s">
        <v>152</v>
      </c>
      <c r="B498" s="2" t="s">
        <v>153</v>
      </c>
      <c r="C498" s="2" t="s">
        <v>242</v>
      </c>
      <c r="D498" s="24">
        <v>140</v>
      </c>
      <c r="E498" s="24">
        <v>0</v>
      </c>
      <c r="F498" s="24">
        <v>1000</v>
      </c>
      <c r="G498" s="11">
        <v>439.00000000000023</v>
      </c>
      <c r="H498" s="24">
        <v>0</v>
      </c>
      <c r="I498" s="24">
        <v>-860</v>
      </c>
      <c r="J498" s="4">
        <v>0.5</v>
      </c>
      <c r="K498" s="4">
        <v>0</v>
      </c>
      <c r="L498" s="19">
        <f t="shared" si="7"/>
        <v>-1299.0000000000002</v>
      </c>
    </row>
    <row r="499" spans="1:12" hidden="1" x14ac:dyDescent="0.25">
      <c r="A499" s="2" t="s">
        <v>570</v>
      </c>
      <c r="B499" s="2" t="s">
        <v>571</v>
      </c>
      <c r="C499" s="2" t="s">
        <v>1223</v>
      </c>
      <c r="D499" s="24">
        <v>97</v>
      </c>
      <c r="E499" s="24">
        <v>0</v>
      </c>
      <c r="F499" s="24">
        <v>1000</v>
      </c>
      <c r="G499" s="11">
        <v>1222</v>
      </c>
      <c r="H499" s="24">
        <v>0</v>
      </c>
      <c r="I499" s="24">
        <v>-903</v>
      </c>
      <c r="J499" s="4">
        <v>1.1400000000000001</v>
      </c>
      <c r="K499" s="4">
        <v>0</v>
      </c>
      <c r="L499" s="19">
        <f t="shared" si="7"/>
        <v>-2125</v>
      </c>
    </row>
    <row r="500" spans="1:12" hidden="1" x14ac:dyDescent="0.25">
      <c r="A500" s="2" t="s">
        <v>992</v>
      </c>
      <c r="B500" s="2" t="s">
        <v>993</v>
      </c>
      <c r="C500" s="2" t="s">
        <v>1223</v>
      </c>
      <c r="D500" s="24">
        <v>86</v>
      </c>
      <c r="E500" s="24">
        <v>0</v>
      </c>
      <c r="F500" s="24">
        <v>1000</v>
      </c>
      <c r="G500" s="11">
        <v>3505</v>
      </c>
      <c r="H500" s="24">
        <v>0</v>
      </c>
      <c r="I500" s="24">
        <v>-914</v>
      </c>
      <c r="J500" s="4">
        <v>0.63</v>
      </c>
      <c r="K500" s="4">
        <v>0</v>
      </c>
      <c r="L500" s="19">
        <f t="shared" si="7"/>
        <v>-4419</v>
      </c>
    </row>
    <row r="501" spans="1:12" hidden="1" x14ac:dyDescent="0.25">
      <c r="A501" s="2" t="s">
        <v>911</v>
      </c>
      <c r="B501" s="2" t="s">
        <v>912</v>
      </c>
      <c r="C501" s="2" t="s">
        <v>242</v>
      </c>
      <c r="D501" s="24">
        <v>64</v>
      </c>
      <c r="E501" s="24">
        <v>0</v>
      </c>
      <c r="F501" s="24">
        <v>1000</v>
      </c>
      <c r="G501" s="11">
        <v>0</v>
      </c>
      <c r="H501" s="24">
        <v>0</v>
      </c>
      <c r="I501" s="24">
        <v>-936</v>
      </c>
      <c r="J501" s="4">
        <v>0.15</v>
      </c>
      <c r="K501" s="4">
        <v>0</v>
      </c>
      <c r="L501" s="19">
        <f t="shared" si="7"/>
        <v>-936</v>
      </c>
    </row>
    <row r="502" spans="1:12" hidden="1" x14ac:dyDescent="0.25">
      <c r="A502" s="2" t="s">
        <v>545</v>
      </c>
      <c r="B502" s="2" t="s">
        <v>546</v>
      </c>
      <c r="C502" s="2" t="s">
        <v>242</v>
      </c>
      <c r="D502" s="24">
        <v>40</v>
      </c>
      <c r="E502" s="24">
        <v>0</v>
      </c>
      <c r="F502" s="24">
        <v>1000</v>
      </c>
      <c r="G502" s="11">
        <v>0</v>
      </c>
      <c r="H502" s="24">
        <v>0</v>
      </c>
      <c r="I502" s="24">
        <v>-960</v>
      </c>
      <c r="J502" s="4">
        <v>0.6399999999999999</v>
      </c>
      <c r="K502" s="4">
        <v>0</v>
      </c>
      <c r="L502" s="19">
        <f t="shared" si="7"/>
        <v>-960</v>
      </c>
    </row>
    <row r="503" spans="1:12" hidden="1" x14ac:dyDescent="0.25">
      <c r="A503" s="2" t="s">
        <v>541</v>
      </c>
      <c r="B503" s="2" t="s">
        <v>542</v>
      </c>
      <c r="C503" s="2" t="s">
        <v>242</v>
      </c>
      <c r="D503" s="24">
        <v>36</v>
      </c>
      <c r="E503" s="24">
        <v>0</v>
      </c>
      <c r="F503" s="24">
        <v>1000</v>
      </c>
      <c r="G503" s="11">
        <v>0</v>
      </c>
      <c r="H503" s="24">
        <v>0</v>
      </c>
      <c r="I503" s="24">
        <v>-964</v>
      </c>
      <c r="J503" s="4">
        <v>1.2</v>
      </c>
      <c r="K503" s="4">
        <v>0</v>
      </c>
      <c r="L503" s="19">
        <f t="shared" si="7"/>
        <v>-964</v>
      </c>
    </row>
    <row r="504" spans="1:12" hidden="1" x14ac:dyDescent="0.25">
      <c r="A504" s="2" t="s">
        <v>28</v>
      </c>
      <c r="B504" s="2" t="s">
        <v>29</v>
      </c>
      <c r="C504" s="2" t="s">
        <v>629</v>
      </c>
      <c r="D504" s="24">
        <v>2033</v>
      </c>
      <c r="E504" s="24">
        <v>0</v>
      </c>
      <c r="F504" s="24">
        <v>3000</v>
      </c>
      <c r="G504" s="11">
        <v>1048</v>
      </c>
      <c r="H504" s="24">
        <v>0</v>
      </c>
      <c r="I504" s="24">
        <v>-967</v>
      </c>
      <c r="J504" s="4">
        <v>2.9200000000000008</v>
      </c>
      <c r="K504" s="4">
        <v>0</v>
      </c>
      <c r="L504" s="19">
        <f t="shared" si="7"/>
        <v>-2015</v>
      </c>
    </row>
    <row r="505" spans="1:12" hidden="1" x14ac:dyDescent="0.25">
      <c r="A505" s="2" t="s">
        <v>951</v>
      </c>
      <c r="B505" s="2" t="s">
        <v>952</v>
      </c>
      <c r="C505" s="2" t="s">
        <v>242</v>
      </c>
      <c r="D505" s="24">
        <v>16</v>
      </c>
      <c r="E505" s="24">
        <v>0</v>
      </c>
      <c r="F505" s="24">
        <v>996</v>
      </c>
      <c r="G505" s="11">
        <v>0</v>
      </c>
      <c r="H505" s="24">
        <v>0</v>
      </c>
      <c r="I505" s="24">
        <v>-980</v>
      </c>
      <c r="J505" s="4">
        <v>1.8</v>
      </c>
      <c r="K505" s="4">
        <v>0</v>
      </c>
      <c r="L505" s="19">
        <f t="shared" si="7"/>
        <v>-980</v>
      </c>
    </row>
    <row r="506" spans="1:12" hidden="1" x14ac:dyDescent="0.25">
      <c r="A506" s="2" t="s">
        <v>1166</v>
      </c>
      <c r="B506" s="2" t="s">
        <v>1167</v>
      </c>
      <c r="C506" s="2" t="s">
        <v>827</v>
      </c>
      <c r="D506" s="24">
        <v>14</v>
      </c>
      <c r="E506" s="24">
        <v>0</v>
      </c>
      <c r="F506" s="24">
        <v>1000</v>
      </c>
      <c r="G506" s="11">
        <v>1000</v>
      </c>
      <c r="H506" s="24">
        <v>0</v>
      </c>
      <c r="I506" s="24">
        <v>-986</v>
      </c>
      <c r="J506" s="4">
        <v>0.28000000000000003</v>
      </c>
      <c r="K506" s="4">
        <v>0</v>
      </c>
      <c r="L506" s="19">
        <f t="shared" si="7"/>
        <v>-1986</v>
      </c>
    </row>
    <row r="507" spans="1:12" hidden="1" x14ac:dyDescent="0.25">
      <c r="A507" s="2" t="s">
        <v>723</v>
      </c>
      <c r="B507" s="2" t="s">
        <v>724</v>
      </c>
      <c r="C507" s="2" t="s">
        <v>242</v>
      </c>
      <c r="D507" s="24">
        <v>124</v>
      </c>
      <c r="E507" s="24">
        <v>20</v>
      </c>
      <c r="F507" s="24">
        <v>1278</v>
      </c>
      <c r="G507" s="11">
        <v>690</v>
      </c>
      <c r="H507" s="24">
        <v>0</v>
      </c>
      <c r="I507" s="24">
        <v>-1174</v>
      </c>
      <c r="J507" s="4">
        <v>0.54999999999999993</v>
      </c>
      <c r="K507" s="4">
        <v>0</v>
      </c>
      <c r="L507" s="19">
        <f t="shared" si="7"/>
        <v>-1864</v>
      </c>
    </row>
    <row r="508" spans="1:12" hidden="1" x14ac:dyDescent="0.25">
      <c r="A508" s="2" t="s">
        <v>706</v>
      </c>
      <c r="B508" s="2" t="s">
        <v>707</v>
      </c>
      <c r="C508" s="2" t="s">
        <v>242</v>
      </c>
      <c r="D508" s="24">
        <v>104</v>
      </c>
      <c r="E508" s="24">
        <v>0</v>
      </c>
      <c r="F508" s="24">
        <v>1400</v>
      </c>
      <c r="G508" s="11">
        <v>602</v>
      </c>
      <c r="H508" s="24">
        <v>0</v>
      </c>
      <c r="I508" s="24">
        <v>-1296</v>
      </c>
      <c r="J508" s="4">
        <v>0.59999999999999987</v>
      </c>
      <c r="K508" s="4">
        <v>0</v>
      </c>
      <c r="L508" s="19">
        <f t="shared" si="7"/>
        <v>-1898</v>
      </c>
    </row>
    <row r="509" spans="1:12" hidden="1" x14ac:dyDescent="0.25">
      <c r="A509" s="2" t="s">
        <v>631</v>
      </c>
      <c r="B509" s="2" t="s">
        <v>632</v>
      </c>
      <c r="C509" s="2" t="s">
        <v>629</v>
      </c>
      <c r="D509" s="24">
        <v>6687</v>
      </c>
      <c r="E509" s="24">
        <v>0</v>
      </c>
      <c r="F509" s="24">
        <v>8000</v>
      </c>
      <c r="G509" s="11">
        <v>11449</v>
      </c>
      <c r="H509" s="24">
        <v>0</v>
      </c>
      <c r="I509" s="24">
        <v>-1313</v>
      </c>
      <c r="J509" s="4">
        <v>0.53999999999999992</v>
      </c>
      <c r="K509" s="4">
        <v>0</v>
      </c>
      <c r="L509" s="19">
        <f t="shared" si="7"/>
        <v>-12762</v>
      </c>
    </row>
    <row r="510" spans="1:12" hidden="1" x14ac:dyDescent="0.25">
      <c r="A510" s="2" t="s">
        <v>397</v>
      </c>
      <c r="B510" s="2" t="s">
        <v>398</v>
      </c>
      <c r="C510" s="2" t="s">
        <v>242</v>
      </c>
      <c r="D510" s="24">
        <v>469</v>
      </c>
      <c r="E510" s="24">
        <v>0</v>
      </c>
      <c r="F510" s="24">
        <v>2000</v>
      </c>
      <c r="G510" s="11">
        <v>7604</v>
      </c>
      <c r="H510" s="24">
        <v>0</v>
      </c>
      <c r="I510" s="24">
        <v>-1531</v>
      </c>
      <c r="J510" s="4">
        <v>0.29999999999999993</v>
      </c>
      <c r="K510" s="4">
        <v>0</v>
      </c>
      <c r="L510" s="19">
        <f t="shared" si="7"/>
        <v>-9135</v>
      </c>
    </row>
    <row r="511" spans="1:12" hidden="1" x14ac:dyDescent="0.25">
      <c r="A511" s="2" t="s">
        <v>529</v>
      </c>
      <c r="B511" s="2" t="s">
        <v>530</v>
      </c>
      <c r="C511" s="2" t="s">
        <v>242</v>
      </c>
      <c r="D511" s="24">
        <v>230</v>
      </c>
      <c r="E511" s="24">
        <v>0</v>
      </c>
      <c r="F511" s="24">
        <v>1800</v>
      </c>
      <c r="G511" s="11">
        <v>773</v>
      </c>
      <c r="H511" s="24">
        <v>0</v>
      </c>
      <c r="I511" s="24">
        <v>-1570</v>
      </c>
      <c r="J511" s="4">
        <v>0.80000000000000027</v>
      </c>
      <c r="K511" s="4">
        <v>0</v>
      </c>
      <c r="L511" s="19">
        <f t="shared" si="7"/>
        <v>-2343</v>
      </c>
    </row>
    <row r="512" spans="1:12" hidden="1" x14ac:dyDescent="0.25">
      <c r="A512" s="2" t="s">
        <v>537</v>
      </c>
      <c r="B512" s="2" t="s">
        <v>538</v>
      </c>
      <c r="C512" s="2" t="s">
        <v>242</v>
      </c>
      <c r="D512" s="24">
        <v>574</v>
      </c>
      <c r="E512" s="24">
        <v>0</v>
      </c>
      <c r="F512" s="24">
        <v>2200</v>
      </c>
      <c r="G512" s="11">
        <v>0</v>
      </c>
      <c r="H512" s="24">
        <v>0</v>
      </c>
      <c r="I512" s="24">
        <v>-1626</v>
      </c>
      <c r="J512" s="4">
        <v>0.69999999999999973</v>
      </c>
      <c r="K512" s="4">
        <v>0</v>
      </c>
      <c r="L512" s="19">
        <f t="shared" si="7"/>
        <v>-1626</v>
      </c>
    </row>
    <row r="513" spans="1:12" hidden="1" x14ac:dyDescent="0.25">
      <c r="A513" s="2" t="s">
        <v>117</v>
      </c>
      <c r="B513" s="2" t="s">
        <v>118</v>
      </c>
      <c r="C513" s="2" t="s">
        <v>491</v>
      </c>
      <c r="D513" s="24">
        <v>2045.0400000000004</v>
      </c>
      <c r="E513" s="24">
        <v>915.17</v>
      </c>
      <c r="F513" s="24">
        <v>1840</v>
      </c>
      <c r="G513" s="11">
        <v>973.62000000000114</v>
      </c>
      <c r="H513" s="24">
        <v>920</v>
      </c>
      <c r="I513" s="24">
        <v>-1630.13</v>
      </c>
      <c r="J513" s="4">
        <v>94.859999999999957</v>
      </c>
      <c r="K513" s="4">
        <v>0</v>
      </c>
      <c r="L513" s="19">
        <f t="shared" si="7"/>
        <v>-2603.7500000000009</v>
      </c>
    </row>
    <row r="514" spans="1:12" hidden="1" x14ac:dyDescent="0.25">
      <c r="A514" s="2" t="s">
        <v>42</v>
      </c>
      <c r="B514" s="2" t="s">
        <v>43</v>
      </c>
      <c r="C514" s="2" t="s">
        <v>242</v>
      </c>
      <c r="D514" s="24">
        <v>1155</v>
      </c>
      <c r="E514" s="24">
        <v>0</v>
      </c>
      <c r="F514" s="24">
        <v>2800</v>
      </c>
      <c r="G514" s="11">
        <v>2438.9999999999995</v>
      </c>
      <c r="H514" s="24">
        <v>0</v>
      </c>
      <c r="I514" s="24">
        <v>-1645</v>
      </c>
      <c r="J514" s="4">
        <v>0.18000000000000005</v>
      </c>
      <c r="K514" s="4">
        <v>0</v>
      </c>
      <c r="L514" s="19">
        <f t="shared" si="7"/>
        <v>-4083.9999999999995</v>
      </c>
    </row>
    <row r="515" spans="1:12" hidden="1" x14ac:dyDescent="0.25">
      <c r="A515" s="2" t="s">
        <v>555</v>
      </c>
      <c r="B515" s="2" t="s">
        <v>556</v>
      </c>
      <c r="C515" s="2" t="s">
        <v>1222</v>
      </c>
      <c r="D515" s="24">
        <v>28</v>
      </c>
      <c r="E515" s="24">
        <v>0</v>
      </c>
      <c r="F515" s="24">
        <v>2080</v>
      </c>
      <c r="G515" s="11">
        <v>84</v>
      </c>
      <c r="H515" s="24">
        <v>0</v>
      </c>
      <c r="I515" s="24">
        <v>-2052</v>
      </c>
      <c r="J515" s="4">
        <v>0.28999999999999998</v>
      </c>
      <c r="K515" s="4">
        <v>0</v>
      </c>
      <c r="L515" s="19">
        <f t="shared" si="7"/>
        <v>-2136</v>
      </c>
    </row>
    <row r="516" spans="1:12" hidden="1" x14ac:dyDescent="0.25">
      <c r="A516" s="2" t="s">
        <v>209</v>
      </c>
      <c r="B516" s="2" t="s">
        <v>286</v>
      </c>
      <c r="C516" s="2" t="s">
        <v>242</v>
      </c>
      <c r="D516" s="24">
        <v>455</v>
      </c>
      <c r="E516" s="24">
        <v>0</v>
      </c>
      <c r="F516" s="24">
        <v>2600</v>
      </c>
      <c r="G516" s="11">
        <v>292</v>
      </c>
      <c r="H516" s="24">
        <v>0</v>
      </c>
      <c r="I516" s="24">
        <v>-2145</v>
      </c>
      <c r="J516" s="4">
        <v>0.40000000000000013</v>
      </c>
      <c r="K516" s="4">
        <v>0</v>
      </c>
      <c r="L516" s="19">
        <f t="shared" si="7"/>
        <v>-2437</v>
      </c>
    </row>
    <row r="517" spans="1:12" hidden="1" x14ac:dyDescent="0.25">
      <c r="A517" s="2" t="s">
        <v>409</v>
      </c>
      <c r="B517" s="2" t="s">
        <v>410</v>
      </c>
      <c r="C517" s="2" t="s">
        <v>221</v>
      </c>
      <c r="D517" s="24">
        <v>386</v>
      </c>
      <c r="E517" s="24">
        <v>0</v>
      </c>
      <c r="F517" s="24">
        <v>2700</v>
      </c>
      <c r="G517" s="11">
        <v>0</v>
      </c>
      <c r="H517" s="24">
        <v>0</v>
      </c>
      <c r="I517" s="24">
        <v>-2314</v>
      </c>
      <c r="J517" s="4">
        <v>1.5500000000000005</v>
      </c>
      <c r="K517" s="4">
        <v>0</v>
      </c>
      <c r="L517" s="19">
        <f t="shared" si="7"/>
        <v>-2314</v>
      </c>
    </row>
    <row r="518" spans="1:12" hidden="1" x14ac:dyDescent="0.25">
      <c r="A518" s="2" t="s">
        <v>457</v>
      </c>
      <c r="B518" s="2" t="s">
        <v>458</v>
      </c>
      <c r="C518" s="2" t="s">
        <v>1223</v>
      </c>
      <c r="D518" s="24">
        <v>1340</v>
      </c>
      <c r="E518" s="24">
        <v>78</v>
      </c>
      <c r="F518" s="24">
        <v>4000</v>
      </c>
      <c r="G518" s="11">
        <v>138</v>
      </c>
      <c r="H518" s="24">
        <v>0</v>
      </c>
      <c r="I518" s="24">
        <v>-2738</v>
      </c>
      <c r="J518" s="4">
        <v>0.92999999999999994</v>
      </c>
      <c r="K518" s="4">
        <v>0</v>
      </c>
      <c r="L518" s="19">
        <f t="shared" si="7"/>
        <v>-2876</v>
      </c>
    </row>
    <row r="519" spans="1:12" hidden="1" x14ac:dyDescent="0.25">
      <c r="A519" s="2" t="s">
        <v>563</v>
      </c>
      <c r="B519" s="2" t="s">
        <v>564</v>
      </c>
      <c r="C519" s="2" t="s">
        <v>242</v>
      </c>
      <c r="D519" s="24">
        <v>153</v>
      </c>
      <c r="E519" s="24">
        <v>0</v>
      </c>
      <c r="F519" s="24">
        <v>3000</v>
      </c>
      <c r="G519" s="11">
        <v>0</v>
      </c>
      <c r="H519" s="24">
        <v>0</v>
      </c>
      <c r="I519" s="24">
        <v>-2847</v>
      </c>
      <c r="J519" s="4">
        <v>0.69999999999999973</v>
      </c>
      <c r="K519" s="4">
        <v>0</v>
      </c>
      <c r="L519" s="19">
        <f t="shared" si="7"/>
        <v>-2847</v>
      </c>
    </row>
    <row r="520" spans="1:12" hidden="1" x14ac:dyDescent="0.25">
      <c r="A520" s="2" t="s">
        <v>1047</v>
      </c>
      <c r="B520" s="2" t="s">
        <v>1048</v>
      </c>
      <c r="C520" s="2" t="s">
        <v>242</v>
      </c>
      <c r="D520" s="24">
        <v>16</v>
      </c>
      <c r="E520" s="24">
        <v>0</v>
      </c>
      <c r="F520" s="24">
        <v>3000</v>
      </c>
      <c r="G520" s="11">
        <v>10000</v>
      </c>
      <c r="H520" s="24">
        <v>0</v>
      </c>
      <c r="I520" s="24">
        <v>-2984</v>
      </c>
      <c r="J520" s="4">
        <v>0.3</v>
      </c>
      <c r="K520" s="4">
        <v>0</v>
      </c>
      <c r="L520" s="19">
        <f t="shared" si="7"/>
        <v>-12984</v>
      </c>
    </row>
    <row r="521" spans="1:12" hidden="1" x14ac:dyDescent="0.25">
      <c r="A521" s="2" t="s">
        <v>366</v>
      </c>
      <c r="B521" s="2" t="s">
        <v>367</v>
      </c>
      <c r="C521" s="2" t="s">
        <v>242</v>
      </c>
      <c r="D521" s="24">
        <v>298</v>
      </c>
      <c r="E521" s="24">
        <v>0</v>
      </c>
      <c r="F521" s="24">
        <v>3750</v>
      </c>
      <c r="G521" s="11">
        <v>674</v>
      </c>
      <c r="H521" s="24">
        <v>0</v>
      </c>
      <c r="I521" s="24">
        <v>-3452</v>
      </c>
      <c r="J521" s="4">
        <v>0.20000000000000007</v>
      </c>
      <c r="K521" s="4">
        <v>0</v>
      </c>
      <c r="L521" s="19">
        <f t="shared" si="7"/>
        <v>-4126</v>
      </c>
    </row>
    <row r="522" spans="1:12" hidden="1" x14ac:dyDescent="0.25">
      <c r="A522" s="2" t="s">
        <v>568</v>
      </c>
      <c r="B522" s="17" t="s">
        <v>569</v>
      </c>
      <c r="C522" s="2" t="s">
        <v>242</v>
      </c>
      <c r="D522" s="24">
        <v>1180</v>
      </c>
      <c r="E522" s="24">
        <v>0</v>
      </c>
      <c r="F522" s="24">
        <v>5000</v>
      </c>
      <c r="G522" s="11">
        <v>0</v>
      </c>
      <c r="H522" s="24">
        <v>0</v>
      </c>
      <c r="I522" s="24">
        <v>-3820</v>
      </c>
      <c r="J522" s="4">
        <v>0.59999999999999987</v>
      </c>
      <c r="K522" s="4">
        <v>0</v>
      </c>
      <c r="L522" s="19">
        <f t="shared" si="7"/>
        <v>-3820</v>
      </c>
    </row>
    <row r="523" spans="1:12" hidden="1" x14ac:dyDescent="0.25">
      <c r="A523" s="2" t="s">
        <v>30</v>
      </c>
      <c r="B523" s="2" t="s">
        <v>31</v>
      </c>
      <c r="C523" s="2" t="s">
        <v>1222</v>
      </c>
      <c r="D523" s="24">
        <v>674</v>
      </c>
      <c r="E523" s="24">
        <v>0</v>
      </c>
      <c r="F523" s="24">
        <v>4500</v>
      </c>
      <c r="G523" s="11">
        <v>2426</v>
      </c>
      <c r="H523" s="24">
        <v>0</v>
      </c>
      <c r="I523" s="24">
        <v>-3826</v>
      </c>
      <c r="J523" s="4">
        <v>1</v>
      </c>
      <c r="K523" s="4">
        <v>0</v>
      </c>
      <c r="L523" s="19">
        <f t="shared" si="7"/>
        <v>-6252</v>
      </c>
    </row>
    <row r="524" spans="1:12" hidden="1" x14ac:dyDescent="0.25">
      <c r="A524" s="2" t="s">
        <v>356</v>
      </c>
      <c r="B524" s="2" t="s">
        <v>357</v>
      </c>
      <c r="C524" s="2" t="s">
        <v>242</v>
      </c>
      <c r="D524" s="24">
        <v>184</v>
      </c>
      <c r="E524" s="24">
        <v>0</v>
      </c>
      <c r="F524" s="24">
        <v>4822</v>
      </c>
      <c r="G524" s="11">
        <v>811</v>
      </c>
      <c r="H524" s="24">
        <v>0</v>
      </c>
      <c r="I524" s="24">
        <v>-4638</v>
      </c>
      <c r="J524" s="4">
        <v>0.29999999999999993</v>
      </c>
      <c r="K524" s="4">
        <v>0</v>
      </c>
      <c r="L524" s="19">
        <f t="shared" si="7"/>
        <v>-5449</v>
      </c>
    </row>
    <row r="525" spans="1:12" hidden="1" x14ac:dyDescent="0.25">
      <c r="A525" s="2" t="s">
        <v>888</v>
      </c>
      <c r="B525" s="2" t="s">
        <v>889</v>
      </c>
      <c r="C525" s="2" t="s">
        <v>1222</v>
      </c>
      <c r="D525" s="24">
        <v>75</v>
      </c>
      <c r="E525" s="24">
        <v>0</v>
      </c>
      <c r="F525" s="24">
        <v>5200</v>
      </c>
      <c r="G525" s="11">
        <v>0</v>
      </c>
      <c r="H525" s="24">
        <v>0</v>
      </c>
      <c r="I525" s="24">
        <v>-5125</v>
      </c>
      <c r="J525" s="4">
        <v>0.08</v>
      </c>
      <c r="K525" s="4">
        <v>0</v>
      </c>
      <c r="L525" s="19">
        <f t="shared" ref="L525:L574" si="8">D525-E525-F525-G525-H525</f>
        <v>-5125</v>
      </c>
    </row>
    <row r="526" spans="1:12" hidden="1" x14ac:dyDescent="0.25">
      <c r="A526" s="2" t="s">
        <v>467</v>
      </c>
      <c r="B526" s="2" t="s">
        <v>468</v>
      </c>
      <c r="C526" s="2" t="s">
        <v>827</v>
      </c>
      <c r="D526" s="24">
        <v>1930</v>
      </c>
      <c r="E526" s="24">
        <v>0</v>
      </c>
      <c r="F526" s="24">
        <v>7500</v>
      </c>
      <c r="G526" s="11">
        <v>0</v>
      </c>
      <c r="H526" s="24">
        <v>0</v>
      </c>
      <c r="I526" s="24">
        <v>-5570</v>
      </c>
      <c r="J526" s="4">
        <v>0.80000000000000027</v>
      </c>
      <c r="K526" s="4">
        <v>0</v>
      </c>
      <c r="L526" s="19">
        <f t="shared" si="8"/>
        <v>-5570</v>
      </c>
    </row>
    <row r="527" spans="1:12" hidden="1" x14ac:dyDescent="0.25">
      <c r="A527" s="2" t="s">
        <v>925</v>
      </c>
      <c r="B527" s="2" t="s">
        <v>926</v>
      </c>
      <c r="C527" s="2" t="s">
        <v>1222</v>
      </c>
      <c r="D527" s="24">
        <v>8</v>
      </c>
      <c r="E527" s="24">
        <v>0</v>
      </c>
      <c r="F527" s="24">
        <v>6400</v>
      </c>
      <c r="G527" s="11">
        <v>186.49999999999997</v>
      </c>
      <c r="H527" s="24">
        <v>0</v>
      </c>
      <c r="I527" s="24">
        <v>-6392</v>
      </c>
      <c r="J527" s="4">
        <v>2.1</v>
      </c>
      <c r="K527" s="4">
        <v>0</v>
      </c>
      <c r="L527" s="19">
        <f t="shared" si="8"/>
        <v>-6578.5</v>
      </c>
    </row>
    <row r="528" spans="1:12" hidden="1" x14ac:dyDescent="0.25">
      <c r="A528" s="2" t="s">
        <v>360</v>
      </c>
      <c r="B528" s="2" t="s">
        <v>361</v>
      </c>
      <c r="C528" s="2" t="s">
        <v>1222</v>
      </c>
      <c r="D528" s="24">
        <v>132</v>
      </c>
      <c r="E528" s="24">
        <v>0</v>
      </c>
      <c r="F528" s="24">
        <v>14472</v>
      </c>
      <c r="G528" s="11">
        <v>3376</v>
      </c>
      <c r="H528" s="24">
        <v>0</v>
      </c>
      <c r="I528" s="24">
        <v>-14340</v>
      </c>
      <c r="J528" s="4">
        <v>4.0000000000000008E-2</v>
      </c>
      <c r="K528" s="4">
        <v>0</v>
      </c>
      <c r="L528" s="19">
        <f t="shared" si="8"/>
        <v>-17716</v>
      </c>
    </row>
    <row r="529" spans="1:12" hidden="1" x14ac:dyDescent="0.25">
      <c r="A529"/>
      <c r="B529"/>
      <c r="C529"/>
      <c r="D529"/>
      <c r="E529"/>
      <c r="F529"/>
      <c r="G529"/>
      <c r="H529"/>
      <c r="I529"/>
      <c r="J529"/>
      <c r="K529"/>
      <c r="L529" s="19">
        <f t="shared" si="8"/>
        <v>0</v>
      </c>
    </row>
    <row r="530" spans="1:12" hidden="1" x14ac:dyDescent="0.25">
      <c r="A530"/>
      <c r="B530"/>
      <c r="C530"/>
      <c r="D530"/>
      <c r="E530"/>
      <c r="F530"/>
      <c r="G530"/>
      <c r="H530"/>
      <c r="I530"/>
      <c r="J530"/>
      <c r="K530"/>
      <c r="L530" s="19">
        <f t="shared" si="8"/>
        <v>0</v>
      </c>
    </row>
    <row r="531" spans="1:12" hidden="1" x14ac:dyDescent="0.25">
      <c r="A531"/>
      <c r="B531"/>
      <c r="C531"/>
      <c r="D531"/>
      <c r="E531"/>
      <c r="F531"/>
      <c r="G531"/>
      <c r="H531"/>
      <c r="I531"/>
      <c r="J531"/>
      <c r="K531"/>
      <c r="L531" s="19">
        <f t="shared" si="8"/>
        <v>0</v>
      </c>
    </row>
    <row r="532" spans="1:12" hidden="1" x14ac:dyDescent="0.25">
      <c r="A532"/>
      <c r="B532"/>
      <c r="C532"/>
      <c r="D532"/>
      <c r="E532"/>
      <c r="F532"/>
      <c r="G532"/>
      <c r="H532"/>
      <c r="I532"/>
      <c r="J532"/>
      <c r="K532"/>
      <c r="L532" s="19">
        <f t="shared" si="8"/>
        <v>0</v>
      </c>
    </row>
    <row r="533" spans="1:12" hidden="1" x14ac:dyDescent="0.25">
      <c r="A533"/>
      <c r="B533"/>
      <c r="C533"/>
      <c r="D533"/>
      <c r="E533"/>
      <c r="F533"/>
      <c r="G533"/>
      <c r="H533"/>
      <c r="I533"/>
      <c r="J533"/>
      <c r="K533"/>
      <c r="L533" s="19">
        <f t="shared" si="8"/>
        <v>0</v>
      </c>
    </row>
    <row r="534" spans="1:12" hidden="1" x14ac:dyDescent="0.25">
      <c r="A534"/>
      <c r="B534"/>
      <c r="C534"/>
      <c r="D534"/>
      <c r="E534"/>
      <c r="F534"/>
      <c r="G534"/>
      <c r="H534"/>
      <c r="I534"/>
      <c r="J534"/>
      <c r="K534"/>
      <c r="L534" s="19">
        <f t="shared" si="8"/>
        <v>0</v>
      </c>
    </row>
    <row r="535" spans="1:12" hidden="1" x14ac:dyDescent="0.25">
      <c r="A535"/>
      <c r="B535"/>
      <c r="C535"/>
      <c r="D535"/>
      <c r="E535"/>
      <c r="F535"/>
      <c r="G535"/>
      <c r="H535"/>
      <c r="I535"/>
      <c r="J535"/>
      <c r="K535"/>
      <c r="L535" s="19">
        <f t="shared" si="8"/>
        <v>0</v>
      </c>
    </row>
    <row r="536" spans="1:12" hidden="1" x14ac:dyDescent="0.25">
      <c r="A536"/>
      <c r="B536"/>
      <c r="C536"/>
      <c r="D536"/>
      <c r="E536"/>
      <c r="F536"/>
      <c r="G536"/>
      <c r="H536"/>
      <c r="I536"/>
      <c r="J536"/>
      <c r="K536"/>
      <c r="L536" s="19">
        <f t="shared" si="8"/>
        <v>0</v>
      </c>
    </row>
    <row r="537" spans="1:12" hidden="1" x14ac:dyDescent="0.25">
      <c r="A537"/>
      <c r="B537"/>
      <c r="C537"/>
      <c r="D537"/>
      <c r="E537"/>
      <c r="F537"/>
      <c r="G537"/>
      <c r="H537"/>
      <c r="I537"/>
      <c r="J537"/>
      <c r="K537"/>
      <c r="L537" s="19">
        <f t="shared" si="8"/>
        <v>0</v>
      </c>
    </row>
    <row r="538" spans="1:12" hidden="1" x14ac:dyDescent="0.25">
      <c r="A538"/>
      <c r="B538"/>
      <c r="C538"/>
      <c r="D538"/>
      <c r="E538"/>
      <c r="F538"/>
      <c r="G538"/>
      <c r="H538"/>
      <c r="I538"/>
      <c r="J538"/>
      <c r="K538"/>
      <c r="L538" s="19">
        <f t="shared" si="8"/>
        <v>0</v>
      </c>
    </row>
    <row r="539" spans="1:12" hidden="1" x14ac:dyDescent="0.25">
      <c r="A539"/>
      <c r="B539"/>
      <c r="C539"/>
      <c r="D539"/>
      <c r="E539"/>
      <c r="F539"/>
      <c r="G539"/>
      <c r="H539"/>
      <c r="I539"/>
      <c r="J539"/>
      <c r="K539"/>
      <c r="L539" s="19">
        <f t="shared" si="8"/>
        <v>0</v>
      </c>
    </row>
    <row r="540" spans="1:12" hidden="1" x14ac:dyDescent="0.25">
      <c r="A540"/>
      <c r="B540"/>
      <c r="C540"/>
      <c r="D540"/>
      <c r="E540"/>
      <c r="F540"/>
      <c r="G540"/>
      <c r="H540"/>
      <c r="I540"/>
      <c r="J540"/>
      <c r="K540"/>
      <c r="L540" s="19">
        <f t="shared" si="8"/>
        <v>0</v>
      </c>
    </row>
    <row r="541" spans="1:12" hidden="1" x14ac:dyDescent="0.25">
      <c r="A541"/>
      <c r="B541"/>
      <c r="C541"/>
      <c r="D541"/>
      <c r="E541"/>
      <c r="F541"/>
      <c r="G541"/>
      <c r="H541"/>
      <c r="I541"/>
      <c r="J541"/>
      <c r="K541"/>
      <c r="L541" s="19">
        <f t="shared" si="8"/>
        <v>0</v>
      </c>
    </row>
    <row r="542" spans="1:12" hidden="1" x14ac:dyDescent="0.25">
      <c r="A542"/>
      <c r="B542"/>
      <c r="C542"/>
      <c r="D542"/>
      <c r="E542"/>
      <c r="F542"/>
      <c r="G542"/>
      <c r="H542"/>
      <c r="I542"/>
      <c r="J542"/>
      <c r="K542"/>
      <c r="L542" s="19">
        <f t="shared" si="8"/>
        <v>0</v>
      </c>
    </row>
    <row r="543" spans="1:12" hidden="1" x14ac:dyDescent="0.25">
      <c r="A543"/>
      <c r="B543"/>
      <c r="C543"/>
      <c r="D543"/>
      <c r="E543"/>
      <c r="F543"/>
      <c r="G543"/>
      <c r="H543"/>
      <c r="I543"/>
      <c r="J543"/>
      <c r="K543"/>
      <c r="L543" s="19">
        <f t="shared" si="8"/>
        <v>0</v>
      </c>
    </row>
    <row r="544" spans="1:12" hidden="1" x14ac:dyDescent="0.25">
      <c r="A544"/>
      <c r="B544"/>
      <c r="C544"/>
      <c r="D544"/>
      <c r="E544"/>
      <c r="F544"/>
      <c r="G544"/>
      <c r="H544"/>
      <c r="I544"/>
      <c r="J544"/>
      <c r="K544"/>
      <c r="L544" s="19">
        <f t="shared" si="8"/>
        <v>0</v>
      </c>
    </row>
    <row r="545" spans="1:12" hidden="1" x14ac:dyDescent="0.25">
      <c r="A545"/>
      <c r="B545"/>
      <c r="C545"/>
      <c r="D545"/>
      <c r="E545"/>
      <c r="F545"/>
      <c r="G545"/>
      <c r="H545"/>
      <c r="I545"/>
      <c r="J545"/>
      <c r="K545"/>
      <c r="L545" s="19">
        <f t="shared" si="8"/>
        <v>0</v>
      </c>
    </row>
    <row r="546" spans="1:12" hidden="1" x14ac:dyDescent="0.25">
      <c r="A546"/>
      <c r="B546"/>
      <c r="C546"/>
      <c r="D546"/>
      <c r="E546"/>
      <c r="F546"/>
      <c r="G546"/>
      <c r="H546"/>
      <c r="I546"/>
      <c r="J546"/>
      <c r="K546"/>
      <c r="L546" s="19">
        <f t="shared" si="8"/>
        <v>0</v>
      </c>
    </row>
    <row r="547" spans="1:12" hidden="1" x14ac:dyDescent="0.25">
      <c r="A547"/>
      <c r="B547"/>
      <c r="C547"/>
      <c r="D547"/>
      <c r="E547"/>
      <c r="F547"/>
      <c r="G547"/>
      <c r="H547"/>
      <c r="I547"/>
      <c r="J547"/>
      <c r="K547"/>
      <c r="L547" s="19">
        <f t="shared" si="8"/>
        <v>0</v>
      </c>
    </row>
    <row r="548" spans="1:12" hidden="1" x14ac:dyDescent="0.25">
      <c r="A548"/>
      <c r="B548"/>
      <c r="C548"/>
      <c r="D548"/>
      <c r="E548"/>
      <c r="F548"/>
      <c r="G548"/>
      <c r="H548"/>
      <c r="I548"/>
      <c r="J548"/>
      <c r="K548"/>
      <c r="L548" s="19">
        <f t="shared" si="8"/>
        <v>0</v>
      </c>
    </row>
    <row r="549" spans="1:12" hidden="1" x14ac:dyDescent="0.25">
      <c r="A549"/>
      <c r="B549"/>
      <c r="C549"/>
      <c r="D549"/>
      <c r="E549"/>
      <c r="F549"/>
      <c r="G549"/>
      <c r="H549"/>
      <c r="I549"/>
      <c r="J549"/>
      <c r="K549"/>
      <c r="L549" s="19">
        <f t="shared" si="8"/>
        <v>0</v>
      </c>
    </row>
    <row r="550" spans="1:12" hidden="1" x14ac:dyDescent="0.25">
      <c r="A550"/>
      <c r="B550"/>
      <c r="C550"/>
      <c r="D550"/>
      <c r="E550"/>
      <c r="F550"/>
      <c r="G550"/>
      <c r="H550"/>
      <c r="I550"/>
      <c r="J550"/>
      <c r="K550"/>
      <c r="L550" s="19">
        <f t="shared" si="8"/>
        <v>0</v>
      </c>
    </row>
    <row r="551" spans="1:12" hidden="1" x14ac:dyDescent="0.25">
      <c r="A551"/>
      <c r="B551"/>
      <c r="C551"/>
      <c r="D551"/>
      <c r="E551"/>
      <c r="F551"/>
      <c r="G551"/>
      <c r="H551"/>
      <c r="I551"/>
      <c r="J551"/>
      <c r="K551"/>
      <c r="L551" s="19">
        <f t="shared" si="8"/>
        <v>0</v>
      </c>
    </row>
    <row r="552" spans="1:12" hidden="1" x14ac:dyDescent="0.25">
      <c r="A552"/>
      <c r="B552"/>
      <c r="C552"/>
      <c r="D552"/>
      <c r="E552"/>
      <c r="F552"/>
      <c r="G552"/>
      <c r="H552"/>
      <c r="I552"/>
      <c r="J552"/>
      <c r="K552"/>
      <c r="L552" s="19">
        <f t="shared" si="8"/>
        <v>0</v>
      </c>
    </row>
    <row r="553" spans="1:12" hidden="1" x14ac:dyDescent="0.25">
      <c r="A553"/>
      <c r="B553"/>
      <c r="C553"/>
      <c r="D553"/>
      <c r="E553"/>
      <c r="F553"/>
      <c r="G553"/>
      <c r="H553"/>
      <c r="I553"/>
      <c r="J553"/>
      <c r="K553"/>
      <c r="L553" s="19">
        <f t="shared" si="8"/>
        <v>0</v>
      </c>
    </row>
    <row r="554" spans="1:12" hidden="1" x14ac:dyDescent="0.25">
      <c r="A554"/>
      <c r="B554"/>
      <c r="C554"/>
      <c r="D554"/>
      <c r="E554"/>
      <c r="F554"/>
      <c r="G554"/>
      <c r="H554"/>
      <c r="I554"/>
      <c r="J554"/>
      <c r="K554"/>
      <c r="L554" s="19">
        <f t="shared" si="8"/>
        <v>0</v>
      </c>
    </row>
    <row r="555" spans="1:12" hidden="1" x14ac:dyDescent="0.25">
      <c r="A555"/>
      <c r="B555"/>
      <c r="C555"/>
      <c r="D555"/>
      <c r="E555"/>
      <c r="F555"/>
      <c r="G555"/>
      <c r="H555"/>
      <c r="I555"/>
      <c r="J555"/>
      <c r="K555"/>
      <c r="L555" s="19">
        <f t="shared" si="8"/>
        <v>0</v>
      </c>
    </row>
    <row r="556" spans="1:12" hidden="1" x14ac:dyDescent="0.25">
      <c r="A556"/>
      <c r="B556"/>
      <c r="C556"/>
      <c r="D556"/>
      <c r="E556"/>
      <c r="F556"/>
      <c r="G556"/>
      <c r="H556"/>
      <c r="I556"/>
      <c r="J556"/>
      <c r="K556"/>
      <c r="L556" s="19">
        <f t="shared" si="8"/>
        <v>0</v>
      </c>
    </row>
    <row r="557" spans="1:12" hidden="1" x14ac:dyDescent="0.25">
      <c r="A557"/>
      <c r="B557"/>
      <c r="C557"/>
      <c r="D557"/>
      <c r="E557"/>
      <c r="F557"/>
      <c r="G557"/>
      <c r="H557"/>
      <c r="I557"/>
      <c r="J557"/>
      <c r="K557"/>
      <c r="L557" s="19">
        <f t="shared" si="8"/>
        <v>0</v>
      </c>
    </row>
    <row r="558" spans="1:12" hidden="1" x14ac:dyDescent="0.25">
      <c r="A558"/>
      <c r="B558"/>
      <c r="C558"/>
      <c r="D558"/>
      <c r="E558"/>
      <c r="F558"/>
      <c r="G558"/>
      <c r="H558"/>
      <c r="I558"/>
      <c r="J558"/>
      <c r="K558"/>
      <c r="L558" s="19">
        <f t="shared" si="8"/>
        <v>0</v>
      </c>
    </row>
    <row r="559" spans="1:12" hidden="1" x14ac:dyDescent="0.25">
      <c r="A559"/>
      <c r="B559"/>
      <c r="C559"/>
      <c r="D559"/>
      <c r="E559"/>
      <c r="F559"/>
      <c r="G559"/>
      <c r="H559"/>
      <c r="I559"/>
      <c r="J559"/>
      <c r="K559"/>
      <c r="L559" s="19">
        <f t="shared" si="8"/>
        <v>0</v>
      </c>
    </row>
    <row r="560" spans="1:12" hidden="1" x14ac:dyDescent="0.25">
      <c r="A560"/>
      <c r="B560"/>
      <c r="C560"/>
      <c r="D560"/>
      <c r="E560"/>
      <c r="F560"/>
      <c r="G560"/>
      <c r="H560"/>
      <c r="I560"/>
      <c r="J560"/>
      <c r="K560"/>
      <c r="L560" s="19">
        <f t="shared" si="8"/>
        <v>0</v>
      </c>
    </row>
    <row r="561" spans="1:12" hidden="1" x14ac:dyDescent="0.25">
      <c r="A561"/>
      <c r="B561"/>
      <c r="C561"/>
      <c r="D561"/>
      <c r="E561"/>
      <c r="F561"/>
      <c r="G561"/>
      <c r="H561"/>
      <c r="I561"/>
      <c r="J561"/>
      <c r="K561"/>
      <c r="L561" s="19">
        <f t="shared" si="8"/>
        <v>0</v>
      </c>
    </row>
    <row r="562" spans="1:12" hidden="1" x14ac:dyDescent="0.25">
      <c r="A562"/>
      <c r="B562"/>
      <c r="C562"/>
      <c r="D562"/>
      <c r="E562"/>
      <c r="F562"/>
      <c r="G562"/>
      <c r="H562"/>
      <c r="I562"/>
      <c r="J562"/>
      <c r="K562"/>
      <c r="L562" s="19">
        <f t="shared" si="8"/>
        <v>0</v>
      </c>
    </row>
    <row r="563" spans="1:12" hidden="1" x14ac:dyDescent="0.25">
      <c r="A563"/>
      <c r="B563"/>
      <c r="C563"/>
      <c r="D563"/>
      <c r="E563"/>
      <c r="F563"/>
      <c r="G563"/>
      <c r="H563"/>
      <c r="I563"/>
      <c r="J563"/>
      <c r="K563"/>
      <c r="L563" s="19">
        <f t="shared" si="8"/>
        <v>0</v>
      </c>
    </row>
    <row r="564" spans="1:12" hidden="1" x14ac:dyDescent="0.25">
      <c r="A564"/>
      <c r="B564"/>
      <c r="C564"/>
      <c r="D564"/>
      <c r="E564"/>
      <c r="F564"/>
      <c r="G564"/>
      <c r="H564"/>
      <c r="I564"/>
      <c r="J564"/>
      <c r="K564"/>
      <c r="L564" s="19">
        <f t="shared" si="8"/>
        <v>0</v>
      </c>
    </row>
    <row r="565" spans="1:12" hidden="1" x14ac:dyDescent="0.25">
      <c r="A565"/>
      <c r="B565"/>
      <c r="C565"/>
      <c r="D565"/>
      <c r="E565"/>
      <c r="F565"/>
      <c r="G565"/>
      <c r="H565"/>
      <c r="I565"/>
      <c r="J565"/>
      <c r="K565"/>
      <c r="L565" s="19">
        <f t="shared" si="8"/>
        <v>0</v>
      </c>
    </row>
    <row r="566" spans="1:12" hidden="1" x14ac:dyDescent="0.25">
      <c r="A566"/>
      <c r="B566"/>
      <c r="C566"/>
      <c r="D566"/>
      <c r="E566"/>
      <c r="F566"/>
      <c r="G566"/>
      <c r="H566"/>
      <c r="I566"/>
      <c r="J566"/>
      <c r="K566"/>
      <c r="L566" s="19">
        <f t="shared" si="8"/>
        <v>0</v>
      </c>
    </row>
    <row r="567" spans="1:12" hidden="1" x14ac:dyDescent="0.25">
      <c r="A567"/>
      <c r="B567"/>
      <c r="C567"/>
      <c r="D567"/>
      <c r="E567"/>
      <c r="F567"/>
      <c r="G567"/>
      <c r="H567"/>
      <c r="I567"/>
      <c r="J567"/>
      <c r="K567"/>
      <c r="L567" s="19">
        <f t="shared" si="8"/>
        <v>0</v>
      </c>
    </row>
    <row r="568" spans="1:12" hidden="1" x14ac:dyDescent="0.25">
      <c r="A568"/>
      <c r="B568"/>
      <c r="C568"/>
      <c r="D568"/>
      <c r="E568"/>
      <c r="F568"/>
      <c r="G568"/>
      <c r="H568"/>
      <c r="I568"/>
      <c r="J568"/>
      <c r="K568"/>
      <c r="L568" s="19">
        <f t="shared" si="8"/>
        <v>0</v>
      </c>
    </row>
    <row r="569" spans="1:12" hidden="1" x14ac:dyDescent="0.25">
      <c r="A569"/>
      <c r="B569"/>
      <c r="C569"/>
      <c r="D569"/>
      <c r="E569"/>
      <c r="F569"/>
      <c r="G569"/>
      <c r="H569"/>
      <c r="I569"/>
      <c r="J569"/>
      <c r="K569"/>
      <c r="L569" s="19">
        <f t="shared" si="8"/>
        <v>0</v>
      </c>
    </row>
    <row r="570" spans="1:12" hidden="1" x14ac:dyDescent="0.25">
      <c r="A570"/>
      <c r="B570"/>
      <c r="C570"/>
      <c r="D570"/>
      <c r="E570"/>
      <c r="F570"/>
      <c r="G570"/>
      <c r="H570"/>
      <c r="I570"/>
      <c r="J570"/>
      <c r="K570"/>
      <c r="L570" s="19">
        <f t="shared" si="8"/>
        <v>0</v>
      </c>
    </row>
    <row r="571" spans="1:12" hidden="1" x14ac:dyDescent="0.25">
      <c r="A571"/>
      <c r="B571"/>
      <c r="C571"/>
      <c r="D571"/>
      <c r="E571"/>
      <c r="F571"/>
      <c r="G571"/>
      <c r="H571"/>
      <c r="I571"/>
      <c r="J571"/>
      <c r="K571"/>
      <c r="L571" s="19">
        <f t="shared" si="8"/>
        <v>0</v>
      </c>
    </row>
    <row r="572" spans="1:12" hidden="1" x14ac:dyDescent="0.25">
      <c r="A572"/>
      <c r="B572"/>
      <c r="C572"/>
      <c r="D572"/>
      <c r="E572"/>
      <c r="F572"/>
      <c r="G572"/>
      <c r="H572"/>
      <c r="I572"/>
      <c r="J572"/>
      <c r="K572"/>
      <c r="L572" s="19">
        <f t="shared" si="8"/>
        <v>0</v>
      </c>
    </row>
    <row r="573" spans="1:12" hidden="1" x14ac:dyDescent="0.25">
      <c r="A573"/>
      <c r="B573"/>
      <c r="C573"/>
      <c r="D573"/>
      <c r="E573"/>
      <c r="F573"/>
      <c r="G573"/>
      <c r="H573"/>
      <c r="I573"/>
      <c r="J573"/>
      <c r="K573"/>
      <c r="L573" s="19">
        <f t="shared" si="8"/>
        <v>0</v>
      </c>
    </row>
    <row r="574" spans="1:12" hidden="1" x14ac:dyDescent="0.25">
      <c r="A574"/>
      <c r="B574"/>
      <c r="C574"/>
      <c r="D574"/>
      <c r="E574"/>
      <c r="F574"/>
      <c r="G574"/>
      <c r="H574"/>
      <c r="I574"/>
      <c r="J574"/>
      <c r="K574"/>
      <c r="L574" s="19">
        <f t="shared" si="8"/>
        <v>0</v>
      </c>
    </row>
    <row r="575" spans="1:12" hidden="1" x14ac:dyDescent="0.25">
      <c r="A575"/>
      <c r="B575"/>
      <c r="C575"/>
      <c r="D575"/>
      <c r="E575"/>
      <c r="F575"/>
      <c r="G575"/>
      <c r="H575"/>
      <c r="I575"/>
      <c r="J575"/>
      <c r="K575"/>
    </row>
    <row r="576" spans="1:12" hidden="1" x14ac:dyDescent="0.25">
      <c r="A576"/>
      <c r="B576"/>
      <c r="C576"/>
      <c r="D576"/>
      <c r="E576"/>
      <c r="F576"/>
      <c r="G576"/>
      <c r="H576"/>
      <c r="I576"/>
      <c r="J576"/>
      <c r="K576"/>
    </row>
    <row r="577" spans="1:11" hidden="1" x14ac:dyDescent="0.25">
      <c r="A577"/>
      <c r="B577"/>
      <c r="C577"/>
      <c r="D577"/>
      <c r="E577"/>
      <c r="F577"/>
      <c r="G577"/>
      <c r="H577"/>
      <c r="I577"/>
      <c r="J577"/>
      <c r="K577"/>
    </row>
    <row r="578" spans="1:11" hidden="1" x14ac:dyDescent="0.25">
      <c r="A578"/>
      <c r="B578"/>
      <c r="C578"/>
      <c r="D578"/>
      <c r="E578"/>
      <c r="F578"/>
      <c r="G578"/>
      <c r="H578"/>
      <c r="I578"/>
      <c r="J578"/>
      <c r="K578"/>
    </row>
    <row r="579" spans="1:11" hidden="1" x14ac:dyDescent="0.25">
      <c r="A579"/>
      <c r="B579"/>
      <c r="C579"/>
      <c r="D579"/>
      <c r="E579"/>
      <c r="F579"/>
      <c r="G579"/>
      <c r="H579"/>
      <c r="I579"/>
      <c r="J579"/>
      <c r="K579"/>
    </row>
    <row r="580" spans="1:11" hidden="1" x14ac:dyDescent="0.25">
      <c r="A580"/>
      <c r="B580"/>
      <c r="C580"/>
      <c r="D580"/>
      <c r="E580"/>
      <c r="F580"/>
      <c r="G580"/>
      <c r="H580"/>
      <c r="I580"/>
      <c r="J580"/>
      <c r="K580"/>
    </row>
    <row r="581" spans="1:11" hidden="1" x14ac:dyDescent="0.25">
      <c r="A581"/>
      <c r="B581"/>
      <c r="C581"/>
      <c r="D581"/>
      <c r="E581"/>
      <c r="F581"/>
      <c r="G581"/>
      <c r="H581"/>
      <c r="I581"/>
      <c r="J581"/>
      <c r="K581"/>
    </row>
    <row r="582" spans="1:11" hidden="1" x14ac:dyDescent="0.25">
      <c r="A582"/>
      <c r="B582"/>
      <c r="C582"/>
      <c r="D582"/>
      <c r="E582"/>
      <c r="F582"/>
      <c r="G582"/>
      <c r="H582"/>
      <c r="I582"/>
      <c r="J582"/>
      <c r="K582"/>
    </row>
    <row r="583" spans="1:11" hidden="1" x14ac:dyDescent="0.25">
      <c r="A583"/>
      <c r="B583"/>
      <c r="C583"/>
      <c r="D583"/>
      <c r="E583"/>
      <c r="F583"/>
      <c r="G583"/>
      <c r="H583"/>
      <c r="I583"/>
      <c r="J583"/>
      <c r="K583"/>
    </row>
    <row r="584" spans="1:11" hidden="1" x14ac:dyDescent="0.25">
      <c r="A584"/>
      <c r="B584"/>
      <c r="C584"/>
      <c r="D584"/>
      <c r="E584"/>
      <c r="F584"/>
      <c r="G584"/>
      <c r="H584"/>
      <c r="I584"/>
      <c r="J584"/>
      <c r="K584"/>
    </row>
    <row r="585" spans="1:11" hidden="1" x14ac:dyDescent="0.25">
      <c r="A585"/>
      <c r="B585"/>
      <c r="C585"/>
      <c r="D585"/>
      <c r="E585"/>
      <c r="F585"/>
      <c r="G585"/>
      <c r="H585"/>
      <c r="I585"/>
      <c r="J585"/>
      <c r="K585"/>
    </row>
    <row r="586" spans="1:11" hidden="1" x14ac:dyDescent="0.25">
      <c r="A586"/>
      <c r="B586"/>
      <c r="C586"/>
      <c r="D586"/>
      <c r="E586"/>
      <c r="F586"/>
      <c r="G586"/>
      <c r="H586"/>
      <c r="I586"/>
      <c r="J586"/>
      <c r="K586"/>
    </row>
    <row r="587" spans="1:11" hidden="1" x14ac:dyDescent="0.25">
      <c r="A587"/>
      <c r="B587"/>
      <c r="C587"/>
      <c r="D587"/>
      <c r="E587"/>
      <c r="F587"/>
      <c r="G587"/>
      <c r="H587"/>
      <c r="I587"/>
      <c r="J587"/>
      <c r="K587"/>
    </row>
    <row r="588" spans="1:11" hidden="1" x14ac:dyDescent="0.25">
      <c r="A588"/>
      <c r="B588"/>
      <c r="C588"/>
      <c r="D588"/>
      <c r="E588"/>
      <c r="F588"/>
      <c r="G588"/>
      <c r="H588"/>
      <c r="I588"/>
      <c r="J588"/>
      <c r="K588"/>
    </row>
    <row r="589" spans="1:11" hidden="1" x14ac:dyDescent="0.25">
      <c r="A589"/>
      <c r="B589"/>
      <c r="C589"/>
      <c r="D589"/>
      <c r="E589"/>
      <c r="F589"/>
      <c r="G589"/>
      <c r="H589"/>
      <c r="I589"/>
      <c r="J589"/>
      <c r="K589"/>
    </row>
    <row r="590" spans="1:11" hidden="1" x14ac:dyDescent="0.25">
      <c r="A590"/>
      <c r="B590"/>
      <c r="C590"/>
      <c r="D590"/>
      <c r="E590"/>
      <c r="F590"/>
      <c r="G590"/>
      <c r="H590"/>
      <c r="I590"/>
      <c r="J590"/>
      <c r="K590"/>
    </row>
    <row r="591" spans="1:11" hidden="1" x14ac:dyDescent="0.25">
      <c r="A591"/>
      <c r="B591"/>
      <c r="C591"/>
      <c r="D591"/>
      <c r="E591"/>
      <c r="F591"/>
      <c r="G591"/>
      <c r="H591"/>
      <c r="I591"/>
      <c r="J591"/>
      <c r="K591"/>
    </row>
    <row r="592" spans="1:11" hidden="1" x14ac:dyDescent="0.25">
      <c r="A592"/>
      <c r="B592"/>
      <c r="C592"/>
      <c r="D592"/>
      <c r="E592"/>
      <c r="F592"/>
      <c r="G592"/>
      <c r="H592"/>
      <c r="I592"/>
      <c r="J592"/>
      <c r="K592"/>
    </row>
    <row r="593" spans="1:11" hidden="1" x14ac:dyDescent="0.25">
      <c r="A593"/>
      <c r="B593"/>
      <c r="C593"/>
      <c r="D593"/>
      <c r="E593"/>
      <c r="F593"/>
      <c r="G593"/>
      <c r="H593"/>
      <c r="I593"/>
      <c r="J593"/>
      <c r="K593"/>
    </row>
    <row r="594" spans="1:11" hidden="1" x14ac:dyDescent="0.25">
      <c r="A594"/>
      <c r="B594"/>
      <c r="C594"/>
      <c r="D594"/>
      <c r="E594"/>
      <c r="F594"/>
      <c r="G594"/>
      <c r="H594"/>
      <c r="I594"/>
      <c r="J594"/>
      <c r="K594"/>
    </row>
    <row r="595" spans="1:11" hidden="1" x14ac:dyDescent="0.25">
      <c r="A595"/>
      <c r="B595"/>
      <c r="C595"/>
      <c r="D595"/>
      <c r="E595"/>
      <c r="F595"/>
      <c r="G595"/>
      <c r="H595"/>
      <c r="I595"/>
      <c r="J595"/>
      <c r="K595"/>
    </row>
    <row r="596" spans="1:11" hidden="1" x14ac:dyDescent="0.25">
      <c r="A596"/>
      <c r="B596"/>
      <c r="C596"/>
      <c r="D596"/>
      <c r="E596"/>
      <c r="F596"/>
      <c r="G596"/>
      <c r="H596"/>
      <c r="I596"/>
      <c r="J596"/>
      <c r="K596"/>
    </row>
    <row r="597" spans="1:11" hidden="1" x14ac:dyDescent="0.25">
      <c r="A597"/>
      <c r="B597"/>
      <c r="C597"/>
      <c r="D597"/>
      <c r="E597"/>
      <c r="F597"/>
      <c r="G597"/>
      <c r="H597"/>
      <c r="I597"/>
      <c r="J597"/>
      <c r="K597"/>
    </row>
    <row r="598" spans="1:11" hidden="1" x14ac:dyDescent="0.25">
      <c r="A598"/>
      <c r="B598"/>
      <c r="C598"/>
      <c r="D598"/>
      <c r="E598"/>
      <c r="F598"/>
      <c r="G598"/>
      <c r="H598"/>
      <c r="I598"/>
      <c r="J598"/>
      <c r="K598"/>
    </row>
    <row r="599" spans="1:11" hidden="1" x14ac:dyDescent="0.25">
      <c r="A599"/>
      <c r="B599"/>
      <c r="C599"/>
      <c r="D599"/>
      <c r="E599"/>
      <c r="F599"/>
      <c r="G599"/>
      <c r="H599"/>
      <c r="I599"/>
      <c r="J599"/>
      <c r="K599"/>
    </row>
    <row r="600" spans="1:11" hidden="1" x14ac:dyDescent="0.25">
      <c r="A600"/>
      <c r="B600"/>
      <c r="C600"/>
      <c r="D600"/>
      <c r="E600"/>
      <c r="F600"/>
      <c r="G600"/>
      <c r="H600"/>
      <c r="I600"/>
      <c r="J600"/>
      <c r="K600"/>
    </row>
    <row r="601" spans="1:11" hidden="1" x14ac:dyDescent="0.25">
      <c r="A601"/>
      <c r="B601"/>
      <c r="C601"/>
      <c r="D601"/>
      <c r="E601"/>
      <c r="F601"/>
      <c r="G601"/>
      <c r="H601"/>
      <c r="I601"/>
      <c r="J601"/>
      <c r="K601"/>
    </row>
    <row r="602" spans="1:11" hidden="1" x14ac:dyDescent="0.25">
      <c r="A602"/>
      <c r="B602"/>
      <c r="C602"/>
      <c r="D602"/>
      <c r="E602"/>
      <c r="F602"/>
      <c r="G602"/>
      <c r="H602"/>
      <c r="I602"/>
      <c r="J602"/>
      <c r="K602"/>
    </row>
    <row r="603" spans="1:11" hidden="1" x14ac:dyDescent="0.25">
      <c r="A603"/>
      <c r="B603"/>
      <c r="C603"/>
      <c r="D603"/>
      <c r="E603"/>
      <c r="F603"/>
      <c r="G603"/>
      <c r="H603"/>
      <c r="I603"/>
      <c r="J603"/>
      <c r="K603"/>
    </row>
    <row r="604" spans="1:11" hidden="1" x14ac:dyDescent="0.25">
      <c r="A604"/>
      <c r="B604"/>
      <c r="C604"/>
      <c r="D604"/>
      <c r="E604"/>
      <c r="F604"/>
      <c r="G604"/>
      <c r="H604"/>
      <c r="I604"/>
      <c r="J604"/>
      <c r="K604"/>
    </row>
    <row r="605" spans="1:11" hidden="1" x14ac:dyDescent="0.25">
      <c r="A605"/>
      <c r="B605"/>
      <c r="C605"/>
      <c r="D605"/>
      <c r="E605"/>
      <c r="F605"/>
      <c r="G605"/>
      <c r="H605"/>
      <c r="I605"/>
      <c r="J605"/>
      <c r="K605"/>
    </row>
    <row r="606" spans="1:11" hidden="1" x14ac:dyDescent="0.25">
      <c r="A606"/>
      <c r="B606"/>
      <c r="C606"/>
      <c r="D606"/>
      <c r="E606"/>
      <c r="F606"/>
      <c r="G606"/>
      <c r="H606"/>
      <c r="I606"/>
      <c r="J606"/>
      <c r="K606"/>
    </row>
    <row r="607" spans="1:11" hidden="1" x14ac:dyDescent="0.25">
      <c r="A607"/>
      <c r="B607"/>
      <c r="C607"/>
      <c r="D607"/>
      <c r="E607"/>
      <c r="F607"/>
      <c r="G607"/>
      <c r="H607"/>
      <c r="I607"/>
      <c r="J607"/>
      <c r="K607"/>
    </row>
    <row r="608" spans="1:11" hidden="1" x14ac:dyDescent="0.25">
      <c r="A608"/>
      <c r="B608"/>
      <c r="C608"/>
      <c r="D608"/>
      <c r="E608"/>
      <c r="F608"/>
      <c r="G608"/>
      <c r="H608"/>
      <c r="I608"/>
      <c r="J608"/>
      <c r="K608"/>
    </row>
    <row r="609" spans="1:11" hidden="1" x14ac:dyDescent="0.25">
      <c r="A609"/>
      <c r="B609"/>
      <c r="C609"/>
      <c r="D609"/>
      <c r="E609"/>
      <c r="F609"/>
      <c r="G609"/>
      <c r="H609"/>
      <c r="I609"/>
      <c r="J609"/>
      <c r="K609"/>
    </row>
    <row r="610" spans="1:11" hidden="1" x14ac:dyDescent="0.25">
      <c r="A610"/>
      <c r="B610"/>
      <c r="C610"/>
      <c r="D610"/>
      <c r="E610"/>
      <c r="F610"/>
      <c r="G610"/>
      <c r="H610"/>
      <c r="I610"/>
      <c r="J610"/>
      <c r="K610"/>
    </row>
    <row r="611" spans="1:11" hidden="1" x14ac:dyDescent="0.25">
      <c r="A611"/>
      <c r="B611"/>
      <c r="C611"/>
      <c r="D611"/>
      <c r="E611"/>
      <c r="F611"/>
      <c r="G611"/>
      <c r="H611"/>
      <c r="I611"/>
      <c r="J611"/>
      <c r="K611"/>
    </row>
    <row r="612" spans="1:11" hidden="1" x14ac:dyDescent="0.25">
      <c r="A612"/>
      <c r="B612"/>
      <c r="C612"/>
      <c r="D612"/>
      <c r="E612"/>
      <c r="F612"/>
      <c r="G612"/>
      <c r="H612"/>
      <c r="I612"/>
      <c r="J612"/>
      <c r="K612"/>
    </row>
    <row r="613" spans="1:11" hidden="1" x14ac:dyDescent="0.25">
      <c r="A613"/>
      <c r="B613"/>
      <c r="C613"/>
      <c r="D613"/>
      <c r="E613"/>
      <c r="F613"/>
      <c r="G613"/>
      <c r="H613"/>
      <c r="I613"/>
      <c r="J613"/>
      <c r="K613"/>
    </row>
    <row r="614" spans="1:11" hidden="1" x14ac:dyDescent="0.25">
      <c r="A614"/>
      <c r="B614"/>
      <c r="C614"/>
      <c r="D614"/>
      <c r="E614"/>
      <c r="F614"/>
      <c r="G614"/>
      <c r="H614"/>
      <c r="I614"/>
      <c r="J614"/>
      <c r="K614"/>
    </row>
    <row r="615" spans="1:11" hidden="1" x14ac:dyDescent="0.25">
      <c r="A615"/>
      <c r="B615"/>
      <c r="C615"/>
      <c r="D615"/>
      <c r="E615"/>
      <c r="F615"/>
      <c r="G615"/>
      <c r="H615"/>
      <c r="I615"/>
      <c r="J615"/>
      <c r="K615"/>
    </row>
    <row r="616" spans="1:11" hidden="1" x14ac:dyDescent="0.25">
      <c r="A616"/>
      <c r="B616"/>
      <c r="C616"/>
      <c r="D616"/>
      <c r="E616"/>
      <c r="F616"/>
      <c r="G616"/>
      <c r="H616"/>
      <c r="I616"/>
      <c r="J616"/>
      <c r="K616"/>
    </row>
    <row r="617" spans="1:11" hidden="1" x14ac:dyDescent="0.25">
      <c r="A617"/>
      <c r="B617"/>
      <c r="C617"/>
      <c r="D617"/>
      <c r="E617"/>
      <c r="F617"/>
      <c r="G617"/>
      <c r="H617"/>
      <c r="I617"/>
      <c r="J617"/>
      <c r="K617"/>
    </row>
    <row r="618" spans="1:11" hidden="1" x14ac:dyDescent="0.25">
      <c r="A618"/>
      <c r="B618"/>
      <c r="C618"/>
      <c r="D618"/>
      <c r="E618"/>
      <c r="F618"/>
      <c r="G618"/>
      <c r="H618"/>
      <c r="I618"/>
      <c r="J618"/>
      <c r="K618"/>
    </row>
    <row r="619" spans="1:11" hidden="1" x14ac:dyDescent="0.25">
      <c r="A619"/>
      <c r="B619"/>
      <c r="C619"/>
      <c r="D619"/>
      <c r="E619"/>
      <c r="F619"/>
      <c r="G619"/>
      <c r="H619"/>
      <c r="I619"/>
      <c r="J619"/>
      <c r="K619"/>
    </row>
    <row r="620" spans="1:11" hidden="1" x14ac:dyDescent="0.25">
      <c r="A620"/>
      <c r="B620"/>
      <c r="C620"/>
      <c r="D620"/>
      <c r="E620"/>
      <c r="F620"/>
      <c r="G620"/>
      <c r="H620"/>
      <c r="I620"/>
      <c r="J620"/>
      <c r="K620"/>
    </row>
    <row r="621" spans="1:11" hidden="1" x14ac:dyDescent="0.25">
      <c r="A621"/>
      <c r="B621"/>
      <c r="C621"/>
      <c r="D621"/>
      <c r="E621"/>
      <c r="F621"/>
      <c r="G621"/>
      <c r="H621"/>
      <c r="I621"/>
      <c r="J621"/>
      <c r="K621"/>
    </row>
    <row r="622" spans="1:11" hidden="1" x14ac:dyDescent="0.25">
      <c r="A622"/>
      <c r="B622"/>
      <c r="C622"/>
      <c r="D622"/>
      <c r="E622"/>
      <c r="F622"/>
      <c r="G622"/>
      <c r="H622"/>
      <c r="I622"/>
      <c r="J622"/>
      <c r="K622"/>
    </row>
    <row r="623" spans="1:11" hidden="1" x14ac:dyDescent="0.25">
      <c r="A623"/>
      <c r="B623"/>
      <c r="C623"/>
      <c r="D623"/>
      <c r="E623"/>
      <c r="F623"/>
      <c r="G623"/>
      <c r="H623"/>
      <c r="I623"/>
      <c r="J623"/>
      <c r="K623"/>
    </row>
    <row r="624" spans="1:11" hidden="1" x14ac:dyDescent="0.25">
      <c r="A624"/>
      <c r="B624"/>
      <c r="C624"/>
      <c r="D624"/>
      <c r="E624"/>
      <c r="F624"/>
      <c r="G624"/>
      <c r="H624"/>
      <c r="I624"/>
      <c r="J624"/>
      <c r="K624"/>
    </row>
    <row r="625" spans="1:11" hidden="1" x14ac:dyDescent="0.25">
      <c r="A625"/>
      <c r="B625"/>
      <c r="C625"/>
      <c r="D625"/>
      <c r="E625"/>
      <c r="F625"/>
      <c r="G625"/>
      <c r="H625"/>
      <c r="I625"/>
      <c r="J625"/>
      <c r="K625"/>
    </row>
    <row r="626" spans="1:11" hidden="1" x14ac:dyDescent="0.25">
      <c r="A626"/>
      <c r="B626"/>
      <c r="C626"/>
      <c r="D626"/>
      <c r="E626"/>
      <c r="F626"/>
      <c r="G626"/>
      <c r="H626"/>
      <c r="I626"/>
      <c r="J626"/>
      <c r="K626"/>
    </row>
    <row r="627" spans="1:11" hidden="1" x14ac:dyDescent="0.25">
      <c r="A627"/>
      <c r="B627"/>
      <c r="C627"/>
      <c r="D627"/>
      <c r="E627"/>
      <c r="F627"/>
      <c r="G627"/>
      <c r="H627"/>
      <c r="I627"/>
      <c r="J627"/>
      <c r="K627"/>
    </row>
    <row r="628" spans="1:11" hidden="1" x14ac:dyDescent="0.25">
      <c r="A628"/>
      <c r="B628"/>
      <c r="C628"/>
      <c r="D628"/>
      <c r="E628"/>
      <c r="F628"/>
      <c r="G628"/>
      <c r="H628"/>
      <c r="I628"/>
      <c r="J628"/>
      <c r="K628"/>
    </row>
    <row r="629" spans="1:11" hidden="1" x14ac:dyDescent="0.25">
      <c r="A629"/>
      <c r="B629"/>
      <c r="C629"/>
      <c r="D629"/>
      <c r="E629"/>
      <c r="F629"/>
      <c r="G629"/>
      <c r="H629"/>
      <c r="I629"/>
      <c r="J629"/>
      <c r="K629"/>
    </row>
    <row r="630" spans="1:11" hidden="1" x14ac:dyDescent="0.25">
      <c r="A630"/>
      <c r="B630"/>
      <c r="C630"/>
      <c r="D630"/>
      <c r="E630"/>
      <c r="F630"/>
      <c r="G630"/>
      <c r="H630"/>
      <c r="I630"/>
      <c r="J630"/>
      <c r="K630"/>
    </row>
    <row r="631" spans="1:11" hidden="1" x14ac:dyDescent="0.25">
      <c r="A631"/>
      <c r="B631"/>
      <c r="C631"/>
      <c r="D631"/>
      <c r="E631"/>
      <c r="F631"/>
      <c r="G631"/>
      <c r="H631"/>
      <c r="I631"/>
      <c r="J631"/>
      <c r="K631"/>
    </row>
    <row r="632" spans="1:11" hidden="1" x14ac:dyDescent="0.25">
      <c r="A632"/>
      <c r="B632"/>
      <c r="C632"/>
      <c r="D632"/>
      <c r="E632"/>
      <c r="F632"/>
      <c r="G632"/>
      <c r="H632"/>
      <c r="I632"/>
      <c r="J632"/>
      <c r="K632"/>
    </row>
    <row r="633" spans="1:11" hidden="1" x14ac:dyDescent="0.25">
      <c r="A633"/>
      <c r="B633"/>
      <c r="C633"/>
      <c r="D633"/>
      <c r="E633"/>
      <c r="F633"/>
      <c r="G633"/>
      <c r="H633"/>
      <c r="I633"/>
      <c r="J633"/>
      <c r="K633"/>
    </row>
    <row r="634" spans="1:11" hidden="1" x14ac:dyDescent="0.25">
      <c r="A634"/>
      <c r="B634"/>
      <c r="C634"/>
      <c r="D634"/>
      <c r="E634"/>
      <c r="F634"/>
      <c r="G634"/>
      <c r="H634"/>
      <c r="I634"/>
      <c r="J634"/>
      <c r="K634"/>
    </row>
    <row r="635" spans="1:11" hidden="1" x14ac:dyDescent="0.25">
      <c r="A635"/>
      <c r="B635"/>
      <c r="C635"/>
      <c r="D635"/>
      <c r="E635"/>
      <c r="F635"/>
      <c r="G635"/>
      <c r="H635"/>
      <c r="I635"/>
      <c r="J635"/>
      <c r="K635"/>
    </row>
    <row r="636" spans="1:11" hidden="1" x14ac:dyDescent="0.25">
      <c r="A636"/>
      <c r="B636"/>
      <c r="C636"/>
      <c r="D636"/>
      <c r="E636"/>
      <c r="F636"/>
      <c r="G636"/>
      <c r="H636"/>
      <c r="I636"/>
      <c r="J636"/>
      <c r="K636"/>
    </row>
    <row r="637" spans="1:11" hidden="1" x14ac:dyDescent="0.25">
      <c r="A637"/>
      <c r="B637"/>
      <c r="C637"/>
      <c r="D637"/>
      <c r="E637"/>
      <c r="F637"/>
      <c r="G637"/>
      <c r="H637"/>
      <c r="I637"/>
      <c r="J637"/>
      <c r="K637"/>
    </row>
    <row r="638" spans="1:11" hidden="1" x14ac:dyDescent="0.25">
      <c r="A638"/>
      <c r="B638"/>
      <c r="C638"/>
      <c r="D638"/>
      <c r="E638"/>
      <c r="F638"/>
      <c r="G638"/>
      <c r="H638"/>
      <c r="I638"/>
      <c r="J638"/>
      <c r="K638"/>
    </row>
    <row r="639" spans="1:11" hidden="1" x14ac:dyDescent="0.25">
      <c r="A639"/>
      <c r="B639"/>
      <c r="C639"/>
      <c r="D639"/>
      <c r="E639"/>
      <c r="F639"/>
      <c r="G639"/>
      <c r="H639"/>
      <c r="I639"/>
      <c r="J639"/>
      <c r="K639"/>
    </row>
    <row r="640" spans="1:11" hidden="1" x14ac:dyDescent="0.25">
      <c r="A640"/>
      <c r="B640"/>
      <c r="C640"/>
      <c r="D640"/>
      <c r="E640"/>
      <c r="F640"/>
      <c r="G640"/>
      <c r="H640"/>
      <c r="I640"/>
      <c r="J640"/>
      <c r="K640"/>
    </row>
    <row r="641" spans="1:11" hidden="1" x14ac:dyDescent="0.25">
      <c r="A641"/>
      <c r="B641"/>
      <c r="C641"/>
      <c r="D641"/>
      <c r="E641"/>
      <c r="F641"/>
      <c r="G641"/>
      <c r="H641"/>
      <c r="I641"/>
      <c r="J641"/>
      <c r="K641"/>
    </row>
    <row r="642" spans="1:11" hidden="1" x14ac:dyDescent="0.25">
      <c r="A642"/>
      <c r="B642"/>
      <c r="C642"/>
      <c r="D642"/>
      <c r="E642"/>
      <c r="F642"/>
      <c r="G642"/>
      <c r="H642"/>
      <c r="I642"/>
      <c r="J642"/>
      <c r="K642"/>
    </row>
    <row r="643" spans="1:11" hidden="1" x14ac:dyDescent="0.25">
      <c r="A643"/>
      <c r="B643"/>
      <c r="C643"/>
      <c r="D643"/>
      <c r="E643"/>
      <c r="F643"/>
      <c r="G643"/>
      <c r="H643"/>
      <c r="I643"/>
      <c r="J643"/>
      <c r="K643"/>
    </row>
    <row r="644" spans="1:11" hidden="1" x14ac:dyDescent="0.25">
      <c r="A644"/>
      <c r="B644"/>
      <c r="C644"/>
      <c r="D644"/>
      <c r="E644"/>
      <c r="F644"/>
      <c r="G644"/>
      <c r="H644"/>
      <c r="I644"/>
      <c r="J644"/>
      <c r="K644"/>
    </row>
    <row r="645" spans="1:11" hidden="1" x14ac:dyDescent="0.25">
      <c r="A645"/>
      <c r="B645"/>
      <c r="C645"/>
      <c r="D645"/>
      <c r="E645"/>
      <c r="F645"/>
      <c r="G645"/>
      <c r="H645"/>
      <c r="I645"/>
      <c r="J645"/>
      <c r="K645"/>
    </row>
    <row r="646" spans="1:11" hidden="1" x14ac:dyDescent="0.25">
      <c r="A646"/>
      <c r="B646"/>
      <c r="C646"/>
      <c r="D646"/>
      <c r="E646"/>
      <c r="F646"/>
      <c r="G646"/>
      <c r="H646"/>
      <c r="I646"/>
      <c r="J646"/>
      <c r="K646"/>
    </row>
    <row r="647" spans="1:11" hidden="1" x14ac:dyDescent="0.25">
      <c r="A647"/>
      <c r="B647"/>
      <c r="C647"/>
      <c r="D647"/>
      <c r="E647"/>
      <c r="F647"/>
      <c r="G647"/>
      <c r="H647"/>
      <c r="I647"/>
      <c r="J647"/>
      <c r="K647"/>
    </row>
    <row r="648" spans="1:11" hidden="1" x14ac:dyDescent="0.25">
      <c r="A648"/>
      <c r="B648"/>
      <c r="C648"/>
      <c r="D648"/>
      <c r="E648"/>
      <c r="F648"/>
      <c r="G648"/>
      <c r="H648"/>
      <c r="I648"/>
      <c r="J648"/>
      <c r="K648"/>
    </row>
    <row r="649" spans="1:11" hidden="1" x14ac:dyDescent="0.25">
      <c r="A649"/>
      <c r="B649"/>
      <c r="C649"/>
      <c r="D649"/>
      <c r="E649"/>
      <c r="F649"/>
      <c r="G649"/>
      <c r="H649"/>
      <c r="I649"/>
      <c r="J649"/>
      <c r="K649"/>
    </row>
    <row r="650" spans="1:11" hidden="1" x14ac:dyDescent="0.25">
      <c r="A650"/>
      <c r="B650"/>
      <c r="C650"/>
      <c r="D650"/>
      <c r="E650"/>
      <c r="F650"/>
      <c r="G650"/>
      <c r="H650"/>
      <c r="I650"/>
      <c r="J650"/>
      <c r="K650"/>
    </row>
    <row r="651" spans="1:11" hidden="1" x14ac:dyDescent="0.25">
      <c r="A651"/>
      <c r="B651"/>
      <c r="C651"/>
      <c r="D651"/>
      <c r="E651"/>
      <c r="F651"/>
      <c r="G651"/>
      <c r="H651"/>
      <c r="I651"/>
      <c r="J651"/>
      <c r="K651"/>
    </row>
    <row r="652" spans="1:11" hidden="1" x14ac:dyDescent="0.25">
      <c r="A652"/>
      <c r="B652"/>
      <c r="C652"/>
      <c r="D652"/>
      <c r="E652"/>
      <c r="F652"/>
      <c r="G652"/>
      <c r="H652"/>
      <c r="I652"/>
      <c r="J652"/>
      <c r="K652"/>
    </row>
    <row r="653" spans="1:11" hidden="1" x14ac:dyDescent="0.25">
      <c r="A653"/>
      <c r="B653"/>
      <c r="C653"/>
      <c r="D653"/>
      <c r="E653"/>
      <c r="F653"/>
      <c r="G653"/>
      <c r="H653"/>
      <c r="I653"/>
      <c r="J653"/>
      <c r="K653"/>
    </row>
    <row r="654" spans="1:11" hidden="1" x14ac:dyDescent="0.25">
      <c r="A654"/>
      <c r="B654"/>
      <c r="C654"/>
      <c r="D654"/>
      <c r="E654"/>
      <c r="F654"/>
      <c r="G654"/>
      <c r="H654"/>
      <c r="I654"/>
      <c r="J654"/>
      <c r="K654"/>
    </row>
    <row r="655" spans="1:11" hidden="1" x14ac:dyDescent="0.25">
      <c r="A655"/>
      <c r="B655"/>
      <c r="C655"/>
      <c r="D655"/>
      <c r="E655"/>
      <c r="F655"/>
      <c r="G655"/>
      <c r="H655"/>
      <c r="I655"/>
      <c r="J655"/>
      <c r="K655"/>
    </row>
    <row r="656" spans="1:11" hidden="1" x14ac:dyDescent="0.25">
      <c r="A656"/>
      <c r="B656"/>
      <c r="C656"/>
      <c r="D656"/>
      <c r="E656"/>
      <c r="F656"/>
      <c r="G656"/>
      <c r="H656"/>
      <c r="I656"/>
      <c r="J656"/>
      <c r="K656"/>
    </row>
    <row r="657" spans="1:11" hidden="1" x14ac:dyDescent="0.25">
      <c r="A657"/>
      <c r="B657"/>
      <c r="C657"/>
      <c r="D657"/>
      <c r="E657"/>
      <c r="F657"/>
      <c r="G657"/>
      <c r="H657"/>
      <c r="I657"/>
      <c r="J657"/>
      <c r="K657"/>
    </row>
    <row r="658" spans="1:11" hidden="1" x14ac:dyDescent="0.25">
      <c r="A658"/>
      <c r="B658"/>
      <c r="C658"/>
      <c r="D658"/>
      <c r="E658"/>
      <c r="F658"/>
      <c r="G658"/>
      <c r="H658"/>
      <c r="I658"/>
      <c r="J658"/>
      <c r="K658"/>
    </row>
    <row r="659" spans="1:11" hidden="1" x14ac:dyDescent="0.25">
      <c r="A659"/>
      <c r="B659"/>
      <c r="C659"/>
      <c r="D659"/>
      <c r="E659"/>
      <c r="F659"/>
      <c r="G659"/>
      <c r="H659"/>
      <c r="I659"/>
      <c r="J659"/>
      <c r="K659"/>
    </row>
    <row r="660" spans="1:11" hidden="1" x14ac:dyDescent="0.25">
      <c r="A660"/>
      <c r="B660"/>
      <c r="C660"/>
      <c r="D660"/>
      <c r="E660"/>
      <c r="F660"/>
      <c r="G660"/>
      <c r="H660"/>
      <c r="I660"/>
      <c r="J660"/>
      <c r="K660"/>
    </row>
    <row r="661" spans="1:11" hidden="1" x14ac:dyDescent="0.25">
      <c r="A661"/>
      <c r="B661"/>
      <c r="C661"/>
      <c r="D661"/>
      <c r="E661"/>
      <c r="F661"/>
      <c r="G661"/>
      <c r="H661"/>
      <c r="I661"/>
      <c r="J661"/>
      <c r="K661"/>
    </row>
    <row r="662" spans="1:11" hidden="1" x14ac:dyDescent="0.25">
      <c r="A662"/>
      <c r="B662"/>
      <c r="C662"/>
      <c r="D662"/>
      <c r="E662"/>
      <c r="F662"/>
      <c r="G662"/>
      <c r="H662"/>
      <c r="I662"/>
      <c r="J662"/>
      <c r="K662"/>
    </row>
    <row r="663" spans="1:11" hidden="1" x14ac:dyDescent="0.25">
      <c r="A663"/>
      <c r="B663"/>
      <c r="C663"/>
      <c r="D663"/>
      <c r="E663"/>
      <c r="F663"/>
      <c r="G663"/>
      <c r="H663"/>
      <c r="I663"/>
      <c r="J663"/>
      <c r="K663"/>
    </row>
    <row r="664" spans="1:11" x14ac:dyDescent="0.25">
      <c r="A664"/>
      <c r="B664"/>
      <c r="C664"/>
      <c r="D664"/>
      <c r="E664"/>
      <c r="F664"/>
      <c r="G664"/>
      <c r="H664"/>
      <c r="I664"/>
      <c r="J664"/>
      <c r="K664"/>
    </row>
    <row r="665" spans="1:11" x14ac:dyDescent="0.25">
      <c r="A665"/>
      <c r="B665"/>
      <c r="C665"/>
      <c r="D665"/>
      <c r="E665"/>
      <c r="F665"/>
      <c r="G665"/>
      <c r="H665"/>
      <c r="I665"/>
      <c r="J665"/>
      <c r="K665"/>
    </row>
    <row r="666" spans="1:11" x14ac:dyDescent="0.25">
      <c r="A666"/>
      <c r="B666"/>
      <c r="C666"/>
      <c r="D666"/>
      <c r="E666"/>
      <c r="F666"/>
      <c r="G666"/>
      <c r="H666"/>
      <c r="I666"/>
      <c r="J666"/>
      <c r="K666"/>
    </row>
    <row r="667" spans="1:11" x14ac:dyDescent="0.25">
      <c r="A667"/>
      <c r="B667"/>
      <c r="C667"/>
      <c r="D667"/>
      <c r="E667"/>
      <c r="F667"/>
      <c r="G667"/>
      <c r="H667"/>
      <c r="I667"/>
      <c r="J667"/>
      <c r="K667"/>
    </row>
    <row r="668" spans="1:11" x14ac:dyDescent="0.25">
      <c r="A668"/>
      <c r="B668"/>
      <c r="C668"/>
      <c r="D668"/>
      <c r="E668"/>
      <c r="F668"/>
      <c r="G668"/>
      <c r="H668"/>
      <c r="I668"/>
      <c r="J668"/>
      <c r="K668"/>
    </row>
    <row r="669" spans="1:11" x14ac:dyDescent="0.25">
      <c r="A669"/>
      <c r="B669"/>
      <c r="C669"/>
      <c r="D669"/>
      <c r="E669"/>
      <c r="F669"/>
      <c r="G669"/>
      <c r="H669"/>
      <c r="I669"/>
      <c r="J669"/>
      <c r="K669"/>
    </row>
    <row r="670" spans="1:11" x14ac:dyDescent="0.25">
      <c r="A670"/>
      <c r="B670"/>
      <c r="C670"/>
      <c r="D670"/>
      <c r="E670"/>
      <c r="F670"/>
      <c r="G670"/>
      <c r="H670"/>
      <c r="I670"/>
      <c r="J670"/>
      <c r="K670"/>
    </row>
    <row r="671" spans="1:11" x14ac:dyDescent="0.25">
      <c r="A671"/>
      <c r="B671"/>
      <c r="C671"/>
      <c r="D671"/>
      <c r="E671"/>
      <c r="F671"/>
      <c r="G671"/>
      <c r="H671"/>
      <c r="I671"/>
      <c r="J671"/>
      <c r="K671"/>
    </row>
    <row r="672" spans="1:11" x14ac:dyDescent="0.25">
      <c r="A672"/>
      <c r="B672"/>
      <c r="C672"/>
      <c r="D672"/>
      <c r="E672"/>
      <c r="F672"/>
      <c r="G672"/>
      <c r="H672"/>
      <c r="I672"/>
      <c r="J672"/>
      <c r="K672"/>
    </row>
    <row r="673" spans="1:11" x14ac:dyDescent="0.25">
      <c r="A673"/>
      <c r="B673"/>
      <c r="C673"/>
      <c r="D673"/>
      <c r="E673"/>
      <c r="F673"/>
      <c r="G673"/>
      <c r="H673"/>
      <c r="I673"/>
      <c r="J673"/>
      <c r="K673"/>
    </row>
    <row r="674" spans="1:11" x14ac:dyDescent="0.25">
      <c r="A674"/>
      <c r="B674"/>
      <c r="C674"/>
      <c r="D674"/>
      <c r="E674"/>
      <c r="F674"/>
      <c r="G674"/>
      <c r="H674"/>
      <c r="I674"/>
      <c r="J674"/>
      <c r="K674"/>
    </row>
    <row r="675" spans="1:11" x14ac:dyDescent="0.25">
      <c r="A675"/>
      <c r="B675"/>
      <c r="C675"/>
      <c r="D675"/>
      <c r="E675"/>
      <c r="F675"/>
      <c r="G675"/>
      <c r="H675"/>
      <c r="I675"/>
      <c r="J675"/>
      <c r="K675"/>
    </row>
    <row r="676" spans="1:11" x14ac:dyDescent="0.25">
      <c r="A676"/>
      <c r="B676"/>
      <c r="C676"/>
      <c r="D676"/>
      <c r="E676"/>
      <c r="F676"/>
      <c r="G676"/>
      <c r="H676"/>
      <c r="I676"/>
      <c r="J676"/>
      <c r="K676"/>
    </row>
    <row r="677" spans="1:11" x14ac:dyDescent="0.25">
      <c r="A677"/>
      <c r="B677"/>
      <c r="C677"/>
      <c r="D677"/>
      <c r="E677"/>
      <c r="F677"/>
      <c r="G677"/>
      <c r="H677"/>
      <c r="I677"/>
      <c r="J677"/>
      <c r="K677"/>
    </row>
    <row r="678" spans="1:11" x14ac:dyDescent="0.25">
      <c r="A678"/>
      <c r="B678"/>
      <c r="C678"/>
      <c r="D678"/>
      <c r="E678"/>
      <c r="F678"/>
      <c r="G678"/>
      <c r="H678"/>
      <c r="I678"/>
      <c r="J678"/>
      <c r="K678"/>
    </row>
    <row r="679" spans="1:11" x14ac:dyDescent="0.25">
      <c r="A679"/>
      <c r="B679"/>
      <c r="C679"/>
      <c r="D679"/>
      <c r="E679"/>
      <c r="F679"/>
      <c r="G679"/>
      <c r="H679"/>
      <c r="I679"/>
      <c r="J679"/>
      <c r="K679"/>
    </row>
    <row r="680" spans="1:11" x14ac:dyDescent="0.25">
      <c r="A680"/>
      <c r="B680"/>
      <c r="C680"/>
      <c r="D680"/>
      <c r="E680"/>
      <c r="F680"/>
      <c r="G680"/>
      <c r="H680"/>
      <c r="I680"/>
      <c r="J680"/>
      <c r="K680"/>
    </row>
    <row r="681" spans="1:11" x14ac:dyDescent="0.25">
      <c r="A681"/>
      <c r="B681"/>
      <c r="C681"/>
      <c r="D681"/>
      <c r="E681"/>
      <c r="F681"/>
      <c r="G681"/>
      <c r="H681"/>
      <c r="I681"/>
      <c r="J681"/>
      <c r="K681"/>
    </row>
    <row r="682" spans="1:11" x14ac:dyDescent="0.25">
      <c r="A682"/>
      <c r="B682"/>
      <c r="C682"/>
      <c r="D682"/>
      <c r="E682"/>
      <c r="F682"/>
      <c r="G682"/>
      <c r="H682"/>
      <c r="I682"/>
      <c r="J682"/>
      <c r="K682"/>
    </row>
    <row r="683" spans="1:11" x14ac:dyDescent="0.25">
      <c r="A683"/>
      <c r="B683"/>
      <c r="C683"/>
      <c r="D683"/>
      <c r="E683"/>
      <c r="F683"/>
      <c r="G683"/>
      <c r="H683"/>
      <c r="I683"/>
      <c r="J683"/>
      <c r="K683"/>
    </row>
    <row r="684" spans="1:11" x14ac:dyDescent="0.25">
      <c r="A684"/>
      <c r="B684"/>
      <c r="C684"/>
      <c r="D684"/>
      <c r="E684"/>
      <c r="F684"/>
      <c r="G684"/>
      <c r="H684"/>
      <c r="I684"/>
      <c r="J684"/>
      <c r="K684"/>
    </row>
    <row r="685" spans="1:11" x14ac:dyDescent="0.25">
      <c r="A685"/>
      <c r="B685"/>
      <c r="C685"/>
      <c r="D685"/>
      <c r="E685"/>
      <c r="F685"/>
      <c r="G685"/>
      <c r="H685"/>
      <c r="I685"/>
      <c r="J685"/>
      <c r="K685"/>
    </row>
    <row r="686" spans="1:11" x14ac:dyDescent="0.25">
      <c r="A686"/>
      <c r="B686"/>
      <c r="C686"/>
      <c r="D686"/>
      <c r="E686"/>
      <c r="F686"/>
      <c r="G686"/>
      <c r="H686"/>
      <c r="I686"/>
      <c r="J686"/>
      <c r="K686"/>
    </row>
    <row r="687" spans="1:11" x14ac:dyDescent="0.25">
      <c r="A687"/>
      <c r="B687"/>
      <c r="C687"/>
      <c r="D687"/>
      <c r="E687"/>
      <c r="F687"/>
      <c r="G687"/>
      <c r="H687"/>
      <c r="I687"/>
      <c r="J687"/>
      <c r="K687"/>
    </row>
    <row r="688" spans="1:11" x14ac:dyDescent="0.25">
      <c r="A688"/>
      <c r="B688"/>
      <c r="C688"/>
      <c r="D688"/>
      <c r="E688"/>
      <c r="F688"/>
      <c r="G688"/>
      <c r="H688"/>
      <c r="I688"/>
      <c r="J688"/>
      <c r="K688"/>
    </row>
    <row r="689" spans="1:11" x14ac:dyDescent="0.25">
      <c r="A689"/>
      <c r="B689"/>
      <c r="C689"/>
      <c r="D689"/>
      <c r="E689"/>
      <c r="F689"/>
      <c r="G689"/>
      <c r="H689"/>
      <c r="I689"/>
      <c r="J689"/>
      <c r="K689"/>
    </row>
    <row r="690" spans="1:11" x14ac:dyDescent="0.25">
      <c r="A690"/>
      <c r="B690"/>
      <c r="C690"/>
      <c r="D690"/>
      <c r="E690"/>
      <c r="F690"/>
      <c r="G690"/>
      <c r="H690"/>
      <c r="I690"/>
      <c r="J690"/>
      <c r="K690"/>
    </row>
    <row r="691" spans="1:11" x14ac:dyDescent="0.25">
      <c r="A691"/>
      <c r="B691"/>
      <c r="C691"/>
      <c r="D691"/>
      <c r="E691"/>
      <c r="F691"/>
      <c r="G691"/>
      <c r="H691"/>
      <c r="I691"/>
      <c r="J691"/>
      <c r="K691"/>
    </row>
    <row r="692" spans="1:11" x14ac:dyDescent="0.25">
      <c r="A692"/>
      <c r="B692"/>
      <c r="C692"/>
      <c r="D692"/>
      <c r="E692"/>
      <c r="F692"/>
      <c r="G692"/>
      <c r="H692"/>
      <c r="I692"/>
      <c r="J692"/>
      <c r="K692"/>
    </row>
    <row r="693" spans="1:11" x14ac:dyDescent="0.25">
      <c r="A693"/>
      <c r="B693"/>
      <c r="C693"/>
      <c r="D693"/>
      <c r="E693"/>
      <c r="F693"/>
      <c r="G693"/>
      <c r="H693"/>
      <c r="I693"/>
      <c r="J693"/>
      <c r="K693"/>
    </row>
    <row r="694" spans="1:11" x14ac:dyDescent="0.25">
      <c r="A694"/>
      <c r="B694"/>
      <c r="C694"/>
      <c r="D694"/>
      <c r="E694"/>
      <c r="F694"/>
      <c r="G694"/>
      <c r="H694"/>
      <c r="I694"/>
      <c r="J694"/>
      <c r="K694"/>
    </row>
    <row r="695" spans="1:11" x14ac:dyDescent="0.25">
      <c r="A695"/>
      <c r="B695"/>
      <c r="C695"/>
      <c r="D695"/>
      <c r="E695"/>
      <c r="F695"/>
      <c r="G695"/>
      <c r="H695"/>
      <c r="I695"/>
      <c r="J695"/>
      <c r="K695"/>
    </row>
    <row r="696" spans="1:11" x14ac:dyDescent="0.25">
      <c r="A696"/>
      <c r="B696"/>
      <c r="C696"/>
      <c r="D696"/>
      <c r="E696"/>
      <c r="F696"/>
      <c r="G696"/>
      <c r="H696"/>
      <c r="I696"/>
      <c r="J696"/>
      <c r="K696"/>
    </row>
    <row r="697" spans="1:11" x14ac:dyDescent="0.25">
      <c r="A697"/>
      <c r="B697"/>
      <c r="C697"/>
      <c r="D697"/>
      <c r="E697"/>
      <c r="F697"/>
      <c r="G697"/>
      <c r="H697"/>
      <c r="I697"/>
      <c r="J697"/>
      <c r="K697"/>
    </row>
    <row r="698" spans="1:11" x14ac:dyDescent="0.25">
      <c r="A698"/>
      <c r="B698"/>
      <c r="C698"/>
      <c r="D698"/>
      <c r="E698"/>
      <c r="F698"/>
      <c r="G698"/>
      <c r="H698"/>
      <c r="I698"/>
      <c r="J698"/>
      <c r="K698"/>
    </row>
    <row r="699" spans="1:11" x14ac:dyDescent="0.25">
      <c r="A699"/>
      <c r="B699"/>
      <c r="C699"/>
      <c r="D699"/>
      <c r="E699"/>
      <c r="F699"/>
      <c r="G699"/>
      <c r="H699"/>
      <c r="I699"/>
      <c r="J699"/>
      <c r="K699"/>
    </row>
    <row r="700" spans="1:11" x14ac:dyDescent="0.25">
      <c r="A700"/>
      <c r="B700"/>
      <c r="C700"/>
      <c r="D700"/>
      <c r="E700"/>
      <c r="F700"/>
      <c r="G700"/>
      <c r="H700"/>
      <c r="I700"/>
      <c r="J700"/>
      <c r="K700"/>
    </row>
    <row r="701" spans="1:11" x14ac:dyDescent="0.25">
      <c r="A701"/>
      <c r="B701"/>
      <c r="C701"/>
      <c r="D701"/>
      <c r="E701"/>
      <c r="F701"/>
      <c r="G701"/>
      <c r="H701"/>
      <c r="I701"/>
      <c r="J701"/>
      <c r="K701"/>
    </row>
    <row r="702" spans="1:11" x14ac:dyDescent="0.25">
      <c r="A702"/>
      <c r="B702"/>
      <c r="C702"/>
      <c r="D702"/>
      <c r="E702"/>
      <c r="F702"/>
      <c r="G702"/>
      <c r="H702"/>
      <c r="I702"/>
      <c r="J702"/>
      <c r="K702"/>
    </row>
    <row r="703" spans="1:11" x14ac:dyDescent="0.25">
      <c r="A703"/>
      <c r="B703"/>
      <c r="C703"/>
      <c r="D703"/>
      <c r="E703"/>
      <c r="F703"/>
      <c r="G703"/>
      <c r="H703"/>
      <c r="I703"/>
      <c r="J703"/>
      <c r="K703"/>
    </row>
    <row r="704" spans="1:11" x14ac:dyDescent="0.25">
      <c r="A704"/>
      <c r="B704"/>
      <c r="C704"/>
      <c r="D704"/>
      <c r="E704"/>
      <c r="F704"/>
      <c r="G704"/>
      <c r="H704"/>
      <c r="I704"/>
      <c r="J704"/>
      <c r="K704"/>
    </row>
    <row r="705" spans="1:11" x14ac:dyDescent="0.25">
      <c r="A705"/>
      <c r="B705"/>
      <c r="C705"/>
      <c r="D705"/>
      <c r="E705"/>
      <c r="F705"/>
      <c r="G705"/>
      <c r="H705"/>
      <c r="I705"/>
      <c r="J705"/>
      <c r="K705"/>
    </row>
    <row r="706" spans="1:11" x14ac:dyDescent="0.25">
      <c r="A706"/>
      <c r="B706"/>
      <c r="C706"/>
      <c r="D706"/>
      <c r="E706"/>
      <c r="F706"/>
      <c r="G706"/>
      <c r="H706"/>
      <c r="I706"/>
      <c r="J706"/>
      <c r="K706"/>
    </row>
    <row r="707" spans="1:11" x14ac:dyDescent="0.25">
      <c r="A707"/>
      <c r="B707"/>
      <c r="C707"/>
      <c r="D707"/>
      <c r="E707"/>
      <c r="F707"/>
      <c r="G707"/>
      <c r="H707"/>
      <c r="I707"/>
      <c r="J707"/>
      <c r="K707"/>
    </row>
    <row r="708" spans="1:11" x14ac:dyDescent="0.25">
      <c r="A708"/>
      <c r="B708"/>
      <c r="C708"/>
      <c r="D708"/>
      <c r="E708"/>
      <c r="F708"/>
      <c r="G708"/>
      <c r="H708"/>
      <c r="I708"/>
      <c r="J708"/>
      <c r="K708"/>
    </row>
    <row r="709" spans="1:11" x14ac:dyDescent="0.25">
      <c r="A709"/>
      <c r="B709"/>
      <c r="C709"/>
      <c r="D709"/>
      <c r="E709"/>
      <c r="F709"/>
      <c r="G709"/>
      <c r="H709"/>
      <c r="I709"/>
      <c r="J709"/>
      <c r="K709"/>
    </row>
    <row r="710" spans="1:11" x14ac:dyDescent="0.25">
      <c r="A710"/>
      <c r="B710"/>
      <c r="C710"/>
      <c r="D710"/>
      <c r="E710"/>
      <c r="F710"/>
      <c r="G710"/>
      <c r="H710"/>
      <c r="I710"/>
      <c r="J710"/>
      <c r="K710"/>
    </row>
    <row r="711" spans="1:11" x14ac:dyDescent="0.25">
      <c r="A711"/>
      <c r="B711"/>
      <c r="C711"/>
      <c r="D711"/>
      <c r="E711"/>
      <c r="F711"/>
      <c r="G711"/>
      <c r="H711"/>
      <c r="I711"/>
      <c r="J711"/>
      <c r="K711"/>
    </row>
    <row r="712" spans="1:11" x14ac:dyDescent="0.25">
      <c r="A712"/>
      <c r="B712"/>
      <c r="C712"/>
      <c r="D712"/>
      <c r="E712"/>
      <c r="F712"/>
      <c r="G712"/>
      <c r="H712"/>
      <c r="I712"/>
      <c r="J712"/>
      <c r="K712"/>
    </row>
    <row r="713" spans="1:11" x14ac:dyDescent="0.25">
      <c r="A713"/>
      <c r="B713"/>
      <c r="C713"/>
      <c r="D713"/>
      <c r="E713"/>
      <c r="F713"/>
      <c r="G713"/>
      <c r="H713"/>
      <c r="I713"/>
      <c r="J713"/>
      <c r="K713"/>
    </row>
    <row r="714" spans="1:11" x14ac:dyDescent="0.25">
      <c r="A714"/>
      <c r="B714"/>
      <c r="C714"/>
      <c r="D714"/>
      <c r="E714"/>
      <c r="F714"/>
      <c r="G714"/>
      <c r="H714"/>
      <c r="I714"/>
      <c r="J714"/>
      <c r="K714"/>
    </row>
    <row r="715" spans="1:11" x14ac:dyDescent="0.25">
      <c r="A715"/>
      <c r="B715"/>
      <c r="C715"/>
      <c r="D715"/>
      <c r="E715"/>
      <c r="F715"/>
      <c r="G715"/>
      <c r="H715"/>
      <c r="I715"/>
      <c r="J715"/>
      <c r="K715"/>
    </row>
    <row r="716" spans="1:11" x14ac:dyDescent="0.25">
      <c r="A716"/>
      <c r="B716"/>
      <c r="C716"/>
      <c r="D716"/>
      <c r="E716"/>
      <c r="F716"/>
      <c r="G716"/>
      <c r="H716"/>
      <c r="I716"/>
      <c r="J716"/>
      <c r="K716"/>
    </row>
    <row r="717" spans="1:11" x14ac:dyDescent="0.25">
      <c r="A717"/>
      <c r="B717"/>
      <c r="C717"/>
      <c r="D717"/>
      <c r="E717"/>
      <c r="F717"/>
      <c r="G717"/>
      <c r="H717"/>
      <c r="I717"/>
      <c r="J717"/>
      <c r="K717"/>
    </row>
    <row r="718" spans="1:11" x14ac:dyDescent="0.25">
      <c r="A718"/>
      <c r="B718"/>
      <c r="C718"/>
      <c r="D718"/>
      <c r="E718"/>
      <c r="F718"/>
      <c r="G718"/>
      <c r="H718"/>
      <c r="I718"/>
      <c r="J718"/>
      <c r="K718"/>
    </row>
    <row r="719" spans="1:11" x14ac:dyDescent="0.25">
      <c r="A719"/>
      <c r="B719"/>
      <c r="C719"/>
      <c r="D719"/>
      <c r="E719"/>
      <c r="F719"/>
      <c r="G719"/>
      <c r="H719"/>
      <c r="I719"/>
      <c r="J719"/>
      <c r="K719"/>
    </row>
    <row r="720" spans="1:11" x14ac:dyDescent="0.25">
      <c r="A720"/>
      <c r="B720"/>
      <c r="C720"/>
      <c r="D720"/>
      <c r="E720"/>
      <c r="F720"/>
      <c r="G720"/>
      <c r="H720"/>
      <c r="I720"/>
      <c r="J720"/>
      <c r="K720"/>
    </row>
    <row r="721" spans="1:11" x14ac:dyDescent="0.25">
      <c r="A721"/>
      <c r="B721"/>
      <c r="C721"/>
      <c r="D721"/>
      <c r="E721"/>
      <c r="F721"/>
      <c r="G721"/>
      <c r="H721"/>
      <c r="I721"/>
      <c r="J721"/>
      <c r="K721"/>
    </row>
    <row r="722" spans="1:11" x14ac:dyDescent="0.25">
      <c r="A722"/>
      <c r="B722"/>
      <c r="C722"/>
      <c r="D722"/>
      <c r="E722"/>
      <c r="F722"/>
      <c r="G722"/>
      <c r="H722"/>
      <c r="I722"/>
      <c r="J722"/>
      <c r="K722"/>
    </row>
    <row r="723" spans="1:11" x14ac:dyDescent="0.25">
      <c r="A723"/>
      <c r="B723"/>
      <c r="C723"/>
      <c r="D723"/>
      <c r="E723"/>
      <c r="F723"/>
      <c r="G723"/>
      <c r="H723"/>
      <c r="I723"/>
      <c r="J723"/>
      <c r="K723"/>
    </row>
    <row r="724" spans="1:11" x14ac:dyDescent="0.25">
      <c r="A724"/>
      <c r="B724"/>
      <c r="C724"/>
      <c r="D724"/>
      <c r="E724"/>
      <c r="F724"/>
      <c r="G724"/>
      <c r="H724"/>
      <c r="I724"/>
      <c r="J724"/>
      <c r="K724"/>
    </row>
    <row r="725" spans="1:11" x14ac:dyDescent="0.25">
      <c r="A725"/>
      <c r="B725"/>
      <c r="C725"/>
      <c r="D725"/>
      <c r="E725"/>
      <c r="F725"/>
      <c r="G725"/>
      <c r="H725"/>
      <c r="I725"/>
      <c r="J725"/>
      <c r="K725"/>
    </row>
    <row r="726" spans="1:11" x14ac:dyDescent="0.25">
      <c r="A726"/>
      <c r="B726"/>
      <c r="C726"/>
      <c r="D726"/>
      <c r="E726"/>
      <c r="F726"/>
      <c r="G726"/>
      <c r="H726"/>
      <c r="I726"/>
      <c r="J726"/>
      <c r="K726"/>
    </row>
    <row r="727" spans="1:11" x14ac:dyDescent="0.25">
      <c r="A727"/>
      <c r="B727"/>
      <c r="C727"/>
      <c r="D727"/>
      <c r="E727"/>
      <c r="F727"/>
      <c r="G727"/>
      <c r="H727"/>
      <c r="I727"/>
      <c r="J727"/>
      <c r="K727"/>
    </row>
    <row r="728" spans="1:11" x14ac:dyDescent="0.25">
      <c r="A728"/>
      <c r="B728"/>
      <c r="C728"/>
      <c r="D728"/>
      <c r="E728"/>
      <c r="F728"/>
      <c r="G728"/>
      <c r="H728"/>
      <c r="I728"/>
      <c r="J728"/>
      <c r="K728"/>
    </row>
    <row r="729" spans="1:11" x14ac:dyDescent="0.25">
      <c r="A729"/>
      <c r="B729"/>
      <c r="C729"/>
      <c r="D729"/>
      <c r="E729"/>
      <c r="F729"/>
      <c r="G729"/>
      <c r="H729"/>
      <c r="I729"/>
      <c r="J729"/>
      <c r="K729"/>
    </row>
    <row r="730" spans="1:11" x14ac:dyDescent="0.25">
      <c r="A730"/>
      <c r="B730"/>
      <c r="C730"/>
      <c r="D730"/>
      <c r="E730"/>
      <c r="F730"/>
      <c r="G730"/>
      <c r="H730"/>
      <c r="I730"/>
      <c r="J730"/>
      <c r="K730"/>
    </row>
    <row r="731" spans="1:11" x14ac:dyDescent="0.25">
      <c r="A731"/>
      <c r="B731"/>
      <c r="C731"/>
      <c r="D731"/>
      <c r="E731"/>
      <c r="F731"/>
      <c r="G731"/>
      <c r="H731"/>
      <c r="I731"/>
      <c r="J731"/>
      <c r="K731"/>
    </row>
    <row r="732" spans="1:11" x14ac:dyDescent="0.25">
      <c r="A732"/>
      <c r="B732"/>
      <c r="C732"/>
      <c r="D732"/>
      <c r="E732"/>
      <c r="F732"/>
      <c r="G732"/>
      <c r="H732"/>
      <c r="I732"/>
      <c r="J732"/>
      <c r="K732"/>
    </row>
    <row r="733" spans="1:11" x14ac:dyDescent="0.25">
      <c r="A733"/>
      <c r="B733"/>
      <c r="C733"/>
      <c r="D733"/>
      <c r="E733"/>
      <c r="F733"/>
      <c r="G733"/>
      <c r="H733"/>
      <c r="I733"/>
      <c r="J733"/>
      <c r="K733"/>
    </row>
    <row r="734" spans="1:11" x14ac:dyDescent="0.25">
      <c r="A734"/>
      <c r="B734"/>
      <c r="C734"/>
      <c r="D734"/>
      <c r="E734"/>
      <c r="F734"/>
      <c r="G734"/>
      <c r="H734"/>
      <c r="I734"/>
      <c r="J734"/>
      <c r="K734"/>
    </row>
    <row r="735" spans="1:11" x14ac:dyDescent="0.25">
      <c r="A735"/>
      <c r="B735"/>
      <c r="C735"/>
      <c r="D735"/>
      <c r="E735"/>
      <c r="F735"/>
      <c r="G735"/>
      <c r="H735"/>
      <c r="I735"/>
      <c r="J735"/>
      <c r="K735"/>
    </row>
    <row r="736" spans="1:11" x14ac:dyDescent="0.25">
      <c r="A736"/>
      <c r="B736"/>
      <c r="C736"/>
      <c r="D736"/>
      <c r="E736"/>
      <c r="F736"/>
      <c r="G736"/>
      <c r="H736"/>
      <c r="I736"/>
      <c r="J736"/>
      <c r="K736"/>
    </row>
    <row r="737" spans="1:11" x14ac:dyDescent="0.25">
      <c r="A737"/>
      <c r="B737"/>
      <c r="C737"/>
      <c r="D737"/>
      <c r="E737"/>
      <c r="F737"/>
      <c r="G737"/>
      <c r="H737"/>
      <c r="I737"/>
      <c r="J737"/>
      <c r="K737"/>
    </row>
    <row r="738" spans="1:11" x14ac:dyDescent="0.25">
      <c r="A738"/>
      <c r="B738"/>
      <c r="C738"/>
      <c r="D738"/>
      <c r="E738"/>
      <c r="F738"/>
      <c r="G738"/>
      <c r="H738"/>
      <c r="I738"/>
      <c r="J738"/>
      <c r="K738"/>
    </row>
    <row r="739" spans="1:11" x14ac:dyDescent="0.25">
      <c r="A739"/>
      <c r="B739"/>
      <c r="C739"/>
      <c r="D739"/>
      <c r="E739"/>
      <c r="F739"/>
      <c r="G739"/>
      <c r="H739"/>
      <c r="I739"/>
      <c r="J739"/>
      <c r="K739"/>
    </row>
    <row r="740" spans="1:11" x14ac:dyDescent="0.25">
      <c r="A740"/>
      <c r="B740"/>
      <c r="C740"/>
      <c r="D740"/>
      <c r="E740"/>
      <c r="F740"/>
      <c r="G740"/>
      <c r="H740"/>
      <c r="I740"/>
      <c r="J740"/>
      <c r="K740"/>
    </row>
    <row r="741" spans="1:11" x14ac:dyDescent="0.25">
      <c r="A741"/>
      <c r="B741"/>
      <c r="C741"/>
      <c r="D741"/>
      <c r="E741"/>
      <c r="F741"/>
      <c r="G741"/>
      <c r="H741"/>
      <c r="I741"/>
      <c r="J741"/>
      <c r="K741"/>
    </row>
    <row r="742" spans="1:11" x14ac:dyDescent="0.25">
      <c r="A742"/>
      <c r="B742"/>
      <c r="C742"/>
      <c r="D742"/>
      <c r="E742"/>
      <c r="F742"/>
      <c r="G742"/>
      <c r="H742"/>
      <c r="I742"/>
      <c r="J742"/>
      <c r="K742"/>
    </row>
    <row r="743" spans="1:11" x14ac:dyDescent="0.25">
      <c r="A743"/>
      <c r="B743"/>
      <c r="C743"/>
      <c r="D743"/>
      <c r="E743"/>
      <c r="F743"/>
      <c r="G743"/>
      <c r="H743"/>
      <c r="I743"/>
      <c r="J743"/>
      <c r="K743"/>
    </row>
    <row r="744" spans="1:11" x14ac:dyDescent="0.25">
      <c r="A744"/>
      <c r="B744"/>
      <c r="C744"/>
      <c r="D744"/>
      <c r="E744"/>
      <c r="F744"/>
      <c r="G744"/>
      <c r="H744"/>
      <c r="I744"/>
      <c r="J744"/>
      <c r="K744"/>
    </row>
    <row r="745" spans="1:11" x14ac:dyDescent="0.25">
      <c r="A745"/>
      <c r="B745"/>
      <c r="C745"/>
      <c r="D745"/>
      <c r="E745"/>
      <c r="F745"/>
      <c r="G745"/>
      <c r="H745"/>
      <c r="I745"/>
      <c r="J745"/>
      <c r="K745"/>
    </row>
    <row r="746" spans="1:11" x14ac:dyDescent="0.25">
      <c r="A746"/>
      <c r="B746"/>
      <c r="C746"/>
      <c r="D746"/>
      <c r="E746"/>
      <c r="F746"/>
      <c r="G746"/>
      <c r="H746"/>
      <c r="I746"/>
      <c r="J746"/>
      <c r="K746"/>
    </row>
    <row r="747" spans="1:11" x14ac:dyDescent="0.25">
      <c r="A747"/>
      <c r="B747"/>
      <c r="C747"/>
      <c r="D747"/>
      <c r="E747"/>
      <c r="F747"/>
      <c r="G747"/>
      <c r="H747"/>
      <c r="I747"/>
      <c r="J747"/>
      <c r="K747"/>
    </row>
    <row r="748" spans="1:11" x14ac:dyDescent="0.25">
      <c r="A748"/>
      <c r="B748"/>
      <c r="C748"/>
      <c r="D748"/>
      <c r="E748"/>
      <c r="F748"/>
      <c r="G748"/>
      <c r="H748"/>
      <c r="I748"/>
      <c r="J748"/>
      <c r="K748"/>
    </row>
    <row r="749" spans="1:11" x14ac:dyDescent="0.25">
      <c r="A749"/>
      <c r="B749"/>
      <c r="C749"/>
      <c r="D749"/>
      <c r="E749"/>
      <c r="F749"/>
      <c r="G749"/>
      <c r="H749"/>
      <c r="I749"/>
      <c r="J749"/>
      <c r="K749"/>
    </row>
    <row r="750" spans="1:11" x14ac:dyDescent="0.25">
      <c r="A750"/>
      <c r="B750"/>
      <c r="C750"/>
      <c r="D750"/>
      <c r="E750"/>
      <c r="F750"/>
      <c r="G750"/>
      <c r="H750"/>
      <c r="I750"/>
      <c r="J750"/>
      <c r="K750"/>
    </row>
    <row r="751" spans="1:11" x14ac:dyDescent="0.25">
      <c r="A751"/>
      <c r="B751"/>
      <c r="C751"/>
      <c r="D751"/>
      <c r="E751"/>
      <c r="F751"/>
      <c r="G751"/>
      <c r="H751"/>
      <c r="I751"/>
      <c r="J751"/>
      <c r="K751"/>
    </row>
    <row r="752" spans="1:11" x14ac:dyDescent="0.25">
      <c r="A752"/>
      <c r="B752"/>
      <c r="C752"/>
      <c r="D752"/>
      <c r="E752"/>
      <c r="F752"/>
      <c r="G752"/>
      <c r="H752"/>
      <c r="I752"/>
      <c r="J752"/>
      <c r="K752"/>
    </row>
    <row r="753" spans="1:11" x14ac:dyDescent="0.25">
      <c r="A753"/>
      <c r="B753"/>
      <c r="C753"/>
      <c r="D753"/>
      <c r="E753"/>
      <c r="F753"/>
      <c r="G753"/>
      <c r="H753"/>
      <c r="I753"/>
      <c r="J753"/>
      <c r="K753"/>
    </row>
    <row r="754" spans="1:11" x14ac:dyDescent="0.25">
      <c r="A754"/>
      <c r="B754"/>
      <c r="C754"/>
      <c r="D754"/>
      <c r="E754"/>
      <c r="F754"/>
      <c r="G754"/>
      <c r="H754"/>
      <c r="I754"/>
      <c r="J754"/>
      <c r="K754"/>
    </row>
    <row r="755" spans="1:11" x14ac:dyDescent="0.25">
      <c r="A755"/>
      <c r="B755"/>
      <c r="C755"/>
      <c r="D755"/>
      <c r="E755"/>
      <c r="F755"/>
      <c r="G755"/>
      <c r="H755"/>
      <c r="I755"/>
      <c r="J755"/>
      <c r="K755"/>
    </row>
    <row r="756" spans="1:11" x14ac:dyDescent="0.25">
      <c r="A756"/>
      <c r="B756"/>
      <c r="C756"/>
      <c r="D756"/>
      <c r="E756"/>
      <c r="F756"/>
      <c r="G756"/>
      <c r="H756"/>
      <c r="I756"/>
      <c r="J756"/>
      <c r="K756"/>
    </row>
    <row r="757" spans="1:11" x14ac:dyDescent="0.25">
      <c r="A757"/>
      <c r="B757"/>
      <c r="C757"/>
      <c r="D757"/>
      <c r="E757"/>
      <c r="F757"/>
      <c r="G757"/>
      <c r="H757"/>
      <c r="I757"/>
      <c r="J757"/>
      <c r="K757"/>
    </row>
    <row r="758" spans="1:11" x14ac:dyDescent="0.25">
      <c r="A758"/>
      <c r="B758"/>
      <c r="C758"/>
      <c r="D758"/>
      <c r="E758"/>
      <c r="F758"/>
      <c r="G758"/>
      <c r="H758"/>
      <c r="I758"/>
      <c r="J758"/>
      <c r="K758"/>
    </row>
    <row r="759" spans="1:11" x14ac:dyDescent="0.25">
      <c r="A759"/>
      <c r="B759"/>
      <c r="C759"/>
      <c r="D759"/>
      <c r="E759"/>
      <c r="F759"/>
      <c r="G759"/>
      <c r="H759"/>
      <c r="I759"/>
      <c r="J759"/>
      <c r="K759"/>
    </row>
    <row r="760" spans="1:11" x14ac:dyDescent="0.25">
      <c r="A760"/>
      <c r="B760"/>
      <c r="C760"/>
      <c r="D760"/>
      <c r="E760"/>
      <c r="F760"/>
      <c r="G760"/>
      <c r="H760"/>
      <c r="I760"/>
      <c r="J760"/>
      <c r="K760"/>
    </row>
    <row r="761" spans="1:11" x14ac:dyDescent="0.25">
      <c r="A761"/>
      <c r="B761"/>
      <c r="C761"/>
      <c r="D761"/>
      <c r="E761"/>
      <c r="F761"/>
      <c r="G761"/>
      <c r="H761"/>
      <c r="I761"/>
      <c r="J761"/>
      <c r="K761"/>
    </row>
    <row r="762" spans="1:11" x14ac:dyDescent="0.25">
      <c r="A762"/>
      <c r="B762"/>
      <c r="C762"/>
      <c r="D762"/>
      <c r="E762"/>
      <c r="F762"/>
      <c r="G762"/>
      <c r="H762"/>
      <c r="I762"/>
      <c r="J762"/>
      <c r="K762"/>
    </row>
    <row r="763" spans="1:11" x14ac:dyDescent="0.25">
      <c r="A763"/>
      <c r="B763"/>
      <c r="C763"/>
      <c r="D763"/>
      <c r="E763"/>
      <c r="F763"/>
      <c r="G763"/>
      <c r="H763"/>
      <c r="I763"/>
      <c r="J763"/>
      <c r="K763"/>
    </row>
    <row r="764" spans="1:11" x14ac:dyDescent="0.25">
      <c r="A764"/>
      <c r="B764"/>
      <c r="C764"/>
      <c r="D764"/>
      <c r="E764"/>
      <c r="F764"/>
      <c r="G764"/>
      <c r="H764"/>
      <c r="I764"/>
      <c r="J764"/>
      <c r="K764"/>
    </row>
    <row r="765" spans="1:11" x14ac:dyDescent="0.25">
      <c r="A765"/>
      <c r="B765"/>
      <c r="C765"/>
      <c r="D765"/>
      <c r="E765"/>
      <c r="F765"/>
      <c r="G765"/>
      <c r="H765"/>
      <c r="I765"/>
      <c r="J765"/>
      <c r="K765"/>
    </row>
    <row r="766" spans="1:11" x14ac:dyDescent="0.25">
      <c r="A766"/>
      <c r="B766"/>
      <c r="C766"/>
      <c r="D766"/>
      <c r="E766"/>
      <c r="F766"/>
      <c r="G766"/>
      <c r="H766"/>
      <c r="I766"/>
      <c r="J766"/>
      <c r="K766"/>
    </row>
    <row r="767" spans="1:11" x14ac:dyDescent="0.25">
      <c r="A767"/>
      <c r="B767"/>
      <c r="C767"/>
      <c r="D767"/>
      <c r="E767"/>
      <c r="F767"/>
      <c r="G767"/>
      <c r="H767"/>
      <c r="I767"/>
      <c r="J767"/>
      <c r="K767"/>
    </row>
    <row r="768" spans="1:11" x14ac:dyDescent="0.25">
      <c r="A768"/>
      <c r="B768"/>
      <c r="C768"/>
      <c r="D768"/>
      <c r="E768"/>
      <c r="F768"/>
      <c r="G768"/>
      <c r="H768"/>
      <c r="I768"/>
      <c r="J768"/>
      <c r="K768"/>
    </row>
    <row r="769" spans="1:11" x14ac:dyDescent="0.25">
      <c r="A769"/>
      <c r="B769"/>
      <c r="C769"/>
      <c r="D769"/>
      <c r="E769"/>
      <c r="F769"/>
      <c r="G769"/>
      <c r="H769"/>
      <c r="I769"/>
      <c r="J769"/>
      <c r="K769"/>
    </row>
    <row r="770" spans="1:11" x14ac:dyDescent="0.25">
      <c r="A770"/>
      <c r="B770"/>
      <c r="C770"/>
      <c r="D770"/>
      <c r="E770"/>
      <c r="F770"/>
      <c r="G770"/>
      <c r="H770"/>
      <c r="I770"/>
      <c r="J770"/>
      <c r="K770"/>
    </row>
    <row r="771" spans="1:11" x14ac:dyDescent="0.25">
      <c r="A771"/>
      <c r="B771"/>
      <c r="C771"/>
      <c r="D771"/>
      <c r="E771"/>
      <c r="F771"/>
      <c r="G771"/>
      <c r="H771"/>
      <c r="I771"/>
      <c r="J771"/>
      <c r="K771"/>
    </row>
    <row r="772" spans="1:11" x14ac:dyDescent="0.25">
      <c r="A772"/>
      <c r="B772"/>
      <c r="C772"/>
      <c r="D772"/>
      <c r="E772"/>
      <c r="F772"/>
      <c r="G772"/>
      <c r="H772"/>
      <c r="I772"/>
      <c r="J772"/>
      <c r="K772"/>
    </row>
    <row r="773" spans="1:11" x14ac:dyDescent="0.25">
      <c r="A773"/>
      <c r="B773"/>
      <c r="C773"/>
      <c r="D773"/>
      <c r="E773"/>
      <c r="F773"/>
      <c r="G773"/>
      <c r="H773"/>
      <c r="I773"/>
      <c r="J773"/>
      <c r="K773"/>
    </row>
    <row r="774" spans="1:11" x14ac:dyDescent="0.25">
      <c r="A774"/>
      <c r="B774"/>
      <c r="C774"/>
      <c r="D774"/>
      <c r="E774"/>
      <c r="F774"/>
      <c r="G774"/>
      <c r="H774"/>
      <c r="I774"/>
      <c r="J774"/>
      <c r="K774"/>
    </row>
    <row r="775" spans="1:11" x14ac:dyDescent="0.25">
      <c r="A775"/>
      <c r="B775"/>
      <c r="C775"/>
      <c r="D775"/>
      <c r="E775"/>
      <c r="F775"/>
      <c r="G775"/>
      <c r="H775"/>
      <c r="I775"/>
      <c r="J775"/>
      <c r="K775"/>
    </row>
    <row r="776" spans="1:11" x14ac:dyDescent="0.25">
      <c r="A776"/>
      <c r="B776"/>
      <c r="C776"/>
      <c r="D776"/>
      <c r="E776"/>
      <c r="F776"/>
      <c r="G776"/>
      <c r="H776"/>
      <c r="I776"/>
      <c r="J776"/>
      <c r="K776"/>
    </row>
    <row r="777" spans="1:11" x14ac:dyDescent="0.25">
      <c r="A777"/>
      <c r="B777"/>
      <c r="C777"/>
      <c r="D777"/>
      <c r="E777"/>
      <c r="F777"/>
      <c r="G777"/>
      <c r="H777"/>
      <c r="I777"/>
      <c r="J777"/>
      <c r="K777"/>
    </row>
    <row r="778" spans="1:11" x14ac:dyDescent="0.25">
      <c r="A778"/>
      <c r="B778"/>
      <c r="C778"/>
      <c r="D778"/>
      <c r="E778"/>
      <c r="F778"/>
      <c r="G778"/>
      <c r="H778"/>
      <c r="I778"/>
      <c r="J778"/>
      <c r="K778"/>
    </row>
    <row r="779" spans="1:11" x14ac:dyDescent="0.25">
      <c r="A779"/>
      <c r="B779"/>
      <c r="C779"/>
      <c r="D779"/>
      <c r="E779"/>
      <c r="F779"/>
      <c r="G779"/>
      <c r="H779"/>
      <c r="I779"/>
      <c r="J779"/>
      <c r="K779"/>
    </row>
    <row r="780" spans="1:11" x14ac:dyDescent="0.25">
      <c r="A780"/>
      <c r="B780"/>
      <c r="C780"/>
      <c r="D780"/>
      <c r="E780"/>
      <c r="F780"/>
      <c r="G780"/>
      <c r="H780"/>
      <c r="I780"/>
      <c r="J780"/>
      <c r="K780"/>
    </row>
    <row r="781" spans="1:11" x14ac:dyDescent="0.25">
      <c r="A781"/>
      <c r="B781"/>
      <c r="C781"/>
      <c r="D781"/>
      <c r="E781"/>
      <c r="F781"/>
      <c r="G781"/>
      <c r="H781"/>
      <c r="I781"/>
      <c r="J781"/>
      <c r="K781"/>
    </row>
    <row r="782" spans="1:11" x14ac:dyDescent="0.25">
      <c r="A782"/>
      <c r="B782"/>
      <c r="C782"/>
      <c r="D782"/>
      <c r="E782"/>
      <c r="F782"/>
      <c r="G782"/>
      <c r="H782"/>
      <c r="I782"/>
      <c r="J782"/>
      <c r="K782"/>
    </row>
    <row r="783" spans="1:11" x14ac:dyDescent="0.25">
      <c r="A783"/>
      <c r="B783"/>
      <c r="C783"/>
      <c r="D783"/>
      <c r="E783"/>
      <c r="F783"/>
      <c r="G783"/>
      <c r="H783"/>
      <c r="I783"/>
      <c r="J783"/>
      <c r="K783"/>
    </row>
  </sheetData>
  <autoFilter ref="A11:L663" xr:uid="{41513A0A-8B0C-4650-B79A-769D8D62E3EA}">
    <filterColumn colId="1">
      <filters>
        <filter val="CHARGER 25A (110V-230V)"/>
        <filter val="CHARGER GÜÇ (POWER) BESLEME KABLOSU"/>
        <filter val="DC-DC 20A CHARGER TEK YÖN"/>
      </filters>
    </filterColumn>
  </autoFilter>
  <pageMargins left="0.70866141732283472" right="0.70866141732283472" top="0.74803149606299213" bottom="0.74803149606299213" header="0.31496062992125984" footer="0.31496062992125984"/>
  <pageSetup paperSize="9" scale="42" orientation="portrait" r:id="rId2"/>
  <drawing r:id="rId3"/>
  <legacy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A3E9D-9D82-479A-9E3B-A7F70A7896B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915D32-66EE-4844-BFFE-D2FF47DC0E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5</vt:i4>
      </vt:variant>
      <vt:variant>
        <vt:lpstr>Adlandırılmış Aralıklar</vt:lpstr>
      </vt:variant>
      <vt:variant>
        <vt:i4>1</vt:i4>
      </vt:variant>
    </vt:vector>
  </HeadingPairs>
  <TitlesOfParts>
    <vt:vector size="6" baseType="lpstr">
      <vt:lpstr>ÖRNEK PİVOT</vt:lpstr>
      <vt:lpstr>ÜRETİM İHTİYAÇ RAPORU</vt:lpstr>
      <vt:lpstr>PROJE MALİYET</vt:lpstr>
      <vt:lpstr>SATINALMA</vt:lpstr>
      <vt:lpstr>Sayfa1</vt:lpstr>
      <vt:lpstr>SATINALMA!Yazdırma_Alanı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Burak KANBEROGLU</dc:creator>
  <cp:lastModifiedBy>Osman Ertuğral</cp:lastModifiedBy>
  <cp:lastPrinted>2025-09-24T06:43:29Z</cp:lastPrinted>
  <dcterms:created xsi:type="dcterms:W3CDTF">2015-06-05T18:19:34Z</dcterms:created>
  <dcterms:modified xsi:type="dcterms:W3CDTF">2026-04-13T11:27:11Z</dcterms:modified>
</cp:coreProperties>
</file>